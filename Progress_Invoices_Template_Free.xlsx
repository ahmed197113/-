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FA5" lockStructure="1"/>
  <bookViews>
    <workbookView visibility="visible" minimized="0" showHorizontalScroll="1" showVerticalScroll="1" showSheetTabs="1" xWindow="0" yWindow="0" windowWidth="28800" windowHeight="15000" tabRatio="600" firstSheet="0" activeTab="0" autoFilterDateGrouping="1"/>
  </bookViews>
  <sheets>
    <sheet name="لوحة التحكم" sheetId="1" state="visible" r:id="rId1"/>
    <sheet name="⭐ النسخة الكاملة" sheetId="2" state="visible" r:id="rId2"/>
    <sheet name="التعليمات" sheetId="3" state="visible" r:id="rId3"/>
    <sheet name="الإعدادات" sheetId="4" state="visible" r:id="rId4"/>
    <sheet name="جدول الكميات" sheetId="5" state="visible" r:id="rId5"/>
    <sheet name="سجل المستخلصات" sheetId="6" state="visible" r:id="rId6"/>
    <sheet name="الدفعات المقدمة" sheetId="7" state="visible" r:id="rId7"/>
    <sheet name="ضمان الأعمال" sheetId="8" state="visible" r:id="rId8"/>
    <sheet name="مستخلص 1" sheetId="9" state="visible" r:id="rId9"/>
    <sheet name="مستخلص 2" sheetId="10" state="visible" r:id="rId10"/>
    <sheet name="مستخلص 3" sheetId="11" state="visible" r:id="rId11"/>
  </sheets>
  <definedNames>
    <definedName name="_xlnm.Print_Area" localSheetId="0">'لوحة التحكم'!$B$1:$M$53</definedName>
    <definedName name="_xlnm._FilterDatabase" localSheetId="4" hidden="1">'جدول الكميات'!$A$5:$N$15</definedName>
    <definedName name="_xlnm.Print_Titles" localSheetId="4">'جدول الكميات'!$5:$5</definedName>
    <definedName name="_xlnm.Print_Titles" localSheetId="8">'مستخلص 1'!$6:$7</definedName>
    <definedName name="_xlnm.Print_Area" localSheetId="8">'مستخلص 1'!$A$1:$P$34</definedName>
    <definedName name="_xlnm.Print_Titles" localSheetId="9">'مستخلص 2'!$6:$7</definedName>
    <definedName name="_xlnm.Print_Area" localSheetId="9">'مستخلص 2'!$A$1:$P$34</definedName>
    <definedName name="_xlnm.Print_Titles" localSheetId="10">'مستخلص 3'!$6:$7</definedName>
    <definedName name="_xlnm.Print_Area" localSheetId="10">'مستخلص 3'!$A$1:$P$34</definedName>
  </definedNames>
  <calcPr calcId="124519" fullCalcOnLoad="1"/>
</workbook>
</file>

<file path=xl/styles.xml><?xml version="1.0" encoding="utf-8"?>
<styleSheet xmlns="http://schemas.openxmlformats.org/spreadsheetml/2006/main">
  <numFmts count="10">
    <numFmt numFmtId="164" formatCode="yyyy/mm/dd"/>
    <numFmt numFmtId="165" formatCode="0%;[Red]-0%;&quot;-&quot;"/>
    <numFmt numFmtId="166" formatCode="#,##0.00;[Red]-#,##0.00;&quot;-&quot;"/>
    <numFmt numFmtId="167" formatCode="0.0%;[Red]-0.0%;&quot;-&quot;"/>
    <numFmt numFmtId="168" formatCode="yyyy-mm-dd"/>
    <numFmt numFmtId="169" formatCode="#,##0;[Red]-#,##0"/>
    <numFmt numFmtId="170" formatCode="#,##0;[Red]-#,##0;&quot;-&quot;"/>
    <numFmt numFmtId="171" formatCode="0;;&quot;لا يوجد&quot;"/>
    <numFmt numFmtId="172" formatCode="0&quot; ⚠&quot;;0;&quot;✔ لا يوجد&quot;"/>
    <numFmt numFmtId="173" formatCode="+0.0%;[Red]-0.0%;0.0%"/>
  </numFmts>
  <fonts count="41">
    <font>
      <sz val="11"/>
      <color theme="1"/>
      <name val="Calibri"/>
      <family val="2"/>
      <scheme val="minor"/>
    </font>
    <font>
      <sz val="10"/>
      <name val="Arial"/>
    </font>
    <font>
      <b val="1"/>
      <sz val="18"/>
      <color rgb="FFFFFFFF"/>
      <name val="Arial"/>
    </font>
    <font>
      <b val="1"/>
      <sz val="10"/>
      <color rgb="FF1F2933"/>
      <name val="Arial"/>
    </font>
    <font>
      <b val="1"/>
      <sz val="10"/>
      <color rgb="FFFFFFFF"/>
      <name val="Arial"/>
    </font>
    <font>
      <b val="1"/>
      <sz val="11"/>
      <color rgb="FFFFFFFF"/>
      <name val="Arial"/>
    </font>
    <font>
      <sz val="10"/>
      <color rgb="FF1A4FA0"/>
      <name val="Arial"/>
    </font>
    <font>
      <sz val="10"/>
      <color rgb="FF1F2933"/>
      <name val="Arial"/>
    </font>
    <font>
      <sz val="9"/>
      <color rgb="FF5A6772"/>
      <name val="Arial"/>
    </font>
    <font>
      <i val="1"/>
      <sz val="9"/>
      <color rgb="FF9A6B00"/>
      <name val="Arial"/>
    </font>
    <font>
      <sz val="10"/>
      <color rgb="FF2E7D32"/>
      <name val="Arial"/>
    </font>
    <font>
      <b val="1"/>
      <sz val="10"/>
      <color rgb="FF1F3A5F"/>
      <name val="Arial"/>
    </font>
    <font>
      <b val="1"/>
      <sz val="14"/>
      <color rgb="FFC62828"/>
      <name val="Arial"/>
    </font>
    <font>
      <i val="1"/>
      <sz val="9"/>
      <color rgb="FF8A94A0"/>
      <name val="Arial"/>
    </font>
    <font>
      <b val="1"/>
      <sz val="12"/>
      <color rgb="FFC62828"/>
      <name val="Arial"/>
    </font>
    <font>
      <b val="1"/>
      <sz val="11"/>
      <color rgb="FF1F3A5F"/>
      <name val="Arial"/>
    </font>
    <font>
      <b val="1"/>
      <sz val="10"/>
      <color rgb="FF2E7D32"/>
      <name val="Arial"/>
    </font>
    <font>
      <b val="1"/>
      <sz val="10"/>
      <color rgb="FFC62828"/>
      <name val="Arial"/>
    </font>
    <font>
      <b val="1"/>
      <sz val="9"/>
      <color rgb="FF5A6772"/>
      <name val="Arial"/>
    </font>
    <font>
      <b val="1"/>
      <sz val="16"/>
      <color rgb="FF1F3A5F"/>
      <name val="Arial"/>
    </font>
    <font>
      <i val="1"/>
      <sz val="8"/>
      <color rgb="FF5A6772"/>
      <name val="Arial"/>
    </font>
    <font>
      <b val="1"/>
      <sz val="16"/>
      <color rgb="FF2E7D7A"/>
      <name val="Arial"/>
    </font>
    <font>
      <b val="1"/>
      <sz val="18"/>
      <color rgb="FF2E7D32"/>
      <name val="Arial"/>
    </font>
    <font>
      <b val="1"/>
      <sz val="18"/>
      <color rgb="FF9A6B00"/>
      <name val="Arial"/>
    </font>
    <font>
      <b val="1"/>
      <sz val="16"/>
      <color rgb="FF2E7D32"/>
      <name val="Arial"/>
    </font>
    <font>
      <b val="1"/>
      <sz val="16"/>
      <color rgb="FFC62828"/>
      <name val="Arial"/>
    </font>
    <font>
      <b val="1"/>
      <sz val="16"/>
      <color rgb="FF6A1B9A"/>
      <name val="Arial"/>
    </font>
    <font>
      <b val="1"/>
      <sz val="16"/>
      <color rgb="FF9A6B00"/>
      <name val="Arial"/>
    </font>
    <font>
      <b val="1"/>
      <sz val="10"/>
      <color rgb="FF9A6B00"/>
      <name val="Arial"/>
    </font>
    <font>
      <b val="1"/>
      <sz val="10"/>
      <color rgb="FF2C5282"/>
      <name val="Arial"/>
    </font>
    <font>
      <b val="1"/>
      <sz val="10"/>
      <color rgb="FF5A6772"/>
      <name val="Arial"/>
    </font>
    <font>
      <b val="1"/>
      <sz val="10"/>
      <color rgb="FF2E7D7A"/>
      <name val="Arial"/>
    </font>
    <font>
      <b val="1"/>
      <i val="1"/>
      <sz val="9"/>
      <color rgb="FF5A6772"/>
      <name val="Arial"/>
    </font>
    <font>
      <b val="1"/>
      <sz val="9"/>
      <color rgb="FF1F2933"/>
      <name val="Arial"/>
    </font>
    <font>
      <sz val="9"/>
      <color rgb="FF1F2933"/>
      <name val="Arial"/>
    </font>
    <font>
      <b val="1"/>
      <sz val="14"/>
      <color rgb="FF1F3A5F"/>
      <name val="Arial"/>
    </font>
    <font>
      <b val="1"/>
      <sz val="16"/>
      <color rgb="FF1F2933"/>
      <name val="Arial"/>
    </font>
    <font>
      <b val="1"/>
      <sz val="11"/>
      <color rgb="FF5A6772"/>
      <name val="Arial"/>
    </font>
    <font>
      <b val="1"/>
      <sz val="11"/>
      <color rgb="FF2E7D32"/>
      <name val="Arial"/>
    </font>
    <font>
      <b val="1"/>
      <sz val="11"/>
      <color rgb="FFC62828"/>
      <name val="Arial"/>
    </font>
    <font>
      <b val="1"/>
      <sz val="12"/>
      <color rgb="FF1A4FA0"/>
      <name val="Arial"/>
    </font>
  </fonts>
  <fills count="17">
    <fill>
      <patternFill/>
    </fill>
    <fill>
      <patternFill patternType="gray125"/>
    </fill>
    <fill>
      <patternFill patternType="solid">
        <fgColor rgb="FF1F3A5F"/>
        <bgColor rgb="FF1F3A5F"/>
      </patternFill>
    </fill>
    <fill>
      <patternFill patternType="solid">
        <fgColor rgb="FFFFD54F"/>
        <bgColor rgb="FFFFD54F"/>
      </patternFill>
    </fill>
    <fill>
      <patternFill patternType="solid">
        <fgColor rgb="FF2E7D7A"/>
        <bgColor rgb="FF2E7D7A"/>
      </patternFill>
    </fill>
    <fill>
      <patternFill patternType="solid">
        <fgColor rgb="FFEEF4F8"/>
        <bgColor rgb="FFEEF4F8"/>
      </patternFill>
    </fill>
    <fill>
      <patternFill patternType="solid">
        <fgColor rgb="FFFFF8E1"/>
        <bgColor rgb="FFFFF8E1"/>
      </patternFill>
    </fill>
    <fill>
      <patternFill patternType="solid">
        <fgColor rgb="FF9A6B00"/>
        <bgColor rgb="FF9A6B00"/>
      </patternFill>
    </fill>
    <fill>
      <patternFill patternType="solid">
        <fgColor rgb="FFFFF3CD"/>
        <bgColor rgb="FFFFF3CD"/>
      </patternFill>
    </fill>
    <fill>
      <patternFill patternType="solid">
        <fgColor rgb="FFD6E4F0"/>
        <bgColor rgb="FFD6E4F0"/>
      </patternFill>
    </fill>
    <fill>
      <patternFill patternType="solid">
        <fgColor rgb="FF2C5282"/>
        <bgColor rgb="FF2C5282"/>
      </patternFill>
    </fill>
    <fill>
      <patternFill patternType="solid">
        <fgColor rgb="FFE6E8EB"/>
        <bgColor rgb="FFE6E8EB"/>
      </patternFill>
    </fill>
    <fill>
      <patternFill patternType="solid">
        <fgColor rgb="FFDCEFEE"/>
        <bgColor rgb="FFDCEFEE"/>
      </patternFill>
    </fill>
    <fill>
      <patternFill patternType="solid">
        <fgColor rgb="FFC62828"/>
        <bgColor rgb="FFC62828"/>
      </patternFill>
    </fill>
    <fill>
      <patternFill patternType="solid">
        <fgColor rgb="FFFFFFFF"/>
        <bgColor rgb="FFFFFFFF"/>
      </patternFill>
    </fill>
    <fill>
      <patternFill patternType="solid">
        <fgColor rgb="FF5A6772"/>
        <bgColor rgb="FF5A6772"/>
      </patternFill>
    </fill>
    <fill>
      <patternFill patternType="solid">
        <fgColor rgb="FF2E7D32"/>
        <bgColor rgb="FF2E7D32"/>
      </patternFill>
    </fill>
  </fills>
  <borders count="15">
    <border>
      <left/>
      <right/>
      <top/>
      <bottom/>
      <diagonal/>
    </border>
    <border>
      <left style="thin">
        <color rgb="FFFFFFFF"/>
      </left>
      <right style="thin">
        <color rgb="FFFFFFFF"/>
      </right>
      <top style="thin">
        <color rgb="FFFFFFFF"/>
      </top>
      <bottom style="medium">
        <color rgb="FF1F3A5F"/>
      </bottom>
    </border>
    <border>
      <left style="thin">
        <color rgb="FFC9D3DD"/>
      </left>
      <right style="thin">
        <color rgb="FFC9D3DD"/>
      </right>
      <top style="thin">
        <color rgb="FFC9D3DD"/>
      </top>
      <bottom style="thin">
        <color rgb="FFC9D3DD"/>
      </bottom>
    </border>
    <border>
      <left/>
      <right/>
      <top style="thin">
        <color rgb="FFC9D3DD"/>
      </top>
      <bottom/>
      <diagonal/>
    </border>
    <border>
      <left/>
      <right style="thin">
        <color rgb="FFC9D3DD"/>
      </right>
      <top style="thin">
        <color rgb="FFC9D3DD"/>
      </top>
      <bottom/>
      <diagonal/>
    </border>
    <border>
      <left/>
      <right style="thin">
        <color rgb="FFC9D3DD"/>
      </right>
      <top style="thin">
        <color rgb="FFC9D3DD"/>
      </top>
      <bottom style="thin">
        <color rgb="FFC9D3DD"/>
      </bottom>
      <diagonal/>
    </border>
    <border>
      <left/>
      <right/>
      <top style="thin">
        <color rgb="FFC9D3DD"/>
      </top>
      <bottom style="thin">
        <color rgb="FFC9D3DD"/>
      </bottom>
      <diagonal/>
    </border>
    <border>
      <left style="thin">
        <color rgb="FFC9D3DD"/>
      </left>
      <right style="thin">
        <color rgb="FFC9D3DD"/>
      </right>
      <top style="thick">
        <color rgb="FF1F3A5F"/>
      </top>
    </border>
    <border>
      <left style="thin">
        <color rgb="FFC9D3DD"/>
      </left>
      <right style="thin">
        <color rgb="FFC9D3DD"/>
      </right>
    </border>
    <border>
      <left style="thin">
        <color rgb="FFC9D3DD"/>
      </left>
      <right style="thin">
        <color rgb="FFC9D3DD"/>
      </right>
      <bottom style="thin">
        <color rgb="FFC9D3DD"/>
      </bottom>
    </border>
    <border>
      <left style="thin">
        <color rgb="FFC9D3DD"/>
      </left>
      <right style="thin">
        <color rgb="FFC9D3DD"/>
      </right>
      <top style="thick">
        <color rgb="FF2E7D7A"/>
      </top>
    </border>
    <border>
      <left style="thin">
        <color rgb="FFC9D3DD"/>
      </left>
      <right style="thin">
        <color rgb="FFC9D3DD"/>
      </right>
      <top style="thick">
        <color rgb="FF2E7D32"/>
      </top>
    </border>
    <border>
      <left style="thin">
        <color rgb="FFC9D3DD"/>
      </left>
      <right style="thin">
        <color rgb="FFC9D3DD"/>
      </right>
      <top style="thick">
        <color rgb="FF9A6B00"/>
      </top>
    </border>
    <border>
      <left style="thin">
        <color rgb="FFC9D3DD"/>
      </left>
      <right style="thin">
        <color rgb="FFC9D3DD"/>
      </right>
      <top style="thick">
        <color rgb="FFC62828"/>
      </top>
    </border>
    <border>
      <left style="thin">
        <color rgb="FFC9D3DD"/>
      </left>
      <right style="thin">
        <color rgb="FFC9D3DD"/>
      </right>
      <top style="thick">
        <color rgb="FF6A1B9A"/>
      </top>
    </border>
  </borders>
  <cellStyleXfs count="1">
    <xf numFmtId="0" fontId="1" fillId="0" borderId="0"/>
  </cellStyleXfs>
  <cellXfs count="127">
    <xf numFmtId="0" fontId="0" fillId="0" borderId="0" pivotButton="0" quotePrefix="0" xfId="0"/>
    <xf numFmtId="0" fontId="2" fillId="2" borderId="0" applyAlignment="1" pivotButton="0" quotePrefix="0" xfId="0">
      <alignment horizontal="center" vertical="center" readingOrder="2"/>
    </xf>
    <xf numFmtId="0" fontId="3" fillId="3" borderId="0" applyAlignment="1" pivotButton="0" quotePrefix="0" xfId="0">
      <alignment horizontal="center" vertical="center" readingOrder="2"/>
    </xf>
    <xf numFmtId="0" fontId="4" fillId="4" borderId="1" applyAlignment="1" pivotButton="0" quotePrefix="0" xfId="0">
      <alignment horizontal="center" vertical="center" readingOrder="2"/>
    </xf>
    <xf numFmtId="0" fontId="4" fillId="7" borderId="1" applyAlignment="1" pivotButton="0" quotePrefix="0" xfId="0">
      <alignment horizontal="center" vertical="center" readingOrder="2"/>
    </xf>
    <xf numFmtId="0" fontId="18" fillId="0" borderId="0" pivotButton="0" quotePrefix="0" xfId="0"/>
    <xf numFmtId="0" fontId="18" fillId="14" borderId="7" applyAlignment="1" pivotButton="0" quotePrefix="0" xfId="0">
      <alignment horizontal="center" vertical="center" wrapText="1" readingOrder="2"/>
    </xf>
    <xf numFmtId="0" fontId="18" fillId="14" borderId="10" applyAlignment="1" pivotButton="0" quotePrefix="0" xfId="0">
      <alignment horizontal="center" vertical="center" wrapText="1" readingOrder="2"/>
    </xf>
    <xf numFmtId="0" fontId="18" fillId="14" borderId="11" applyAlignment="1" pivotButton="0" quotePrefix="0" xfId="0">
      <alignment horizontal="center" vertical="center" wrapText="1" readingOrder="2"/>
    </xf>
    <xf numFmtId="0" fontId="18" fillId="14" borderId="12" applyAlignment="1" pivotButton="0" quotePrefix="0" xfId="0">
      <alignment horizontal="center" vertical="center" wrapText="1" readingOrder="2"/>
    </xf>
    <xf numFmtId="0" fontId="33" fillId="0" borderId="0" pivotButton="0" quotePrefix="0" xfId="0"/>
    <xf numFmtId="170" fontId="19" fillId="14" borderId="8" applyAlignment="1" pivotButton="0" quotePrefix="0" xfId="0">
      <alignment horizontal="center" vertical="center" readingOrder="2"/>
    </xf>
    <xf numFmtId="170" fontId="21" fillId="14" borderId="8" applyAlignment="1" pivotButton="0" quotePrefix="0" xfId="0">
      <alignment horizontal="center" vertical="center" readingOrder="2"/>
    </xf>
    <xf numFmtId="167" fontId="22" fillId="14" borderId="8" applyAlignment="1" pivotButton="0" quotePrefix="0" xfId="0">
      <alignment horizontal="center" vertical="center" readingOrder="2"/>
    </xf>
    <xf numFmtId="167" fontId="23" fillId="14" borderId="8" applyAlignment="1" pivotButton="0" quotePrefix="0" xfId="0">
      <alignment horizontal="center" vertical="center" readingOrder="2"/>
    </xf>
    <xf numFmtId="0" fontId="34" fillId="0" borderId="0" pivotButton="0" quotePrefix="0" xfId="0"/>
    <xf numFmtId="170" fontId="34" fillId="0" borderId="0" pivotButton="0" quotePrefix="0" xfId="0"/>
    <xf numFmtId="0" fontId="20" fillId="14" borderId="9" applyAlignment="1" pivotButton="0" quotePrefix="0" xfId="0">
      <alignment horizontal="center" vertical="center" readingOrder="2"/>
    </xf>
    <xf numFmtId="0" fontId="18" fillId="14" borderId="13" applyAlignment="1" pivotButton="0" quotePrefix="0" xfId="0">
      <alignment horizontal="center" vertical="center" wrapText="1" readingOrder="2"/>
    </xf>
    <xf numFmtId="170" fontId="24" fillId="14" borderId="8" applyAlignment="1" pivotButton="0" quotePrefix="0" xfId="0">
      <alignment horizontal="center" vertical="center" readingOrder="2"/>
    </xf>
    <xf numFmtId="170" fontId="25" fillId="14" borderId="8" applyAlignment="1" pivotButton="0" quotePrefix="0" xfId="0">
      <alignment horizontal="center" vertical="center" readingOrder="2"/>
    </xf>
    <xf numFmtId="171" fontId="23" fillId="14" borderId="8" applyAlignment="1" pivotButton="0" quotePrefix="0" xfId="0">
      <alignment horizontal="center" vertical="center" readingOrder="2"/>
    </xf>
    <xf numFmtId="0" fontId="18" fillId="14" borderId="14" applyAlignment="1" pivotButton="0" quotePrefix="0" xfId="0">
      <alignment horizontal="center" vertical="center" wrapText="1" readingOrder="2"/>
    </xf>
    <xf numFmtId="170" fontId="26" fillId="14" borderId="8" applyAlignment="1" pivotButton="0" quotePrefix="0" xfId="0">
      <alignment horizontal="center" vertical="center" readingOrder="2"/>
    </xf>
    <xf numFmtId="172" fontId="27" fillId="14" borderId="8" applyAlignment="1" pivotButton="0" quotePrefix="0" xfId="0">
      <alignment horizontal="center" vertical="center" readingOrder="2"/>
    </xf>
    <xf numFmtId="0" fontId="5" fillId="2" borderId="0" applyAlignment="1" pivotButton="0" quotePrefix="0" xfId="0">
      <alignment horizontal="right" vertical="center" indent="1" readingOrder="2"/>
    </xf>
    <xf numFmtId="0" fontId="11" fillId="9" borderId="2" applyAlignment="1" pivotButton="0" quotePrefix="0" xfId="0">
      <alignment horizontal="right" vertical="center" indent="1" readingOrder="2"/>
    </xf>
    <xf numFmtId="166" fontId="3" fillId="0" borderId="2" applyAlignment="1" pivotButton="0" quotePrefix="0" xfId="0">
      <alignment horizontal="center" vertical="center" readingOrder="2"/>
    </xf>
    <xf numFmtId="167" fontId="7" fillId="0" borderId="2" applyAlignment="1" pivotButton="0" quotePrefix="0" xfId="0">
      <alignment horizontal="center" vertical="center" readingOrder="2"/>
    </xf>
    <xf numFmtId="1" fontId="11"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1" fontId="16" fillId="0" borderId="2" applyAlignment="1" pivotButton="0" quotePrefix="0" xfId="0">
      <alignment horizontal="center" vertical="center" readingOrder="2"/>
    </xf>
    <xf numFmtId="0" fontId="4" fillId="10" borderId="2" applyAlignment="1" pivotButton="0" quotePrefix="0" xfId="0">
      <alignment horizontal="right" vertical="center" indent="1" readingOrder="2"/>
    </xf>
    <xf numFmtId="166" fontId="3" fillId="12" borderId="2" applyAlignment="1" pivotButton="0" quotePrefix="0" xfId="0">
      <alignment horizontal="center" vertical="center" readingOrder="2"/>
    </xf>
    <xf numFmtId="167" fontId="7" fillId="12" borderId="2" applyAlignment="1" pivotButton="0" quotePrefix="0" xfId="0">
      <alignment horizontal="center" vertical="center" readingOrder="2"/>
    </xf>
    <xf numFmtId="1" fontId="28" fillId="0" borderId="2" applyAlignment="1" pivotButton="0" quotePrefix="0" xfId="0">
      <alignment horizontal="center" vertical="center" readingOrder="2"/>
    </xf>
    <xf numFmtId="1" fontId="29" fillId="0" borderId="2" applyAlignment="1" pivotButton="0" quotePrefix="0" xfId="0">
      <alignment horizontal="center" vertical="center" readingOrder="2"/>
    </xf>
    <xf numFmtId="1" fontId="30" fillId="0" borderId="2" applyAlignment="1" pivotButton="0" quotePrefix="0" xfId="0">
      <alignment horizontal="center" vertical="center" readingOrder="2"/>
    </xf>
    <xf numFmtId="1" fontId="17" fillId="0" borderId="2" applyAlignment="1" pivotButton="0" quotePrefix="0" xfId="0">
      <alignment horizontal="center" vertical="center" readingOrder="2"/>
    </xf>
    <xf numFmtId="167" fontId="31" fillId="0" borderId="2" applyAlignment="1" pivotButton="0" quotePrefix="0" xfId="0">
      <alignment horizontal="center" vertical="center" readingOrder="2"/>
    </xf>
    <xf numFmtId="173" fontId="3" fillId="0" borderId="2" applyAlignment="1" pivotButton="0" quotePrefix="0" xfId="0">
      <alignment horizontal="center" vertical="center" readingOrder="2"/>
    </xf>
    <xf numFmtId="0" fontId="3" fillId="0" borderId="2" applyAlignment="1" pivotButton="0" quotePrefix="0" xfId="0">
      <alignment horizontal="center" vertical="center" readingOrder="2"/>
    </xf>
    <xf numFmtId="0" fontId="4" fillId="4" borderId="2" applyAlignment="1" pivotButton="0" quotePrefix="0" xfId="0">
      <alignment horizontal="center" vertical="center" wrapText="1" readingOrder="2"/>
    </xf>
    <xf numFmtId="0" fontId="0" fillId="0" borderId="6" pivotButton="0" quotePrefix="0" xfId="0"/>
    <xf numFmtId="0" fontId="0" fillId="0" borderId="5" pivotButton="0" quotePrefix="0" xfId="0"/>
    <xf numFmtId="0" fontId="3" fillId="0" borderId="2" applyAlignment="1" pivotButton="0" quotePrefix="0" xfId="0">
      <alignment horizontal="right" vertical="center" readingOrder="2"/>
    </xf>
    <xf numFmtId="170" fontId="7" fillId="0" borderId="2" applyAlignment="1" pivotButton="0" quotePrefix="0" xfId="0">
      <alignment horizontal="center" vertical="center" readingOrder="2"/>
    </xf>
    <xf numFmtId="167" fontId="3" fillId="0" borderId="2" applyAlignment="1" pivotButton="0" quotePrefix="0" xfId="0">
      <alignment horizontal="center" vertical="center" readingOrder="2"/>
    </xf>
    <xf numFmtId="0" fontId="3" fillId="5" borderId="2" applyAlignment="1" pivotButton="0" quotePrefix="0" xfId="0">
      <alignment horizontal="right" vertical="center" readingOrder="2"/>
    </xf>
    <xf numFmtId="170" fontId="7" fillId="5" borderId="2" applyAlignment="1" pivotButton="0" quotePrefix="0" xfId="0">
      <alignment horizontal="center" vertical="center" readingOrder="2"/>
    </xf>
    <xf numFmtId="167" fontId="7" fillId="5" borderId="2" applyAlignment="1" pivotButton="0" quotePrefix="0" xfId="0">
      <alignment horizontal="center" vertical="center" readingOrder="2"/>
    </xf>
    <xf numFmtId="167" fontId="3" fillId="5" borderId="2" applyAlignment="1" pivotButton="0" quotePrefix="0" xfId="0">
      <alignment horizontal="center" vertical="center" readingOrder="2"/>
    </xf>
    <xf numFmtId="0" fontId="5" fillId="2" borderId="2" applyAlignment="1" pivotButton="0" quotePrefix="0" xfId="0">
      <alignment horizontal="center" vertical="center" readingOrder="2"/>
    </xf>
    <xf numFmtId="170" fontId="5" fillId="2" borderId="2" applyAlignment="1" pivotButton="0" quotePrefix="0" xfId="0">
      <alignment horizontal="center" vertical="center" readingOrder="2"/>
    </xf>
    <xf numFmtId="167" fontId="5" fillId="2" borderId="2" applyAlignment="1" pivotButton="0" quotePrefix="0" xfId="0">
      <alignment horizontal="center" vertical="center" readingOrder="2"/>
    </xf>
    <xf numFmtId="0" fontId="32" fillId="0" borderId="0" applyAlignment="1" pivotButton="0" quotePrefix="0" xfId="0">
      <alignment horizontal="right" vertical="center" readingOrder="2"/>
    </xf>
    <xf numFmtId="0" fontId="35" fillId="6" borderId="2" applyAlignment="1" pivotButton="0" quotePrefix="0" xfId="0">
      <alignment horizontal="center" vertical="center" wrapText="1" readingOrder="2"/>
    </xf>
    <xf numFmtId="0" fontId="36" fillId="3" borderId="2" applyAlignment="1" pivotButton="0" quotePrefix="0" xfId="0">
      <alignment horizontal="center" vertical="center" readingOrder="2"/>
    </xf>
    <xf numFmtId="0" fontId="5" fillId="4" borderId="2" applyAlignment="1" pivotButton="0" quotePrefix="0" xfId="0">
      <alignment horizontal="center" vertical="center" readingOrder="2"/>
    </xf>
    <xf numFmtId="0" fontId="5" fillId="15" borderId="2" applyAlignment="1" pivotButton="0" quotePrefix="0" xfId="0">
      <alignment horizontal="center" vertical="center" readingOrder="2"/>
    </xf>
    <xf numFmtId="0" fontId="5" fillId="16" borderId="2" applyAlignment="1" pivotButton="0" quotePrefix="0" xfId="0">
      <alignment horizontal="center" vertical="center" readingOrder="2"/>
    </xf>
    <xf numFmtId="0" fontId="11" fillId="0" borderId="2" applyAlignment="1" pivotButton="0" quotePrefix="0" xfId="0">
      <alignment horizontal="right" vertical="center" indent="1" readingOrder="2"/>
    </xf>
    <xf numFmtId="0" fontId="37" fillId="0" borderId="2" applyAlignment="1" pivotButton="0" quotePrefix="0" xfId="0">
      <alignment horizontal="center" vertical="center" readingOrder="2"/>
    </xf>
    <xf numFmtId="0" fontId="38" fillId="0" borderId="2" applyAlignment="1" pivotButton="0" quotePrefix="0" xfId="0">
      <alignment horizontal="center" vertical="center" readingOrder="2"/>
    </xf>
    <xf numFmtId="0" fontId="11" fillId="5" borderId="2" applyAlignment="1" pivotButton="0" quotePrefix="0" xfId="0">
      <alignment horizontal="right" vertical="center" indent="1" readingOrder="2"/>
    </xf>
    <xf numFmtId="0" fontId="37" fillId="5" borderId="2" applyAlignment="1" pivotButton="0" quotePrefix="0" xfId="0">
      <alignment horizontal="center" vertical="center" readingOrder="2"/>
    </xf>
    <xf numFmtId="0" fontId="38" fillId="5" borderId="2" applyAlignment="1" pivotButton="0" quotePrefix="0" xfId="0">
      <alignment horizontal="center" vertical="center" readingOrder="2"/>
    </xf>
    <xf numFmtId="0" fontId="39" fillId="0" borderId="2" applyAlignment="1" pivotButton="0" quotePrefix="0" xfId="0">
      <alignment horizontal="center" vertical="center" readingOrder="2"/>
    </xf>
    <xf numFmtId="0" fontId="39" fillId="5" borderId="2" applyAlignment="1" pivotButton="0" quotePrefix="0" xfId="0">
      <alignment horizontal="center" vertical="center" readingOrder="2"/>
    </xf>
    <xf numFmtId="0" fontId="40" fillId="0" borderId="0" applyAlignment="1" pivotButton="0" quotePrefix="0" xfId="0">
      <alignment horizontal="center" vertical="center" readingOrder="2"/>
    </xf>
    <xf numFmtId="0" fontId="4" fillId="2" borderId="1" applyAlignment="1" pivotButton="0" quotePrefix="0" xfId="0">
      <alignment horizontal="center" vertical="center" readingOrder="2"/>
    </xf>
    <xf numFmtId="0" fontId="5" fillId="4" borderId="0" applyAlignment="1" pivotButton="0" quotePrefix="0" xfId="0">
      <alignment horizontal="right" vertical="center" indent="1" readingOrder="2"/>
    </xf>
    <xf numFmtId="0" fontId="31" fillId="0" borderId="0" applyAlignment="1" pivotButton="0" quotePrefix="0" xfId="0">
      <alignment horizontal="center" vertical="center" readingOrder="2"/>
    </xf>
    <xf numFmtId="0" fontId="7" fillId="0" borderId="0" applyAlignment="1" pivotButton="0" quotePrefix="0" xfId="0">
      <alignment horizontal="right" vertical="center" wrapText="1" readingOrder="2"/>
    </xf>
    <xf numFmtId="0" fontId="3" fillId="5" borderId="2" applyAlignment="1" pivotButton="0" quotePrefix="0" xfId="0">
      <alignment horizontal="right" vertical="center" indent="1" readingOrder="2"/>
    </xf>
    <xf numFmtId="0" fontId="6" fillId="6" borderId="2" applyAlignment="1" applyProtection="1" pivotButton="0" quotePrefix="0" xfId="0">
      <alignment horizontal="right" vertical="center" readingOrder="2"/>
      <protection locked="0" hidden="0"/>
    </xf>
    <xf numFmtId="0" fontId="6" fillId="6" borderId="2" applyAlignment="1" pivotButton="0" quotePrefix="0" xfId="0">
      <alignment horizontal="center" vertical="center" readingOrder="2"/>
    </xf>
    <xf numFmtId="0" fontId="4" fillId="2" borderId="2" applyAlignment="1" pivotButton="0" quotePrefix="0" xfId="0">
      <alignment horizontal="center" vertical="center" readingOrder="2"/>
    </xf>
    <xf numFmtId="0" fontId="8" fillId="0" borderId="0" applyAlignment="1" pivotButton="0" quotePrefix="0" xfId="0">
      <alignment horizontal="right" vertical="center" wrapText="1" readingOrder="2"/>
    </xf>
    <xf numFmtId="164" fontId="6" fillId="6" borderId="2" applyAlignment="1" applyProtection="1" pivotButton="0" quotePrefix="0" xfId="0">
      <alignment horizontal="right" vertical="center" readingOrder="2"/>
      <protection locked="0" hidden="0"/>
    </xf>
    <xf numFmtId="3" fontId="6" fillId="6" borderId="2" applyAlignment="1" applyProtection="1" pivotButton="0" quotePrefix="0" xfId="0">
      <alignment horizontal="right" vertical="center" readingOrder="2"/>
      <protection locked="0" hidden="0"/>
    </xf>
    <xf numFmtId="164" fontId="3" fillId="0" borderId="2" applyAlignment="1" pivotButton="0" quotePrefix="0" xfId="0">
      <alignment horizontal="center" vertical="center" readingOrder="2"/>
    </xf>
    <xf numFmtId="165" fontId="6" fillId="6" borderId="2" applyAlignment="1" applyProtection="1" pivotButton="0" quotePrefix="0" xfId="0">
      <alignment horizontal="center" vertical="center" readingOrder="2"/>
      <protection locked="0" hidden="0"/>
    </xf>
    <xf numFmtId="0" fontId="9" fillId="8" borderId="0" applyAlignment="1" pivotButton="0" quotePrefix="0" xfId="0">
      <alignment horizontal="right" vertical="center" wrapText="1" indent="1" readingOrder="2"/>
    </xf>
    <xf numFmtId="0" fontId="4" fillId="2" borderId="2" applyAlignment="1" pivotButton="0" quotePrefix="0" xfId="0">
      <alignment horizontal="center" vertical="center" wrapText="1" readingOrder="2"/>
    </xf>
    <xf numFmtId="0" fontId="6" fillId="6" borderId="2" applyAlignment="1" applyProtection="1" pivotButton="0" quotePrefix="0" xfId="0">
      <alignment horizontal="center" vertical="center" readingOrder="2"/>
      <protection locked="0" hidden="0"/>
    </xf>
    <xf numFmtId="0" fontId="6" fillId="6" borderId="2" applyAlignment="1" applyProtection="1" pivotButton="0" quotePrefix="0" xfId="0">
      <alignment horizontal="right" vertical="center" wrapText="1" readingOrder="2"/>
      <protection locked="0" hidden="0"/>
    </xf>
    <xf numFmtId="166" fontId="6" fillId="6" borderId="2" applyAlignment="1" applyProtection="1" pivotButton="0" quotePrefix="0" xfId="0">
      <alignment horizontal="center" vertical="center" readingOrder="2"/>
      <protection locked="0" hidden="0"/>
    </xf>
    <xf numFmtId="166" fontId="7"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166" fontId="5" fillId="2" borderId="2" applyAlignment="1" pivotButton="0" quotePrefix="0" xfId="0">
      <alignment horizontal="center" vertical="center" readingOrder="2"/>
    </xf>
    <xf numFmtId="0" fontId="9" fillId="8" borderId="0" applyAlignment="1" pivotButton="0" quotePrefix="0" xfId="0">
      <alignment horizontal="right" vertical="center" indent="1" readingOrder="2"/>
    </xf>
    <xf numFmtId="0" fontId="15" fillId="0" borderId="2" applyAlignment="1" pivotButton="0" quotePrefix="0" xfId="0">
      <alignment horizontal="center" vertical="center" readingOrder="2"/>
    </xf>
    <xf numFmtId="164" fontId="7" fillId="0" borderId="2" applyAlignment="1" pivotButton="0" quotePrefix="0" xfId="0">
      <alignment horizontal="center" vertical="center" readingOrder="2"/>
    </xf>
    <xf numFmtId="164" fontId="6" fillId="6" borderId="2" applyAlignment="1" applyProtection="1" pivotButton="0" quotePrefix="0" xfId="0">
      <alignment horizontal="center" vertical="center" readingOrder="2"/>
      <protection locked="0" hidden="0"/>
    </xf>
    <xf numFmtId="0" fontId="15" fillId="5" borderId="2" applyAlignment="1" pivotButton="0" quotePrefix="0" xfId="0">
      <alignment horizontal="center" vertical="center" readingOrder="2"/>
    </xf>
    <xf numFmtId="164" fontId="7" fillId="5" borderId="2" applyAlignment="1" pivotButton="0" quotePrefix="0" xfId="0">
      <alignment horizontal="center" vertical="center" readingOrder="2"/>
    </xf>
    <xf numFmtId="0" fontId="7" fillId="5" borderId="2" applyAlignment="1" pivotButton="0" quotePrefix="0" xfId="0">
      <alignment horizontal="center" vertical="center" readingOrder="2"/>
    </xf>
    <xf numFmtId="166" fontId="7" fillId="5" borderId="2" applyAlignment="1" pivotButton="0" quotePrefix="0" xfId="0">
      <alignment horizontal="center" vertical="center" readingOrder="2"/>
    </xf>
    <xf numFmtId="166" fontId="3" fillId="5" borderId="2" applyAlignment="1" pivotButton="0" quotePrefix="0" xfId="0">
      <alignment horizontal="center" vertical="center" readingOrder="2"/>
    </xf>
    <xf numFmtId="0" fontId="8" fillId="0" borderId="2" applyAlignment="1" pivotButton="0" quotePrefix="0" xfId="0">
      <alignment horizontal="right" vertical="top" wrapText="1" indent="1" readingOrder="2"/>
    </xf>
    <xf numFmtId="1" fontId="7" fillId="0" borderId="2" applyAlignment="1" pivotButton="0" quotePrefix="0" xfId="0">
      <alignment horizontal="center" vertical="center" readingOrder="2"/>
    </xf>
    <xf numFmtId="166" fontId="16" fillId="0" borderId="2" applyAlignment="1" pivotButton="0" quotePrefix="0" xfId="0">
      <alignment horizontal="center" vertical="center" readingOrder="2"/>
    </xf>
    <xf numFmtId="166" fontId="17" fillId="0" borderId="2" applyAlignment="1" pivotButton="0" quotePrefix="0" xfId="0">
      <alignment horizontal="center" vertical="center" readingOrder="2"/>
    </xf>
    <xf numFmtId="169" fontId="7" fillId="0" borderId="2" applyAlignment="1" pivotButton="0" quotePrefix="0" xfId="0">
      <alignment horizontal="center" vertical="center" readingOrder="2"/>
    </xf>
    <xf numFmtId="0" fontId="13" fillId="11" borderId="2" applyAlignment="1" pivotButton="0" quotePrefix="0" xfId="0">
      <alignment horizontal="center" vertical="center" readingOrder="2"/>
    </xf>
    <xf numFmtId="0" fontId="0" fillId="2" borderId="2" pivotButton="0" quotePrefix="0" xfId="0"/>
    <xf numFmtId="1" fontId="3" fillId="0" borderId="2" applyAlignment="1" pivotButton="0" quotePrefix="0" xfId="0">
      <alignment horizontal="center" vertical="center" readingOrder="2"/>
    </xf>
    <xf numFmtId="165" fontId="7" fillId="0" borderId="2" applyAlignment="1" pivotButton="0" quotePrefix="0" xfId="0">
      <alignment horizontal="center" vertical="center" readingOrder="2"/>
    </xf>
    <xf numFmtId="1" fontId="3" fillId="5" borderId="2" applyAlignment="1" pivotButton="0" quotePrefix="0" xfId="0">
      <alignment horizontal="center" vertical="center" readingOrder="2"/>
    </xf>
    <xf numFmtId="165" fontId="7" fillId="5" borderId="2" applyAlignment="1" pivotButton="0" quotePrefix="0" xfId="0">
      <alignment horizontal="center" vertical="center" readingOrder="2"/>
    </xf>
    <xf numFmtId="0" fontId="11" fillId="9" borderId="2" applyAlignment="1" pivotButton="0" quotePrefix="0" xfId="0">
      <alignment horizontal="center" vertical="center" readingOrder="2"/>
    </xf>
    <xf numFmtId="1" fontId="6" fillId="6" borderId="2" applyAlignment="1" applyProtection="1" pivotButton="0" quotePrefix="0" xfId="0">
      <alignment horizontal="center" vertical="center" readingOrder="2"/>
      <protection locked="0" hidden="0"/>
    </xf>
    <xf numFmtId="0" fontId="12" fillId="0" borderId="2" applyAlignment="1" pivotButton="0" quotePrefix="0" xfId="0">
      <alignment horizontal="center" vertical="center" readingOrder="2"/>
    </xf>
    <xf numFmtId="0" fontId="4" fillId="10" borderId="2" applyAlignment="1" pivotButton="0" quotePrefix="0" xfId="0">
      <alignment horizontal="center" vertical="center" wrapText="1" readingOrder="2"/>
    </xf>
    <xf numFmtId="0" fontId="4" fillId="7" borderId="2" applyAlignment="1" pivotButton="0" quotePrefix="0" xfId="0">
      <alignment horizontal="center" vertical="center" wrapText="1" readingOrder="2"/>
    </xf>
    <xf numFmtId="0" fontId="7" fillId="0" borderId="2" applyAlignment="1" pivotButton="0" quotePrefix="0" xfId="0">
      <alignment horizontal="right" vertical="center" wrapText="1" readingOrder="2"/>
    </xf>
    <xf numFmtId="165" fontId="3" fillId="0" borderId="2" applyAlignment="1" pivotButton="0" quotePrefix="0" xfId="0">
      <alignment horizontal="center" vertical="center" readingOrder="2"/>
    </xf>
    <xf numFmtId="0" fontId="7" fillId="5" borderId="2" applyAlignment="1" pivotButton="0" quotePrefix="0" xfId="0">
      <alignment horizontal="right" vertical="center" wrapText="1" readingOrder="2"/>
    </xf>
    <xf numFmtId="165" fontId="3" fillId="5" borderId="2" applyAlignment="1" pivotButton="0" quotePrefix="0" xfId="0">
      <alignment horizontal="center" vertical="center" readingOrder="2"/>
    </xf>
    <xf numFmtId="0" fontId="5" fillId="4" borderId="2" applyAlignment="1" pivotButton="0" quotePrefix="0" xfId="0">
      <alignment horizontal="right" vertical="center" indent="1" readingOrder="2"/>
    </xf>
    <xf numFmtId="0" fontId="6" fillId="6" borderId="2" applyAlignment="1" applyProtection="1" pivotButton="0" quotePrefix="0" xfId="0">
      <alignment horizontal="right" vertical="top" wrapText="1" readingOrder="2"/>
      <protection locked="0" hidden="0"/>
    </xf>
    <xf numFmtId="166" fontId="14" fillId="12" borderId="2" applyAlignment="1" pivotButton="0" quotePrefix="0" xfId="0">
      <alignment horizontal="center" vertical="center" readingOrder="2"/>
    </xf>
    <xf numFmtId="165" fontId="10" fillId="0" borderId="2" applyAlignment="1" pivotButton="0" quotePrefix="0" xfId="0">
      <alignment horizontal="center" vertical="center" readingOrder="2"/>
    </xf>
    <xf numFmtId="166" fontId="10" fillId="5" borderId="2" applyAlignment="1" pivotButton="0" quotePrefix="0" xfId="0">
      <alignment horizontal="center" vertical="center" readingOrder="2"/>
    </xf>
    <xf numFmtId="165" fontId="10" fillId="5" borderId="2" applyAlignment="1" pivotButton="0" quotePrefix="0" xfId="0">
      <alignment horizontal="center" vertical="center" readingOrder="2"/>
    </xf>
    <xf numFmtId="0" fontId="4" fillId="13" borderId="1" applyAlignment="1" pivotButton="0" quotePrefix="0" xfId="0">
      <alignment horizontal="center" vertical="center" readingOrder="2"/>
    </xf>
  </cellXfs>
  <cellStyles count="1">
    <cellStyle name="Normal" xfId="0" builtinId="0" hidden="0"/>
  </cellStyles>
  <dxfs count="6">
    <dxf>
      <font>
        <b val="1"/>
        <color rgb="FF2E7D32"/>
      </font>
      <fill>
        <patternFill patternType="solid">
          <fgColor rgb="FFE8F5E9"/>
          <bgColor rgb="FFE8F5E9"/>
        </patternFill>
      </fill>
    </dxf>
    <dxf>
      <font>
        <b val="1"/>
        <color rgb="FF9A6B00"/>
      </font>
      <fill>
        <patternFill patternType="solid">
          <fgColor rgb="FFFFF3CD"/>
          <bgColor rgb="FFFFF3CD"/>
        </patternFill>
      </fill>
    </dxf>
    <dxf>
      <font>
        <b val="1"/>
        <color rgb="FFC62828"/>
      </font>
      <fill>
        <patternFill patternType="solid">
          <fgColor rgb="FFFDECEA"/>
          <bgColor rgb="FFFDECEA"/>
        </patternFill>
      </fill>
    </dxf>
    <dxf>
      <font>
        <b val="1"/>
        <color rgb="FF2C5282"/>
      </font>
      <fill>
        <patternFill patternType="solid">
          <fgColor rgb="FFE3F2FD"/>
          <bgColor rgb="FFE3F2FD"/>
        </patternFill>
      </fill>
    </dxf>
    <dxf>
      <font>
        <color rgb="FFFFFFFF"/>
      </font>
    </dxf>
    <dxf>
      <font>
        <color rgb="FFA0AAB4"/>
      </font>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الاسترداد لكل مستخلص والرصيد المتبقي</a:t>
            </a:r>
          </a:p>
        </rich>
      </tx>
    </title>
    <plotArea>
      <barChart>
        <barDir val="col"/>
        <grouping val="clustered"/>
        <ser>
          <idx val="0"/>
          <order val="0"/>
          <tx>
            <strRef>
              <f>'الدفعات المقدمة'!I24</f>
            </strRef>
          </tx>
          <spPr>
            <a:ln>
              <a:prstDash val="solid"/>
            </a:ln>
          </spPr>
          <cat>
            <numRef>
              <f>'الدفعات المقدمة'!$B$25:$B$27</f>
            </numRef>
          </cat>
          <val>
            <numRef>
              <f>'الدفعات المقدمة'!$I$25:$I$27</f>
            </numRef>
          </val>
        </ser>
        <gapWidth val="150"/>
        <axId val="10"/>
        <axId val="100"/>
      </barChart>
      <lineChart>
        <grouping val="standard"/>
        <ser>
          <idx val="1"/>
          <order val="1"/>
          <tx>
            <strRef>
              <f>'الدفعات المقدمة'!K24</f>
            </strRef>
          </tx>
          <spPr>
            <a:ln>
              <a:prstDash val="solid"/>
            </a:ln>
          </spPr>
          <marker>
            <symbol val="none"/>
            <spPr>
              <a:ln>
                <a:prstDash val="solid"/>
              </a:ln>
            </spPr>
          </marker>
          <val>
            <numRef>
              <f>'الدفعات المقدمة'!$K$25:$K$27</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الاسترداد</a:t>
                </a:r>
              </a:p>
            </rich>
          </tx>
        </title>
        <majorTickMark val="none"/>
        <minorTickMark val="none"/>
        <crossAx val="10"/>
      </valAx>
      <valAx>
        <axId val="200"/>
        <scaling>
          <orientation val="minMax"/>
        </scaling>
        <delete val="0"/>
        <axPos val="l"/>
        <majorGridlines/>
        <majorTickMark val="none"/>
        <minorTickMark val="none"/>
        <crossAx val="10"/>
        <crosses val="max"/>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ضمان الأعمال التراكمي المحتجز</a:t>
            </a:r>
          </a:p>
        </rich>
      </tx>
    </title>
    <plotArea>
      <barChart>
        <barDir val="col"/>
        <grouping val="clustered"/>
        <ser>
          <idx val="0"/>
          <order val="0"/>
          <tx>
            <strRef>
              <f>'ضمان الأعمال'!J15</f>
            </strRef>
          </tx>
          <spPr>
            <a:ln>
              <a:prstDash val="solid"/>
            </a:ln>
          </spPr>
          <cat>
            <numRef>
              <f>'ضمان الأعمال'!$B$16:$B$18</f>
            </numRef>
          </cat>
          <val>
            <numRef>
              <f>'ضمان الأعمال'!$J$16:$J$18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القالب</author>
  </authors>
  <commentList>
    <comment ref="L11" authorId="0" shapeId="0">
      <text>
        <t>محسوب من تاريخ الانتهاء المخطط + مدة فترة الضمان</t>
      </text>
    </comment>
  </commentList>
</comments>
</file>

<file path=xl/comments/comment2.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3.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comments/comment4.xml><?xml version="1.0" encoding="utf-8"?>
<comments xmlns="http://schemas.openxmlformats.org/spreadsheetml/2006/main">
  <authors>
    <author>القالب</author>
  </authors>
  <commentList>
    <comment ref="O6" authorId="0" shapeId="0">
      <text>
        <t>نسبة الإنجاز الفعلية = القيمة المستحقة ÷ (الكمية التعاقدية × سعر الوحدة).
تظهر باللون الأصفر إذا اكتملت الكمية وما زالت هناك نواقص.</t>
      </text>
    </comment>
    <comment ref="G7" authorId="0" shapeId="0">
      <text>
        <t>أدخل الكمية المنفذة خلال فترة هذا المستخلص فقط.
الكمية السابقة تُسحب تلقائياً من المستخلص السابق.</t>
      </text>
    </comment>
    <comment ref="J7" authorId="0" shapeId="0">
      <text>
        <t>نسبة الإنجاز/الاستحقاق للبند (اختياري):
مثال: تم تركيب 1000 شباك من 1000 لكن تنقصها الإكسسوارات.
• اكتب الكمية الحالية كاملة في عمود (حالي).
• واكتب هنا 70% ← تُحتسب القيمة 70% فقط.
• النسبة تنتقل تلقائياً للمستخلصات التالية.
• عند توريد الإكسسوارات اكتب 100% في المستخلص الجديد (بدون كمية) فيُصرف الفرق 30% تلقائياً.</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22</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13</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hyperlink" Target="https://accopro.net/" TargetMode="External" Id="rId2" /></Relationships>
</file>

<file path=xl/worksheets/_rels/sheet2.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hyperlink" Target="https://accopro.net/" TargetMode="External" Id="rId2" /></Relationships>
</file>

<file path=xl/worksheets/_rels/sheet3.xml.rels><Relationships xmlns="http://schemas.openxmlformats.org/package/2006/relationships"><Relationship Type="http://schemas.openxmlformats.org/officeDocument/2006/relationships/hyperlink" Target="https://accopro.net/" TargetMode="External" Id="rId1" /></Relationships>
</file>

<file path=xl/worksheets/_rels/sheet4.xml.rels><Relationships xmlns="http://schemas.openxmlformats.org/package/2006/relationships"><Relationship Type="http://schemas.openxmlformats.org/officeDocument/2006/relationships/hyperlink" Target="https://accopro.net/" TargetMode="External" Id="rId1" /></Relationships>
</file>

<file path=xl/worksheets/_rels/sheet5.xml.rels><Relationships xmlns="http://schemas.openxmlformats.org/package/2006/relationships"><Relationship Type="http://schemas.openxmlformats.org/officeDocument/2006/relationships/hyperlink" Target="https://accopro.net/" TargetMode="External" Id="rId1" /></Relationships>
</file>

<file path=xl/worksheets/_rels/sheet6.xml.rels><Relationships xmlns="http://schemas.openxmlformats.org/package/2006/relationships"><Relationship Type="http://schemas.openxmlformats.org/officeDocument/2006/relationships/hyperlink" Target="https://accopro.net/" TargetMode="External" Id="rId1" /></Relationships>
</file>

<file path=xl/worksheets/_rels/sheet7.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drawing" Target="/xl/drawings/drawing1.xml" Id="rId2" /></Relationships>
</file>

<file path=xl/worksheets/_rels/sheet8.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drawing" Target="/xl/drawings/drawing2.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1F3A5F"/>
    <outlinePr summaryBelow="1" summaryRight="1"/>
    <pageSetUpPr fitToPage="1"/>
  </sheetPr>
  <dimension ref="B1:V53"/>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38" customHeight="1">
      <c r="B1" s="1" t="inlineStr">
        <is>
          <t>📊 لوحة التحكم — متابعة مستخلصات المشروع</t>
        </is>
      </c>
      <c r="C1" s="1" t="n"/>
      <c r="D1" s="1" t="n"/>
      <c r="E1" s="1" t="n"/>
      <c r="F1" s="1" t="n"/>
      <c r="G1" s="1" t="n"/>
      <c r="H1" s="1" t="n"/>
      <c r="I1" s="1" t="n"/>
      <c r="J1" s="1" t="n"/>
      <c r="K1" s="1" t="n"/>
      <c r="L1" s="1" t="n"/>
      <c r="M1" s="1" t="n"/>
    </row>
    <row r="2" ht="20" customHeight="1">
      <c r="B2" s="2" t="inlineStr">
        <is>
          <t>🎁 نسخة مجانية محدودة (3 مستخلصات • 10 بنود)   —   للنسخة الكاملة (25 مستخلص • 100 بند • بدون قيود) اضغط هنا ⬅ accopro.net</t>
        </is>
      </c>
      <c r="C2" s="2" t="n"/>
      <c r="D2" s="2" t="n"/>
      <c r="E2" s="2" t="n"/>
      <c r="F2" s="2" t="n"/>
      <c r="G2" s="2" t="n"/>
      <c r="H2" s="2" t="n"/>
      <c r="I2" s="2" t="n"/>
      <c r="J2" s="2" t="n"/>
      <c r="K2" s="2" t="n"/>
      <c r="L2" s="2" t="n"/>
      <c r="M2" s="2" t="n"/>
    </row>
    <row r="3" ht="24" customHeight="1">
      <c r="B3" s="3" t="inlineStr">
        <is>
          <t>⚙ الإعدادات</t>
        </is>
      </c>
      <c r="C3" s="3" t="n"/>
      <c r="D3" s="3" t="inlineStr">
        <is>
          <t>📋 جدول الكميات</t>
        </is>
      </c>
      <c r="E3" s="3" t="n"/>
      <c r="F3" s="3" t="inlineStr">
        <is>
          <t>🗂 سجل المستخلصات</t>
        </is>
      </c>
      <c r="G3" s="3" t="n"/>
      <c r="H3" s="3" t="inlineStr">
        <is>
          <t>💵 الدفعات المقدمة</t>
        </is>
      </c>
      <c r="I3" s="3" t="n"/>
      <c r="J3" s="3" t="inlineStr">
        <is>
          <t>🔒 ضمان الأعمال</t>
        </is>
      </c>
      <c r="K3" s="3" t="n"/>
      <c r="L3" s="4" t="inlineStr">
        <is>
          <t>📄 مستخلص 1</t>
        </is>
      </c>
      <c r="M3" s="4" t="n"/>
    </row>
    <row r="4">
      <c r="P4" s="5" t="inlineStr">
        <is>
          <t>بيانات الرسم البياني (مساعدة)</t>
        </is>
      </c>
    </row>
    <row r="5" ht="20" customHeight="1">
      <c r="B5" s="6" t="inlineStr">
        <is>
          <t>قيمة العقد (بدون ضريبة)</t>
        </is>
      </c>
      <c r="C5" s="6" t="n"/>
      <c r="D5" s="6" t="n"/>
      <c r="E5" s="7" t="inlineStr">
        <is>
          <t>الأعمال المنفذة تراكمياً</t>
        </is>
      </c>
      <c r="F5" s="7" t="n"/>
      <c r="G5" s="7" t="n"/>
      <c r="H5" s="8" t="inlineStr">
        <is>
          <t>نسبة الإنجاز المالي</t>
        </is>
      </c>
      <c r="I5" s="8" t="n"/>
      <c r="J5" s="8" t="n"/>
      <c r="K5" s="9" t="inlineStr">
        <is>
          <t>نسبة المدة المنقضية</t>
        </is>
      </c>
      <c r="L5" s="9" t="n"/>
      <c r="M5" s="9" t="n"/>
      <c r="P5" s="10" t="inlineStr">
        <is>
          <t>المستخلص</t>
        </is>
      </c>
      <c r="Q5" s="10" t="inlineStr">
        <is>
          <t>الأعمال الحالية</t>
        </is>
      </c>
      <c r="R5" s="10" t="inlineStr">
        <is>
          <t>الأعمال التراكمية</t>
        </is>
      </c>
      <c r="S5" s="10" t="inlineStr">
        <is>
          <t>المحصّل</t>
        </is>
      </c>
      <c r="U5" s="10" t="inlineStr">
        <is>
          <t>الحالة</t>
        </is>
      </c>
      <c r="V5" s="10" t="inlineStr">
        <is>
          <t>القيمة</t>
        </is>
      </c>
    </row>
    <row r="6" ht="30" customHeight="1">
      <c r="B6" s="11">
        <f>'الإعدادات'!$C$19</f>
        <v>278913</v>
      </c>
      <c r="C6" s="11" t="n"/>
      <c r="D6" s="11" t="n"/>
      <c r="E6" s="12">
        <f>'سجل المستخلصات'!G9</f>
        <v>212382.5</v>
      </c>
      <c r="F6" s="12" t="n"/>
      <c r="G6" s="12" t="n"/>
      <c r="H6" s="13">
        <f>IF('الإعدادات'!$C$19=0,0,'سجل المستخلصات'!G9/'الإعدادات'!$C$19)</f>
        <v>0.7614650446555019</v>
      </c>
      <c r="I6" s="13" t="n"/>
      <c r="J6" s="13" t="n"/>
      <c r="K6" s="14">
        <f>IF(OR('الإعدادات'!C13="",'الإعدادات'!C14=""),0,MAX(0,MIN(1,(TODAY()-'الإعدادات'!C13)/'الإعدادات'!C14)))</f>
        <v>0.5808219178082191</v>
      </c>
      <c r="L6" s="14" t="n"/>
      <c r="M6" s="14" t="n"/>
      <c r="P6" s="15" t="str">
        <f>"م"&amp;1</f>
        <v>م1</v>
      </c>
      <c r="Q6" s="16">
        <f>'سجل المستخلصات'!G6</f>
        <v>95284</v>
      </c>
      <c r="R6" s="16">
        <f>'سجل المستخلصات'!H6</f>
        <v>95284</v>
      </c>
      <c r="S6" s="16">
        <f>'سجل المستخلصات'!P6</f>
        <v>90519.8</v>
      </c>
      <c r="U6" s="15" t="inlineStr">
        <is>
          <t>المحصّل</t>
        </is>
      </c>
      <c r="V6" s="16">
        <f>'سجل المستخلصات'!P9</f>
        <v>138684.55</v>
      </c>
    </row>
    <row r="7">
      <c r="B7" s="17" t="str">
        <f>"شاملة الضريبة: "&amp;TEXT('الإعدادات'!C20,"#,##0")</f>
        <v>شاملة الضريبة: 320,750</v>
      </c>
      <c r="C7" s="17" t="n"/>
      <c r="D7" s="17" t="n"/>
      <c r="E7" s="17" t="str">
        <f>"المتبقي من العقد: "&amp;TEXT('الإعدادات'!$C$19-'سجل المستخلصات'!G9,"#,##0")</f>
        <v>المتبقي من العقد: 66,530</v>
      </c>
      <c r="F7" s="17" t="n"/>
      <c r="G7" s="17" t="n"/>
      <c r="H7" s="17" t="inlineStr">
        <is>
          <t>قيمة المنفذ ÷ قيمة العقد</t>
        </is>
      </c>
      <c r="I7" s="17" t="n"/>
      <c r="J7" s="17" t="n"/>
      <c r="K7" s="17" t="str">
        <f>IF('الإعدادات'!C15="","","تاريخ الانتهاء: "&amp;TEXT('الإعدادات'!C15,"yyyy/mm/dd"))</f>
        <v>تاريخ الانتهاء: 2027/03/01</v>
      </c>
      <c r="L7" s="17" t="n"/>
      <c r="M7" s="17" t="n"/>
      <c r="P7" s="15" t="str">
        <f>"م"&amp;2</f>
        <v>م2</v>
      </c>
      <c r="Q7" s="16">
        <f>'سجل المستخلصات'!G7</f>
        <v>86078.5</v>
      </c>
      <c r="R7" s="16">
        <f>'سجل المستخلصات'!H7</f>
        <v>181362.5</v>
      </c>
      <c r="S7" s="16">
        <f>'سجل المستخلصات'!P7</f>
        <v>48164.75</v>
      </c>
      <c r="U7" s="15" t="inlineStr">
        <is>
          <t>مستحق غير محصل</t>
        </is>
      </c>
      <c r="V7" s="16">
        <f>MAX(0,'سجل المستخلصات'!R9)</f>
        <v>61578.83</v>
      </c>
    </row>
    <row r="8">
      <c r="P8" s="15" t="str">
        <f>"م"&amp;3</f>
        <v>م3</v>
      </c>
      <c r="Q8" s="16">
        <f>'سجل المستخلصات'!G8</f>
        <v>31020</v>
      </c>
      <c r="R8" s="16">
        <f>'سجل المستخلصات'!H8</f>
        <v>212382.5</v>
      </c>
      <c r="S8" s="16">
        <f>'سجل المستخلصات'!P8</f>
        <v>0</v>
      </c>
      <c r="U8" s="15" t="inlineStr">
        <is>
          <t>ضمان محتجز</t>
        </is>
      </c>
      <c r="V8" s="16">
        <f>'ضمان الأعمال'!E11</f>
        <v>21238.25</v>
      </c>
    </row>
    <row r="9" ht="20" customHeight="1">
      <c r="B9" s="6" t="inlineStr">
        <is>
          <t>صافي المستحق التراكمي</t>
        </is>
      </c>
      <c r="C9" s="6" t="n"/>
      <c r="D9" s="6" t="n"/>
      <c r="E9" s="8" t="inlineStr">
        <is>
          <t>إجمالي المحصّل</t>
        </is>
      </c>
      <c r="F9" s="8" t="n"/>
      <c r="G9" s="8" t="n"/>
      <c r="H9" s="18" t="inlineStr">
        <is>
          <t>المتبقي لدى المالك (غير محصل)</t>
        </is>
      </c>
      <c r="I9" s="18" t="n"/>
      <c r="J9" s="18" t="n"/>
      <c r="K9" s="9" t="inlineStr">
        <is>
          <t>آخر مستخلص صادر</t>
        </is>
      </c>
      <c r="L9" s="9" t="n"/>
      <c r="M9" s="9" t="n"/>
      <c r="U9" s="15" t="inlineStr">
        <is>
          <t>متبقي من العقد (لم ينفذ)</t>
        </is>
      </c>
      <c r="V9" s="16">
        <f>MAX(0,'الإعدادات'!C20-'سجل المستخلصات'!K9)</f>
        <v>76510.06999999995</v>
      </c>
    </row>
    <row r="10" ht="30" customHeight="1">
      <c r="B10" s="11">
        <f>'سجل المستخلصات'!O9</f>
        <v>200263.38</v>
      </c>
      <c r="C10" s="11" t="n"/>
      <c r="D10" s="11" t="n"/>
      <c r="E10" s="19">
        <f>'سجل المستخلصات'!P9</f>
        <v>138684.55</v>
      </c>
      <c r="F10" s="19" t="n"/>
      <c r="G10" s="19" t="n"/>
      <c r="H10" s="20">
        <f>'سجل المستخلصات'!R9</f>
        <v>61578.83</v>
      </c>
      <c r="I10" s="20" t="n"/>
      <c r="J10" s="20" t="n"/>
      <c r="K10" s="21">
        <f>SUMPRODUCT(MAX(('سجل المستخلصات'!C6:C8&lt;&gt;"")*'سجل المستخلصات'!B6:B8))</f>
        <v>3</v>
      </c>
      <c r="L10" s="21" t="n"/>
      <c r="M10" s="21" t="n"/>
    </row>
    <row r="11">
      <c r="B11" s="17" t="inlineStr">
        <is>
          <t>بعد الضريبة والخصومات</t>
        </is>
      </c>
      <c r="C11" s="17" t="n"/>
      <c r="D11" s="17" t="n"/>
      <c r="E11" s="17" t="str">
        <f>TEXT(IF('سجل المستخلصات'!O9=0,0,'سجل المستخلصات'!P9/'سجل المستخلصات'!O9),"0%")&amp;" من المستحق"</f>
        <v>69% من المستحق</v>
      </c>
      <c r="F11" s="17" t="n"/>
      <c r="G11" s="17" t="n"/>
      <c r="H11" s="17" t="inlineStr">
        <is>
          <t>مستحقات متأخرة</t>
        </is>
      </c>
      <c r="I11" s="17" t="n"/>
      <c r="J11" s="17" t="n"/>
      <c r="K11" s="17" t="str">
        <f>IF($K$10=0,"","صافي: "&amp;TEXT(INDEX('سجل المستخلصات'!O6:O8,$K$10),"#,##0")&amp;"  |  "&amp;TEXT(INDEX('سجل المستخلصات'!C6:C8,$K$10),"yyyy/mm/dd"))</f>
        <v>صافي: 29,469  |  2026/09/10</v>
      </c>
      <c r="L11" s="17" t="n"/>
      <c r="M11" s="17" t="n"/>
    </row>
    <row r="13" ht="20" customHeight="1">
      <c r="B13" s="22" t="inlineStr">
        <is>
          <t>الدفعات المقدمة المصروفة</t>
        </is>
      </c>
      <c r="C13" s="22" t="n"/>
      <c r="D13" s="22" t="n"/>
      <c r="E13" s="22" t="inlineStr">
        <is>
          <t>رصيد الدفعة المقدمة المتبقي</t>
        </is>
      </c>
      <c r="F13" s="22" t="n"/>
      <c r="G13" s="22" t="n"/>
      <c r="H13" s="18" t="inlineStr">
        <is>
          <t>ضمان الأعمال المحتجز</t>
        </is>
      </c>
      <c r="I13" s="18" t="n"/>
      <c r="J13" s="18" t="n"/>
      <c r="K13" s="9" t="inlineStr">
        <is>
          <t>تنبيهات الضمانات البنكية</t>
        </is>
      </c>
      <c r="L13" s="9" t="n"/>
      <c r="M13" s="9" t="n"/>
    </row>
    <row r="14" ht="30" customHeight="1">
      <c r="B14" s="23">
        <f>'الدفعات المقدمة'!E8</f>
        <v>28000</v>
      </c>
      <c r="C14" s="23" t="n"/>
      <c r="D14" s="23" t="n"/>
      <c r="E14" s="23">
        <f>'الدفعات المقدمة'!E11</f>
        <v>6761.75</v>
      </c>
      <c r="F14" s="23" t="n"/>
      <c r="G14" s="23" t="n"/>
      <c r="H14" s="20">
        <f>'ضمان الأعمال'!E11</f>
        <v>21238.25</v>
      </c>
      <c r="I14" s="20" t="n"/>
      <c r="J14" s="20" t="n"/>
      <c r="K14" s="24">
        <f>COUNTIF('الدفعات المقدمة'!I15:I20,"&lt;=30")+COUNTIF('ضمان الأعمال'!K33:K38,"&lt;=30")</f>
        <v>1</v>
      </c>
      <c r="L14" s="24" t="n"/>
      <c r="M14" s="24" t="n"/>
    </row>
    <row r="15">
      <c r="B15" s="17" t="str">
        <f>"المسترد: "&amp;TEXT('الدفعات المقدمة'!E10,"#,##0")</f>
        <v>المسترد: 21,238</v>
      </c>
      <c r="C15" s="17" t="n"/>
      <c r="D15" s="17" t="n"/>
      <c r="E15" s="17" t="str">
        <f>TEXT('الدفعات المقدمة'!L28,"0%")&amp;" تم استرداده"</f>
        <v>76% تم استرداده</v>
      </c>
      <c r="F15" s="17" t="n"/>
      <c r="G15" s="17" t="n"/>
      <c r="H15" s="17" t="str">
        <f>"المفرج عنه: "&amp;TEXT('ضمان الأعمال'!E10,"#,##0")</f>
        <v>المفرج عنه: 0,</v>
      </c>
      <c r="I15" s="17" t="n"/>
      <c r="J15" s="17" t="n"/>
      <c r="K15" s="17" t="inlineStr">
        <is>
          <t>ضمانات منتهية أو تنتهي خلال 30 يوماً</t>
        </is>
      </c>
      <c r="L15" s="17" t="n"/>
      <c r="M15" s="17" t="n"/>
    </row>
    <row r="17" ht="22" customHeight="1">
      <c r="B17" s="25" t="inlineStr">
        <is>
          <t>الملخص المالي التراكمي</t>
        </is>
      </c>
      <c r="C17" s="25" t="n"/>
      <c r="D17" s="25" t="n"/>
      <c r="E17" s="25" t="n"/>
      <c r="F17" s="25" t="n"/>
      <c r="G17" s="25" t="n"/>
      <c r="H17" s="25" t="inlineStr">
        <is>
          <t>حالة تنفيذ البنود</t>
        </is>
      </c>
      <c r="I17" s="25" t="n"/>
      <c r="J17" s="25" t="n"/>
      <c r="K17" s="25" t="n"/>
      <c r="L17" s="25" t="n"/>
      <c r="M17" s="25" t="n"/>
    </row>
    <row r="18">
      <c r="B18" s="26" t="inlineStr">
        <is>
          <t>إجمالي قيمة الأعمال المنفذة</t>
        </is>
      </c>
      <c r="C18" s="26" t="n"/>
      <c r="D18" s="26" t="n"/>
      <c r="E18" s="27">
        <f>'سجل المستخلصات'!G9</f>
        <v>212382.5</v>
      </c>
      <c r="F18" s="27" t="n"/>
      <c r="G18" s="28">
        <f>IF($E$18=0,0,E18/$E$18)</f>
        <v>1</v>
      </c>
      <c r="H18" s="26" t="inlineStr">
        <is>
          <t>إجمالي عدد البنود</t>
        </is>
      </c>
      <c r="I18" s="26" t="n"/>
      <c r="J18" s="29">
        <f>SUMPRODUCT(('جدول الكميات'!C6:C15&lt;&gt;"")*1)</f>
        <v>10</v>
      </c>
      <c r="K18" s="30" t="n"/>
      <c r="L18" s="30" t="n"/>
      <c r="M18" s="30" t="n"/>
    </row>
    <row r="19">
      <c r="B19" s="26" t="inlineStr">
        <is>
          <t>ضريبة القيمة المضافة</t>
        </is>
      </c>
      <c r="C19" s="26" t="n"/>
      <c r="D19" s="26" t="n"/>
      <c r="E19" s="27">
        <f>'سجل المستخلصات'!J9</f>
        <v>31857.38</v>
      </c>
      <c r="F19" s="27" t="n"/>
      <c r="G19" s="28">
        <f>IF($E$18=0,0,E19/$E$18)</f>
        <v>0.15000002354242936</v>
      </c>
      <c r="H19" s="26" t="inlineStr">
        <is>
          <t>✔ بنود مكتملة 100%</t>
        </is>
      </c>
      <c r="I19" s="26" t="n"/>
      <c r="J19" s="31">
        <f>COUNTIF('جدول الكميات'!M6:M15,"✔*")</f>
        <v>4</v>
      </c>
      <c r="K19" s="28">
        <f>IF($J$18=0,0,J19/$J$18)</f>
        <v>0.4</v>
      </c>
      <c r="L19" s="30" t="n"/>
      <c r="M19" s="30" t="n"/>
    </row>
    <row r="20">
      <c r="B20" s="32" t="inlineStr">
        <is>
          <t>الإجمالي شامل الضريبة</t>
        </is>
      </c>
      <c r="C20" s="32" t="n"/>
      <c r="D20" s="32" t="n"/>
      <c r="E20" s="33">
        <f>'سجل المستخلصات'!K9</f>
        <v>244239.88</v>
      </c>
      <c r="F20" s="33" t="n"/>
      <c r="G20" s="34">
        <f>IF($E$18=0,0,E20/$E$18)</f>
        <v>1.1500000235424295</v>
      </c>
      <c r="H20" s="26" t="inlineStr">
        <is>
          <t>⚠ مركبة بالكامل وبها نواقص</t>
        </is>
      </c>
      <c r="I20" s="26" t="n"/>
      <c r="J20" s="35">
        <f>COUNTIF('جدول الكميات'!M6:M15,"⚠*")</f>
        <v>0</v>
      </c>
      <c r="K20" s="28">
        <f>IF($J$18=0,0,J20/$J$18)</f>
        <v>0</v>
      </c>
      <c r="L20" s="30" t="n"/>
      <c r="M20" s="30" t="n"/>
    </row>
    <row r="21">
      <c r="B21" s="26" t="inlineStr">
        <is>
          <t>(-) استرداد الدفعة المقدمة</t>
        </is>
      </c>
      <c r="C21" s="26" t="n"/>
      <c r="D21" s="26" t="n"/>
      <c r="E21" s="27">
        <f>'سجل المستخلصات'!L9</f>
        <v>21238.25</v>
      </c>
      <c r="F21" s="27" t="n"/>
      <c r="G21" s="28">
        <f>IF($E$18=0,0,E21/$E$18)</f>
        <v>0.1</v>
      </c>
      <c r="H21" s="26" t="inlineStr">
        <is>
          <t>◔ بنود جارية</t>
        </is>
      </c>
      <c r="I21" s="26" t="n"/>
      <c r="J21" s="36">
        <f>COUNTIF('جدول الكميات'!M6:M15,"◔*")</f>
        <v>6</v>
      </c>
      <c r="K21" s="28">
        <f>IF($J$18=0,0,J21/$J$18)</f>
        <v>0.6</v>
      </c>
      <c r="L21" s="30" t="n"/>
      <c r="M21" s="30" t="n"/>
    </row>
    <row r="22">
      <c r="B22" s="26" t="inlineStr">
        <is>
          <t>(-) ضمان الأعمال</t>
        </is>
      </c>
      <c r="C22" s="26" t="n"/>
      <c r="D22" s="26" t="n"/>
      <c r="E22" s="27">
        <f>'سجل المستخلصات'!M9</f>
        <v>21238.25</v>
      </c>
      <c r="F22" s="27" t="n"/>
      <c r="G22" s="28">
        <f>IF($E$18=0,0,E22/$E$18)</f>
        <v>0.1</v>
      </c>
      <c r="H22" s="26" t="inlineStr">
        <is>
          <t>○ بنود لم تبدأ</t>
        </is>
      </c>
      <c r="I22" s="26" t="n"/>
      <c r="J22" s="37">
        <f>COUNTIF('جدول الكميات'!M6:M15,"○*")</f>
        <v>0</v>
      </c>
      <c r="K22" s="28">
        <f>IF($J$18=0,0,J22/$J$18)</f>
        <v>0</v>
      </c>
      <c r="L22" s="30" t="n"/>
      <c r="M22" s="30" t="n"/>
    </row>
    <row r="23">
      <c r="B23" s="26" t="inlineStr">
        <is>
          <t>(-) خصومات أخرى</t>
        </is>
      </c>
      <c r="C23" s="26" t="n"/>
      <c r="D23" s="26" t="n"/>
      <c r="E23" s="27">
        <f>'سجل المستخلصات'!N9</f>
        <v>1500</v>
      </c>
      <c r="F23" s="27" t="n"/>
      <c r="G23" s="28">
        <f>IF($E$18=0,0,E23/$E$18)</f>
        <v>0.00706272880298518</v>
      </c>
      <c r="H23" s="26" t="inlineStr">
        <is>
          <t>✖ بنود تجاوزت الكمية التعاقدية</t>
        </is>
      </c>
      <c r="I23" s="26" t="n"/>
      <c r="J23" s="38">
        <f>SUMPRODUCT(('جدول الكميات'!E6:E15&gt;0)*('جدول الكميات'!I6:I15&gt;'جدول الكميات'!E6:E15))</f>
        <v>0</v>
      </c>
      <c r="K23" s="28">
        <f>IF($J$18=0,0,J23/$J$18)</f>
        <v>0</v>
      </c>
      <c r="L23" s="30" t="n"/>
      <c r="M23" s="30" t="n"/>
    </row>
    <row r="24">
      <c r="B24" s="32" t="inlineStr">
        <is>
          <t>صافي المستحق للمقاول</t>
        </is>
      </c>
      <c r="C24" s="32" t="n"/>
      <c r="D24" s="32" t="n"/>
      <c r="E24" s="33">
        <f>'سجل المستخلصات'!O9</f>
        <v>200263.38</v>
      </c>
      <c r="F24" s="33" t="n"/>
      <c r="G24" s="34">
        <f>IF($E$18=0,0,E24/$E$18)</f>
        <v>0.9429372947394442</v>
      </c>
      <c r="H24" s="26" t="inlineStr">
        <is>
          <t>متوسط نسبة الإنجاز الفعلية للبنود</t>
        </is>
      </c>
      <c r="I24" s="26" t="n"/>
      <c r="J24" s="39">
        <f>IF(J18=0,0,SUMPRODUCT(('جدول الكميات'!C6:C15&lt;&gt;"")*('جدول الكميات'!L6:L15))/J18)</f>
        <v>0.837962962962963</v>
      </c>
      <c r="K24" s="30" t="n"/>
      <c r="L24" s="30" t="n"/>
      <c r="M24" s="30" t="n"/>
    </row>
    <row r="25">
      <c r="B25" s="26" t="inlineStr">
        <is>
          <t>المحصّل</t>
        </is>
      </c>
      <c r="C25" s="26" t="n"/>
      <c r="D25" s="26" t="n"/>
      <c r="E25" s="27">
        <f>'سجل المستخلصات'!P9</f>
        <v>138684.55</v>
      </c>
      <c r="F25" s="27" t="n"/>
      <c r="G25" s="28">
        <f>IF($E$18=0,0,E25/$E$18)</f>
        <v>0.6529942438760256</v>
      </c>
      <c r="H25" s="26" t="inlineStr">
        <is>
          <t>الأداء (الإنجاز المالي مقابل المدة)</t>
        </is>
      </c>
      <c r="I25" s="26" t="n"/>
      <c r="J25" s="40">
        <f>H6-K6</f>
        <v>0.1806431268472828</v>
      </c>
      <c r="K25" s="40" t="n"/>
      <c r="L25" s="41" t="str">
        <f>IF(K6=0,"-",IF(H6&gt;=K6,"✔ متقدم / حسب الجدول",IF(K6-H6&lt;=0.1,"⚠ تأخر بسيط","✖ متأخر")))</f>
        <v>✔ متقدم / حسب الجدول</v>
      </c>
      <c r="M25" s="41" t="n"/>
    </row>
    <row r="26">
      <c r="B26" s="32" t="inlineStr">
        <is>
          <t>المتبقي غير المحصل</t>
        </is>
      </c>
      <c r="C26" s="32" t="n"/>
      <c r="D26" s="32" t="n"/>
      <c r="E26" s="33">
        <f>'سجل المستخلصات'!R9</f>
        <v>61578.83</v>
      </c>
      <c r="F26" s="33" t="n"/>
      <c r="G26" s="34">
        <f>IF($E$18=0,0,E26/$E$18)</f>
        <v>0.2899430508634186</v>
      </c>
    </row>
    <row r="28" ht="22" customHeight="1">
      <c r="B28" s="25" t="inlineStr">
        <is>
          <t>التقدم حسب أقسام الأعمال</t>
        </is>
      </c>
      <c r="C28" s="25" t="n"/>
      <c r="D28" s="25" t="n"/>
      <c r="E28" s="25" t="n"/>
      <c r="F28" s="25" t="n"/>
      <c r="G28" s="25" t="n"/>
      <c r="H28" s="25" t="n"/>
      <c r="I28" s="25" t="n"/>
      <c r="J28" s="25" t="n"/>
      <c r="K28" s="25" t="n"/>
      <c r="L28" s="25" t="n"/>
      <c r="M28" s="25" t="n"/>
    </row>
    <row r="29" ht="26" customHeight="1">
      <c r="B29" s="42" t="inlineStr">
        <is>
          <t>القسم</t>
        </is>
      </c>
      <c r="C29" s="43" t="n"/>
      <c r="D29" s="44" t="n"/>
      <c r="E29" s="42" t="inlineStr">
        <is>
          <t>قيمة العقد</t>
        </is>
      </c>
      <c r="F29" s="44" t="n"/>
      <c r="G29" s="42" t="inlineStr">
        <is>
          <t>الوزن النسبي</t>
        </is>
      </c>
      <c r="H29" s="42" t="inlineStr">
        <is>
          <t>القيمة المنفذة</t>
        </is>
      </c>
      <c r="I29" s="44" t="n"/>
      <c r="J29" s="42" t="inlineStr">
        <is>
          <t>المتبقي</t>
        </is>
      </c>
      <c r="K29" s="44" t="n"/>
      <c r="L29" s="42" t="inlineStr">
        <is>
          <t>نسبة الإنجاز</t>
        </is>
      </c>
      <c r="M29" s="44" t="n"/>
    </row>
    <row r="30">
      <c r="B30" s="45" t="str">
        <f>IF('الإعدادات'!C22="","",'الإعدادات'!C22)</f>
        <v>أعمال الهيكل والترميم</v>
      </c>
      <c r="C30" s="45" t="n"/>
      <c r="D30" s="45" t="n"/>
      <c r="E30" s="46">
        <f>IF(B30="",0,SUMIF('جدول الكميات'!B6:B15,B30,'جدول الكميات'!G6:G15))</f>
        <v>0</v>
      </c>
      <c r="F30" s="46" t="n"/>
      <c r="G30" s="28">
        <f>IF('الإعدادات'!$C$19=0,0,E30/'الإعدادات'!$C$19)</f>
        <v>0</v>
      </c>
      <c r="H30" s="46">
        <f>IF(B30="",0,SUMIF('جدول الكميات'!B6:B15,B30,'جدول الكميات'!K6:K15))</f>
        <v>0</v>
      </c>
      <c r="I30" s="46" t="n"/>
      <c r="J30" s="46">
        <f>E30-H30</f>
        <v>0</v>
      </c>
      <c r="K30" s="46" t="n"/>
      <c r="L30" s="47">
        <f>IF(E30=0,0,H30/E30)</f>
        <v>0</v>
      </c>
      <c r="M30" s="47" t="n"/>
    </row>
    <row r="31">
      <c r="B31" s="48" t="str">
        <f>IF('الإعدادات'!C23="","",'الإعدادات'!C23)</f>
        <v>الواجهات والزجاج</v>
      </c>
      <c r="C31" s="48" t="n"/>
      <c r="D31" s="48" t="n"/>
      <c r="E31" s="49">
        <f>IF(B31="",0,SUMIF('جدول الكميات'!B6:B15,B31,'جدول الكميات'!G6:G15))</f>
        <v>51991</v>
      </c>
      <c r="F31" s="49" t="n"/>
      <c r="G31" s="50">
        <f>IF('الإعدادات'!$C$19=0,0,E31/'الإعدادات'!$C$19)</f>
        <v>0.18640579678967995</v>
      </c>
      <c r="H31" s="49">
        <f>IF(B31="",0,SUMIF('جدول الكميات'!B6:B15,B31,'جدول الكميات'!K6:K15))</f>
        <v>50825.5</v>
      </c>
      <c r="I31" s="49" t="n"/>
      <c r="J31" s="49">
        <f>E31-H31</f>
        <v>1165.5</v>
      </c>
      <c r="K31" s="49" t="n"/>
      <c r="L31" s="51">
        <f>IF(E31=0,0,H31/E31)</f>
        <v>0.9775826585370545</v>
      </c>
      <c r="M31" s="51" t="n"/>
    </row>
    <row r="32">
      <c r="B32" s="45" t="str">
        <f>IF('الإعدادات'!C24="","",'الإعدادات'!C24)</f>
        <v>الأعمال المعدنية</v>
      </c>
      <c r="C32" s="45" t="n"/>
      <c r="D32" s="45" t="n"/>
      <c r="E32" s="46">
        <f>IF(B32="",0,SUMIF('جدول الكميات'!B6:B15,B32,'جدول الكميات'!G6:G15))</f>
        <v>122622</v>
      </c>
      <c r="F32" s="46" t="n"/>
      <c r="G32" s="28">
        <f>IF('الإعدادات'!$C$19=0,0,E32/'الإعدادات'!$C$19)</f>
        <v>0.43964246915704897</v>
      </c>
      <c r="H32" s="46">
        <f>IF(B32="",0,SUMIF('جدول الكميات'!B6:B15,B32,'جدول الكميات'!K6:K15))</f>
        <v>122622</v>
      </c>
      <c r="I32" s="46" t="n"/>
      <c r="J32" s="46">
        <f>E32-H32</f>
        <v>0</v>
      </c>
      <c r="K32" s="46" t="n"/>
      <c r="L32" s="47">
        <f>IF(E32=0,0,H32/E32)</f>
        <v>1</v>
      </c>
      <c r="M32" s="47" t="n"/>
    </row>
    <row r="33">
      <c r="B33" s="48" t="str">
        <f>IF('الإعدادات'!C25="","",'الإعدادات'!C25)</f>
        <v>التشطيبات الداخلية</v>
      </c>
      <c r="C33" s="48" t="n"/>
      <c r="D33" s="48" t="n"/>
      <c r="E33" s="49">
        <f>IF(B33="",0,SUMIF('جدول الكميات'!B6:B15,B33,'جدول الكميات'!G6:G15))</f>
        <v>0</v>
      </c>
      <c r="F33" s="49" t="n"/>
      <c r="G33" s="50">
        <f>IF('الإعدادات'!$C$19=0,0,E33/'الإعدادات'!$C$19)</f>
        <v>0</v>
      </c>
      <c r="H33" s="49">
        <f>IF(B33="",0,SUMIF('جدول الكميات'!B6:B15,B33,'جدول الكميات'!K6:K15))</f>
        <v>0</v>
      </c>
      <c r="I33" s="49" t="n"/>
      <c r="J33" s="49">
        <f>E33-H33</f>
        <v>0</v>
      </c>
      <c r="K33" s="49" t="n"/>
      <c r="L33" s="51">
        <f>IF(E33=0,0,H33/E33)</f>
        <v>0</v>
      </c>
      <c r="M33" s="51" t="n"/>
    </row>
    <row r="34">
      <c r="B34" s="45" t="str">
        <f>IF('الإعدادات'!C26="","",'الإعدادات'!C26)</f>
        <v>دورات المياه</v>
      </c>
      <c r="C34" s="45" t="n"/>
      <c r="D34" s="45" t="n"/>
      <c r="E34" s="46">
        <f>IF(B34="",0,SUMIF('جدول الكميات'!B6:B15,B34,'جدول الكميات'!G6:G15))</f>
        <v>104300</v>
      </c>
      <c r="F34" s="46" t="n"/>
      <c r="G34" s="28">
        <f>IF('الإعدادات'!$C$19=0,0,E34/'الإعدادات'!$C$19)</f>
        <v>0.3739517340532711</v>
      </c>
      <c r="H34" s="46">
        <f>IF(B34="",0,SUMIF('جدول الكميات'!B6:B15,B34,'جدول الكميات'!K6:K15))</f>
        <v>38935</v>
      </c>
      <c r="I34" s="46" t="n"/>
      <c r="J34" s="46">
        <f>E34-H34</f>
        <v>65365</v>
      </c>
      <c r="K34" s="46" t="n"/>
      <c r="L34" s="47">
        <f>IF(E34=0,0,H34/E34)</f>
        <v>0.3732981783317354</v>
      </c>
      <c r="M34" s="47" t="n"/>
    </row>
    <row r="35">
      <c r="B35" s="48" t="str">
        <f>IF('الإعدادات'!C27="","",'الإعدادات'!C27)</f>
        <v>الأعمال الكهربائية</v>
      </c>
      <c r="C35" s="48" t="n"/>
      <c r="D35" s="48" t="n"/>
      <c r="E35" s="49">
        <f>IF(B35="",0,SUMIF('جدول الكميات'!B6:B15,B35,'جدول الكميات'!G6:G15))</f>
        <v>0</v>
      </c>
      <c r="F35" s="49" t="n"/>
      <c r="G35" s="50">
        <f>IF('الإعدادات'!$C$19=0,0,E35/'الإعدادات'!$C$19)</f>
        <v>0</v>
      </c>
      <c r="H35" s="49">
        <f>IF(B35="",0,SUMIF('جدول الكميات'!B6:B15,B35,'جدول الكميات'!K6:K15))</f>
        <v>0</v>
      </c>
      <c r="I35" s="49" t="n"/>
      <c r="J35" s="49">
        <f>E35-H35</f>
        <v>0</v>
      </c>
      <c r="K35" s="49" t="n"/>
      <c r="L35" s="51">
        <f>IF(E35=0,0,H35/E35)</f>
        <v>0</v>
      </c>
      <c r="M35" s="51" t="n"/>
    </row>
    <row r="36">
      <c r="B36" s="45" t="str">
        <f>IF('الإعدادات'!C28="","",'الإعدادات'!C28)</f>
        <v>الأعمال الصحية والتكييف</v>
      </c>
      <c r="C36" s="45" t="n"/>
      <c r="D36" s="45" t="n"/>
      <c r="E36" s="46">
        <f>IF(B36="",0,SUMIF('جدول الكميات'!B6:B15,B36,'جدول الكميات'!G6:G15))</f>
        <v>0</v>
      </c>
      <c r="F36" s="46" t="n"/>
      <c r="G36" s="28">
        <f>IF('الإعدادات'!$C$19=0,0,E36/'الإعدادات'!$C$19)</f>
        <v>0</v>
      </c>
      <c r="H36" s="46">
        <f>IF(B36="",0,SUMIF('جدول الكميات'!B6:B15,B36,'جدول الكميات'!K6:K15))</f>
        <v>0</v>
      </c>
      <c r="I36" s="46" t="n"/>
      <c r="J36" s="46">
        <f>E36-H36</f>
        <v>0</v>
      </c>
      <c r="K36" s="46" t="n"/>
      <c r="L36" s="47">
        <f>IF(E36=0,0,H36/E36)</f>
        <v>0</v>
      </c>
      <c r="M36" s="47" t="n"/>
    </row>
    <row r="37">
      <c r="B37" s="48" t="str">
        <f>IF('الإعدادات'!C29="","",'الإعدادات'!C29)</f>
        <v>أعمال عامة وخارجية</v>
      </c>
      <c r="C37" s="48" t="n"/>
      <c r="D37" s="48" t="n"/>
      <c r="E37" s="49">
        <f>IF(B37="",0,SUMIF('جدول الكميات'!B6:B15,B37,'جدول الكميات'!G6:G15))</f>
        <v>0</v>
      </c>
      <c r="F37" s="49" t="n"/>
      <c r="G37" s="50">
        <f>IF('الإعدادات'!$C$19=0,0,E37/'الإعدادات'!$C$19)</f>
        <v>0</v>
      </c>
      <c r="H37" s="49">
        <f>IF(B37="",0,SUMIF('جدول الكميات'!B6:B15,B37,'جدول الكميات'!K6:K15))</f>
        <v>0</v>
      </c>
      <c r="I37" s="49" t="n"/>
      <c r="J37" s="49">
        <f>E37-H37</f>
        <v>0</v>
      </c>
      <c r="K37" s="49" t="n"/>
      <c r="L37" s="51">
        <f>IF(E37=0,0,H37/E37)</f>
        <v>0</v>
      </c>
      <c r="M37" s="51" t="n"/>
    </row>
    <row r="38">
      <c r="B38" s="45" t="str">
        <f>IF('الإعدادات'!C30="","",'الإعدادات'!C30)</f>
        <v/>
      </c>
      <c r="C38" s="45" t="n"/>
      <c r="D38" s="45" t="n"/>
      <c r="E38" s="46">
        <f>IF(B38="",0,SUMIF('جدول الكميات'!B6:B15,B38,'جدول الكميات'!G6:G15))</f>
        <v>0</v>
      </c>
      <c r="F38" s="46" t="n"/>
      <c r="G38" s="28">
        <f>IF('الإعدادات'!$C$19=0,0,E38/'الإعدادات'!$C$19)</f>
        <v>0</v>
      </c>
      <c r="H38" s="46">
        <f>IF(B38="",0,SUMIF('جدول الكميات'!B6:B15,B38,'جدول الكميات'!K6:K15))</f>
        <v>0</v>
      </c>
      <c r="I38" s="46" t="n"/>
      <c r="J38" s="46">
        <f>E38-H38</f>
        <v>0</v>
      </c>
      <c r="K38" s="46" t="n"/>
      <c r="L38" s="47">
        <f>IF(E38=0,0,H38/E38)</f>
        <v>0</v>
      </c>
      <c r="M38" s="47" t="n"/>
    </row>
    <row r="39">
      <c r="B39" s="48" t="str">
        <f>IF('الإعدادات'!C31="","",'الإعدادات'!C31)</f>
        <v/>
      </c>
      <c r="C39" s="48" t="n"/>
      <c r="D39" s="48" t="n"/>
      <c r="E39" s="49">
        <f>IF(B39="",0,SUMIF('جدول الكميات'!B6:B15,B39,'جدول الكميات'!G6:G15))</f>
        <v>0</v>
      </c>
      <c r="F39" s="49" t="n"/>
      <c r="G39" s="50">
        <f>IF('الإعدادات'!$C$19=0,0,E39/'الإعدادات'!$C$19)</f>
        <v>0</v>
      </c>
      <c r="H39" s="49">
        <f>IF(B39="",0,SUMIF('جدول الكميات'!B6:B15,B39,'جدول الكميات'!K6:K15))</f>
        <v>0</v>
      </c>
      <c r="I39" s="49" t="n"/>
      <c r="J39" s="49">
        <f>E39-H39</f>
        <v>0</v>
      </c>
      <c r="K39" s="49" t="n"/>
      <c r="L39" s="51">
        <f>IF(E39=0,0,H39/E39)</f>
        <v>0</v>
      </c>
      <c r="M39" s="51" t="n"/>
    </row>
    <row r="40">
      <c r="B40" s="45" t="str">
        <f>IF('الإعدادات'!C32="","",'الإعدادات'!C32)</f>
        <v/>
      </c>
      <c r="C40" s="45" t="n"/>
      <c r="D40" s="45" t="n"/>
      <c r="E40" s="46">
        <f>IF(B40="",0,SUMIF('جدول الكميات'!B6:B15,B40,'جدول الكميات'!G6:G15))</f>
        <v>0</v>
      </c>
      <c r="F40" s="46" t="n"/>
      <c r="G40" s="28">
        <f>IF('الإعدادات'!$C$19=0,0,E40/'الإعدادات'!$C$19)</f>
        <v>0</v>
      </c>
      <c r="H40" s="46">
        <f>IF(B40="",0,SUMIF('جدول الكميات'!B6:B15,B40,'جدول الكميات'!K6:K15))</f>
        <v>0</v>
      </c>
      <c r="I40" s="46" t="n"/>
      <c r="J40" s="46">
        <f>E40-H40</f>
        <v>0</v>
      </c>
      <c r="K40" s="46" t="n"/>
      <c r="L40" s="47">
        <f>IF(E40=0,0,H40/E40)</f>
        <v>0</v>
      </c>
      <c r="M40" s="47" t="n"/>
    </row>
    <row r="41">
      <c r="B41" s="48" t="str">
        <f>IF('الإعدادات'!C33="","",'الإعدادات'!C33)</f>
        <v/>
      </c>
      <c r="C41" s="48" t="n"/>
      <c r="D41" s="48" t="n"/>
      <c r="E41" s="49">
        <f>IF(B41="",0,SUMIF('جدول الكميات'!B6:B15,B41,'جدول الكميات'!G6:G15))</f>
        <v>0</v>
      </c>
      <c r="F41" s="49" t="n"/>
      <c r="G41" s="50">
        <f>IF('الإعدادات'!$C$19=0,0,E41/'الإعدادات'!$C$19)</f>
        <v>0</v>
      </c>
      <c r="H41" s="49">
        <f>IF(B41="",0,SUMIF('جدول الكميات'!B6:B15,B41,'جدول الكميات'!K6:K15))</f>
        <v>0</v>
      </c>
      <c r="I41" s="49" t="n"/>
      <c r="J41" s="49">
        <f>E41-H41</f>
        <v>0</v>
      </c>
      <c r="K41" s="49" t="n"/>
      <c r="L41" s="51">
        <f>IF(E41=0,0,H41/E41)</f>
        <v>0</v>
      </c>
      <c r="M41" s="51" t="n"/>
    </row>
    <row r="42">
      <c r="B42" s="52" t="inlineStr">
        <is>
          <t>الإجمالي</t>
        </is>
      </c>
      <c r="C42" s="52" t="n"/>
      <c r="D42" s="52" t="n"/>
      <c r="E42" s="53">
        <f>SUM(E30:E41)</f>
        <v>278913</v>
      </c>
      <c r="F42" s="53" t="n"/>
      <c r="G42" s="54">
        <f>SUM(G30:G41)</f>
        <v>1</v>
      </c>
      <c r="H42" s="53">
        <f>SUM(H30:H41)</f>
        <v>212382.5</v>
      </c>
      <c r="I42" s="53" t="n"/>
      <c r="J42" s="53">
        <f>SUM(J30:J41)</f>
        <v>66530.5</v>
      </c>
      <c r="K42" s="53" t="n"/>
      <c r="L42" s="54">
        <f>IF(E42=0,0,H42/E42)</f>
        <v>0.7614650446555019</v>
      </c>
      <c r="M42" s="54" t="n"/>
    </row>
    <row r="43">
      <c r="B43" s="55" t="str">
        <f>IF(ABS(E42-'الإعدادات'!$C$19)&gt;0.01,"⚠ يوجد بنود بدون قسم أو بقسم غير موجود في الإعدادات بقيمة: "&amp;TEXT('الإعدادات'!$C$19-E42,"#,##0"),"✔ جميع البنود مصنفة على الأقسام")</f>
        <v>✔ جميع البنود مصنفة على الأقسام</v>
      </c>
      <c r="C43" s="55" t="n"/>
      <c r="D43" s="55" t="n"/>
      <c r="E43" s="55" t="n"/>
      <c r="F43" s="55" t="n"/>
      <c r="G43" s="55" t="n"/>
      <c r="H43" s="55" t="n"/>
      <c r="I43" s="55" t="n"/>
      <c r="J43" s="55" t="n"/>
      <c r="K43" s="55" t="n"/>
      <c r="L43" s="55" t="n"/>
      <c r="M43" s="55" t="n"/>
    </row>
    <row r="44" ht="22" customHeight="1">
      <c r="B44" s="25" t="inlineStr">
        <is>
          <t>الرسوم البيانية</t>
        </is>
      </c>
      <c r="C44" s="25" t="n"/>
      <c r="D44" s="25" t="n"/>
      <c r="E44" s="25" t="n"/>
      <c r="F44" s="25" t="n"/>
      <c r="G44" s="25" t="n"/>
      <c r="H44" s="25" t="n"/>
      <c r="I44" s="25" t="n"/>
      <c r="J44" s="25" t="n"/>
      <c r="K44" s="25" t="n"/>
      <c r="L44" s="25" t="n"/>
      <c r="M44" s="25" t="n"/>
    </row>
    <row r="45">
      <c r="B45" s="56" t="inlineStr">
        <is>
          <t>🔒  الرسوم البيانية التفاعلية (تطور المستخلصات • الأقسام • توزيع قيمة العقد)
متاحة في النسخة الكاملة  —  اضغط هنا للشراء من accopro.net</t>
        </is>
      </c>
      <c r="C45" s="56" t="n"/>
      <c r="D45" s="56" t="n"/>
      <c r="E45" s="56" t="n"/>
      <c r="F45" s="56" t="n"/>
      <c r="G45" s="56" t="n"/>
      <c r="H45" s="56" t="n"/>
      <c r="I45" s="56" t="n"/>
      <c r="J45" s="56" t="n"/>
      <c r="K45" s="56" t="n"/>
      <c r="L45" s="56" t="n"/>
      <c r="M45" s="56" t="n"/>
    </row>
    <row r="46">
      <c r="B46" s="56" t="n"/>
      <c r="C46" s="56" t="n"/>
      <c r="D46" s="56" t="n"/>
      <c r="E46" s="56" t="n"/>
      <c r="F46" s="56" t="n"/>
      <c r="G46" s="56" t="n"/>
      <c r="H46" s="56" t="n"/>
      <c r="I46" s="56" t="n"/>
      <c r="J46" s="56" t="n"/>
      <c r="K46" s="56" t="n"/>
      <c r="L46" s="56" t="n"/>
      <c r="M46" s="56" t="n"/>
    </row>
    <row r="47">
      <c r="B47" s="56" t="n"/>
      <c r="C47" s="56" t="n"/>
      <c r="D47" s="56" t="n"/>
      <c r="E47" s="56" t="n"/>
      <c r="F47" s="56" t="n"/>
      <c r="G47" s="56" t="n"/>
      <c r="H47" s="56" t="n"/>
      <c r="I47" s="56" t="n"/>
      <c r="J47" s="56" t="n"/>
      <c r="K47" s="56" t="n"/>
      <c r="L47" s="56" t="n"/>
      <c r="M47" s="56" t="n"/>
    </row>
    <row r="48">
      <c r="B48" s="56" t="n"/>
      <c r="C48" s="56" t="n"/>
      <c r="D48" s="56" t="n"/>
      <c r="E48" s="56" t="n"/>
      <c r="F48" s="56" t="n"/>
      <c r="G48" s="56" t="n"/>
      <c r="H48" s="56" t="n"/>
      <c r="I48" s="56" t="n"/>
      <c r="J48" s="56" t="n"/>
      <c r="K48" s="56" t="n"/>
      <c r="L48" s="56" t="n"/>
      <c r="M48" s="56" t="n"/>
    </row>
    <row r="49">
      <c r="B49" s="56" t="n"/>
      <c r="C49" s="56" t="n"/>
      <c r="D49" s="56" t="n"/>
      <c r="E49" s="56" t="n"/>
      <c r="F49" s="56" t="n"/>
      <c r="G49" s="56" t="n"/>
      <c r="H49" s="56" t="n"/>
      <c r="I49" s="56" t="n"/>
      <c r="J49" s="56" t="n"/>
      <c r="K49" s="56" t="n"/>
      <c r="L49" s="56" t="n"/>
      <c r="M49" s="56" t="n"/>
    </row>
    <row r="50">
      <c r="B50" s="56" t="n"/>
      <c r="C50" s="56" t="n"/>
      <c r="D50" s="56" t="n"/>
      <c r="E50" s="56" t="n"/>
      <c r="F50" s="56" t="n"/>
      <c r="G50" s="56" t="n"/>
      <c r="H50" s="56" t="n"/>
      <c r="I50" s="56" t="n"/>
      <c r="J50" s="56" t="n"/>
      <c r="K50" s="56" t="n"/>
      <c r="L50" s="56" t="n"/>
      <c r="M50" s="56" t="n"/>
    </row>
    <row r="51">
      <c r="B51" s="56" t="n"/>
      <c r="C51" s="56" t="n"/>
      <c r="D51" s="56" t="n"/>
      <c r="E51" s="56" t="n"/>
      <c r="F51" s="56" t="n"/>
      <c r="G51" s="56" t="n"/>
      <c r="H51" s="56" t="n"/>
      <c r="I51" s="56" t="n"/>
      <c r="J51" s="56" t="n"/>
      <c r="K51" s="56" t="n"/>
      <c r="L51" s="56" t="n"/>
      <c r="M51" s="56" t="n"/>
    </row>
    <row r="52">
      <c r="B52" s="56" t="n"/>
      <c r="C52" s="56" t="n"/>
      <c r="D52" s="56" t="n"/>
      <c r="E52" s="56" t="n"/>
      <c r="F52" s="56" t="n"/>
      <c r="G52" s="56" t="n"/>
      <c r="H52" s="56" t="n"/>
      <c r="I52" s="56" t="n"/>
      <c r="J52" s="56" t="n"/>
      <c r="K52" s="56" t="n"/>
      <c r="L52" s="56" t="n"/>
      <c r="M52" s="56" t="n"/>
    </row>
    <row r="53">
      <c r="B53" s="56" t="n"/>
      <c r="C53" s="56" t="n"/>
      <c r="D53" s="56" t="n"/>
      <c r="E53" s="56" t="n"/>
      <c r="F53" s="56" t="n"/>
      <c r="G53" s="56" t="n"/>
      <c r="H53" s="56" t="n"/>
      <c r="I53" s="56" t="n"/>
      <c r="J53" s="56" t="n"/>
      <c r="K53" s="56" t="n"/>
      <c r="L53" s="56" t="n"/>
      <c r="M53" s="56" t="n"/>
    </row>
  </sheetData>
  <sheetProtection selectLockedCells="0" selectUnlockedCells="0" sheet="1" objects="0" insertRows="1" insertHyperlinks="1" autoFilter="0" scenarios="0" formatColumns="1" deleteColumns="1" insertColumns="1" pivotTables="1" deleteRows="1" formatCells="1" formatRows="1" sort="0" password="FFA5"/>
  <mergeCells count="155">
    <mergeCell ref="B11:D11"/>
    <mergeCell ref="B2:M2"/>
    <mergeCell ref="H35:I35"/>
    <mergeCell ref="B42:D42"/>
    <mergeCell ref="B45:M53"/>
    <mergeCell ref="E13:G13"/>
    <mergeCell ref="E23:F23"/>
    <mergeCell ref="L19:M19"/>
    <mergeCell ref="E15:G15"/>
    <mergeCell ref="H11:J11"/>
    <mergeCell ref="B44:M44"/>
    <mergeCell ref="B34:D34"/>
    <mergeCell ref="L3:M3"/>
    <mergeCell ref="H39:I39"/>
    <mergeCell ref="B37:D37"/>
    <mergeCell ref="B28:M28"/>
    <mergeCell ref="B30:D30"/>
    <mergeCell ref="L39:M39"/>
    <mergeCell ref="E7:G7"/>
    <mergeCell ref="B6:D6"/>
    <mergeCell ref="B20:D20"/>
    <mergeCell ref="E34:F34"/>
    <mergeCell ref="L29:M29"/>
    <mergeCell ref="K10:M10"/>
    <mergeCell ref="L38:M38"/>
    <mergeCell ref="H5:J5"/>
    <mergeCell ref="E36:F36"/>
    <mergeCell ref="H37:I37"/>
    <mergeCell ref="J31:K31"/>
    <mergeCell ref="L31:M31"/>
    <mergeCell ref="L40:M40"/>
    <mergeCell ref="L21:M21"/>
    <mergeCell ref="K9:M9"/>
    <mergeCell ref="K5:M5"/>
    <mergeCell ref="E22:F22"/>
    <mergeCell ref="H23:I23"/>
    <mergeCell ref="B43:M43"/>
    <mergeCell ref="K11:M11"/>
    <mergeCell ref="B3:C3"/>
    <mergeCell ref="H41:I41"/>
    <mergeCell ref="H7:J7"/>
    <mergeCell ref="E6:G6"/>
    <mergeCell ref="B10:D10"/>
    <mergeCell ref="H25:I25"/>
    <mergeCell ref="H34:I34"/>
    <mergeCell ref="B19:D19"/>
    <mergeCell ref="J34:K34"/>
    <mergeCell ref="E38:F38"/>
    <mergeCell ref="K14:M14"/>
    <mergeCell ref="L42:M42"/>
    <mergeCell ref="B9:D9"/>
    <mergeCell ref="H36:I36"/>
    <mergeCell ref="J36:K36"/>
    <mergeCell ref="E40:F40"/>
    <mergeCell ref="K7:M7"/>
    <mergeCell ref="L30:M30"/>
    <mergeCell ref="B5:D5"/>
    <mergeCell ref="B36:D36"/>
    <mergeCell ref="L20:M20"/>
    <mergeCell ref="H19:I19"/>
    <mergeCell ref="E26:F26"/>
    <mergeCell ref="L22:M22"/>
    <mergeCell ref="H3:I3"/>
    <mergeCell ref="J3:K3"/>
    <mergeCell ref="B31:D31"/>
    <mergeCell ref="E25:F25"/>
    <mergeCell ref="B21:D21"/>
    <mergeCell ref="B39:D39"/>
    <mergeCell ref="E18:F18"/>
    <mergeCell ref="H6:J6"/>
    <mergeCell ref="E10:G10"/>
    <mergeCell ref="B14:D14"/>
    <mergeCell ref="J29:K29"/>
    <mergeCell ref="H38:I38"/>
    <mergeCell ref="B23:D23"/>
    <mergeCell ref="J38:K38"/>
    <mergeCell ref="L32:M32"/>
    <mergeCell ref="B13:D13"/>
    <mergeCell ref="E9:G9"/>
    <mergeCell ref="H17:M17"/>
    <mergeCell ref="H31:I31"/>
    <mergeCell ref="E39:F39"/>
    <mergeCell ref="H40:I40"/>
    <mergeCell ref="J40:K40"/>
    <mergeCell ref="E20:F20"/>
    <mergeCell ref="H21:I21"/>
    <mergeCell ref="E11:G11"/>
    <mergeCell ref="E29:F29"/>
    <mergeCell ref="H13:J13"/>
    <mergeCell ref="L24:M24"/>
    <mergeCell ref="L18:M18"/>
    <mergeCell ref="L33:M33"/>
    <mergeCell ref="E31:F31"/>
    <mergeCell ref="H15:J15"/>
    <mergeCell ref="J35:K35"/>
    <mergeCell ref="L35:M35"/>
    <mergeCell ref="B41:D41"/>
    <mergeCell ref="K13:M13"/>
    <mergeCell ref="B35:D35"/>
    <mergeCell ref="J25:K25"/>
    <mergeCell ref="L25:M25"/>
    <mergeCell ref="H22:I22"/>
    <mergeCell ref="D3:E3"/>
    <mergeCell ref="B25:D25"/>
    <mergeCell ref="K15:M15"/>
    <mergeCell ref="H10:J10"/>
    <mergeCell ref="E14:G14"/>
    <mergeCell ref="E32:F32"/>
    <mergeCell ref="B22:D22"/>
    <mergeCell ref="E41:F41"/>
    <mergeCell ref="H42:I42"/>
    <mergeCell ref="J42:K42"/>
    <mergeCell ref="H9:J9"/>
    <mergeCell ref="H30:I30"/>
    <mergeCell ref="J39:K39"/>
    <mergeCell ref="H20:I20"/>
    <mergeCell ref="E24:F24"/>
    <mergeCell ref="H29:I29"/>
    <mergeCell ref="B17:G17"/>
    <mergeCell ref="E33:F33"/>
    <mergeCell ref="E42:F42"/>
    <mergeCell ref="J37:K37"/>
    <mergeCell ref="L37:M37"/>
    <mergeCell ref="B1:M1"/>
    <mergeCell ref="B29:D29"/>
    <mergeCell ref="B38:D38"/>
    <mergeCell ref="F3:G3"/>
    <mergeCell ref="E35:F35"/>
    <mergeCell ref="J30:K30"/>
    <mergeCell ref="E19:F19"/>
    <mergeCell ref="B40:D40"/>
    <mergeCell ref="L23:M23"/>
    <mergeCell ref="B15:D15"/>
    <mergeCell ref="B24:D24"/>
    <mergeCell ref="B33:D33"/>
    <mergeCell ref="E30:F30"/>
    <mergeCell ref="H14:J14"/>
    <mergeCell ref="K6:M6"/>
    <mergeCell ref="H32:I32"/>
    <mergeCell ref="B32:D32"/>
    <mergeCell ref="J32:K32"/>
    <mergeCell ref="B26:D26"/>
    <mergeCell ref="J41:K41"/>
    <mergeCell ref="L41:M41"/>
    <mergeCell ref="B7:D7"/>
    <mergeCell ref="L34:M34"/>
    <mergeCell ref="E5:G5"/>
    <mergeCell ref="H24:I24"/>
    <mergeCell ref="H18:I18"/>
    <mergeCell ref="H33:I33"/>
    <mergeCell ref="B18:D18"/>
    <mergeCell ref="J33:K33"/>
    <mergeCell ref="E37:F37"/>
    <mergeCell ref="L36:M36"/>
    <mergeCell ref="E21:F21"/>
  </mergeCells>
  <conditionalFormatting sqref="K19:K23">
    <cfRule type="dataBar" priority="1">
      <dataBar>
        <cfvo type="num" val="0"/>
        <cfvo type="num" val="1"/>
        <color rgb="FF2E7D7A"/>
      </dataBar>
    </cfRule>
  </conditionalFormatting>
  <conditionalFormatting sqref="L25:M25">
    <cfRule type="expression" priority="2" dxfId="0">
      <formula>ISNUMBER(SEARCH("✔",$L$25))</formula>
    </cfRule>
    <cfRule type="expression" priority="3" dxfId="1">
      <formula>ISNUMBER(SEARCH("⚠",$L$25))</formula>
    </cfRule>
    <cfRule type="expression" priority="4" dxfId="2">
      <formula>ISNUMBER(SEARCH("✖",$L$25))</formula>
    </cfRule>
  </conditionalFormatting>
  <conditionalFormatting sqref="L30:L41">
    <cfRule type="dataBar" priority="5">
      <dataBar>
        <cfvo type="num" val="0"/>
        <cfvo type="num" val="1"/>
        <color rgb="FF2E7D7A"/>
      </dataBar>
    </cfRule>
  </conditionalFormatting>
  <hyperlinks>
    <hyperlink xmlns:r="http://schemas.openxmlformats.org/officeDocument/2006/relationships" ref="B2" r:id="rId1"/>
    <hyperlink ref="B3" location="'الإعدادات'!A1" display="⚙ الإعدادات"/>
    <hyperlink ref="D3" location="'جدول الكميات'!A1" display="📋 جدول الكميات"/>
    <hyperlink ref="F3" location="'سجل المستخلصات'!A1" display="🗂 سجل المستخلصات"/>
    <hyperlink ref="H3" location="'الدفعات المقدمة'!A1" display="💵 الدفعات المقدمة"/>
    <hyperlink ref="J3" location="'ضمان الأعمال'!A1" display="🔒 ضمان الأعمال"/>
    <hyperlink ref="L3" location="'مستخلص 1'!A1" display="📄 مستخلص 1"/>
    <hyperlink xmlns:r="http://schemas.openxmlformats.org/officeDocument/2006/relationships" ref="B45" r:id="rId2"/>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worksheet>
</file>

<file path=xl/worksheets/sheet2.xml><?xml version="1.0" encoding="utf-8"?>
<worksheet xmlns="http://schemas.openxmlformats.org/spreadsheetml/2006/main">
  <sheetPr>
    <tabColor rgb="FFFFB300"/>
    <outlinePr summaryBelow="1" summaryRight="1"/>
    <pageSetUpPr fitToPage="1"/>
  </sheetPr>
  <dimension ref="B1:D21"/>
  <sheetViews>
    <sheetView showGridLines="0" rightToLeft="1" zoomScale="90" workbookViewId="0">
      <selection activeCell="A1" sqref="A1"/>
    </sheetView>
  </sheetViews>
  <sheetFormatPr baseColWidth="8" defaultRowHeight="15"/>
  <cols>
    <col width="2" customWidth="1" min="1" max="1"/>
    <col width="44" customWidth="1" min="2" max="2"/>
    <col width="22" customWidth="1" min="3" max="3"/>
    <col width="22" customWidth="1" min="4" max="4"/>
    <col width="2" customWidth="1" min="5" max="5"/>
  </cols>
  <sheetData>
    <row r="1" ht="40" customHeight="1">
      <c r="B1" s="1" t="inlineStr">
        <is>
          <t>⭐ احصل على النسخة الكاملة من قالب مستخلصات المقاولات</t>
        </is>
      </c>
      <c r="C1" s="1" t="n"/>
      <c r="D1" s="1" t="n"/>
    </row>
    <row r="3">
      <c r="B3" s="57" t="inlineStr">
        <is>
          <t>🛒  اضغط هنا للشراء:  accopro.net</t>
        </is>
      </c>
      <c r="C3" s="57" t="n"/>
      <c r="D3" s="57" t="n"/>
    </row>
    <row r="4">
      <c r="B4" s="57" t="n"/>
      <c r="C4" s="57" t="n"/>
      <c r="D4" s="57" t="n"/>
    </row>
    <row r="6">
      <c r="B6" s="58" t="inlineStr">
        <is>
          <t>الخاصية</t>
        </is>
      </c>
      <c r="C6" s="59" t="inlineStr">
        <is>
          <t>النسخة المجانية</t>
        </is>
      </c>
      <c r="D6" s="60" t="inlineStr">
        <is>
          <t>النسخة الكاملة ⭐</t>
        </is>
      </c>
    </row>
    <row r="7" ht="22" customHeight="1">
      <c r="B7" s="61" t="inlineStr">
        <is>
          <t>عدد المستخلصات المربوطة</t>
        </is>
      </c>
      <c r="C7" s="62" t="inlineStr">
        <is>
          <t>3 مستخلصات</t>
        </is>
      </c>
      <c r="D7" s="63" t="inlineStr">
        <is>
          <t>25 مستخلص</t>
        </is>
      </c>
    </row>
    <row r="8" ht="22" customHeight="1">
      <c r="B8" s="64" t="inlineStr">
        <is>
          <t>عدد بنود جدول الكميات</t>
        </is>
      </c>
      <c r="C8" s="65" t="inlineStr">
        <is>
          <t>10 بنود</t>
        </is>
      </c>
      <c r="D8" s="66" t="inlineStr">
        <is>
          <t>100 بند</t>
        </is>
      </c>
    </row>
    <row r="9" ht="22" customHeight="1">
      <c r="B9" s="61" t="inlineStr">
        <is>
          <t>ترحيل الكميات تلقائياً بين المستخلصات</t>
        </is>
      </c>
      <c r="C9" s="62" t="inlineStr">
        <is>
          <t>✔</t>
        </is>
      </c>
      <c r="D9" s="63" t="inlineStr">
        <is>
          <t>✔</t>
        </is>
      </c>
    </row>
    <row r="10" ht="22" customHeight="1">
      <c r="B10" s="64" t="inlineStr">
        <is>
          <t>الضريبة واسترداد الدفعة المقدمة وضمان الأعمال</t>
        </is>
      </c>
      <c r="C10" s="65" t="inlineStr">
        <is>
          <t>✔</t>
        </is>
      </c>
      <c r="D10" s="66" t="inlineStr">
        <is>
          <t>✔</t>
        </is>
      </c>
    </row>
    <row r="11" ht="22" customHeight="1">
      <c r="B11" s="61" t="inlineStr">
        <is>
          <t>نسبة الإنجاز/الاستحقاق للبند (نواقص مثل الإكسسوارات)</t>
        </is>
      </c>
      <c r="C11" s="67" t="inlineStr">
        <is>
          <t>🔒</t>
        </is>
      </c>
      <c r="D11" s="63" t="inlineStr">
        <is>
          <t>✔</t>
        </is>
      </c>
    </row>
    <row r="12" ht="22" customHeight="1">
      <c r="B12" s="64" t="inlineStr">
        <is>
          <t>نسب استرداد وضمان مخصصة لكل مستخلص</t>
        </is>
      </c>
      <c r="C12" s="68" t="inlineStr">
        <is>
          <t>🔒</t>
        </is>
      </c>
      <c r="D12" s="66" t="inlineStr">
        <is>
          <t>✔</t>
        </is>
      </c>
    </row>
    <row r="13" ht="22" customHeight="1">
      <c r="B13" s="61" t="inlineStr">
        <is>
          <t>بدء الاسترداد من مستخلص محدد وحد أقصى للضمان</t>
        </is>
      </c>
      <c r="C13" s="67" t="inlineStr">
        <is>
          <t>🔒</t>
        </is>
      </c>
      <c r="D13" s="63" t="inlineStr">
        <is>
          <t>✔</t>
        </is>
      </c>
    </row>
    <row r="14" ht="22" customHeight="1">
      <c r="B14" s="64" t="inlineStr">
        <is>
          <t>تعدد الدفعات المقدمة وخطابات ضمانها</t>
        </is>
      </c>
      <c r="C14" s="65" t="inlineStr">
        <is>
          <t>دفعة واحدة</t>
        </is>
      </c>
      <c r="D14" s="66" t="inlineStr">
        <is>
          <t>✔ حتى 6</t>
        </is>
      </c>
    </row>
    <row r="15" ht="22" customHeight="1">
      <c r="B15" s="61" t="inlineStr">
        <is>
          <t>سجل الإفراج عن ضمان الأعمال</t>
        </is>
      </c>
      <c r="C15" s="67" t="inlineStr">
        <is>
          <t>🔒</t>
        </is>
      </c>
      <c r="D15" s="63" t="inlineStr">
        <is>
          <t>✔</t>
        </is>
      </c>
    </row>
    <row r="16" ht="22" customHeight="1">
      <c r="B16" s="64" t="inlineStr">
        <is>
          <t>متابعة الضمانات البنكية وتنبيهات الانتهاء</t>
        </is>
      </c>
      <c r="C16" s="65" t="inlineStr">
        <is>
          <t>ضمان واحد</t>
        </is>
      </c>
      <c r="D16" s="66" t="inlineStr">
        <is>
          <t>✔ حتى 6</t>
        </is>
      </c>
    </row>
    <row r="17" ht="22" customHeight="1">
      <c r="B17" s="61" t="inlineStr">
        <is>
          <t>الرسوم البيانية في لوحة التحكم</t>
        </is>
      </c>
      <c r="C17" s="67" t="inlineStr">
        <is>
          <t>🔒</t>
        </is>
      </c>
      <c r="D17" s="63" t="inlineStr">
        <is>
          <t>✔</t>
        </is>
      </c>
    </row>
    <row r="18" ht="22" customHeight="1">
      <c r="B18" s="64" t="inlineStr">
        <is>
          <t>تعديل التصميم والمعادلات بحرية (بدون حماية)</t>
        </is>
      </c>
      <c r="C18" s="68" t="inlineStr">
        <is>
          <t>🔒</t>
        </is>
      </c>
      <c r="D18" s="66" t="inlineStr">
        <is>
          <t>✔</t>
        </is>
      </c>
    </row>
    <row r="19" ht="22" customHeight="1">
      <c r="B19" s="61" t="inlineStr">
        <is>
          <t>بدون علامة النسخة المجانية في الطباعة</t>
        </is>
      </c>
      <c r="C19" s="67" t="inlineStr">
        <is>
          <t>🔒</t>
        </is>
      </c>
      <c r="D19" s="63" t="inlineStr">
        <is>
          <t>✔</t>
        </is>
      </c>
    </row>
    <row r="21">
      <c r="B21" s="69" t="inlineStr">
        <is>
          <t>⬅ للترقية للنسخة الكاملة زُر الموقع:  https://accopro.net/</t>
        </is>
      </c>
      <c r="C21" s="69" t="n"/>
      <c r="D21" s="69" t="n"/>
    </row>
  </sheetData>
  <sheetProtection selectLockedCells="0" selectUnlockedCells="0" sheet="1" objects="0" insertRows="1" insertHyperlinks="1" autoFilter="0" scenarios="0" formatColumns="1" deleteColumns="1" insertColumns="1" pivotTables="1" deleteRows="1" formatCells="1" formatRows="1" sort="0" password="FFA5"/>
  <mergeCells count="3">
    <mergeCell ref="B1:D1"/>
    <mergeCell ref="B21:D21"/>
    <mergeCell ref="B3:D4"/>
  </mergeCells>
  <hyperlinks>
    <hyperlink xmlns:r="http://schemas.openxmlformats.org/officeDocument/2006/relationships" ref="B3" r:id="rId1"/>
    <hyperlink xmlns:r="http://schemas.openxmlformats.org/officeDocument/2006/relationships" ref="B21" r:id="rId2"/>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worksheet>
</file>

<file path=xl/worksheets/sheet3.xml><?xml version="1.0" encoding="utf-8"?>
<worksheet xmlns="http://schemas.openxmlformats.org/spreadsheetml/2006/main">
  <sheetPr>
    <tabColor rgb="FF5A6772"/>
    <outlinePr summaryBelow="1" summaryRight="1"/>
    <pageSetUpPr fitToPage="1"/>
  </sheetPr>
  <dimension ref="B1:C42"/>
  <sheetViews>
    <sheetView showGridLines="0" rightToLeft="1" zoomScale="90" workbookViewId="0">
      <selection activeCell="A1" sqref="A1"/>
    </sheetView>
  </sheetViews>
  <sheetFormatPr baseColWidth="8" defaultRowHeight="15"/>
  <cols>
    <col width="2" customWidth="1" min="1" max="1"/>
    <col width="6" customWidth="1" min="2" max="2"/>
    <col width="110" customWidth="1" min="3" max="3"/>
  </cols>
  <sheetData>
    <row r="1" ht="38" customHeight="1">
      <c r="B1" s="1" t="inlineStr">
        <is>
          <t>📘 طريقة استخدام القالب</t>
        </is>
      </c>
      <c r="C1" s="1" t="n"/>
    </row>
    <row r="2" ht="20" customHeight="1">
      <c r="B2" s="2" t="inlineStr">
        <is>
          <t>🎁 نسخة مجانية محدودة (3 مستخلصات • 10 بنود)   —   للنسخة الكاملة (25 مستخلص • 100 بند • بدون قيود) اضغط هنا ⬅ accopro.net</t>
        </is>
      </c>
      <c r="C2" s="2" t="n"/>
    </row>
    <row r="3" ht="24" customHeight="1">
      <c r="B3" s="70" t="inlineStr">
        <is>
          <t>🏠</t>
        </is>
      </c>
    </row>
    <row r="6" ht="22" customHeight="1">
      <c r="B6" s="71" t="inlineStr">
        <is>
          <t>فكرة القالب</t>
        </is>
      </c>
      <c r="C6" s="71" t="n"/>
    </row>
    <row r="7" ht="30" customHeight="1">
      <c r="B7" s="72" t="inlineStr"/>
      <c r="C7" s="73" t="inlineStr">
        <is>
          <t>قالب متكامل لإعداد مستخلصات المقاولات حتى 3 مستخلص و10 بند، جميع الصفحات مربوطة ببعضها؛ الكميات السابقة تنتقل تلقائياً من كل مستخلص إلى الذي يليه، وتتجمع النتائج في السجل ولوحة التحكم.</t>
        </is>
      </c>
    </row>
    <row r="9" ht="22" customHeight="1">
      <c r="B9" s="71" t="inlineStr">
        <is>
          <t>خطوات العمل</t>
        </is>
      </c>
      <c r="C9" s="71" t="n"/>
    </row>
    <row r="10" ht="18" customHeight="1">
      <c r="B10" s="72" t="inlineStr">
        <is>
          <t>1</t>
        </is>
      </c>
      <c r="C10" s="73" t="inlineStr">
        <is>
          <t>صفحة (الإعدادات): أدخل بيانات المشروع والعقد ونسبة الضريبة وأسماء أقسام الأعمال وأسماء المعتمدين.</t>
        </is>
      </c>
    </row>
    <row r="11" ht="18" customHeight="1">
      <c r="B11" s="72" t="inlineStr">
        <is>
          <t>2</t>
        </is>
      </c>
      <c r="C11" s="73" t="inlineStr">
        <is>
          <t>صفحة (جدول الكميات): أدخل البنود: رقم البند، القسم، الوصف، الوحدة، الكمية، سعر الوحدة (حتى 10 بند).</t>
        </is>
      </c>
    </row>
    <row r="12" ht="18" customHeight="1">
      <c r="B12" s="72" t="inlineStr">
        <is>
          <t>3</t>
        </is>
      </c>
      <c r="C12" s="73" t="inlineStr">
        <is>
          <t>صفحة (الدفعات المقدمة): سجل الدفعات المقدمة وخطابات ضمانها ونسبة الاسترداد من كل مستخلص.</t>
        </is>
      </c>
    </row>
    <row r="13" ht="18" customHeight="1">
      <c r="B13" s="72" t="inlineStr">
        <is>
          <t>4</t>
        </is>
      </c>
      <c r="C13" s="73" t="inlineStr">
        <is>
          <t>صفحة (ضمان الأعمال): حدد نسبة الضمان والحد الأقصى، وسجل الإفراجات والضمانات البنكية.</t>
        </is>
      </c>
    </row>
    <row r="14" ht="18" customHeight="1">
      <c r="B14" s="72" t="inlineStr">
        <is>
          <t>5</t>
        </is>
      </c>
      <c r="C14" s="73" t="inlineStr">
        <is>
          <t>في كل مستخلص: أدخل التاريخ والحالة والفترة، ثم الكمية الحالية فقط لكل بند (العمود الأصفر 'حالي').</t>
        </is>
      </c>
    </row>
    <row r="15" ht="30" customHeight="1">
      <c r="B15" s="72" t="inlineStr">
        <is>
          <t>6</t>
        </is>
      </c>
      <c r="C15" s="73" t="inlineStr">
        <is>
          <t>نسبة الإنجاز/الاستحقاق للبند (اختياري): مثال 1000 شباك مركبة بالكامل لكن تنقصها الإكسسوارات ← اكتب الكمية 1000 في عمود (حالي) واكتب 70% في عمود (حالية ✎)؛ تُحتسب القيمة 70% فقط، وتظهر نسبة الإنجاز الفعلية 70%، ويظهر البند في لوحة التحكم ضمن (مركبة بالكامل وبها نواقص).</t>
        </is>
      </c>
    </row>
    <row r="16" ht="30" customHeight="1">
      <c r="B16" s="72" t="inlineStr">
        <is>
          <t>7</t>
        </is>
      </c>
      <c r="C16" s="73" t="inlineStr">
        <is>
          <t>عند استكمال النواقص: في المستخلص الجديد اكتب 100% في عمود (حالية ✎) بدون كمية؛ فيُصرف الفرق (30%) تلقائياً في هذا المستخلص ويتحول البند إلى (مكتمل). النسبة تنتقل للمستخلصات التالية حتى تغيّرها.</t>
        </is>
      </c>
    </row>
    <row r="17" ht="18" customHeight="1">
      <c r="B17" s="72" t="inlineStr">
        <is>
          <t>8</t>
        </is>
      </c>
      <c r="C17" s="73" t="inlineStr">
        <is>
          <t>الخصومات الأخرى / الغرامات تُكتب يدوياً أسفل كل مستخلص في الخانة الصفراء.</t>
        </is>
      </c>
    </row>
    <row r="18" ht="18" customHeight="1">
      <c r="B18" s="72" t="inlineStr">
        <is>
          <t>9</t>
        </is>
      </c>
      <c r="C18" s="73" t="inlineStr">
        <is>
          <t>صفحة (سجل المستخلصات): أدخل المبالغ المحصلة وتواريخها لمتابعة المستحقات.</t>
        </is>
      </c>
    </row>
    <row r="19" ht="18" customHeight="1">
      <c r="B19" s="72" t="inlineStr">
        <is>
          <t>10</t>
        </is>
      </c>
      <c r="C19" s="73" t="inlineStr">
        <is>
          <t>صفحة (لوحة التحكم): تتحدث تلقائياً بالكامل ولا تحتاج أي إدخال.</t>
        </is>
      </c>
    </row>
    <row r="21" ht="22" customHeight="1">
      <c r="B21" s="71" t="inlineStr">
        <is>
          <t>المعادلات الأساسية</t>
        </is>
      </c>
      <c r="C21" s="71" t="n"/>
    </row>
    <row r="22" ht="18" customHeight="1">
      <c r="B22" s="72" t="inlineStr">
        <is>
          <t>•</t>
        </is>
      </c>
      <c r="C22" s="73" t="inlineStr">
        <is>
          <t>قيمة البند الإجمالية = الكمية الإجمالية × سعر الوحدة × نسبة الإنجاز/الاستحقاق المعتمدة.</t>
        </is>
      </c>
    </row>
    <row r="23" ht="30" customHeight="1">
      <c r="B23" s="72" t="inlineStr">
        <is>
          <t>•</t>
        </is>
      </c>
      <c r="C23" s="73" t="inlineStr">
        <is>
          <t>نسبة الإنجاز الفعلية = القيمة المستحقة ÷ (الكمية التعاقدية × سعر الوحدة)؛ بينما نسبة الكمية = المنفذ ÷ التعاقدي.</t>
        </is>
      </c>
    </row>
    <row r="24" ht="18" customHeight="1">
      <c r="B24" s="72" t="inlineStr">
        <is>
          <t>•</t>
        </is>
      </c>
      <c r="C24" s="73" t="inlineStr">
        <is>
          <t>القيمة الحالية = القيمة الإجمالية − القيمة السابقة (من المستخلص السابق).</t>
        </is>
      </c>
    </row>
    <row r="25" ht="18" customHeight="1">
      <c r="B25" s="72" t="inlineStr">
        <is>
          <t>•</t>
        </is>
      </c>
      <c r="C25" s="73" t="inlineStr">
        <is>
          <t>استرداد الدفعة المقدمة = قيمة الأعمال الحالية × نسبة الاسترداد، بحد أقصى الرصيد المتبقي من الدفعة.</t>
        </is>
      </c>
    </row>
    <row r="26" ht="18" customHeight="1">
      <c r="B26" s="72" t="inlineStr">
        <is>
          <t>•</t>
        </is>
      </c>
      <c r="C26" s="73" t="inlineStr">
        <is>
          <t>ضمان الأعمال = قيمة الأعمال الحالية × نسبة الضمان، بحد أقصى (اختياري) نسبة من قيمة العقد.</t>
        </is>
      </c>
    </row>
    <row r="27" ht="18" customHeight="1">
      <c r="B27" s="72" t="inlineStr">
        <is>
          <t>•</t>
        </is>
      </c>
      <c r="C27" s="73" t="inlineStr">
        <is>
          <t>صافي المستخلص = (قيمة الأعمال + الضريبة) − (استرداد الدفعة + ضمان الأعمال + الخصومات الأخرى).</t>
        </is>
      </c>
    </row>
    <row r="29" ht="22" customHeight="1">
      <c r="B29" s="71" t="inlineStr">
        <is>
          <t>التخصيص بحرية دون التأثير على لوحة التحكم</t>
        </is>
      </c>
      <c r="C29" s="71" t="n"/>
    </row>
    <row r="30" ht="18" customHeight="1">
      <c r="B30" s="72" t="inlineStr">
        <is>
          <t>•</t>
        </is>
      </c>
      <c r="C30" s="73" t="inlineStr">
        <is>
          <t>يمكن تعديل أي نص أو اسم قسم أو بند أو وحدة أو سعر أو نسبة؛ لوحة التحكم تعتمد على الإجماليات فقط.</t>
        </is>
      </c>
    </row>
    <row r="31" ht="30" customHeight="1">
      <c r="B31" s="72" t="inlineStr">
        <is>
          <t>•</t>
        </is>
      </c>
      <c r="C31" s="73" t="inlineStr">
        <is>
          <t>أضف البنود الجديدة (أعمال إضافية / أوامر تغيير) في الصفوف الفارغة بنهاية جدول الكميات — لا تُدرج صفوفاً بين البنود ولا تحذف صفوفاً، حتى تبقى المستخلصات مرتبطة بنفس البنود.</t>
        </is>
      </c>
    </row>
    <row r="32" ht="18" customHeight="1">
      <c r="B32" s="72" t="inlineStr">
        <is>
          <t>•</t>
        </is>
      </c>
      <c r="C32" s="73" t="inlineStr">
        <is>
          <t>لإخفاء الصفوف الفارغة عند الطباعة: استخدم التصفية في جدول الكميات أو أخفِ الصفوف الفارغة في المستخلص.</t>
        </is>
      </c>
    </row>
    <row r="33" ht="18" customHeight="1">
      <c r="B33" s="72" t="inlineStr">
        <is>
          <t>•</t>
        </is>
      </c>
      <c r="C33" s="73" t="inlineStr">
        <is>
          <t>يمكن تغيير الألوان والخطوط والشعار وعناوين الأعمدة بحرية. لا تغيّر ترتيب الأعمدة أو أسماء الصفحات.</t>
        </is>
      </c>
    </row>
    <row r="34" ht="18" customHeight="1">
      <c r="B34" s="72" t="inlineStr">
        <is>
          <t>•</t>
        </is>
      </c>
      <c r="C34" s="73" t="inlineStr">
        <is>
          <t>المستخلص رقم 3 يحمل دائماً الكميات التراكمية لآخر وضع (لأن المستخلصات غير الصادرة كمياتها الحالية صفر).</t>
        </is>
      </c>
    </row>
    <row r="36" ht="22" customHeight="1">
      <c r="B36" s="71" t="inlineStr">
        <is>
          <t>دليل الألوان والتنبيهات</t>
        </is>
      </c>
      <c r="C36" s="71" t="n"/>
    </row>
    <row r="37" ht="18" customHeight="1">
      <c r="B37" s="72" t="inlineStr">
        <is>
          <t>•</t>
        </is>
      </c>
      <c r="C37" s="73" t="inlineStr">
        <is>
          <t>الخلايا الصفراء بخط أزرق = إدخال. البيضاء/الرمادية = معادلات. الأرقام الخضراء = مسحوبة من صفحة أخرى.</t>
        </is>
      </c>
    </row>
    <row r="38" ht="18" customHeight="1">
      <c r="B38" s="72" t="inlineStr">
        <is>
          <t>•</t>
        </is>
      </c>
      <c r="C38" s="73" t="inlineStr">
        <is>
          <t>خلفية حمراء على الكمية الإجمالية = البند تجاوز الكمية التعاقدية.</t>
        </is>
      </c>
    </row>
    <row r="39" ht="18" customHeight="1">
      <c r="B39" s="72" t="inlineStr">
        <is>
          <t>•</t>
        </is>
      </c>
      <c r="C39" s="73" t="inlineStr">
        <is>
          <t>المستخلص يعتبر 'صادراً' بمجرد إدخال تاريخه؛ وغير الصادر يظهر رمادياً في السجل.</t>
        </is>
      </c>
    </row>
    <row r="41" ht="22" customHeight="1">
      <c r="B41" s="71" t="inlineStr">
        <is>
          <t>ملاحظة</t>
        </is>
      </c>
      <c r="C41" s="71" t="n"/>
    </row>
    <row r="42" ht="30" customHeight="1">
      <c r="B42" s="72" t="inlineStr">
        <is>
          <t>•</t>
        </is>
      </c>
      <c r="C42" s="73" t="inlineStr">
        <is>
          <t>هذه نسخة مجانية محدودة (3 مستخلصات و10 بنود) ببيانات مثال للتجربة؛ امسح الخلايا الصفراء وابدأ ببياناتك. الخصائص المقفلة 🔒 والنسخة الكاملة (25 مستخلص و100 بند) من: https://accopro.net/</t>
        </is>
      </c>
    </row>
  </sheetData>
  <sheetProtection selectLockedCells="0" selectUnlockedCells="0" sheet="1" objects="0" insertRows="1" insertHyperlinks="1" autoFilter="0" scenarios="0" formatColumns="1" deleteColumns="1" insertColumns="1" pivotTables="1" deleteRows="1" formatCells="1" formatRows="1" sort="0" password="FFA5"/>
  <mergeCells count="8">
    <mergeCell ref="B6:C6"/>
    <mergeCell ref="B21:C21"/>
    <mergeCell ref="B2:C2"/>
    <mergeCell ref="B29:C29"/>
    <mergeCell ref="B41:C41"/>
    <mergeCell ref="B36:C36"/>
    <mergeCell ref="B9:C9"/>
    <mergeCell ref="B1:C1"/>
  </mergeCells>
  <hyperlinks>
    <hyperlink xmlns:r="http://schemas.openxmlformats.org/officeDocument/2006/relationships" ref="B2" r:id="rId1"/>
    <hyperlink ref="B3" location="'لوحة التحكم'!A1" display="🏠"/>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worksheet>
</file>

<file path=xl/worksheets/sheet4.xml><?xml version="1.0" encoding="utf-8"?>
<worksheet xmlns="http://schemas.openxmlformats.org/spreadsheetml/2006/main">
  <sheetPr>
    <tabColor rgb="FF2E7D7A"/>
    <outlinePr summaryBelow="1" summaryRight="1"/>
    <pageSetUpPr fitToPage="1"/>
  </sheetPr>
  <dimension ref="B1:G39"/>
  <sheetViews>
    <sheetView showGridLines="0" rightToLeft="1" zoomScale="90" workbookViewId="0">
      <selection activeCell="A1" sqref="A1"/>
    </sheetView>
  </sheetViews>
  <sheetFormatPr baseColWidth="8" defaultRowHeight="15"/>
  <cols>
    <col width="2" customWidth="1" min="1" max="1"/>
    <col width="34" customWidth="1" min="2" max="2"/>
    <col width="22" customWidth="1" min="3" max="3"/>
    <col width="22" customWidth="1" min="4" max="4"/>
    <col width="22" customWidth="1" min="5" max="5"/>
    <col width="2" customWidth="1" min="6" max="6"/>
    <col width="50" customWidth="1" min="7" max="7"/>
  </cols>
  <sheetData>
    <row r="1" ht="38" customHeight="1">
      <c r="B1" s="1" t="inlineStr">
        <is>
          <t>⚙ الإعدادات العامة للمشروع</t>
        </is>
      </c>
      <c r="C1" s="1" t="n"/>
      <c r="D1" s="1" t="n"/>
      <c r="E1" s="1" t="n"/>
      <c r="F1" s="1" t="n"/>
      <c r="G1" s="1" t="n"/>
    </row>
    <row r="2" ht="20" customHeight="1">
      <c r="B2" s="2" t="inlineStr">
        <is>
          <t>🎁 نسخة مجانية محدودة (3 مستخلصات • 10 بنود)   —   للنسخة الكاملة (25 مستخلص • 100 بند • بدون قيود) اضغط هنا ⬅ accopro.net</t>
        </is>
      </c>
      <c r="C2" s="2" t="n"/>
      <c r="D2" s="2" t="n"/>
      <c r="E2" s="2" t="n"/>
      <c r="F2" s="2" t="n"/>
      <c r="G2" s="2" t="n"/>
    </row>
    <row r="3" ht="24" customHeight="1">
      <c r="B3" s="70" t="inlineStr">
        <is>
          <t>🏠 لوحة التحكم</t>
        </is>
      </c>
      <c r="C3" s="3" t="inlineStr">
        <is>
          <t>📋 جدول الكميات</t>
        </is>
      </c>
      <c r="D3" s="3" t="inlineStr">
        <is>
          <t>🗂 سجل المستخلصات</t>
        </is>
      </c>
      <c r="E3" s="3" t="inlineStr">
        <is>
          <t>💵 الدفعات المقدمة</t>
        </is>
      </c>
      <c r="G3" s="3" t="inlineStr">
        <is>
          <t>🔒 ضمان الأعمال</t>
        </is>
      </c>
    </row>
    <row r="5" ht="22" customHeight="1">
      <c r="B5" s="71" t="inlineStr">
        <is>
          <t>بيانات المشروع والعقد</t>
        </is>
      </c>
      <c r="C5" s="71" t="n"/>
      <c r="D5" s="71" t="n"/>
      <c r="E5" s="71" t="n"/>
      <c r="G5" s="25" t="inlineStr">
        <is>
          <t>دليل الألوان</t>
        </is>
      </c>
    </row>
    <row r="6" ht="21" customHeight="1">
      <c r="B6" s="74" t="inlineStr">
        <is>
          <t>اسم المشروع</t>
        </is>
      </c>
      <c r="C6" s="75" t="inlineStr">
        <is>
          <t>مشروع تأهيل أبراج طيبة - المنطقة المركزية شارع الهجرة</t>
        </is>
      </c>
      <c r="D6" s="75" t="n"/>
      <c r="E6" s="75" t="n"/>
      <c r="G6" s="76" t="inlineStr">
        <is>
          <t>خلية إدخال — اكتب هنا</t>
        </is>
      </c>
    </row>
    <row r="7" ht="21" customHeight="1">
      <c r="B7" s="74" t="inlineStr">
        <is>
          <t>رقم العقد</t>
        </is>
      </c>
      <c r="C7" s="75" t="inlineStr">
        <is>
          <t>CT-2025-014</t>
        </is>
      </c>
      <c r="D7" s="75" t="n"/>
      <c r="E7" s="75" t="n"/>
      <c r="G7" s="30" t="inlineStr">
        <is>
          <t>خلية محسوبة بمعادلة — لا تعدلها</t>
        </is>
      </c>
    </row>
    <row r="8" ht="21" customHeight="1">
      <c r="B8" s="74" t="inlineStr">
        <is>
          <t>المالك / العميل</t>
        </is>
      </c>
      <c r="C8" s="75" t="inlineStr">
        <is>
          <t>شركة ثروات الرائدة العقارية</t>
        </is>
      </c>
      <c r="D8" s="75" t="n"/>
      <c r="E8" s="75" t="n"/>
      <c r="G8" s="77" t="inlineStr">
        <is>
          <t>عنوان / رأس جدول</t>
        </is>
      </c>
    </row>
    <row r="9" ht="21" customHeight="1">
      <c r="B9" s="74" t="inlineStr">
        <is>
          <t>المقاول</t>
        </is>
      </c>
      <c r="C9" s="75" t="inlineStr">
        <is>
          <t>مؤسسة البناء المتقن للمقاولات</t>
        </is>
      </c>
      <c r="D9" s="75" t="n"/>
      <c r="E9" s="75" t="n"/>
    </row>
    <row r="10" ht="21" customHeight="1">
      <c r="B10" s="74" t="inlineStr">
        <is>
          <t>الاستشاري / الجهة المشرفة</t>
        </is>
      </c>
      <c r="C10" s="75" t="inlineStr">
        <is>
          <t>مكتب الهندسة الاستشارية</t>
        </is>
      </c>
      <c r="D10" s="75" t="n"/>
      <c r="E10" s="75" t="n"/>
      <c r="G10" s="78" t="inlineStr">
        <is>
          <t>• غيّر أسماء الأقسام بحرية؛ ستتحدث القوائم ولوحة التحكم تلقائياً.</t>
        </is>
      </c>
    </row>
    <row r="11" ht="21" customHeight="1">
      <c r="B11" s="74" t="inlineStr">
        <is>
          <t>موقع المشروع</t>
        </is>
      </c>
      <c r="C11" s="75" t="inlineStr">
        <is>
          <t>المدينة المنورة - المنطقة المركزية</t>
        </is>
      </c>
      <c r="D11" s="75" t="n"/>
      <c r="E11" s="75" t="n"/>
      <c r="G11" s="78" t="inlineStr">
        <is>
          <t>• نسبة الضريبة تطبق على جميع المستخلصات.</t>
        </is>
      </c>
    </row>
    <row r="12" ht="21" customHeight="1">
      <c r="B12" s="74" t="inlineStr">
        <is>
          <t>تاريخ توقيع العقد</t>
        </is>
      </c>
      <c r="C12" s="79" t="n">
        <v>46068</v>
      </c>
      <c r="D12" s="79" t="n"/>
      <c r="E12" s="79" t="n"/>
      <c r="G12" s="78" t="inlineStr">
        <is>
          <t>• نسب الدفعة المقدمة والضمان تُضبط من صفحاتها الخاصة.</t>
        </is>
      </c>
    </row>
    <row r="13" ht="21" customHeight="1">
      <c r="B13" s="74" t="inlineStr">
        <is>
          <t>تاريخ بدء التنفيذ (استلام الموقع)</t>
        </is>
      </c>
      <c r="C13" s="79" t="n">
        <v>46082</v>
      </c>
      <c r="D13" s="79" t="n"/>
      <c r="E13" s="79" t="n"/>
    </row>
    <row r="14" ht="21" customHeight="1">
      <c r="B14" s="74" t="inlineStr">
        <is>
          <t>مدة العقد (يوم)</t>
        </is>
      </c>
      <c r="C14" s="80" t="n">
        <v>365</v>
      </c>
      <c r="D14" s="80" t="n"/>
      <c r="E14" s="80" t="n"/>
    </row>
    <row r="15" ht="21" customHeight="1">
      <c r="B15" s="74" t="inlineStr">
        <is>
          <t>تاريخ الانتهاء المخطط</t>
        </is>
      </c>
      <c r="C15" s="81">
        <f>IF(OR(C13="",C14=""),"",C13+C14)</f>
        <v>46447</v>
      </c>
      <c r="D15" s="81" t="n"/>
      <c r="E15" s="81" t="n"/>
    </row>
    <row r="16" ht="21" customHeight="1">
      <c r="B16" s="74" t="inlineStr">
        <is>
          <t>العملة</t>
        </is>
      </c>
      <c r="C16" s="75" t="inlineStr">
        <is>
          <t>ريال سعودي</t>
        </is>
      </c>
      <c r="D16" s="75" t="n"/>
      <c r="E16" s="75" t="n"/>
    </row>
    <row r="17" ht="21" customHeight="1">
      <c r="B17" s="71" t="inlineStr">
        <is>
          <t>النسب والقيم المالية العامة</t>
        </is>
      </c>
      <c r="C17" s="71" t="n"/>
      <c r="D17" s="71" t="n"/>
      <c r="E17" s="71" t="n"/>
    </row>
    <row r="18" ht="21" customHeight="1">
      <c r="B18" s="74" t="inlineStr">
        <is>
          <t>نسبة ضريبة القيمة المضافة</t>
        </is>
      </c>
      <c r="C18" s="82" t="n">
        <v>0.15</v>
      </c>
      <c r="D18" s="82" t="n"/>
      <c r="E18" s="82" t="n"/>
    </row>
    <row r="19" ht="21" customHeight="1">
      <c r="B19" s="74" t="inlineStr">
        <is>
          <t>قيمة العقد (محسوبة من جدول الكميات)</t>
        </is>
      </c>
      <c r="C19" s="27">
        <f>'جدول الكميات'!G16</f>
        <v>278913</v>
      </c>
      <c r="D19" s="27" t="n"/>
      <c r="E19" s="27" t="n"/>
    </row>
    <row r="20" ht="21" customHeight="1">
      <c r="B20" s="74" t="inlineStr">
        <is>
          <t>قيمة العقد شاملة الضريبة</t>
        </is>
      </c>
      <c r="C20" s="27">
        <f>C19*(1+C18)</f>
        <v>320749.94999999995</v>
      </c>
      <c r="D20" s="27" t="n"/>
      <c r="E20" s="27" t="n"/>
    </row>
    <row r="21" ht="21" customHeight="1">
      <c r="B21" s="71" t="inlineStr">
        <is>
          <t>أقسام الأعمال (تظهر في جدول الكميات ولوحة التحكم)</t>
        </is>
      </c>
      <c r="C21" s="71" t="n"/>
      <c r="D21" s="71" t="n"/>
      <c r="E21" s="71" t="n"/>
    </row>
    <row r="22" ht="21" customHeight="1">
      <c r="B22" s="74" t="inlineStr">
        <is>
          <t>القسم 1</t>
        </is>
      </c>
      <c r="C22" s="75" t="inlineStr">
        <is>
          <t>أعمال الهيكل والترميم</t>
        </is>
      </c>
      <c r="D22" s="75" t="n"/>
      <c r="E22" s="75" t="n"/>
    </row>
    <row r="23" ht="21" customHeight="1">
      <c r="B23" s="74" t="inlineStr">
        <is>
          <t>القسم 2</t>
        </is>
      </c>
      <c r="C23" s="75" t="inlineStr">
        <is>
          <t>الواجهات والزجاج</t>
        </is>
      </c>
      <c r="D23" s="75" t="n"/>
      <c r="E23" s="75" t="n"/>
    </row>
    <row r="24" ht="21" customHeight="1">
      <c r="B24" s="74" t="inlineStr">
        <is>
          <t>القسم 3</t>
        </is>
      </c>
      <c r="C24" s="75" t="inlineStr">
        <is>
          <t>الأعمال المعدنية</t>
        </is>
      </c>
      <c r="D24" s="75" t="n"/>
      <c r="E24" s="75" t="n"/>
    </row>
    <row r="25" ht="21" customHeight="1">
      <c r="B25" s="74" t="inlineStr">
        <is>
          <t>القسم 4</t>
        </is>
      </c>
      <c r="C25" s="75" t="inlineStr">
        <is>
          <t>التشطيبات الداخلية</t>
        </is>
      </c>
      <c r="D25" s="75" t="n"/>
      <c r="E25" s="75" t="n"/>
    </row>
    <row r="26" ht="21" customHeight="1">
      <c r="B26" s="74" t="inlineStr">
        <is>
          <t>القسم 5</t>
        </is>
      </c>
      <c r="C26" s="75" t="inlineStr">
        <is>
          <t>دورات المياه</t>
        </is>
      </c>
      <c r="D26" s="75" t="n"/>
      <c r="E26" s="75" t="n"/>
    </row>
    <row r="27" ht="21" customHeight="1">
      <c r="B27" s="74" t="inlineStr">
        <is>
          <t>القسم 6</t>
        </is>
      </c>
      <c r="C27" s="75" t="inlineStr">
        <is>
          <t>الأعمال الكهربائية</t>
        </is>
      </c>
      <c r="D27" s="75" t="n"/>
      <c r="E27" s="75" t="n"/>
    </row>
    <row r="28" ht="21" customHeight="1">
      <c r="B28" s="74" t="inlineStr">
        <is>
          <t>القسم 7</t>
        </is>
      </c>
      <c r="C28" s="75" t="inlineStr">
        <is>
          <t>الأعمال الصحية والتكييف</t>
        </is>
      </c>
      <c r="D28" s="75" t="n"/>
      <c r="E28" s="75" t="n"/>
    </row>
    <row r="29" ht="21" customHeight="1">
      <c r="B29" s="74" t="inlineStr">
        <is>
          <t>القسم 8</t>
        </is>
      </c>
      <c r="C29" s="75" t="inlineStr">
        <is>
          <t>أعمال عامة وخارجية</t>
        </is>
      </c>
      <c r="D29" s="75" t="n"/>
      <c r="E29" s="75" t="n"/>
    </row>
    <row r="30" ht="21" customHeight="1">
      <c r="B30" s="74" t="inlineStr">
        <is>
          <t>القسم 9</t>
        </is>
      </c>
      <c r="C30" s="75" t="n"/>
      <c r="D30" s="75" t="n"/>
      <c r="E30" s="75" t="n"/>
    </row>
    <row r="31" ht="21" customHeight="1">
      <c r="B31" s="74" t="inlineStr">
        <is>
          <t>القسم 10</t>
        </is>
      </c>
      <c r="C31" s="75" t="n"/>
      <c r="D31" s="75" t="n"/>
      <c r="E31" s="75" t="n"/>
    </row>
    <row r="32" ht="21" customHeight="1">
      <c r="B32" s="74" t="inlineStr">
        <is>
          <t>القسم 11</t>
        </is>
      </c>
      <c r="C32" s="75" t="n"/>
      <c r="D32" s="75" t="n"/>
      <c r="E32" s="75" t="n"/>
    </row>
    <row r="33" ht="21" customHeight="1">
      <c r="B33" s="74" t="inlineStr">
        <is>
          <t>القسم 12</t>
        </is>
      </c>
      <c r="C33" s="75" t="n"/>
      <c r="D33" s="75" t="n"/>
      <c r="E33" s="75" t="n"/>
    </row>
    <row r="34" ht="21" customHeight="1"/>
    <row r="35" ht="21" customHeight="1">
      <c r="B35" s="71" t="inlineStr">
        <is>
          <t>أسماء المعتمدين (تظهر أسفل كل مستخلص)</t>
        </is>
      </c>
      <c r="C35" s="71" t="n"/>
      <c r="D35" s="71" t="n"/>
      <c r="E35" s="71" t="n"/>
    </row>
    <row r="36" ht="21" customHeight="1">
      <c r="B36" s="74" t="inlineStr">
        <is>
          <t>مهندس الموقع (المقاول)</t>
        </is>
      </c>
      <c r="C36" s="75" t="inlineStr">
        <is>
          <t>م. أحمد محمد</t>
        </is>
      </c>
      <c r="D36" s="75" t="n"/>
      <c r="E36" s="75" t="n"/>
    </row>
    <row r="37" ht="21" customHeight="1">
      <c r="B37" s="74" t="inlineStr">
        <is>
          <t>مدير المشروع (المقاول)</t>
        </is>
      </c>
      <c r="C37" s="75" t="inlineStr">
        <is>
          <t>م. خالد عبدالله</t>
        </is>
      </c>
      <c r="D37" s="75" t="n"/>
      <c r="E37" s="75" t="n"/>
    </row>
    <row r="38" ht="21" customHeight="1">
      <c r="B38" s="74" t="inlineStr">
        <is>
          <t>المهندس المشرف (الاستشاري)</t>
        </is>
      </c>
      <c r="C38" s="75" t="inlineStr">
        <is>
          <t>م. سامي علي</t>
        </is>
      </c>
      <c r="D38" s="75" t="n"/>
      <c r="E38" s="75" t="n"/>
    </row>
    <row r="39" ht="21" customHeight="1">
      <c r="B39" s="74" t="inlineStr">
        <is>
          <t>ممثل المالك</t>
        </is>
      </c>
      <c r="C39" s="75" t="inlineStr">
        <is>
          <t>أ. فهد سعد</t>
        </is>
      </c>
      <c r="D39" s="75" t="n"/>
      <c r="E39" s="75" t="n"/>
    </row>
  </sheetData>
  <sheetProtection selectLockedCells="0" selectUnlockedCells="0" sheet="1" objects="0" insertRows="1" insertHyperlinks="1" autoFilter="0" scenarios="0" formatColumns="1" deleteColumns="1" insertColumns="1" pivotTables="1" deleteRows="1" formatCells="1" formatRows="1" sort="0" password="FFA5"/>
  <mergeCells count="36">
    <mergeCell ref="C16:E16"/>
    <mergeCell ref="B2:G2"/>
    <mergeCell ref="C31:E31"/>
    <mergeCell ref="C22:E22"/>
    <mergeCell ref="B1:G1"/>
    <mergeCell ref="C9:E9"/>
    <mergeCell ref="B5:E5"/>
    <mergeCell ref="C12:E12"/>
    <mergeCell ref="C36:E36"/>
    <mergeCell ref="C11:E11"/>
    <mergeCell ref="C27:E27"/>
    <mergeCell ref="B35:E35"/>
    <mergeCell ref="C23:E23"/>
    <mergeCell ref="C39:E39"/>
    <mergeCell ref="C8:E8"/>
    <mergeCell ref="C7:E7"/>
    <mergeCell ref="C32:E32"/>
    <mergeCell ref="C38:E38"/>
    <mergeCell ref="C28:E28"/>
    <mergeCell ref="C13:E13"/>
    <mergeCell ref="C19:E19"/>
    <mergeCell ref="C37:E37"/>
    <mergeCell ref="B21:E21"/>
    <mergeCell ref="C18:E18"/>
    <mergeCell ref="C30:E30"/>
    <mergeCell ref="C15:E15"/>
    <mergeCell ref="C6:E6"/>
    <mergeCell ref="C24:E24"/>
    <mergeCell ref="B17:E17"/>
    <mergeCell ref="C33:E33"/>
    <mergeCell ref="C14:E14"/>
    <mergeCell ref="C26:E26"/>
    <mergeCell ref="C29:E29"/>
    <mergeCell ref="C20:E20"/>
    <mergeCell ref="C25:E25"/>
    <mergeCell ref="C10:E10"/>
  </mergeCells>
  <dataValidations count="2">
    <dataValidation sqref="C18" showDropDown="0" showInputMessage="1" showErrorMessage="1" allowBlank="1" errorTitle="قيمة غير صحيحة" error="أدخل قيمة بين 0 و 1" promptTitle="إرشاد" prompt="مثال: 15% تكتب 0.15 أو 15%" type="decimal" operator="between">
      <formula1>0</formula1>
      <formula2>1</formula2>
    </dataValidation>
    <dataValidation sqref="C12:C13" showDropDown="0" showInputMessage="0" showErrorMessage="1" allowBlank="1" errorTitle="تاريخ غير صحيح" error="أدخل تاريخاً صحيحاً (مثال: 2025/10/08)" type="date" operator="greaterThan">
      <formula1>36526</formula1>
    </dataValidation>
  </dataValidations>
  <hyperlinks>
    <hyperlink xmlns:r="http://schemas.openxmlformats.org/officeDocument/2006/relationships" ref="B2" r:id="rId1"/>
    <hyperlink ref="B3" location="'لوحة التحكم'!A1" display="🏠 لوحة التحكم"/>
    <hyperlink ref="C3" location="'جدول الكميات'!A1" display="📋 جدول الكميات"/>
    <hyperlink ref="D3" location="'سجل المستخلصات'!A1" display="🗂 سجل المستخلصات"/>
    <hyperlink ref="E3" location="'الدفعات المقدمة'!A1" display="💵 الدفعات المقدمة"/>
    <hyperlink ref="G3" location="'ضمان الأعمال'!A1" display="🔒 ضمان الأعمال"/>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worksheet>
</file>

<file path=xl/worksheets/sheet5.xml><?xml version="1.0" encoding="utf-8"?>
<worksheet xmlns="http://schemas.openxmlformats.org/spreadsheetml/2006/main">
  <sheetPr>
    <tabColor rgb="FF2E7D7A"/>
    <outlinePr summaryBelow="1" summaryRight="1"/>
    <pageSetUpPr fitToPage="1"/>
  </sheetPr>
  <dimension ref="A1:N16"/>
  <sheetViews>
    <sheetView showGridLines="0" rightToLeft="1" zoomScale="90"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52" customWidth="1" min="3" max="3"/>
    <col width="9" customWidth="1" min="4" max="4"/>
    <col width="12" customWidth="1" min="5" max="5"/>
    <col width="12" customWidth="1" min="6" max="6"/>
    <col width="16" customWidth="1" min="7" max="7"/>
    <col width="9" customWidth="1" min="8" max="8"/>
    <col width="12" customWidth="1" min="9" max="9"/>
    <col width="11" customWidth="1" min="10" max="10"/>
    <col width="16" customWidth="1" min="11" max="11"/>
    <col width="11" customWidth="1" min="12" max="12"/>
    <col width="20" customWidth="1" min="13" max="13"/>
    <col width="24" customWidth="1" min="14" max="14"/>
  </cols>
  <sheetData>
    <row r="1" ht="38" customHeight="1">
      <c r="A1" s="1" t="inlineStr">
        <is>
          <t>📋 جدول الكميات والأسعار (BOQ) — ومتابعة تنفيذ البنود</t>
        </is>
      </c>
      <c r="B1" s="1" t="n"/>
      <c r="C1" s="1" t="n"/>
      <c r="D1" s="1" t="n"/>
      <c r="E1" s="1" t="n"/>
      <c r="F1" s="1" t="n"/>
      <c r="G1" s="1" t="n"/>
      <c r="H1" s="1" t="n"/>
      <c r="I1" s="1" t="n"/>
      <c r="J1" s="1" t="n"/>
      <c r="K1" s="1" t="n"/>
      <c r="L1" s="1" t="n"/>
      <c r="M1" s="1" t="n"/>
      <c r="N1" s="1" t="n"/>
    </row>
    <row r="2" ht="20" customHeight="1">
      <c r="A2" s="2" t="inlineStr">
        <is>
          <t>🎁 نسخة مجانية محدودة (3 مستخلصات • 10 بنود)   —   للنسخة الكاملة (25 مستخلص • 100 بند • بدون قيود) اضغط هنا ⬅ accopro.net</t>
        </is>
      </c>
      <c r="B2" s="2" t="n"/>
      <c r="C2" s="2" t="n"/>
      <c r="D2" s="2" t="n"/>
      <c r="E2" s="2" t="n"/>
      <c r="F2" s="2" t="n"/>
      <c r="G2" s="2" t="n"/>
      <c r="H2" s="2" t="n"/>
      <c r="I2" s="2" t="n"/>
      <c r="J2" s="2" t="n"/>
      <c r="K2" s="2" t="n"/>
      <c r="L2" s="2" t="n"/>
      <c r="M2" s="2" t="n"/>
      <c r="N2" s="2" t="n"/>
    </row>
    <row r="3" ht="24" customHeight="1">
      <c r="A3" s="70" t="inlineStr">
        <is>
          <t>🏠 لوحة التحكم</t>
        </is>
      </c>
      <c r="B3" s="70" t="n"/>
      <c r="C3" s="3" t="inlineStr">
        <is>
          <t>⚙ الإعدادات</t>
        </is>
      </c>
      <c r="D3" s="3" t="inlineStr">
        <is>
          <t>🗂 سجل المستخلصات</t>
        </is>
      </c>
      <c r="E3" s="3" t="n"/>
      <c r="F3" s="3" t="inlineStr">
        <is>
          <t>💵 الدفعات المقدمة</t>
        </is>
      </c>
      <c r="G3" s="3" t="n"/>
      <c r="H3" s="3" t="inlineStr">
        <is>
          <t>🔒 ضمان الأعمال</t>
        </is>
      </c>
      <c r="I3" s="3" t="n"/>
      <c r="J3" s="4" t="inlineStr">
        <is>
          <t>📄 مستخلص 1</t>
        </is>
      </c>
      <c r="K3" s="4" t="n"/>
    </row>
    <row r="4" ht="30" customHeight="1">
      <c r="A4" s="83" t="inlineStr">
        <is>
          <t>أضف البنود في الصفوف الفارغة (حتى 10 بند). الأعمدة الصفراء إدخال، والأعمدة من I إلى M تُحسب تلقائياً من المستخلصات. (نسبة الكمية) = ما تم تركيبه، و(نسبة الإنجاز الفعلية) = القيمة المستحقة ÷ قيمة البند، فتظهر النواقص (مثل الإكسسوارات) حتى لو اكتملت الكمية. لا تحذف صفوفاً ولا تُدرج صفوفاً بين البنود.</t>
        </is>
      </c>
      <c r="B4" s="83" t="n"/>
      <c r="C4" s="83" t="n"/>
      <c r="D4" s="83" t="n"/>
      <c r="E4" s="83" t="n"/>
      <c r="F4" s="83" t="n"/>
      <c r="G4" s="83" t="n"/>
      <c r="H4" s="83" t="n"/>
      <c r="I4" s="83" t="n"/>
      <c r="J4" s="83" t="n"/>
      <c r="K4" s="83" t="n"/>
      <c r="L4" s="83" t="n"/>
      <c r="M4" s="83" t="n"/>
      <c r="N4" s="83" t="n"/>
    </row>
    <row r="5" ht="40" customHeight="1">
      <c r="A5" s="84" t="inlineStr">
        <is>
          <t>رقم البند</t>
        </is>
      </c>
      <c r="B5" s="84" t="inlineStr">
        <is>
          <t>القسم</t>
        </is>
      </c>
      <c r="C5" s="84" t="inlineStr">
        <is>
          <t>بيان الأعمال</t>
        </is>
      </c>
      <c r="D5" s="84" t="inlineStr">
        <is>
          <t>الوحدة</t>
        </is>
      </c>
      <c r="E5" s="84" t="inlineStr">
        <is>
          <t>الكمية التعاقدية</t>
        </is>
      </c>
      <c r="F5" s="84" t="inlineStr">
        <is>
          <t>سعر الوحدة</t>
        </is>
      </c>
      <c r="G5" s="84" t="inlineStr">
        <is>
          <t>الإجمالي</t>
        </is>
      </c>
      <c r="H5" s="84" t="inlineStr">
        <is>
          <t>الوزن النسبي</t>
        </is>
      </c>
      <c r="I5" s="84" t="inlineStr">
        <is>
          <t>الكمية المنفذة حتى تاريخه</t>
        </is>
      </c>
      <c r="J5" s="84" t="inlineStr">
        <is>
          <t>نسبة الكمية المنفذة</t>
        </is>
      </c>
      <c r="K5" s="84" t="inlineStr">
        <is>
          <t>القيمة المستحقة حتى تاريخه</t>
        </is>
      </c>
      <c r="L5" s="84" t="inlineStr">
        <is>
          <t>نسبة الإنجاز الفعلية</t>
        </is>
      </c>
      <c r="M5" s="84" t="inlineStr">
        <is>
          <t>حالة البند</t>
        </is>
      </c>
      <c r="N5" s="84" t="inlineStr">
        <is>
          <t>ملاحظات / النواقص</t>
        </is>
      </c>
    </row>
    <row r="6">
      <c r="A6" s="85" t="n">
        <v>1</v>
      </c>
      <c r="B6" s="75" t="inlineStr">
        <is>
          <t>الواجهات والزجاج</t>
        </is>
      </c>
      <c r="C6" s="86" t="inlineStr">
        <is>
          <t>توريد وتركيب هندريل زجاج مع كبسة أستيل لدور الميزانين</t>
        </is>
      </c>
      <c r="D6" s="85" t="inlineStr">
        <is>
          <t>م.ط</t>
        </is>
      </c>
      <c r="E6" s="87" t="n">
        <v>7.54</v>
      </c>
      <c r="F6" s="87" t="n">
        <v>650</v>
      </c>
      <c r="G6" s="88">
        <f>ROUND(E6*F6,2)</f>
        <v>4901</v>
      </c>
      <c r="H6" s="28">
        <f>IF($G$16=0,0,G6/$G$16)</f>
        <v>0.01757178761836128</v>
      </c>
      <c r="I6" s="89">
        <f>'مستخلص 3'!H8</f>
        <v>7.54</v>
      </c>
      <c r="J6" s="28">
        <f>IF(E6=0,0,I6/E6)</f>
        <v>1</v>
      </c>
      <c r="K6" s="89">
        <f>'مستخلص 3'!N8</f>
        <v>4901</v>
      </c>
      <c r="L6" s="47">
        <f>IF(G6=0,0,K6/G6)</f>
        <v>1</v>
      </c>
      <c r="M6" s="30" t="str">
        <f>IF(C6="","",IF(I6=0,"○ لم يبدأ",IF(AND(G6&gt;0,K6&gt;=G6),"✔ مكتمل",IF(AND(E6&gt;0,I6&gt;=E6),"⚠ مركب بالكامل - نواقص","◔ جاري"))))</f>
        <v>✔ مكتمل</v>
      </c>
      <c r="N6" s="75" t="n"/>
    </row>
    <row r="7">
      <c r="A7" s="85" t="n">
        <v>2</v>
      </c>
      <c r="B7" s="75" t="inlineStr">
        <is>
          <t>دورات المياه</t>
        </is>
      </c>
      <c r="C7" s="86" t="inlineStr">
        <is>
          <t>توريد وتركيب مرايات لحمامات الدور الأرضي</t>
        </is>
      </c>
      <c r="D7" s="85" t="inlineStr">
        <is>
          <t>عدد</t>
        </is>
      </c>
      <c r="E7" s="87" t="n">
        <v>5</v>
      </c>
      <c r="F7" s="87" t="n">
        <v>800</v>
      </c>
      <c r="G7" s="88">
        <f>ROUND(E7*F7,2)</f>
        <v>4000</v>
      </c>
      <c r="H7" s="28">
        <f>IF($G$16=0,0,G7/$G$16)</f>
        <v>0.014341389608946159</v>
      </c>
      <c r="I7" s="89">
        <f>'مستخلص 3'!H9</f>
        <v>4.25</v>
      </c>
      <c r="J7" s="28">
        <f>IF(E7=0,0,I7/E7)</f>
        <v>0.85</v>
      </c>
      <c r="K7" s="89">
        <f>'مستخلص 3'!N9</f>
        <v>3400</v>
      </c>
      <c r="L7" s="47">
        <f>IF(G7=0,0,K7/G7)</f>
        <v>0.85</v>
      </c>
      <c r="M7" s="30" t="str">
        <f>IF(C7="","",IF(I7=0,"○ لم يبدأ",IF(AND(G7&gt;0,K7&gt;=G7),"✔ مكتمل",IF(AND(E7&gt;0,I7&gt;=E7),"⚠ مركب بالكامل - نواقص","◔ جاري"))))</f>
        <v>◔ جاري</v>
      </c>
      <c r="N7" s="75" t="n"/>
    </row>
    <row r="8">
      <c r="A8" s="85" t="n">
        <v>3</v>
      </c>
      <c r="B8" s="75" t="inlineStr">
        <is>
          <t>الواجهات والزجاج</t>
        </is>
      </c>
      <c r="C8" s="86" t="inlineStr">
        <is>
          <t>تركيب زجاج هندريل لدور الميزانين</t>
        </is>
      </c>
      <c r="D8" s="85" t="inlineStr">
        <is>
          <t>م.ط</t>
        </is>
      </c>
      <c r="E8" s="87" t="n">
        <v>9.4</v>
      </c>
      <c r="F8" s="87" t="n">
        <v>150</v>
      </c>
      <c r="G8" s="88">
        <f>ROUND(E8*F8,2)</f>
        <v>1410</v>
      </c>
      <c r="H8" s="28">
        <f>IF($G$16=0,0,G8/$G$16)</f>
        <v>0.005055339837153521</v>
      </c>
      <c r="I8" s="89">
        <f>'مستخلص 3'!H10</f>
        <v>7.989999999999999</v>
      </c>
      <c r="J8" s="28">
        <f>IF(E8=0,0,I8/E8)</f>
        <v>0.8499999999999999</v>
      </c>
      <c r="K8" s="89">
        <f>'مستخلص 3'!N10</f>
        <v>1198.5</v>
      </c>
      <c r="L8" s="47">
        <f>IF(G8=0,0,K8/G8)</f>
        <v>0.85</v>
      </c>
      <c r="M8" s="30" t="str">
        <f>IF(C8="","",IF(I8=0,"○ لم يبدأ",IF(AND(G8&gt;0,K8&gt;=G8),"✔ مكتمل",IF(AND(E8&gt;0,I8&gt;=E8),"⚠ مركب بالكامل - نواقص","◔ جاري"))))</f>
        <v>◔ جاري</v>
      </c>
      <c r="N8" s="75" t="n"/>
    </row>
    <row r="9">
      <c r="A9" s="85" t="n">
        <v>4</v>
      </c>
      <c r="B9" s="75" t="inlineStr">
        <is>
          <t>الواجهات والزجاج</t>
        </is>
      </c>
      <c r="C9" s="86" t="inlineStr">
        <is>
          <t>فك وإعادة تركيب زجاج هندريل دور الميزانين</t>
        </is>
      </c>
      <c r="D9" s="85" t="inlineStr">
        <is>
          <t>م.ط</t>
        </is>
      </c>
      <c r="E9" s="87" t="n">
        <v>5.4</v>
      </c>
      <c r="F9" s="87" t="n">
        <v>300</v>
      </c>
      <c r="G9" s="88">
        <f>ROUND(E9*F9,2)</f>
        <v>1620</v>
      </c>
      <c r="H9" s="28">
        <f>IF($G$16=0,0,G9/$G$16)</f>
        <v>0.005808262791623195</v>
      </c>
      <c r="I9" s="89">
        <f>'مستخلص 3'!H11</f>
        <v>3.67</v>
      </c>
      <c r="J9" s="28">
        <f>IF(E9=0,0,I9/E9)</f>
        <v>0.6796296296296296</v>
      </c>
      <c r="K9" s="89">
        <f>'مستخلص 3'!N11</f>
        <v>1101</v>
      </c>
      <c r="L9" s="47">
        <f>IF(G9=0,0,K9/G9)</f>
        <v>0.6796296296296296</v>
      </c>
      <c r="M9" s="30" t="str">
        <f>IF(C9="","",IF(I9=0,"○ لم يبدأ",IF(AND(G9&gt;0,K9&gt;=G9),"✔ مكتمل",IF(AND(E9&gt;0,I9&gt;=E9),"⚠ مركب بالكامل - نواقص","◔ جاري"))))</f>
        <v>◔ جاري</v>
      </c>
      <c r="N9" s="75" t="n"/>
    </row>
    <row r="10">
      <c r="A10" s="85" t="n">
        <v>5</v>
      </c>
      <c r="B10" s="75" t="inlineStr">
        <is>
          <t>الأعمال المعدنية</t>
        </is>
      </c>
      <c r="C10" s="86" t="inlineStr">
        <is>
          <t>فك وتلحيم مواسير أستيل (كبسة) فوق الزجاج وإعادة تركيبه لدور الميزانين</t>
        </is>
      </c>
      <c r="D10" s="85" t="inlineStr">
        <is>
          <t>م.ط</t>
        </is>
      </c>
      <c r="E10" s="87" t="n">
        <v>31.48</v>
      </c>
      <c r="F10" s="87" t="n">
        <v>150</v>
      </c>
      <c r="G10" s="88">
        <f>ROUND(E10*F10,2)</f>
        <v>4722</v>
      </c>
      <c r="H10" s="28">
        <f>IF($G$16=0,0,G10/$G$16)</f>
        <v>0.01693001043336094</v>
      </c>
      <c r="I10" s="89">
        <f>'مستخلص 3'!H12</f>
        <v>31.48</v>
      </c>
      <c r="J10" s="28">
        <f>IF(E10=0,0,I10/E10)</f>
        <v>1</v>
      </c>
      <c r="K10" s="89">
        <f>'مستخلص 3'!N12</f>
        <v>4722</v>
      </c>
      <c r="L10" s="47">
        <f>IF(G10=0,0,K10/G10)</f>
        <v>1</v>
      </c>
      <c r="M10" s="30" t="str">
        <f>IF(C10="","",IF(I10=0,"○ لم يبدأ",IF(AND(G10&gt;0,K10&gt;=G10),"✔ مكتمل",IF(AND(E10&gt;0,I10&gt;=E10),"⚠ مركب بالكامل - نواقص","◔ جاري"))))</f>
        <v>✔ مكتمل</v>
      </c>
      <c r="N10" s="75" t="n"/>
    </row>
    <row r="11">
      <c r="A11" s="85" t="n">
        <v>6</v>
      </c>
      <c r="B11" s="75" t="inlineStr">
        <is>
          <t>دورات المياه</t>
        </is>
      </c>
      <c r="C11" s="86" t="inlineStr">
        <is>
          <t>فك وإعادة تركيب أبواب الشوارات للحمامات (ثابت ومتحرك)</t>
        </is>
      </c>
      <c r="D11" s="85" t="inlineStr">
        <is>
          <t>عدد</t>
        </is>
      </c>
      <c r="E11" s="87" t="n">
        <v>33</v>
      </c>
      <c r="F11" s="87" t="n">
        <v>300</v>
      </c>
      <c r="G11" s="88">
        <f>ROUND(E11*F11,2)</f>
        <v>9900</v>
      </c>
      <c r="H11" s="28">
        <f>IF($G$16=0,0,G11/$G$16)</f>
        <v>0.035494939282141744</v>
      </c>
      <c r="I11" s="89">
        <f>'مستخلص 3'!H13</f>
        <v>28.050000000000004</v>
      </c>
      <c r="J11" s="28">
        <f>IF(E11=0,0,I11/E11)</f>
        <v>0.8500000000000001</v>
      </c>
      <c r="K11" s="89">
        <f>'مستخلص 3'!N13</f>
        <v>8415</v>
      </c>
      <c r="L11" s="47">
        <f>IF(G11=0,0,K11/G11)</f>
        <v>0.85</v>
      </c>
      <c r="M11" s="30" t="str">
        <f>IF(C11="","",IF(I11=0,"○ لم يبدأ",IF(AND(G11&gt;0,K11&gt;=G11),"✔ مكتمل",IF(AND(E11&gt;0,I11&gt;=E11),"⚠ مركب بالكامل - نواقص","◔ جاري"))))</f>
        <v>◔ جاري</v>
      </c>
      <c r="N11" s="75" t="n"/>
    </row>
    <row r="12">
      <c r="A12" s="85" t="n">
        <v>7</v>
      </c>
      <c r="B12" s="75" t="inlineStr">
        <is>
          <t>الواجهات والزجاج</t>
        </is>
      </c>
      <c r="C12" s="86" t="inlineStr">
        <is>
          <t>تركيب شبابيك للواجهات الخلفية والجانبية بين الأبراج</t>
        </is>
      </c>
      <c r="D12" s="85" t="inlineStr">
        <is>
          <t>عدد</t>
        </is>
      </c>
      <c r="E12" s="87" t="n">
        <v>343</v>
      </c>
      <c r="F12" s="87" t="n">
        <v>120</v>
      </c>
      <c r="G12" s="88">
        <f>ROUND(E12*F12,2)</f>
        <v>41160</v>
      </c>
      <c r="H12" s="28">
        <f>IF($G$16=0,0,G12/$G$16)</f>
        <v>0.14757289907605597</v>
      </c>
      <c r="I12" s="89">
        <f>'مستخلص 3'!H14</f>
        <v>343</v>
      </c>
      <c r="J12" s="28">
        <f>IF(E12=0,0,I12/E12)</f>
        <v>1</v>
      </c>
      <c r="K12" s="89">
        <f>'مستخلص 3'!N14</f>
        <v>41160</v>
      </c>
      <c r="L12" s="47">
        <f>IF(G12=0,0,K12/G12)</f>
        <v>1</v>
      </c>
      <c r="M12" s="30" t="str">
        <f>IF(C12="","",IF(I12=0,"○ لم يبدأ",IF(AND(G12&gt;0,K12&gt;=G12),"✔ مكتمل",IF(AND(E12&gt;0,I12&gt;=E12),"⚠ مركب بالكامل - نواقص","◔ جاري"))))</f>
        <v>✔ مكتمل</v>
      </c>
      <c r="N12" s="75" t="inlineStr">
        <is>
          <t>مركبة بالكامل - تنقصها الإكسسوارات (مقابض ومحابس)</t>
        </is>
      </c>
    </row>
    <row r="13">
      <c r="A13" s="85" t="n">
        <v>8</v>
      </c>
      <c r="B13" s="75" t="inlineStr">
        <is>
          <t>الواجهات والزجاج</t>
        </is>
      </c>
      <c r="C13" s="86" t="inlineStr">
        <is>
          <t>فك شبابيك الواجهات الخلفية مرة أخرى من أجل أعمال التلابيس</t>
        </is>
      </c>
      <c r="D13" s="85" t="inlineStr">
        <is>
          <t>عدد</t>
        </is>
      </c>
      <c r="E13" s="87" t="n">
        <v>58</v>
      </c>
      <c r="F13" s="87" t="n">
        <v>50</v>
      </c>
      <c r="G13" s="88">
        <f>ROUND(E13*F13,2)</f>
        <v>2900</v>
      </c>
      <c r="H13" s="28">
        <f>IF($G$16=0,0,G13/$G$16)</f>
        <v>0.010397507466485965</v>
      </c>
      <c r="I13" s="89">
        <f>'مستخلص 3'!H15</f>
        <v>49.300000000000004</v>
      </c>
      <c r="J13" s="28">
        <f>IF(E13=0,0,I13/E13)</f>
        <v>0.8500000000000001</v>
      </c>
      <c r="K13" s="89">
        <f>'مستخلص 3'!N15</f>
        <v>2465</v>
      </c>
      <c r="L13" s="47">
        <f>IF(G13=0,0,K13/G13)</f>
        <v>0.85</v>
      </c>
      <c r="M13" s="30" t="str">
        <f>IF(C13="","",IF(I13=0,"○ لم يبدأ",IF(AND(G13&gt;0,K13&gt;=G13),"✔ مكتمل",IF(AND(E13&gt;0,I13&gt;=E13),"⚠ مركب بالكامل - نواقص","◔ جاري"))))</f>
        <v>◔ جاري</v>
      </c>
      <c r="N13" s="75" t="n"/>
    </row>
    <row r="14">
      <c r="A14" s="85" t="n">
        <v>9</v>
      </c>
      <c r="B14" s="75" t="inlineStr">
        <is>
          <t>الأعمال المعدنية</t>
        </is>
      </c>
      <c r="C14" s="86" t="inlineStr">
        <is>
          <t>توريد وتركيب درابزين حديد لسلالم الطوارئ</t>
        </is>
      </c>
      <c r="D14" s="85" t="inlineStr">
        <is>
          <t>م.ط</t>
        </is>
      </c>
      <c r="E14" s="87" t="n">
        <v>262</v>
      </c>
      <c r="F14" s="87" t="n">
        <v>450</v>
      </c>
      <c r="G14" s="88">
        <f>ROUND(E14*F14,2)</f>
        <v>117900</v>
      </c>
      <c r="H14" s="28">
        <f>IF($G$16=0,0,G14/$G$16)</f>
        <v>0.422712458723688</v>
      </c>
      <c r="I14" s="89">
        <f>'مستخلص 3'!H16</f>
        <v>262</v>
      </c>
      <c r="J14" s="28">
        <f>IF(E14=0,0,I14/E14)</f>
        <v>1</v>
      </c>
      <c r="K14" s="89">
        <f>'مستخلص 3'!N16</f>
        <v>117900</v>
      </c>
      <c r="L14" s="47">
        <f>IF(G14=0,0,K14/G14)</f>
        <v>1</v>
      </c>
      <c r="M14" s="30" t="str">
        <f>IF(C14="","",IF(I14=0,"○ لم يبدأ",IF(AND(G14&gt;0,K14&gt;=G14),"✔ مكتمل",IF(AND(E14&gt;0,I14&gt;=E14),"⚠ مركب بالكامل - نواقص","◔ جاري"))))</f>
        <v>✔ مكتمل</v>
      </c>
      <c r="N14" s="75" t="n"/>
    </row>
    <row r="15">
      <c r="A15" s="85" t="n">
        <v>10</v>
      </c>
      <c r="B15" s="75" t="inlineStr">
        <is>
          <t>دورات المياه</t>
        </is>
      </c>
      <c r="C15" s="86" t="inlineStr">
        <is>
          <t>توريد وتركيب بارتشن ثابت (قواطع داخلية للحمامات)</t>
        </is>
      </c>
      <c r="D15" s="85" t="inlineStr">
        <is>
          <t>عدد</t>
        </is>
      </c>
      <c r="E15" s="87" t="n">
        <v>226</v>
      </c>
      <c r="F15" s="87" t="n">
        <v>400</v>
      </c>
      <c r="G15" s="88">
        <f>ROUND(E15*F15,2)</f>
        <v>90400</v>
      </c>
      <c r="H15" s="28">
        <f>IF($G$16=0,0,G15/$G$16)</f>
        <v>0.3241154051621832</v>
      </c>
      <c r="I15" s="89">
        <f>'مستخلص 3'!H17</f>
        <v>67.8</v>
      </c>
      <c r="J15" s="28">
        <f>IF(E15=0,0,I15/E15)</f>
        <v>0.3</v>
      </c>
      <c r="K15" s="89">
        <f>'مستخلص 3'!N17</f>
        <v>27120</v>
      </c>
      <c r="L15" s="47">
        <f>IF(G15=0,0,K15/G15)</f>
        <v>0.3</v>
      </c>
      <c r="M15" s="30" t="str">
        <f>IF(C15="","",IF(I15=0,"○ لم يبدأ",IF(AND(G15&gt;0,K15&gt;=G15),"✔ مكتمل",IF(AND(E15&gt;0,I15&gt;=E15),"⚠ مركب بالكامل - نواقص","◔ جاري"))))</f>
        <v>◔ جاري</v>
      </c>
      <c r="N15" s="75" t="n"/>
    </row>
    <row r="16">
      <c r="A16" s="52" t="inlineStr">
        <is>
          <t>الإجمالي</t>
        </is>
      </c>
      <c r="B16" s="52" t="n"/>
      <c r="C16" s="52" t="n"/>
      <c r="D16" s="52" t="n"/>
      <c r="E16" s="52" t="n"/>
      <c r="F16" s="52" t="n"/>
      <c r="G16" s="90">
        <f>SUM(G6:G15)</f>
        <v>278913</v>
      </c>
      <c r="H16" s="54">
        <f>SUM(H6:H15)</f>
        <v>0.9999999999999999</v>
      </c>
      <c r="I16" s="52" t="n"/>
      <c r="J16" s="52" t="n"/>
      <c r="K16" s="90">
        <f>SUM(K6:K15)</f>
        <v>212382.5</v>
      </c>
      <c r="L16" s="54">
        <f>IF(G16=0,0,K16/G16)</f>
        <v>0.7614650446555019</v>
      </c>
      <c r="M16" s="52" t="n"/>
      <c r="N16" s="52" t="n"/>
    </row>
  </sheetData>
  <sheetProtection selectLockedCells="0" selectUnlockedCells="0" sheet="1" objects="0" insertRows="1" insertHyperlinks="1" autoFilter="0" scenarios="0" formatColumns="1" deleteColumns="1" insertColumns="1" pivotTables="1" deleteRows="1" formatCells="1" formatRows="1" sort="0" password="FFA5"/>
  <autoFilter ref="A5:N15"/>
  <mergeCells count="9">
    <mergeCell ref="F3:G3"/>
    <mergeCell ref="A16:F16"/>
    <mergeCell ref="H3:I3"/>
    <mergeCell ref="J3:K3"/>
    <mergeCell ref="A4:N4"/>
    <mergeCell ref="A2:N2"/>
    <mergeCell ref="D3:E3"/>
    <mergeCell ref="A3:B3"/>
    <mergeCell ref="A1:N1"/>
  </mergeCells>
  <conditionalFormatting sqref="L6:L15">
    <cfRule type="dataBar" priority="1">
      <dataBar>
        <cfvo type="num" val="0"/>
        <cfvo type="num" val="1"/>
        <color rgb="FF2E7D7A"/>
      </dataBar>
    </cfRule>
  </conditionalFormatting>
  <conditionalFormatting sqref="M6:M15">
    <cfRule type="expression" priority="2" dxfId="0">
      <formula>ISNUMBER(SEARCH("✔",M6))</formula>
    </cfRule>
    <cfRule type="expression" priority="3" dxfId="1">
      <formula>ISNUMBER(SEARCH("⚠",M6))</formula>
    </cfRule>
    <cfRule type="expression" priority="4" dxfId="3">
      <formula>ISNUMBER(SEARCH("◔",M6))</formula>
    </cfRule>
  </conditionalFormatting>
  <conditionalFormatting sqref="I6:I15">
    <cfRule type="expression" priority="5" dxfId="2">
      <formula>AND(E6&gt;0,I6&gt;E6)</formula>
    </cfRule>
  </conditionalFormatting>
  <conditionalFormatting sqref="G6:K15">
    <cfRule type="expression" priority="6" dxfId="4">
      <formula>$C6=""</formula>
    </cfRule>
  </conditionalFormatting>
  <dataValidations count="2">
    <dataValidation sqref="B6:B15" showDropDown="0" showInputMessage="1" showErrorMessage="1" allowBlank="1" errorTitle="قيمة غير مسموحة" error="من فضلك اختر قيمة من القائمة المنسدلة." promptTitle="إرشاد" prompt="اختر القسم من القائمة (تعدل الأقسام من صفحة الإعدادات)" type="list" errorStyle="stop">
      <formula1>'الإعدادات'!$C$22:$C$33</formula1>
    </dataValidation>
    <dataValidation sqref="D6:D15" showDropDown="0" showInputMessage="0" showErrorMessage="0" allowBlank="1" errorTitle="قيمة غير مسموحة" error="من فضلك اختر قيمة من القائمة المنسدلة." type="list" errorStyle="warning">
      <formula1>"م.ط,م2,م3,عدد,طقم,نقطة,طن,كجم,لتر,مقطوعية"</formula1>
    </dataValidation>
  </dataValidations>
  <hyperlinks>
    <hyperlink xmlns:r="http://schemas.openxmlformats.org/officeDocument/2006/relationships" ref="A2" r:id="rId1"/>
    <hyperlink ref="A3" location="'لوحة التحكم'!A1" display="🏠 لوحة التحكم"/>
    <hyperlink ref="C3" location="'الإعدادات'!A1" display="⚙ الإعدادات"/>
    <hyperlink ref="D3" location="'سجل المستخلصات'!A1" display="🗂 سجل المستخلصات"/>
    <hyperlink ref="F3" location="'الدفعات المقدمة'!A1" display="💵 الدفعات المقدمة"/>
    <hyperlink ref="H3" location="'ضمان الأعمال'!A1" display="🔒 ضمان الأعمال"/>
    <hyperlink ref="J3" location="'مستخلص 1'!A1" display="📄 مستخلص 1"/>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worksheet>
</file>

<file path=xl/worksheets/sheet6.xml><?xml version="1.0" encoding="utf-8"?>
<worksheet xmlns="http://schemas.openxmlformats.org/spreadsheetml/2006/main">
  <sheetPr>
    <tabColor rgb="FF2E7D7A"/>
    <outlinePr summaryBelow="1" summaryRight="1"/>
    <pageSetUpPr fitToPage="1"/>
  </sheetPr>
  <dimension ref="B1:S9"/>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12" customWidth="1" min="3" max="3"/>
    <col width="11" customWidth="1" min="4" max="4"/>
    <col width="12" customWidth="1" min="5" max="5"/>
    <col width="12" customWidth="1" min="6" max="6"/>
    <col width="15" customWidth="1" min="7" max="7"/>
    <col width="16" customWidth="1" min="8" max="8"/>
    <col width="10" customWidth="1" min="9" max="9"/>
    <col width="14" customWidth="1" min="10" max="10"/>
    <col width="15" customWidth="1" min="11" max="11"/>
    <col width="14" customWidth="1" min="12" max="12"/>
    <col width="14" customWidth="1" min="13" max="13"/>
    <col width="13" customWidth="1" min="14" max="14"/>
    <col width="16" customWidth="1" min="15" max="15"/>
    <col width="15" customWidth="1" min="16" max="16"/>
    <col width="12" customWidth="1" min="17" max="17"/>
    <col width="15" customWidth="1" min="18" max="18"/>
    <col width="18" customWidth="1" min="19" max="19"/>
  </cols>
  <sheetData>
    <row r="1" ht="38" customHeight="1">
      <c r="B1" s="1" t="inlineStr">
        <is>
          <t>🗂 سجل المستخلصات والتحصيل</t>
        </is>
      </c>
      <c r="C1" s="1" t="n"/>
      <c r="D1" s="1" t="n"/>
      <c r="E1" s="1" t="n"/>
      <c r="F1" s="1" t="n"/>
      <c r="G1" s="1" t="n"/>
      <c r="H1" s="1" t="n"/>
      <c r="I1" s="1" t="n"/>
      <c r="J1" s="1" t="n"/>
      <c r="K1" s="1" t="n"/>
      <c r="L1" s="1" t="n"/>
      <c r="M1" s="1" t="n"/>
      <c r="N1" s="1" t="n"/>
      <c r="O1" s="1" t="n"/>
      <c r="P1" s="1" t="n"/>
      <c r="Q1" s="1" t="n"/>
      <c r="R1" s="1" t="n"/>
      <c r="S1" s="1" t="n"/>
    </row>
    <row r="2" ht="20" customHeight="1">
      <c r="B2" s="2" t="inlineStr">
        <is>
          <t>🎁 نسخة مجانية محدودة (3 مستخلصات • 10 بنود)   —   للنسخة الكاملة (25 مستخلص • 100 بند • بدون قيود) اضغط هنا ⬅ accopro.net</t>
        </is>
      </c>
      <c r="C2" s="2" t="n"/>
      <c r="D2" s="2" t="n"/>
      <c r="E2" s="2" t="n"/>
      <c r="F2" s="2" t="n"/>
      <c r="G2" s="2" t="n"/>
      <c r="H2" s="2" t="n"/>
      <c r="I2" s="2" t="n"/>
      <c r="J2" s="2" t="n"/>
      <c r="K2" s="2" t="n"/>
      <c r="L2" s="2" t="n"/>
      <c r="M2" s="2" t="n"/>
      <c r="N2" s="2" t="n"/>
      <c r="O2" s="2" t="n"/>
      <c r="P2" s="2" t="n"/>
      <c r="Q2" s="2" t="n"/>
      <c r="R2" s="2" t="n"/>
      <c r="S2" s="2" t="n"/>
    </row>
    <row r="3" ht="24" customHeight="1">
      <c r="B3" s="70" t="inlineStr">
        <is>
          <t>🏠 لوحة التحكم</t>
        </is>
      </c>
      <c r="C3" s="70" t="n"/>
      <c r="D3" s="3" t="inlineStr">
        <is>
          <t>⚙ الإعدادات</t>
        </is>
      </c>
      <c r="E3" s="3" t="n"/>
      <c r="F3" s="3" t="inlineStr">
        <is>
          <t>📋 جدول الكميات</t>
        </is>
      </c>
      <c r="G3" s="3" t="n"/>
      <c r="H3" s="3" t="inlineStr">
        <is>
          <t>💵 الدفعات المقدمة</t>
        </is>
      </c>
      <c r="I3" s="3" t="n"/>
      <c r="J3" s="3" t="inlineStr">
        <is>
          <t>🔒 ضمان الأعمال</t>
        </is>
      </c>
      <c r="K3" s="3" t="n"/>
      <c r="L3" s="4" t="inlineStr">
        <is>
          <t>📄 مستخلص 1</t>
        </is>
      </c>
      <c r="M3" s="4" t="n"/>
    </row>
    <row r="4">
      <c r="B4" s="91" t="inlineStr">
        <is>
          <t>هذه الصفحة تتجمع تلقائياً من المستخلصات. أدخل فقط المبالغ المحصلة وتواريخ التحصيل (الأعمدة الصفراء). اضغط على رقم المستخلص للانتقال إليه.</t>
        </is>
      </c>
      <c r="C4" s="91" t="n"/>
      <c r="D4" s="91" t="n"/>
      <c r="E4" s="91" t="n"/>
      <c r="F4" s="91" t="n"/>
      <c r="G4" s="91" t="n"/>
      <c r="H4" s="91" t="n"/>
      <c r="I4" s="91" t="n"/>
      <c r="J4" s="91" t="n"/>
      <c r="K4" s="91" t="n"/>
      <c r="L4" s="91" t="n"/>
      <c r="M4" s="91" t="n"/>
      <c r="N4" s="91" t="n"/>
      <c r="O4" s="91" t="n"/>
      <c r="P4" s="91" t="n"/>
      <c r="Q4" s="91" t="n"/>
      <c r="R4" s="91" t="n"/>
      <c r="S4" s="91" t="n"/>
    </row>
    <row r="5" ht="40" customHeight="1">
      <c r="B5" s="84" t="inlineStr">
        <is>
          <t>رقم المستخلص</t>
        </is>
      </c>
      <c r="C5" s="84" t="inlineStr">
        <is>
          <t>تاريخ المستخلص</t>
        </is>
      </c>
      <c r="D5" s="84" t="inlineStr">
        <is>
          <t>الحالة</t>
        </is>
      </c>
      <c r="E5" s="84" t="inlineStr">
        <is>
          <t>الفترة من</t>
        </is>
      </c>
      <c r="F5" s="84" t="inlineStr">
        <is>
          <t>الفترة إلى</t>
        </is>
      </c>
      <c r="G5" s="84" t="inlineStr">
        <is>
          <t>قيمة الأعمال الحالية</t>
        </is>
      </c>
      <c r="H5" s="84" t="inlineStr">
        <is>
          <t>قيمة الأعمال التراكمية</t>
        </is>
      </c>
      <c r="I5" s="84" t="inlineStr">
        <is>
          <t>نسبة الإنجاز التراكمية</t>
        </is>
      </c>
      <c r="J5" s="84" t="inlineStr">
        <is>
          <t>ضريبة القيمة المضافة</t>
        </is>
      </c>
      <c r="K5" s="84" t="inlineStr">
        <is>
          <t>الإجمالي شامل الضريبة</t>
        </is>
      </c>
      <c r="L5" s="84" t="inlineStr">
        <is>
          <t>استرداد الدفعة المقدمة</t>
        </is>
      </c>
      <c r="M5" s="84" t="inlineStr">
        <is>
          <t>ضمان الأعمال</t>
        </is>
      </c>
      <c r="N5" s="84" t="inlineStr">
        <is>
          <t>خصومات أخرى</t>
        </is>
      </c>
      <c r="O5" s="84" t="inlineStr">
        <is>
          <t>صافي المستحق</t>
        </is>
      </c>
      <c r="P5" s="84" t="inlineStr">
        <is>
          <t>المبلغ المحصّل ✎</t>
        </is>
      </c>
      <c r="Q5" s="84" t="inlineStr">
        <is>
          <t>تاريخ التحصيل ✎</t>
        </is>
      </c>
      <c r="R5" s="84" t="inlineStr">
        <is>
          <t>المتبقي غير المحصل</t>
        </is>
      </c>
      <c r="S5" s="84" t="inlineStr">
        <is>
          <t>حالة التحصيل</t>
        </is>
      </c>
    </row>
    <row r="6">
      <c r="B6" s="92" t="n">
        <v>1</v>
      </c>
      <c r="C6" s="93">
        <f>IF('مستخلص 1'!E4="","",'مستخلص 1'!E4)</f>
        <v>46173</v>
      </c>
      <c r="D6" s="30" t="str">
        <f>IF(C6="","لم يصدر",IF('مستخلص 1'!H4="","جاري",'مستخلص 1'!H4))</f>
        <v>جاري</v>
      </c>
      <c r="E6" s="93">
        <f>IF('مستخلص 1'!L4="","",'مستخلص 1'!L4)</f>
        <v>46082</v>
      </c>
      <c r="F6" s="93">
        <f>IF('مستخلص 1'!N4="","",'مستخلص 1'!N4)</f>
        <v>46173</v>
      </c>
      <c r="G6" s="88">
        <f>'مستخلص 1'!M21</f>
        <v>95284</v>
      </c>
      <c r="H6" s="88">
        <f>'مستخلص 1'!N21</f>
        <v>95284</v>
      </c>
      <c r="I6" s="28">
        <f>IF('الإعدادات'!$C$19=0,0,H6/'الإعدادات'!$C$19)</f>
        <v>0.34162624187470647</v>
      </c>
      <c r="J6" s="88">
        <f>'مستخلص 1'!M22</f>
        <v>14292.6</v>
      </c>
      <c r="K6" s="88">
        <f>'مستخلص 1'!M23</f>
        <v>109576.6</v>
      </c>
      <c r="L6" s="88">
        <f>'مستخلص 1'!M24</f>
        <v>9528.4</v>
      </c>
      <c r="M6" s="88">
        <f>'مستخلص 1'!M25</f>
        <v>9528.4</v>
      </c>
      <c r="N6" s="88">
        <f>'مستخلص 1'!M26</f>
        <v>0</v>
      </c>
      <c r="O6" s="27">
        <f>'مستخلص 1'!M28</f>
        <v>90519.8</v>
      </c>
      <c r="P6" s="87">
        <f>ROUND(O6*1.0,2)</f>
        <v>90519.8</v>
      </c>
      <c r="Q6" s="94" t="n">
        <v>46193</v>
      </c>
      <c r="R6" s="27">
        <f>ROUND(O6-P6,2)</f>
        <v>0</v>
      </c>
      <c r="S6" s="30" t="str">
        <f>IF(C6="","",IF(O6&lt;=0,"-",IF(P6&gt;=O6,"✔ محصل بالكامل",IF(P6&gt;0,"⚠ محصل جزئياً","✖ غير محصل"))))</f>
        <v>✔ محصل بالكامل</v>
      </c>
    </row>
    <row r="7">
      <c r="B7" s="95" t="n">
        <v>2</v>
      </c>
      <c r="C7" s="96">
        <f>IF('مستخلص 2'!E4="","",'مستخلص 2'!E4)</f>
        <v>46218</v>
      </c>
      <c r="D7" s="97" t="str">
        <f>IF(C7="","لم يصدر",IF('مستخلص 2'!H4="","جاري",'مستخلص 2'!H4))</f>
        <v>جاري</v>
      </c>
      <c r="E7" s="96">
        <f>IF('مستخلص 2'!L4="","",'مستخلص 2'!L4)</f>
        <v>46174</v>
      </c>
      <c r="F7" s="96">
        <f>IF('مستخلص 2'!N4="","",'مستخلص 2'!N4)</f>
        <v>46218</v>
      </c>
      <c r="G7" s="98">
        <f>'مستخلص 2'!M21</f>
        <v>86078.5</v>
      </c>
      <c r="H7" s="98">
        <f>'مستخلص 2'!N21</f>
        <v>181362.5</v>
      </c>
      <c r="I7" s="50">
        <f>IF('الإعدادات'!$C$19=0,0,H7/'الإعدادات'!$C$19)</f>
        <v>0.6502475682381245</v>
      </c>
      <c r="J7" s="98">
        <f>'مستخلص 2'!M22</f>
        <v>12911.78</v>
      </c>
      <c r="K7" s="98">
        <f>'مستخلص 2'!M23</f>
        <v>98990.28</v>
      </c>
      <c r="L7" s="98">
        <f>'مستخلص 2'!M24</f>
        <v>8607.85</v>
      </c>
      <c r="M7" s="98">
        <f>'مستخلص 2'!M25</f>
        <v>8607.85</v>
      </c>
      <c r="N7" s="98">
        <f>'مستخلص 2'!M26</f>
        <v>1500</v>
      </c>
      <c r="O7" s="99">
        <f>'مستخلص 2'!M28</f>
        <v>80274.58</v>
      </c>
      <c r="P7" s="87">
        <f>ROUND(O7*0.6,2)</f>
        <v>48164.75</v>
      </c>
      <c r="Q7" s="94" t="n">
        <v>46238</v>
      </c>
      <c r="R7" s="99">
        <f>ROUND(O7-P7,2)</f>
        <v>32109.83</v>
      </c>
      <c r="S7" s="97" t="str">
        <f>IF(C7="","",IF(O7&lt;=0,"-",IF(P7&gt;=O7,"✔ محصل بالكامل",IF(P7&gt;0,"⚠ محصل جزئياً","✖ غير محصل"))))</f>
        <v>⚠ محصل جزئياً</v>
      </c>
    </row>
    <row r="8">
      <c r="B8" s="92" t="n">
        <v>3</v>
      </c>
      <c r="C8" s="93">
        <f>IF('مستخلص 3'!E4="","",'مستخلص 3'!E4)</f>
        <v>46275</v>
      </c>
      <c r="D8" s="30" t="str">
        <f>IF(C8="","لم يصدر",IF('مستخلص 3'!H4="","جاري",'مستخلص 3'!H4))</f>
        <v>جاري</v>
      </c>
      <c r="E8" s="93">
        <f>IF('مستخلص 3'!L4="","",'مستخلص 3'!L4)</f>
        <v>46219</v>
      </c>
      <c r="F8" s="93">
        <f>IF('مستخلص 3'!N4="","",'مستخلص 3'!N4)</f>
        <v>46275</v>
      </c>
      <c r="G8" s="88">
        <f>'مستخلص 3'!M21</f>
        <v>31020</v>
      </c>
      <c r="H8" s="88">
        <f>'مستخلص 3'!N21</f>
        <v>212382.5</v>
      </c>
      <c r="I8" s="28">
        <f>IF('الإعدادات'!$C$19=0,0,H8/'الإعدادات'!$C$19)</f>
        <v>0.7614650446555019</v>
      </c>
      <c r="J8" s="88">
        <f>'مستخلص 3'!M22</f>
        <v>4653</v>
      </c>
      <c r="K8" s="88">
        <f>'مستخلص 3'!M23</f>
        <v>35673</v>
      </c>
      <c r="L8" s="88">
        <f>'مستخلص 3'!M24</f>
        <v>3102</v>
      </c>
      <c r="M8" s="88">
        <f>'مستخلص 3'!M25</f>
        <v>3102</v>
      </c>
      <c r="N8" s="88">
        <f>'مستخلص 3'!M26</f>
        <v>0</v>
      </c>
      <c r="O8" s="27">
        <f>'مستخلص 3'!M28</f>
        <v>29469</v>
      </c>
      <c r="P8" s="87" t="n"/>
      <c r="Q8" s="94" t="n"/>
      <c r="R8" s="27">
        <f>ROUND(O8-P8,2)</f>
        <v>29469</v>
      </c>
      <c r="S8" s="30" t="str">
        <f>IF(C8="","",IF(O8&lt;=0,"-",IF(P8&gt;=O8,"✔ محصل بالكامل",IF(P8&gt;0,"⚠ محصل جزئياً","✖ غير محصل"))))</f>
        <v>✖ غير محصل</v>
      </c>
    </row>
    <row r="9" ht="24" customHeight="1">
      <c r="B9" s="52" t="inlineStr">
        <is>
          <t>الإجمالي</t>
        </is>
      </c>
      <c r="C9" s="52" t="n"/>
      <c r="D9" s="52" t="n"/>
      <c r="E9" s="52" t="n"/>
      <c r="F9" s="52" t="n"/>
      <c r="G9" s="90">
        <f>SUM(G6:G8)</f>
        <v>212382.5</v>
      </c>
      <c r="H9" s="90">
        <f>MAX(H6:H8)</f>
        <v>212382.5</v>
      </c>
      <c r="I9" s="54">
        <f>IF('الإعدادات'!$C$19=0,0,H9/'الإعدادات'!$C$19)</f>
        <v>0.7614650446555019</v>
      </c>
      <c r="J9" s="90">
        <f>SUM(J6:J8)</f>
        <v>31857.38</v>
      </c>
      <c r="K9" s="90">
        <f>SUM(K6:K8)</f>
        <v>244239.88</v>
      </c>
      <c r="L9" s="90">
        <f>SUM(L6:L8)</f>
        <v>21238.25</v>
      </c>
      <c r="M9" s="90">
        <f>SUM(M6:M8)</f>
        <v>21238.25</v>
      </c>
      <c r="N9" s="90">
        <f>SUM(N6:N8)</f>
        <v>1500</v>
      </c>
      <c r="O9" s="90">
        <f>SUM(O6:O8)</f>
        <v>200263.38</v>
      </c>
      <c r="P9" s="90">
        <f>SUM(P6:P8)</f>
        <v>138684.55</v>
      </c>
      <c r="Q9" s="90" t="n"/>
      <c r="R9" s="90">
        <f>SUM(R6:R8)</f>
        <v>61578.83</v>
      </c>
      <c r="S9" s="90" t="n"/>
    </row>
  </sheetData>
  <sheetProtection selectLockedCells="0" selectUnlockedCells="0" sheet="1" objects="0" insertRows="1" insertHyperlinks="1" autoFilter="0" scenarios="0" formatColumns="1" deleteColumns="1" insertColumns="1" pivotTables="1" deleteRows="1" formatCells="1" formatRows="1" sort="0" password="FFA5"/>
  <mergeCells count="10">
    <mergeCell ref="F3:G3"/>
    <mergeCell ref="L3:M3"/>
    <mergeCell ref="J3:K3"/>
    <mergeCell ref="B2:S2"/>
    <mergeCell ref="B3:C3"/>
    <mergeCell ref="B1:S1"/>
    <mergeCell ref="D3:E3"/>
    <mergeCell ref="B4:S4"/>
    <mergeCell ref="B9:F9"/>
    <mergeCell ref="H3:I3"/>
  </mergeCells>
  <conditionalFormatting sqref="B6:S8">
    <cfRule type="expression" priority="1" dxfId="5">
      <formula>$D6="لم يصدر"</formula>
    </cfRule>
  </conditionalFormatting>
  <conditionalFormatting sqref="S6:S8">
    <cfRule type="expression" priority="2" dxfId="0">
      <formula>ISNUMBER(SEARCH("✔",S6))</formula>
    </cfRule>
    <cfRule type="expression" priority="3" dxfId="1">
      <formula>ISNUMBER(SEARCH("⚠",S6))</formula>
    </cfRule>
    <cfRule type="expression" priority="4" dxfId="2">
      <formula>ISNUMBER(SEARCH("✖",S6))</formula>
    </cfRule>
  </conditionalFormatting>
  <conditionalFormatting sqref="I6:I8">
    <cfRule type="dataBar" priority="5">
      <dataBar>
        <cfvo type="num" val="0"/>
        <cfvo type="num" val="1"/>
        <color rgb="FF2E7D7A"/>
      </dataBar>
    </cfRule>
  </conditionalFormatting>
  <dataValidations count="1">
    <dataValidation sqref="Q6:Q8" showDropDown="0" showInputMessage="0" showErrorMessage="1" allowBlank="1" errorTitle="تاريخ غير صحيح" error="أدخل تاريخاً صحيحاً (مثال: 2025/10/08)" type="date" operator="greaterThan">
      <formula1>36526</formula1>
    </dataValidation>
  </dataValidations>
  <hyperlinks>
    <hyperlink xmlns:r="http://schemas.openxmlformats.org/officeDocument/2006/relationships" ref="B2" r:id="rId1"/>
    <hyperlink ref="B3" location="'لوحة التحكم'!A1" display="🏠 لوحة التحكم"/>
    <hyperlink ref="D3" location="'الإعدادات'!A1" display="⚙ الإعدادات"/>
    <hyperlink ref="F3" location="'جدول الكميات'!A1" display="📋 جدول الكميات"/>
    <hyperlink ref="H3" location="'الدفعات المقدمة'!A1" display="💵 الدفعات المقدمة"/>
    <hyperlink ref="J3" location="'ضمان الأعمال'!A1" display="🔒 ضمان الأعمال"/>
    <hyperlink ref="L3" location="'مستخلص 1'!A1" display="📄 مستخلص 1"/>
    <hyperlink ref="B6" location="'مستخلص 1'!A1" display="1"/>
    <hyperlink ref="B7" location="'مستخلص 2'!A1" display="2"/>
    <hyperlink ref="B8" location="'مستخلص 3'!A1" display="3"/>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worksheet>
</file>

<file path=xl/worksheets/sheet7.xml><?xml version="1.0" encoding="utf-8"?>
<worksheet xmlns="http://schemas.openxmlformats.org/spreadsheetml/2006/main">
  <sheetPr>
    <tabColor rgb="FF6A1B9A"/>
    <outlinePr summaryBelow="1" summaryRight="1"/>
    <pageSetUpPr fitToPage="1"/>
  </sheetPr>
  <dimension ref="B1:N28"/>
  <sheetViews>
    <sheetView showGridLines="0"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3" customWidth="1" min="3" max="3"/>
    <col width="16" customWidth="1" min="4" max="4"/>
    <col width="12" customWidth="1" min="5" max="5"/>
    <col width="14" customWidth="1" min="6" max="6"/>
    <col width="13" customWidth="1" min="7" max="7"/>
    <col width="15" customWidth="1" min="8" max="8"/>
    <col width="15" customWidth="1" min="9" max="9"/>
    <col width="16" customWidth="1" min="10" max="10"/>
    <col width="16" customWidth="1" min="11" max="11"/>
    <col width="13" customWidth="1" min="12" max="12"/>
    <col width="2" customWidth="1" min="13" max="13"/>
    <col width="40" customWidth="1" min="14" max="14"/>
  </cols>
  <sheetData>
    <row r="1" ht="38" customHeight="1">
      <c r="B1" s="1" t="inlineStr">
        <is>
          <t>💵 الدفعات المقدمة واستردادها</t>
        </is>
      </c>
      <c r="C1" s="1" t="n"/>
      <c r="D1" s="1" t="n"/>
      <c r="E1" s="1" t="n"/>
      <c r="F1" s="1" t="n"/>
      <c r="G1" s="1" t="n"/>
      <c r="H1" s="1" t="n"/>
      <c r="I1" s="1" t="n"/>
      <c r="J1" s="1" t="n"/>
      <c r="K1" s="1" t="n"/>
      <c r="L1" s="1" t="n"/>
      <c r="M1" s="1" t="n"/>
      <c r="N1" s="1" t="n"/>
    </row>
    <row r="2" ht="20" customHeight="1">
      <c r="B2" s="2" t="inlineStr">
        <is>
          <t>🎁 نسخة مجانية محدودة (3 مستخلصات • 10 بنود)   —   للنسخة الكاملة (25 مستخلص • 100 بند • بدون قيود) اضغط هنا ⬅ accopro.net</t>
        </is>
      </c>
      <c r="C2" s="2" t="n"/>
      <c r="D2" s="2" t="n"/>
      <c r="E2" s="2" t="n"/>
      <c r="F2" s="2" t="n"/>
      <c r="G2" s="2" t="n"/>
      <c r="H2" s="2" t="n"/>
      <c r="I2" s="2" t="n"/>
      <c r="J2" s="2" t="n"/>
      <c r="K2" s="2" t="n"/>
      <c r="L2" s="2" t="n"/>
      <c r="M2" s="2" t="n"/>
      <c r="N2" s="2" t="n"/>
    </row>
    <row r="3" ht="24" customHeight="1">
      <c r="B3" s="70" t="inlineStr">
        <is>
          <t>🏠 لوحة التحكم</t>
        </is>
      </c>
      <c r="C3" s="70" t="n"/>
      <c r="D3" s="3" t="inlineStr">
        <is>
          <t>⚙ الإعدادات</t>
        </is>
      </c>
      <c r="E3" s="3" t="inlineStr">
        <is>
          <t>📋 جدول الكميات</t>
        </is>
      </c>
      <c r="F3" s="3" t="n"/>
      <c r="G3" s="3" t="inlineStr">
        <is>
          <t>🗂 سجل المستخلصات</t>
        </is>
      </c>
      <c r="H3" s="3" t="n"/>
      <c r="I3" s="3" t="inlineStr">
        <is>
          <t>🔒 ضمان الأعمال</t>
        </is>
      </c>
      <c r="J3" s="3" t="n"/>
      <c r="K3" s="4" t="inlineStr">
        <is>
          <t>📄 مستخلص 1</t>
        </is>
      </c>
      <c r="L3" s="4" t="n"/>
    </row>
    <row r="5" ht="22" customHeight="1">
      <c r="B5" s="71" t="inlineStr">
        <is>
          <t>إعدادات الاسترداد والملخص</t>
        </is>
      </c>
      <c r="C5" s="71" t="n"/>
      <c r="D5" s="71" t="n"/>
      <c r="E5" s="71" t="n"/>
      <c r="F5" s="71" t="n"/>
      <c r="H5" s="25" t="inlineStr">
        <is>
          <t>كيف تعمل الصفحة؟</t>
        </is>
      </c>
      <c r="I5" s="25" t="n"/>
      <c r="J5" s="25" t="n"/>
      <c r="K5" s="25" t="n"/>
      <c r="L5" s="25" t="n"/>
    </row>
    <row r="6">
      <c r="B6" s="74" t="inlineStr">
        <is>
          <t>نسبة الاسترداد من قيمة أعمال كل مستخلص</t>
        </is>
      </c>
      <c r="C6" s="74" t="n"/>
      <c r="D6" s="74" t="n"/>
      <c r="E6" s="82" t="n">
        <v>0.1</v>
      </c>
      <c r="F6" s="82" t="n"/>
      <c r="H6" s="100" t="inlineStr">
        <is>
          <t>1) سجّل كل دفعة مقدمة مصروفة وخطاب ضمانها في الجدول الأول.
2) يُستقطع من كل مستخلص (قيمة الأعمال الحالية × نسبة الاسترداد) تلقائياً ويظهر في المستخلص.
3) يتوقف الاسترداد تلقائياً عند اكتمال استرداد كامل الدفعة (لا يتجاوز الرصيد).
4) يمكنك إدخال نسبة مخصصة لمستخلص معين في العمود الأصفر (مثلاً لتسريع الاسترداد في الختامي).</t>
        </is>
      </c>
      <c r="I6" s="100" t="n"/>
      <c r="J6" s="100" t="n"/>
      <c r="K6" s="100" t="n"/>
      <c r="L6" s="100" t="n"/>
    </row>
    <row r="7">
      <c r="B7" s="74" t="inlineStr">
        <is>
          <t>بدء الاسترداد من المستخلص رقم</t>
        </is>
      </c>
      <c r="C7" s="74" t="n"/>
      <c r="D7" s="74" t="n"/>
      <c r="E7" s="101" t="n">
        <v>1</v>
      </c>
      <c r="F7" s="101" t="n"/>
      <c r="H7" s="100" t="n"/>
      <c r="I7" s="100" t="n"/>
      <c r="J7" s="100" t="n"/>
      <c r="K7" s="100" t="n"/>
      <c r="L7" s="100" t="n"/>
    </row>
    <row r="8">
      <c r="B8" s="74" t="inlineStr">
        <is>
          <t>إجمالي الدفعات المقدمة المصروفة</t>
        </is>
      </c>
      <c r="C8" s="74" t="n"/>
      <c r="D8" s="74" t="n"/>
      <c r="E8" s="27">
        <f>D21</f>
        <v>28000</v>
      </c>
      <c r="F8" s="27" t="n"/>
      <c r="H8" s="100" t="n"/>
      <c r="I8" s="100" t="n"/>
      <c r="J8" s="100" t="n"/>
      <c r="K8" s="100" t="n"/>
      <c r="L8" s="100" t="n"/>
    </row>
    <row r="9">
      <c r="B9" s="74" t="inlineStr">
        <is>
          <t>نسبة الدفعة المقدمة من قيمة العقد</t>
        </is>
      </c>
      <c r="C9" s="74" t="n"/>
      <c r="D9" s="74" t="n"/>
      <c r="E9" s="47">
        <f>IF('الإعدادات'!$C$19=0,0,E8/'الإعدادات'!$C$19)</f>
        <v>0.10038972726262312</v>
      </c>
      <c r="F9" s="47" t="n"/>
      <c r="H9" s="100" t="n"/>
      <c r="I9" s="100" t="n"/>
      <c r="J9" s="100" t="n"/>
      <c r="K9" s="100" t="n"/>
      <c r="L9" s="100" t="n"/>
    </row>
    <row r="10">
      <c r="B10" s="74" t="inlineStr">
        <is>
          <t>إجمالي ما تم استرداده</t>
        </is>
      </c>
      <c r="C10" s="74" t="n"/>
      <c r="D10" s="74" t="n"/>
      <c r="E10" s="102">
        <f>I28</f>
        <v>21238.25</v>
      </c>
      <c r="F10" s="102" t="n"/>
      <c r="H10" s="100" t="n"/>
      <c r="I10" s="100" t="n"/>
      <c r="J10" s="100" t="n"/>
      <c r="K10" s="100" t="n"/>
      <c r="L10" s="100" t="n"/>
    </row>
    <row r="11">
      <c r="B11" s="74" t="inlineStr">
        <is>
          <t>الرصيد المتبقي للاسترداد</t>
        </is>
      </c>
      <c r="C11" s="74" t="n"/>
      <c r="D11" s="74" t="n"/>
      <c r="E11" s="103">
        <f>E8-E10</f>
        <v>6761.75</v>
      </c>
      <c r="F11" s="103" t="n"/>
      <c r="H11" s="100" t="n"/>
      <c r="I11" s="100" t="n"/>
      <c r="J11" s="100" t="n"/>
      <c r="K11" s="100" t="n"/>
      <c r="L11" s="100" t="n"/>
    </row>
    <row r="13" ht="22" customHeight="1">
      <c r="B13" s="71" t="inlineStr">
        <is>
          <t>سجل صرف الدفعات المقدمة وخطابات ضمانها</t>
        </is>
      </c>
      <c r="C13" s="71" t="n"/>
      <c r="D13" s="71" t="n"/>
      <c r="E13" s="71" t="n"/>
      <c r="F13" s="71" t="n"/>
      <c r="G13" s="71" t="n"/>
      <c r="H13" s="71" t="n"/>
      <c r="I13" s="71" t="n"/>
      <c r="J13" s="71" t="n"/>
      <c r="K13" s="71" t="n"/>
      <c r="L13" s="71" t="n"/>
    </row>
    <row r="14" ht="34" customHeight="1">
      <c r="B14" s="84" t="inlineStr">
        <is>
          <t>م</t>
        </is>
      </c>
      <c r="C14" s="84" t="inlineStr">
        <is>
          <t>تاريخ الصرف</t>
        </is>
      </c>
      <c r="D14" s="84" t="inlineStr">
        <is>
          <t>المبلغ المصروف</t>
        </is>
      </c>
      <c r="E14" s="84" t="inlineStr">
        <is>
          <t>% من العقد</t>
        </is>
      </c>
      <c r="F14" s="84" t="inlineStr">
        <is>
          <t>رقم خطاب الضمان</t>
        </is>
      </c>
      <c r="G14" s="84" t="inlineStr">
        <is>
          <t>البنك</t>
        </is>
      </c>
      <c r="H14" s="84" t="inlineStr">
        <is>
          <t>تاريخ انتهاء الضمان</t>
        </is>
      </c>
      <c r="I14" s="84" t="inlineStr">
        <is>
          <t>الأيام المتبقية</t>
        </is>
      </c>
      <c r="J14" s="84" t="inlineStr">
        <is>
          <t>حالة الضمان</t>
        </is>
      </c>
      <c r="K14" s="84" t="inlineStr">
        <is>
          <t>ملاحظات</t>
        </is>
      </c>
      <c r="L14" s="44" t="n"/>
    </row>
    <row r="15">
      <c r="B15" s="101" t="n">
        <v>1</v>
      </c>
      <c r="C15" s="94" t="n">
        <v>46091</v>
      </c>
      <c r="D15" s="87" t="n">
        <v>28000</v>
      </c>
      <c r="E15" s="28">
        <f>IF('الإعدادات'!$C$19=0,0,D15/'الإعدادات'!$C$19)</f>
        <v>0.10038972726262312</v>
      </c>
      <c r="F15" s="85" t="inlineStr">
        <is>
          <t>LG-558210</t>
        </is>
      </c>
      <c r="G15" s="85" t="inlineStr">
        <is>
          <t>البنك الأهلي السعودي</t>
        </is>
      </c>
      <c r="H15" s="94" t="n">
        <v>46456</v>
      </c>
      <c r="I15" s="104">
        <f>IF(H15="","",H15-TODAY())</f>
        <v>162</v>
      </c>
      <c r="J15" s="30" t="str">
        <f>IF(H15="","",IF(I15&lt;0,"✖ منتهي",IF(I15&lt;=30,"⚠ ينتهي قريباً","✔ ساري")))</f>
        <v>✔ ساري</v>
      </c>
      <c r="K15" s="75" t="n"/>
      <c r="L15" s="75" t="n"/>
    </row>
    <row r="16">
      <c r="B16" s="101" t="n">
        <v>2</v>
      </c>
      <c r="C16" s="105" t="inlineStr">
        <is>
          <t>🔒 دفعات مقدمة متعددة — متاحة في النسخة الكاملة</t>
        </is>
      </c>
      <c r="D16" s="105" t="n"/>
      <c r="E16" s="105" t="n"/>
      <c r="F16" s="105" t="n"/>
      <c r="G16" s="105" t="n"/>
      <c r="H16" s="105" t="n"/>
      <c r="I16" s="105" t="n"/>
      <c r="J16" s="105" t="n"/>
      <c r="K16" s="105" t="n"/>
      <c r="L16" s="105" t="n"/>
    </row>
    <row r="17">
      <c r="B17" s="101" t="n">
        <v>3</v>
      </c>
      <c r="C17" s="105" t="inlineStr">
        <is>
          <t>🔒 دفعات مقدمة متعددة — متاحة في النسخة الكاملة</t>
        </is>
      </c>
      <c r="D17" s="105" t="n"/>
      <c r="E17" s="105" t="n"/>
      <c r="F17" s="105" t="n"/>
      <c r="G17" s="105" t="n"/>
      <c r="H17" s="105" t="n"/>
      <c r="I17" s="105" t="n"/>
      <c r="J17" s="105" t="n"/>
      <c r="K17" s="105" t="n"/>
      <c r="L17" s="105" t="n"/>
    </row>
    <row r="18">
      <c r="B18" s="101" t="n">
        <v>4</v>
      </c>
      <c r="C18" s="105" t="inlineStr">
        <is>
          <t>🔒 دفعات مقدمة متعددة — متاحة في النسخة الكاملة</t>
        </is>
      </c>
      <c r="D18" s="105" t="n"/>
      <c r="E18" s="105" t="n"/>
      <c r="F18" s="105" t="n"/>
      <c r="G18" s="105" t="n"/>
      <c r="H18" s="105" t="n"/>
      <c r="I18" s="105" t="n"/>
      <c r="J18" s="105" t="n"/>
      <c r="K18" s="105" t="n"/>
      <c r="L18" s="105" t="n"/>
    </row>
    <row r="19">
      <c r="B19" s="101" t="n">
        <v>5</v>
      </c>
      <c r="C19" s="105" t="inlineStr">
        <is>
          <t>🔒 دفعات مقدمة متعددة — متاحة في النسخة الكاملة</t>
        </is>
      </c>
      <c r="D19" s="105" t="n"/>
      <c r="E19" s="105" t="n"/>
      <c r="F19" s="105" t="n"/>
      <c r="G19" s="105" t="n"/>
      <c r="H19" s="105" t="n"/>
      <c r="I19" s="105" t="n"/>
      <c r="J19" s="105" t="n"/>
      <c r="K19" s="105" t="n"/>
      <c r="L19" s="105" t="n"/>
    </row>
    <row r="20">
      <c r="B20" s="101" t="n">
        <v>6</v>
      </c>
      <c r="C20" s="105" t="inlineStr">
        <is>
          <t>🔒 دفعات مقدمة متعددة — متاحة في النسخة الكاملة</t>
        </is>
      </c>
      <c r="D20" s="105" t="n"/>
      <c r="E20" s="105" t="n"/>
      <c r="F20" s="105" t="n"/>
      <c r="G20" s="105" t="n"/>
      <c r="H20" s="105" t="n"/>
      <c r="I20" s="105" t="n"/>
      <c r="J20" s="105" t="n"/>
      <c r="K20" s="105" t="n"/>
      <c r="L20" s="105" t="n"/>
    </row>
    <row r="21">
      <c r="B21" s="52" t="inlineStr">
        <is>
          <t>الإجمالي</t>
        </is>
      </c>
      <c r="C21" s="52" t="n"/>
      <c r="D21" s="90">
        <f>SUM(D15:D20)</f>
        <v>28000</v>
      </c>
      <c r="E21" s="54">
        <f>SUM(E15:E20)</f>
        <v>0.10038972726262312</v>
      </c>
      <c r="F21" s="106" t="n"/>
      <c r="G21" s="106" t="n"/>
      <c r="H21" s="106" t="n"/>
      <c r="I21" s="106" t="n"/>
      <c r="J21" s="106" t="n"/>
      <c r="K21" s="106" t="n"/>
      <c r="L21" s="106" t="n"/>
    </row>
    <row r="23" ht="22" customHeight="1">
      <c r="B23" s="71" t="inlineStr">
        <is>
          <t>جدول استرداد الدفعة المقدمة من المستخلصات</t>
        </is>
      </c>
      <c r="C23" s="71" t="n"/>
      <c r="D23" s="71" t="n"/>
      <c r="E23" s="71" t="n"/>
      <c r="F23" s="71" t="n"/>
      <c r="G23" s="71" t="n"/>
      <c r="H23" s="71" t="n"/>
      <c r="I23" s="71" t="n"/>
      <c r="J23" s="71" t="n"/>
      <c r="K23" s="71" t="n"/>
      <c r="L23" s="71" t="n"/>
    </row>
    <row r="24" ht="40" customHeight="1">
      <c r="B24" s="84" t="inlineStr">
        <is>
          <t>رقم المستخلص</t>
        </is>
      </c>
      <c r="C24" s="84" t="inlineStr">
        <is>
          <t>التاريخ</t>
        </is>
      </c>
      <c r="D24" s="84" t="inlineStr">
        <is>
          <t>قيمة الأعمال الحالية</t>
        </is>
      </c>
      <c r="E24" s="84" t="inlineStr">
        <is>
          <t>النسبة الافتراضية</t>
        </is>
      </c>
      <c r="F24" s="84" t="inlineStr">
        <is>
          <t>نسبة مخصصة ✎ (اختياري)</t>
        </is>
      </c>
      <c r="G24" s="84" t="inlineStr">
        <is>
          <t>النسبة المطبقة</t>
        </is>
      </c>
      <c r="H24" s="84" t="inlineStr">
        <is>
          <t>الاسترداد المحسوب</t>
        </is>
      </c>
      <c r="I24" s="84" t="inlineStr">
        <is>
          <t>الاسترداد المعتمد</t>
        </is>
      </c>
      <c r="J24" s="84" t="inlineStr">
        <is>
          <t>المسترد التراكمي</t>
        </is>
      </c>
      <c r="K24" s="84" t="inlineStr">
        <is>
          <t>الرصيد المتبقي</t>
        </is>
      </c>
      <c r="L24" s="84" t="inlineStr">
        <is>
          <t>% المسترد</t>
        </is>
      </c>
    </row>
    <row r="25">
      <c r="B25" s="107" t="n">
        <v>1</v>
      </c>
      <c r="C25" s="93">
        <f>'سجل المستخلصات'!C6</f>
        <v>46173</v>
      </c>
      <c r="D25" s="88">
        <f>'مستخلص 1'!M21</f>
        <v>95284</v>
      </c>
      <c r="E25" s="108">
        <f>$E$6</f>
        <v>0.1</v>
      </c>
      <c r="F25" s="105" t="n"/>
      <c r="G25" s="108">
        <f>IF(B25&lt;$E$7,0,IF(F25="",E25,F25))</f>
        <v>0.1</v>
      </c>
      <c r="H25" s="88">
        <f>MAX(0,ROUND(D25*G25,2))</f>
        <v>9528.4</v>
      </c>
      <c r="I25" s="27">
        <f>MIN(H25,MAX(0,$E$8-0))</f>
        <v>9528.4</v>
      </c>
      <c r="J25" s="88">
        <f>0+I25</f>
        <v>9528.4</v>
      </c>
      <c r="K25" s="88">
        <f>$E$8-J25</f>
        <v>18471.6</v>
      </c>
      <c r="L25" s="28">
        <f>IF($E$8=0,0,J25/$E$8)</f>
        <v>0.3403</v>
      </c>
    </row>
    <row r="26">
      <c r="B26" s="109" t="n">
        <v>2</v>
      </c>
      <c r="C26" s="96">
        <f>'سجل المستخلصات'!C7</f>
        <v>46218</v>
      </c>
      <c r="D26" s="98">
        <f>'مستخلص 2'!M21</f>
        <v>86078.5</v>
      </c>
      <c r="E26" s="110">
        <f>$E$6</f>
        <v>0.1</v>
      </c>
      <c r="F26" s="105" t="n"/>
      <c r="G26" s="110">
        <f>IF(B26&lt;$E$7,0,IF(F26="",E26,F26))</f>
        <v>0.1</v>
      </c>
      <c r="H26" s="98">
        <f>MAX(0,ROUND(D26*G26,2))</f>
        <v>8607.85</v>
      </c>
      <c r="I26" s="99">
        <f>MIN(H26,MAX(0,$E$8-J25))</f>
        <v>8607.85</v>
      </c>
      <c r="J26" s="98">
        <f>J25+I26</f>
        <v>18136.25</v>
      </c>
      <c r="K26" s="98">
        <f>$E$8-J26</f>
        <v>9863.75</v>
      </c>
      <c r="L26" s="50">
        <f>IF($E$8=0,0,J26/$E$8)</f>
        <v>0.6477232142857143</v>
      </c>
    </row>
    <row r="27">
      <c r="B27" s="107" t="n">
        <v>3</v>
      </c>
      <c r="C27" s="93">
        <f>'سجل المستخلصات'!C8</f>
        <v>46275</v>
      </c>
      <c r="D27" s="88">
        <f>'مستخلص 3'!M21</f>
        <v>31020</v>
      </c>
      <c r="E27" s="108">
        <f>$E$6</f>
        <v>0.1</v>
      </c>
      <c r="F27" s="105" t="n"/>
      <c r="G27" s="108">
        <f>IF(B27&lt;$E$7,0,IF(F27="",E27,F27))</f>
        <v>0.1</v>
      </c>
      <c r="H27" s="88">
        <f>MAX(0,ROUND(D27*G27,2))</f>
        <v>3102</v>
      </c>
      <c r="I27" s="27">
        <f>MIN(H27,MAX(0,$E$8-J26))</f>
        <v>3102</v>
      </c>
      <c r="J27" s="88">
        <f>J26+I27</f>
        <v>21238.25</v>
      </c>
      <c r="K27" s="88">
        <f>$E$8-J27</f>
        <v>6761.75</v>
      </c>
      <c r="L27" s="28">
        <f>IF($E$8=0,0,J27/$E$8)</f>
        <v>0.7585089285714286</v>
      </c>
    </row>
    <row r="28">
      <c r="B28" s="52" t="inlineStr">
        <is>
          <t>الإجمالي</t>
        </is>
      </c>
      <c r="C28" s="52" t="n"/>
      <c r="D28" s="90">
        <f>SUM(D25:D27)</f>
        <v>212382.5</v>
      </c>
      <c r="E28" s="106" t="n"/>
      <c r="F28" s="106" t="n"/>
      <c r="G28" s="106" t="n"/>
      <c r="H28" s="90">
        <f>SUM(H25:H27)</f>
        <v>21238.25</v>
      </c>
      <c r="I28" s="90">
        <f>SUM(I25:I27)</f>
        <v>21238.25</v>
      </c>
      <c r="J28" s="106" t="n"/>
      <c r="K28" s="90">
        <f>E8-I28</f>
        <v>6761.75</v>
      </c>
      <c r="L28" s="54">
        <f>IF(E8=0,0,I28/E8)</f>
        <v>0.7585089285714286</v>
      </c>
    </row>
  </sheetData>
  <sheetProtection selectLockedCells="0" selectUnlockedCells="0" sheet="1" objects="0" insertRows="1" insertHyperlinks="1" autoFilter="0" scenarios="0" formatColumns="1" deleteColumns="1" insertColumns="1" pivotTables="1" deleteRows="1" formatCells="1" formatRows="1" sort="0" password="FFA5"/>
  <mergeCells count="33">
    <mergeCell ref="B11:D11"/>
    <mergeCell ref="H6:L11"/>
    <mergeCell ref="B3:C3"/>
    <mergeCell ref="B8:D8"/>
    <mergeCell ref="K15:L15"/>
    <mergeCell ref="C17:L17"/>
    <mergeCell ref="E8:F8"/>
    <mergeCell ref="B10:D10"/>
    <mergeCell ref="C19:L19"/>
    <mergeCell ref="B21:C21"/>
    <mergeCell ref="E10:F10"/>
    <mergeCell ref="C18:L18"/>
    <mergeCell ref="B9:D9"/>
    <mergeCell ref="E9:F9"/>
    <mergeCell ref="B6:D6"/>
    <mergeCell ref="G3:H3"/>
    <mergeCell ref="B23:L23"/>
    <mergeCell ref="I3:J3"/>
    <mergeCell ref="E6:F6"/>
    <mergeCell ref="B13:L13"/>
    <mergeCell ref="E11:F11"/>
    <mergeCell ref="B28:C28"/>
    <mergeCell ref="C20:L20"/>
    <mergeCell ref="B7:D7"/>
    <mergeCell ref="K14:L14"/>
    <mergeCell ref="B2:N2"/>
    <mergeCell ref="C16:L16"/>
    <mergeCell ref="B1:N1"/>
    <mergeCell ref="E7:F7"/>
    <mergeCell ref="B5:F5"/>
    <mergeCell ref="H5:L5"/>
    <mergeCell ref="E3:F3"/>
    <mergeCell ref="K3:L3"/>
  </mergeCells>
  <conditionalFormatting sqref="L25:L27">
    <cfRule type="dataBar" priority="1">
      <dataBar>
        <cfvo type="num" val="0"/>
        <cfvo type="num" val="1"/>
        <color rgb="FF6A1B9A"/>
      </dataBar>
    </cfRule>
  </conditionalFormatting>
  <conditionalFormatting sqref="J15:J20">
    <cfRule type="expression" priority="2" dxfId="0">
      <formula>ISNUMBER(SEARCH("✔",J15))</formula>
    </cfRule>
    <cfRule type="expression" priority="3" dxfId="1">
      <formula>ISNUMBER(SEARCH("⚠",J15))</formula>
    </cfRule>
    <cfRule type="expression" priority="4" dxfId="2">
      <formula>ISNUMBER(SEARCH("✖",J15))</formula>
    </cfRule>
  </conditionalFormatting>
  <dataValidations count="5">
    <dataValidation sqref="E6" showDropDown="0" showInputMessage="0" showErrorMessage="1" allowBlank="1" errorTitle="قيمة غير صحيحة" error="أدخل قيمة بين 0 و 1" type="decimal" operator="between">
      <formula1>0</formula1>
      <formula2>1</formula2>
    </dataValidation>
    <dataValidation sqref="E7" showDropDown="0" showInputMessage="0" showErrorMessage="1" allowBlank="1" errorTitle="قيمة غير صحيحة" error="أدخل قيمة بين 1 و 3" type="whole" operator="between">
      <formula1>1</formula1>
      <formula2>3</formula2>
    </dataValidation>
    <dataValidation sqref="C15:C20" showDropDown="0" showInputMessage="0" showErrorMessage="1" allowBlank="1" errorTitle="تاريخ غير صحيح" error="أدخل تاريخاً صحيحاً (مثال: 2025/10/08)" type="date" operator="greaterThan">
      <formula1>36526</formula1>
    </dataValidation>
    <dataValidation sqref="H15:H20" showDropDown="0" showInputMessage="0" showErrorMessage="1" allowBlank="1" errorTitle="تاريخ غير صحيح" error="أدخل تاريخاً صحيحاً (مثال: 2025/10/08)" type="date" operator="greaterThan">
      <formula1>36526</formula1>
    </dataValidation>
    <dataValidation sqref="F25:F27" showDropDown="0" showInputMessage="0" showErrorMessage="1" allowBlank="1" errorTitle="قيمة غير صحيحة" error="أدخل قيمة بين 0 و 1" type="decimal" operator="between">
      <formula1>0</formula1>
      <formula2>1</formula2>
    </dataValidation>
  </dataValidations>
  <hyperlinks>
    <hyperlink xmlns:r="http://schemas.openxmlformats.org/officeDocument/2006/relationships" ref="B2" r:id="rId1"/>
    <hyperlink ref="B3" location="'لوحة التحكم'!A1" display="🏠 لوحة التحكم"/>
    <hyperlink ref="D3" location="'الإعدادات'!A1" display="⚙ الإعدادات"/>
    <hyperlink ref="E3" location="'جدول الكميات'!A1" display="📋 جدول الكميات"/>
    <hyperlink ref="G3" location="'سجل المستخلصات'!A1" display="🗂 سجل المستخلصات"/>
    <hyperlink ref="I3" location="'ضمان الأعمال'!A1" display="🔒 ضمان الأعمال"/>
    <hyperlink ref="K3" location="'مستخلص 1'!A1" display="📄 مستخلص 1"/>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drawing xmlns:r="http://schemas.openxmlformats.org/officeDocument/2006/relationships" r:id="rId2"/>
</worksheet>
</file>

<file path=xl/worksheets/sheet8.xml><?xml version="1.0" encoding="utf-8"?>
<worksheet xmlns="http://schemas.openxmlformats.org/spreadsheetml/2006/main">
  <sheetPr>
    <tabColor rgb="FFC62828"/>
    <outlinePr summaryBelow="1" summaryRight="1"/>
    <pageSetUpPr fitToPage="1"/>
  </sheetPr>
  <dimension ref="B1:N38"/>
  <sheetViews>
    <sheetView showGridLines="0"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3" customWidth="1" min="3" max="3"/>
    <col width="16" customWidth="1" min="4" max="4"/>
    <col width="13" customWidth="1" min="5" max="5"/>
    <col width="14" customWidth="1" min="6" max="6"/>
    <col width="13" customWidth="1" min="7" max="7"/>
    <col width="15" customWidth="1" min="8" max="8"/>
    <col width="15" customWidth="1" min="9" max="9"/>
    <col width="16" customWidth="1" min="10" max="10"/>
    <col width="16" customWidth="1" min="11" max="11"/>
    <col width="13" customWidth="1" min="12" max="12"/>
    <col width="2" customWidth="1" min="13" max="13"/>
    <col width="40" customWidth="1" min="14" max="14"/>
  </cols>
  <sheetData>
    <row r="1" ht="38" customHeight="1">
      <c r="B1" s="1" t="inlineStr">
        <is>
          <t>🔒 ضمان الأعمال (المحتجزات) والضمانات البنكية</t>
        </is>
      </c>
      <c r="C1" s="1" t="n"/>
      <c r="D1" s="1" t="n"/>
      <c r="E1" s="1" t="n"/>
      <c r="F1" s="1" t="n"/>
      <c r="G1" s="1" t="n"/>
      <c r="H1" s="1" t="n"/>
      <c r="I1" s="1" t="n"/>
      <c r="J1" s="1" t="n"/>
      <c r="K1" s="1" t="n"/>
      <c r="L1" s="1" t="n"/>
      <c r="M1" s="1" t="n"/>
      <c r="N1" s="1" t="n"/>
    </row>
    <row r="2" ht="20" customHeight="1">
      <c r="B2" s="2" t="inlineStr">
        <is>
          <t>🎁 نسخة مجانية محدودة (3 مستخلصات • 10 بنود)   —   للنسخة الكاملة (25 مستخلص • 100 بند • بدون قيود) اضغط هنا ⬅ accopro.net</t>
        </is>
      </c>
      <c r="C2" s="2" t="n"/>
      <c r="D2" s="2" t="n"/>
      <c r="E2" s="2" t="n"/>
      <c r="F2" s="2" t="n"/>
      <c r="G2" s="2" t="n"/>
      <c r="H2" s="2" t="n"/>
      <c r="I2" s="2" t="n"/>
      <c r="J2" s="2" t="n"/>
      <c r="K2" s="2" t="n"/>
      <c r="L2" s="2" t="n"/>
      <c r="M2" s="2" t="n"/>
      <c r="N2" s="2" t="n"/>
    </row>
    <row r="3" ht="24" customHeight="1">
      <c r="B3" s="70" t="inlineStr">
        <is>
          <t>🏠 لوحة التحكم</t>
        </is>
      </c>
      <c r="C3" s="70" t="n"/>
      <c r="D3" s="3" t="inlineStr">
        <is>
          <t>⚙ الإعدادات</t>
        </is>
      </c>
      <c r="E3" s="3" t="inlineStr">
        <is>
          <t>📋 جدول الكميات</t>
        </is>
      </c>
      <c r="F3" s="3" t="n"/>
      <c r="G3" s="3" t="inlineStr">
        <is>
          <t>🗂 سجل المستخلصات</t>
        </is>
      </c>
      <c r="H3" s="3" t="n"/>
      <c r="I3" s="3" t="inlineStr">
        <is>
          <t>💵 الدفعات المقدمة</t>
        </is>
      </c>
      <c r="J3" s="3" t="n"/>
      <c r="K3" s="4" t="inlineStr">
        <is>
          <t>📄 مستخلص 1</t>
        </is>
      </c>
      <c r="L3" s="4" t="n"/>
    </row>
    <row r="5" ht="22" customHeight="1">
      <c r="B5" s="71" t="inlineStr">
        <is>
          <t>إعدادات ضمان الأعمال والملخص</t>
        </is>
      </c>
      <c r="C5" s="71" t="n"/>
      <c r="D5" s="71" t="n"/>
      <c r="E5" s="71" t="n"/>
      <c r="F5" s="71" t="n"/>
      <c r="H5" s="25" t="inlineStr">
        <is>
          <t>شروط الإفراج (للتوثيق)</t>
        </is>
      </c>
      <c r="I5" s="25" t="n"/>
      <c r="J5" s="25" t="n"/>
      <c r="K5" s="25" t="n"/>
      <c r="L5" s="25" t="n"/>
    </row>
    <row r="6">
      <c r="B6" s="74" t="inlineStr">
        <is>
          <t>نسبة ضمان الأعمال المستقطعة من كل مستخلص</t>
        </is>
      </c>
      <c r="C6" s="74" t="n"/>
      <c r="D6" s="74" t="n"/>
      <c r="E6" s="82" t="n">
        <v>0.1</v>
      </c>
      <c r="F6" s="82" t="n"/>
      <c r="H6" s="111" t="inlineStr">
        <is>
          <t>مرحلة الإفراج</t>
        </is>
      </c>
      <c r="I6" s="111" t="n"/>
      <c r="J6" s="111" t="n"/>
      <c r="K6" s="111" t="inlineStr">
        <is>
          <t>نسبة الإفراج</t>
        </is>
      </c>
      <c r="L6" s="111" t="inlineStr">
        <is>
          <t>القيمة المتوقعة</t>
        </is>
      </c>
    </row>
    <row r="7">
      <c r="B7" s="74" t="inlineStr">
        <is>
          <t>الحد الأقصى للضمان (% من قيمة العقد) — اتركه فارغاً بدون حد</t>
        </is>
      </c>
      <c r="C7" s="74" t="n"/>
      <c r="D7" s="74" t="n"/>
      <c r="E7" s="105" t="n"/>
      <c r="F7" s="105" t="n"/>
      <c r="H7" s="75" t="inlineStr">
        <is>
          <t>عند الاستلام الابتدائي</t>
        </is>
      </c>
      <c r="I7" s="75" t="n"/>
      <c r="J7" s="75" t="n"/>
      <c r="K7" s="82" t="n">
        <v>0.5</v>
      </c>
      <c r="L7" s="88">
        <f>ROUND($E$9*K7,2)</f>
        <v>10619.13</v>
      </c>
    </row>
    <row r="8">
      <c r="B8" s="74" t="inlineStr">
        <is>
          <t>قيمة الحد الأقصى</t>
        </is>
      </c>
      <c r="C8" s="74" t="n"/>
      <c r="D8" s="74" t="n"/>
      <c r="E8" s="27" t="str">
        <f>IF(E7="","بدون حد",E7*'الإعدادات'!$C$19)</f>
        <v>بدون حد</v>
      </c>
      <c r="F8" s="27" t="n"/>
      <c r="H8" s="75" t="inlineStr">
        <is>
          <t>عند الاستلام النهائي (بعد فترة الصيانة)</t>
        </is>
      </c>
      <c r="I8" s="75" t="n"/>
      <c r="J8" s="75" t="n"/>
      <c r="K8" s="82" t="n">
        <v>0.5</v>
      </c>
      <c r="L8" s="88">
        <f>ROUND($E$9*K8,2)</f>
        <v>10619.13</v>
      </c>
    </row>
    <row r="9">
      <c r="B9" s="74" t="inlineStr">
        <is>
          <t>إجمالي المستقطع من المستخلصات</t>
        </is>
      </c>
      <c r="C9" s="74" t="n"/>
      <c r="D9" s="74" t="n"/>
      <c r="E9" s="27">
        <f>I19</f>
        <v>21238.25</v>
      </c>
      <c r="F9" s="27" t="n"/>
      <c r="H9" s="75" t="inlineStr">
        <is>
          <t>أخرى</t>
        </is>
      </c>
      <c r="I9" s="75" t="n"/>
      <c r="J9" s="75" t="n"/>
      <c r="K9" s="82" t="n"/>
      <c r="L9" s="88">
        <f>ROUND($E$9*K9,2)</f>
        <v>0</v>
      </c>
    </row>
    <row r="10">
      <c r="B10" s="74" t="inlineStr">
        <is>
          <t>إجمالي المفرج عنه</t>
        </is>
      </c>
      <c r="C10" s="74" t="n"/>
      <c r="D10" s="74" t="n"/>
      <c r="E10" s="102">
        <f>F29</f>
        <v>0</v>
      </c>
      <c r="F10" s="102" t="n"/>
      <c r="H10" s="74" t="inlineStr">
        <is>
          <t>مدة فترة الضمان والصيانة (شهر)</t>
        </is>
      </c>
      <c r="I10" s="74" t="n"/>
      <c r="J10" s="74" t="n"/>
      <c r="K10" s="74" t="n"/>
      <c r="L10" s="112" t="n">
        <v>12</v>
      </c>
    </row>
    <row r="11">
      <c r="B11" s="74" t="inlineStr">
        <is>
          <t>الرصيد المحتجز لدى المالك حالياً</t>
        </is>
      </c>
      <c r="C11" s="74" t="n"/>
      <c r="D11" s="74" t="n"/>
      <c r="E11" s="103">
        <f>E9-E10</f>
        <v>21238.25</v>
      </c>
      <c r="F11" s="103" t="n"/>
      <c r="H11" s="74" t="inlineStr">
        <is>
          <t>تاريخ الإفراج النهائي المتوقع</t>
        </is>
      </c>
      <c r="I11" s="74" t="n"/>
      <c r="J11" s="74" t="n"/>
      <c r="K11" s="74" t="n"/>
      <c r="L11" s="81">
        <f>IF(OR('الإعدادات'!C15="",L10=""),"",EDATE('الإعدادات'!C15,L10))</f>
        <v>46813</v>
      </c>
    </row>
    <row r="14" ht="22" customHeight="1">
      <c r="B14" s="71" t="inlineStr">
        <is>
          <t>جدول استقطاع ضمان الأعمال من المستخلصات</t>
        </is>
      </c>
      <c r="C14" s="71" t="n"/>
      <c r="D14" s="71" t="n"/>
      <c r="E14" s="71" t="n"/>
      <c r="F14" s="71" t="n"/>
      <c r="G14" s="71" t="n"/>
      <c r="H14" s="71" t="n"/>
      <c r="I14" s="71" t="n"/>
      <c r="J14" s="71" t="n"/>
      <c r="K14" s="71" t="n"/>
      <c r="L14" s="71" t="n"/>
    </row>
    <row r="15" ht="40" customHeight="1">
      <c r="B15" s="84" t="inlineStr">
        <is>
          <t>رقم المستخلص</t>
        </is>
      </c>
      <c r="C15" s="84" t="inlineStr">
        <is>
          <t>التاريخ</t>
        </is>
      </c>
      <c r="D15" s="84" t="inlineStr">
        <is>
          <t>قيمة الأعمال الحالية</t>
        </is>
      </c>
      <c r="E15" s="84" t="inlineStr">
        <is>
          <t>النسبة الافتراضية</t>
        </is>
      </c>
      <c r="F15" s="84" t="inlineStr">
        <is>
          <t>نسبة مخصصة ✎ (اختياري)</t>
        </is>
      </c>
      <c r="G15" s="84" t="inlineStr">
        <is>
          <t>النسبة المطبقة</t>
        </is>
      </c>
      <c r="H15" s="84" t="inlineStr">
        <is>
          <t>الضمان المحسوب</t>
        </is>
      </c>
      <c r="I15" s="84" t="inlineStr">
        <is>
          <t>الضمان المعتمد</t>
        </is>
      </c>
      <c r="J15" s="84" t="inlineStr">
        <is>
          <t>الضمان التراكمي</t>
        </is>
      </c>
      <c r="K15" s="84" t="inlineStr">
        <is>
          <t>قيمة الأعمال التراكمية</t>
        </is>
      </c>
      <c r="L15" s="84" t="inlineStr">
        <is>
          <t>% من الأعمال</t>
        </is>
      </c>
    </row>
    <row r="16">
      <c r="B16" s="107" t="n">
        <v>1</v>
      </c>
      <c r="C16" s="93">
        <f>'سجل المستخلصات'!C6</f>
        <v>46173</v>
      </c>
      <c r="D16" s="88">
        <f>'مستخلص 1'!M21</f>
        <v>95284</v>
      </c>
      <c r="E16" s="108">
        <f>$E$6</f>
        <v>0.1</v>
      </c>
      <c r="F16" s="105" t="n"/>
      <c r="G16" s="108">
        <f>IF(F16="",E16,F16)</f>
        <v>0.1</v>
      </c>
      <c r="H16" s="88">
        <f>MAX(0,ROUND(D16*G16,2))</f>
        <v>9528.4</v>
      </c>
      <c r="I16" s="27">
        <f>IF($E$7="",H16,MIN(H16,MAX(0,$E$7*'الإعدادات'!$C$19-0)))</f>
        <v>9528.4</v>
      </c>
      <c r="J16" s="88">
        <f>0+I16</f>
        <v>9528.4</v>
      </c>
      <c r="K16" s="88">
        <f>'مستخلص 1'!N21</f>
        <v>95284</v>
      </c>
      <c r="L16" s="28">
        <f>IF(K16=0,0,J16/K16)</f>
        <v>0.09999999999999999</v>
      </c>
    </row>
    <row r="17">
      <c r="B17" s="109" t="n">
        <v>2</v>
      </c>
      <c r="C17" s="96">
        <f>'سجل المستخلصات'!C7</f>
        <v>46218</v>
      </c>
      <c r="D17" s="98">
        <f>'مستخلص 2'!M21</f>
        <v>86078.5</v>
      </c>
      <c r="E17" s="110">
        <f>$E$6</f>
        <v>0.1</v>
      </c>
      <c r="F17" s="105" t="n"/>
      <c r="G17" s="110">
        <f>IF(F17="",E17,F17)</f>
        <v>0.1</v>
      </c>
      <c r="H17" s="98">
        <f>MAX(0,ROUND(D17*G17,2))</f>
        <v>8607.85</v>
      </c>
      <c r="I17" s="99">
        <f>IF($E$7="",H17,MIN(H17,MAX(0,$E$7*'الإعدادات'!$C$19-J16)))</f>
        <v>8607.85</v>
      </c>
      <c r="J17" s="98">
        <f>J16+I17</f>
        <v>18136.25</v>
      </c>
      <c r="K17" s="98">
        <f>'مستخلص 2'!N21</f>
        <v>181362.5</v>
      </c>
      <c r="L17" s="50">
        <f>IF(K17=0,0,J17/K17)</f>
        <v>0.1</v>
      </c>
    </row>
    <row r="18">
      <c r="B18" s="107" t="n">
        <v>3</v>
      </c>
      <c r="C18" s="93">
        <f>'سجل المستخلصات'!C8</f>
        <v>46275</v>
      </c>
      <c r="D18" s="88">
        <f>'مستخلص 3'!M21</f>
        <v>31020</v>
      </c>
      <c r="E18" s="108">
        <f>$E$6</f>
        <v>0.1</v>
      </c>
      <c r="F18" s="105" t="n"/>
      <c r="G18" s="108">
        <f>IF(F18="",E18,F18)</f>
        <v>0.1</v>
      </c>
      <c r="H18" s="88">
        <f>MAX(0,ROUND(D18*G18,2))</f>
        <v>3102</v>
      </c>
      <c r="I18" s="27">
        <f>IF($E$7="",H18,MIN(H18,MAX(0,$E$7*'الإعدادات'!$C$19-J17)))</f>
        <v>3102</v>
      </c>
      <c r="J18" s="88">
        <f>J17+I18</f>
        <v>21238.25</v>
      </c>
      <c r="K18" s="88">
        <f>'مستخلص 3'!N21</f>
        <v>212382.5</v>
      </c>
      <c r="L18" s="28">
        <f>IF(K18=0,0,J18/K18)</f>
        <v>0.1</v>
      </c>
    </row>
    <row r="19">
      <c r="B19" s="52" t="inlineStr">
        <is>
          <t>الإجمالي</t>
        </is>
      </c>
      <c r="C19" s="52" t="n"/>
      <c r="D19" s="90">
        <f>SUM(D16:D18)</f>
        <v>212382.5</v>
      </c>
      <c r="E19" s="106" t="n"/>
      <c r="F19" s="106" t="n"/>
      <c r="G19" s="106" t="n"/>
      <c r="H19" s="90">
        <f>SUM(H16:H18)</f>
        <v>21238.25</v>
      </c>
      <c r="I19" s="90">
        <f>SUM(I16:I18)</f>
        <v>21238.25</v>
      </c>
      <c r="J19" s="106" t="n"/>
      <c r="K19" s="106" t="n"/>
      <c r="L19" s="106" t="n"/>
    </row>
    <row r="21" ht="22" customHeight="1">
      <c r="B21" s="71" t="inlineStr">
        <is>
          <t>سجل الإفراج عن ضمان الأعمال</t>
        </is>
      </c>
      <c r="C21" s="71" t="n"/>
      <c r="D21" s="71" t="n"/>
      <c r="E21" s="71" t="n"/>
      <c r="F21" s="71" t="n"/>
      <c r="G21" s="71" t="n"/>
      <c r="H21" s="71" t="n"/>
      <c r="I21" s="71" t="n"/>
      <c r="J21" s="71" t="n"/>
      <c r="K21" s="71" t="n"/>
      <c r="L21" s="71" t="n"/>
    </row>
    <row r="22" ht="34" customHeight="1">
      <c r="B22" s="84" t="inlineStr">
        <is>
          <t>م</t>
        </is>
      </c>
      <c r="C22" s="84" t="inlineStr">
        <is>
          <t>تاريخ الإفراج</t>
        </is>
      </c>
      <c r="D22" s="84" t="inlineStr">
        <is>
          <t>المرحلة / السبب</t>
        </is>
      </c>
      <c r="E22" s="44" t="n"/>
      <c r="F22" s="84" t="inlineStr">
        <is>
          <t>المبلغ المفرج عنه</t>
        </is>
      </c>
      <c r="G22" s="84" t="inlineStr">
        <is>
          <t>% من المحتجز</t>
        </is>
      </c>
      <c r="H22" s="84" t="inlineStr">
        <is>
          <t>رقم الشيك / التحويل</t>
        </is>
      </c>
      <c r="I22" s="84" t="inlineStr">
        <is>
          <t>ملاحظات</t>
        </is>
      </c>
      <c r="J22" s="43" t="n"/>
      <c r="K22" s="43" t="n"/>
      <c r="L22" s="44" t="n"/>
    </row>
    <row r="23">
      <c r="B23" s="101" t="n">
        <v>1</v>
      </c>
      <c r="C23" s="105" t="inlineStr">
        <is>
          <t>🔒 النسخة الكاملة</t>
        </is>
      </c>
      <c r="D23" s="105" t="n"/>
      <c r="E23" s="105" t="n"/>
      <c r="F23" s="105" t="n"/>
      <c r="G23" s="28">
        <f>IF($E$9=0,0,F23/$E$9)</f>
        <v>0</v>
      </c>
      <c r="H23" s="105" t="n"/>
      <c r="I23" s="105" t="n"/>
      <c r="J23" s="105" t="n"/>
      <c r="K23" s="105" t="n"/>
      <c r="L23" s="105" t="n"/>
    </row>
    <row r="24">
      <c r="B24" s="101" t="n">
        <v>2</v>
      </c>
      <c r="C24" s="105" t="n"/>
      <c r="D24" s="105" t="n"/>
      <c r="E24" s="105" t="n"/>
      <c r="F24" s="105" t="n"/>
      <c r="G24" s="28">
        <f>IF($E$9=0,0,F24/$E$9)</f>
        <v>0</v>
      </c>
      <c r="H24" s="105" t="n"/>
      <c r="I24" s="105" t="n"/>
      <c r="J24" s="105" t="n"/>
      <c r="K24" s="105" t="n"/>
      <c r="L24" s="105" t="n"/>
    </row>
    <row r="25">
      <c r="B25" s="101" t="n">
        <v>3</v>
      </c>
      <c r="C25" s="105" t="n"/>
      <c r="D25" s="105" t="n"/>
      <c r="E25" s="105" t="n"/>
      <c r="F25" s="105" t="n"/>
      <c r="G25" s="28">
        <f>IF($E$9=0,0,F25/$E$9)</f>
        <v>0</v>
      </c>
      <c r="H25" s="105" t="n"/>
      <c r="I25" s="105" t="n"/>
      <c r="J25" s="105" t="n"/>
      <c r="K25" s="105" t="n"/>
      <c r="L25" s="105" t="n"/>
    </row>
    <row r="26">
      <c r="B26" s="101" t="n">
        <v>4</v>
      </c>
      <c r="C26" s="105" t="n"/>
      <c r="D26" s="105" t="n"/>
      <c r="E26" s="105" t="n"/>
      <c r="F26" s="105" t="n"/>
      <c r="G26" s="28">
        <f>IF($E$9=0,0,F26/$E$9)</f>
        <v>0</v>
      </c>
      <c r="H26" s="105" t="n"/>
      <c r="I26" s="105" t="n"/>
      <c r="J26" s="105" t="n"/>
      <c r="K26" s="105" t="n"/>
      <c r="L26" s="105" t="n"/>
    </row>
    <row r="27">
      <c r="B27" s="101" t="n">
        <v>5</v>
      </c>
      <c r="C27" s="105" t="n"/>
      <c r="D27" s="105" t="n"/>
      <c r="E27" s="105" t="n"/>
      <c r="F27" s="105" t="n"/>
      <c r="G27" s="28">
        <f>IF($E$9=0,0,F27/$E$9)</f>
        <v>0</v>
      </c>
      <c r="H27" s="105" t="n"/>
      <c r="I27" s="105" t="n"/>
      <c r="J27" s="105" t="n"/>
      <c r="K27" s="105" t="n"/>
      <c r="L27" s="105" t="n"/>
    </row>
    <row r="28">
      <c r="B28" s="101" t="n">
        <v>6</v>
      </c>
      <c r="C28" s="105" t="n"/>
      <c r="D28" s="105" t="n"/>
      <c r="E28" s="105" t="n"/>
      <c r="F28" s="105" t="n"/>
      <c r="G28" s="28">
        <f>IF($E$9=0,0,F28/$E$9)</f>
        <v>0</v>
      </c>
      <c r="H28" s="105" t="n"/>
      <c r="I28" s="105" t="n"/>
      <c r="J28" s="105" t="n"/>
      <c r="K28" s="105" t="n"/>
      <c r="L28" s="105" t="n"/>
    </row>
    <row r="29">
      <c r="B29" s="52" t="inlineStr">
        <is>
          <t>الإجمالي</t>
        </is>
      </c>
      <c r="C29" s="52" t="n"/>
      <c r="D29" s="52" t="n"/>
      <c r="E29" s="52" t="n"/>
      <c r="F29" s="90">
        <f>SUM(F23:F28)</f>
        <v>0</v>
      </c>
      <c r="G29" s="54">
        <f>SUM(G23:G28)</f>
        <v>0</v>
      </c>
      <c r="H29" s="106" t="n"/>
      <c r="I29" s="106" t="n"/>
      <c r="J29" s="106" t="n"/>
      <c r="K29" s="106" t="n"/>
      <c r="L29" s="106" t="n"/>
    </row>
    <row r="31" ht="22" customHeight="1">
      <c r="B31" s="71" t="inlineStr">
        <is>
          <t>الضمانات البنكية للعقد (ابتدائي / حسن تنفيذ / بديل محتجزات)</t>
        </is>
      </c>
      <c r="C31" s="71" t="n"/>
      <c r="D31" s="71" t="n"/>
      <c r="E31" s="71" t="n"/>
      <c r="F31" s="71" t="n"/>
      <c r="G31" s="71" t="n"/>
      <c r="H31" s="71" t="n"/>
      <c r="I31" s="71" t="n"/>
      <c r="J31" s="71" t="n"/>
      <c r="K31" s="71" t="n"/>
      <c r="L31" s="71" t="n"/>
    </row>
    <row r="32" ht="34" customHeight="1">
      <c r="B32" s="84" t="inlineStr">
        <is>
          <t>م</t>
        </is>
      </c>
      <c r="C32" s="84" t="inlineStr">
        <is>
          <t>نوع الضمان</t>
        </is>
      </c>
      <c r="D32" s="44" t="n"/>
      <c r="E32" s="84" t="inlineStr">
        <is>
          <t>رقم الخطاب</t>
        </is>
      </c>
      <c r="F32" s="84" t="inlineStr">
        <is>
          <t>البنك</t>
        </is>
      </c>
      <c r="G32" s="84" t="inlineStr">
        <is>
          <t>القيمة</t>
        </is>
      </c>
      <c r="H32" s="84" t="inlineStr">
        <is>
          <t>% من العقد</t>
        </is>
      </c>
      <c r="I32" s="84" t="inlineStr">
        <is>
          <t>تاريخ الإصدار</t>
        </is>
      </c>
      <c r="J32" s="84" t="inlineStr">
        <is>
          <t>تاريخ الانتهاء</t>
        </is>
      </c>
      <c r="K32" s="84" t="inlineStr">
        <is>
          <t>الأيام المتبقية</t>
        </is>
      </c>
      <c r="L32" s="84" t="inlineStr">
        <is>
          <t>الحالة</t>
        </is>
      </c>
    </row>
    <row r="33">
      <c r="B33" s="101" t="n">
        <v>1</v>
      </c>
      <c r="C33" s="75" t="inlineStr">
        <is>
          <t>ضمان نهائي (حسن تنفيذ)</t>
        </is>
      </c>
      <c r="D33" s="75" t="n"/>
      <c r="E33" s="85" t="inlineStr">
        <is>
          <t>PB-771034</t>
        </is>
      </c>
      <c r="F33" s="85" t="inlineStr">
        <is>
          <t>مصرف الراجحي</t>
        </is>
      </c>
      <c r="G33" s="87" t="n">
        <v>28000</v>
      </c>
      <c r="H33" s="28">
        <f>IF('الإعدادات'!$C$19=0,0,G33/'الإعدادات'!$C$19)</f>
        <v>0.10038972726262312</v>
      </c>
      <c r="I33" s="94" t="n">
        <v>46073</v>
      </c>
      <c r="J33" s="94" t="n">
        <v>46315</v>
      </c>
      <c r="K33" s="104">
        <f>IF(J33="","",J33-TODAY())</f>
        <v>21</v>
      </c>
      <c r="L33" s="30" t="str">
        <f>IF(J33="","",IF(K33&lt;0,"✖ منتهي",IF(K33&lt;=30,"⚠ ينتهي قريباً","✔ ساري")))</f>
        <v>⚠ ينتهي قريباً</v>
      </c>
    </row>
    <row r="34">
      <c r="B34" s="101" t="n">
        <v>2</v>
      </c>
      <c r="C34" s="105" t="inlineStr">
        <is>
          <t>🔒 متابعة أكثر من ضمان بنكي — متاحة في النسخة الكاملة</t>
        </is>
      </c>
      <c r="D34" s="105" t="n"/>
      <c r="E34" s="105" t="n"/>
      <c r="F34" s="105" t="n"/>
      <c r="G34" s="105" t="n"/>
      <c r="H34" s="105" t="n"/>
      <c r="I34" s="105" t="n"/>
      <c r="J34" s="105" t="n"/>
      <c r="K34" s="104" t="str">
        <f>IF(J34="","",J34-TODAY())</f>
        <v/>
      </c>
      <c r="L34" s="30" t="str">
        <f>IF(J34="","",IF(K34&lt;0,"✖ منتهي",IF(K34&lt;=30,"⚠ ينتهي قريباً","✔ ساري")))</f>
        <v/>
      </c>
    </row>
    <row r="35">
      <c r="B35" s="101" t="n">
        <v>3</v>
      </c>
      <c r="C35" s="105" t="inlineStr">
        <is>
          <t>🔒 متابعة أكثر من ضمان بنكي — متاحة في النسخة الكاملة</t>
        </is>
      </c>
      <c r="D35" s="105" t="n"/>
      <c r="E35" s="105" t="n"/>
      <c r="F35" s="105" t="n"/>
      <c r="G35" s="105" t="n"/>
      <c r="H35" s="105" t="n"/>
      <c r="I35" s="105" t="n"/>
      <c r="J35" s="105" t="n"/>
      <c r="K35" s="104" t="str">
        <f>IF(J35="","",J35-TODAY())</f>
        <v/>
      </c>
      <c r="L35" s="30" t="str">
        <f>IF(J35="","",IF(K35&lt;0,"✖ منتهي",IF(K35&lt;=30,"⚠ ينتهي قريباً","✔ ساري")))</f>
        <v/>
      </c>
    </row>
    <row r="36">
      <c r="B36" s="101" t="n">
        <v>4</v>
      </c>
      <c r="C36" s="105" t="inlineStr">
        <is>
          <t>🔒 متابعة أكثر من ضمان بنكي — متاحة في النسخة الكاملة</t>
        </is>
      </c>
      <c r="D36" s="105" t="n"/>
      <c r="E36" s="105" t="n"/>
      <c r="F36" s="105" t="n"/>
      <c r="G36" s="105" t="n"/>
      <c r="H36" s="105" t="n"/>
      <c r="I36" s="105" t="n"/>
      <c r="J36" s="105" t="n"/>
      <c r="K36" s="104" t="str">
        <f>IF(J36="","",J36-TODAY())</f>
        <v/>
      </c>
      <c r="L36" s="30" t="str">
        <f>IF(J36="","",IF(K36&lt;0,"✖ منتهي",IF(K36&lt;=30,"⚠ ينتهي قريباً","✔ ساري")))</f>
        <v/>
      </c>
    </row>
    <row r="37">
      <c r="B37" s="101" t="n">
        <v>5</v>
      </c>
      <c r="C37" s="105" t="inlineStr">
        <is>
          <t>🔒 متابعة أكثر من ضمان بنكي — متاحة في النسخة الكاملة</t>
        </is>
      </c>
      <c r="D37" s="105" t="n"/>
      <c r="E37" s="105" t="n"/>
      <c r="F37" s="105" t="n"/>
      <c r="G37" s="105" t="n"/>
      <c r="H37" s="105" t="n"/>
      <c r="I37" s="105" t="n"/>
      <c r="J37" s="105" t="n"/>
      <c r="K37" s="104" t="str">
        <f>IF(J37="","",J37-TODAY())</f>
        <v/>
      </c>
      <c r="L37" s="30" t="str">
        <f>IF(J37="","",IF(K37&lt;0,"✖ منتهي",IF(K37&lt;=30,"⚠ ينتهي قريباً","✔ ساري")))</f>
        <v/>
      </c>
    </row>
    <row r="38">
      <c r="B38" s="101" t="n">
        <v>6</v>
      </c>
      <c r="C38" s="105" t="inlineStr">
        <is>
          <t>🔒 متابعة أكثر من ضمان بنكي — متاحة في النسخة الكاملة</t>
        </is>
      </c>
      <c r="D38" s="105" t="n"/>
      <c r="E38" s="105" t="n"/>
      <c r="F38" s="105" t="n"/>
      <c r="G38" s="105" t="n"/>
      <c r="H38" s="105" t="n"/>
      <c r="I38" s="105" t="n"/>
      <c r="J38" s="105" t="n"/>
      <c r="K38" s="104" t="str">
        <f>IF(J38="","",J38-TODAY())</f>
        <v/>
      </c>
      <c r="L38" s="30" t="str">
        <f>IF(J38="","",IF(K38&lt;0,"✖ منتهي",IF(K38&lt;=30,"⚠ ينتهي قريباً","✔ ساري")))</f>
        <v/>
      </c>
    </row>
  </sheetData>
  <sheetProtection selectLockedCells="0" selectUnlockedCells="0" sheet="1" objects="0" insertRows="1" insertHyperlinks="1" autoFilter="0" scenarios="0" formatColumns="1" deleteColumns="1" insertColumns="1" pivotTables="1" deleteRows="1" formatCells="1" formatRows="1" sort="0" password="FFA5"/>
  <mergeCells count="53">
    <mergeCell ref="B11:D11"/>
    <mergeCell ref="C34:J34"/>
    <mergeCell ref="B3:C3"/>
    <mergeCell ref="C33:D33"/>
    <mergeCell ref="B8:D8"/>
    <mergeCell ref="D22:E22"/>
    <mergeCell ref="C25:E25"/>
    <mergeCell ref="B31:L31"/>
    <mergeCell ref="E8:F8"/>
    <mergeCell ref="H7:J7"/>
    <mergeCell ref="C37:J37"/>
    <mergeCell ref="C35:J35"/>
    <mergeCell ref="B10:D10"/>
    <mergeCell ref="C27:E27"/>
    <mergeCell ref="B21:L21"/>
    <mergeCell ref="E10:F10"/>
    <mergeCell ref="C23:E23"/>
    <mergeCell ref="B9:D9"/>
    <mergeCell ref="B14:L14"/>
    <mergeCell ref="E9:F9"/>
    <mergeCell ref="B6:D6"/>
    <mergeCell ref="G3:H3"/>
    <mergeCell ref="H10:K10"/>
    <mergeCell ref="I27:L27"/>
    <mergeCell ref="I3:J3"/>
    <mergeCell ref="E6:F6"/>
    <mergeCell ref="C28:E28"/>
    <mergeCell ref="I26:L26"/>
    <mergeCell ref="B19:C19"/>
    <mergeCell ref="E11:F11"/>
    <mergeCell ref="H8:J8"/>
    <mergeCell ref="C36:J36"/>
    <mergeCell ref="I25:L25"/>
    <mergeCell ref="B7:D7"/>
    <mergeCell ref="B2:N2"/>
    <mergeCell ref="I23:L23"/>
    <mergeCell ref="C24:E24"/>
    <mergeCell ref="I22:L22"/>
    <mergeCell ref="I28:L28"/>
    <mergeCell ref="C32:D32"/>
    <mergeCell ref="B1:N1"/>
    <mergeCell ref="E7:F7"/>
    <mergeCell ref="H11:K11"/>
    <mergeCell ref="C38:J38"/>
    <mergeCell ref="B5:F5"/>
    <mergeCell ref="B29:E29"/>
    <mergeCell ref="C26:E26"/>
    <mergeCell ref="H9:J9"/>
    <mergeCell ref="I24:L24"/>
    <mergeCell ref="H5:L5"/>
    <mergeCell ref="E3:F3"/>
    <mergeCell ref="K3:L3"/>
    <mergeCell ref="H6:J6"/>
  </mergeCells>
  <conditionalFormatting sqref="L33:L38">
    <cfRule type="expression" priority="1" dxfId="0">
      <formula>ISNUMBER(SEARCH("✔",L33))</formula>
    </cfRule>
    <cfRule type="expression" priority="2" dxfId="1">
      <formula>ISNUMBER(SEARCH("⚠",L33))</formula>
    </cfRule>
    <cfRule type="expression" priority="3" dxfId="2">
      <formula>ISNUMBER(SEARCH("✖",L33))</formula>
    </cfRule>
  </conditionalFormatting>
  <dataValidations count="5">
    <dataValidation sqref="E6:E7" showDropDown="0" showInputMessage="0" showErrorMessage="1" allowBlank="1" errorTitle="قيمة غير صحيحة" error="أدخل قيمة بين 0 و 1" type="decimal" operator="between">
      <formula1>0</formula1>
      <formula2>1</formula2>
    </dataValidation>
    <dataValidation sqref="F16:F18" showDropDown="0" showInputMessage="0" showErrorMessage="1" allowBlank="1" errorTitle="قيمة غير صحيحة" error="أدخل قيمة بين 0 و 1" type="decimal" operator="between">
      <formula1>0</formula1>
      <formula2>1</formula2>
    </dataValidation>
    <dataValidation sqref="C23:C28" showDropDown="0" showInputMessage="0" showErrorMessage="1" allowBlank="1" errorTitle="تاريخ غير صحيح" error="أدخل تاريخاً صحيحاً (مثال: 2025/10/08)" type="date" operator="greaterThan">
      <formula1>36526</formula1>
    </dataValidation>
    <dataValidation sqref="C33:C38" showDropDown="0" showInputMessage="0" showErrorMessage="0" allowBlank="1" errorTitle="قيمة غير مسموحة" error="من فضلك اختر قيمة من القائمة المنسدلة." type="list" errorStyle="warning">
      <formula1>"ضمان ابتدائي,ضمان نهائي (حسن تنفيذ),ضمان دفعة مقدمة,بديل محتجزات ضمان الأعمال,ضمان صيانة,أخرى"</formula1>
    </dataValidation>
    <dataValidation sqref="I33:J38" showDropDown="0" showInputMessage="0" showErrorMessage="1" allowBlank="1" errorTitle="تاريخ غير صحيح" error="أدخل تاريخاً صحيحاً (مثال: 2025/10/08)" type="date" operator="greaterThan">
      <formula1>36526</formula1>
    </dataValidation>
  </dataValidations>
  <hyperlinks>
    <hyperlink xmlns:r="http://schemas.openxmlformats.org/officeDocument/2006/relationships" ref="B2" r:id="rId1"/>
    <hyperlink ref="B3" location="'لوحة التحكم'!A1" display="🏠 لوحة التحكم"/>
    <hyperlink ref="D3" location="'الإعدادات'!A1" display="⚙ الإعدادات"/>
    <hyperlink ref="E3" location="'جدول الكميات'!A1" display="📋 جدول الكميات"/>
    <hyperlink ref="G3" location="'سجل المستخلصات'!A1" display="🗂 سجل المستخلصات"/>
    <hyperlink ref="I3" location="'الدفعات المقدمة'!A1" display="💵 الدفعات المقدمة"/>
    <hyperlink ref="K3" location="'مستخلص 1'!A1" display="📄 مستخلص 1"/>
  </hyperlinks>
  <printOptions horizontalCentered="1"/>
  <pageMargins left="0.3" right="0.3" top="0.4" bottom="0.4" header="0.5" footer="0.5"/>
  <pageSetup orientation="landscape" paperSize="9" fitToHeight="0" fitToWidth="1"/>
  <headerFooter>
    <oddHeader/>
    <oddFooter>&amp;Lنسخة مجانية - accopro.net</oddFooter>
    <evenHeader/>
    <evenFooter/>
    <firstHeader/>
    <firstFooter/>
  </headerFooter>
  <drawing xmlns:r="http://schemas.openxmlformats.org/officeDocument/2006/relationships" r:id="rId2"/>
  <legacyDrawing xmlns:r="http://schemas.openxmlformats.org/officeDocument/2006/relationships" r:id="anysvml"/>
</worksheet>
</file>

<file path=xl/worksheets/sheet9.xml><?xml version="1.0" encoding="utf-8"?>
<worksheet xmlns="http://schemas.openxmlformats.org/spreadsheetml/2006/main">
  <sheetPr>
    <tabColor rgb="FF9A6B00"/>
    <outlinePr summaryBelow="1" summaryRight="1"/>
    <pageSetUpPr fitToPage="1"/>
  </sheetPr>
  <dimension ref="A1:P3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t="str">
        <f>"مستخلص أعمال رقم ( 1 )  —  "&amp;'الإعدادات'!$C$6</f>
        <v>مستخلص أعمال رقم ( 1 )  —  مشروع تأهيل أبراج طيبة - المنطقة المركزية شارع الهجرة</v>
      </c>
      <c r="B1" s="1" t="n"/>
      <c r="C1" s="1" t="n"/>
      <c r="D1" s="1" t="n"/>
      <c r="E1" s="1" t="n"/>
      <c r="F1" s="1" t="n"/>
      <c r="G1" s="1" t="n"/>
      <c r="H1" s="1" t="n"/>
      <c r="I1" s="1" t="n"/>
      <c r="J1" s="1" t="n"/>
      <c r="K1" s="1" t="n"/>
      <c r="L1" s="1" t="n"/>
      <c r="M1" s="1" t="n"/>
      <c r="N1" s="1" t="n"/>
      <c r="O1" s="1" t="n"/>
      <c r="P1" s="1" t="n"/>
    </row>
    <row r="2" ht="20" customHeight="1">
      <c r="A2" s="2" t="inlineStr">
        <is>
          <t>🎁 نسخة مجانية محدودة (3 مستخلصات • 10 بنود)   —   للنسخة الكاملة (25 مستخلص • 100 بند • بدون قيود) اضغط هنا ⬅ accopro.net</t>
        </is>
      </c>
      <c r="B2" s="2" t="n"/>
      <c r="C2" s="2" t="n"/>
      <c r="D2" s="2" t="n"/>
      <c r="E2" s="2" t="n"/>
      <c r="F2" s="2" t="n"/>
      <c r="G2" s="2" t="n"/>
      <c r="H2" s="2" t="n"/>
      <c r="I2" s="2" t="n"/>
      <c r="J2" s="2" t="n"/>
      <c r="K2" s="2" t="n"/>
      <c r="L2" s="2" t="n"/>
      <c r="M2" s="2" t="n"/>
      <c r="N2" s="2" t="n"/>
      <c r="O2" s="2" t="n"/>
      <c r="P2" s="2" t="n"/>
    </row>
    <row r="3" ht="24" customHeight="1">
      <c r="A3" s="70" t="inlineStr">
        <is>
          <t>🏠</t>
        </is>
      </c>
      <c r="B3" s="3" t="inlineStr">
        <is>
          <t>🗂 سجل المستخلصات</t>
        </is>
      </c>
      <c r="C3" s="3" t="inlineStr">
        <is>
          <t>📋 BOQ</t>
        </is>
      </c>
      <c r="D3" s="3" t="n"/>
      <c r="E3" s="3" t="n"/>
      <c r="F3" s="3" t="inlineStr">
        <is>
          <t>💵 المقدمة</t>
        </is>
      </c>
      <c r="G3" s="3" t="n"/>
      <c r="H3" s="3" t="inlineStr">
        <is>
          <t>🔒 الضمان</t>
        </is>
      </c>
      <c r="I3" s="3" t="n"/>
      <c r="N3" s="4" t="inlineStr">
        <is>
          <t>المستخلص التالي (2) ▶</t>
        </is>
      </c>
      <c r="O3" s="4" t="n"/>
      <c r="P3" s="4" t="n"/>
    </row>
    <row r="4" ht="24" customHeight="1">
      <c r="A4" s="111" t="inlineStr">
        <is>
          <t>رقم</t>
        </is>
      </c>
      <c r="B4" s="113" t="n">
        <v>1</v>
      </c>
      <c r="C4" s="111" t="inlineStr">
        <is>
          <t>تاريخ المستخلص</t>
        </is>
      </c>
      <c r="D4" s="111" t="n"/>
      <c r="E4" s="94" t="n">
        <v>46173</v>
      </c>
      <c r="F4" s="94" t="n"/>
      <c r="G4" s="111" t="inlineStr">
        <is>
          <t>الحالة</t>
        </is>
      </c>
      <c r="H4" s="85" t="inlineStr">
        <is>
          <t>جاري</t>
        </is>
      </c>
      <c r="I4" s="85" t="n"/>
      <c r="J4" s="111" t="inlineStr">
        <is>
          <t>الفترة من</t>
        </is>
      </c>
      <c r="K4" s="111" t="n"/>
      <c r="L4" s="94" t="n">
        <v>46082</v>
      </c>
      <c r="M4" s="111" t="inlineStr">
        <is>
          <t>إلى</t>
        </is>
      </c>
      <c r="N4" s="94" t="n">
        <v>46173</v>
      </c>
      <c r="O4" s="94" t="n"/>
      <c r="P4" s="94" t="n"/>
    </row>
    <row r="5" ht="22" customHeight="1">
      <c r="A5" s="111" t="inlineStr">
        <is>
          <t>المشروع</t>
        </is>
      </c>
      <c r="B5" s="45" t="str">
        <f>'الإعدادات'!$C$6</f>
        <v>مشروع تأهيل أبراج طيبة - المنطقة المركزية شارع الهجرة</v>
      </c>
      <c r="C5" s="111" t="inlineStr">
        <is>
          <t>المالك</t>
        </is>
      </c>
      <c r="D5" s="111" t="n"/>
      <c r="E5" s="45" t="str">
        <f>'الإعدادات'!$C$8</f>
        <v>شركة ثروات الرائدة العقارية</v>
      </c>
      <c r="F5" s="45" t="n"/>
      <c r="G5" s="45" t="n"/>
      <c r="H5" s="45" t="n"/>
      <c r="I5" s="45" t="n"/>
      <c r="J5" s="111" t="inlineStr">
        <is>
          <t>المقاول</t>
        </is>
      </c>
      <c r="K5" s="111" t="n"/>
      <c r="L5" s="45" t="str">
        <f>'الإعدادات'!$C$9</f>
        <v>مؤسسة البناء المتقن للمقاولات</v>
      </c>
      <c r="M5" s="45" t="n"/>
      <c r="N5" s="45" t="n"/>
      <c r="O5" s="45" t="n"/>
      <c r="P5" s="45" t="n"/>
    </row>
    <row r="6" ht="24" customHeight="1">
      <c r="A6" s="84" t="inlineStr">
        <is>
          <t>البند</t>
        </is>
      </c>
      <c r="B6" s="84" t="inlineStr">
        <is>
          <t>بيان الأعمال</t>
        </is>
      </c>
      <c r="C6" s="84" t="inlineStr">
        <is>
          <t>الوحدة</t>
        </is>
      </c>
      <c r="D6" s="84" t="inlineStr">
        <is>
          <t>الكمية التعاقدية</t>
        </is>
      </c>
      <c r="E6" s="84" t="inlineStr">
        <is>
          <t>سعر الوحدة</t>
        </is>
      </c>
      <c r="F6" s="114" t="inlineStr">
        <is>
          <t>الكمية المنفذة من واقع التمتير الفعلي</t>
        </is>
      </c>
      <c r="G6" s="114" t="n"/>
      <c r="H6" s="114" t="n"/>
      <c r="I6" s="42" t="inlineStr">
        <is>
          <t>نسبة الإنجاز / الاستحقاق للبند</t>
        </is>
      </c>
      <c r="J6" s="42" t="n"/>
      <c r="K6" s="42" t="n"/>
      <c r="L6" s="114" t="inlineStr">
        <is>
          <t>قيمة الأعمال المنفذة</t>
        </is>
      </c>
      <c r="M6" s="114" t="n"/>
      <c r="N6" s="114" t="n"/>
      <c r="O6" s="84" t="inlineStr">
        <is>
          <t>نسبة الإنجاز الفعلية</t>
        </is>
      </c>
      <c r="P6" s="84" t="inlineStr">
        <is>
          <t>ملاحظات</t>
        </is>
      </c>
    </row>
    <row r="7" ht="30" customHeight="1">
      <c r="A7" s="84" t="n"/>
      <c r="B7" s="84" t="n"/>
      <c r="C7" s="84" t="n"/>
      <c r="D7" s="84" t="n"/>
      <c r="E7" s="84" t="n"/>
      <c r="F7" s="114" t="inlineStr">
        <is>
          <t>سابق</t>
        </is>
      </c>
      <c r="G7" s="115" t="inlineStr">
        <is>
          <t>حالي ✎</t>
        </is>
      </c>
      <c r="H7" s="114" t="inlineStr">
        <is>
          <t>إجمالي</t>
        </is>
      </c>
      <c r="I7" s="42" t="inlineStr">
        <is>
          <t>سابقة</t>
        </is>
      </c>
      <c r="J7" s="115" t="inlineStr">
        <is>
          <t>حالية 🔒 النسخة الكاملة</t>
        </is>
      </c>
      <c r="K7" s="42" t="inlineStr">
        <is>
          <t>المعتمدة</t>
        </is>
      </c>
      <c r="L7" s="114" t="inlineStr">
        <is>
          <t>سابقة</t>
        </is>
      </c>
      <c r="M7" s="114" t="inlineStr">
        <is>
          <t>حالية</t>
        </is>
      </c>
      <c r="N7" s="114" t="inlineStr">
        <is>
          <t>إجمالية</t>
        </is>
      </c>
      <c r="O7" s="84" t="n"/>
      <c r="P7" s="84" t="n"/>
    </row>
    <row r="8">
      <c r="A8" s="30">
        <f>IF('جدول الكميات'!A6="","",'جدول الكميات'!A6)</f>
        <v>1</v>
      </c>
      <c r="B8" s="116" t="str">
        <f>IF('جدول الكميات'!C6="","",'جدول الكميات'!C6)</f>
        <v>توريد وتركيب هندريل زجاج مع كبسة أستيل لدور الميزانين</v>
      </c>
      <c r="C8" s="30" t="str">
        <f>IF('جدول الكميات'!D6="","",'جدول الكميات'!D6)</f>
        <v>م.ط</v>
      </c>
      <c r="D8" s="88">
        <f>'جدول الكميات'!E6</f>
        <v>7.54</v>
      </c>
      <c r="E8" s="88">
        <f>'جدول الكميات'!F6</f>
        <v>650</v>
      </c>
      <c r="F8" s="88" t="n">
        <v>0</v>
      </c>
      <c r="G8" s="87" t="n">
        <v>3.77</v>
      </c>
      <c r="H8" s="27">
        <f>F8+G8</f>
        <v>3.77</v>
      </c>
      <c r="I8" s="108" t="n">
        <v>1</v>
      </c>
      <c r="J8" s="105" t="n"/>
      <c r="K8" s="117">
        <f>IF(J8="",I8,J8)</f>
        <v>1</v>
      </c>
      <c r="L8" s="88" t="n">
        <v>0</v>
      </c>
      <c r="M8" s="27">
        <f>N8-L8</f>
        <v>2450.5</v>
      </c>
      <c r="N8" s="88">
        <f>ROUND(H8*E8*K8,2)</f>
        <v>2450.5</v>
      </c>
      <c r="O8" s="28">
        <f>IF(D8*E8=0,0,N8/(D8*E8))</f>
        <v>0.5</v>
      </c>
      <c r="P8" s="75" t="n"/>
    </row>
    <row r="9">
      <c r="A9" s="97">
        <f>IF('جدول الكميات'!A7="","",'جدول الكميات'!A7)</f>
        <v>2</v>
      </c>
      <c r="B9" s="118" t="str">
        <f>IF('جدول الكميات'!C7="","",'جدول الكميات'!C7)</f>
        <v>توريد وتركيب مرايات لحمامات الدور الأرضي</v>
      </c>
      <c r="C9" s="97" t="str">
        <f>IF('جدول الكميات'!D7="","",'جدول الكميات'!D7)</f>
        <v>عدد</v>
      </c>
      <c r="D9" s="98">
        <f>'جدول الكميات'!E7</f>
        <v>5</v>
      </c>
      <c r="E9" s="98">
        <f>'جدول الكميات'!F7</f>
        <v>800</v>
      </c>
      <c r="F9" s="98" t="n">
        <v>0</v>
      </c>
      <c r="G9" s="87" t="n">
        <v>1.75</v>
      </c>
      <c r="H9" s="99">
        <f>F9+G9</f>
        <v>1.75</v>
      </c>
      <c r="I9" s="110" t="n">
        <v>1</v>
      </c>
      <c r="J9" s="105" t="n"/>
      <c r="K9" s="119">
        <f>IF(J9="",I9,J9)</f>
        <v>1</v>
      </c>
      <c r="L9" s="98" t="n">
        <v>0</v>
      </c>
      <c r="M9" s="99">
        <f>N9-L9</f>
        <v>1400</v>
      </c>
      <c r="N9" s="98">
        <f>ROUND(H9*E9*K9,2)</f>
        <v>1400</v>
      </c>
      <c r="O9" s="50">
        <f>IF(D9*E9=0,0,N9/(D9*E9))</f>
        <v>0.35</v>
      </c>
      <c r="P9" s="75" t="n"/>
    </row>
    <row r="10">
      <c r="A10" s="30">
        <f>IF('جدول الكميات'!A8="","",'جدول الكميات'!A8)</f>
        <v>3</v>
      </c>
      <c r="B10" s="116" t="str">
        <f>IF('جدول الكميات'!C8="","",'جدول الكميات'!C8)</f>
        <v>تركيب زجاج هندريل لدور الميزانين</v>
      </c>
      <c r="C10" s="30" t="str">
        <f>IF('جدول الكميات'!D8="","",'جدول الكميات'!D8)</f>
        <v>م.ط</v>
      </c>
      <c r="D10" s="88">
        <f>'جدول الكميات'!E8</f>
        <v>9.4</v>
      </c>
      <c r="E10" s="88">
        <f>'جدول الكميات'!F8</f>
        <v>150</v>
      </c>
      <c r="F10" s="88" t="n">
        <v>0</v>
      </c>
      <c r="G10" s="87" t="n">
        <v>3.29</v>
      </c>
      <c r="H10" s="27">
        <f>F10+G10</f>
        <v>3.29</v>
      </c>
      <c r="I10" s="108" t="n">
        <v>1</v>
      </c>
      <c r="J10" s="105" t="n"/>
      <c r="K10" s="117">
        <f>IF(J10="",I10,J10)</f>
        <v>1</v>
      </c>
      <c r="L10" s="88" t="n">
        <v>0</v>
      </c>
      <c r="M10" s="27">
        <f>N10-L10</f>
        <v>493.5</v>
      </c>
      <c r="N10" s="88">
        <f>ROUND(H10*E10*K10,2)</f>
        <v>493.5</v>
      </c>
      <c r="O10" s="28">
        <f>IF(D10*E10=0,0,N10/(D10*E10))</f>
        <v>0.35</v>
      </c>
      <c r="P10" s="75" t="n"/>
    </row>
    <row r="11">
      <c r="A11" s="97">
        <f>IF('جدول الكميات'!A9="","",'جدول الكميات'!A9)</f>
        <v>4</v>
      </c>
      <c r="B11" s="118" t="str">
        <f>IF('جدول الكميات'!C9="","",'جدول الكميات'!C9)</f>
        <v>فك وإعادة تركيب زجاج هندريل دور الميزانين</v>
      </c>
      <c r="C11" s="97" t="str">
        <f>IF('جدول الكميات'!D9="","",'جدول الكميات'!D9)</f>
        <v>م.ط</v>
      </c>
      <c r="D11" s="98">
        <f>'جدول الكميات'!E9</f>
        <v>5.4</v>
      </c>
      <c r="E11" s="98">
        <f>'جدول الكميات'!F9</f>
        <v>300</v>
      </c>
      <c r="F11" s="98" t="n">
        <v>0</v>
      </c>
      <c r="G11" s="87" t="n">
        <v>1.51</v>
      </c>
      <c r="H11" s="99">
        <f>F11+G11</f>
        <v>1.51</v>
      </c>
      <c r="I11" s="110" t="n">
        <v>1</v>
      </c>
      <c r="J11" s="105" t="n"/>
      <c r="K11" s="119">
        <f>IF(J11="",I11,J11)</f>
        <v>1</v>
      </c>
      <c r="L11" s="98" t="n">
        <v>0</v>
      </c>
      <c r="M11" s="99">
        <f>N11-L11</f>
        <v>453</v>
      </c>
      <c r="N11" s="98">
        <f>ROUND(H11*E11*K11,2)</f>
        <v>453</v>
      </c>
      <c r="O11" s="50">
        <f>IF(D11*E11=0,0,N11/(D11*E11))</f>
        <v>0.2796296296296296</v>
      </c>
      <c r="P11" s="75" t="n"/>
    </row>
    <row r="12">
      <c r="A12" s="30">
        <f>IF('جدول الكميات'!A10="","",'جدول الكميات'!A10)</f>
        <v>5</v>
      </c>
      <c r="B12" s="116" t="str">
        <f>IF('جدول الكميات'!C10="","",'جدول الكميات'!C10)</f>
        <v>فك وتلحيم مواسير أستيل (كبسة) فوق الزجاج وإعادة تركيبه لدور الميزانين</v>
      </c>
      <c r="C12" s="30" t="str">
        <f>IF('جدول الكميات'!D10="","",'جدول الكميات'!D10)</f>
        <v>م.ط</v>
      </c>
      <c r="D12" s="88">
        <f>'جدول الكميات'!E10</f>
        <v>31.48</v>
      </c>
      <c r="E12" s="88">
        <f>'جدول الكميات'!F10</f>
        <v>150</v>
      </c>
      <c r="F12" s="88" t="n">
        <v>0</v>
      </c>
      <c r="G12" s="87" t="n">
        <v>15.74</v>
      </c>
      <c r="H12" s="27">
        <f>F12+G12</f>
        <v>15.74</v>
      </c>
      <c r="I12" s="108" t="n">
        <v>1</v>
      </c>
      <c r="J12" s="105" t="n"/>
      <c r="K12" s="117">
        <f>IF(J12="",I12,J12)</f>
        <v>1</v>
      </c>
      <c r="L12" s="88" t="n">
        <v>0</v>
      </c>
      <c r="M12" s="27">
        <f>N12-L12</f>
        <v>2361</v>
      </c>
      <c r="N12" s="88">
        <f>ROUND(H12*E12*K12,2)</f>
        <v>2361</v>
      </c>
      <c r="O12" s="28">
        <f>IF(D12*E12=0,0,N12/(D12*E12))</f>
        <v>0.5</v>
      </c>
      <c r="P12" s="75" t="n"/>
    </row>
    <row r="13">
      <c r="A13" s="97">
        <f>IF('جدول الكميات'!A11="","",'جدول الكميات'!A11)</f>
        <v>6</v>
      </c>
      <c r="B13" s="118" t="str">
        <f>IF('جدول الكميات'!C11="","",'جدول الكميات'!C11)</f>
        <v>فك وإعادة تركيب أبواب الشوارات للحمامات (ثابت ومتحرك)</v>
      </c>
      <c r="C13" s="97" t="str">
        <f>IF('جدول الكميات'!D11="","",'جدول الكميات'!D11)</f>
        <v>عدد</v>
      </c>
      <c r="D13" s="98">
        <f>'جدول الكميات'!E11</f>
        <v>33</v>
      </c>
      <c r="E13" s="98">
        <f>'جدول الكميات'!F11</f>
        <v>300</v>
      </c>
      <c r="F13" s="98" t="n">
        <v>0</v>
      </c>
      <c r="G13" s="87" t="n">
        <v>11.55</v>
      </c>
      <c r="H13" s="99">
        <f>F13+G13</f>
        <v>11.55</v>
      </c>
      <c r="I13" s="110" t="n">
        <v>1</v>
      </c>
      <c r="J13" s="105" t="n"/>
      <c r="K13" s="119">
        <f>IF(J13="",I13,J13)</f>
        <v>1</v>
      </c>
      <c r="L13" s="98" t="n">
        <v>0</v>
      </c>
      <c r="M13" s="99">
        <f>N13-L13</f>
        <v>3465</v>
      </c>
      <c r="N13" s="98">
        <f>ROUND(H13*E13*K13,2)</f>
        <v>3465</v>
      </c>
      <c r="O13" s="50">
        <f>IF(D13*E13=0,0,N13/(D13*E13))</f>
        <v>0.35</v>
      </c>
      <c r="P13" s="75" t="n"/>
    </row>
    <row r="14">
      <c r="A14" s="30">
        <f>IF('جدول الكميات'!A12="","",'جدول الكميات'!A12)</f>
        <v>7</v>
      </c>
      <c r="B14" s="116" t="str">
        <f>IF('جدول الكميات'!C12="","",'جدول الكميات'!C12)</f>
        <v>تركيب شبابيك للواجهات الخلفية والجانبية بين الأبراج</v>
      </c>
      <c r="C14" s="30" t="str">
        <f>IF('جدول الكميات'!D12="","",'جدول الكميات'!D12)</f>
        <v>عدد</v>
      </c>
      <c r="D14" s="88">
        <f>'جدول الكميات'!E12</f>
        <v>343</v>
      </c>
      <c r="E14" s="88">
        <f>'جدول الكميات'!F12</f>
        <v>120</v>
      </c>
      <c r="F14" s="88" t="n">
        <v>0</v>
      </c>
      <c r="G14" s="87" t="n">
        <v>205.8</v>
      </c>
      <c r="H14" s="27">
        <f>F14+G14</f>
        <v>205.8</v>
      </c>
      <c r="I14" s="108" t="n">
        <v>1</v>
      </c>
      <c r="J14" s="105" t="n"/>
      <c r="K14" s="117">
        <f>IF(J14="",I14,J14)</f>
        <v>1</v>
      </c>
      <c r="L14" s="88" t="n">
        <v>0</v>
      </c>
      <c r="M14" s="27">
        <f>N14-L14</f>
        <v>24696</v>
      </c>
      <c r="N14" s="88">
        <f>ROUND(H14*E14*K14,2)</f>
        <v>24696</v>
      </c>
      <c r="O14" s="28">
        <f>IF(D14*E14=0,0,N14/(D14*E14))</f>
        <v>0.6</v>
      </c>
      <c r="P14" s="75" t="n"/>
    </row>
    <row r="15">
      <c r="A15" s="97">
        <f>IF('جدول الكميات'!A13="","",'جدول الكميات'!A13)</f>
        <v>8</v>
      </c>
      <c r="B15" s="118" t="str">
        <f>IF('جدول الكميات'!C13="","",'جدول الكميات'!C13)</f>
        <v>فك شبابيك الواجهات الخلفية مرة أخرى من أجل أعمال التلابيس</v>
      </c>
      <c r="C15" s="97" t="str">
        <f>IF('جدول الكميات'!D13="","",'جدول الكميات'!D13)</f>
        <v>عدد</v>
      </c>
      <c r="D15" s="98">
        <f>'جدول الكميات'!E13</f>
        <v>58</v>
      </c>
      <c r="E15" s="98">
        <f>'جدول الكميات'!F13</f>
        <v>50</v>
      </c>
      <c r="F15" s="98" t="n">
        <v>0</v>
      </c>
      <c r="G15" s="87" t="n">
        <v>20.3</v>
      </c>
      <c r="H15" s="99">
        <f>F15+G15</f>
        <v>20.3</v>
      </c>
      <c r="I15" s="110" t="n">
        <v>1</v>
      </c>
      <c r="J15" s="105" t="n"/>
      <c r="K15" s="119">
        <f>IF(J15="",I15,J15)</f>
        <v>1</v>
      </c>
      <c r="L15" s="98" t="n">
        <v>0</v>
      </c>
      <c r="M15" s="99">
        <f>N15-L15</f>
        <v>1015</v>
      </c>
      <c r="N15" s="98">
        <f>ROUND(H15*E15*K15,2)</f>
        <v>1015</v>
      </c>
      <c r="O15" s="50">
        <f>IF(D15*E15=0,0,N15/(D15*E15))</f>
        <v>0.35</v>
      </c>
      <c r="P15" s="75" t="n"/>
    </row>
    <row r="16">
      <c r="A16" s="30">
        <f>IF('جدول الكميات'!A14="","",'جدول الكميات'!A14)</f>
        <v>9</v>
      </c>
      <c r="B16" s="116" t="str">
        <f>IF('جدول الكميات'!C14="","",'جدول الكميات'!C14)</f>
        <v>توريد وتركيب درابزين حديد لسلالم الطوارئ</v>
      </c>
      <c r="C16" s="30" t="str">
        <f>IF('جدول الكميات'!D14="","",'جدول الكميات'!D14)</f>
        <v>م.ط</v>
      </c>
      <c r="D16" s="88">
        <f>'جدول الكميات'!E14</f>
        <v>262</v>
      </c>
      <c r="E16" s="88">
        <f>'جدول الكميات'!F14</f>
        <v>450</v>
      </c>
      <c r="F16" s="88" t="n">
        <v>0</v>
      </c>
      <c r="G16" s="87" t="n">
        <v>131</v>
      </c>
      <c r="H16" s="27">
        <f>F16+G16</f>
        <v>131</v>
      </c>
      <c r="I16" s="108" t="n">
        <v>1</v>
      </c>
      <c r="J16" s="105" t="n"/>
      <c r="K16" s="117">
        <f>IF(J16="",I16,J16)</f>
        <v>1</v>
      </c>
      <c r="L16" s="88" t="n">
        <v>0</v>
      </c>
      <c r="M16" s="27">
        <f>N16-L16</f>
        <v>58950</v>
      </c>
      <c r="N16" s="88">
        <f>ROUND(H16*E16*K16,2)</f>
        <v>58950</v>
      </c>
      <c r="O16" s="28">
        <f>IF(D16*E16=0,0,N16/(D16*E16))</f>
        <v>0.5</v>
      </c>
      <c r="P16" s="75" t="n"/>
    </row>
    <row r="17">
      <c r="A17" s="97">
        <f>IF('جدول الكميات'!A15="","",'جدول الكميات'!A15)</f>
        <v>10</v>
      </c>
      <c r="B17" s="118" t="str">
        <f>IF('جدول الكميات'!C15="","",'جدول الكميات'!C15)</f>
        <v>توريد وتركيب بارتشن ثابت (قواطع داخلية للحمامات)</v>
      </c>
      <c r="C17" s="97" t="str">
        <f>IF('جدول الكميات'!D15="","",'جدول الكميات'!D15)</f>
        <v>عدد</v>
      </c>
      <c r="D17" s="98">
        <f>'جدول الكميات'!E15</f>
        <v>226</v>
      </c>
      <c r="E17" s="98">
        <f>'جدول الكميات'!F15</f>
        <v>400</v>
      </c>
      <c r="F17" s="98" t="n">
        <v>0</v>
      </c>
      <c r="G17" s="87" t="n"/>
      <c r="H17" s="99">
        <f>F17+G17</f>
        <v>0</v>
      </c>
      <c r="I17" s="110" t="n">
        <v>1</v>
      </c>
      <c r="J17" s="105" t="n"/>
      <c r="K17" s="119">
        <f>IF(J17="",I17,J17)</f>
        <v>1</v>
      </c>
      <c r="L17" s="98" t="n">
        <v>0</v>
      </c>
      <c r="M17" s="99">
        <f>N17-L17</f>
        <v>0</v>
      </c>
      <c r="N17" s="98">
        <f>ROUND(H17*E17*K17,2)</f>
        <v>0</v>
      </c>
      <c r="O17" s="50">
        <f>IF(D17*E17=0,0,N17/(D17*E17))</f>
        <v>0</v>
      </c>
      <c r="P17" s="75" t="n"/>
    </row>
    <row r="18" ht="24" customHeight="1">
      <c r="A18" s="52" t="inlineStr">
        <is>
          <t>إجمالي قيمة الأعمال</t>
        </is>
      </c>
      <c r="B18" s="52" t="n"/>
      <c r="C18" s="52" t="n"/>
      <c r="D18" s="52" t="n"/>
      <c r="E18" s="52" t="n"/>
      <c r="F18" s="52" t="n"/>
      <c r="G18" s="52" t="n"/>
      <c r="H18" s="52" t="n"/>
      <c r="I18" s="52" t="n"/>
      <c r="J18" s="52" t="n"/>
      <c r="K18" s="52" t="n"/>
      <c r="L18" s="90">
        <f>SUM(L8:L17)</f>
        <v>0</v>
      </c>
      <c r="M18" s="90">
        <f>SUM(M8:M17)</f>
        <v>95284</v>
      </c>
      <c r="N18" s="90">
        <f>SUM(N8:N17)</f>
        <v>95284</v>
      </c>
      <c r="O18" s="54">
        <f>IF('الإعدادات'!$C$19=0,0,N18/'الإعدادات'!$C$19)</f>
        <v>0.34162624187470647</v>
      </c>
      <c r="P18" s="106" t="n"/>
    </row>
    <row r="20" ht="30" customHeight="1">
      <c r="A20" s="120" t="inlineStr">
        <is>
          <t>ملاحظات المستخلص</t>
        </is>
      </c>
      <c r="B20" s="120" t="n"/>
      <c r="C20" s="120" t="n"/>
      <c r="D20" s="120" t="n"/>
      <c r="E20" s="120" t="n"/>
      <c r="F20" s="120" t="n"/>
      <c r="G20" s="120" t="n"/>
      <c r="I20" s="52" t="inlineStr">
        <is>
          <t>البيان</t>
        </is>
      </c>
      <c r="J20" s="52" t="n"/>
      <c r="K20" s="52" t="n"/>
      <c r="L20" s="84" t="inlineStr">
        <is>
          <t>المستخلص السابق</t>
        </is>
      </c>
      <c r="M20" s="84" t="inlineStr">
        <is>
          <t>المستخلص الحالي</t>
        </is>
      </c>
      <c r="N20" s="84" t="inlineStr">
        <is>
          <t>إجمالي الأعمال</t>
        </is>
      </c>
    </row>
    <row r="21" ht="21" customHeight="1">
      <c r="A21" s="121" t="n"/>
      <c r="B21" s="75" t="n"/>
      <c r="C21" s="75" t="n"/>
      <c r="D21" s="75" t="n"/>
      <c r="E21" s="75" t="n"/>
      <c r="F21" s="75" t="n"/>
      <c r="G21" s="75" t="n"/>
      <c r="I21" s="26" t="inlineStr">
        <is>
          <t>إجمالي قيمة الأعمال</t>
        </is>
      </c>
      <c r="J21" s="26" t="n"/>
      <c r="K21" s="26" t="n"/>
      <c r="L21" s="88" t="n">
        <v>0</v>
      </c>
      <c r="M21" s="27">
        <f>M18</f>
        <v>95284</v>
      </c>
      <c r="N21" s="27">
        <f>L21+M21</f>
        <v>95284</v>
      </c>
    </row>
    <row r="22" ht="21" customHeight="1">
      <c r="A22" s="75" t="n"/>
      <c r="B22" s="75" t="n"/>
      <c r="C22" s="75" t="n"/>
      <c r="D22" s="75" t="n"/>
      <c r="E22" s="75" t="n"/>
      <c r="F22" s="75" t="n"/>
      <c r="G22" s="75" t="n"/>
      <c r="I22" s="26" t="str">
        <f>"ضريبة القيمة المضافة ("&amp;TEXT('الإعدادات'!$C$18,"0%")&amp;")"</f>
        <v>ضريبة القيمة المضافة (15%)</v>
      </c>
      <c r="J22" s="26" t="n"/>
      <c r="K22" s="26" t="n"/>
      <c r="L22" s="88" t="n">
        <v>0</v>
      </c>
      <c r="M22" s="27">
        <f>ROUND(M21*'الإعدادات'!$C$18,2)</f>
        <v>14292.6</v>
      </c>
      <c r="N22" s="27">
        <f>L22+M22</f>
        <v>14292.6</v>
      </c>
    </row>
    <row r="23" ht="21" customHeight="1">
      <c r="A23" s="75" t="n"/>
      <c r="B23" s="75" t="n"/>
      <c r="C23" s="75" t="n"/>
      <c r="D23" s="75" t="n"/>
      <c r="E23" s="75" t="n"/>
      <c r="F23" s="75" t="n"/>
      <c r="G23" s="75" t="n"/>
      <c r="I23" s="32" t="inlineStr">
        <is>
          <t>الإجمالي شامل الضريبة</t>
        </is>
      </c>
      <c r="J23" s="32" t="n"/>
      <c r="K23" s="32" t="n"/>
      <c r="L23" s="33" t="n">
        <v>0</v>
      </c>
      <c r="M23" s="33">
        <f>ROUND(M21+M22,2)</f>
        <v>109576.6</v>
      </c>
      <c r="N23" s="33">
        <f>L23+M23</f>
        <v>109576.6</v>
      </c>
    </row>
    <row r="24" ht="21" customHeight="1">
      <c r="A24" s="75" t="n"/>
      <c r="B24" s="75" t="n"/>
      <c r="C24" s="75" t="n"/>
      <c r="D24" s="75" t="n"/>
      <c r="E24" s="75" t="n"/>
      <c r="F24" s="75" t="n"/>
      <c r="G24" s="75" t="n"/>
      <c r="I24" s="26" t="inlineStr">
        <is>
          <t>(-) خصم استرداد الدفعة المقدمة</t>
        </is>
      </c>
      <c r="J24" s="26" t="n"/>
      <c r="K24" s="26" t="n"/>
      <c r="L24" s="88" t="n">
        <v>0</v>
      </c>
      <c r="M24" s="27">
        <f>'الدفعات المقدمة'!I25</f>
        <v>9528.4</v>
      </c>
      <c r="N24" s="27">
        <f>L24+M24</f>
        <v>9528.4</v>
      </c>
    </row>
    <row r="25" ht="21" customHeight="1">
      <c r="A25" s="75" t="n"/>
      <c r="B25" s="75" t="n"/>
      <c r="C25" s="75" t="n"/>
      <c r="D25" s="75" t="n"/>
      <c r="E25" s="75" t="n"/>
      <c r="F25" s="75" t="n"/>
      <c r="G25" s="75" t="n"/>
      <c r="I25" s="26" t="str">
        <f>"(-) خصم ضمان الأعمال ("&amp;TEXT('ضمان الأعمال'!$E$6,"0%")&amp;")"</f>
        <v>(-) خصم ضمان الأعمال (10%)</v>
      </c>
      <c r="J25" s="26" t="n"/>
      <c r="K25" s="26" t="n"/>
      <c r="L25" s="88" t="n">
        <v>0</v>
      </c>
      <c r="M25" s="27">
        <f>'ضمان الأعمال'!I16</f>
        <v>9528.4</v>
      </c>
      <c r="N25" s="27">
        <f>L25+M25</f>
        <v>9528.4</v>
      </c>
    </row>
    <row r="26" ht="21" customHeight="1">
      <c r="A26" s="75" t="n"/>
      <c r="B26" s="75" t="n"/>
      <c r="C26" s="75" t="n"/>
      <c r="D26" s="75" t="n"/>
      <c r="E26" s="75" t="n"/>
      <c r="F26" s="75" t="n"/>
      <c r="G26" s="75" t="n"/>
      <c r="I26" s="26" t="inlineStr">
        <is>
          <t>(-) خصومات أخرى / غرامات / مواد مورّدة من المالك ✎</t>
        </is>
      </c>
      <c r="J26" s="26" t="n"/>
      <c r="K26" s="26" t="n"/>
      <c r="L26" s="88" t="n">
        <v>0</v>
      </c>
      <c r="M26" s="87" t="n"/>
      <c r="N26" s="27">
        <f>L26+M26</f>
        <v>0</v>
      </c>
    </row>
    <row r="27" ht="21" customHeight="1">
      <c r="A27" s="75" t="n"/>
      <c r="B27" s="75" t="n"/>
      <c r="C27" s="75" t="n"/>
      <c r="D27" s="75" t="n"/>
      <c r="E27" s="75" t="n"/>
      <c r="F27" s="75" t="n"/>
      <c r="G27" s="75" t="n"/>
      <c r="I27" s="26" t="inlineStr">
        <is>
          <t>إجمالي الخصومات</t>
        </is>
      </c>
      <c r="J27" s="26" t="n"/>
      <c r="K27" s="26" t="n"/>
      <c r="L27" s="88" t="n">
        <v>0</v>
      </c>
      <c r="M27" s="27">
        <f>SUM(M24:M26)</f>
        <v>19056.8</v>
      </c>
      <c r="N27" s="27">
        <f>L27+M27</f>
        <v>19056.8</v>
      </c>
    </row>
    <row r="28" ht="21" customHeight="1">
      <c r="A28" s="75" t="n"/>
      <c r="B28" s="75" t="n"/>
      <c r="C28" s="75" t="n"/>
      <c r="D28" s="75" t="n"/>
      <c r="E28" s="75" t="n"/>
      <c r="F28" s="75" t="n"/>
      <c r="G28" s="75" t="n"/>
      <c r="I28" s="32" t="inlineStr">
        <is>
          <t>صافي قيمة المستخلص المستحق</t>
        </is>
      </c>
      <c r="J28" s="32" t="n"/>
      <c r="K28" s="32" t="n"/>
      <c r="L28" s="33" t="n">
        <v>0</v>
      </c>
      <c r="M28" s="122">
        <f>ROUND(M23-M27,2)</f>
        <v>90519.8</v>
      </c>
      <c r="N28" s="33">
        <f>L28+M28</f>
        <v>90519.8</v>
      </c>
    </row>
    <row r="31">
      <c r="A31" s="77" t="str">
        <f>'الإعدادات'!B36</f>
        <v>مهندس الموقع (المقاول)</v>
      </c>
      <c r="B31" s="77" t="n"/>
      <c r="C31" s="77" t="str">
        <f>'الإعدادات'!B37</f>
        <v>مدير المشروع (المقاول)</v>
      </c>
      <c r="D31" s="77" t="n"/>
      <c r="E31" s="77" t="n"/>
      <c r="F31" s="77" t="n"/>
      <c r="G31" s="77" t="n"/>
      <c r="H31" s="77" t="str">
        <f>'الإعدادات'!B38</f>
        <v>المهندس المشرف (الاستشاري)</v>
      </c>
      <c r="I31" s="77" t="n"/>
      <c r="J31" s="77" t="n"/>
      <c r="K31" s="77" t="n"/>
      <c r="L31" s="77" t="n"/>
      <c r="M31" s="77" t="str">
        <f>'الإعدادات'!B39</f>
        <v>ممثل المالك</v>
      </c>
      <c r="N31" s="77" t="n"/>
      <c r="O31" s="77" t="n"/>
      <c r="P31" s="77" t="n"/>
    </row>
    <row r="32" ht="24" customHeight="1">
      <c r="A32" s="30" t="str">
        <f>IF('الإعدادات'!C36="","الاسم: ..................","الاسم: "&amp;'الإعدادات'!C36)</f>
        <v>الاسم: م. أحمد محمد</v>
      </c>
      <c r="B32" s="30" t="n"/>
      <c r="C32" s="30" t="str">
        <f>IF('الإعدادات'!C37="","الاسم: ..................","الاسم: "&amp;'الإعدادات'!C37)</f>
        <v>الاسم: م. خالد عبدالله</v>
      </c>
      <c r="D32" s="30" t="n"/>
      <c r="E32" s="30" t="n"/>
      <c r="F32" s="30" t="n"/>
      <c r="G32" s="30" t="n"/>
      <c r="H32" s="30" t="str">
        <f>IF('الإعدادات'!C38="","الاسم: ..................","الاسم: "&amp;'الإعدادات'!C38)</f>
        <v>الاسم: م. سامي علي</v>
      </c>
      <c r="I32" s="30" t="n"/>
      <c r="J32" s="30" t="n"/>
      <c r="K32" s="30" t="n"/>
      <c r="L32" s="30" t="n"/>
      <c r="M32" s="30" t="str">
        <f>IF('الإعدادات'!C39="","الاسم: ..................","الاسم: "&amp;'الإعدادات'!C39)</f>
        <v>الاسم: أ. فهد سعد</v>
      </c>
      <c r="N32" s="30" t="n"/>
      <c r="O32" s="30" t="n"/>
      <c r="P32" s="30" t="n"/>
    </row>
    <row r="33" ht="24" customHeight="1">
      <c r="A33" s="30" t="inlineStr">
        <is>
          <t>التوقيع: ..............................</t>
        </is>
      </c>
      <c r="B33" s="30" t="n"/>
      <c r="C33" s="30" t="inlineStr">
        <is>
          <t>التوقيع: ..............................</t>
        </is>
      </c>
      <c r="D33" s="30" t="n"/>
      <c r="E33" s="30" t="n"/>
      <c r="F33" s="30" t="n"/>
      <c r="G33" s="30" t="n"/>
      <c r="H33" s="30" t="inlineStr">
        <is>
          <t>التوقيع: ..............................</t>
        </is>
      </c>
      <c r="I33" s="30" t="n"/>
      <c r="J33" s="30" t="n"/>
      <c r="K33" s="30" t="n"/>
      <c r="L33" s="30" t="n"/>
      <c r="M33" s="30" t="inlineStr">
        <is>
          <t>التوقيع: ..............................</t>
        </is>
      </c>
      <c r="N33" s="30" t="n"/>
      <c r="O33" s="30" t="n"/>
      <c r="P33" s="30" t="n"/>
    </row>
    <row r="34" ht="24" customHeight="1">
      <c r="A34" s="30" t="inlineStr">
        <is>
          <t>التاريخ:      /      /</t>
        </is>
      </c>
      <c r="B34" s="30" t="n"/>
      <c r="C34" s="30" t="inlineStr">
        <is>
          <t>التاريخ:      /      /</t>
        </is>
      </c>
      <c r="D34" s="30" t="n"/>
      <c r="E34" s="30" t="n"/>
      <c r="F34" s="30" t="n"/>
      <c r="G34" s="30" t="n"/>
      <c r="H34" s="30" t="inlineStr">
        <is>
          <t>التاريخ:      /      /</t>
        </is>
      </c>
      <c r="I34" s="30" t="n"/>
      <c r="J34" s="30" t="n"/>
      <c r="K34" s="30" t="n"/>
      <c r="L34" s="30" t="n"/>
      <c r="M34" s="30" t="inlineStr">
        <is>
          <t>التاريخ:      /      /</t>
        </is>
      </c>
      <c r="N34" s="30" t="n"/>
      <c r="O34" s="30" t="n"/>
      <c r="P34" s="30" t="n"/>
    </row>
  </sheetData>
  <sheetProtection selectLockedCells="0" selectUnlockedCells="0" sheet="1" objects="0" insertRows="1" insertHyperlinks="1" autoFilter="0" scenarios="0" formatColumns="1" deleteColumns="1" insertColumns="1" pivotTables="1" deleteRows="1" formatCells="1" formatRows="1" sort="0" password="FFA5"/>
  <mergeCells count="53">
    <mergeCell ref="C34:G34"/>
    <mergeCell ref="J5:K5"/>
    <mergeCell ref="I22:K22"/>
    <mergeCell ref="I28:K28"/>
    <mergeCell ref="C5:D5"/>
    <mergeCell ref="C33:G33"/>
    <mergeCell ref="A20:G20"/>
    <mergeCell ref="P6:P7"/>
    <mergeCell ref="E5:I5"/>
    <mergeCell ref="H4:I4"/>
    <mergeCell ref="A6:A7"/>
    <mergeCell ref="M32:P32"/>
    <mergeCell ref="I21:K21"/>
    <mergeCell ref="H31:L31"/>
    <mergeCell ref="C4:D4"/>
    <mergeCell ref="F3:G3"/>
    <mergeCell ref="H34:L34"/>
    <mergeCell ref="E4:F4"/>
    <mergeCell ref="I24:K24"/>
    <mergeCell ref="I23:K23"/>
    <mergeCell ref="M34:P34"/>
    <mergeCell ref="E6:E7"/>
    <mergeCell ref="C31:G31"/>
    <mergeCell ref="I20:K20"/>
    <mergeCell ref="L5:P5"/>
    <mergeCell ref="B6:B7"/>
    <mergeCell ref="L6:N6"/>
    <mergeCell ref="A34:B34"/>
    <mergeCell ref="J4:K4"/>
    <mergeCell ref="A18:K18"/>
    <mergeCell ref="A1:P1"/>
    <mergeCell ref="A33:B33"/>
    <mergeCell ref="H32:L32"/>
    <mergeCell ref="A21:G28"/>
    <mergeCell ref="M33:P33"/>
    <mergeCell ref="A32:B32"/>
    <mergeCell ref="C3:E3"/>
    <mergeCell ref="N4:P4"/>
    <mergeCell ref="H3:I3"/>
    <mergeCell ref="I6:K6"/>
    <mergeCell ref="M31:P31"/>
    <mergeCell ref="F6:H6"/>
    <mergeCell ref="C32:G32"/>
    <mergeCell ref="I27:K27"/>
    <mergeCell ref="H33:L33"/>
    <mergeCell ref="I26:K26"/>
    <mergeCell ref="C6:C7"/>
    <mergeCell ref="O6:O7"/>
    <mergeCell ref="D6:D7"/>
    <mergeCell ref="A31:B31"/>
    <mergeCell ref="N3:P3"/>
    <mergeCell ref="I25:K25"/>
    <mergeCell ref="A2:P2"/>
  </mergeCells>
  <conditionalFormatting sqref="D8:O17">
    <cfRule type="expression" priority="1" dxfId="4" stopIfTrue="1">
      <formula>$B8=""</formula>
    </cfRule>
  </conditionalFormatting>
  <conditionalFormatting sqref="H8:H17">
    <cfRule type="expression" priority="2" dxfId="2">
      <formula>AND(D8&gt;0,H8&gt;D8)</formula>
    </cfRule>
  </conditionalFormatting>
  <conditionalFormatting sqref="O8:O1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xmlns:r="http://schemas.openxmlformats.org/officeDocument/2006/relationships" ref="A2" r:id="rId1"/>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N3" location="'مستخلص 2'!A1" display="المستخلص التالي (2) ▶"/>
  </hyperlinks>
  <printOptions horizontalCentered="1"/>
  <pageMargins left="0.3" right="0.3" top="0.4" bottom="0.4" header="0.5" footer="0.5"/>
  <pageSetup orientation="landscape" paperSize="9" fitToHeight="0" fitToWidth="1"/>
  <headerFooter>
    <oddHeader/>
    <oddFooter>&amp;Lنسخة مجانية - accopro.net&amp;Cصفحة &amp;P من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FFB7791F"/>
    <outlinePr summaryBelow="1" summaryRight="1"/>
    <pageSetUpPr fitToPage="1"/>
  </sheetPr>
  <dimension ref="A1:P3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t="str">
        <f>"مستخلص أعمال رقم ( 2 )  —  "&amp;'الإعدادات'!$C$6</f>
        <v>مستخلص أعمال رقم ( 2 )  —  مشروع تأهيل أبراج طيبة - المنطقة المركزية شارع الهجرة</v>
      </c>
      <c r="B1" s="1" t="n"/>
      <c r="C1" s="1" t="n"/>
      <c r="D1" s="1" t="n"/>
      <c r="E1" s="1" t="n"/>
      <c r="F1" s="1" t="n"/>
      <c r="G1" s="1" t="n"/>
      <c r="H1" s="1" t="n"/>
      <c r="I1" s="1" t="n"/>
      <c r="J1" s="1" t="n"/>
      <c r="K1" s="1" t="n"/>
      <c r="L1" s="1" t="n"/>
      <c r="M1" s="1" t="n"/>
      <c r="N1" s="1" t="n"/>
      <c r="O1" s="1" t="n"/>
      <c r="P1" s="1" t="n"/>
    </row>
    <row r="2" ht="20" customHeight="1">
      <c r="A2" s="2" t="inlineStr">
        <is>
          <t>🎁 نسخة مجانية محدودة (3 مستخلصات • 10 بنود)   —   للنسخة الكاملة (25 مستخلص • 100 بند • بدون قيود) اضغط هنا ⬅ accopro.net</t>
        </is>
      </c>
      <c r="B2" s="2" t="n"/>
      <c r="C2" s="2" t="n"/>
      <c r="D2" s="2" t="n"/>
      <c r="E2" s="2" t="n"/>
      <c r="F2" s="2" t="n"/>
      <c r="G2" s="2" t="n"/>
      <c r="H2" s="2" t="n"/>
      <c r="I2" s="2" t="n"/>
      <c r="J2" s="2" t="n"/>
      <c r="K2" s="2" t="n"/>
      <c r="L2" s="2" t="n"/>
      <c r="M2" s="2" t="n"/>
      <c r="N2" s="2" t="n"/>
      <c r="O2" s="2" t="n"/>
      <c r="P2" s="2" t="n"/>
    </row>
    <row r="3" ht="24" customHeight="1">
      <c r="A3" s="70"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(1)</t>
        </is>
      </c>
      <c r="M3" s="4" t="n"/>
      <c r="N3" s="4" t="inlineStr">
        <is>
          <t>المستخلص التالي (3) ▶</t>
        </is>
      </c>
      <c r="O3" s="4" t="n"/>
      <c r="P3" s="4" t="n"/>
    </row>
    <row r="4" ht="24" customHeight="1">
      <c r="A4" s="111" t="inlineStr">
        <is>
          <t>رقم</t>
        </is>
      </c>
      <c r="B4" s="113" t="n">
        <v>2</v>
      </c>
      <c r="C4" s="111" t="inlineStr">
        <is>
          <t>تاريخ المستخلص</t>
        </is>
      </c>
      <c r="D4" s="111" t="n"/>
      <c r="E4" s="94" t="n">
        <v>46218</v>
      </c>
      <c r="F4" s="94" t="n"/>
      <c r="G4" s="111" t="inlineStr">
        <is>
          <t>الحالة</t>
        </is>
      </c>
      <c r="H4" s="85" t="inlineStr">
        <is>
          <t>جاري</t>
        </is>
      </c>
      <c r="I4" s="85" t="n"/>
      <c r="J4" s="111" t="inlineStr">
        <is>
          <t>الفترة من</t>
        </is>
      </c>
      <c r="K4" s="111" t="n"/>
      <c r="L4" s="94" t="n">
        <v>46174</v>
      </c>
      <c r="M4" s="111" t="inlineStr">
        <is>
          <t>إلى</t>
        </is>
      </c>
      <c r="N4" s="94" t="n">
        <v>46218</v>
      </c>
      <c r="O4" s="94" t="n"/>
      <c r="P4" s="94" t="n"/>
    </row>
    <row r="5" ht="22" customHeight="1">
      <c r="A5" s="111" t="inlineStr">
        <is>
          <t>المشروع</t>
        </is>
      </c>
      <c r="B5" s="45" t="str">
        <f>'الإعدادات'!$C$6</f>
        <v>مشروع تأهيل أبراج طيبة - المنطقة المركزية شارع الهجرة</v>
      </c>
      <c r="C5" s="111" t="inlineStr">
        <is>
          <t>المالك</t>
        </is>
      </c>
      <c r="D5" s="111" t="n"/>
      <c r="E5" s="45" t="str">
        <f>'الإعدادات'!$C$8</f>
        <v>شركة ثروات الرائدة العقارية</v>
      </c>
      <c r="F5" s="45" t="n"/>
      <c r="G5" s="45" t="n"/>
      <c r="H5" s="45" t="n"/>
      <c r="I5" s="45" t="n"/>
      <c r="J5" s="111" t="inlineStr">
        <is>
          <t>المقاول</t>
        </is>
      </c>
      <c r="K5" s="111" t="n"/>
      <c r="L5" s="45" t="str">
        <f>'الإعدادات'!$C$9</f>
        <v>مؤسسة البناء المتقن للمقاولات</v>
      </c>
      <c r="M5" s="45" t="n"/>
      <c r="N5" s="45" t="n"/>
      <c r="O5" s="45" t="n"/>
      <c r="P5" s="45" t="n"/>
    </row>
    <row r="6" ht="24" customHeight="1">
      <c r="A6" s="84" t="inlineStr">
        <is>
          <t>البند</t>
        </is>
      </c>
      <c r="B6" s="84" t="inlineStr">
        <is>
          <t>بيان الأعمال</t>
        </is>
      </c>
      <c r="C6" s="84" t="inlineStr">
        <is>
          <t>الوحدة</t>
        </is>
      </c>
      <c r="D6" s="84" t="inlineStr">
        <is>
          <t>الكمية التعاقدية</t>
        </is>
      </c>
      <c r="E6" s="84" t="inlineStr">
        <is>
          <t>سعر الوحدة</t>
        </is>
      </c>
      <c r="F6" s="114" t="inlineStr">
        <is>
          <t>الكمية المنفذة من واقع التمتير الفعلي</t>
        </is>
      </c>
      <c r="G6" s="114" t="n"/>
      <c r="H6" s="114" t="n"/>
      <c r="I6" s="42" t="inlineStr">
        <is>
          <t>نسبة الإنجاز / الاستحقاق للبند</t>
        </is>
      </c>
      <c r="J6" s="42" t="n"/>
      <c r="K6" s="42" t="n"/>
      <c r="L6" s="114" t="inlineStr">
        <is>
          <t>قيمة الأعمال المنفذة</t>
        </is>
      </c>
      <c r="M6" s="114" t="n"/>
      <c r="N6" s="114" t="n"/>
      <c r="O6" s="84" t="inlineStr">
        <is>
          <t>نسبة الإنجاز الفعلية</t>
        </is>
      </c>
      <c r="P6" s="84" t="inlineStr">
        <is>
          <t>ملاحظات</t>
        </is>
      </c>
    </row>
    <row r="7" ht="30" customHeight="1">
      <c r="A7" s="84" t="n"/>
      <c r="B7" s="84" t="n"/>
      <c r="C7" s="84" t="n"/>
      <c r="D7" s="84" t="n"/>
      <c r="E7" s="84" t="n"/>
      <c r="F7" s="114" t="inlineStr">
        <is>
          <t>سابق</t>
        </is>
      </c>
      <c r="G7" s="115" t="inlineStr">
        <is>
          <t>حالي ✎</t>
        </is>
      </c>
      <c r="H7" s="114" t="inlineStr">
        <is>
          <t>إجمالي</t>
        </is>
      </c>
      <c r="I7" s="42" t="inlineStr">
        <is>
          <t>سابقة</t>
        </is>
      </c>
      <c r="J7" s="115" t="inlineStr">
        <is>
          <t>حالية 🔒 النسخة الكاملة</t>
        </is>
      </c>
      <c r="K7" s="42" t="inlineStr">
        <is>
          <t>المعتمدة</t>
        </is>
      </c>
      <c r="L7" s="114" t="inlineStr">
        <is>
          <t>سابقة</t>
        </is>
      </c>
      <c r="M7" s="114" t="inlineStr">
        <is>
          <t>حالية</t>
        </is>
      </c>
      <c r="N7" s="114" t="inlineStr">
        <is>
          <t>إجمالية</t>
        </is>
      </c>
      <c r="O7" s="84" t="n"/>
      <c r="P7" s="84" t="n"/>
    </row>
    <row r="8">
      <c r="A8" s="30">
        <f>IF('جدول الكميات'!A6="","",'جدول الكميات'!A6)</f>
        <v>1</v>
      </c>
      <c r="B8" s="116" t="str">
        <f>IF('جدول الكميات'!C6="","",'جدول الكميات'!C6)</f>
        <v>توريد وتركيب هندريل زجاج مع كبسة أستيل لدور الميزانين</v>
      </c>
      <c r="C8" s="30" t="str">
        <f>IF('جدول الكميات'!D6="","",'جدول الكميات'!D6)</f>
        <v>م.ط</v>
      </c>
      <c r="D8" s="88">
        <f>'جدول الكميات'!E6</f>
        <v>7.54</v>
      </c>
      <c r="E8" s="88">
        <f>'جدول الكميات'!F6</f>
        <v>650</v>
      </c>
      <c r="F8" s="89">
        <f>'مستخلص 1'!H8</f>
        <v>3.77</v>
      </c>
      <c r="G8" s="87" t="n">
        <v>3.77</v>
      </c>
      <c r="H8" s="27">
        <f>F8+G8</f>
        <v>7.54</v>
      </c>
      <c r="I8" s="123">
        <f>'مستخلص 1'!K8</f>
        <v>1</v>
      </c>
      <c r="J8" s="105" t="n"/>
      <c r="K8" s="117">
        <f>IF(J8="",I8,J8)</f>
        <v>1</v>
      </c>
      <c r="L8" s="89">
        <f>'مستخلص 1'!N8</f>
        <v>2450.5</v>
      </c>
      <c r="M8" s="27">
        <f>N8-L8</f>
        <v>2450.5</v>
      </c>
      <c r="N8" s="88">
        <f>ROUND(H8*E8*K8,2)</f>
        <v>4901</v>
      </c>
      <c r="O8" s="28">
        <f>IF(D8*E8=0,0,N8/(D8*E8))</f>
        <v>1</v>
      </c>
      <c r="P8" s="75" t="n"/>
    </row>
    <row r="9">
      <c r="A9" s="97">
        <f>IF('جدول الكميات'!A7="","",'جدول الكميات'!A7)</f>
        <v>2</v>
      </c>
      <c r="B9" s="118" t="str">
        <f>IF('جدول الكميات'!C7="","",'جدول الكميات'!C7)</f>
        <v>توريد وتركيب مرايات لحمامات الدور الأرضي</v>
      </c>
      <c r="C9" s="97" t="str">
        <f>IF('جدول الكميات'!D7="","",'جدول الكميات'!D7)</f>
        <v>عدد</v>
      </c>
      <c r="D9" s="98">
        <f>'جدول الكميات'!E7</f>
        <v>5</v>
      </c>
      <c r="E9" s="98">
        <f>'جدول الكميات'!F7</f>
        <v>800</v>
      </c>
      <c r="F9" s="124">
        <f>'مستخلص 1'!H9</f>
        <v>1.75</v>
      </c>
      <c r="G9" s="87" t="n">
        <v>1.5</v>
      </c>
      <c r="H9" s="99">
        <f>F9+G9</f>
        <v>3.25</v>
      </c>
      <c r="I9" s="125">
        <f>'مستخلص 1'!K9</f>
        <v>1</v>
      </c>
      <c r="J9" s="105" t="n"/>
      <c r="K9" s="119">
        <f>IF(J9="",I9,J9)</f>
        <v>1</v>
      </c>
      <c r="L9" s="124">
        <f>'مستخلص 1'!N9</f>
        <v>1400</v>
      </c>
      <c r="M9" s="99">
        <f>N9-L9</f>
        <v>1200</v>
      </c>
      <c r="N9" s="98">
        <f>ROUND(H9*E9*K9,2)</f>
        <v>2600</v>
      </c>
      <c r="O9" s="50">
        <f>IF(D9*E9=0,0,N9/(D9*E9))</f>
        <v>0.65</v>
      </c>
      <c r="P9" s="75" t="n"/>
    </row>
    <row r="10">
      <c r="A10" s="30">
        <f>IF('جدول الكميات'!A8="","",'جدول الكميات'!A8)</f>
        <v>3</v>
      </c>
      <c r="B10" s="116" t="str">
        <f>IF('جدول الكميات'!C8="","",'جدول الكميات'!C8)</f>
        <v>تركيب زجاج هندريل لدور الميزانين</v>
      </c>
      <c r="C10" s="30" t="str">
        <f>IF('جدول الكميات'!D8="","",'جدول الكميات'!D8)</f>
        <v>م.ط</v>
      </c>
      <c r="D10" s="88">
        <f>'جدول الكميات'!E8</f>
        <v>9.4</v>
      </c>
      <c r="E10" s="88">
        <f>'جدول الكميات'!F8</f>
        <v>150</v>
      </c>
      <c r="F10" s="89">
        <f>'مستخلص 1'!H10</f>
        <v>3.29</v>
      </c>
      <c r="G10" s="87" t="n">
        <v>2.82</v>
      </c>
      <c r="H10" s="27">
        <f>F10+G10</f>
        <v>6.109999999999999</v>
      </c>
      <c r="I10" s="123">
        <f>'مستخلص 1'!K10</f>
        <v>1</v>
      </c>
      <c r="J10" s="105" t="n"/>
      <c r="K10" s="117">
        <f>IF(J10="",I10,J10)</f>
        <v>1</v>
      </c>
      <c r="L10" s="89">
        <f>'مستخلص 1'!N10</f>
        <v>493.5</v>
      </c>
      <c r="M10" s="27">
        <f>N10-L10</f>
        <v>423</v>
      </c>
      <c r="N10" s="88">
        <f>ROUND(H10*E10*K10,2)</f>
        <v>916.5</v>
      </c>
      <c r="O10" s="28">
        <f>IF(D10*E10=0,0,N10/(D10*E10))</f>
        <v>0.65</v>
      </c>
      <c r="P10" s="75" t="n"/>
    </row>
    <row r="11">
      <c r="A11" s="97">
        <f>IF('جدول الكميات'!A9="","",'جدول الكميات'!A9)</f>
        <v>4</v>
      </c>
      <c r="B11" s="118" t="str">
        <f>IF('جدول الكميات'!C9="","",'جدول الكميات'!C9)</f>
        <v>فك وإعادة تركيب زجاج هندريل دور الميزانين</v>
      </c>
      <c r="C11" s="97" t="str">
        <f>IF('جدول الكميات'!D9="","",'جدول الكميات'!D9)</f>
        <v>م.ط</v>
      </c>
      <c r="D11" s="98">
        <f>'جدول الكميات'!E9</f>
        <v>5.4</v>
      </c>
      <c r="E11" s="98">
        <f>'جدول الكميات'!F9</f>
        <v>300</v>
      </c>
      <c r="F11" s="124">
        <f>'مستخلص 1'!H11</f>
        <v>1.51</v>
      </c>
      <c r="G11" s="87" t="n">
        <v>1.3</v>
      </c>
      <c r="H11" s="99">
        <f>F11+G11</f>
        <v>2.81</v>
      </c>
      <c r="I11" s="125">
        <f>'مستخلص 1'!K11</f>
        <v>1</v>
      </c>
      <c r="J11" s="105" t="n"/>
      <c r="K11" s="119">
        <f>IF(J11="",I11,J11)</f>
        <v>1</v>
      </c>
      <c r="L11" s="124">
        <f>'مستخلص 1'!N11</f>
        <v>453</v>
      </c>
      <c r="M11" s="99">
        <f>N11-L11</f>
        <v>390</v>
      </c>
      <c r="N11" s="98">
        <f>ROUND(H11*E11*K11,2)</f>
        <v>843</v>
      </c>
      <c r="O11" s="50">
        <f>IF(D11*E11=0,0,N11/(D11*E11))</f>
        <v>0.5203703703703704</v>
      </c>
      <c r="P11" s="75" t="n"/>
    </row>
    <row r="12">
      <c r="A12" s="30">
        <f>IF('جدول الكميات'!A10="","",'جدول الكميات'!A10)</f>
        <v>5</v>
      </c>
      <c r="B12" s="116" t="str">
        <f>IF('جدول الكميات'!C10="","",'جدول الكميات'!C10)</f>
        <v>فك وتلحيم مواسير أستيل (كبسة) فوق الزجاج وإعادة تركيبه لدور الميزانين</v>
      </c>
      <c r="C12" s="30" t="str">
        <f>IF('جدول الكميات'!D10="","",'جدول الكميات'!D10)</f>
        <v>م.ط</v>
      </c>
      <c r="D12" s="88">
        <f>'جدول الكميات'!E10</f>
        <v>31.48</v>
      </c>
      <c r="E12" s="88">
        <f>'جدول الكميات'!F10</f>
        <v>150</v>
      </c>
      <c r="F12" s="89">
        <f>'مستخلص 1'!H12</f>
        <v>15.74</v>
      </c>
      <c r="G12" s="87" t="n">
        <v>15.74</v>
      </c>
      <c r="H12" s="27">
        <f>F12+G12</f>
        <v>31.48</v>
      </c>
      <c r="I12" s="123">
        <f>'مستخلص 1'!K12</f>
        <v>1</v>
      </c>
      <c r="J12" s="105" t="n"/>
      <c r="K12" s="117">
        <f>IF(J12="",I12,J12)</f>
        <v>1</v>
      </c>
      <c r="L12" s="89">
        <f>'مستخلص 1'!N12</f>
        <v>2361</v>
      </c>
      <c r="M12" s="27">
        <f>N12-L12</f>
        <v>2361</v>
      </c>
      <c r="N12" s="88">
        <f>ROUND(H12*E12*K12,2)</f>
        <v>4722</v>
      </c>
      <c r="O12" s="28">
        <f>IF(D12*E12=0,0,N12/(D12*E12))</f>
        <v>1</v>
      </c>
      <c r="P12" s="75" t="n"/>
    </row>
    <row r="13">
      <c r="A13" s="97">
        <f>IF('جدول الكميات'!A11="","",'جدول الكميات'!A11)</f>
        <v>6</v>
      </c>
      <c r="B13" s="118" t="str">
        <f>IF('جدول الكميات'!C11="","",'جدول الكميات'!C11)</f>
        <v>فك وإعادة تركيب أبواب الشوارات للحمامات (ثابت ومتحرك)</v>
      </c>
      <c r="C13" s="97" t="str">
        <f>IF('جدول الكميات'!D11="","",'جدول الكميات'!D11)</f>
        <v>عدد</v>
      </c>
      <c r="D13" s="98">
        <f>'جدول الكميات'!E11</f>
        <v>33</v>
      </c>
      <c r="E13" s="98">
        <f>'جدول الكميات'!F11</f>
        <v>300</v>
      </c>
      <c r="F13" s="124">
        <f>'مستخلص 1'!H13</f>
        <v>11.55</v>
      </c>
      <c r="G13" s="87" t="n">
        <v>9.9</v>
      </c>
      <c r="H13" s="99">
        <f>F13+G13</f>
        <v>21.450000000000003</v>
      </c>
      <c r="I13" s="125">
        <f>'مستخلص 1'!K13</f>
        <v>1</v>
      </c>
      <c r="J13" s="105" t="n"/>
      <c r="K13" s="119">
        <f>IF(J13="",I13,J13)</f>
        <v>1</v>
      </c>
      <c r="L13" s="124">
        <f>'مستخلص 1'!N13</f>
        <v>3465</v>
      </c>
      <c r="M13" s="99">
        <f>N13-L13</f>
        <v>2970</v>
      </c>
      <c r="N13" s="98">
        <f>ROUND(H13*E13*K13,2)</f>
        <v>6435</v>
      </c>
      <c r="O13" s="50">
        <f>IF(D13*E13=0,0,N13/(D13*E13))</f>
        <v>0.65</v>
      </c>
      <c r="P13" s="75" t="n"/>
    </row>
    <row r="14">
      <c r="A14" s="30">
        <f>IF('جدول الكميات'!A12="","",'جدول الكميات'!A12)</f>
        <v>7</v>
      </c>
      <c r="B14" s="116" t="str">
        <f>IF('جدول الكميات'!C12="","",'جدول الكميات'!C12)</f>
        <v>تركيب شبابيك للواجهات الخلفية والجانبية بين الأبراج</v>
      </c>
      <c r="C14" s="30" t="str">
        <f>IF('جدول الكميات'!D12="","",'جدول الكميات'!D12)</f>
        <v>عدد</v>
      </c>
      <c r="D14" s="88">
        <f>'جدول الكميات'!E12</f>
        <v>343</v>
      </c>
      <c r="E14" s="88">
        <f>'جدول الكميات'!F12</f>
        <v>120</v>
      </c>
      <c r="F14" s="89">
        <f>'مستخلص 1'!H14</f>
        <v>205.8</v>
      </c>
      <c r="G14" s="87" t="n">
        <v>137.2</v>
      </c>
      <c r="H14" s="27">
        <f>F14+G14</f>
        <v>343</v>
      </c>
      <c r="I14" s="123">
        <f>'مستخلص 1'!K14</f>
        <v>1</v>
      </c>
      <c r="J14" s="105" t="n"/>
      <c r="K14" s="117">
        <f>IF(J14="",I14,J14)</f>
        <v>1</v>
      </c>
      <c r="L14" s="89">
        <f>'مستخلص 1'!N14</f>
        <v>24696</v>
      </c>
      <c r="M14" s="27">
        <f>N14-L14</f>
        <v>16464</v>
      </c>
      <c r="N14" s="88">
        <f>ROUND(H14*E14*K14,2)</f>
        <v>41160</v>
      </c>
      <c r="O14" s="28">
        <f>IF(D14*E14=0,0,N14/(D14*E14))</f>
        <v>1</v>
      </c>
      <c r="P14" s="75" t="n"/>
    </row>
    <row r="15">
      <c r="A15" s="97">
        <f>IF('جدول الكميات'!A13="","",'جدول الكميات'!A13)</f>
        <v>8</v>
      </c>
      <c r="B15" s="118" t="str">
        <f>IF('جدول الكميات'!C13="","",'جدول الكميات'!C13)</f>
        <v>فك شبابيك الواجهات الخلفية مرة أخرى من أجل أعمال التلابيس</v>
      </c>
      <c r="C15" s="97" t="str">
        <f>IF('جدول الكميات'!D13="","",'جدول الكميات'!D13)</f>
        <v>عدد</v>
      </c>
      <c r="D15" s="98">
        <f>'جدول الكميات'!E13</f>
        <v>58</v>
      </c>
      <c r="E15" s="98">
        <f>'جدول الكميات'!F13</f>
        <v>50</v>
      </c>
      <c r="F15" s="124">
        <f>'مستخلص 1'!H15</f>
        <v>20.3</v>
      </c>
      <c r="G15" s="87" t="n">
        <v>17.4</v>
      </c>
      <c r="H15" s="99">
        <f>F15+G15</f>
        <v>37.7</v>
      </c>
      <c r="I15" s="125">
        <f>'مستخلص 1'!K15</f>
        <v>1</v>
      </c>
      <c r="J15" s="105" t="n"/>
      <c r="K15" s="119">
        <f>IF(J15="",I15,J15)</f>
        <v>1</v>
      </c>
      <c r="L15" s="124">
        <f>'مستخلص 1'!N15</f>
        <v>1015</v>
      </c>
      <c r="M15" s="99">
        <f>N15-L15</f>
        <v>870</v>
      </c>
      <c r="N15" s="98">
        <f>ROUND(H15*E15*K15,2)</f>
        <v>1885</v>
      </c>
      <c r="O15" s="50">
        <f>IF(D15*E15=0,0,N15/(D15*E15))</f>
        <v>0.65</v>
      </c>
      <c r="P15" s="75" t="n"/>
    </row>
    <row r="16">
      <c r="A16" s="30">
        <f>IF('جدول الكميات'!A14="","",'جدول الكميات'!A14)</f>
        <v>9</v>
      </c>
      <c r="B16" s="116" t="str">
        <f>IF('جدول الكميات'!C14="","",'جدول الكميات'!C14)</f>
        <v>توريد وتركيب درابزين حديد لسلالم الطوارئ</v>
      </c>
      <c r="C16" s="30" t="str">
        <f>IF('جدول الكميات'!D14="","",'جدول الكميات'!D14)</f>
        <v>م.ط</v>
      </c>
      <c r="D16" s="88">
        <f>'جدول الكميات'!E14</f>
        <v>262</v>
      </c>
      <c r="E16" s="88">
        <f>'جدول الكميات'!F14</f>
        <v>450</v>
      </c>
      <c r="F16" s="89">
        <f>'مستخلص 1'!H16</f>
        <v>131</v>
      </c>
      <c r="G16" s="87" t="n">
        <v>131</v>
      </c>
      <c r="H16" s="27">
        <f>F16+G16</f>
        <v>262</v>
      </c>
      <c r="I16" s="123">
        <f>'مستخلص 1'!K16</f>
        <v>1</v>
      </c>
      <c r="J16" s="105" t="n"/>
      <c r="K16" s="117">
        <f>IF(J16="",I16,J16)</f>
        <v>1</v>
      </c>
      <c r="L16" s="89">
        <f>'مستخلص 1'!N16</f>
        <v>58950</v>
      </c>
      <c r="M16" s="27">
        <f>N16-L16</f>
        <v>58950</v>
      </c>
      <c r="N16" s="88">
        <f>ROUND(H16*E16*K16,2)</f>
        <v>117900</v>
      </c>
      <c r="O16" s="28">
        <f>IF(D16*E16=0,0,N16/(D16*E16))</f>
        <v>1</v>
      </c>
      <c r="P16" s="75" t="n"/>
    </row>
    <row r="17">
      <c r="A17" s="97">
        <f>IF('جدول الكميات'!A15="","",'جدول الكميات'!A15)</f>
        <v>10</v>
      </c>
      <c r="B17" s="118" t="str">
        <f>IF('جدول الكميات'!C15="","",'جدول الكميات'!C15)</f>
        <v>توريد وتركيب بارتشن ثابت (قواطع داخلية للحمامات)</v>
      </c>
      <c r="C17" s="97" t="str">
        <f>IF('جدول الكميات'!D15="","",'جدول الكميات'!D15)</f>
        <v>عدد</v>
      </c>
      <c r="D17" s="98">
        <f>'جدول الكميات'!E15</f>
        <v>226</v>
      </c>
      <c r="E17" s="98">
        <f>'جدول الكميات'!F15</f>
        <v>400</v>
      </c>
      <c r="F17" s="124">
        <f>'مستخلص 1'!H17</f>
        <v>0</v>
      </c>
      <c r="G17" s="87" t="n"/>
      <c r="H17" s="99">
        <f>F17+G17</f>
        <v>0</v>
      </c>
      <c r="I17" s="125">
        <f>'مستخلص 1'!K17</f>
        <v>1</v>
      </c>
      <c r="J17" s="105" t="n"/>
      <c r="K17" s="119">
        <f>IF(J17="",I17,J17)</f>
        <v>1</v>
      </c>
      <c r="L17" s="124">
        <f>'مستخلص 1'!N17</f>
        <v>0</v>
      </c>
      <c r="M17" s="99">
        <f>N17-L17</f>
        <v>0</v>
      </c>
      <c r="N17" s="98">
        <f>ROUND(H17*E17*K17,2)</f>
        <v>0</v>
      </c>
      <c r="O17" s="50">
        <f>IF(D17*E17=0,0,N17/(D17*E17))</f>
        <v>0</v>
      </c>
      <c r="P17" s="75" t="n"/>
    </row>
    <row r="18" ht="24" customHeight="1">
      <c r="A18" s="52" t="inlineStr">
        <is>
          <t>إجمالي قيمة الأعمال</t>
        </is>
      </c>
      <c r="B18" s="52" t="n"/>
      <c r="C18" s="52" t="n"/>
      <c r="D18" s="52" t="n"/>
      <c r="E18" s="52" t="n"/>
      <c r="F18" s="52" t="n"/>
      <c r="G18" s="52" t="n"/>
      <c r="H18" s="52" t="n"/>
      <c r="I18" s="52" t="n"/>
      <c r="J18" s="52" t="n"/>
      <c r="K18" s="52" t="n"/>
      <c r="L18" s="90">
        <f>SUM(L8:L17)</f>
        <v>95284</v>
      </c>
      <c r="M18" s="90">
        <f>SUM(M8:M17)</f>
        <v>86078.5</v>
      </c>
      <c r="N18" s="90">
        <f>SUM(N8:N17)</f>
        <v>181362.5</v>
      </c>
      <c r="O18" s="54">
        <f>IF('الإعدادات'!$C$19=0,0,N18/'الإعدادات'!$C$19)</f>
        <v>0.6502475682381245</v>
      </c>
      <c r="P18" s="106" t="n"/>
    </row>
    <row r="20" ht="30" customHeight="1">
      <c r="A20" s="120" t="inlineStr">
        <is>
          <t>ملاحظات المستخلص</t>
        </is>
      </c>
      <c r="B20" s="120" t="n"/>
      <c r="C20" s="120" t="n"/>
      <c r="D20" s="120" t="n"/>
      <c r="E20" s="120" t="n"/>
      <c r="F20" s="120" t="n"/>
      <c r="G20" s="120" t="n"/>
      <c r="I20" s="52" t="inlineStr">
        <is>
          <t>البيان</t>
        </is>
      </c>
      <c r="J20" s="52" t="n"/>
      <c r="K20" s="52" t="n"/>
      <c r="L20" s="84" t="inlineStr">
        <is>
          <t>المستخلص السابق</t>
        </is>
      </c>
      <c r="M20" s="84" t="inlineStr">
        <is>
          <t>المستخلص الحالي</t>
        </is>
      </c>
      <c r="N20" s="84" t="inlineStr">
        <is>
          <t>إجمالي الأعمال</t>
        </is>
      </c>
    </row>
    <row r="21" ht="21" customHeight="1">
      <c r="A21" s="121" t="inlineStr">
        <is>
          <t>الخصومات الأخرى تمثل غرامة تأخير توريد حسب خطاب الاستشاري</t>
        </is>
      </c>
      <c r="B21" s="75" t="n"/>
      <c r="C21" s="75" t="n"/>
      <c r="D21" s="75" t="n"/>
      <c r="E21" s="75" t="n"/>
      <c r="F21" s="75" t="n"/>
      <c r="G21" s="75" t="n"/>
      <c r="I21" s="26" t="inlineStr">
        <is>
          <t>إجمالي قيمة الأعمال</t>
        </is>
      </c>
      <c r="J21" s="26" t="n"/>
      <c r="K21" s="26" t="n"/>
      <c r="L21" s="89">
        <f>'مستخلص 1'!N21</f>
        <v>95284</v>
      </c>
      <c r="M21" s="27">
        <f>M18</f>
        <v>86078.5</v>
      </c>
      <c r="N21" s="27">
        <f>L21+M21</f>
        <v>181362.5</v>
      </c>
    </row>
    <row r="22" ht="21" customHeight="1">
      <c r="A22" s="75" t="n"/>
      <c r="B22" s="75" t="n"/>
      <c r="C22" s="75" t="n"/>
      <c r="D22" s="75" t="n"/>
      <c r="E22" s="75" t="n"/>
      <c r="F22" s="75" t="n"/>
      <c r="G22" s="75" t="n"/>
      <c r="I22" s="26" t="str">
        <f>"ضريبة القيمة المضافة ("&amp;TEXT('الإعدادات'!$C$18,"0%")&amp;")"</f>
        <v>ضريبة القيمة المضافة (15%)</v>
      </c>
      <c r="J22" s="26" t="n"/>
      <c r="K22" s="26" t="n"/>
      <c r="L22" s="89">
        <f>'مستخلص 1'!N22</f>
        <v>14292.6</v>
      </c>
      <c r="M22" s="27">
        <f>ROUND(M21*'الإعدادات'!$C$18,2)</f>
        <v>12911.78</v>
      </c>
      <c r="N22" s="27">
        <f>L22+M22</f>
        <v>27204.38</v>
      </c>
    </row>
    <row r="23" ht="21" customHeight="1">
      <c r="A23" s="75" t="n"/>
      <c r="B23" s="75" t="n"/>
      <c r="C23" s="75" t="n"/>
      <c r="D23" s="75" t="n"/>
      <c r="E23" s="75" t="n"/>
      <c r="F23" s="75" t="n"/>
      <c r="G23" s="75" t="n"/>
      <c r="I23" s="32" t="inlineStr">
        <is>
          <t>الإجمالي شامل الضريبة</t>
        </is>
      </c>
      <c r="J23" s="32" t="n"/>
      <c r="K23" s="32" t="n"/>
      <c r="L23" s="33">
        <f>'مستخلص 1'!N23</f>
        <v>109576.6</v>
      </c>
      <c r="M23" s="33">
        <f>ROUND(M21+M22,2)</f>
        <v>98990.28</v>
      </c>
      <c r="N23" s="33">
        <f>L23+M23</f>
        <v>208566.88</v>
      </c>
    </row>
    <row r="24" ht="21" customHeight="1">
      <c r="A24" s="75" t="n"/>
      <c r="B24" s="75" t="n"/>
      <c r="C24" s="75" t="n"/>
      <c r="D24" s="75" t="n"/>
      <c r="E24" s="75" t="n"/>
      <c r="F24" s="75" t="n"/>
      <c r="G24" s="75" t="n"/>
      <c r="I24" s="26" t="inlineStr">
        <is>
          <t>(-) خصم استرداد الدفعة المقدمة</t>
        </is>
      </c>
      <c r="J24" s="26" t="n"/>
      <c r="K24" s="26" t="n"/>
      <c r="L24" s="89">
        <f>'مستخلص 1'!N24</f>
        <v>9528.4</v>
      </c>
      <c r="M24" s="27">
        <f>'الدفعات المقدمة'!I26</f>
        <v>8607.85</v>
      </c>
      <c r="N24" s="27">
        <f>L24+M24</f>
        <v>18136.25</v>
      </c>
    </row>
    <row r="25" ht="21" customHeight="1">
      <c r="A25" s="75" t="n"/>
      <c r="B25" s="75" t="n"/>
      <c r="C25" s="75" t="n"/>
      <c r="D25" s="75" t="n"/>
      <c r="E25" s="75" t="n"/>
      <c r="F25" s="75" t="n"/>
      <c r="G25" s="75" t="n"/>
      <c r="I25" s="26" t="str">
        <f>"(-) خصم ضمان الأعمال ("&amp;TEXT('ضمان الأعمال'!$E$6,"0%")&amp;")"</f>
        <v>(-) خصم ضمان الأعمال (10%)</v>
      </c>
      <c r="J25" s="26" t="n"/>
      <c r="K25" s="26" t="n"/>
      <c r="L25" s="89">
        <f>'مستخلص 1'!N25</f>
        <v>9528.4</v>
      </c>
      <c r="M25" s="27">
        <f>'ضمان الأعمال'!I17</f>
        <v>8607.85</v>
      </c>
      <c r="N25" s="27">
        <f>L25+M25</f>
        <v>18136.25</v>
      </c>
    </row>
    <row r="26" ht="21" customHeight="1">
      <c r="A26" s="75" t="n"/>
      <c r="B26" s="75" t="n"/>
      <c r="C26" s="75" t="n"/>
      <c r="D26" s="75" t="n"/>
      <c r="E26" s="75" t="n"/>
      <c r="F26" s="75" t="n"/>
      <c r="G26" s="75" t="n"/>
      <c r="I26" s="26" t="inlineStr">
        <is>
          <t>(-) خصومات أخرى / غرامات / مواد مورّدة من المالك ✎</t>
        </is>
      </c>
      <c r="J26" s="26" t="n"/>
      <c r="K26" s="26" t="n"/>
      <c r="L26" s="89">
        <f>'مستخلص 1'!N26</f>
        <v>0</v>
      </c>
      <c r="M26" s="87" t="n">
        <v>1500</v>
      </c>
      <c r="N26" s="27">
        <f>L26+M26</f>
        <v>1500</v>
      </c>
    </row>
    <row r="27" ht="21" customHeight="1">
      <c r="A27" s="75" t="n"/>
      <c r="B27" s="75" t="n"/>
      <c r="C27" s="75" t="n"/>
      <c r="D27" s="75" t="n"/>
      <c r="E27" s="75" t="n"/>
      <c r="F27" s="75" t="n"/>
      <c r="G27" s="75" t="n"/>
      <c r="I27" s="26" t="inlineStr">
        <is>
          <t>إجمالي الخصومات</t>
        </is>
      </c>
      <c r="J27" s="26" t="n"/>
      <c r="K27" s="26" t="n"/>
      <c r="L27" s="89">
        <f>'مستخلص 1'!N27</f>
        <v>19056.8</v>
      </c>
      <c r="M27" s="27">
        <f>SUM(M24:M26)</f>
        <v>18715.7</v>
      </c>
      <c r="N27" s="27">
        <f>L27+M27</f>
        <v>37772.5</v>
      </c>
    </row>
    <row r="28" ht="21" customHeight="1">
      <c r="A28" s="75" t="n"/>
      <c r="B28" s="75" t="n"/>
      <c r="C28" s="75" t="n"/>
      <c r="D28" s="75" t="n"/>
      <c r="E28" s="75" t="n"/>
      <c r="F28" s="75" t="n"/>
      <c r="G28" s="75" t="n"/>
      <c r="I28" s="32" t="inlineStr">
        <is>
          <t>صافي قيمة المستخلص المستحق</t>
        </is>
      </c>
      <c r="J28" s="32" t="n"/>
      <c r="K28" s="32" t="n"/>
      <c r="L28" s="33">
        <f>'مستخلص 1'!N28</f>
        <v>90519.8</v>
      </c>
      <c r="M28" s="122">
        <f>ROUND(M23-M27,2)</f>
        <v>80274.58</v>
      </c>
      <c r="N28" s="33">
        <f>L28+M28</f>
        <v>170794.38</v>
      </c>
    </row>
    <row r="31">
      <c r="A31" s="77" t="str">
        <f>'الإعدادات'!B36</f>
        <v>مهندس الموقع (المقاول)</v>
      </c>
      <c r="B31" s="77" t="n"/>
      <c r="C31" s="77" t="str">
        <f>'الإعدادات'!B37</f>
        <v>مدير المشروع (المقاول)</v>
      </c>
      <c r="D31" s="77" t="n"/>
      <c r="E31" s="77" t="n"/>
      <c r="F31" s="77" t="n"/>
      <c r="G31" s="77" t="n"/>
      <c r="H31" s="77" t="str">
        <f>'الإعدادات'!B38</f>
        <v>المهندس المشرف (الاستشاري)</v>
      </c>
      <c r="I31" s="77" t="n"/>
      <c r="J31" s="77" t="n"/>
      <c r="K31" s="77" t="n"/>
      <c r="L31" s="77" t="n"/>
      <c r="M31" s="77" t="str">
        <f>'الإعدادات'!B39</f>
        <v>ممثل المالك</v>
      </c>
      <c r="N31" s="77" t="n"/>
      <c r="O31" s="77" t="n"/>
      <c r="P31" s="77" t="n"/>
    </row>
    <row r="32" ht="24" customHeight="1">
      <c r="A32" s="30" t="str">
        <f>IF('الإعدادات'!C36="","الاسم: ..................","الاسم: "&amp;'الإعدادات'!C36)</f>
        <v>الاسم: م. أحمد محمد</v>
      </c>
      <c r="B32" s="30" t="n"/>
      <c r="C32" s="30" t="str">
        <f>IF('الإعدادات'!C37="","الاسم: ..................","الاسم: "&amp;'الإعدادات'!C37)</f>
        <v>الاسم: م. خالد عبدالله</v>
      </c>
      <c r="D32" s="30" t="n"/>
      <c r="E32" s="30" t="n"/>
      <c r="F32" s="30" t="n"/>
      <c r="G32" s="30" t="n"/>
      <c r="H32" s="30" t="str">
        <f>IF('الإعدادات'!C38="","الاسم: ..................","الاسم: "&amp;'الإعدادات'!C38)</f>
        <v>الاسم: م. سامي علي</v>
      </c>
      <c r="I32" s="30" t="n"/>
      <c r="J32" s="30" t="n"/>
      <c r="K32" s="30" t="n"/>
      <c r="L32" s="30" t="n"/>
      <c r="M32" s="30" t="str">
        <f>IF('الإعدادات'!C39="","الاسم: ..................","الاسم: "&amp;'الإعدادات'!C39)</f>
        <v>الاسم: أ. فهد سعد</v>
      </c>
      <c r="N32" s="30" t="n"/>
      <c r="O32" s="30" t="n"/>
      <c r="P32" s="30" t="n"/>
    </row>
    <row r="33" ht="24" customHeight="1">
      <c r="A33" s="30" t="inlineStr">
        <is>
          <t>التوقيع: ..............................</t>
        </is>
      </c>
      <c r="B33" s="30" t="n"/>
      <c r="C33" s="30" t="inlineStr">
        <is>
          <t>التوقيع: ..............................</t>
        </is>
      </c>
      <c r="D33" s="30" t="n"/>
      <c r="E33" s="30" t="n"/>
      <c r="F33" s="30" t="n"/>
      <c r="G33" s="30" t="n"/>
      <c r="H33" s="30" t="inlineStr">
        <is>
          <t>التوقيع: ..............................</t>
        </is>
      </c>
      <c r="I33" s="30" t="n"/>
      <c r="J33" s="30" t="n"/>
      <c r="K33" s="30" t="n"/>
      <c r="L33" s="30" t="n"/>
      <c r="M33" s="30" t="inlineStr">
        <is>
          <t>التوقيع: ..............................</t>
        </is>
      </c>
      <c r="N33" s="30" t="n"/>
      <c r="O33" s="30" t="n"/>
      <c r="P33" s="30" t="n"/>
    </row>
    <row r="34" ht="24" customHeight="1">
      <c r="A34" s="30" t="inlineStr">
        <is>
          <t>التاريخ:      /      /</t>
        </is>
      </c>
      <c r="B34" s="30" t="n"/>
      <c r="C34" s="30" t="inlineStr">
        <is>
          <t>التاريخ:      /      /</t>
        </is>
      </c>
      <c r="D34" s="30" t="n"/>
      <c r="E34" s="30" t="n"/>
      <c r="F34" s="30" t="n"/>
      <c r="G34" s="30" t="n"/>
      <c r="H34" s="30" t="inlineStr">
        <is>
          <t>التاريخ:      /      /</t>
        </is>
      </c>
      <c r="I34" s="30" t="n"/>
      <c r="J34" s="30" t="n"/>
      <c r="K34" s="30" t="n"/>
      <c r="L34" s="30" t="n"/>
      <c r="M34" s="30" t="inlineStr">
        <is>
          <t>التاريخ:      /      /</t>
        </is>
      </c>
      <c r="N34" s="30" t="n"/>
      <c r="O34" s="30" t="n"/>
      <c r="P34" s="30" t="n"/>
    </row>
  </sheetData>
  <sheetProtection selectLockedCells="0" selectUnlockedCells="0" sheet="1" objects="0" insertRows="1" insertHyperlinks="1" autoFilter="0" scenarios="0" formatColumns="1" deleteColumns="1" insertColumns="1" pivotTables="1" deleteRows="1" formatCells="1" formatRows="1" sort="0" password="FFA5"/>
  <mergeCells count="54">
    <mergeCell ref="C34:G34"/>
    <mergeCell ref="J5:K5"/>
    <mergeCell ref="I22:K22"/>
    <mergeCell ref="I28:K28"/>
    <mergeCell ref="C5:D5"/>
    <mergeCell ref="C33:G33"/>
    <mergeCell ref="A20:G20"/>
    <mergeCell ref="P6:P7"/>
    <mergeCell ref="E5:I5"/>
    <mergeCell ref="H4:I4"/>
    <mergeCell ref="A6:A7"/>
    <mergeCell ref="M32:P32"/>
    <mergeCell ref="I21:K21"/>
    <mergeCell ref="H31:L31"/>
    <mergeCell ref="C4:D4"/>
    <mergeCell ref="F3:G3"/>
    <mergeCell ref="L3:M3"/>
    <mergeCell ref="E4:F4"/>
    <mergeCell ref="H34:L34"/>
    <mergeCell ref="I24:K24"/>
    <mergeCell ref="I23:K23"/>
    <mergeCell ref="M34:P34"/>
    <mergeCell ref="E6:E7"/>
    <mergeCell ref="C31:G31"/>
    <mergeCell ref="I20:K20"/>
    <mergeCell ref="L5:P5"/>
    <mergeCell ref="B6:B7"/>
    <mergeCell ref="L6:N6"/>
    <mergeCell ref="A34:B34"/>
    <mergeCell ref="J4:K4"/>
    <mergeCell ref="A18:K18"/>
    <mergeCell ref="A1:P1"/>
    <mergeCell ref="A33:B33"/>
    <mergeCell ref="H32:L32"/>
    <mergeCell ref="A21:G28"/>
    <mergeCell ref="M33:P33"/>
    <mergeCell ref="A32:B32"/>
    <mergeCell ref="C3:E3"/>
    <mergeCell ref="N4:P4"/>
    <mergeCell ref="H3:I3"/>
    <mergeCell ref="I6:K6"/>
    <mergeCell ref="M31:P31"/>
    <mergeCell ref="F6:H6"/>
    <mergeCell ref="C32:G32"/>
    <mergeCell ref="I27:K27"/>
    <mergeCell ref="H33:L33"/>
    <mergeCell ref="I26:K26"/>
    <mergeCell ref="C6:C7"/>
    <mergeCell ref="O6:O7"/>
    <mergeCell ref="D6:D7"/>
    <mergeCell ref="A31:B31"/>
    <mergeCell ref="N3:P3"/>
    <mergeCell ref="I25:K25"/>
    <mergeCell ref="A2:P2"/>
  </mergeCells>
  <conditionalFormatting sqref="D8:O17">
    <cfRule type="expression" priority="1" dxfId="4" stopIfTrue="1">
      <formula>$B8=""</formula>
    </cfRule>
  </conditionalFormatting>
  <conditionalFormatting sqref="H8:H17">
    <cfRule type="expression" priority="2" dxfId="2">
      <formula>AND(D8&gt;0,H8&gt;D8)</formula>
    </cfRule>
  </conditionalFormatting>
  <conditionalFormatting sqref="O8:O1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xmlns:r="http://schemas.openxmlformats.org/officeDocument/2006/relationships" ref="A2" r:id="rId1"/>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1'!A1" display="◀ المستخلص السابق (1)"/>
    <hyperlink ref="N3" location="'مستخلص 3'!A1" display="المستخلص التالي (3) ▶"/>
  </hyperlinks>
  <printOptions horizontalCentered="1"/>
  <pageMargins left="0.3" right="0.3" top="0.4" bottom="0.4" header="0.5" footer="0.5"/>
  <pageSetup orientation="landscape" paperSize="9" fitToHeight="0" fitToWidth="1"/>
  <headerFooter>
    <oddHeader/>
    <oddFooter>&amp;Lنسخة مجانية - accopro.net&amp;Cصفحة &amp;P من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FF9A6B00"/>
    <outlinePr summaryBelow="1" summaryRight="1"/>
    <pageSetUpPr fitToPage="1"/>
  </sheetPr>
  <dimension ref="A1:P34"/>
  <sheetViews>
    <sheetView showGridLines="0" rightToLeft="1" zoomScale="85"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8" customWidth="1" min="3" max="3"/>
    <col width="11" customWidth="1" min="4" max="4"/>
    <col width="11" customWidth="1" min="5" max="5"/>
    <col width="11" customWidth="1" min="6" max="6"/>
    <col width="11" customWidth="1" min="7" max="7"/>
    <col width="11" customWidth="1" min="8" max="8"/>
    <col width="9" customWidth="1" min="9" max="9"/>
    <col width="10" customWidth="1" min="10" max="10"/>
    <col width="9" customWidth="1" min="11" max="11"/>
    <col width="15" customWidth="1" min="12" max="12"/>
    <col width="15" customWidth="1" min="13" max="13"/>
    <col width="15" customWidth="1" min="14" max="14"/>
    <col width="10" customWidth="1" min="15" max="15"/>
    <col width="22" customWidth="1" min="16" max="16"/>
  </cols>
  <sheetData>
    <row r="1" ht="38" customHeight="1">
      <c r="A1" s="1" t="str">
        <f>"مستخلص أعمال رقم ( 3 )  —  "&amp;'الإعدادات'!$C$6</f>
        <v>مستخلص أعمال رقم ( 3 )  —  مشروع تأهيل أبراج طيبة - المنطقة المركزية شارع الهجرة</v>
      </c>
      <c r="B1" s="1" t="n"/>
      <c r="C1" s="1" t="n"/>
      <c r="D1" s="1" t="n"/>
      <c r="E1" s="1" t="n"/>
      <c r="F1" s="1" t="n"/>
      <c r="G1" s="1" t="n"/>
      <c r="H1" s="1" t="n"/>
      <c r="I1" s="1" t="n"/>
      <c r="J1" s="1" t="n"/>
      <c r="K1" s="1" t="n"/>
      <c r="L1" s="1" t="n"/>
      <c r="M1" s="1" t="n"/>
      <c r="N1" s="1" t="n"/>
      <c r="O1" s="1" t="n"/>
      <c r="P1" s="1" t="n"/>
    </row>
    <row r="2" ht="20" customHeight="1">
      <c r="A2" s="2" t="inlineStr">
        <is>
          <t>🎁 نسخة مجانية محدودة (3 مستخلصات • 10 بنود)   —   للنسخة الكاملة (25 مستخلص • 100 بند • بدون قيود) اضغط هنا ⬅ accopro.net</t>
        </is>
      </c>
      <c r="B2" s="2" t="n"/>
      <c r="C2" s="2" t="n"/>
      <c r="D2" s="2" t="n"/>
      <c r="E2" s="2" t="n"/>
      <c r="F2" s="2" t="n"/>
      <c r="G2" s="2" t="n"/>
      <c r="H2" s="2" t="n"/>
      <c r="I2" s="2" t="n"/>
      <c r="J2" s="2" t="n"/>
      <c r="K2" s="2" t="n"/>
      <c r="L2" s="2" t="n"/>
      <c r="M2" s="2" t="n"/>
      <c r="N2" s="2" t="n"/>
      <c r="O2" s="2" t="n"/>
      <c r="P2" s="2" t="n"/>
    </row>
    <row r="3" ht="24" customHeight="1">
      <c r="A3" s="70" t="inlineStr">
        <is>
          <t>🏠</t>
        </is>
      </c>
      <c r="B3" s="3" t="inlineStr">
        <is>
          <t>🗂 سجل المستخلصات</t>
        </is>
      </c>
      <c r="C3" s="3" t="inlineStr">
        <is>
          <t>📋 BOQ</t>
        </is>
      </c>
      <c r="D3" s="3" t="n"/>
      <c r="E3" s="3" t="n"/>
      <c r="F3" s="3" t="inlineStr">
        <is>
          <t>💵 المقدمة</t>
        </is>
      </c>
      <c r="G3" s="3" t="n"/>
      <c r="H3" s="3" t="inlineStr">
        <is>
          <t>🔒 الضمان</t>
        </is>
      </c>
      <c r="I3" s="3" t="n"/>
      <c r="L3" s="4" t="inlineStr">
        <is>
          <t>◀ المستخلص السابق (2)</t>
        </is>
      </c>
      <c r="M3" s="4" t="n"/>
      <c r="N3" s="126" t="inlineStr">
        <is>
          <t>🔒 مستخلص 4 حتى 25 — النسخة الكاملة</t>
        </is>
      </c>
      <c r="O3" s="126" t="n"/>
      <c r="P3" s="126" t="n"/>
    </row>
    <row r="4" ht="24" customHeight="1">
      <c r="A4" s="111" t="inlineStr">
        <is>
          <t>رقم</t>
        </is>
      </c>
      <c r="B4" s="113" t="n">
        <v>3</v>
      </c>
      <c r="C4" s="111" t="inlineStr">
        <is>
          <t>تاريخ المستخلص</t>
        </is>
      </c>
      <c r="D4" s="111" t="n"/>
      <c r="E4" s="94" t="n">
        <v>46275</v>
      </c>
      <c r="F4" s="94" t="n"/>
      <c r="G4" s="111" t="inlineStr">
        <is>
          <t>الحالة</t>
        </is>
      </c>
      <c r="H4" s="85" t="inlineStr">
        <is>
          <t>جاري</t>
        </is>
      </c>
      <c r="I4" s="85" t="n"/>
      <c r="J4" s="111" t="inlineStr">
        <is>
          <t>الفترة من</t>
        </is>
      </c>
      <c r="K4" s="111" t="n"/>
      <c r="L4" s="94" t="n">
        <v>46219</v>
      </c>
      <c r="M4" s="111" t="inlineStr">
        <is>
          <t>إلى</t>
        </is>
      </c>
      <c r="N4" s="94" t="n">
        <v>46275</v>
      </c>
      <c r="O4" s="94" t="n"/>
      <c r="P4" s="94" t="n"/>
    </row>
    <row r="5" ht="22" customHeight="1">
      <c r="A5" s="111" t="inlineStr">
        <is>
          <t>المشروع</t>
        </is>
      </c>
      <c r="B5" s="45" t="str">
        <f>'الإعدادات'!$C$6</f>
        <v>مشروع تأهيل أبراج طيبة - المنطقة المركزية شارع الهجرة</v>
      </c>
      <c r="C5" s="111" t="inlineStr">
        <is>
          <t>المالك</t>
        </is>
      </c>
      <c r="D5" s="111" t="n"/>
      <c r="E5" s="45" t="str">
        <f>'الإعدادات'!$C$8</f>
        <v>شركة ثروات الرائدة العقارية</v>
      </c>
      <c r="F5" s="45" t="n"/>
      <c r="G5" s="45" t="n"/>
      <c r="H5" s="45" t="n"/>
      <c r="I5" s="45" t="n"/>
      <c r="J5" s="111" t="inlineStr">
        <is>
          <t>المقاول</t>
        </is>
      </c>
      <c r="K5" s="111" t="n"/>
      <c r="L5" s="45" t="str">
        <f>'الإعدادات'!$C$9</f>
        <v>مؤسسة البناء المتقن للمقاولات</v>
      </c>
      <c r="M5" s="45" t="n"/>
      <c r="N5" s="45" t="n"/>
      <c r="O5" s="45" t="n"/>
      <c r="P5" s="45" t="n"/>
    </row>
    <row r="6" ht="24" customHeight="1">
      <c r="A6" s="84" t="inlineStr">
        <is>
          <t>البند</t>
        </is>
      </c>
      <c r="B6" s="84" t="inlineStr">
        <is>
          <t>بيان الأعمال</t>
        </is>
      </c>
      <c r="C6" s="84" t="inlineStr">
        <is>
          <t>الوحدة</t>
        </is>
      </c>
      <c r="D6" s="84" t="inlineStr">
        <is>
          <t>الكمية التعاقدية</t>
        </is>
      </c>
      <c r="E6" s="84" t="inlineStr">
        <is>
          <t>سعر الوحدة</t>
        </is>
      </c>
      <c r="F6" s="114" t="inlineStr">
        <is>
          <t>الكمية المنفذة من واقع التمتير الفعلي</t>
        </is>
      </c>
      <c r="G6" s="114" t="n"/>
      <c r="H6" s="114" t="n"/>
      <c r="I6" s="42" t="inlineStr">
        <is>
          <t>نسبة الإنجاز / الاستحقاق للبند</t>
        </is>
      </c>
      <c r="J6" s="42" t="n"/>
      <c r="K6" s="42" t="n"/>
      <c r="L6" s="114" t="inlineStr">
        <is>
          <t>قيمة الأعمال المنفذة</t>
        </is>
      </c>
      <c r="M6" s="114" t="n"/>
      <c r="N6" s="114" t="n"/>
      <c r="O6" s="84" t="inlineStr">
        <is>
          <t>نسبة الإنجاز الفعلية</t>
        </is>
      </c>
      <c r="P6" s="84" t="inlineStr">
        <is>
          <t>ملاحظات</t>
        </is>
      </c>
    </row>
    <row r="7" ht="30" customHeight="1">
      <c r="A7" s="84" t="n"/>
      <c r="B7" s="84" t="n"/>
      <c r="C7" s="84" t="n"/>
      <c r="D7" s="84" t="n"/>
      <c r="E7" s="84" t="n"/>
      <c r="F7" s="114" t="inlineStr">
        <is>
          <t>سابق</t>
        </is>
      </c>
      <c r="G7" s="115" t="inlineStr">
        <is>
          <t>حالي ✎</t>
        </is>
      </c>
      <c r="H7" s="114" t="inlineStr">
        <is>
          <t>إجمالي</t>
        </is>
      </c>
      <c r="I7" s="42" t="inlineStr">
        <is>
          <t>سابقة</t>
        </is>
      </c>
      <c r="J7" s="115" t="inlineStr">
        <is>
          <t>حالية 🔒 النسخة الكاملة</t>
        </is>
      </c>
      <c r="K7" s="42" t="inlineStr">
        <is>
          <t>المعتمدة</t>
        </is>
      </c>
      <c r="L7" s="114" t="inlineStr">
        <is>
          <t>سابقة</t>
        </is>
      </c>
      <c r="M7" s="114" t="inlineStr">
        <is>
          <t>حالية</t>
        </is>
      </c>
      <c r="N7" s="114" t="inlineStr">
        <is>
          <t>إجمالية</t>
        </is>
      </c>
      <c r="O7" s="84" t="n"/>
      <c r="P7" s="84" t="n"/>
    </row>
    <row r="8">
      <c r="A8" s="30">
        <f>IF('جدول الكميات'!A6="","",'جدول الكميات'!A6)</f>
        <v>1</v>
      </c>
      <c r="B8" s="116" t="str">
        <f>IF('جدول الكميات'!C6="","",'جدول الكميات'!C6)</f>
        <v>توريد وتركيب هندريل زجاج مع كبسة أستيل لدور الميزانين</v>
      </c>
      <c r="C8" s="30" t="str">
        <f>IF('جدول الكميات'!D6="","",'جدول الكميات'!D6)</f>
        <v>م.ط</v>
      </c>
      <c r="D8" s="88">
        <f>'جدول الكميات'!E6</f>
        <v>7.54</v>
      </c>
      <c r="E8" s="88">
        <f>'جدول الكميات'!F6</f>
        <v>650</v>
      </c>
      <c r="F8" s="89">
        <f>'مستخلص 2'!H8</f>
        <v>7.54</v>
      </c>
      <c r="G8" s="87" t="n"/>
      <c r="H8" s="27">
        <f>F8+G8</f>
        <v>7.54</v>
      </c>
      <c r="I8" s="123">
        <f>'مستخلص 2'!K8</f>
        <v>1</v>
      </c>
      <c r="J8" s="105" t="n"/>
      <c r="K8" s="117">
        <f>IF(J8="",I8,J8)</f>
        <v>1</v>
      </c>
      <c r="L8" s="89">
        <f>'مستخلص 2'!N8</f>
        <v>4901</v>
      </c>
      <c r="M8" s="27">
        <f>N8-L8</f>
        <v>0</v>
      </c>
      <c r="N8" s="88">
        <f>ROUND(H8*E8*K8,2)</f>
        <v>4901</v>
      </c>
      <c r="O8" s="28">
        <f>IF(D8*E8=0,0,N8/(D8*E8))</f>
        <v>1</v>
      </c>
      <c r="P8" s="75" t="n"/>
    </row>
    <row r="9">
      <c r="A9" s="97">
        <f>IF('جدول الكميات'!A7="","",'جدول الكميات'!A7)</f>
        <v>2</v>
      </c>
      <c r="B9" s="118" t="str">
        <f>IF('جدول الكميات'!C7="","",'جدول الكميات'!C7)</f>
        <v>توريد وتركيب مرايات لحمامات الدور الأرضي</v>
      </c>
      <c r="C9" s="97" t="str">
        <f>IF('جدول الكميات'!D7="","",'جدول الكميات'!D7)</f>
        <v>عدد</v>
      </c>
      <c r="D9" s="98">
        <f>'جدول الكميات'!E7</f>
        <v>5</v>
      </c>
      <c r="E9" s="98">
        <f>'جدول الكميات'!F7</f>
        <v>800</v>
      </c>
      <c r="F9" s="124">
        <f>'مستخلص 2'!H9</f>
        <v>3.25</v>
      </c>
      <c r="G9" s="87" t="n">
        <v>1</v>
      </c>
      <c r="H9" s="99">
        <f>F9+G9</f>
        <v>4.25</v>
      </c>
      <c r="I9" s="125">
        <f>'مستخلص 2'!K9</f>
        <v>1</v>
      </c>
      <c r="J9" s="105" t="n"/>
      <c r="K9" s="119">
        <f>IF(J9="",I9,J9)</f>
        <v>1</v>
      </c>
      <c r="L9" s="124">
        <f>'مستخلص 2'!N9</f>
        <v>2600</v>
      </c>
      <c r="M9" s="99">
        <f>N9-L9</f>
        <v>800</v>
      </c>
      <c r="N9" s="98">
        <f>ROUND(H9*E9*K9,2)</f>
        <v>3400</v>
      </c>
      <c r="O9" s="50">
        <f>IF(D9*E9=0,0,N9/(D9*E9))</f>
        <v>0.85</v>
      </c>
      <c r="P9" s="75" t="n"/>
    </row>
    <row r="10">
      <c r="A10" s="30">
        <f>IF('جدول الكميات'!A8="","",'جدول الكميات'!A8)</f>
        <v>3</v>
      </c>
      <c r="B10" s="116" t="str">
        <f>IF('جدول الكميات'!C8="","",'جدول الكميات'!C8)</f>
        <v>تركيب زجاج هندريل لدور الميزانين</v>
      </c>
      <c r="C10" s="30" t="str">
        <f>IF('جدول الكميات'!D8="","",'جدول الكميات'!D8)</f>
        <v>م.ط</v>
      </c>
      <c r="D10" s="88">
        <f>'جدول الكميات'!E8</f>
        <v>9.4</v>
      </c>
      <c r="E10" s="88">
        <f>'جدول الكميات'!F8</f>
        <v>150</v>
      </c>
      <c r="F10" s="89">
        <f>'مستخلص 2'!H10</f>
        <v>6.109999999999999</v>
      </c>
      <c r="G10" s="87" t="n">
        <v>1.88</v>
      </c>
      <c r="H10" s="27">
        <f>F10+G10</f>
        <v>7.989999999999999</v>
      </c>
      <c r="I10" s="123">
        <f>'مستخلص 2'!K10</f>
        <v>1</v>
      </c>
      <c r="J10" s="105" t="n"/>
      <c r="K10" s="117">
        <f>IF(J10="",I10,J10)</f>
        <v>1</v>
      </c>
      <c r="L10" s="89">
        <f>'مستخلص 2'!N10</f>
        <v>916.5</v>
      </c>
      <c r="M10" s="27">
        <f>N10-L10</f>
        <v>282</v>
      </c>
      <c r="N10" s="88">
        <f>ROUND(H10*E10*K10,2)</f>
        <v>1198.5</v>
      </c>
      <c r="O10" s="28">
        <f>IF(D10*E10=0,0,N10/(D10*E10))</f>
        <v>0.85</v>
      </c>
      <c r="P10" s="75" t="n"/>
    </row>
    <row r="11">
      <c r="A11" s="97">
        <f>IF('جدول الكميات'!A9="","",'جدول الكميات'!A9)</f>
        <v>4</v>
      </c>
      <c r="B11" s="118" t="str">
        <f>IF('جدول الكميات'!C9="","",'جدول الكميات'!C9)</f>
        <v>فك وإعادة تركيب زجاج هندريل دور الميزانين</v>
      </c>
      <c r="C11" s="97" t="str">
        <f>IF('جدول الكميات'!D9="","",'جدول الكميات'!D9)</f>
        <v>م.ط</v>
      </c>
      <c r="D11" s="98">
        <f>'جدول الكميات'!E9</f>
        <v>5.4</v>
      </c>
      <c r="E11" s="98">
        <f>'جدول الكميات'!F9</f>
        <v>300</v>
      </c>
      <c r="F11" s="124">
        <f>'مستخلص 2'!H11</f>
        <v>2.81</v>
      </c>
      <c r="G11" s="87" t="n">
        <v>0.86</v>
      </c>
      <c r="H11" s="99">
        <f>F11+G11</f>
        <v>3.67</v>
      </c>
      <c r="I11" s="125">
        <f>'مستخلص 2'!K11</f>
        <v>1</v>
      </c>
      <c r="J11" s="105" t="n"/>
      <c r="K11" s="119">
        <f>IF(J11="",I11,J11)</f>
        <v>1</v>
      </c>
      <c r="L11" s="124">
        <f>'مستخلص 2'!N11</f>
        <v>843</v>
      </c>
      <c r="M11" s="99">
        <f>N11-L11</f>
        <v>258</v>
      </c>
      <c r="N11" s="98">
        <f>ROUND(H11*E11*K11,2)</f>
        <v>1101</v>
      </c>
      <c r="O11" s="50">
        <f>IF(D11*E11=0,0,N11/(D11*E11))</f>
        <v>0.6796296296296296</v>
      </c>
      <c r="P11" s="75" t="n"/>
    </row>
    <row r="12">
      <c r="A12" s="30">
        <f>IF('جدول الكميات'!A10="","",'جدول الكميات'!A10)</f>
        <v>5</v>
      </c>
      <c r="B12" s="116" t="str">
        <f>IF('جدول الكميات'!C10="","",'جدول الكميات'!C10)</f>
        <v>فك وتلحيم مواسير أستيل (كبسة) فوق الزجاج وإعادة تركيبه لدور الميزانين</v>
      </c>
      <c r="C12" s="30" t="str">
        <f>IF('جدول الكميات'!D10="","",'جدول الكميات'!D10)</f>
        <v>م.ط</v>
      </c>
      <c r="D12" s="88">
        <f>'جدول الكميات'!E10</f>
        <v>31.48</v>
      </c>
      <c r="E12" s="88">
        <f>'جدول الكميات'!F10</f>
        <v>150</v>
      </c>
      <c r="F12" s="89">
        <f>'مستخلص 2'!H12</f>
        <v>31.48</v>
      </c>
      <c r="G12" s="87" t="n"/>
      <c r="H12" s="27">
        <f>F12+G12</f>
        <v>31.48</v>
      </c>
      <c r="I12" s="123">
        <f>'مستخلص 2'!K12</f>
        <v>1</v>
      </c>
      <c r="J12" s="105" t="n"/>
      <c r="K12" s="117">
        <f>IF(J12="",I12,J12)</f>
        <v>1</v>
      </c>
      <c r="L12" s="89">
        <f>'مستخلص 2'!N12</f>
        <v>4722</v>
      </c>
      <c r="M12" s="27">
        <f>N12-L12</f>
        <v>0</v>
      </c>
      <c r="N12" s="88">
        <f>ROUND(H12*E12*K12,2)</f>
        <v>4722</v>
      </c>
      <c r="O12" s="28">
        <f>IF(D12*E12=0,0,N12/(D12*E12))</f>
        <v>1</v>
      </c>
      <c r="P12" s="75" t="n"/>
    </row>
    <row r="13">
      <c r="A13" s="97">
        <f>IF('جدول الكميات'!A11="","",'جدول الكميات'!A11)</f>
        <v>6</v>
      </c>
      <c r="B13" s="118" t="str">
        <f>IF('جدول الكميات'!C11="","",'جدول الكميات'!C11)</f>
        <v>فك وإعادة تركيب أبواب الشوارات للحمامات (ثابت ومتحرك)</v>
      </c>
      <c r="C13" s="97" t="str">
        <f>IF('جدول الكميات'!D11="","",'جدول الكميات'!D11)</f>
        <v>عدد</v>
      </c>
      <c r="D13" s="98">
        <f>'جدول الكميات'!E11</f>
        <v>33</v>
      </c>
      <c r="E13" s="98">
        <f>'جدول الكميات'!F11</f>
        <v>300</v>
      </c>
      <c r="F13" s="124">
        <f>'مستخلص 2'!H13</f>
        <v>21.450000000000003</v>
      </c>
      <c r="G13" s="87" t="n">
        <v>6.6</v>
      </c>
      <c r="H13" s="99">
        <f>F13+G13</f>
        <v>28.050000000000004</v>
      </c>
      <c r="I13" s="125">
        <f>'مستخلص 2'!K13</f>
        <v>1</v>
      </c>
      <c r="J13" s="105" t="n"/>
      <c r="K13" s="119">
        <f>IF(J13="",I13,J13)</f>
        <v>1</v>
      </c>
      <c r="L13" s="124">
        <f>'مستخلص 2'!N13</f>
        <v>6435</v>
      </c>
      <c r="M13" s="99">
        <f>N13-L13</f>
        <v>1980</v>
      </c>
      <c r="N13" s="98">
        <f>ROUND(H13*E13*K13,2)</f>
        <v>8415</v>
      </c>
      <c r="O13" s="50">
        <f>IF(D13*E13=0,0,N13/(D13*E13))</f>
        <v>0.85</v>
      </c>
      <c r="P13" s="75" t="n"/>
    </row>
    <row r="14">
      <c r="A14" s="30">
        <f>IF('جدول الكميات'!A12="","",'جدول الكميات'!A12)</f>
        <v>7</v>
      </c>
      <c r="B14" s="116" t="str">
        <f>IF('جدول الكميات'!C12="","",'جدول الكميات'!C12)</f>
        <v>تركيب شبابيك للواجهات الخلفية والجانبية بين الأبراج</v>
      </c>
      <c r="C14" s="30" t="str">
        <f>IF('جدول الكميات'!D12="","",'جدول الكميات'!D12)</f>
        <v>عدد</v>
      </c>
      <c r="D14" s="88">
        <f>'جدول الكميات'!E12</f>
        <v>343</v>
      </c>
      <c r="E14" s="88">
        <f>'جدول الكميات'!F12</f>
        <v>120</v>
      </c>
      <c r="F14" s="89">
        <f>'مستخلص 2'!H14</f>
        <v>343</v>
      </c>
      <c r="G14" s="87" t="n"/>
      <c r="H14" s="27">
        <f>F14+G14</f>
        <v>343</v>
      </c>
      <c r="I14" s="123">
        <f>'مستخلص 2'!K14</f>
        <v>1</v>
      </c>
      <c r="J14" s="105" t="n"/>
      <c r="K14" s="117">
        <f>IF(J14="",I14,J14)</f>
        <v>1</v>
      </c>
      <c r="L14" s="89">
        <f>'مستخلص 2'!N14</f>
        <v>41160</v>
      </c>
      <c r="M14" s="27">
        <f>N14-L14</f>
        <v>0</v>
      </c>
      <c r="N14" s="88">
        <f>ROUND(H14*E14*K14,2)</f>
        <v>41160</v>
      </c>
      <c r="O14" s="28">
        <f>IF(D14*E14=0,0,N14/(D14*E14))</f>
        <v>1</v>
      </c>
      <c r="P14" s="75" t="n"/>
    </row>
    <row r="15">
      <c r="A15" s="97">
        <f>IF('جدول الكميات'!A13="","",'جدول الكميات'!A13)</f>
        <v>8</v>
      </c>
      <c r="B15" s="118" t="str">
        <f>IF('جدول الكميات'!C13="","",'جدول الكميات'!C13)</f>
        <v>فك شبابيك الواجهات الخلفية مرة أخرى من أجل أعمال التلابيس</v>
      </c>
      <c r="C15" s="97" t="str">
        <f>IF('جدول الكميات'!D13="","",'جدول الكميات'!D13)</f>
        <v>عدد</v>
      </c>
      <c r="D15" s="98">
        <f>'جدول الكميات'!E13</f>
        <v>58</v>
      </c>
      <c r="E15" s="98">
        <f>'جدول الكميات'!F13</f>
        <v>50</v>
      </c>
      <c r="F15" s="124">
        <f>'مستخلص 2'!H15</f>
        <v>37.7</v>
      </c>
      <c r="G15" s="87" t="n">
        <v>11.6</v>
      </c>
      <c r="H15" s="99">
        <f>F15+G15</f>
        <v>49.300000000000004</v>
      </c>
      <c r="I15" s="125">
        <f>'مستخلص 2'!K15</f>
        <v>1</v>
      </c>
      <c r="J15" s="105" t="n"/>
      <c r="K15" s="119">
        <f>IF(J15="",I15,J15)</f>
        <v>1</v>
      </c>
      <c r="L15" s="124">
        <f>'مستخلص 2'!N15</f>
        <v>1885</v>
      </c>
      <c r="M15" s="99">
        <f>N15-L15</f>
        <v>580</v>
      </c>
      <c r="N15" s="98">
        <f>ROUND(H15*E15*K15,2)</f>
        <v>2465</v>
      </c>
      <c r="O15" s="50">
        <f>IF(D15*E15=0,0,N15/(D15*E15))</f>
        <v>0.85</v>
      </c>
      <c r="P15" s="75" t="n"/>
    </row>
    <row r="16">
      <c r="A16" s="30">
        <f>IF('جدول الكميات'!A14="","",'جدول الكميات'!A14)</f>
        <v>9</v>
      </c>
      <c r="B16" s="116" t="str">
        <f>IF('جدول الكميات'!C14="","",'جدول الكميات'!C14)</f>
        <v>توريد وتركيب درابزين حديد لسلالم الطوارئ</v>
      </c>
      <c r="C16" s="30" t="str">
        <f>IF('جدول الكميات'!D14="","",'جدول الكميات'!D14)</f>
        <v>م.ط</v>
      </c>
      <c r="D16" s="88">
        <f>'جدول الكميات'!E14</f>
        <v>262</v>
      </c>
      <c r="E16" s="88">
        <f>'جدول الكميات'!F14</f>
        <v>450</v>
      </c>
      <c r="F16" s="89">
        <f>'مستخلص 2'!H16</f>
        <v>262</v>
      </c>
      <c r="G16" s="87" t="n"/>
      <c r="H16" s="27">
        <f>F16+G16</f>
        <v>262</v>
      </c>
      <c r="I16" s="123">
        <f>'مستخلص 2'!K16</f>
        <v>1</v>
      </c>
      <c r="J16" s="105" t="n"/>
      <c r="K16" s="117">
        <f>IF(J16="",I16,J16)</f>
        <v>1</v>
      </c>
      <c r="L16" s="89">
        <f>'مستخلص 2'!N16</f>
        <v>117900</v>
      </c>
      <c r="M16" s="27">
        <f>N16-L16</f>
        <v>0</v>
      </c>
      <c r="N16" s="88">
        <f>ROUND(H16*E16*K16,2)</f>
        <v>117900</v>
      </c>
      <c r="O16" s="28">
        <f>IF(D16*E16=0,0,N16/(D16*E16))</f>
        <v>1</v>
      </c>
      <c r="P16" s="75" t="n"/>
    </row>
    <row r="17">
      <c r="A17" s="97">
        <f>IF('جدول الكميات'!A15="","",'جدول الكميات'!A15)</f>
        <v>10</v>
      </c>
      <c r="B17" s="118" t="str">
        <f>IF('جدول الكميات'!C15="","",'جدول الكميات'!C15)</f>
        <v>توريد وتركيب بارتشن ثابت (قواطع داخلية للحمامات)</v>
      </c>
      <c r="C17" s="97" t="str">
        <f>IF('جدول الكميات'!D15="","",'جدول الكميات'!D15)</f>
        <v>عدد</v>
      </c>
      <c r="D17" s="98">
        <f>'جدول الكميات'!E15</f>
        <v>226</v>
      </c>
      <c r="E17" s="98">
        <f>'جدول الكميات'!F15</f>
        <v>400</v>
      </c>
      <c r="F17" s="124">
        <f>'مستخلص 2'!H17</f>
        <v>0</v>
      </c>
      <c r="G17" s="87" t="n">
        <v>67.8</v>
      </c>
      <c r="H17" s="99">
        <f>F17+G17</f>
        <v>67.8</v>
      </c>
      <c r="I17" s="125">
        <f>'مستخلص 2'!K17</f>
        <v>1</v>
      </c>
      <c r="J17" s="105" t="n"/>
      <c r="K17" s="119">
        <f>IF(J17="",I17,J17)</f>
        <v>1</v>
      </c>
      <c r="L17" s="124">
        <f>'مستخلص 2'!N17</f>
        <v>0</v>
      </c>
      <c r="M17" s="99">
        <f>N17-L17</f>
        <v>27120</v>
      </c>
      <c r="N17" s="98">
        <f>ROUND(H17*E17*K17,2)</f>
        <v>27120</v>
      </c>
      <c r="O17" s="50">
        <f>IF(D17*E17=0,0,N17/(D17*E17))</f>
        <v>0.3</v>
      </c>
      <c r="P17" s="75" t="n"/>
    </row>
    <row r="18" ht="24" customHeight="1">
      <c r="A18" s="52" t="inlineStr">
        <is>
          <t>إجمالي قيمة الأعمال</t>
        </is>
      </c>
      <c r="B18" s="52" t="n"/>
      <c r="C18" s="52" t="n"/>
      <c r="D18" s="52" t="n"/>
      <c r="E18" s="52" t="n"/>
      <c r="F18" s="52" t="n"/>
      <c r="G18" s="52" t="n"/>
      <c r="H18" s="52" t="n"/>
      <c r="I18" s="52" t="n"/>
      <c r="J18" s="52" t="n"/>
      <c r="K18" s="52" t="n"/>
      <c r="L18" s="90">
        <f>SUM(L8:L17)</f>
        <v>181362.5</v>
      </c>
      <c r="M18" s="90">
        <f>SUM(M8:M17)</f>
        <v>31020</v>
      </c>
      <c r="N18" s="90">
        <f>SUM(N8:N17)</f>
        <v>212382.5</v>
      </c>
      <c r="O18" s="54">
        <f>IF('الإعدادات'!$C$19=0,0,N18/'الإعدادات'!$C$19)</f>
        <v>0.7614650446555019</v>
      </c>
      <c r="P18" s="106" t="n"/>
    </row>
    <row r="20" ht="30" customHeight="1">
      <c r="A20" s="120" t="inlineStr">
        <is>
          <t>ملاحظات المستخلص</t>
        </is>
      </c>
      <c r="B20" s="120" t="n"/>
      <c r="C20" s="120" t="n"/>
      <c r="D20" s="120" t="n"/>
      <c r="E20" s="120" t="n"/>
      <c r="F20" s="120" t="n"/>
      <c r="G20" s="120" t="n"/>
      <c r="I20" s="52" t="inlineStr">
        <is>
          <t>البيان</t>
        </is>
      </c>
      <c r="J20" s="52" t="n"/>
      <c r="K20" s="52" t="n"/>
      <c r="L20" s="84" t="inlineStr">
        <is>
          <t>المستخلص السابق</t>
        </is>
      </c>
      <c r="M20" s="84" t="inlineStr">
        <is>
          <t>المستخلص الحالي</t>
        </is>
      </c>
      <c r="N20" s="84" t="inlineStr">
        <is>
          <t>إجمالي الأعمال</t>
        </is>
      </c>
    </row>
    <row r="21" ht="21" customHeight="1">
      <c r="A21" s="121" t="n"/>
      <c r="B21" s="75" t="n"/>
      <c r="C21" s="75" t="n"/>
      <c r="D21" s="75" t="n"/>
      <c r="E21" s="75" t="n"/>
      <c r="F21" s="75" t="n"/>
      <c r="G21" s="75" t="n"/>
      <c r="I21" s="26" t="inlineStr">
        <is>
          <t>إجمالي قيمة الأعمال</t>
        </is>
      </c>
      <c r="J21" s="26" t="n"/>
      <c r="K21" s="26" t="n"/>
      <c r="L21" s="89">
        <f>'مستخلص 2'!N21</f>
        <v>181362.5</v>
      </c>
      <c r="M21" s="27">
        <f>M18</f>
        <v>31020</v>
      </c>
      <c r="N21" s="27">
        <f>L21+M21</f>
        <v>212382.5</v>
      </c>
    </row>
    <row r="22" ht="21" customHeight="1">
      <c r="A22" s="75" t="n"/>
      <c r="B22" s="75" t="n"/>
      <c r="C22" s="75" t="n"/>
      <c r="D22" s="75" t="n"/>
      <c r="E22" s="75" t="n"/>
      <c r="F22" s="75" t="n"/>
      <c r="G22" s="75" t="n"/>
      <c r="I22" s="26" t="str">
        <f>"ضريبة القيمة المضافة ("&amp;TEXT('الإعدادات'!$C$18,"0%")&amp;")"</f>
        <v>ضريبة القيمة المضافة (15%)</v>
      </c>
      <c r="J22" s="26" t="n"/>
      <c r="K22" s="26" t="n"/>
      <c r="L22" s="89">
        <f>'مستخلص 2'!N22</f>
        <v>27204.38</v>
      </c>
      <c r="M22" s="27">
        <f>ROUND(M21*'الإعدادات'!$C$18,2)</f>
        <v>4653</v>
      </c>
      <c r="N22" s="27">
        <f>L22+M22</f>
        <v>31857.38</v>
      </c>
    </row>
    <row r="23" ht="21" customHeight="1">
      <c r="A23" s="75" t="n"/>
      <c r="B23" s="75" t="n"/>
      <c r="C23" s="75" t="n"/>
      <c r="D23" s="75" t="n"/>
      <c r="E23" s="75" t="n"/>
      <c r="F23" s="75" t="n"/>
      <c r="G23" s="75" t="n"/>
      <c r="I23" s="32" t="inlineStr">
        <is>
          <t>الإجمالي شامل الضريبة</t>
        </is>
      </c>
      <c r="J23" s="32" t="n"/>
      <c r="K23" s="32" t="n"/>
      <c r="L23" s="33">
        <f>'مستخلص 2'!N23</f>
        <v>208566.88</v>
      </c>
      <c r="M23" s="33">
        <f>ROUND(M21+M22,2)</f>
        <v>35673</v>
      </c>
      <c r="N23" s="33">
        <f>L23+M23</f>
        <v>244239.88</v>
      </c>
    </row>
    <row r="24" ht="21" customHeight="1">
      <c r="A24" s="75" t="n"/>
      <c r="B24" s="75" t="n"/>
      <c r="C24" s="75" t="n"/>
      <c r="D24" s="75" t="n"/>
      <c r="E24" s="75" t="n"/>
      <c r="F24" s="75" t="n"/>
      <c r="G24" s="75" t="n"/>
      <c r="I24" s="26" t="inlineStr">
        <is>
          <t>(-) خصم استرداد الدفعة المقدمة</t>
        </is>
      </c>
      <c r="J24" s="26" t="n"/>
      <c r="K24" s="26" t="n"/>
      <c r="L24" s="89">
        <f>'مستخلص 2'!N24</f>
        <v>18136.25</v>
      </c>
      <c r="M24" s="27">
        <f>'الدفعات المقدمة'!I27</f>
        <v>3102</v>
      </c>
      <c r="N24" s="27">
        <f>L24+M24</f>
        <v>21238.25</v>
      </c>
    </row>
    <row r="25" ht="21" customHeight="1">
      <c r="A25" s="75" t="n"/>
      <c r="B25" s="75" t="n"/>
      <c r="C25" s="75" t="n"/>
      <c r="D25" s="75" t="n"/>
      <c r="E25" s="75" t="n"/>
      <c r="F25" s="75" t="n"/>
      <c r="G25" s="75" t="n"/>
      <c r="I25" s="26" t="str">
        <f>"(-) خصم ضمان الأعمال ("&amp;TEXT('ضمان الأعمال'!$E$6,"0%")&amp;")"</f>
        <v>(-) خصم ضمان الأعمال (10%)</v>
      </c>
      <c r="J25" s="26" t="n"/>
      <c r="K25" s="26" t="n"/>
      <c r="L25" s="89">
        <f>'مستخلص 2'!N25</f>
        <v>18136.25</v>
      </c>
      <c r="M25" s="27">
        <f>'ضمان الأعمال'!I18</f>
        <v>3102</v>
      </c>
      <c r="N25" s="27">
        <f>L25+M25</f>
        <v>21238.25</v>
      </c>
    </row>
    <row r="26" ht="21" customHeight="1">
      <c r="A26" s="75" t="n"/>
      <c r="B26" s="75" t="n"/>
      <c r="C26" s="75" t="n"/>
      <c r="D26" s="75" t="n"/>
      <c r="E26" s="75" t="n"/>
      <c r="F26" s="75" t="n"/>
      <c r="G26" s="75" t="n"/>
      <c r="I26" s="26" t="inlineStr">
        <is>
          <t>(-) خصومات أخرى / غرامات / مواد مورّدة من المالك ✎</t>
        </is>
      </c>
      <c r="J26" s="26" t="n"/>
      <c r="K26" s="26" t="n"/>
      <c r="L26" s="89">
        <f>'مستخلص 2'!N26</f>
        <v>1500</v>
      </c>
      <c r="M26" s="87" t="n"/>
      <c r="N26" s="27">
        <f>L26+M26</f>
        <v>1500</v>
      </c>
    </row>
    <row r="27" ht="21" customHeight="1">
      <c r="A27" s="75" t="n"/>
      <c r="B27" s="75" t="n"/>
      <c r="C27" s="75" t="n"/>
      <c r="D27" s="75" t="n"/>
      <c r="E27" s="75" t="n"/>
      <c r="F27" s="75" t="n"/>
      <c r="G27" s="75" t="n"/>
      <c r="I27" s="26" t="inlineStr">
        <is>
          <t>إجمالي الخصومات</t>
        </is>
      </c>
      <c r="J27" s="26" t="n"/>
      <c r="K27" s="26" t="n"/>
      <c r="L27" s="89">
        <f>'مستخلص 2'!N27</f>
        <v>37772.5</v>
      </c>
      <c r="M27" s="27">
        <f>SUM(M24:M26)</f>
        <v>6204</v>
      </c>
      <c r="N27" s="27">
        <f>L27+M27</f>
        <v>43976.5</v>
      </c>
    </row>
    <row r="28" ht="21" customHeight="1">
      <c r="A28" s="75" t="n"/>
      <c r="B28" s="75" t="n"/>
      <c r="C28" s="75" t="n"/>
      <c r="D28" s="75" t="n"/>
      <c r="E28" s="75" t="n"/>
      <c r="F28" s="75" t="n"/>
      <c r="G28" s="75" t="n"/>
      <c r="I28" s="32" t="inlineStr">
        <is>
          <t>صافي قيمة المستخلص المستحق</t>
        </is>
      </c>
      <c r="J28" s="32" t="n"/>
      <c r="K28" s="32" t="n"/>
      <c r="L28" s="33">
        <f>'مستخلص 2'!N28</f>
        <v>170794.38</v>
      </c>
      <c r="M28" s="122">
        <f>ROUND(M23-M27,2)</f>
        <v>29469</v>
      </c>
      <c r="N28" s="33">
        <f>L28+M28</f>
        <v>200263.38</v>
      </c>
    </row>
    <row r="31">
      <c r="A31" s="77" t="str">
        <f>'الإعدادات'!B36</f>
        <v>مهندس الموقع (المقاول)</v>
      </c>
      <c r="B31" s="77" t="n"/>
      <c r="C31" s="77" t="str">
        <f>'الإعدادات'!B37</f>
        <v>مدير المشروع (المقاول)</v>
      </c>
      <c r="D31" s="77" t="n"/>
      <c r="E31" s="77" t="n"/>
      <c r="F31" s="77" t="n"/>
      <c r="G31" s="77" t="n"/>
      <c r="H31" s="77" t="str">
        <f>'الإعدادات'!B38</f>
        <v>المهندس المشرف (الاستشاري)</v>
      </c>
      <c r="I31" s="77" t="n"/>
      <c r="J31" s="77" t="n"/>
      <c r="K31" s="77" t="n"/>
      <c r="L31" s="77" t="n"/>
      <c r="M31" s="77" t="str">
        <f>'الإعدادات'!B39</f>
        <v>ممثل المالك</v>
      </c>
      <c r="N31" s="77" t="n"/>
      <c r="O31" s="77" t="n"/>
      <c r="P31" s="77" t="n"/>
    </row>
    <row r="32" ht="24" customHeight="1">
      <c r="A32" s="30" t="str">
        <f>IF('الإعدادات'!C36="","الاسم: ..................","الاسم: "&amp;'الإعدادات'!C36)</f>
        <v>الاسم: م. أحمد محمد</v>
      </c>
      <c r="B32" s="30" t="n"/>
      <c r="C32" s="30" t="str">
        <f>IF('الإعدادات'!C37="","الاسم: ..................","الاسم: "&amp;'الإعدادات'!C37)</f>
        <v>الاسم: م. خالد عبدالله</v>
      </c>
      <c r="D32" s="30" t="n"/>
      <c r="E32" s="30" t="n"/>
      <c r="F32" s="30" t="n"/>
      <c r="G32" s="30" t="n"/>
      <c r="H32" s="30" t="str">
        <f>IF('الإعدادات'!C38="","الاسم: ..................","الاسم: "&amp;'الإعدادات'!C38)</f>
        <v>الاسم: م. سامي علي</v>
      </c>
      <c r="I32" s="30" t="n"/>
      <c r="J32" s="30" t="n"/>
      <c r="K32" s="30" t="n"/>
      <c r="L32" s="30" t="n"/>
      <c r="M32" s="30" t="str">
        <f>IF('الإعدادات'!C39="","الاسم: ..................","الاسم: "&amp;'الإعدادات'!C39)</f>
        <v>الاسم: أ. فهد سعد</v>
      </c>
      <c r="N32" s="30" t="n"/>
      <c r="O32" s="30" t="n"/>
      <c r="P32" s="30" t="n"/>
    </row>
    <row r="33" ht="24" customHeight="1">
      <c r="A33" s="30" t="inlineStr">
        <is>
          <t>التوقيع: ..............................</t>
        </is>
      </c>
      <c r="B33" s="30" t="n"/>
      <c r="C33" s="30" t="inlineStr">
        <is>
          <t>التوقيع: ..............................</t>
        </is>
      </c>
      <c r="D33" s="30" t="n"/>
      <c r="E33" s="30" t="n"/>
      <c r="F33" s="30" t="n"/>
      <c r="G33" s="30" t="n"/>
      <c r="H33" s="30" t="inlineStr">
        <is>
          <t>التوقيع: ..............................</t>
        </is>
      </c>
      <c r="I33" s="30" t="n"/>
      <c r="J33" s="30" t="n"/>
      <c r="K33" s="30" t="n"/>
      <c r="L33" s="30" t="n"/>
      <c r="M33" s="30" t="inlineStr">
        <is>
          <t>التوقيع: ..............................</t>
        </is>
      </c>
      <c r="N33" s="30" t="n"/>
      <c r="O33" s="30" t="n"/>
      <c r="P33" s="30" t="n"/>
    </row>
    <row r="34" ht="24" customHeight="1">
      <c r="A34" s="30" t="inlineStr">
        <is>
          <t>التاريخ:      /      /</t>
        </is>
      </c>
      <c r="B34" s="30" t="n"/>
      <c r="C34" s="30" t="inlineStr">
        <is>
          <t>التاريخ:      /      /</t>
        </is>
      </c>
      <c r="D34" s="30" t="n"/>
      <c r="E34" s="30" t="n"/>
      <c r="F34" s="30" t="n"/>
      <c r="G34" s="30" t="n"/>
      <c r="H34" s="30" t="inlineStr">
        <is>
          <t>التاريخ:      /      /</t>
        </is>
      </c>
      <c r="I34" s="30" t="n"/>
      <c r="J34" s="30" t="n"/>
      <c r="K34" s="30" t="n"/>
      <c r="L34" s="30" t="n"/>
      <c r="M34" s="30" t="inlineStr">
        <is>
          <t>التاريخ:      /      /</t>
        </is>
      </c>
      <c r="N34" s="30" t="n"/>
      <c r="O34" s="30" t="n"/>
      <c r="P34" s="30" t="n"/>
    </row>
  </sheetData>
  <sheetProtection selectLockedCells="0" selectUnlockedCells="0" sheet="1" objects="0" insertRows="1" insertHyperlinks="1" autoFilter="0" scenarios="0" formatColumns="1" deleteColumns="1" insertColumns="1" pivotTables="1" deleteRows="1" formatCells="1" formatRows="1" sort="0" password="FFA5"/>
  <mergeCells count="54">
    <mergeCell ref="C34:G34"/>
    <mergeCell ref="J5:K5"/>
    <mergeCell ref="I22:K22"/>
    <mergeCell ref="I28:K28"/>
    <mergeCell ref="C5:D5"/>
    <mergeCell ref="C33:G33"/>
    <mergeCell ref="A20:G20"/>
    <mergeCell ref="P6:P7"/>
    <mergeCell ref="E5:I5"/>
    <mergeCell ref="H4:I4"/>
    <mergeCell ref="A6:A7"/>
    <mergeCell ref="M32:P32"/>
    <mergeCell ref="I21:K21"/>
    <mergeCell ref="H31:L31"/>
    <mergeCell ref="C4:D4"/>
    <mergeCell ref="F3:G3"/>
    <mergeCell ref="L3:M3"/>
    <mergeCell ref="E4:F4"/>
    <mergeCell ref="H34:L34"/>
    <mergeCell ref="I24:K24"/>
    <mergeCell ref="I23:K23"/>
    <mergeCell ref="M34:P34"/>
    <mergeCell ref="E6:E7"/>
    <mergeCell ref="C31:G31"/>
    <mergeCell ref="I20:K20"/>
    <mergeCell ref="L5:P5"/>
    <mergeCell ref="B6:B7"/>
    <mergeCell ref="L6:N6"/>
    <mergeCell ref="A34:B34"/>
    <mergeCell ref="J4:K4"/>
    <mergeCell ref="A18:K18"/>
    <mergeCell ref="A1:P1"/>
    <mergeCell ref="A33:B33"/>
    <mergeCell ref="H32:L32"/>
    <mergeCell ref="A21:G28"/>
    <mergeCell ref="M33:P33"/>
    <mergeCell ref="A32:B32"/>
    <mergeCell ref="C3:E3"/>
    <mergeCell ref="N4:P4"/>
    <mergeCell ref="H3:I3"/>
    <mergeCell ref="I6:K6"/>
    <mergeCell ref="M31:P31"/>
    <mergeCell ref="F6:H6"/>
    <mergeCell ref="C32:G32"/>
    <mergeCell ref="I27:K27"/>
    <mergeCell ref="H33:L33"/>
    <mergeCell ref="I26:K26"/>
    <mergeCell ref="C6:C7"/>
    <mergeCell ref="O6:O7"/>
    <mergeCell ref="D6:D7"/>
    <mergeCell ref="A31:B31"/>
    <mergeCell ref="N3:P3"/>
    <mergeCell ref="I25:K25"/>
    <mergeCell ref="A2:P2"/>
  </mergeCells>
  <conditionalFormatting sqref="D8:O17">
    <cfRule type="expression" priority="1" dxfId="4" stopIfTrue="1">
      <formula>$B8=""</formula>
    </cfRule>
  </conditionalFormatting>
  <conditionalFormatting sqref="H8:H17">
    <cfRule type="expression" priority="2" dxfId="2">
      <formula>AND(D8&gt;0,H8&gt;D8)</formula>
    </cfRule>
  </conditionalFormatting>
  <conditionalFormatting sqref="O8:O17">
    <cfRule type="expression" priority="3" dxfId="1">
      <formula>AND(D8&gt;0,H8&gt;=D8,O8&lt;1)</formula>
    </cfRule>
    <cfRule type="dataBar" priority="4">
      <dataBar>
        <cfvo type="num" val="0"/>
        <cfvo type="num" val="1"/>
        <color rgb="FF2E7D7A"/>
      </dataBar>
    </cfRule>
  </conditionalFormatting>
  <dataValidations count="4">
    <dataValidation sqref="H4" showDropDown="0" showInputMessage="0" showErrorMessage="1" allowBlank="1" errorTitle="قيمة غير مسموحة" error="من فضلك اختر قيمة من القائمة المنسدلة." type="list" errorStyle="stop">
      <formula1>"جاري,ختامي"</formula1>
    </dataValidation>
    <dataValidation sqref="E4" showDropDown="0" showInputMessage="0" showErrorMessage="1" allowBlank="1" errorTitle="تاريخ غير صحيح" error="أدخل تاريخاً صحيحاً (مثال: 2025/10/08)" type="date" operator="greaterThan">
      <formula1>36526</formula1>
    </dataValidation>
    <dataValidation sqref="L4:N4" showDropDown="0" showInputMessage="0" showErrorMessage="1" allowBlank="1" errorTitle="تاريخ غير صحيح" error="أدخل تاريخاً صحيحاً (مثال: 2025/10/08)" type="date" operator="greaterThan">
      <formula1>36526</formula1>
    </dataValidation>
    <dataValidation sqref="J8:J17" showDropDown="0" showInputMessage="1" showErrorMessage="1" allowBlank="1" errorTitle="قيمة غير صحيحة" error="أدخل قيمة بين 0 و 1" promptTitle="إرشاد" prompt="فارغة = نفس النسبة السابقة. مثال: 1000 شباك مركبة لكن تنقصها الإكسسوارات: الكمية 1000 والنسبة 70%. عند الاستكمال اكتب 100%" type="decimal" operator="between">
      <formula1>0</formula1>
      <formula2>1</formula2>
    </dataValidation>
  </dataValidations>
  <hyperlinks>
    <hyperlink xmlns:r="http://schemas.openxmlformats.org/officeDocument/2006/relationships" ref="A2" r:id="rId1"/>
    <hyperlink ref="A3" location="'لوحة التحكم'!A1" display="🏠"/>
    <hyperlink ref="B3" location="'سجل المستخلصات'!A1" display="🗂 سجل المستخلصات"/>
    <hyperlink ref="C3" location="'جدول الكميات'!A1" display="📋 BOQ"/>
    <hyperlink ref="F3" location="'الدفعات المقدمة'!A1" display="💵 المقدمة"/>
    <hyperlink ref="H3" location="'ضمان الأعمال'!A1" display="🔒 الضمان"/>
    <hyperlink ref="L3" location="'مستخلص 2'!A1" display="◀ المستخلص السابق (2)"/>
    <hyperlink ref="N3" location="'⭐ النسخة الكاملة'!A1" display="🔒 مستخلص 4 حتى 25 — النسخة الكاملة"/>
  </hyperlinks>
  <printOptions horizontalCentered="1"/>
  <pageMargins left="0.3" right="0.3" top="0.4" bottom="0.4" header="0.5" footer="0.5"/>
  <pageSetup orientation="landscape" paperSize="9" fitToHeight="0" fitToWidth="1"/>
  <headerFooter>
    <oddHeader/>
    <oddFooter>&amp;Lنسخة مجانية - accopro.net&amp;Cصفحة &amp;P من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2026-09-29T06:44:47Z</dcterms:created>
  <dcterms:modified xsi:type="dcterms:W3CDTF">2026-09-29T06:44:47Z</dcterms:modified>
</cp:coreProperties>
</file>