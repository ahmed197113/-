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طباعة السند" sheetId="1" state="visible" r:id="rId3"/>
    <sheet name="السندات" sheetId="2" state="visible" r:id="rId4"/>
    <sheet name="بنود السندات" sheetId="3" state="visible" r:id="rId5"/>
    <sheet name="الملخص" sheetId="4" state="visible" r:id="rId6"/>
    <sheet name="الإعدادات" sheetId="5" state="visible" r:id="rId7"/>
    <sheet name="تفقيط" sheetId="6" state="hidden" r:id="rId8"/>
  </sheets>
  <definedNames>
    <definedName function="false" hidden="true" localSheetId="1" name="_xlnm._FilterDatabase" vbProcedure="false">السندات!$A$4:$O$504</definedName>
    <definedName function="false" hidden="true" localSheetId="2" name="_xlnm._FilterDatabase" vbProcedure="false">'بنود السندات'!$A$4:$J$3004</definedName>
    <definedName function="false" hidden="false" localSheetId="0" name="_xlnm.Print_Area" vbProcedure="false">'طباعة السند'!$A$1:$J$38</definedName>
    <definedName function="false" hidden="false" name="ACCOUNTANT" vbProcedure="false">الإعدادات!$C$16</definedName>
    <definedName function="false" hidden="false" name="ACCOUNTS" vbProcedure="false">OFFSET(الإعدادات!$G$5,0,0,MAX(1,COUNTA(الإعدادات!$G$5:$G$44)),1)</definedName>
    <definedName function="false" hidden="false" name="BRANCHES" vbProcedure="false">OFFSET(الإعدادات!$E$5,0,0,MAX(1,COUNTA(الإعدادات!$E$5:$E$44)),1)</definedName>
    <definedName function="false" hidden="false" name="CASHIER" vbProcedure="false">الإعدادات!$C$15</definedName>
    <definedName function="false" hidden="false" name="CITY" vbProcedure="false">الإعدادات!$C$8</definedName>
    <definedName function="false" hidden="false" name="CO_AR" vbProcedure="false">الإعدادات!$C$5</definedName>
    <definedName function="false" hidden="false" name="CO_EN" vbProcedure="false">الإعدادات!$C$6</definedName>
    <definedName function="false" hidden="false" name="CR" vbProcedure="false">الإعدادات!$C$9</definedName>
    <definedName function="false" hidden="false" name="CUR" vbProcedure="false">الإعدادات!$C$11</definedName>
    <definedName function="false" hidden="false" name="CUR_EN" vbProcedure="false">الإعدادات!$C$12</definedName>
    <definedName function="false" hidden="false" name="DEPT" vbProcedure="false">الإعدادات!$C$7</definedName>
    <definedName function="false" hidden="false" name="GM" vbProcedure="false">الإعدادات!$C$17</definedName>
    <definedName function="false" hidden="false" name="PAY_METHODS" vbProcedure="false">OFFSET(الإعدادات!$I$5,0,0,MAX(1,COUNTA(الإعدادات!$I$5:$I$7)),1)</definedName>
    <definedName function="false" hidden="false" name="PREFIX" vbProcedure="false">الإعدادات!$C$13</definedName>
    <definedName function="false" hidden="false" name="START_NO" vbProcedure="false">الإعدادات!$C$14</definedName>
    <definedName function="false" hidden="false" name="VAT" vbProcedure="false">الإعدادات!$C$10</definedName>
    <definedName function="false" hidden="false" name="V_NOS" vbProcedure="false">OFFSET(السندات!$A$5,0,0,MAX(1,COUNT(السندات!$A$5:$A$504)),1)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3" authorId="0">
      <text>
        <r>
          <rPr>
            <sz val="10"/>
            <rFont val="FreeSans"/>
            <family val="2"/>
          </rPr>
          <t xml:space="preserve">اختر رقم السند من القائمة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اتركها فارغة لعرض آخر سند تلقائياً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FreeSans"/>
            <family val="2"/>
          </rPr>
          <t xml:space="preserve">السند الأول يأخذ هذا الرقم، وكل سند جديد = السابق + </t>
        </r>
        <r>
          <rPr>
            <sz val="10"/>
            <rFont val="Arial"/>
            <family val="2"/>
          </rPr>
          <t xml:space="preserve">1</t>
        </r>
      </text>
    </comment>
  </commentList>
</comments>
</file>

<file path=xl/sharedStrings.xml><?xml version="1.0" encoding="utf-8"?>
<sst xmlns="http://schemas.openxmlformats.org/spreadsheetml/2006/main" count="4212" uniqueCount="4168">
  <si>
    <t xml:space="preserve">🎛 لوحة التحكم (لا تُطبع)</t>
  </si>
  <si>
    <t xml:space="preserve">اختر رقم السند ⬅</t>
  </si>
  <si>
    <t xml:space="preserve">نوع النسخة</t>
  </si>
  <si>
    <t xml:space="preserve">الأصل</t>
  </si>
  <si>
    <t xml:space="preserve">رقم السند  No.</t>
  </si>
  <si>
    <t xml:space="preserve">السند المعروض</t>
  </si>
  <si>
    <t xml:space="preserve">صف السند في السجل</t>
  </si>
  <si>
    <t xml:space="preserve">ترتيبه</t>
  </si>
  <si>
    <t xml:space="preserve">التاريخ الهجري</t>
  </si>
  <si>
    <t xml:space="preserve">التاريخ :</t>
  </si>
  <si>
    <t xml:space="preserve">DATE :</t>
  </si>
  <si>
    <t xml:space="preserve">📊 الملخص والإحصائيات</t>
  </si>
  <si>
    <t xml:space="preserve">ادفعوا لأمر :</t>
  </si>
  <si>
    <t xml:space="preserve">PAY TO :</t>
  </si>
  <si>
    <t xml:space="preserve">⚙ الإعدادات</t>
  </si>
  <si>
    <t xml:space="preserve">مبلغ وقدره :</t>
  </si>
  <si>
    <t xml:space="preserve">The Sum of :</t>
  </si>
  <si>
    <t xml:space="preserve">وذلك مقابل :</t>
  </si>
  <si>
    <t xml:space="preserve">Being :</t>
  </si>
  <si>
    <t xml:space="preserve">• الخلية الصفراء M3: اختيار السند</t>
  </si>
  <si>
    <t xml:space="preserve">طريقة الدفع :</t>
  </si>
  <si>
    <t xml:space="preserve">Method :</t>
  </si>
  <si>
    <t xml:space="preserve">• تُطبع منطقة السند فقط على ورقة A4</t>
  </si>
  <si>
    <t xml:space="preserve">• Ctrl+P للطباعة مباشرة</t>
  </si>
  <si>
    <t xml:space="preserve">مدين</t>
  </si>
  <si>
    <t xml:space="preserve">دائن</t>
  </si>
  <si>
    <t xml:space="preserve">البيـــــــــــــــــان</t>
  </si>
  <si>
    <t xml:space="preserve">الفرع</t>
  </si>
  <si>
    <t xml:space="preserve">• البنود من ورقة «بنود السندات» (حتى 12 بنداً)</t>
  </si>
  <si>
    <t xml:space="preserve">هـ</t>
  </si>
  <si>
    <t xml:space="preserve">المجموع</t>
  </si>
  <si>
    <t xml:space="preserve">اسم المستلم</t>
  </si>
  <si>
    <t xml:space="preserve">أمين الصندوق</t>
  </si>
  <si>
    <t xml:space="preserve">المحاسب</t>
  </si>
  <si>
    <t xml:space="preserve">المدير العام</t>
  </si>
  <si>
    <t xml:space="preserve">التوقيع</t>
  </si>
  <si>
    <t xml:space="preserve">🧾 سجل أوامر الدفع</t>
  </si>
  <si>
    <t xml:space="preserve">اكتب في الأعمدة الصفراء فقط — رقم السند والإجماليات والحالة والتفقيط تتولد تلقائياً</t>
  </si>
  <si>
    <t xml:space="preserve">🖨 طباعة السند</t>
  </si>
  <si>
    <t xml:space="preserve">رقم السند</t>
  </si>
  <si>
    <t xml:space="preserve">المرجع</t>
  </si>
  <si>
    <t xml:space="preserve">التاريخ</t>
  </si>
  <si>
    <t xml:space="preserve">ادفعوا لأمر</t>
  </si>
  <si>
    <t xml:space="preserve">طريقة الدفع</t>
  </si>
  <si>
    <t xml:space="preserve">رقم الشيك / الحوالة</t>
  </si>
  <si>
    <t xml:space="preserve">وذلك مقابل</t>
  </si>
  <si>
    <t xml:space="preserve">ملاحظة أسفل السند</t>
  </si>
  <si>
    <t xml:space="preserve">إجمالي المدين</t>
  </si>
  <si>
    <t xml:space="preserve">إجمالي الدائن</t>
  </si>
  <si>
    <t xml:space="preserve">الفرق</t>
  </si>
  <si>
    <t xml:space="preserve">عدد البنود</t>
  </si>
  <si>
    <t xml:space="preserve">الحالة</t>
  </si>
  <si>
    <t xml:space="preserve">المبلغ كتابةً (تلقائي)</t>
  </si>
  <si>
    <t xml:space="preserve">حيدر شماع</t>
  </si>
  <si>
    <t xml:space="preserve">نقدي</t>
  </si>
  <si>
    <t xml:space="preserve">ذمم</t>
  </si>
  <si>
    <t xml:space="preserve">رد ذمم حيدر شماع للمالك</t>
  </si>
  <si>
    <t xml:space="preserve">مؤسسة البناء الحديث</t>
  </si>
  <si>
    <t xml:space="preserve">شيك</t>
  </si>
  <si>
    <t xml:space="preserve">000457</t>
  </si>
  <si>
    <t xml:space="preserve">دفعة مقدمة — توريد حديد مشروع العزيزية</t>
  </si>
  <si>
    <t xml:space="preserve">دفعة أولى من عقد التوريد</t>
  </si>
  <si>
    <t xml:space="preserve">سالم الحربي</t>
  </si>
  <si>
    <t xml:space="preserve">شركة الوقود المتحدة</t>
  </si>
  <si>
    <t xml:space="preserve">تحويل بنكي</t>
  </si>
  <si>
    <t xml:space="preserve">TRX-88213</t>
  </si>
  <si>
    <t xml:space="preserve">محروقات معدات شهر أغسطس</t>
  </si>
  <si>
    <t xml:space="preserve">شامل ضريبة القيمة المضافة</t>
  </si>
  <si>
    <t xml:space="preserve">محمد القرشي</t>
  </si>
  <si>
    <t xml:space="preserve">📋 بنود السندات (مدين / دائن)</t>
  </si>
  <si>
    <t xml:space="preserve">اختر رقم السند ثم الفرع والبيان واكتب المبلغ في خانة المدين أو الدائن — يمكن إضافة بنود لأي عدد من السندات</t>
  </si>
  <si>
    <t xml:space="preserve">🧾 السجل</t>
  </si>
  <si>
    <t xml:space="preserve">م</t>
  </si>
  <si>
    <t xml:space="preserve">مفتاح</t>
  </si>
  <si>
    <t xml:space="preserve">البيان / الحساب</t>
  </si>
  <si>
    <t xml:space="preserve">تاريخ السند</t>
  </si>
  <si>
    <t xml:space="preserve">المستفيد</t>
  </si>
  <si>
    <t xml:space="preserve">تنبيه</t>
  </si>
  <si>
    <t xml:space="preserve">مكة</t>
  </si>
  <si>
    <t xml:space="preserve">ذمم حيدر شماع</t>
  </si>
  <si>
    <t xml:space="preserve">الرياض 940</t>
  </si>
  <si>
    <t xml:space="preserve">مواد ومشتريات مشاريع</t>
  </si>
  <si>
    <t xml:space="preserve">جدة</t>
  </si>
  <si>
    <t xml:space="preserve">البنك الأهلي</t>
  </si>
  <si>
    <t xml:space="preserve">الرياض</t>
  </si>
  <si>
    <t xml:space="preserve">وقود ومحروقات</t>
  </si>
  <si>
    <t xml:space="preserve">ضريبة القيمة المضافة (مدخلات)</t>
  </si>
  <si>
    <t xml:space="preserve">مصرف الراجحي</t>
  </si>
  <si>
    <t xml:space="preserve">📊 ملخص أوامر الدفع</t>
  </si>
  <si>
    <t xml:space="preserve">كل الأرقام تتحدث تلقائياً من سجل السندات والبنود</t>
  </si>
  <si>
    <t xml:space="preserve">📋 البنود</t>
  </si>
  <si>
    <t xml:space="preserve">السنة ⬅</t>
  </si>
  <si>
    <t xml:space="preserve">عدد السندات</t>
  </si>
  <si>
    <t xml:space="preserve">إجمالي المدفوعات</t>
  </si>
  <si>
    <t xml:space="preserve">متوسط السند</t>
  </si>
  <si>
    <t xml:space="preserve">أكبر سند</t>
  </si>
  <si>
    <t xml:space="preserve">سندات غير متوازنة</t>
  </si>
  <si>
    <t xml:space="preserve">الشهر</t>
  </si>
  <si>
    <t xml:space="preserve">المبلغ</t>
  </si>
  <si>
    <t xml:space="preserve">العدد</t>
  </si>
  <si>
    <t xml:space="preserve">يناير</t>
  </si>
  <si>
    <t xml:space="preserve">فبراير</t>
  </si>
  <si>
    <t xml:space="preserve">مارس</t>
  </si>
  <si>
    <t xml:space="preserve">أبريل</t>
  </si>
  <si>
    <t xml:space="preserve">مايو</t>
  </si>
  <si>
    <t xml:space="preserve">يونيو</t>
  </si>
  <si>
    <t xml:space="preserve">يوليو</t>
  </si>
  <si>
    <t xml:space="preserve">أغسطس</t>
  </si>
  <si>
    <t xml:space="preserve">سبتمبر</t>
  </si>
  <si>
    <t xml:space="preserve">أكتوبر</t>
  </si>
  <si>
    <t xml:space="preserve">الإجمالي</t>
  </si>
  <si>
    <t xml:space="preserve">نوفمبر</t>
  </si>
  <si>
    <t xml:space="preserve">ديسمبر</t>
  </si>
  <si>
    <t xml:space="preserve">⚙ الإعدادات وبيانات الشركة</t>
  </si>
  <si>
    <t xml:space="preserve">الخلايا الصفراء فقط قابلة للتعديل — أي تغيير هنا ينعكس تلقائياً على كل السندات</t>
  </si>
  <si>
    <t xml:space="preserve">البند</t>
  </si>
  <si>
    <t xml:space="preserve">القيمة</t>
  </si>
  <si>
    <t xml:space="preserve">الفروع</t>
  </si>
  <si>
    <t xml:space="preserve">الحسابات / البيان</t>
  </si>
  <si>
    <t xml:space="preserve">طرق الدفع</t>
  </si>
  <si>
    <t xml:space="preserve">اسم الشركة (عربي)</t>
  </si>
  <si>
    <t xml:space="preserve">شركة الخطوط المعدنية للمقاولات العامة</t>
  </si>
  <si>
    <t xml:space="preserve">اسم الشركة (إنجليزي)</t>
  </si>
  <si>
    <t xml:space="preserve">Metal Lines General Contracting Co.</t>
  </si>
  <si>
    <t xml:space="preserve">الصندوق الرئيسي</t>
  </si>
  <si>
    <t xml:space="preserve">الإدارة</t>
  </si>
  <si>
    <t xml:space="preserve">الإدارة المالية</t>
  </si>
  <si>
    <t xml:space="preserve">المدينة</t>
  </si>
  <si>
    <t xml:space="preserve">مكة المكرمة</t>
  </si>
  <si>
    <t xml:space="preserve">المدينة المنورة</t>
  </si>
  <si>
    <t xml:space="preserve">السجل التجاري</t>
  </si>
  <si>
    <t xml:space="preserve">4031000000</t>
  </si>
  <si>
    <t xml:space="preserve">الدمام</t>
  </si>
  <si>
    <t xml:space="preserve">عهد وسلف موظفين</t>
  </si>
  <si>
    <t xml:space="preserve">⚠ لا تغيّر أسماء طرق الدفع (يعتمد عليها عنوان السند)</t>
  </si>
  <si>
    <t xml:space="preserve">الرقم الضريبي</t>
  </si>
  <si>
    <t xml:space="preserve">300000000000003</t>
  </si>
  <si>
    <t xml:space="preserve">الطائف</t>
  </si>
  <si>
    <t xml:space="preserve">مصروفات عمومية وإدارية</t>
  </si>
  <si>
    <t xml:space="preserve">اسم العملة (للتفقيط)</t>
  </si>
  <si>
    <t xml:space="preserve">ريال سعودي</t>
  </si>
  <si>
    <t xml:space="preserve">رواتب وأجور</t>
  </si>
  <si>
    <t xml:space="preserve">رمز العملة</t>
  </si>
  <si>
    <t xml:space="preserve">S.R</t>
  </si>
  <si>
    <t xml:space="preserve">بادئة رقم السند</t>
  </si>
  <si>
    <t xml:space="preserve">CP</t>
  </si>
  <si>
    <t xml:space="preserve">مقاولو الباطن</t>
  </si>
  <si>
    <t xml:space="preserve">رقم أول سند</t>
  </si>
  <si>
    <t xml:space="preserve">إيجارات</t>
  </si>
  <si>
    <t xml:space="preserve">احمد عبدالعظيم</t>
  </si>
  <si>
    <t xml:space="preserve">صيانة معدات</t>
  </si>
  <si>
    <t xml:space="preserve">جاري المالك</t>
  </si>
  <si>
    <t xml:space="preserve">طريقة الاستخدام — عدة سندات في نفس الجلسة</t>
  </si>
  <si>
    <t xml:space="preserve">1</t>
  </si>
  <si>
    <t xml:space="preserve">ورقة «السندات»: اكتب التاريخ واسم المستفيد في أول صف فارغ — رقم السند يتولد تلقائياً.</t>
  </si>
  <si>
    <t xml:space="preserve">2</t>
  </si>
  <si>
    <t xml:space="preserve">ورقة «بنود السندات»: اختر رقم السند من القائمة ثم الفرع والبيان والمبلغ (مدين أو دائن). أضف أي عدد من البنود.</t>
  </si>
  <si>
    <t xml:space="preserve">3</t>
  </si>
  <si>
    <t xml:space="preserve">ورقة «طباعة السند»: اختر رقم السند من الخلية الصفراء — كل البيانات والتفقيط والهجري تمتلئ تلقائياً — ثم اطبع (Ctrl+P).</t>
  </si>
  <si>
    <t xml:space="preserve">4</t>
  </si>
  <si>
    <t xml:space="preserve">لسند آخر كرّر الخطوات 1→3؛ كل السندات محفوظة في السجل ويمكن إعادة طباعة أي سند في أي وقت.</t>
  </si>
  <si>
    <t xml:space="preserve">✔</t>
  </si>
  <si>
    <t xml:space="preserve">يظهر «متوازن ✔» عندما يتساوى المدين مع الدائن، و«غير متوازن ✘» باللون الأحمر لو في فرق.</t>
  </si>
  <si>
    <t xml:space="preserve">★</t>
  </si>
  <si>
    <t xml:space="preserve">العنوان يتغير تلقائياً حسب طريقة الدفع: أمر دفع نقدي / أمر دفع بشيك / أمر تحويل بنكي.</t>
  </si>
  <si>
    <t xml:space="preserve">اترك خلية الاختيار في ورقة الطباعة فارغة ليظهر آخر سند تم إدخاله تلقائياً.</t>
  </si>
  <si>
    <t xml:space="preserve">الخلايا الصفراء = إدخال • الخلايا الرمادية = معادلات تلقائية لا تُعدّل.</t>
  </si>
  <si>
    <t xml:space="preserve">الرقم</t>
  </si>
  <si>
    <t xml:space="preserve">آحاد</t>
  </si>
  <si>
    <t xml:space="preserve">آلاف</t>
  </si>
  <si>
    <t xml:space="preserve">ملايين</t>
  </si>
  <si>
    <t xml:space="preserve">هللات</t>
  </si>
  <si>
    <t xml:space="preserve">واحد</t>
  </si>
  <si>
    <t xml:space="preserve">ألف</t>
  </si>
  <si>
    <t xml:space="preserve">مليون</t>
  </si>
  <si>
    <t xml:space="preserve">هللة واحدة</t>
  </si>
  <si>
    <t xml:space="preserve">اثنان</t>
  </si>
  <si>
    <t xml:space="preserve">ألفان</t>
  </si>
  <si>
    <t xml:space="preserve">مليونان</t>
  </si>
  <si>
    <t xml:space="preserve">هللتان</t>
  </si>
  <si>
    <t xml:space="preserve">ثلاثة</t>
  </si>
  <si>
    <t xml:space="preserve">ثلاثة آلاف</t>
  </si>
  <si>
    <t xml:space="preserve">ثلاثة ملايين</t>
  </si>
  <si>
    <t xml:space="preserve">ثلاثة هللات</t>
  </si>
  <si>
    <t xml:space="preserve">أربعة</t>
  </si>
  <si>
    <t xml:space="preserve">أربعة آلاف</t>
  </si>
  <si>
    <t xml:space="preserve">أربعة ملايين</t>
  </si>
  <si>
    <t xml:space="preserve">أربعة هللات</t>
  </si>
  <si>
    <t xml:space="preserve">خمسة</t>
  </si>
  <si>
    <t xml:space="preserve">خمسة آلاف</t>
  </si>
  <si>
    <t xml:space="preserve">خمسة ملايين</t>
  </si>
  <si>
    <t xml:space="preserve">خمسة هللات</t>
  </si>
  <si>
    <t xml:space="preserve">ستة</t>
  </si>
  <si>
    <t xml:space="preserve">ستة آلاف</t>
  </si>
  <si>
    <t xml:space="preserve">ستة ملايين</t>
  </si>
  <si>
    <t xml:space="preserve">ستة هللات</t>
  </si>
  <si>
    <t xml:space="preserve">سبعة</t>
  </si>
  <si>
    <t xml:space="preserve">سبعة آلاف</t>
  </si>
  <si>
    <t xml:space="preserve">سبعة ملايين</t>
  </si>
  <si>
    <t xml:space="preserve">سبعة هللات</t>
  </si>
  <si>
    <t xml:space="preserve">ثمانية</t>
  </si>
  <si>
    <t xml:space="preserve">ثمانية آلاف</t>
  </si>
  <si>
    <t xml:space="preserve">ثمانية ملايين</t>
  </si>
  <si>
    <t xml:space="preserve">ثمانية هللات</t>
  </si>
  <si>
    <t xml:space="preserve">تسعة</t>
  </si>
  <si>
    <t xml:space="preserve">تسعة آلاف</t>
  </si>
  <si>
    <t xml:space="preserve">تسعة ملايين</t>
  </si>
  <si>
    <t xml:space="preserve">تسعة هللات</t>
  </si>
  <si>
    <t xml:space="preserve">عشرة</t>
  </si>
  <si>
    <t xml:space="preserve">عشرة آلاف</t>
  </si>
  <si>
    <t xml:space="preserve">عشرة ملايين</t>
  </si>
  <si>
    <t xml:space="preserve">عشرة هللات</t>
  </si>
  <si>
    <t xml:space="preserve">أحد عشر</t>
  </si>
  <si>
    <t xml:space="preserve">أحد عشر ألفاً</t>
  </si>
  <si>
    <t xml:space="preserve">أحد عشر مليوناً</t>
  </si>
  <si>
    <t xml:space="preserve">أحد عشر هللة</t>
  </si>
  <si>
    <t xml:space="preserve">اثنا عشر</t>
  </si>
  <si>
    <t xml:space="preserve">اثنا عشر ألفاً</t>
  </si>
  <si>
    <t xml:space="preserve">اثنا عشر مليوناً</t>
  </si>
  <si>
    <t xml:space="preserve">اثنا عشر هللة</t>
  </si>
  <si>
    <t xml:space="preserve">ثلاثة عشر</t>
  </si>
  <si>
    <t xml:space="preserve">ثلاثة عشر ألفاً</t>
  </si>
  <si>
    <t xml:space="preserve">ثلاثة عشر مليوناً</t>
  </si>
  <si>
    <t xml:space="preserve">ثلاثة عشر هللة</t>
  </si>
  <si>
    <t xml:space="preserve">أربعة عشر</t>
  </si>
  <si>
    <t xml:space="preserve">أربعة عشر ألفاً</t>
  </si>
  <si>
    <t xml:space="preserve">أربعة عشر مليوناً</t>
  </si>
  <si>
    <t xml:space="preserve">أربعة عشر هللة</t>
  </si>
  <si>
    <t xml:space="preserve">خمسة عشر</t>
  </si>
  <si>
    <t xml:space="preserve">خمسة عشر ألفاً</t>
  </si>
  <si>
    <t xml:space="preserve">خمسة عشر مليوناً</t>
  </si>
  <si>
    <t xml:space="preserve">خمسة عشر هللة</t>
  </si>
  <si>
    <t xml:space="preserve">ستة عشر</t>
  </si>
  <si>
    <t xml:space="preserve">ستة عشر ألفاً</t>
  </si>
  <si>
    <t xml:space="preserve">ستة عشر مليوناً</t>
  </si>
  <si>
    <t xml:space="preserve">ستة عشر هللة</t>
  </si>
  <si>
    <t xml:space="preserve">سبعة عشر</t>
  </si>
  <si>
    <t xml:space="preserve">سبعة عشر ألفاً</t>
  </si>
  <si>
    <t xml:space="preserve">سبعة عشر مليوناً</t>
  </si>
  <si>
    <t xml:space="preserve">سبعة عشر هللة</t>
  </si>
  <si>
    <t xml:space="preserve">ثمانية عشر</t>
  </si>
  <si>
    <t xml:space="preserve">ثمانية عشر ألفاً</t>
  </si>
  <si>
    <t xml:space="preserve">ثمانية عشر مليوناً</t>
  </si>
  <si>
    <t xml:space="preserve">ثمانية عشر هللة</t>
  </si>
  <si>
    <t xml:space="preserve">تسعة عشر</t>
  </si>
  <si>
    <t xml:space="preserve">تسعة عشر ألفاً</t>
  </si>
  <si>
    <t xml:space="preserve">تسعة عشر مليوناً</t>
  </si>
  <si>
    <t xml:space="preserve">تسعة عشر هللة</t>
  </si>
  <si>
    <t xml:space="preserve">عشرون</t>
  </si>
  <si>
    <t xml:space="preserve">عشرون ألفاً</t>
  </si>
  <si>
    <t xml:space="preserve">عشرون مليوناً</t>
  </si>
  <si>
    <t xml:space="preserve">عشرون هللة</t>
  </si>
  <si>
    <t xml:space="preserve">واحد وعشرون</t>
  </si>
  <si>
    <t xml:space="preserve">واحد وعشرون ألفاً</t>
  </si>
  <si>
    <t xml:space="preserve">واحد وعشرون مليوناً</t>
  </si>
  <si>
    <t xml:space="preserve">واحد وعشرون هللة</t>
  </si>
  <si>
    <t xml:space="preserve">اثنان وعشرون</t>
  </si>
  <si>
    <t xml:space="preserve">اثنان وعشرون ألفاً</t>
  </si>
  <si>
    <t xml:space="preserve">اثنان وعشرون مليوناً</t>
  </si>
  <si>
    <t xml:space="preserve">اثنان وعشرون هللة</t>
  </si>
  <si>
    <t xml:space="preserve">ثلاثة وعشرون</t>
  </si>
  <si>
    <t xml:space="preserve">ثلاثة وعشرون ألفاً</t>
  </si>
  <si>
    <t xml:space="preserve">ثلاثة وعشرون مليوناً</t>
  </si>
  <si>
    <t xml:space="preserve">ثلاثة وعشرون هللة</t>
  </si>
  <si>
    <t xml:space="preserve">أربعة وعشرون</t>
  </si>
  <si>
    <t xml:space="preserve">أربعة وعشرون ألفاً</t>
  </si>
  <si>
    <t xml:space="preserve">أربعة وعشرون مليوناً</t>
  </si>
  <si>
    <t xml:space="preserve">أربعة وعشرون هللة</t>
  </si>
  <si>
    <t xml:space="preserve">خمسة وعشرون</t>
  </si>
  <si>
    <t xml:space="preserve">خمسة وعشرون ألفاً</t>
  </si>
  <si>
    <t xml:space="preserve">خمسة وعشرون مليوناً</t>
  </si>
  <si>
    <t xml:space="preserve">خمسة وعشرون هللة</t>
  </si>
  <si>
    <t xml:space="preserve">ستة وعشرون</t>
  </si>
  <si>
    <t xml:space="preserve">ستة وعشرون ألفاً</t>
  </si>
  <si>
    <t xml:space="preserve">ستة وعشرون مليوناً</t>
  </si>
  <si>
    <t xml:space="preserve">ستة وعشرون هللة</t>
  </si>
  <si>
    <t xml:space="preserve">سبعة وعشرون</t>
  </si>
  <si>
    <t xml:space="preserve">سبعة وعشرون ألفاً</t>
  </si>
  <si>
    <t xml:space="preserve">سبعة وعشرون مليوناً</t>
  </si>
  <si>
    <t xml:space="preserve">سبعة وعشرون هللة</t>
  </si>
  <si>
    <t xml:space="preserve">ثمانية وعشرون</t>
  </si>
  <si>
    <t xml:space="preserve">ثمانية وعشرون ألفاً</t>
  </si>
  <si>
    <t xml:space="preserve">ثمانية وعشرون مليوناً</t>
  </si>
  <si>
    <t xml:space="preserve">ثمانية وعشرون هللة</t>
  </si>
  <si>
    <t xml:space="preserve">تسعة وعشرون</t>
  </si>
  <si>
    <t xml:space="preserve">تسعة وعشرون ألفاً</t>
  </si>
  <si>
    <t xml:space="preserve">تسعة وعشرون مليوناً</t>
  </si>
  <si>
    <t xml:space="preserve">تسعة وعشرون هللة</t>
  </si>
  <si>
    <t xml:space="preserve">ثلاثون</t>
  </si>
  <si>
    <t xml:space="preserve">ثلاثون ألفاً</t>
  </si>
  <si>
    <t xml:space="preserve">ثلاثون مليوناً</t>
  </si>
  <si>
    <t xml:space="preserve">ثلاثون هللة</t>
  </si>
  <si>
    <t xml:space="preserve">واحد وثلاثون</t>
  </si>
  <si>
    <t xml:space="preserve">واحد وثلاثون ألفاً</t>
  </si>
  <si>
    <t xml:space="preserve">واحد وثلاثون مليوناً</t>
  </si>
  <si>
    <t xml:space="preserve">واحد وثلاثون هللة</t>
  </si>
  <si>
    <t xml:space="preserve">اثنان وثلاثون</t>
  </si>
  <si>
    <t xml:space="preserve">اثنان وثلاثون ألفاً</t>
  </si>
  <si>
    <t xml:space="preserve">اثنان وثلاثون مليوناً</t>
  </si>
  <si>
    <t xml:space="preserve">اثنان وثلاثون هللة</t>
  </si>
  <si>
    <t xml:space="preserve">ثلاثة وثلاثون</t>
  </si>
  <si>
    <t xml:space="preserve">ثلاثة وثلاثون ألفاً</t>
  </si>
  <si>
    <t xml:space="preserve">ثلاثة وثلاثون مليوناً</t>
  </si>
  <si>
    <t xml:space="preserve">ثلاثة وثلاثون هللة</t>
  </si>
  <si>
    <t xml:space="preserve">أربعة وثلاثون</t>
  </si>
  <si>
    <t xml:space="preserve">أربعة وثلاثون ألفاً</t>
  </si>
  <si>
    <t xml:space="preserve">أربعة وثلاثون مليوناً</t>
  </si>
  <si>
    <t xml:space="preserve">أربعة وثلاثون هللة</t>
  </si>
  <si>
    <t xml:space="preserve">خمسة وثلاثون</t>
  </si>
  <si>
    <t xml:space="preserve">خمسة وثلاثون ألفاً</t>
  </si>
  <si>
    <t xml:space="preserve">خمسة وثلاثون مليوناً</t>
  </si>
  <si>
    <t xml:space="preserve">خمسة وثلاثون هللة</t>
  </si>
  <si>
    <t xml:space="preserve">ستة وثلاثون</t>
  </si>
  <si>
    <t xml:space="preserve">ستة وثلاثون ألفاً</t>
  </si>
  <si>
    <t xml:space="preserve">ستة وثلاثون مليوناً</t>
  </si>
  <si>
    <t xml:space="preserve">ستة وثلاثون هللة</t>
  </si>
  <si>
    <t xml:space="preserve">سبعة وثلاثون</t>
  </si>
  <si>
    <t xml:space="preserve">سبعة وثلاثون ألفاً</t>
  </si>
  <si>
    <t xml:space="preserve">سبعة وثلاثون مليوناً</t>
  </si>
  <si>
    <t xml:space="preserve">سبعة وثلاثون هللة</t>
  </si>
  <si>
    <t xml:space="preserve">ثمانية وثلاثون</t>
  </si>
  <si>
    <t xml:space="preserve">ثمانية وثلاثون ألفاً</t>
  </si>
  <si>
    <t xml:space="preserve">ثمانية وثلاثون مليوناً</t>
  </si>
  <si>
    <t xml:space="preserve">ثمانية وثلاثون هللة</t>
  </si>
  <si>
    <t xml:space="preserve">تسعة وثلاثون</t>
  </si>
  <si>
    <t xml:space="preserve">تسعة وثلاثون ألفاً</t>
  </si>
  <si>
    <t xml:space="preserve">تسعة وثلاثون مليوناً</t>
  </si>
  <si>
    <t xml:space="preserve">تسعة وثلاثون هللة</t>
  </si>
  <si>
    <t xml:space="preserve">أربعون</t>
  </si>
  <si>
    <t xml:space="preserve">أربعون ألفاً</t>
  </si>
  <si>
    <t xml:space="preserve">أربعون مليوناً</t>
  </si>
  <si>
    <t xml:space="preserve">أربعون هللة</t>
  </si>
  <si>
    <t xml:space="preserve">واحد وأربعون</t>
  </si>
  <si>
    <t xml:space="preserve">واحد وأربعون ألفاً</t>
  </si>
  <si>
    <t xml:space="preserve">واحد وأربعون مليوناً</t>
  </si>
  <si>
    <t xml:space="preserve">واحد وأربعون هللة</t>
  </si>
  <si>
    <t xml:space="preserve">اثنان وأربعون</t>
  </si>
  <si>
    <t xml:space="preserve">اثنان وأربعون ألفاً</t>
  </si>
  <si>
    <t xml:space="preserve">اثنان وأربعون مليوناً</t>
  </si>
  <si>
    <t xml:space="preserve">اثنان وأربعون هللة</t>
  </si>
  <si>
    <t xml:space="preserve">ثلاثة وأربعون</t>
  </si>
  <si>
    <t xml:space="preserve">ثلاثة وأربعون ألفاً</t>
  </si>
  <si>
    <t xml:space="preserve">ثلاثة وأربعون مليوناً</t>
  </si>
  <si>
    <t xml:space="preserve">ثلاثة وأربعون هللة</t>
  </si>
  <si>
    <t xml:space="preserve">أربعة وأربعون</t>
  </si>
  <si>
    <t xml:space="preserve">أربعة وأربعون ألفاً</t>
  </si>
  <si>
    <t xml:space="preserve">أربعة وأربعون مليوناً</t>
  </si>
  <si>
    <t xml:space="preserve">أربعة وأربعون هللة</t>
  </si>
  <si>
    <t xml:space="preserve">خمسة وأربعون</t>
  </si>
  <si>
    <t xml:space="preserve">خمسة وأربعون ألفاً</t>
  </si>
  <si>
    <t xml:space="preserve">خمسة وأربعون مليوناً</t>
  </si>
  <si>
    <t xml:space="preserve">خمسة وأربعون هللة</t>
  </si>
  <si>
    <t xml:space="preserve">ستة وأربعون</t>
  </si>
  <si>
    <t xml:space="preserve">ستة وأربعون ألفاً</t>
  </si>
  <si>
    <t xml:space="preserve">ستة وأربعون مليوناً</t>
  </si>
  <si>
    <t xml:space="preserve">ستة وأربعون هللة</t>
  </si>
  <si>
    <t xml:space="preserve">سبعة وأربعون</t>
  </si>
  <si>
    <t xml:space="preserve">سبعة وأربعون ألفاً</t>
  </si>
  <si>
    <t xml:space="preserve">سبعة وأربعون مليوناً</t>
  </si>
  <si>
    <t xml:space="preserve">سبعة وأربعون هللة</t>
  </si>
  <si>
    <t xml:space="preserve">ثمانية وأربعون</t>
  </si>
  <si>
    <t xml:space="preserve">ثمانية وأربعون ألفاً</t>
  </si>
  <si>
    <t xml:space="preserve">ثمانية وأربعون مليوناً</t>
  </si>
  <si>
    <t xml:space="preserve">ثمانية وأربعون هللة</t>
  </si>
  <si>
    <t xml:space="preserve">تسعة وأربعون</t>
  </si>
  <si>
    <t xml:space="preserve">تسعة وأربعون ألفاً</t>
  </si>
  <si>
    <t xml:space="preserve">تسعة وأربعون مليوناً</t>
  </si>
  <si>
    <t xml:space="preserve">تسعة وأربعون هللة</t>
  </si>
  <si>
    <t xml:space="preserve">خمسون</t>
  </si>
  <si>
    <t xml:space="preserve">خمسون ألفاً</t>
  </si>
  <si>
    <t xml:space="preserve">خمسون مليوناً</t>
  </si>
  <si>
    <t xml:space="preserve">خمسون هللة</t>
  </si>
  <si>
    <t xml:space="preserve">واحد وخمسون</t>
  </si>
  <si>
    <t xml:space="preserve">واحد وخمسون ألفاً</t>
  </si>
  <si>
    <t xml:space="preserve">واحد وخمسون مليوناً</t>
  </si>
  <si>
    <t xml:space="preserve">واحد وخمسون هللة</t>
  </si>
  <si>
    <t xml:space="preserve">اثنان وخمسون</t>
  </si>
  <si>
    <t xml:space="preserve">اثنان وخمسون ألفاً</t>
  </si>
  <si>
    <t xml:space="preserve">اثنان وخمسون مليوناً</t>
  </si>
  <si>
    <t xml:space="preserve">اثنان وخمسون هللة</t>
  </si>
  <si>
    <t xml:space="preserve">ثلاثة وخمسون</t>
  </si>
  <si>
    <t xml:space="preserve">ثلاثة وخمسون ألفاً</t>
  </si>
  <si>
    <t xml:space="preserve">ثلاثة وخمسون مليوناً</t>
  </si>
  <si>
    <t xml:space="preserve">ثلاثة وخمسون هللة</t>
  </si>
  <si>
    <t xml:space="preserve">أربعة وخمسون</t>
  </si>
  <si>
    <t xml:space="preserve">أربعة وخمسون ألفاً</t>
  </si>
  <si>
    <t xml:space="preserve">أربعة وخمسون مليوناً</t>
  </si>
  <si>
    <t xml:space="preserve">أربعة وخمسون هللة</t>
  </si>
  <si>
    <t xml:space="preserve">خمسة وخمسون</t>
  </si>
  <si>
    <t xml:space="preserve">خمسة وخمسون ألفاً</t>
  </si>
  <si>
    <t xml:space="preserve">خمسة وخمسون مليوناً</t>
  </si>
  <si>
    <t xml:space="preserve">خمسة وخمسون هللة</t>
  </si>
  <si>
    <t xml:space="preserve">ستة وخمسون</t>
  </si>
  <si>
    <t xml:space="preserve">ستة وخمسون ألفاً</t>
  </si>
  <si>
    <t xml:space="preserve">ستة وخمسون مليوناً</t>
  </si>
  <si>
    <t xml:space="preserve">ستة وخمسون هللة</t>
  </si>
  <si>
    <t xml:space="preserve">سبعة وخمسون</t>
  </si>
  <si>
    <t xml:space="preserve">سبعة وخمسون ألفاً</t>
  </si>
  <si>
    <t xml:space="preserve">سبعة وخمسون مليوناً</t>
  </si>
  <si>
    <t xml:space="preserve">سبعة وخمسون هللة</t>
  </si>
  <si>
    <t xml:space="preserve">ثمانية وخمسون</t>
  </si>
  <si>
    <t xml:space="preserve">ثمانية وخمسون ألفاً</t>
  </si>
  <si>
    <t xml:space="preserve">ثمانية وخمسون مليوناً</t>
  </si>
  <si>
    <t xml:space="preserve">ثمانية وخمسون هللة</t>
  </si>
  <si>
    <t xml:space="preserve">تسعة وخمسون</t>
  </si>
  <si>
    <t xml:space="preserve">تسعة وخمسون ألفاً</t>
  </si>
  <si>
    <t xml:space="preserve">تسعة وخمسون مليوناً</t>
  </si>
  <si>
    <t xml:space="preserve">تسعة وخمسون هللة</t>
  </si>
  <si>
    <t xml:space="preserve">ستون</t>
  </si>
  <si>
    <t xml:space="preserve">ستون ألفاً</t>
  </si>
  <si>
    <t xml:space="preserve">ستون مليوناً</t>
  </si>
  <si>
    <t xml:space="preserve">ستون هللة</t>
  </si>
  <si>
    <t xml:space="preserve">واحد وستون</t>
  </si>
  <si>
    <t xml:space="preserve">واحد وستون ألفاً</t>
  </si>
  <si>
    <t xml:space="preserve">واحد وستون مليوناً</t>
  </si>
  <si>
    <t xml:space="preserve">واحد وستون هللة</t>
  </si>
  <si>
    <t xml:space="preserve">اثنان وستون</t>
  </si>
  <si>
    <t xml:space="preserve">اثنان وستون ألفاً</t>
  </si>
  <si>
    <t xml:space="preserve">اثنان وستون مليوناً</t>
  </si>
  <si>
    <t xml:space="preserve">اثنان وستون هللة</t>
  </si>
  <si>
    <t xml:space="preserve">ثلاثة وستون</t>
  </si>
  <si>
    <t xml:space="preserve">ثلاثة وستون ألفاً</t>
  </si>
  <si>
    <t xml:space="preserve">ثلاثة وستون مليوناً</t>
  </si>
  <si>
    <t xml:space="preserve">ثلاثة وستون هللة</t>
  </si>
  <si>
    <t xml:space="preserve">أربعة وستون</t>
  </si>
  <si>
    <t xml:space="preserve">أربعة وستون ألفاً</t>
  </si>
  <si>
    <t xml:space="preserve">أربعة وستون مليوناً</t>
  </si>
  <si>
    <t xml:space="preserve">أربعة وستون هللة</t>
  </si>
  <si>
    <t xml:space="preserve">خمسة وستون</t>
  </si>
  <si>
    <t xml:space="preserve">خمسة وستون ألفاً</t>
  </si>
  <si>
    <t xml:space="preserve">خمسة وستون مليوناً</t>
  </si>
  <si>
    <t xml:space="preserve">خمسة وستون هللة</t>
  </si>
  <si>
    <t xml:space="preserve">ستة وستون</t>
  </si>
  <si>
    <t xml:space="preserve">ستة وستون ألفاً</t>
  </si>
  <si>
    <t xml:space="preserve">ستة وستون مليوناً</t>
  </si>
  <si>
    <t xml:space="preserve">ستة وستون هللة</t>
  </si>
  <si>
    <t xml:space="preserve">سبعة وستون</t>
  </si>
  <si>
    <t xml:space="preserve">سبعة وستون ألفاً</t>
  </si>
  <si>
    <t xml:space="preserve">سبعة وستون مليوناً</t>
  </si>
  <si>
    <t xml:space="preserve">سبعة وستون هللة</t>
  </si>
  <si>
    <t xml:space="preserve">ثمانية وستون</t>
  </si>
  <si>
    <t xml:space="preserve">ثمانية وستون ألفاً</t>
  </si>
  <si>
    <t xml:space="preserve">ثمانية وستون مليوناً</t>
  </si>
  <si>
    <t xml:space="preserve">ثمانية وستون هللة</t>
  </si>
  <si>
    <t xml:space="preserve">تسعة وستون</t>
  </si>
  <si>
    <t xml:space="preserve">تسعة وستون ألفاً</t>
  </si>
  <si>
    <t xml:space="preserve">تسعة وستون مليوناً</t>
  </si>
  <si>
    <t xml:space="preserve">تسعة وستون هللة</t>
  </si>
  <si>
    <t xml:space="preserve">سبعون</t>
  </si>
  <si>
    <t xml:space="preserve">سبعون ألفاً</t>
  </si>
  <si>
    <t xml:space="preserve">سبعون مليوناً</t>
  </si>
  <si>
    <t xml:space="preserve">سبعون هللة</t>
  </si>
  <si>
    <t xml:space="preserve">واحد وسبعون</t>
  </si>
  <si>
    <t xml:space="preserve">واحد وسبعون ألفاً</t>
  </si>
  <si>
    <t xml:space="preserve">واحد وسبعون مليوناً</t>
  </si>
  <si>
    <t xml:space="preserve">واحد وسبعون هللة</t>
  </si>
  <si>
    <t xml:space="preserve">اثنان وسبعون</t>
  </si>
  <si>
    <t xml:space="preserve">اثنان وسبعون ألفاً</t>
  </si>
  <si>
    <t xml:space="preserve">اثنان وسبعون مليوناً</t>
  </si>
  <si>
    <t xml:space="preserve">اثنان وسبعون هللة</t>
  </si>
  <si>
    <t xml:space="preserve">ثلاثة وسبعون</t>
  </si>
  <si>
    <t xml:space="preserve">ثلاثة وسبعون ألفاً</t>
  </si>
  <si>
    <t xml:space="preserve">ثلاثة وسبعون مليوناً</t>
  </si>
  <si>
    <t xml:space="preserve">ثلاثة وسبعون هللة</t>
  </si>
  <si>
    <t xml:space="preserve">أربعة وسبعون</t>
  </si>
  <si>
    <t xml:space="preserve">أربعة وسبعون ألفاً</t>
  </si>
  <si>
    <t xml:space="preserve">أربعة وسبعون مليوناً</t>
  </si>
  <si>
    <t xml:space="preserve">أربعة وسبعون هللة</t>
  </si>
  <si>
    <t xml:space="preserve">خمسة وسبعون</t>
  </si>
  <si>
    <t xml:space="preserve">خمسة وسبعون ألفاً</t>
  </si>
  <si>
    <t xml:space="preserve">خمسة وسبعون مليوناً</t>
  </si>
  <si>
    <t xml:space="preserve">خمسة وسبعون هللة</t>
  </si>
  <si>
    <t xml:space="preserve">ستة وسبعون</t>
  </si>
  <si>
    <t xml:space="preserve">ستة وسبعون ألفاً</t>
  </si>
  <si>
    <t xml:space="preserve">ستة وسبعون مليوناً</t>
  </si>
  <si>
    <t xml:space="preserve">ستة وسبعون هللة</t>
  </si>
  <si>
    <t xml:space="preserve">سبعة وسبعون</t>
  </si>
  <si>
    <t xml:space="preserve">سبعة وسبعون ألفاً</t>
  </si>
  <si>
    <t xml:space="preserve">سبعة وسبعون مليوناً</t>
  </si>
  <si>
    <t xml:space="preserve">سبعة وسبعون هللة</t>
  </si>
  <si>
    <t xml:space="preserve">ثمانية وسبعون</t>
  </si>
  <si>
    <t xml:space="preserve">ثمانية وسبعون ألفاً</t>
  </si>
  <si>
    <t xml:space="preserve">ثمانية وسبعون مليوناً</t>
  </si>
  <si>
    <t xml:space="preserve">ثمانية وسبعون هللة</t>
  </si>
  <si>
    <t xml:space="preserve">تسعة وسبعون</t>
  </si>
  <si>
    <t xml:space="preserve">تسعة وسبعون ألفاً</t>
  </si>
  <si>
    <t xml:space="preserve">تسعة وسبعون مليوناً</t>
  </si>
  <si>
    <t xml:space="preserve">تسعة وسبعون هللة</t>
  </si>
  <si>
    <t xml:space="preserve">ثمانون</t>
  </si>
  <si>
    <t xml:space="preserve">ثمانون ألفاً</t>
  </si>
  <si>
    <t xml:space="preserve">ثمانون مليوناً</t>
  </si>
  <si>
    <t xml:space="preserve">ثمانون هللة</t>
  </si>
  <si>
    <t xml:space="preserve">واحد وثمانون</t>
  </si>
  <si>
    <t xml:space="preserve">واحد وثمانون ألفاً</t>
  </si>
  <si>
    <t xml:space="preserve">واحد وثمانون مليوناً</t>
  </si>
  <si>
    <t xml:space="preserve">واحد وثمانون هللة</t>
  </si>
  <si>
    <t xml:space="preserve">اثنان وثمانون</t>
  </si>
  <si>
    <t xml:space="preserve">اثنان وثمانون ألفاً</t>
  </si>
  <si>
    <t xml:space="preserve">اثنان وثمانون مليوناً</t>
  </si>
  <si>
    <t xml:space="preserve">اثنان وثمانون هللة</t>
  </si>
  <si>
    <t xml:space="preserve">ثلاثة وثمانون</t>
  </si>
  <si>
    <t xml:space="preserve">ثلاثة وثمانون ألفاً</t>
  </si>
  <si>
    <t xml:space="preserve">ثلاثة وثمانون مليوناً</t>
  </si>
  <si>
    <t xml:space="preserve">ثلاثة وثمانون هللة</t>
  </si>
  <si>
    <t xml:space="preserve">أربعة وثمانون</t>
  </si>
  <si>
    <t xml:space="preserve">أربعة وثمانون ألفاً</t>
  </si>
  <si>
    <t xml:space="preserve">أربعة وثمانون مليوناً</t>
  </si>
  <si>
    <t xml:space="preserve">أربعة وثمانون هللة</t>
  </si>
  <si>
    <t xml:space="preserve">خمسة وثمانون</t>
  </si>
  <si>
    <t xml:space="preserve">خمسة وثمانون ألفاً</t>
  </si>
  <si>
    <t xml:space="preserve">خمسة وثمانون مليوناً</t>
  </si>
  <si>
    <t xml:space="preserve">خمسة وثمانون هللة</t>
  </si>
  <si>
    <t xml:space="preserve">ستة وثمانون</t>
  </si>
  <si>
    <t xml:space="preserve">ستة وثمانون ألفاً</t>
  </si>
  <si>
    <t xml:space="preserve">ستة وثمانون مليوناً</t>
  </si>
  <si>
    <t xml:space="preserve">ستة وثمانون هللة</t>
  </si>
  <si>
    <t xml:space="preserve">سبعة وثمانون</t>
  </si>
  <si>
    <t xml:space="preserve">سبعة وثمانون ألفاً</t>
  </si>
  <si>
    <t xml:space="preserve">سبعة وثمانون مليوناً</t>
  </si>
  <si>
    <t xml:space="preserve">سبعة وثمانون هللة</t>
  </si>
  <si>
    <t xml:space="preserve">ثمانية وثمانون</t>
  </si>
  <si>
    <t xml:space="preserve">ثمانية وثمانون ألفاً</t>
  </si>
  <si>
    <t xml:space="preserve">ثمانية وثمانون مليوناً</t>
  </si>
  <si>
    <t xml:space="preserve">ثمانية وثمانون هللة</t>
  </si>
  <si>
    <t xml:space="preserve">تسعة وثمانون</t>
  </si>
  <si>
    <t xml:space="preserve">تسعة وثمانون ألفاً</t>
  </si>
  <si>
    <t xml:space="preserve">تسعة وثمانون مليوناً</t>
  </si>
  <si>
    <t xml:space="preserve">تسعة وثمانون هللة</t>
  </si>
  <si>
    <t xml:space="preserve">تسعون</t>
  </si>
  <si>
    <t xml:space="preserve">تسعون ألفاً</t>
  </si>
  <si>
    <t xml:space="preserve">تسعون مليوناً</t>
  </si>
  <si>
    <t xml:space="preserve">تسعون هللة</t>
  </si>
  <si>
    <t xml:space="preserve">واحد وتسعون</t>
  </si>
  <si>
    <t xml:space="preserve">واحد وتسعون ألفاً</t>
  </si>
  <si>
    <t xml:space="preserve">واحد وتسعون مليوناً</t>
  </si>
  <si>
    <t xml:space="preserve">واحد وتسعون هللة</t>
  </si>
  <si>
    <t xml:space="preserve">اثنان وتسعون</t>
  </si>
  <si>
    <t xml:space="preserve">اثنان وتسعون ألفاً</t>
  </si>
  <si>
    <t xml:space="preserve">اثنان وتسعون مليوناً</t>
  </si>
  <si>
    <t xml:space="preserve">اثنان وتسعون هللة</t>
  </si>
  <si>
    <t xml:space="preserve">ثلاثة وتسعون</t>
  </si>
  <si>
    <t xml:space="preserve">ثلاثة وتسعون ألفاً</t>
  </si>
  <si>
    <t xml:space="preserve">ثلاثة وتسعون مليوناً</t>
  </si>
  <si>
    <t xml:space="preserve">ثلاثة وتسعون هللة</t>
  </si>
  <si>
    <t xml:space="preserve">أربعة وتسعون</t>
  </si>
  <si>
    <t xml:space="preserve">أربعة وتسعون ألفاً</t>
  </si>
  <si>
    <t xml:space="preserve">أربعة وتسعون مليوناً</t>
  </si>
  <si>
    <t xml:space="preserve">أربعة وتسعون هللة</t>
  </si>
  <si>
    <t xml:space="preserve">خمسة وتسعون</t>
  </si>
  <si>
    <t xml:space="preserve">خمسة وتسعون ألفاً</t>
  </si>
  <si>
    <t xml:space="preserve">خمسة وتسعون مليوناً</t>
  </si>
  <si>
    <t xml:space="preserve">خمسة وتسعون هللة</t>
  </si>
  <si>
    <t xml:space="preserve">ستة وتسعون</t>
  </si>
  <si>
    <t xml:space="preserve">ستة وتسعون ألفاً</t>
  </si>
  <si>
    <t xml:space="preserve">ستة وتسعون مليوناً</t>
  </si>
  <si>
    <t xml:space="preserve">ستة وتسعون هللة</t>
  </si>
  <si>
    <t xml:space="preserve">سبعة وتسعون</t>
  </si>
  <si>
    <t xml:space="preserve">سبعة وتسعون ألفاً</t>
  </si>
  <si>
    <t xml:space="preserve">سبعة وتسعون مليوناً</t>
  </si>
  <si>
    <t xml:space="preserve">سبعة وتسعون هللة</t>
  </si>
  <si>
    <t xml:space="preserve">ثمانية وتسعون</t>
  </si>
  <si>
    <t xml:space="preserve">ثمانية وتسعون ألفاً</t>
  </si>
  <si>
    <t xml:space="preserve">ثمانية وتسعون مليوناً</t>
  </si>
  <si>
    <t xml:space="preserve">ثمانية وتسعون هللة</t>
  </si>
  <si>
    <t xml:space="preserve">تسعة وتسعون</t>
  </si>
  <si>
    <t xml:space="preserve">تسعة وتسعون ألفاً</t>
  </si>
  <si>
    <t xml:space="preserve">تسعة وتسعون مليوناً</t>
  </si>
  <si>
    <t xml:space="preserve">تسعة وتسعون هللة</t>
  </si>
  <si>
    <t xml:space="preserve">مائة</t>
  </si>
  <si>
    <t xml:space="preserve">مائة ألف</t>
  </si>
  <si>
    <t xml:space="preserve">مائة مليون</t>
  </si>
  <si>
    <t xml:space="preserve">مائة هللة</t>
  </si>
  <si>
    <t xml:space="preserve">مائة وواحد</t>
  </si>
  <si>
    <t xml:space="preserve">مائة وواحد ألف</t>
  </si>
  <si>
    <t xml:space="preserve">مائة وواحد مليون</t>
  </si>
  <si>
    <t xml:space="preserve">مائة وواحد هللة</t>
  </si>
  <si>
    <t xml:space="preserve">مائة واثنان</t>
  </si>
  <si>
    <t xml:space="preserve">مائة واثنان ألف</t>
  </si>
  <si>
    <t xml:space="preserve">مائة واثنان مليون</t>
  </si>
  <si>
    <t xml:space="preserve">مائة واثنان هللة</t>
  </si>
  <si>
    <t xml:space="preserve">مائة وثلاثة</t>
  </si>
  <si>
    <t xml:space="preserve">مائة وثلاثة آلاف</t>
  </si>
  <si>
    <t xml:space="preserve">مائة وثلاثة ملايين</t>
  </si>
  <si>
    <t xml:space="preserve">مائة وثلاثة هللات</t>
  </si>
  <si>
    <t xml:space="preserve">مائة وأربعة</t>
  </si>
  <si>
    <t xml:space="preserve">مائة وأربعة آلاف</t>
  </si>
  <si>
    <t xml:space="preserve">مائة وأربعة ملايين</t>
  </si>
  <si>
    <t xml:space="preserve">مائة وأربعة هللات</t>
  </si>
  <si>
    <t xml:space="preserve">مائة وخمسة</t>
  </si>
  <si>
    <t xml:space="preserve">مائة وخمسة آلاف</t>
  </si>
  <si>
    <t xml:space="preserve">مائة وخمسة ملايين</t>
  </si>
  <si>
    <t xml:space="preserve">مائة وخمسة هللات</t>
  </si>
  <si>
    <t xml:space="preserve">مائة وستة</t>
  </si>
  <si>
    <t xml:space="preserve">مائة وستة آلاف</t>
  </si>
  <si>
    <t xml:space="preserve">مائة وستة ملايين</t>
  </si>
  <si>
    <t xml:space="preserve">مائة وستة هللات</t>
  </si>
  <si>
    <t xml:space="preserve">مائة وسبعة</t>
  </si>
  <si>
    <t xml:space="preserve">مائة وسبعة آلاف</t>
  </si>
  <si>
    <t xml:space="preserve">مائة وسبعة ملايين</t>
  </si>
  <si>
    <t xml:space="preserve">مائة وسبعة هللات</t>
  </si>
  <si>
    <t xml:space="preserve">مائة وثمانية</t>
  </si>
  <si>
    <t xml:space="preserve">مائة وثمانية آلاف</t>
  </si>
  <si>
    <t xml:space="preserve">مائة وثمانية ملايين</t>
  </si>
  <si>
    <t xml:space="preserve">مائة وثمانية هللات</t>
  </si>
  <si>
    <t xml:space="preserve">مائة وتسعة</t>
  </si>
  <si>
    <t xml:space="preserve">مائة وتسعة آلاف</t>
  </si>
  <si>
    <t xml:space="preserve">مائة وتسعة ملايين</t>
  </si>
  <si>
    <t xml:space="preserve">مائة وتسعة هللات</t>
  </si>
  <si>
    <t xml:space="preserve">مائة وعشرة</t>
  </si>
  <si>
    <t xml:space="preserve">مائة وعشرة آلاف</t>
  </si>
  <si>
    <t xml:space="preserve">مائة وعشرة ملايين</t>
  </si>
  <si>
    <t xml:space="preserve">مائة وعشرة هللات</t>
  </si>
  <si>
    <t xml:space="preserve">مائة وأحد عشر</t>
  </si>
  <si>
    <t xml:space="preserve">مائة وأحد عشر ألفاً</t>
  </si>
  <si>
    <t xml:space="preserve">مائة وأحد عشر مليوناً</t>
  </si>
  <si>
    <t xml:space="preserve">مائة وأحد عشر هللة</t>
  </si>
  <si>
    <t xml:space="preserve">مائة واثنا عشر</t>
  </si>
  <si>
    <t xml:space="preserve">مائة واثنا عشر ألفاً</t>
  </si>
  <si>
    <t xml:space="preserve">مائة واثنا عشر مليوناً</t>
  </si>
  <si>
    <t xml:space="preserve">مائة واثنا عشر هللة</t>
  </si>
  <si>
    <t xml:space="preserve">مائة وثلاثة عشر</t>
  </si>
  <si>
    <t xml:space="preserve">مائة وثلاثة عشر ألفاً</t>
  </si>
  <si>
    <t xml:space="preserve">مائة وثلاثة عشر مليوناً</t>
  </si>
  <si>
    <t xml:space="preserve">مائة وثلاثة عشر هللة</t>
  </si>
  <si>
    <t xml:space="preserve">مائة وأربعة عشر</t>
  </si>
  <si>
    <t xml:space="preserve">مائة وأربعة عشر ألفاً</t>
  </si>
  <si>
    <t xml:space="preserve">مائة وأربعة عشر مليوناً</t>
  </si>
  <si>
    <t xml:space="preserve">مائة وأربعة عشر هللة</t>
  </si>
  <si>
    <t xml:space="preserve">مائة وخمسة عشر</t>
  </si>
  <si>
    <t xml:space="preserve">مائة وخمسة عشر ألفاً</t>
  </si>
  <si>
    <t xml:space="preserve">مائة وخمسة عشر مليوناً</t>
  </si>
  <si>
    <t xml:space="preserve">مائة وخمسة عشر هللة</t>
  </si>
  <si>
    <t xml:space="preserve">مائة وستة عشر</t>
  </si>
  <si>
    <t xml:space="preserve">مائة وستة عشر ألفاً</t>
  </si>
  <si>
    <t xml:space="preserve">مائة وستة عشر مليوناً</t>
  </si>
  <si>
    <t xml:space="preserve">مائة وستة عشر هللة</t>
  </si>
  <si>
    <t xml:space="preserve">مائة وسبعة عشر</t>
  </si>
  <si>
    <t xml:space="preserve">مائة وسبعة عشر ألفاً</t>
  </si>
  <si>
    <t xml:space="preserve">مائة وسبعة عشر مليوناً</t>
  </si>
  <si>
    <t xml:space="preserve">مائة وسبعة عشر هللة</t>
  </si>
  <si>
    <t xml:space="preserve">مائة وثمانية عشر</t>
  </si>
  <si>
    <t xml:space="preserve">مائة وثمانية عشر ألفاً</t>
  </si>
  <si>
    <t xml:space="preserve">مائة وثمانية عشر مليوناً</t>
  </si>
  <si>
    <t xml:space="preserve">مائة وثمانية عشر هللة</t>
  </si>
  <si>
    <t xml:space="preserve">مائة وتسعة عشر</t>
  </si>
  <si>
    <t xml:space="preserve">مائة وتسعة عشر ألفاً</t>
  </si>
  <si>
    <t xml:space="preserve">مائة وتسعة عشر مليوناً</t>
  </si>
  <si>
    <t xml:space="preserve">مائة وتسعة عشر هللة</t>
  </si>
  <si>
    <t xml:space="preserve">مائة وعشرون</t>
  </si>
  <si>
    <t xml:space="preserve">مائة وعشرون ألفاً</t>
  </si>
  <si>
    <t xml:space="preserve">مائة وعشرون مليوناً</t>
  </si>
  <si>
    <t xml:space="preserve">مائة وعشرون هللة</t>
  </si>
  <si>
    <t xml:space="preserve">مائة وواحد وعشرون</t>
  </si>
  <si>
    <t xml:space="preserve">مائة وواحد وعشرون ألفاً</t>
  </si>
  <si>
    <t xml:space="preserve">مائة وواحد وعشرون مليوناً</t>
  </si>
  <si>
    <t xml:space="preserve">مائة وواحد وعشرون هللة</t>
  </si>
  <si>
    <t xml:space="preserve">مائة واثنان وعشرون</t>
  </si>
  <si>
    <t xml:space="preserve">مائة واثنان وعشرون ألفاً</t>
  </si>
  <si>
    <t xml:space="preserve">مائة واثنان وعشرون مليوناً</t>
  </si>
  <si>
    <t xml:space="preserve">مائة واثنان وعشرون هللة</t>
  </si>
  <si>
    <t xml:space="preserve">مائة وثلاثة وعشرون</t>
  </si>
  <si>
    <t xml:space="preserve">مائة وثلاثة وعشرون ألفاً</t>
  </si>
  <si>
    <t xml:space="preserve">مائة وثلاثة وعشرون مليوناً</t>
  </si>
  <si>
    <t xml:space="preserve">مائة وثلاثة وعشرون هللة</t>
  </si>
  <si>
    <t xml:space="preserve">مائة وأربعة وعشرون</t>
  </si>
  <si>
    <t xml:space="preserve">مائة وأربعة وعشرون ألفاً</t>
  </si>
  <si>
    <t xml:space="preserve">مائة وأربعة وعشرون مليوناً</t>
  </si>
  <si>
    <t xml:space="preserve">مائة وأربعة وعشرون هللة</t>
  </si>
  <si>
    <t xml:space="preserve">مائة وخمسة وعشرون</t>
  </si>
  <si>
    <t xml:space="preserve">مائة وخمسة وعشرون ألفاً</t>
  </si>
  <si>
    <t xml:space="preserve">مائة وخمسة وعشرون مليوناً</t>
  </si>
  <si>
    <t xml:space="preserve">مائة وخمسة وعشرون هللة</t>
  </si>
  <si>
    <t xml:space="preserve">مائة وستة وعشرون</t>
  </si>
  <si>
    <t xml:space="preserve">مائة وستة وعشرون ألفاً</t>
  </si>
  <si>
    <t xml:space="preserve">مائة وستة وعشرون مليوناً</t>
  </si>
  <si>
    <t xml:space="preserve">مائة وستة وعشرون هللة</t>
  </si>
  <si>
    <t xml:space="preserve">مائة وسبعة وعشرون</t>
  </si>
  <si>
    <t xml:space="preserve">مائة وسبعة وعشرون ألفاً</t>
  </si>
  <si>
    <t xml:space="preserve">مائة وسبعة وعشرون مليوناً</t>
  </si>
  <si>
    <t xml:space="preserve">مائة وسبعة وعشرون هللة</t>
  </si>
  <si>
    <t xml:space="preserve">مائة وثمانية وعشرون</t>
  </si>
  <si>
    <t xml:space="preserve">مائة وثمانية وعشرون ألفاً</t>
  </si>
  <si>
    <t xml:space="preserve">مائة وثمانية وعشرون مليوناً</t>
  </si>
  <si>
    <t xml:space="preserve">مائة وثمانية وعشرون هللة</t>
  </si>
  <si>
    <t xml:space="preserve">مائة وتسعة وعشرون</t>
  </si>
  <si>
    <t xml:space="preserve">مائة وتسعة وعشرون ألفاً</t>
  </si>
  <si>
    <t xml:space="preserve">مائة وتسعة وعشرون مليوناً</t>
  </si>
  <si>
    <t xml:space="preserve">مائة وتسعة وعشرون هللة</t>
  </si>
  <si>
    <t xml:space="preserve">مائة وثلاثون</t>
  </si>
  <si>
    <t xml:space="preserve">مائة وثلاثون ألفاً</t>
  </si>
  <si>
    <t xml:space="preserve">مائة وثلاثون مليوناً</t>
  </si>
  <si>
    <t xml:space="preserve">مائة وثلاثون هللة</t>
  </si>
  <si>
    <t xml:space="preserve">مائة وواحد وثلاثون</t>
  </si>
  <si>
    <t xml:space="preserve">مائة وواحد وثلاثون ألفاً</t>
  </si>
  <si>
    <t xml:space="preserve">مائة وواحد وثلاثون مليوناً</t>
  </si>
  <si>
    <t xml:space="preserve">مائة وواحد وثلاثون هللة</t>
  </si>
  <si>
    <t xml:space="preserve">مائة واثنان وثلاثون</t>
  </si>
  <si>
    <t xml:space="preserve">مائة واثنان وثلاثون ألفاً</t>
  </si>
  <si>
    <t xml:space="preserve">مائة واثنان وثلاثون مليوناً</t>
  </si>
  <si>
    <t xml:space="preserve">مائة واثنان وثلاثون هللة</t>
  </si>
  <si>
    <t xml:space="preserve">مائة وثلاثة وثلاثون</t>
  </si>
  <si>
    <t xml:space="preserve">مائة وثلاثة وثلاثون ألفاً</t>
  </si>
  <si>
    <t xml:space="preserve">مائة وثلاثة وثلاثون مليوناً</t>
  </si>
  <si>
    <t xml:space="preserve">مائة وثلاثة وثلاثون هللة</t>
  </si>
  <si>
    <t xml:space="preserve">مائة وأربعة وثلاثون</t>
  </si>
  <si>
    <t xml:space="preserve">مائة وأربعة وثلاثون ألفاً</t>
  </si>
  <si>
    <t xml:space="preserve">مائة وأربعة وثلاثون مليوناً</t>
  </si>
  <si>
    <t xml:space="preserve">مائة وأربعة وثلاثون هللة</t>
  </si>
  <si>
    <t xml:space="preserve">مائة وخمسة وثلاثون</t>
  </si>
  <si>
    <t xml:space="preserve">مائة وخمسة وثلاثون ألفاً</t>
  </si>
  <si>
    <t xml:space="preserve">مائة وخمسة وثلاثون مليوناً</t>
  </si>
  <si>
    <t xml:space="preserve">مائة وخمسة وثلاثون هللة</t>
  </si>
  <si>
    <t xml:space="preserve">مائة وستة وثلاثون</t>
  </si>
  <si>
    <t xml:space="preserve">مائة وستة وثلاثون ألفاً</t>
  </si>
  <si>
    <t xml:space="preserve">مائة وستة وثلاثون مليوناً</t>
  </si>
  <si>
    <t xml:space="preserve">مائة وستة وثلاثون هللة</t>
  </si>
  <si>
    <t xml:space="preserve">مائة وسبعة وثلاثون</t>
  </si>
  <si>
    <t xml:space="preserve">مائة وسبعة وثلاثون ألفاً</t>
  </si>
  <si>
    <t xml:space="preserve">مائة وسبعة وثلاثون مليوناً</t>
  </si>
  <si>
    <t xml:space="preserve">مائة وسبعة وثلاثون هللة</t>
  </si>
  <si>
    <t xml:space="preserve">مائة وثمانية وثلاثون</t>
  </si>
  <si>
    <t xml:space="preserve">مائة وثمانية وثلاثون ألفاً</t>
  </si>
  <si>
    <t xml:space="preserve">مائة وثمانية وثلاثون مليوناً</t>
  </si>
  <si>
    <t xml:space="preserve">مائة وثمانية وثلاثون هللة</t>
  </si>
  <si>
    <t xml:space="preserve">مائة وتسعة وثلاثون</t>
  </si>
  <si>
    <t xml:space="preserve">مائة وتسعة وثلاثون ألفاً</t>
  </si>
  <si>
    <t xml:space="preserve">مائة وتسعة وثلاثون مليوناً</t>
  </si>
  <si>
    <t xml:space="preserve">مائة وتسعة وثلاثون هللة</t>
  </si>
  <si>
    <t xml:space="preserve">مائة وأربعون</t>
  </si>
  <si>
    <t xml:space="preserve">مائة وأربعون ألفاً</t>
  </si>
  <si>
    <t xml:space="preserve">مائة وأربعون مليوناً</t>
  </si>
  <si>
    <t xml:space="preserve">مائة وأربعون هللة</t>
  </si>
  <si>
    <t xml:space="preserve">مائة وواحد وأربعون</t>
  </si>
  <si>
    <t xml:space="preserve">مائة وواحد وأربعون ألفاً</t>
  </si>
  <si>
    <t xml:space="preserve">مائة وواحد وأربعون مليوناً</t>
  </si>
  <si>
    <t xml:space="preserve">مائة وواحد وأربعون هللة</t>
  </si>
  <si>
    <t xml:space="preserve">مائة واثنان وأربعون</t>
  </si>
  <si>
    <t xml:space="preserve">مائة واثنان وأربعون ألفاً</t>
  </si>
  <si>
    <t xml:space="preserve">مائة واثنان وأربعون مليوناً</t>
  </si>
  <si>
    <t xml:space="preserve">مائة واثنان وأربعون هللة</t>
  </si>
  <si>
    <t xml:space="preserve">مائة وثلاثة وأربعون</t>
  </si>
  <si>
    <t xml:space="preserve">مائة وثلاثة وأربعون ألفاً</t>
  </si>
  <si>
    <t xml:space="preserve">مائة وثلاثة وأربعون مليوناً</t>
  </si>
  <si>
    <t xml:space="preserve">مائة وثلاثة وأربعون هللة</t>
  </si>
  <si>
    <t xml:space="preserve">مائة وأربعة وأربعون</t>
  </si>
  <si>
    <t xml:space="preserve">مائة وأربعة وأربعون ألفاً</t>
  </si>
  <si>
    <t xml:space="preserve">مائة وأربعة وأربعون مليوناً</t>
  </si>
  <si>
    <t xml:space="preserve">مائة وأربعة وأربعون هللة</t>
  </si>
  <si>
    <t xml:space="preserve">مائة وخمسة وأربعون</t>
  </si>
  <si>
    <t xml:space="preserve">مائة وخمسة وأربعون ألفاً</t>
  </si>
  <si>
    <t xml:space="preserve">مائة وخمسة وأربعون مليوناً</t>
  </si>
  <si>
    <t xml:space="preserve">مائة وخمسة وأربعون هللة</t>
  </si>
  <si>
    <t xml:space="preserve">مائة وستة وأربعون</t>
  </si>
  <si>
    <t xml:space="preserve">مائة وستة وأربعون ألفاً</t>
  </si>
  <si>
    <t xml:space="preserve">مائة وستة وأربعون مليوناً</t>
  </si>
  <si>
    <t xml:space="preserve">مائة وستة وأربعون هللة</t>
  </si>
  <si>
    <t xml:space="preserve">مائة وسبعة وأربعون</t>
  </si>
  <si>
    <t xml:space="preserve">مائة وسبعة وأربعون ألفاً</t>
  </si>
  <si>
    <t xml:space="preserve">مائة وسبعة وأربعون مليوناً</t>
  </si>
  <si>
    <t xml:space="preserve">مائة وسبعة وأربعون هللة</t>
  </si>
  <si>
    <t xml:space="preserve">مائة وثمانية وأربعون</t>
  </si>
  <si>
    <t xml:space="preserve">مائة وثمانية وأربعون ألفاً</t>
  </si>
  <si>
    <t xml:space="preserve">مائة وثمانية وأربعون مليوناً</t>
  </si>
  <si>
    <t xml:space="preserve">مائة وثمانية وأربعون هللة</t>
  </si>
  <si>
    <t xml:space="preserve">مائة وتسعة وأربعون</t>
  </si>
  <si>
    <t xml:space="preserve">مائة وتسعة وأربعون ألفاً</t>
  </si>
  <si>
    <t xml:space="preserve">مائة وتسعة وأربعون مليوناً</t>
  </si>
  <si>
    <t xml:space="preserve">مائة وتسعة وأربعون هللة</t>
  </si>
  <si>
    <t xml:space="preserve">مائة وخمسون</t>
  </si>
  <si>
    <t xml:space="preserve">مائة وخمسون ألفاً</t>
  </si>
  <si>
    <t xml:space="preserve">مائة وخمسون مليوناً</t>
  </si>
  <si>
    <t xml:space="preserve">مائة وخمسون هللة</t>
  </si>
  <si>
    <t xml:space="preserve">مائة وواحد وخمسون</t>
  </si>
  <si>
    <t xml:space="preserve">مائة وواحد وخمسون ألفاً</t>
  </si>
  <si>
    <t xml:space="preserve">مائة وواحد وخمسون مليوناً</t>
  </si>
  <si>
    <t xml:space="preserve">مائة وواحد وخمسون هللة</t>
  </si>
  <si>
    <t xml:space="preserve">مائة واثنان وخمسون</t>
  </si>
  <si>
    <t xml:space="preserve">مائة واثنان وخمسون ألفاً</t>
  </si>
  <si>
    <t xml:space="preserve">مائة واثنان وخمسون مليوناً</t>
  </si>
  <si>
    <t xml:space="preserve">مائة واثنان وخمسون هللة</t>
  </si>
  <si>
    <t xml:space="preserve">مائة وثلاثة وخمسون</t>
  </si>
  <si>
    <t xml:space="preserve">مائة وثلاثة وخمسون ألفاً</t>
  </si>
  <si>
    <t xml:space="preserve">مائة وثلاثة وخمسون مليوناً</t>
  </si>
  <si>
    <t xml:space="preserve">مائة وثلاثة وخمسون هللة</t>
  </si>
  <si>
    <t xml:space="preserve">مائة وأربعة وخمسون</t>
  </si>
  <si>
    <t xml:space="preserve">مائة وأربعة وخمسون ألفاً</t>
  </si>
  <si>
    <t xml:space="preserve">مائة وأربعة وخمسون مليوناً</t>
  </si>
  <si>
    <t xml:space="preserve">مائة وأربعة وخمسون هللة</t>
  </si>
  <si>
    <t xml:space="preserve">مائة وخمسة وخمسون</t>
  </si>
  <si>
    <t xml:space="preserve">مائة وخمسة وخمسون ألفاً</t>
  </si>
  <si>
    <t xml:space="preserve">مائة وخمسة وخمسون مليوناً</t>
  </si>
  <si>
    <t xml:space="preserve">مائة وخمسة وخمسون هللة</t>
  </si>
  <si>
    <t xml:space="preserve">مائة وستة وخمسون</t>
  </si>
  <si>
    <t xml:space="preserve">مائة وستة وخمسون ألفاً</t>
  </si>
  <si>
    <t xml:space="preserve">مائة وستة وخمسون مليوناً</t>
  </si>
  <si>
    <t xml:space="preserve">مائة وستة وخمسون هللة</t>
  </si>
  <si>
    <t xml:space="preserve">مائة وسبعة وخمسون</t>
  </si>
  <si>
    <t xml:space="preserve">مائة وسبعة وخمسون ألفاً</t>
  </si>
  <si>
    <t xml:space="preserve">مائة وسبعة وخمسون مليوناً</t>
  </si>
  <si>
    <t xml:space="preserve">مائة وسبعة وخمسون هللة</t>
  </si>
  <si>
    <t xml:space="preserve">مائة وثمانية وخمسون</t>
  </si>
  <si>
    <t xml:space="preserve">مائة وثمانية وخمسون ألفاً</t>
  </si>
  <si>
    <t xml:space="preserve">مائة وثمانية وخمسون مليوناً</t>
  </si>
  <si>
    <t xml:space="preserve">مائة وثمانية وخمسون هللة</t>
  </si>
  <si>
    <t xml:space="preserve">مائة وتسعة وخمسون</t>
  </si>
  <si>
    <t xml:space="preserve">مائة وتسعة وخمسون ألفاً</t>
  </si>
  <si>
    <t xml:space="preserve">مائة وتسعة وخمسون مليوناً</t>
  </si>
  <si>
    <t xml:space="preserve">مائة وتسعة وخمسون هللة</t>
  </si>
  <si>
    <t xml:space="preserve">مائة وستون</t>
  </si>
  <si>
    <t xml:space="preserve">مائة وستون ألفاً</t>
  </si>
  <si>
    <t xml:space="preserve">مائة وستون مليوناً</t>
  </si>
  <si>
    <t xml:space="preserve">مائة وستون هللة</t>
  </si>
  <si>
    <t xml:space="preserve">مائة وواحد وستون</t>
  </si>
  <si>
    <t xml:space="preserve">مائة وواحد وستون ألفاً</t>
  </si>
  <si>
    <t xml:space="preserve">مائة وواحد وستون مليوناً</t>
  </si>
  <si>
    <t xml:space="preserve">مائة وواحد وستون هللة</t>
  </si>
  <si>
    <t xml:space="preserve">مائة واثنان وستون</t>
  </si>
  <si>
    <t xml:space="preserve">مائة واثنان وستون ألفاً</t>
  </si>
  <si>
    <t xml:space="preserve">مائة واثنان وستون مليوناً</t>
  </si>
  <si>
    <t xml:space="preserve">مائة واثنان وستون هللة</t>
  </si>
  <si>
    <t xml:space="preserve">مائة وثلاثة وستون</t>
  </si>
  <si>
    <t xml:space="preserve">مائة وثلاثة وستون ألفاً</t>
  </si>
  <si>
    <t xml:space="preserve">مائة وثلاثة وستون مليوناً</t>
  </si>
  <si>
    <t xml:space="preserve">مائة وثلاثة وستون هللة</t>
  </si>
  <si>
    <t xml:space="preserve">مائة وأربعة وستون</t>
  </si>
  <si>
    <t xml:space="preserve">مائة وأربعة وستون ألفاً</t>
  </si>
  <si>
    <t xml:space="preserve">مائة وأربعة وستون مليوناً</t>
  </si>
  <si>
    <t xml:space="preserve">مائة وأربعة وستون هللة</t>
  </si>
  <si>
    <t xml:space="preserve">مائة وخمسة وستون</t>
  </si>
  <si>
    <t xml:space="preserve">مائة وخمسة وستون ألفاً</t>
  </si>
  <si>
    <t xml:space="preserve">مائة وخمسة وستون مليوناً</t>
  </si>
  <si>
    <t xml:space="preserve">مائة وخمسة وستون هللة</t>
  </si>
  <si>
    <t xml:space="preserve">مائة وستة وستون</t>
  </si>
  <si>
    <t xml:space="preserve">مائة وستة وستون ألفاً</t>
  </si>
  <si>
    <t xml:space="preserve">مائة وستة وستون مليوناً</t>
  </si>
  <si>
    <t xml:space="preserve">مائة وستة وستون هللة</t>
  </si>
  <si>
    <t xml:space="preserve">مائة وسبعة وستون</t>
  </si>
  <si>
    <t xml:space="preserve">مائة وسبعة وستون ألفاً</t>
  </si>
  <si>
    <t xml:space="preserve">مائة وسبعة وستون مليوناً</t>
  </si>
  <si>
    <t xml:space="preserve">مائة وسبعة وستون هللة</t>
  </si>
  <si>
    <t xml:space="preserve">مائة وثمانية وستون</t>
  </si>
  <si>
    <t xml:space="preserve">مائة وثمانية وستون ألفاً</t>
  </si>
  <si>
    <t xml:space="preserve">مائة وثمانية وستون مليوناً</t>
  </si>
  <si>
    <t xml:space="preserve">مائة وثمانية وستون هللة</t>
  </si>
  <si>
    <t xml:space="preserve">مائة وتسعة وستون</t>
  </si>
  <si>
    <t xml:space="preserve">مائة وتسعة وستون ألفاً</t>
  </si>
  <si>
    <t xml:space="preserve">مائة وتسعة وستون مليوناً</t>
  </si>
  <si>
    <t xml:space="preserve">مائة وتسعة وستون هللة</t>
  </si>
  <si>
    <t xml:space="preserve">مائة وسبعون</t>
  </si>
  <si>
    <t xml:space="preserve">مائة وسبعون ألفاً</t>
  </si>
  <si>
    <t xml:space="preserve">مائة وسبعون مليوناً</t>
  </si>
  <si>
    <t xml:space="preserve">مائة وسبعون هللة</t>
  </si>
  <si>
    <t xml:space="preserve">مائة وواحد وسبعون</t>
  </si>
  <si>
    <t xml:space="preserve">مائة وواحد وسبعون ألفاً</t>
  </si>
  <si>
    <t xml:space="preserve">مائة وواحد وسبعون مليوناً</t>
  </si>
  <si>
    <t xml:space="preserve">مائة وواحد وسبعون هللة</t>
  </si>
  <si>
    <t xml:space="preserve">مائة واثنان وسبعون</t>
  </si>
  <si>
    <t xml:space="preserve">مائة واثنان وسبعون ألفاً</t>
  </si>
  <si>
    <t xml:space="preserve">مائة واثنان وسبعون مليوناً</t>
  </si>
  <si>
    <t xml:space="preserve">مائة واثنان وسبعون هللة</t>
  </si>
  <si>
    <t xml:space="preserve">مائة وثلاثة وسبعون</t>
  </si>
  <si>
    <t xml:space="preserve">مائة وثلاثة وسبعون ألفاً</t>
  </si>
  <si>
    <t xml:space="preserve">مائة وثلاثة وسبعون مليوناً</t>
  </si>
  <si>
    <t xml:space="preserve">مائة وثلاثة وسبعون هللة</t>
  </si>
  <si>
    <t xml:space="preserve">مائة وأربعة وسبعون</t>
  </si>
  <si>
    <t xml:space="preserve">مائة وأربعة وسبعون ألفاً</t>
  </si>
  <si>
    <t xml:space="preserve">مائة وأربعة وسبعون مليوناً</t>
  </si>
  <si>
    <t xml:space="preserve">مائة وأربعة وسبعون هللة</t>
  </si>
  <si>
    <t xml:space="preserve">مائة وخمسة وسبعون</t>
  </si>
  <si>
    <t xml:space="preserve">مائة وخمسة وسبعون ألفاً</t>
  </si>
  <si>
    <t xml:space="preserve">مائة وخمسة وسبعون مليوناً</t>
  </si>
  <si>
    <t xml:space="preserve">مائة وخمسة وسبعون هللة</t>
  </si>
  <si>
    <t xml:space="preserve">مائة وستة وسبعون</t>
  </si>
  <si>
    <t xml:space="preserve">مائة وستة وسبعون ألفاً</t>
  </si>
  <si>
    <t xml:space="preserve">مائة وستة وسبعون مليوناً</t>
  </si>
  <si>
    <t xml:space="preserve">مائة وستة وسبعون هللة</t>
  </si>
  <si>
    <t xml:space="preserve">مائة وسبعة وسبعون</t>
  </si>
  <si>
    <t xml:space="preserve">مائة وسبعة وسبعون ألفاً</t>
  </si>
  <si>
    <t xml:space="preserve">مائة وسبعة وسبعون مليوناً</t>
  </si>
  <si>
    <t xml:space="preserve">مائة وسبعة وسبعون هللة</t>
  </si>
  <si>
    <t xml:space="preserve">مائة وثمانية وسبعون</t>
  </si>
  <si>
    <t xml:space="preserve">مائة وثمانية وسبعون ألفاً</t>
  </si>
  <si>
    <t xml:space="preserve">مائة وثمانية وسبعون مليوناً</t>
  </si>
  <si>
    <t xml:space="preserve">مائة وثمانية وسبعون هللة</t>
  </si>
  <si>
    <t xml:space="preserve">مائة وتسعة وسبعون</t>
  </si>
  <si>
    <t xml:space="preserve">مائة وتسعة وسبعون ألفاً</t>
  </si>
  <si>
    <t xml:space="preserve">مائة وتسعة وسبعون مليوناً</t>
  </si>
  <si>
    <t xml:space="preserve">مائة وتسعة وسبعون هللة</t>
  </si>
  <si>
    <t xml:space="preserve">مائة وثمانون</t>
  </si>
  <si>
    <t xml:space="preserve">مائة وثمانون ألفاً</t>
  </si>
  <si>
    <t xml:space="preserve">مائة وثمانون مليوناً</t>
  </si>
  <si>
    <t xml:space="preserve">مائة وثمانون هللة</t>
  </si>
  <si>
    <t xml:space="preserve">مائة وواحد وثمانون</t>
  </si>
  <si>
    <t xml:space="preserve">مائة وواحد وثمانون ألفاً</t>
  </si>
  <si>
    <t xml:space="preserve">مائة وواحد وثمانون مليوناً</t>
  </si>
  <si>
    <t xml:space="preserve">مائة وواحد وثمانون هللة</t>
  </si>
  <si>
    <t xml:space="preserve">مائة واثنان وثمانون</t>
  </si>
  <si>
    <t xml:space="preserve">مائة واثنان وثمانون ألفاً</t>
  </si>
  <si>
    <t xml:space="preserve">مائة واثنان وثمانون مليوناً</t>
  </si>
  <si>
    <t xml:space="preserve">مائة واثنان وثمانون هللة</t>
  </si>
  <si>
    <t xml:space="preserve">مائة وثلاثة وثمانون</t>
  </si>
  <si>
    <t xml:space="preserve">مائة وثلاثة وثمانون ألفاً</t>
  </si>
  <si>
    <t xml:space="preserve">مائة وثلاثة وثمانون مليوناً</t>
  </si>
  <si>
    <t xml:space="preserve">مائة وثلاثة وثمانون هللة</t>
  </si>
  <si>
    <t xml:space="preserve">مائة وأربعة وثمانون</t>
  </si>
  <si>
    <t xml:space="preserve">مائة وأربعة وثمانون ألفاً</t>
  </si>
  <si>
    <t xml:space="preserve">مائة وأربعة وثمانون مليوناً</t>
  </si>
  <si>
    <t xml:space="preserve">مائة وأربعة وثمانون هللة</t>
  </si>
  <si>
    <t xml:space="preserve">مائة وخمسة وثمانون</t>
  </si>
  <si>
    <t xml:space="preserve">مائة وخمسة وثمانون ألفاً</t>
  </si>
  <si>
    <t xml:space="preserve">مائة وخمسة وثمانون مليوناً</t>
  </si>
  <si>
    <t xml:space="preserve">مائة وخمسة وثمانون هللة</t>
  </si>
  <si>
    <t xml:space="preserve">مائة وستة وثمانون</t>
  </si>
  <si>
    <t xml:space="preserve">مائة وستة وثمانون ألفاً</t>
  </si>
  <si>
    <t xml:space="preserve">مائة وستة وثمانون مليوناً</t>
  </si>
  <si>
    <t xml:space="preserve">مائة وستة وثمانون هللة</t>
  </si>
  <si>
    <t xml:space="preserve">مائة وسبعة وثمانون</t>
  </si>
  <si>
    <t xml:space="preserve">مائة وسبعة وثمانون ألفاً</t>
  </si>
  <si>
    <t xml:space="preserve">مائة وسبعة وثمانون مليوناً</t>
  </si>
  <si>
    <t xml:space="preserve">مائة وسبعة وثمانون هللة</t>
  </si>
  <si>
    <t xml:space="preserve">مائة وثمانية وثمانون</t>
  </si>
  <si>
    <t xml:space="preserve">مائة وثمانية وثمانون ألفاً</t>
  </si>
  <si>
    <t xml:space="preserve">مائة وثمانية وثمانون مليوناً</t>
  </si>
  <si>
    <t xml:space="preserve">مائة وثمانية وثمانون هللة</t>
  </si>
  <si>
    <t xml:space="preserve">مائة وتسعة وثمانون</t>
  </si>
  <si>
    <t xml:space="preserve">مائة وتسعة وثمانون ألفاً</t>
  </si>
  <si>
    <t xml:space="preserve">مائة وتسعة وثمانون مليوناً</t>
  </si>
  <si>
    <t xml:space="preserve">مائة وتسعة وثمانون هللة</t>
  </si>
  <si>
    <t xml:space="preserve">مائة وتسعون</t>
  </si>
  <si>
    <t xml:space="preserve">مائة وتسعون ألفاً</t>
  </si>
  <si>
    <t xml:space="preserve">مائة وتسعون مليوناً</t>
  </si>
  <si>
    <t xml:space="preserve">مائة وتسعون هللة</t>
  </si>
  <si>
    <t xml:space="preserve">مائة وواحد وتسعون</t>
  </si>
  <si>
    <t xml:space="preserve">مائة وواحد وتسعون ألفاً</t>
  </si>
  <si>
    <t xml:space="preserve">مائة وواحد وتسعون مليوناً</t>
  </si>
  <si>
    <t xml:space="preserve">مائة وواحد وتسعون هللة</t>
  </si>
  <si>
    <t xml:space="preserve">مائة واثنان وتسعون</t>
  </si>
  <si>
    <t xml:space="preserve">مائة واثنان وتسعون ألفاً</t>
  </si>
  <si>
    <t xml:space="preserve">مائة واثنان وتسعون مليوناً</t>
  </si>
  <si>
    <t xml:space="preserve">مائة واثنان وتسعون هللة</t>
  </si>
  <si>
    <t xml:space="preserve">مائة وثلاثة وتسعون</t>
  </si>
  <si>
    <t xml:space="preserve">مائة وثلاثة وتسعون ألفاً</t>
  </si>
  <si>
    <t xml:space="preserve">مائة وثلاثة وتسعون مليوناً</t>
  </si>
  <si>
    <t xml:space="preserve">مائة وثلاثة وتسعون هللة</t>
  </si>
  <si>
    <t xml:space="preserve">مائة وأربعة وتسعون</t>
  </si>
  <si>
    <t xml:space="preserve">مائة وأربعة وتسعون ألفاً</t>
  </si>
  <si>
    <t xml:space="preserve">مائة وأربعة وتسعون مليوناً</t>
  </si>
  <si>
    <t xml:space="preserve">مائة وأربعة وتسعون هللة</t>
  </si>
  <si>
    <t xml:space="preserve">مائة وخمسة وتسعون</t>
  </si>
  <si>
    <t xml:space="preserve">مائة وخمسة وتسعون ألفاً</t>
  </si>
  <si>
    <t xml:space="preserve">مائة وخمسة وتسعون مليوناً</t>
  </si>
  <si>
    <t xml:space="preserve">مائة وخمسة وتسعون هللة</t>
  </si>
  <si>
    <t xml:space="preserve">مائة وستة وتسعون</t>
  </si>
  <si>
    <t xml:space="preserve">مائة وستة وتسعون ألفاً</t>
  </si>
  <si>
    <t xml:space="preserve">مائة وستة وتسعون مليوناً</t>
  </si>
  <si>
    <t xml:space="preserve">مائة وستة وتسعون هللة</t>
  </si>
  <si>
    <t xml:space="preserve">مائة وسبعة وتسعون</t>
  </si>
  <si>
    <t xml:space="preserve">مائة وسبعة وتسعون ألفاً</t>
  </si>
  <si>
    <t xml:space="preserve">مائة وسبعة وتسعون مليوناً</t>
  </si>
  <si>
    <t xml:space="preserve">مائة وسبعة وتسعون هللة</t>
  </si>
  <si>
    <t xml:space="preserve">مائة وثمانية وتسعون</t>
  </si>
  <si>
    <t xml:space="preserve">مائة وثمانية وتسعون ألفاً</t>
  </si>
  <si>
    <t xml:space="preserve">مائة وثمانية وتسعون مليوناً</t>
  </si>
  <si>
    <t xml:space="preserve">مائة وثمانية وتسعون هللة</t>
  </si>
  <si>
    <t xml:space="preserve">مائة وتسعة وتسعون</t>
  </si>
  <si>
    <t xml:space="preserve">مائة وتسعة وتسعون ألفاً</t>
  </si>
  <si>
    <t xml:space="preserve">مائة وتسعة وتسعون مليوناً</t>
  </si>
  <si>
    <t xml:space="preserve">مائة وتسعة وتسعون هللة</t>
  </si>
  <si>
    <t xml:space="preserve">مائتان</t>
  </si>
  <si>
    <t xml:space="preserve">مائتان ألف</t>
  </si>
  <si>
    <t xml:space="preserve">مائتان مليون</t>
  </si>
  <si>
    <t xml:space="preserve">مائتان هللة</t>
  </si>
  <si>
    <t xml:space="preserve">مائتان وواحد</t>
  </si>
  <si>
    <t xml:space="preserve">مائتان وواحد ألف</t>
  </si>
  <si>
    <t xml:space="preserve">مائتان وواحد مليون</t>
  </si>
  <si>
    <t xml:space="preserve">مائتان وواحد هللة</t>
  </si>
  <si>
    <t xml:space="preserve">مائتان واثنان</t>
  </si>
  <si>
    <t xml:space="preserve">مائتان واثنان ألف</t>
  </si>
  <si>
    <t xml:space="preserve">مائتان واثنان مليون</t>
  </si>
  <si>
    <t xml:space="preserve">مائتان واثنان هللة</t>
  </si>
  <si>
    <t xml:space="preserve">مائتان وثلاثة</t>
  </si>
  <si>
    <t xml:space="preserve">مائتان وثلاثة آلاف</t>
  </si>
  <si>
    <t xml:space="preserve">مائتان وثلاثة ملايين</t>
  </si>
  <si>
    <t xml:space="preserve">مائتان وثلاثة هللات</t>
  </si>
  <si>
    <t xml:space="preserve">مائتان وأربعة</t>
  </si>
  <si>
    <t xml:space="preserve">مائتان وأربعة آلاف</t>
  </si>
  <si>
    <t xml:space="preserve">مائتان وأربعة ملايين</t>
  </si>
  <si>
    <t xml:space="preserve">مائتان وأربعة هللات</t>
  </si>
  <si>
    <t xml:space="preserve">مائتان وخمسة</t>
  </si>
  <si>
    <t xml:space="preserve">مائتان وخمسة آلاف</t>
  </si>
  <si>
    <t xml:space="preserve">مائتان وخمسة ملايين</t>
  </si>
  <si>
    <t xml:space="preserve">مائتان وخمسة هللات</t>
  </si>
  <si>
    <t xml:space="preserve">مائتان وستة</t>
  </si>
  <si>
    <t xml:space="preserve">مائتان وستة آلاف</t>
  </si>
  <si>
    <t xml:space="preserve">مائتان وستة ملايين</t>
  </si>
  <si>
    <t xml:space="preserve">مائتان وستة هللات</t>
  </si>
  <si>
    <t xml:space="preserve">مائتان وسبعة</t>
  </si>
  <si>
    <t xml:space="preserve">مائتان وسبعة آلاف</t>
  </si>
  <si>
    <t xml:space="preserve">مائتان وسبعة ملايين</t>
  </si>
  <si>
    <t xml:space="preserve">مائتان وسبعة هللات</t>
  </si>
  <si>
    <t xml:space="preserve">مائتان وثمانية</t>
  </si>
  <si>
    <t xml:space="preserve">مائتان وثمانية آلاف</t>
  </si>
  <si>
    <t xml:space="preserve">مائتان وثمانية ملايين</t>
  </si>
  <si>
    <t xml:space="preserve">مائتان وثمانية هللات</t>
  </si>
  <si>
    <t xml:space="preserve">مائتان وتسعة</t>
  </si>
  <si>
    <t xml:space="preserve">مائتان وتسعة آلاف</t>
  </si>
  <si>
    <t xml:space="preserve">مائتان وتسعة ملايين</t>
  </si>
  <si>
    <t xml:space="preserve">مائتان وتسعة هللات</t>
  </si>
  <si>
    <t xml:space="preserve">مائتان وعشرة</t>
  </si>
  <si>
    <t xml:space="preserve">مائتان وعشرة آلاف</t>
  </si>
  <si>
    <t xml:space="preserve">مائتان وعشرة ملايين</t>
  </si>
  <si>
    <t xml:space="preserve">مائتان وعشرة هللات</t>
  </si>
  <si>
    <t xml:space="preserve">مائتان وأحد عشر</t>
  </si>
  <si>
    <t xml:space="preserve">مائتان وأحد عشر ألفاً</t>
  </si>
  <si>
    <t xml:space="preserve">مائتان وأحد عشر مليوناً</t>
  </si>
  <si>
    <t xml:space="preserve">مائتان وأحد عشر هللة</t>
  </si>
  <si>
    <t xml:space="preserve">مائتان واثنا عشر</t>
  </si>
  <si>
    <t xml:space="preserve">مائتان واثنا عشر ألفاً</t>
  </si>
  <si>
    <t xml:space="preserve">مائتان واثنا عشر مليوناً</t>
  </si>
  <si>
    <t xml:space="preserve">مائتان واثنا عشر هللة</t>
  </si>
  <si>
    <t xml:space="preserve">مائتان وثلاثة عشر</t>
  </si>
  <si>
    <t xml:space="preserve">مائتان وثلاثة عشر ألفاً</t>
  </si>
  <si>
    <t xml:space="preserve">مائتان وثلاثة عشر مليوناً</t>
  </si>
  <si>
    <t xml:space="preserve">مائتان وثلاثة عشر هللة</t>
  </si>
  <si>
    <t xml:space="preserve">مائتان وأربعة عشر</t>
  </si>
  <si>
    <t xml:space="preserve">مائتان وأربعة عشر ألفاً</t>
  </si>
  <si>
    <t xml:space="preserve">مائتان وأربعة عشر مليوناً</t>
  </si>
  <si>
    <t xml:space="preserve">مائتان وأربعة عشر هللة</t>
  </si>
  <si>
    <t xml:space="preserve">مائتان وخمسة عشر</t>
  </si>
  <si>
    <t xml:space="preserve">مائتان وخمسة عشر ألفاً</t>
  </si>
  <si>
    <t xml:space="preserve">مائتان وخمسة عشر مليوناً</t>
  </si>
  <si>
    <t xml:space="preserve">مائتان وخمسة عشر هللة</t>
  </si>
  <si>
    <t xml:space="preserve">مائتان وستة عشر</t>
  </si>
  <si>
    <t xml:space="preserve">مائتان وستة عشر ألفاً</t>
  </si>
  <si>
    <t xml:space="preserve">مائتان وستة عشر مليوناً</t>
  </si>
  <si>
    <t xml:space="preserve">مائتان وستة عشر هللة</t>
  </si>
  <si>
    <t xml:space="preserve">مائتان وسبعة عشر</t>
  </si>
  <si>
    <t xml:space="preserve">مائتان وسبعة عشر ألفاً</t>
  </si>
  <si>
    <t xml:space="preserve">مائتان وسبعة عشر مليوناً</t>
  </si>
  <si>
    <t xml:space="preserve">مائتان وسبعة عشر هللة</t>
  </si>
  <si>
    <t xml:space="preserve">مائتان وثمانية عشر</t>
  </si>
  <si>
    <t xml:space="preserve">مائتان وثمانية عشر ألفاً</t>
  </si>
  <si>
    <t xml:space="preserve">مائتان وثمانية عشر مليوناً</t>
  </si>
  <si>
    <t xml:space="preserve">مائتان وثمانية عشر هللة</t>
  </si>
  <si>
    <t xml:space="preserve">مائتان وتسعة عشر</t>
  </si>
  <si>
    <t xml:space="preserve">مائتان وتسعة عشر ألفاً</t>
  </si>
  <si>
    <t xml:space="preserve">مائتان وتسعة عشر مليوناً</t>
  </si>
  <si>
    <t xml:space="preserve">مائتان وتسعة عشر هللة</t>
  </si>
  <si>
    <t xml:space="preserve">مائتان وعشرون</t>
  </si>
  <si>
    <t xml:space="preserve">مائتان وعشرون ألفاً</t>
  </si>
  <si>
    <t xml:space="preserve">مائتان وعشرون مليوناً</t>
  </si>
  <si>
    <t xml:space="preserve">مائتان وعشرون هللة</t>
  </si>
  <si>
    <t xml:space="preserve">مائتان وواحد وعشرون</t>
  </si>
  <si>
    <t xml:space="preserve">مائتان وواحد وعشرون ألفاً</t>
  </si>
  <si>
    <t xml:space="preserve">مائتان وواحد وعشرون مليوناً</t>
  </si>
  <si>
    <t xml:space="preserve">مائتان وواحد وعشرون هللة</t>
  </si>
  <si>
    <t xml:space="preserve">مائتان واثنان وعشرون</t>
  </si>
  <si>
    <t xml:space="preserve">مائتان واثنان وعشرون ألفاً</t>
  </si>
  <si>
    <t xml:space="preserve">مائتان واثنان وعشرون مليوناً</t>
  </si>
  <si>
    <t xml:space="preserve">مائتان واثنان وعشرون هللة</t>
  </si>
  <si>
    <t xml:space="preserve">مائتان وثلاثة وعشرون</t>
  </si>
  <si>
    <t xml:space="preserve">مائتان وثلاثة وعشرون ألفاً</t>
  </si>
  <si>
    <t xml:space="preserve">مائتان وثلاثة وعشرون مليوناً</t>
  </si>
  <si>
    <t xml:space="preserve">مائتان وثلاثة وعشرون هللة</t>
  </si>
  <si>
    <t xml:space="preserve">مائتان وأربعة وعشرون</t>
  </si>
  <si>
    <t xml:space="preserve">مائتان وأربعة وعشرون ألفاً</t>
  </si>
  <si>
    <t xml:space="preserve">مائتان وأربعة وعشرون مليوناً</t>
  </si>
  <si>
    <t xml:space="preserve">مائتان وأربعة وعشرون هللة</t>
  </si>
  <si>
    <t xml:space="preserve">مائتان وخمسة وعشرون</t>
  </si>
  <si>
    <t xml:space="preserve">مائتان وخمسة وعشرون ألفاً</t>
  </si>
  <si>
    <t xml:space="preserve">مائتان وخمسة وعشرون مليوناً</t>
  </si>
  <si>
    <t xml:space="preserve">مائتان وخمسة وعشرون هللة</t>
  </si>
  <si>
    <t xml:space="preserve">مائتان وستة وعشرون</t>
  </si>
  <si>
    <t xml:space="preserve">مائتان وستة وعشرون ألفاً</t>
  </si>
  <si>
    <t xml:space="preserve">مائتان وستة وعشرون مليوناً</t>
  </si>
  <si>
    <t xml:space="preserve">مائتان وستة وعشرون هللة</t>
  </si>
  <si>
    <t xml:space="preserve">مائتان وسبعة وعشرون</t>
  </si>
  <si>
    <t xml:space="preserve">مائتان وسبعة وعشرون ألفاً</t>
  </si>
  <si>
    <t xml:space="preserve">مائتان وسبعة وعشرون مليوناً</t>
  </si>
  <si>
    <t xml:space="preserve">مائتان وسبعة وعشرون هللة</t>
  </si>
  <si>
    <t xml:space="preserve">مائتان وثمانية وعشرون</t>
  </si>
  <si>
    <t xml:space="preserve">مائتان وثمانية وعشرون ألفاً</t>
  </si>
  <si>
    <t xml:space="preserve">مائتان وثمانية وعشرون مليوناً</t>
  </si>
  <si>
    <t xml:space="preserve">مائتان وثمانية وعشرون هللة</t>
  </si>
  <si>
    <t xml:space="preserve">مائتان وتسعة وعشرون</t>
  </si>
  <si>
    <t xml:space="preserve">مائتان وتسعة وعشرون ألفاً</t>
  </si>
  <si>
    <t xml:space="preserve">مائتان وتسعة وعشرون مليوناً</t>
  </si>
  <si>
    <t xml:space="preserve">مائتان وتسعة وعشرون هللة</t>
  </si>
  <si>
    <t xml:space="preserve">مائتان وثلاثون</t>
  </si>
  <si>
    <t xml:space="preserve">مائتان وثلاثون ألفاً</t>
  </si>
  <si>
    <t xml:space="preserve">مائتان وثلاثون مليوناً</t>
  </si>
  <si>
    <t xml:space="preserve">مائتان وثلاثون هللة</t>
  </si>
  <si>
    <t xml:space="preserve">مائتان وواحد وثلاثون</t>
  </si>
  <si>
    <t xml:space="preserve">مائتان وواحد وثلاثون ألفاً</t>
  </si>
  <si>
    <t xml:space="preserve">مائتان وواحد وثلاثون مليوناً</t>
  </si>
  <si>
    <t xml:space="preserve">مائتان وواحد وثلاثون هللة</t>
  </si>
  <si>
    <t xml:space="preserve">مائتان واثنان وثلاثون</t>
  </si>
  <si>
    <t xml:space="preserve">مائتان واثنان وثلاثون ألفاً</t>
  </si>
  <si>
    <t xml:space="preserve">مائتان واثنان وثلاثون مليوناً</t>
  </si>
  <si>
    <t xml:space="preserve">مائتان واثنان وثلاثون هللة</t>
  </si>
  <si>
    <t xml:space="preserve">مائتان وثلاثة وثلاثون</t>
  </si>
  <si>
    <t xml:space="preserve">مائتان وثلاثة وثلاثون ألفاً</t>
  </si>
  <si>
    <t xml:space="preserve">مائتان وثلاثة وثلاثون مليوناً</t>
  </si>
  <si>
    <t xml:space="preserve">مائتان وثلاثة وثلاثون هللة</t>
  </si>
  <si>
    <t xml:space="preserve">مائتان وأربعة وثلاثون</t>
  </si>
  <si>
    <t xml:space="preserve">مائتان وأربعة وثلاثون ألفاً</t>
  </si>
  <si>
    <t xml:space="preserve">مائتان وأربعة وثلاثون مليوناً</t>
  </si>
  <si>
    <t xml:space="preserve">مائتان وأربعة وثلاثون هللة</t>
  </si>
  <si>
    <t xml:space="preserve">مائتان وخمسة وثلاثون</t>
  </si>
  <si>
    <t xml:space="preserve">مائتان وخمسة وثلاثون ألفاً</t>
  </si>
  <si>
    <t xml:space="preserve">مائتان وخمسة وثلاثون مليوناً</t>
  </si>
  <si>
    <t xml:space="preserve">مائتان وخمسة وثلاثون هللة</t>
  </si>
  <si>
    <t xml:space="preserve">مائتان وستة وثلاثون</t>
  </si>
  <si>
    <t xml:space="preserve">مائتان وستة وثلاثون ألفاً</t>
  </si>
  <si>
    <t xml:space="preserve">مائتان وستة وثلاثون مليوناً</t>
  </si>
  <si>
    <t xml:space="preserve">مائتان وستة وثلاثون هللة</t>
  </si>
  <si>
    <t xml:space="preserve">مائتان وسبعة وثلاثون</t>
  </si>
  <si>
    <t xml:space="preserve">مائتان وسبعة وثلاثون ألفاً</t>
  </si>
  <si>
    <t xml:space="preserve">مائتان وسبعة وثلاثون مليوناً</t>
  </si>
  <si>
    <t xml:space="preserve">مائتان وسبعة وثلاثون هللة</t>
  </si>
  <si>
    <t xml:space="preserve">مائتان وثمانية وثلاثون</t>
  </si>
  <si>
    <t xml:space="preserve">مائتان وثمانية وثلاثون ألفاً</t>
  </si>
  <si>
    <t xml:space="preserve">مائتان وثمانية وثلاثون مليوناً</t>
  </si>
  <si>
    <t xml:space="preserve">مائتان وثمانية وثلاثون هللة</t>
  </si>
  <si>
    <t xml:space="preserve">مائتان وتسعة وثلاثون</t>
  </si>
  <si>
    <t xml:space="preserve">مائتان وتسعة وثلاثون ألفاً</t>
  </si>
  <si>
    <t xml:space="preserve">مائتان وتسعة وثلاثون مليوناً</t>
  </si>
  <si>
    <t xml:space="preserve">مائتان وتسعة وثلاثون هللة</t>
  </si>
  <si>
    <t xml:space="preserve">مائتان وأربعون</t>
  </si>
  <si>
    <t xml:space="preserve">مائتان وأربعون ألفاً</t>
  </si>
  <si>
    <t xml:space="preserve">مائتان وأربعون مليوناً</t>
  </si>
  <si>
    <t xml:space="preserve">مائتان وأربعون هللة</t>
  </si>
  <si>
    <t xml:space="preserve">مائتان وواحد وأربعون</t>
  </si>
  <si>
    <t xml:space="preserve">مائتان وواحد وأربعون ألفاً</t>
  </si>
  <si>
    <t xml:space="preserve">مائتان وواحد وأربعون مليوناً</t>
  </si>
  <si>
    <t xml:space="preserve">مائتان وواحد وأربعون هللة</t>
  </si>
  <si>
    <t xml:space="preserve">مائتان واثنان وأربعون</t>
  </si>
  <si>
    <t xml:space="preserve">مائتان واثنان وأربعون ألفاً</t>
  </si>
  <si>
    <t xml:space="preserve">مائتان واثنان وأربعون مليوناً</t>
  </si>
  <si>
    <t xml:space="preserve">مائتان واثنان وأربعون هللة</t>
  </si>
  <si>
    <t xml:space="preserve">مائتان وثلاثة وأربعون</t>
  </si>
  <si>
    <t xml:space="preserve">مائتان وثلاثة وأربعون ألفاً</t>
  </si>
  <si>
    <t xml:space="preserve">مائتان وثلاثة وأربعون مليوناً</t>
  </si>
  <si>
    <t xml:space="preserve">مائتان وثلاثة وأربعون هللة</t>
  </si>
  <si>
    <t xml:space="preserve">مائتان وأربعة وأربعون</t>
  </si>
  <si>
    <t xml:space="preserve">مائتان وأربعة وأربعون ألفاً</t>
  </si>
  <si>
    <t xml:space="preserve">مائتان وأربعة وأربعون مليوناً</t>
  </si>
  <si>
    <t xml:space="preserve">مائتان وأربعة وأربعون هللة</t>
  </si>
  <si>
    <t xml:space="preserve">مائتان وخمسة وأربعون</t>
  </si>
  <si>
    <t xml:space="preserve">مائتان وخمسة وأربعون ألفاً</t>
  </si>
  <si>
    <t xml:space="preserve">مائتان وخمسة وأربعون مليوناً</t>
  </si>
  <si>
    <t xml:space="preserve">مائتان وخمسة وأربعون هللة</t>
  </si>
  <si>
    <t xml:space="preserve">مائتان وستة وأربعون</t>
  </si>
  <si>
    <t xml:space="preserve">مائتان وستة وأربعون ألفاً</t>
  </si>
  <si>
    <t xml:space="preserve">مائتان وستة وأربعون مليوناً</t>
  </si>
  <si>
    <t xml:space="preserve">مائتان وستة وأربعون هللة</t>
  </si>
  <si>
    <t xml:space="preserve">مائتان وسبعة وأربعون</t>
  </si>
  <si>
    <t xml:space="preserve">مائتان وسبعة وأربعون ألفاً</t>
  </si>
  <si>
    <t xml:space="preserve">مائتان وسبعة وأربعون مليوناً</t>
  </si>
  <si>
    <t xml:space="preserve">مائتان وسبعة وأربعون هللة</t>
  </si>
  <si>
    <t xml:space="preserve">مائتان وثمانية وأربعون</t>
  </si>
  <si>
    <t xml:space="preserve">مائتان وثمانية وأربعون ألفاً</t>
  </si>
  <si>
    <t xml:space="preserve">مائتان وثمانية وأربعون مليوناً</t>
  </si>
  <si>
    <t xml:space="preserve">مائتان وثمانية وأربعون هللة</t>
  </si>
  <si>
    <t xml:space="preserve">مائتان وتسعة وأربعون</t>
  </si>
  <si>
    <t xml:space="preserve">مائتان وتسعة وأربعون ألفاً</t>
  </si>
  <si>
    <t xml:space="preserve">مائتان وتسعة وأربعون مليوناً</t>
  </si>
  <si>
    <t xml:space="preserve">مائتان وتسعة وأربعون هللة</t>
  </si>
  <si>
    <t xml:space="preserve">مائتان وخمسون</t>
  </si>
  <si>
    <t xml:space="preserve">مائتان وخمسون ألفاً</t>
  </si>
  <si>
    <t xml:space="preserve">مائتان وخمسون مليوناً</t>
  </si>
  <si>
    <t xml:space="preserve">مائتان وخمسون هللة</t>
  </si>
  <si>
    <t xml:space="preserve">مائتان وواحد وخمسون</t>
  </si>
  <si>
    <t xml:space="preserve">مائتان وواحد وخمسون ألفاً</t>
  </si>
  <si>
    <t xml:space="preserve">مائتان وواحد وخمسون مليوناً</t>
  </si>
  <si>
    <t xml:space="preserve">مائتان وواحد وخمسون هللة</t>
  </si>
  <si>
    <t xml:space="preserve">مائتان واثنان وخمسون</t>
  </si>
  <si>
    <t xml:space="preserve">مائتان واثنان وخمسون ألفاً</t>
  </si>
  <si>
    <t xml:space="preserve">مائتان واثنان وخمسون مليوناً</t>
  </si>
  <si>
    <t xml:space="preserve">مائتان واثنان وخمسون هللة</t>
  </si>
  <si>
    <t xml:space="preserve">مائتان وثلاثة وخمسون</t>
  </si>
  <si>
    <t xml:space="preserve">مائتان وثلاثة وخمسون ألفاً</t>
  </si>
  <si>
    <t xml:space="preserve">مائتان وثلاثة وخمسون مليوناً</t>
  </si>
  <si>
    <t xml:space="preserve">مائتان وثلاثة وخمسون هللة</t>
  </si>
  <si>
    <t xml:space="preserve">مائتان وأربعة وخمسون</t>
  </si>
  <si>
    <t xml:space="preserve">مائتان وأربعة وخمسون ألفاً</t>
  </si>
  <si>
    <t xml:space="preserve">مائتان وأربعة وخمسون مليوناً</t>
  </si>
  <si>
    <t xml:space="preserve">مائتان وأربعة وخمسون هللة</t>
  </si>
  <si>
    <t xml:space="preserve">مائتان وخمسة وخمسون</t>
  </si>
  <si>
    <t xml:space="preserve">مائتان وخمسة وخمسون ألفاً</t>
  </si>
  <si>
    <t xml:space="preserve">مائتان وخمسة وخمسون مليوناً</t>
  </si>
  <si>
    <t xml:space="preserve">مائتان وخمسة وخمسون هللة</t>
  </si>
  <si>
    <t xml:space="preserve">مائتان وستة وخمسون</t>
  </si>
  <si>
    <t xml:space="preserve">مائتان وستة وخمسون ألفاً</t>
  </si>
  <si>
    <t xml:space="preserve">مائتان وستة وخمسون مليوناً</t>
  </si>
  <si>
    <t xml:space="preserve">مائتان وستة وخمسون هللة</t>
  </si>
  <si>
    <t xml:space="preserve">مائتان وسبعة وخمسون</t>
  </si>
  <si>
    <t xml:space="preserve">مائتان وسبعة وخمسون ألفاً</t>
  </si>
  <si>
    <t xml:space="preserve">مائتان وسبعة وخمسون مليوناً</t>
  </si>
  <si>
    <t xml:space="preserve">مائتان وسبعة وخمسون هللة</t>
  </si>
  <si>
    <t xml:space="preserve">مائتان وثمانية وخمسون</t>
  </si>
  <si>
    <t xml:space="preserve">مائتان وثمانية وخمسون ألفاً</t>
  </si>
  <si>
    <t xml:space="preserve">مائتان وثمانية وخمسون مليوناً</t>
  </si>
  <si>
    <t xml:space="preserve">مائتان وثمانية وخمسون هللة</t>
  </si>
  <si>
    <t xml:space="preserve">مائتان وتسعة وخمسون</t>
  </si>
  <si>
    <t xml:space="preserve">مائتان وتسعة وخمسون ألفاً</t>
  </si>
  <si>
    <t xml:space="preserve">مائتان وتسعة وخمسون مليوناً</t>
  </si>
  <si>
    <t xml:space="preserve">مائتان وتسعة وخمسون هللة</t>
  </si>
  <si>
    <t xml:space="preserve">مائتان وستون</t>
  </si>
  <si>
    <t xml:space="preserve">مائتان وستون ألفاً</t>
  </si>
  <si>
    <t xml:space="preserve">مائتان وستون مليوناً</t>
  </si>
  <si>
    <t xml:space="preserve">مائتان وستون هللة</t>
  </si>
  <si>
    <t xml:space="preserve">مائتان وواحد وستون</t>
  </si>
  <si>
    <t xml:space="preserve">مائتان وواحد وستون ألفاً</t>
  </si>
  <si>
    <t xml:space="preserve">مائتان وواحد وستون مليوناً</t>
  </si>
  <si>
    <t xml:space="preserve">مائتان وواحد وستون هللة</t>
  </si>
  <si>
    <t xml:space="preserve">مائتان واثنان وستون</t>
  </si>
  <si>
    <t xml:space="preserve">مائتان واثنان وستون ألفاً</t>
  </si>
  <si>
    <t xml:space="preserve">مائتان واثنان وستون مليوناً</t>
  </si>
  <si>
    <t xml:space="preserve">مائتان واثنان وستون هللة</t>
  </si>
  <si>
    <t xml:space="preserve">مائتان وثلاثة وستون</t>
  </si>
  <si>
    <t xml:space="preserve">مائتان وثلاثة وستون ألفاً</t>
  </si>
  <si>
    <t xml:space="preserve">مائتان وثلاثة وستون مليوناً</t>
  </si>
  <si>
    <t xml:space="preserve">مائتان وثلاثة وستون هللة</t>
  </si>
  <si>
    <t xml:space="preserve">مائتان وأربعة وستون</t>
  </si>
  <si>
    <t xml:space="preserve">مائتان وأربعة وستون ألفاً</t>
  </si>
  <si>
    <t xml:space="preserve">مائتان وأربعة وستون مليوناً</t>
  </si>
  <si>
    <t xml:space="preserve">مائتان وأربعة وستون هللة</t>
  </si>
  <si>
    <t xml:space="preserve">مائتان وخمسة وستون</t>
  </si>
  <si>
    <t xml:space="preserve">مائتان وخمسة وستون ألفاً</t>
  </si>
  <si>
    <t xml:space="preserve">مائتان وخمسة وستون مليوناً</t>
  </si>
  <si>
    <t xml:space="preserve">مائتان وخمسة وستون هللة</t>
  </si>
  <si>
    <t xml:space="preserve">مائتان وستة وستون</t>
  </si>
  <si>
    <t xml:space="preserve">مائتان وستة وستون ألفاً</t>
  </si>
  <si>
    <t xml:space="preserve">مائتان وستة وستون مليوناً</t>
  </si>
  <si>
    <t xml:space="preserve">مائتان وستة وستون هللة</t>
  </si>
  <si>
    <t xml:space="preserve">مائتان وسبعة وستون</t>
  </si>
  <si>
    <t xml:space="preserve">مائتان وسبعة وستون ألفاً</t>
  </si>
  <si>
    <t xml:space="preserve">مائتان وسبعة وستون مليوناً</t>
  </si>
  <si>
    <t xml:space="preserve">مائتان وسبعة وستون هللة</t>
  </si>
  <si>
    <t xml:space="preserve">مائتان وثمانية وستون</t>
  </si>
  <si>
    <t xml:space="preserve">مائتان وثمانية وستون ألفاً</t>
  </si>
  <si>
    <t xml:space="preserve">مائتان وثمانية وستون مليوناً</t>
  </si>
  <si>
    <t xml:space="preserve">مائتان وثمانية وستون هللة</t>
  </si>
  <si>
    <t xml:space="preserve">مائتان وتسعة وستون</t>
  </si>
  <si>
    <t xml:space="preserve">مائتان وتسعة وستون ألفاً</t>
  </si>
  <si>
    <t xml:space="preserve">مائتان وتسعة وستون مليوناً</t>
  </si>
  <si>
    <t xml:space="preserve">مائتان وتسعة وستون هللة</t>
  </si>
  <si>
    <t xml:space="preserve">مائتان وسبعون</t>
  </si>
  <si>
    <t xml:space="preserve">مائتان وسبعون ألفاً</t>
  </si>
  <si>
    <t xml:space="preserve">مائتان وسبعون مليوناً</t>
  </si>
  <si>
    <t xml:space="preserve">مائتان وسبعون هللة</t>
  </si>
  <si>
    <t xml:space="preserve">مائتان وواحد وسبعون</t>
  </si>
  <si>
    <t xml:space="preserve">مائتان وواحد وسبعون ألفاً</t>
  </si>
  <si>
    <t xml:space="preserve">مائتان وواحد وسبعون مليوناً</t>
  </si>
  <si>
    <t xml:space="preserve">مائتان وواحد وسبعون هللة</t>
  </si>
  <si>
    <t xml:space="preserve">مائتان واثنان وسبعون</t>
  </si>
  <si>
    <t xml:space="preserve">مائتان واثنان وسبعون ألفاً</t>
  </si>
  <si>
    <t xml:space="preserve">مائتان واثنان وسبعون مليوناً</t>
  </si>
  <si>
    <t xml:space="preserve">مائتان واثنان وسبعون هللة</t>
  </si>
  <si>
    <t xml:space="preserve">مائتان وثلاثة وسبعون</t>
  </si>
  <si>
    <t xml:space="preserve">مائتان وثلاثة وسبعون ألفاً</t>
  </si>
  <si>
    <t xml:space="preserve">مائتان وثلاثة وسبعون مليوناً</t>
  </si>
  <si>
    <t xml:space="preserve">مائتان وثلاثة وسبعون هللة</t>
  </si>
  <si>
    <t xml:space="preserve">مائتان وأربعة وسبعون</t>
  </si>
  <si>
    <t xml:space="preserve">مائتان وأربعة وسبعون ألفاً</t>
  </si>
  <si>
    <t xml:space="preserve">مائتان وأربعة وسبعون مليوناً</t>
  </si>
  <si>
    <t xml:space="preserve">مائتان وأربعة وسبعون هللة</t>
  </si>
  <si>
    <t xml:space="preserve">مائتان وخمسة وسبعون</t>
  </si>
  <si>
    <t xml:space="preserve">مائتان وخمسة وسبعون ألفاً</t>
  </si>
  <si>
    <t xml:space="preserve">مائتان وخمسة وسبعون مليوناً</t>
  </si>
  <si>
    <t xml:space="preserve">مائتان وخمسة وسبعون هللة</t>
  </si>
  <si>
    <t xml:space="preserve">مائتان وستة وسبعون</t>
  </si>
  <si>
    <t xml:space="preserve">مائتان وستة وسبعون ألفاً</t>
  </si>
  <si>
    <t xml:space="preserve">مائتان وستة وسبعون مليوناً</t>
  </si>
  <si>
    <t xml:space="preserve">مائتان وستة وسبعون هللة</t>
  </si>
  <si>
    <t xml:space="preserve">مائتان وسبعة وسبعون</t>
  </si>
  <si>
    <t xml:space="preserve">مائتان وسبعة وسبعون ألفاً</t>
  </si>
  <si>
    <t xml:space="preserve">مائتان وسبعة وسبعون مليوناً</t>
  </si>
  <si>
    <t xml:space="preserve">مائتان وسبعة وسبعون هللة</t>
  </si>
  <si>
    <t xml:space="preserve">مائتان وثمانية وسبعون</t>
  </si>
  <si>
    <t xml:space="preserve">مائتان وثمانية وسبعون ألفاً</t>
  </si>
  <si>
    <t xml:space="preserve">مائتان وثمانية وسبعون مليوناً</t>
  </si>
  <si>
    <t xml:space="preserve">مائتان وثمانية وسبعون هللة</t>
  </si>
  <si>
    <t xml:space="preserve">مائتان وتسعة وسبعون</t>
  </si>
  <si>
    <t xml:space="preserve">مائتان وتسعة وسبعون ألفاً</t>
  </si>
  <si>
    <t xml:space="preserve">مائتان وتسعة وسبعون مليوناً</t>
  </si>
  <si>
    <t xml:space="preserve">مائتان وتسعة وسبعون هللة</t>
  </si>
  <si>
    <t xml:space="preserve">مائتان وثمانون</t>
  </si>
  <si>
    <t xml:space="preserve">مائتان وثمانون ألفاً</t>
  </si>
  <si>
    <t xml:space="preserve">مائتان وثمانون مليوناً</t>
  </si>
  <si>
    <t xml:space="preserve">مائتان وثمانون هللة</t>
  </si>
  <si>
    <t xml:space="preserve">مائتان وواحد وثمانون</t>
  </si>
  <si>
    <t xml:space="preserve">مائتان وواحد وثمانون ألفاً</t>
  </si>
  <si>
    <t xml:space="preserve">مائتان وواحد وثمانون مليوناً</t>
  </si>
  <si>
    <t xml:space="preserve">مائتان وواحد وثمانون هللة</t>
  </si>
  <si>
    <t xml:space="preserve">مائتان واثنان وثمانون</t>
  </si>
  <si>
    <t xml:space="preserve">مائتان واثنان وثمانون ألفاً</t>
  </si>
  <si>
    <t xml:space="preserve">مائتان واثنان وثمانون مليوناً</t>
  </si>
  <si>
    <t xml:space="preserve">مائتان واثنان وثمانون هللة</t>
  </si>
  <si>
    <t xml:space="preserve">مائتان وثلاثة وثمانون</t>
  </si>
  <si>
    <t xml:space="preserve">مائتان وثلاثة وثمانون ألفاً</t>
  </si>
  <si>
    <t xml:space="preserve">مائتان وثلاثة وثمانون مليوناً</t>
  </si>
  <si>
    <t xml:space="preserve">مائتان وثلاثة وثمانون هللة</t>
  </si>
  <si>
    <t xml:space="preserve">مائتان وأربعة وثمانون</t>
  </si>
  <si>
    <t xml:space="preserve">مائتان وأربعة وثمانون ألفاً</t>
  </si>
  <si>
    <t xml:space="preserve">مائتان وأربعة وثمانون مليوناً</t>
  </si>
  <si>
    <t xml:space="preserve">مائتان وأربعة وثمانون هللة</t>
  </si>
  <si>
    <t xml:space="preserve">مائتان وخمسة وثمانون</t>
  </si>
  <si>
    <t xml:space="preserve">مائتان وخمسة وثمانون ألفاً</t>
  </si>
  <si>
    <t xml:space="preserve">مائتان وخمسة وثمانون مليوناً</t>
  </si>
  <si>
    <t xml:space="preserve">مائتان وخمسة وثمانون هللة</t>
  </si>
  <si>
    <t xml:space="preserve">مائتان وستة وثمانون</t>
  </si>
  <si>
    <t xml:space="preserve">مائتان وستة وثمانون ألفاً</t>
  </si>
  <si>
    <t xml:space="preserve">مائتان وستة وثمانون مليوناً</t>
  </si>
  <si>
    <t xml:space="preserve">مائتان وستة وثمانون هللة</t>
  </si>
  <si>
    <t xml:space="preserve">مائتان وسبعة وثمانون</t>
  </si>
  <si>
    <t xml:space="preserve">مائتان وسبعة وثمانون ألفاً</t>
  </si>
  <si>
    <t xml:space="preserve">مائتان وسبعة وثمانون مليوناً</t>
  </si>
  <si>
    <t xml:space="preserve">مائتان وسبعة وثمانون هللة</t>
  </si>
  <si>
    <t xml:space="preserve">مائتان وثمانية وثمانون</t>
  </si>
  <si>
    <t xml:space="preserve">مائتان وثمانية وثمانون ألفاً</t>
  </si>
  <si>
    <t xml:space="preserve">مائتان وثمانية وثمانون مليوناً</t>
  </si>
  <si>
    <t xml:space="preserve">مائتان وثمانية وثمانون هللة</t>
  </si>
  <si>
    <t xml:space="preserve">مائتان وتسعة وثمانون</t>
  </si>
  <si>
    <t xml:space="preserve">مائتان وتسعة وثمانون ألفاً</t>
  </si>
  <si>
    <t xml:space="preserve">مائتان وتسعة وثمانون مليوناً</t>
  </si>
  <si>
    <t xml:space="preserve">مائتان وتسعة وثمانون هللة</t>
  </si>
  <si>
    <t xml:space="preserve">مائتان وتسعون</t>
  </si>
  <si>
    <t xml:space="preserve">مائتان وتسعون ألفاً</t>
  </si>
  <si>
    <t xml:space="preserve">مائتان وتسعون مليوناً</t>
  </si>
  <si>
    <t xml:space="preserve">مائتان وتسعون هللة</t>
  </si>
  <si>
    <t xml:space="preserve">مائتان وواحد وتسعون</t>
  </si>
  <si>
    <t xml:space="preserve">مائتان وواحد وتسعون ألفاً</t>
  </si>
  <si>
    <t xml:space="preserve">مائتان وواحد وتسعون مليوناً</t>
  </si>
  <si>
    <t xml:space="preserve">مائتان وواحد وتسعون هللة</t>
  </si>
  <si>
    <t xml:space="preserve">مائتان واثنان وتسعون</t>
  </si>
  <si>
    <t xml:space="preserve">مائتان واثنان وتسعون ألفاً</t>
  </si>
  <si>
    <t xml:space="preserve">مائتان واثنان وتسعون مليوناً</t>
  </si>
  <si>
    <t xml:space="preserve">مائتان واثنان وتسعون هللة</t>
  </si>
  <si>
    <t xml:space="preserve">مائتان وثلاثة وتسعون</t>
  </si>
  <si>
    <t xml:space="preserve">مائتان وثلاثة وتسعون ألفاً</t>
  </si>
  <si>
    <t xml:space="preserve">مائتان وثلاثة وتسعون مليوناً</t>
  </si>
  <si>
    <t xml:space="preserve">مائتان وثلاثة وتسعون هللة</t>
  </si>
  <si>
    <t xml:space="preserve">مائتان وأربعة وتسعون</t>
  </si>
  <si>
    <t xml:space="preserve">مائتان وأربعة وتسعون ألفاً</t>
  </si>
  <si>
    <t xml:space="preserve">مائتان وأربعة وتسعون مليوناً</t>
  </si>
  <si>
    <t xml:space="preserve">مائتان وأربعة وتسعون هللة</t>
  </si>
  <si>
    <t xml:space="preserve">مائتان وخمسة وتسعون</t>
  </si>
  <si>
    <t xml:space="preserve">مائتان وخمسة وتسعون ألفاً</t>
  </si>
  <si>
    <t xml:space="preserve">مائتان وخمسة وتسعون مليوناً</t>
  </si>
  <si>
    <t xml:space="preserve">مائتان وخمسة وتسعون هللة</t>
  </si>
  <si>
    <t xml:space="preserve">مائتان وستة وتسعون</t>
  </si>
  <si>
    <t xml:space="preserve">مائتان وستة وتسعون ألفاً</t>
  </si>
  <si>
    <t xml:space="preserve">مائتان وستة وتسعون مليوناً</t>
  </si>
  <si>
    <t xml:space="preserve">مائتان وستة وتسعون هللة</t>
  </si>
  <si>
    <t xml:space="preserve">مائتان وسبعة وتسعون</t>
  </si>
  <si>
    <t xml:space="preserve">مائتان وسبعة وتسعون ألفاً</t>
  </si>
  <si>
    <t xml:space="preserve">مائتان وسبعة وتسعون مليوناً</t>
  </si>
  <si>
    <t xml:space="preserve">مائتان وسبعة وتسعون هللة</t>
  </si>
  <si>
    <t xml:space="preserve">مائتان وثمانية وتسعون</t>
  </si>
  <si>
    <t xml:space="preserve">مائتان وثمانية وتسعون ألفاً</t>
  </si>
  <si>
    <t xml:space="preserve">مائتان وثمانية وتسعون مليوناً</t>
  </si>
  <si>
    <t xml:space="preserve">مائتان وثمانية وتسعون هللة</t>
  </si>
  <si>
    <t xml:space="preserve">مائتان وتسعة وتسعون</t>
  </si>
  <si>
    <t xml:space="preserve">مائتان وتسعة وتسعون ألفاً</t>
  </si>
  <si>
    <t xml:space="preserve">مائتان وتسعة وتسعون مليوناً</t>
  </si>
  <si>
    <t xml:space="preserve">مائتان وتسعة وتسعون هللة</t>
  </si>
  <si>
    <t xml:space="preserve">ثلاثمائة</t>
  </si>
  <si>
    <t xml:space="preserve">ثلاثمائة ألف</t>
  </si>
  <si>
    <t xml:space="preserve">ثلاثمائة مليون</t>
  </si>
  <si>
    <t xml:space="preserve">ثلاثمائة هللة</t>
  </si>
  <si>
    <t xml:space="preserve">ثلاثمائة وواحد</t>
  </si>
  <si>
    <t xml:space="preserve">ثلاثمائة وواحد ألف</t>
  </si>
  <si>
    <t xml:space="preserve">ثلاثمائة وواحد مليون</t>
  </si>
  <si>
    <t xml:space="preserve">ثلاثمائة وواحد هللة</t>
  </si>
  <si>
    <t xml:space="preserve">ثلاثمائة واثنان</t>
  </si>
  <si>
    <t xml:space="preserve">ثلاثمائة واثنان ألف</t>
  </si>
  <si>
    <t xml:space="preserve">ثلاثمائة واثنان مليون</t>
  </si>
  <si>
    <t xml:space="preserve">ثلاثمائة واثنان هللة</t>
  </si>
  <si>
    <t xml:space="preserve">ثلاثمائة وثلاثة</t>
  </si>
  <si>
    <t xml:space="preserve">ثلاثمائة وثلاثة آلاف</t>
  </si>
  <si>
    <t xml:space="preserve">ثلاثمائة وثلاثة ملايين</t>
  </si>
  <si>
    <t xml:space="preserve">ثلاثمائة وثلاثة هللات</t>
  </si>
  <si>
    <t xml:space="preserve">ثلاثمائة وأربعة</t>
  </si>
  <si>
    <t xml:space="preserve">ثلاثمائة وأربعة آلاف</t>
  </si>
  <si>
    <t xml:space="preserve">ثلاثمائة وأربعة ملايين</t>
  </si>
  <si>
    <t xml:space="preserve">ثلاثمائة وأربعة هللات</t>
  </si>
  <si>
    <t xml:space="preserve">ثلاثمائة وخمسة</t>
  </si>
  <si>
    <t xml:space="preserve">ثلاثمائة وخمسة آلاف</t>
  </si>
  <si>
    <t xml:space="preserve">ثلاثمائة وخمسة ملايين</t>
  </si>
  <si>
    <t xml:space="preserve">ثلاثمائة وخمسة هللات</t>
  </si>
  <si>
    <t xml:space="preserve">ثلاثمائة وستة</t>
  </si>
  <si>
    <t xml:space="preserve">ثلاثمائة وستة آلاف</t>
  </si>
  <si>
    <t xml:space="preserve">ثلاثمائة وستة ملايين</t>
  </si>
  <si>
    <t xml:space="preserve">ثلاثمائة وستة هللات</t>
  </si>
  <si>
    <t xml:space="preserve">ثلاثمائة وسبعة</t>
  </si>
  <si>
    <t xml:space="preserve">ثلاثمائة وسبعة آلاف</t>
  </si>
  <si>
    <t xml:space="preserve">ثلاثمائة وسبعة ملايين</t>
  </si>
  <si>
    <t xml:space="preserve">ثلاثمائة وسبعة هللات</t>
  </si>
  <si>
    <t xml:space="preserve">ثلاثمائة وثمانية</t>
  </si>
  <si>
    <t xml:space="preserve">ثلاثمائة وثمانية آلاف</t>
  </si>
  <si>
    <t xml:space="preserve">ثلاثمائة وثمانية ملايين</t>
  </si>
  <si>
    <t xml:space="preserve">ثلاثمائة وثمانية هللات</t>
  </si>
  <si>
    <t xml:space="preserve">ثلاثمائة وتسعة</t>
  </si>
  <si>
    <t xml:space="preserve">ثلاثمائة وتسعة آلاف</t>
  </si>
  <si>
    <t xml:space="preserve">ثلاثمائة وتسعة ملايين</t>
  </si>
  <si>
    <t xml:space="preserve">ثلاثمائة وتسعة هللات</t>
  </si>
  <si>
    <t xml:space="preserve">ثلاثمائة وعشرة</t>
  </si>
  <si>
    <t xml:space="preserve">ثلاثمائة وعشرة آلاف</t>
  </si>
  <si>
    <t xml:space="preserve">ثلاثمائة وعشرة ملايين</t>
  </si>
  <si>
    <t xml:space="preserve">ثلاثمائة وعشرة هللات</t>
  </si>
  <si>
    <t xml:space="preserve">ثلاثمائة وأحد عشر</t>
  </si>
  <si>
    <t xml:space="preserve">ثلاثمائة وأحد عشر ألفاً</t>
  </si>
  <si>
    <t xml:space="preserve">ثلاثمائة وأحد عشر مليوناً</t>
  </si>
  <si>
    <t xml:space="preserve">ثلاثمائة وأحد عشر هللة</t>
  </si>
  <si>
    <t xml:space="preserve">ثلاثمائة واثنا عشر</t>
  </si>
  <si>
    <t xml:space="preserve">ثلاثمائة واثنا عشر ألفاً</t>
  </si>
  <si>
    <t xml:space="preserve">ثلاثمائة واثنا عشر مليوناً</t>
  </si>
  <si>
    <t xml:space="preserve">ثلاثمائة واثنا عشر هللة</t>
  </si>
  <si>
    <t xml:space="preserve">ثلاثمائة وثلاثة عشر</t>
  </si>
  <si>
    <t xml:space="preserve">ثلاثمائة وثلاثة عشر ألفاً</t>
  </si>
  <si>
    <t xml:space="preserve">ثلاثمائة وثلاثة عشر مليوناً</t>
  </si>
  <si>
    <t xml:space="preserve">ثلاثمائة وثلاثة عشر هللة</t>
  </si>
  <si>
    <t xml:space="preserve">ثلاثمائة وأربعة عشر</t>
  </si>
  <si>
    <t xml:space="preserve">ثلاثمائة وأربعة عشر ألفاً</t>
  </si>
  <si>
    <t xml:space="preserve">ثلاثمائة وأربعة عشر مليوناً</t>
  </si>
  <si>
    <t xml:space="preserve">ثلاثمائة وأربعة عشر هللة</t>
  </si>
  <si>
    <t xml:space="preserve">ثلاثمائة وخمسة عشر</t>
  </si>
  <si>
    <t xml:space="preserve">ثلاثمائة وخمسة عشر ألفاً</t>
  </si>
  <si>
    <t xml:space="preserve">ثلاثمائة وخمسة عشر مليوناً</t>
  </si>
  <si>
    <t xml:space="preserve">ثلاثمائة وخمسة عشر هللة</t>
  </si>
  <si>
    <t xml:space="preserve">ثلاثمائة وستة عشر</t>
  </si>
  <si>
    <t xml:space="preserve">ثلاثمائة وستة عشر ألفاً</t>
  </si>
  <si>
    <t xml:space="preserve">ثلاثمائة وستة عشر مليوناً</t>
  </si>
  <si>
    <t xml:space="preserve">ثلاثمائة وستة عشر هللة</t>
  </si>
  <si>
    <t xml:space="preserve">ثلاثمائة وسبعة عشر</t>
  </si>
  <si>
    <t xml:space="preserve">ثلاثمائة وسبعة عشر ألفاً</t>
  </si>
  <si>
    <t xml:space="preserve">ثلاثمائة وسبعة عشر مليوناً</t>
  </si>
  <si>
    <t xml:space="preserve">ثلاثمائة وسبعة عشر هللة</t>
  </si>
  <si>
    <t xml:space="preserve">ثلاثمائة وثمانية عشر</t>
  </si>
  <si>
    <t xml:space="preserve">ثلاثمائة وثمانية عشر ألفاً</t>
  </si>
  <si>
    <t xml:space="preserve">ثلاثمائة وثمانية عشر مليوناً</t>
  </si>
  <si>
    <t xml:space="preserve">ثلاثمائة وثمانية عشر هللة</t>
  </si>
  <si>
    <t xml:space="preserve">ثلاثمائة وتسعة عشر</t>
  </si>
  <si>
    <t xml:space="preserve">ثلاثمائة وتسعة عشر ألفاً</t>
  </si>
  <si>
    <t xml:space="preserve">ثلاثمائة وتسعة عشر مليوناً</t>
  </si>
  <si>
    <t xml:space="preserve">ثلاثمائة وتسعة عشر هللة</t>
  </si>
  <si>
    <t xml:space="preserve">ثلاثمائة وعشرون</t>
  </si>
  <si>
    <t xml:space="preserve">ثلاثمائة وعشرون ألفاً</t>
  </si>
  <si>
    <t xml:space="preserve">ثلاثمائة وعشرون مليوناً</t>
  </si>
  <si>
    <t xml:space="preserve">ثلاثمائة وعشرون هللة</t>
  </si>
  <si>
    <t xml:space="preserve">ثلاثمائة وواحد وعشرون</t>
  </si>
  <si>
    <t xml:space="preserve">ثلاثمائة وواحد وعشرون ألفاً</t>
  </si>
  <si>
    <t xml:space="preserve">ثلاثمائة وواحد وعشرون مليوناً</t>
  </si>
  <si>
    <t xml:space="preserve">ثلاثمائة وواحد وعشرون هللة</t>
  </si>
  <si>
    <t xml:space="preserve">ثلاثمائة واثنان وعشرون</t>
  </si>
  <si>
    <t xml:space="preserve">ثلاثمائة واثنان وعشرون ألفاً</t>
  </si>
  <si>
    <t xml:space="preserve">ثلاثمائة واثنان وعشرون مليوناً</t>
  </si>
  <si>
    <t xml:space="preserve">ثلاثمائة واثنان وعشرون هللة</t>
  </si>
  <si>
    <t xml:space="preserve">ثلاثمائة وثلاثة وعشرون</t>
  </si>
  <si>
    <t xml:space="preserve">ثلاثمائة وثلاثة وعشرون ألفاً</t>
  </si>
  <si>
    <t xml:space="preserve">ثلاثمائة وثلاثة وعشرون مليوناً</t>
  </si>
  <si>
    <t xml:space="preserve">ثلاثمائة وثلاثة وعشرون هللة</t>
  </si>
  <si>
    <t xml:space="preserve">ثلاثمائة وأربعة وعشرون</t>
  </si>
  <si>
    <t xml:space="preserve">ثلاثمائة وأربعة وعشرون ألفاً</t>
  </si>
  <si>
    <t xml:space="preserve">ثلاثمائة وأربعة وعشرون مليوناً</t>
  </si>
  <si>
    <t xml:space="preserve">ثلاثمائة وأربعة وعشرون هللة</t>
  </si>
  <si>
    <t xml:space="preserve">ثلاثمائة وخمسة وعشرون</t>
  </si>
  <si>
    <t xml:space="preserve">ثلاثمائة وخمسة وعشرون ألفاً</t>
  </si>
  <si>
    <t xml:space="preserve">ثلاثمائة وخمسة وعشرون مليوناً</t>
  </si>
  <si>
    <t xml:space="preserve">ثلاثمائة وخمسة وعشرون هللة</t>
  </si>
  <si>
    <t xml:space="preserve">ثلاثمائة وستة وعشرون</t>
  </si>
  <si>
    <t xml:space="preserve">ثلاثمائة وستة وعشرون ألفاً</t>
  </si>
  <si>
    <t xml:space="preserve">ثلاثمائة وستة وعشرون مليوناً</t>
  </si>
  <si>
    <t xml:space="preserve">ثلاثمائة وستة وعشرون هللة</t>
  </si>
  <si>
    <t xml:space="preserve">ثلاثمائة وسبعة وعشرون</t>
  </si>
  <si>
    <t xml:space="preserve">ثلاثمائة وسبعة وعشرون ألفاً</t>
  </si>
  <si>
    <t xml:space="preserve">ثلاثمائة وسبعة وعشرون مليوناً</t>
  </si>
  <si>
    <t xml:space="preserve">ثلاثمائة وسبعة وعشرون هللة</t>
  </si>
  <si>
    <t xml:space="preserve">ثلاثمائة وثمانية وعشرون</t>
  </si>
  <si>
    <t xml:space="preserve">ثلاثمائة وثمانية وعشرون ألفاً</t>
  </si>
  <si>
    <t xml:space="preserve">ثلاثمائة وثمانية وعشرون مليوناً</t>
  </si>
  <si>
    <t xml:space="preserve">ثلاثمائة وثمانية وعشرون هللة</t>
  </si>
  <si>
    <t xml:space="preserve">ثلاثمائة وتسعة وعشرون</t>
  </si>
  <si>
    <t xml:space="preserve">ثلاثمائة وتسعة وعشرون ألفاً</t>
  </si>
  <si>
    <t xml:space="preserve">ثلاثمائة وتسعة وعشرون مليوناً</t>
  </si>
  <si>
    <t xml:space="preserve">ثلاثمائة وتسعة وعشرون هللة</t>
  </si>
  <si>
    <t xml:space="preserve">ثلاثمائة وثلاثون</t>
  </si>
  <si>
    <t xml:space="preserve">ثلاثمائة وثلاثون ألفاً</t>
  </si>
  <si>
    <t xml:space="preserve">ثلاثمائة وثلاثون مليوناً</t>
  </si>
  <si>
    <t xml:space="preserve">ثلاثمائة وثلاثون هللة</t>
  </si>
  <si>
    <t xml:space="preserve">ثلاثمائة وواحد وثلاثون</t>
  </si>
  <si>
    <t xml:space="preserve">ثلاثمائة وواحد وثلاثون ألفاً</t>
  </si>
  <si>
    <t xml:space="preserve">ثلاثمائة وواحد وثلاثون مليوناً</t>
  </si>
  <si>
    <t xml:space="preserve">ثلاثمائة وواحد وثلاثون هللة</t>
  </si>
  <si>
    <t xml:space="preserve">ثلاثمائة واثنان وثلاثون</t>
  </si>
  <si>
    <t xml:space="preserve">ثلاثمائة واثنان وثلاثون ألفاً</t>
  </si>
  <si>
    <t xml:space="preserve">ثلاثمائة واثنان وثلاثون مليوناً</t>
  </si>
  <si>
    <t xml:space="preserve">ثلاثمائة واثنان وثلاثون هللة</t>
  </si>
  <si>
    <t xml:space="preserve">ثلاثمائة وثلاثة وثلاثون</t>
  </si>
  <si>
    <t xml:space="preserve">ثلاثمائة وثلاثة وثلاثون ألفاً</t>
  </si>
  <si>
    <t xml:space="preserve">ثلاثمائة وثلاثة وثلاثون مليوناً</t>
  </si>
  <si>
    <t xml:space="preserve">ثلاثمائة وثلاثة وثلاثون هللة</t>
  </si>
  <si>
    <t xml:space="preserve">ثلاثمائة وأربعة وثلاثون</t>
  </si>
  <si>
    <t xml:space="preserve">ثلاثمائة وأربعة وثلاثون ألفاً</t>
  </si>
  <si>
    <t xml:space="preserve">ثلاثمائة وأربعة وثلاثون مليوناً</t>
  </si>
  <si>
    <t xml:space="preserve">ثلاثمائة وأربعة وثلاثون هللة</t>
  </si>
  <si>
    <t xml:space="preserve">ثلاثمائة وخمسة وثلاثون</t>
  </si>
  <si>
    <t xml:space="preserve">ثلاثمائة وخمسة وثلاثون ألفاً</t>
  </si>
  <si>
    <t xml:space="preserve">ثلاثمائة وخمسة وثلاثون مليوناً</t>
  </si>
  <si>
    <t xml:space="preserve">ثلاثمائة وخمسة وثلاثون هللة</t>
  </si>
  <si>
    <t xml:space="preserve">ثلاثمائة وستة وثلاثون</t>
  </si>
  <si>
    <t xml:space="preserve">ثلاثمائة وستة وثلاثون ألفاً</t>
  </si>
  <si>
    <t xml:space="preserve">ثلاثمائة وستة وثلاثون مليوناً</t>
  </si>
  <si>
    <t xml:space="preserve">ثلاثمائة وستة وثلاثون هللة</t>
  </si>
  <si>
    <t xml:space="preserve">ثلاثمائة وسبعة وثلاثون</t>
  </si>
  <si>
    <t xml:space="preserve">ثلاثمائة وسبعة وثلاثون ألفاً</t>
  </si>
  <si>
    <t xml:space="preserve">ثلاثمائة وسبعة وثلاثون مليوناً</t>
  </si>
  <si>
    <t xml:space="preserve">ثلاثمائة وسبعة وثلاثون هللة</t>
  </si>
  <si>
    <t xml:space="preserve">ثلاثمائة وثمانية وثلاثون</t>
  </si>
  <si>
    <t xml:space="preserve">ثلاثمائة وثمانية وثلاثون ألفاً</t>
  </si>
  <si>
    <t xml:space="preserve">ثلاثمائة وثمانية وثلاثون مليوناً</t>
  </si>
  <si>
    <t xml:space="preserve">ثلاثمائة وثمانية وثلاثون هللة</t>
  </si>
  <si>
    <t xml:space="preserve">ثلاثمائة وتسعة وثلاثون</t>
  </si>
  <si>
    <t xml:space="preserve">ثلاثمائة وتسعة وثلاثون ألفاً</t>
  </si>
  <si>
    <t xml:space="preserve">ثلاثمائة وتسعة وثلاثون مليوناً</t>
  </si>
  <si>
    <t xml:space="preserve">ثلاثمائة وتسعة وثلاثون هللة</t>
  </si>
  <si>
    <t xml:space="preserve">ثلاثمائة وأربعون</t>
  </si>
  <si>
    <t xml:space="preserve">ثلاثمائة وأربعون ألفاً</t>
  </si>
  <si>
    <t xml:space="preserve">ثلاثمائة وأربعون مليوناً</t>
  </si>
  <si>
    <t xml:space="preserve">ثلاثمائة وأربعون هللة</t>
  </si>
  <si>
    <t xml:space="preserve">ثلاثمائة وواحد وأربعون</t>
  </si>
  <si>
    <t xml:space="preserve">ثلاثمائة وواحد وأربعون ألفاً</t>
  </si>
  <si>
    <t xml:space="preserve">ثلاثمائة وواحد وأربعون مليوناً</t>
  </si>
  <si>
    <t xml:space="preserve">ثلاثمائة وواحد وأربعون هللة</t>
  </si>
  <si>
    <t xml:space="preserve">ثلاثمائة واثنان وأربعون</t>
  </si>
  <si>
    <t xml:space="preserve">ثلاثمائة واثنان وأربعون ألفاً</t>
  </si>
  <si>
    <t xml:space="preserve">ثلاثمائة واثنان وأربعون مليوناً</t>
  </si>
  <si>
    <t xml:space="preserve">ثلاثمائة واثنان وأربعون هللة</t>
  </si>
  <si>
    <t xml:space="preserve">ثلاثمائة وثلاثة وأربعون</t>
  </si>
  <si>
    <t xml:space="preserve">ثلاثمائة وثلاثة وأربعون ألفاً</t>
  </si>
  <si>
    <t xml:space="preserve">ثلاثمائة وثلاثة وأربعون مليوناً</t>
  </si>
  <si>
    <t xml:space="preserve">ثلاثمائة وثلاثة وأربعون هللة</t>
  </si>
  <si>
    <t xml:space="preserve">ثلاثمائة وأربعة وأربعون</t>
  </si>
  <si>
    <t xml:space="preserve">ثلاثمائة وأربعة وأربعون ألفاً</t>
  </si>
  <si>
    <t xml:space="preserve">ثلاثمائة وأربعة وأربعون مليوناً</t>
  </si>
  <si>
    <t xml:space="preserve">ثلاثمائة وأربعة وأربعون هللة</t>
  </si>
  <si>
    <t xml:space="preserve">ثلاثمائة وخمسة وأربعون</t>
  </si>
  <si>
    <t xml:space="preserve">ثلاثمائة وخمسة وأربعون ألفاً</t>
  </si>
  <si>
    <t xml:space="preserve">ثلاثمائة وخمسة وأربعون مليوناً</t>
  </si>
  <si>
    <t xml:space="preserve">ثلاثمائة وخمسة وأربعون هللة</t>
  </si>
  <si>
    <t xml:space="preserve">ثلاثمائة وستة وأربعون</t>
  </si>
  <si>
    <t xml:space="preserve">ثلاثمائة وستة وأربعون ألفاً</t>
  </si>
  <si>
    <t xml:space="preserve">ثلاثمائة وستة وأربعون مليوناً</t>
  </si>
  <si>
    <t xml:space="preserve">ثلاثمائة وستة وأربعون هللة</t>
  </si>
  <si>
    <t xml:space="preserve">ثلاثمائة وسبعة وأربعون</t>
  </si>
  <si>
    <t xml:space="preserve">ثلاثمائة وسبعة وأربعون ألفاً</t>
  </si>
  <si>
    <t xml:space="preserve">ثلاثمائة وسبعة وأربعون مليوناً</t>
  </si>
  <si>
    <t xml:space="preserve">ثلاثمائة وسبعة وأربعون هللة</t>
  </si>
  <si>
    <t xml:space="preserve">ثلاثمائة وثمانية وأربعون</t>
  </si>
  <si>
    <t xml:space="preserve">ثلاثمائة وثمانية وأربعون ألفاً</t>
  </si>
  <si>
    <t xml:space="preserve">ثلاثمائة وثمانية وأربعون مليوناً</t>
  </si>
  <si>
    <t xml:space="preserve">ثلاثمائة وثمانية وأربعون هللة</t>
  </si>
  <si>
    <t xml:space="preserve">ثلاثمائة وتسعة وأربعون</t>
  </si>
  <si>
    <t xml:space="preserve">ثلاثمائة وتسعة وأربعون ألفاً</t>
  </si>
  <si>
    <t xml:space="preserve">ثلاثمائة وتسعة وأربعون مليوناً</t>
  </si>
  <si>
    <t xml:space="preserve">ثلاثمائة وتسعة وأربعون هللة</t>
  </si>
  <si>
    <t xml:space="preserve">ثلاثمائة وخمسون</t>
  </si>
  <si>
    <t xml:space="preserve">ثلاثمائة وخمسون ألفاً</t>
  </si>
  <si>
    <t xml:space="preserve">ثلاثمائة وخمسون مليوناً</t>
  </si>
  <si>
    <t xml:space="preserve">ثلاثمائة وخمسون هللة</t>
  </si>
  <si>
    <t xml:space="preserve">ثلاثمائة وواحد وخمسون</t>
  </si>
  <si>
    <t xml:space="preserve">ثلاثمائة وواحد وخمسون ألفاً</t>
  </si>
  <si>
    <t xml:space="preserve">ثلاثمائة وواحد وخمسون مليوناً</t>
  </si>
  <si>
    <t xml:space="preserve">ثلاثمائة وواحد وخمسون هللة</t>
  </si>
  <si>
    <t xml:space="preserve">ثلاثمائة واثنان وخمسون</t>
  </si>
  <si>
    <t xml:space="preserve">ثلاثمائة واثنان وخمسون ألفاً</t>
  </si>
  <si>
    <t xml:space="preserve">ثلاثمائة واثنان وخمسون مليوناً</t>
  </si>
  <si>
    <t xml:space="preserve">ثلاثمائة واثنان وخمسون هللة</t>
  </si>
  <si>
    <t xml:space="preserve">ثلاثمائة وثلاثة وخمسون</t>
  </si>
  <si>
    <t xml:space="preserve">ثلاثمائة وثلاثة وخمسون ألفاً</t>
  </si>
  <si>
    <t xml:space="preserve">ثلاثمائة وثلاثة وخمسون مليوناً</t>
  </si>
  <si>
    <t xml:space="preserve">ثلاثمائة وثلاثة وخمسون هللة</t>
  </si>
  <si>
    <t xml:space="preserve">ثلاثمائة وأربعة وخمسون</t>
  </si>
  <si>
    <t xml:space="preserve">ثلاثمائة وأربعة وخمسون ألفاً</t>
  </si>
  <si>
    <t xml:space="preserve">ثلاثمائة وأربعة وخمسون مليوناً</t>
  </si>
  <si>
    <t xml:space="preserve">ثلاثمائة وأربعة وخمسون هللة</t>
  </si>
  <si>
    <t xml:space="preserve">ثلاثمائة وخمسة وخمسون</t>
  </si>
  <si>
    <t xml:space="preserve">ثلاثمائة وخمسة وخمسون ألفاً</t>
  </si>
  <si>
    <t xml:space="preserve">ثلاثمائة وخمسة وخمسون مليوناً</t>
  </si>
  <si>
    <t xml:space="preserve">ثلاثمائة وخمسة وخمسون هللة</t>
  </si>
  <si>
    <t xml:space="preserve">ثلاثمائة وستة وخمسون</t>
  </si>
  <si>
    <t xml:space="preserve">ثلاثمائة وستة وخمسون ألفاً</t>
  </si>
  <si>
    <t xml:space="preserve">ثلاثمائة وستة وخمسون مليوناً</t>
  </si>
  <si>
    <t xml:space="preserve">ثلاثمائة وستة وخمسون هللة</t>
  </si>
  <si>
    <t xml:space="preserve">ثلاثمائة وسبعة وخمسون</t>
  </si>
  <si>
    <t xml:space="preserve">ثلاثمائة وسبعة وخمسون ألفاً</t>
  </si>
  <si>
    <t xml:space="preserve">ثلاثمائة وسبعة وخمسون مليوناً</t>
  </si>
  <si>
    <t xml:space="preserve">ثلاثمائة وسبعة وخمسون هللة</t>
  </si>
  <si>
    <t xml:space="preserve">ثلاثمائة وثمانية وخمسون</t>
  </si>
  <si>
    <t xml:space="preserve">ثلاثمائة وثمانية وخمسون ألفاً</t>
  </si>
  <si>
    <t xml:space="preserve">ثلاثمائة وثمانية وخمسون مليوناً</t>
  </si>
  <si>
    <t xml:space="preserve">ثلاثمائة وثمانية وخمسون هللة</t>
  </si>
  <si>
    <t xml:space="preserve">ثلاثمائة وتسعة وخمسون</t>
  </si>
  <si>
    <t xml:space="preserve">ثلاثمائة وتسعة وخمسون ألفاً</t>
  </si>
  <si>
    <t xml:space="preserve">ثلاثمائة وتسعة وخمسون مليوناً</t>
  </si>
  <si>
    <t xml:space="preserve">ثلاثمائة وتسعة وخمسون هللة</t>
  </si>
  <si>
    <t xml:space="preserve">ثلاثمائة وستون</t>
  </si>
  <si>
    <t xml:space="preserve">ثلاثمائة وستون ألفاً</t>
  </si>
  <si>
    <t xml:space="preserve">ثلاثمائة وستون مليوناً</t>
  </si>
  <si>
    <t xml:space="preserve">ثلاثمائة وستون هللة</t>
  </si>
  <si>
    <t xml:space="preserve">ثلاثمائة وواحد وستون</t>
  </si>
  <si>
    <t xml:space="preserve">ثلاثمائة وواحد وستون ألفاً</t>
  </si>
  <si>
    <t xml:space="preserve">ثلاثمائة وواحد وستون مليوناً</t>
  </si>
  <si>
    <t xml:space="preserve">ثلاثمائة وواحد وستون هللة</t>
  </si>
  <si>
    <t xml:space="preserve">ثلاثمائة واثنان وستون</t>
  </si>
  <si>
    <t xml:space="preserve">ثلاثمائة واثنان وستون ألفاً</t>
  </si>
  <si>
    <t xml:space="preserve">ثلاثمائة واثنان وستون مليوناً</t>
  </si>
  <si>
    <t xml:space="preserve">ثلاثمائة واثنان وستون هللة</t>
  </si>
  <si>
    <t xml:space="preserve">ثلاثمائة وثلاثة وستون</t>
  </si>
  <si>
    <t xml:space="preserve">ثلاثمائة وثلاثة وستون ألفاً</t>
  </si>
  <si>
    <t xml:space="preserve">ثلاثمائة وثلاثة وستون مليوناً</t>
  </si>
  <si>
    <t xml:space="preserve">ثلاثمائة وثلاثة وستون هللة</t>
  </si>
  <si>
    <t xml:space="preserve">ثلاثمائة وأربعة وستون</t>
  </si>
  <si>
    <t xml:space="preserve">ثلاثمائة وأربعة وستون ألفاً</t>
  </si>
  <si>
    <t xml:space="preserve">ثلاثمائة وأربعة وستون مليوناً</t>
  </si>
  <si>
    <t xml:space="preserve">ثلاثمائة وأربعة وستون هللة</t>
  </si>
  <si>
    <t xml:space="preserve">ثلاثمائة وخمسة وستون</t>
  </si>
  <si>
    <t xml:space="preserve">ثلاثمائة وخمسة وستون ألفاً</t>
  </si>
  <si>
    <t xml:space="preserve">ثلاثمائة وخمسة وستون مليوناً</t>
  </si>
  <si>
    <t xml:space="preserve">ثلاثمائة وخمسة وستون هللة</t>
  </si>
  <si>
    <t xml:space="preserve">ثلاثمائة وستة وستون</t>
  </si>
  <si>
    <t xml:space="preserve">ثلاثمائة وستة وستون ألفاً</t>
  </si>
  <si>
    <t xml:space="preserve">ثلاثمائة وستة وستون مليوناً</t>
  </si>
  <si>
    <t xml:space="preserve">ثلاثمائة وستة وستون هللة</t>
  </si>
  <si>
    <t xml:space="preserve">ثلاثمائة وسبعة وستون</t>
  </si>
  <si>
    <t xml:space="preserve">ثلاثمائة وسبعة وستون ألفاً</t>
  </si>
  <si>
    <t xml:space="preserve">ثلاثمائة وسبعة وستون مليوناً</t>
  </si>
  <si>
    <t xml:space="preserve">ثلاثمائة وسبعة وستون هللة</t>
  </si>
  <si>
    <t xml:space="preserve">ثلاثمائة وثمانية وستون</t>
  </si>
  <si>
    <t xml:space="preserve">ثلاثمائة وثمانية وستون ألفاً</t>
  </si>
  <si>
    <t xml:space="preserve">ثلاثمائة وثمانية وستون مليوناً</t>
  </si>
  <si>
    <t xml:space="preserve">ثلاثمائة وثمانية وستون هللة</t>
  </si>
  <si>
    <t xml:space="preserve">ثلاثمائة وتسعة وستون</t>
  </si>
  <si>
    <t xml:space="preserve">ثلاثمائة وتسعة وستون ألفاً</t>
  </si>
  <si>
    <t xml:space="preserve">ثلاثمائة وتسعة وستون مليوناً</t>
  </si>
  <si>
    <t xml:space="preserve">ثلاثمائة وتسعة وستون هللة</t>
  </si>
  <si>
    <t xml:space="preserve">ثلاثمائة وسبعون</t>
  </si>
  <si>
    <t xml:space="preserve">ثلاثمائة وسبعون ألفاً</t>
  </si>
  <si>
    <t xml:space="preserve">ثلاثمائة وسبعون مليوناً</t>
  </si>
  <si>
    <t xml:space="preserve">ثلاثمائة وسبعون هللة</t>
  </si>
  <si>
    <t xml:space="preserve">ثلاثمائة وواحد وسبعون</t>
  </si>
  <si>
    <t xml:space="preserve">ثلاثمائة وواحد وسبعون ألفاً</t>
  </si>
  <si>
    <t xml:space="preserve">ثلاثمائة وواحد وسبعون مليوناً</t>
  </si>
  <si>
    <t xml:space="preserve">ثلاثمائة وواحد وسبعون هللة</t>
  </si>
  <si>
    <t xml:space="preserve">ثلاثمائة واثنان وسبعون</t>
  </si>
  <si>
    <t xml:space="preserve">ثلاثمائة واثنان وسبعون ألفاً</t>
  </si>
  <si>
    <t xml:space="preserve">ثلاثمائة واثنان وسبعون مليوناً</t>
  </si>
  <si>
    <t xml:space="preserve">ثلاثمائة واثنان وسبعون هللة</t>
  </si>
  <si>
    <t xml:space="preserve">ثلاثمائة وثلاثة وسبعون</t>
  </si>
  <si>
    <t xml:space="preserve">ثلاثمائة وثلاثة وسبعون ألفاً</t>
  </si>
  <si>
    <t xml:space="preserve">ثلاثمائة وثلاثة وسبعون مليوناً</t>
  </si>
  <si>
    <t xml:space="preserve">ثلاثمائة وثلاثة وسبعون هللة</t>
  </si>
  <si>
    <t xml:space="preserve">ثلاثمائة وأربعة وسبعون</t>
  </si>
  <si>
    <t xml:space="preserve">ثلاثمائة وأربعة وسبعون ألفاً</t>
  </si>
  <si>
    <t xml:space="preserve">ثلاثمائة وأربعة وسبعون مليوناً</t>
  </si>
  <si>
    <t xml:space="preserve">ثلاثمائة وأربعة وسبعون هللة</t>
  </si>
  <si>
    <t xml:space="preserve">ثلاثمائة وخمسة وسبعون</t>
  </si>
  <si>
    <t xml:space="preserve">ثلاثمائة وخمسة وسبعون ألفاً</t>
  </si>
  <si>
    <t xml:space="preserve">ثلاثمائة وخمسة وسبعون مليوناً</t>
  </si>
  <si>
    <t xml:space="preserve">ثلاثمائة وخمسة وسبعون هللة</t>
  </si>
  <si>
    <t xml:space="preserve">ثلاثمائة وستة وسبعون</t>
  </si>
  <si>
    <t xml:space="preserve">ثلاثمائة وستة وسبعون ألفاً</t>
  </si>
  <si>
    <t xml:space="preserve">ثلاثمائة وستة وسبعون مليوناً</t>
  </si>
  <si>
    <t xml:space="preserve">ثلاثمائة وستة وسبعون هللة</t>
  </si>
  <si>
    <t xml:space="preserve">ثلاثمائة وسبعة وسبعون</t>
  </si>
  <si>
    <t xml:space="preserve">ثلاثمائة وسبعة وسبعون ألفاً</t>
  </si>
  <si>
    <t xml:space="preserve">ثلاثمائة وسبعة وسبعون مليوناً</t>
  </si>
  <si>
    <t xml:space="preserve">ثلاثمائة وسبعة وسبعون هللة</t>
  </si>
  <si>
    <t xml:space="preserve">ثلاثمائة وثمانية وسبعون</t>
  </si>
  <si>
    <t xml:space="preserve">ثلاثمائة وثمانية وسبعون ألفاً</t>
  </si>
  <si>
    <t xml:space="preserve">ثلاثمائة وثمانية وسبعون مليوناً</t>
  </si>
  <si>
    <t xml:space="preserve">ثلاثمائة وثمانية وسبعون هللة</t>
  </si>
  <si>
    <t xml:space="preserve">ثلاثمائة وتسعة وسبعون</t>
  </si>
  <si>
    <t xml:space="preserve">ثلاثمائة وتسعة وسبعون ألفاً</t>
  </si>
  <si>
    <t xml:space="preserve">ثلاثمائة وتسعة وسبعون مليوناً</t>
  </si>
  <si>
    <t xml:space="preserve">ثلاثمائة وتسعة وسبعون هللة</t>
  </si>
  <si>
    <t xml:space="preserve">ثلاثمائة وثمانون</t>
  </si>
  <si>
    <t xml:space="preserve">ثلاثمائة وثمانون ألفاً</t>
  </si>
  <si>
    <t xml:space="preserve">ثلاثمائة وثمانون مليوناً</t>
  </si>
  <si>
    <t xml:space="preserve">ثلاثمائة وثمانون هللة</t>
  </si>
  <si>
    <t xml:space="preserve">ثلاثمائة وواحد وثمانون</t>
  </si>
  <si>
    <t xml:space="preserve">ثلاثمائة وواحد وثمانون ألفاً</t>
  </si>
  <si>
    <t xml:space="preserve">ثلاثمائة وواحد وثمانون مليوناً</t>
  </si>
  <si>
    <t xml:space="preserve">ثلاثمائة وواحد وثمانون هللة</t>
  </si>
  <si>
    <t xml:space="preserve">ثلاثمائة واثنان وثمانون</t>
  </si>
  <si>
    <t xml:space="preserve">ثلاثمائة واثنان وثمانون ألفاً</t>
  </si>
  <si>
    <t xml:space="preserve">ثلاثمائة واثنان وثمانون مليوناً</t>
  </si>
  <si>
    <t xml:space="preserve">ثلاثمائة واثنان وثمانون هللة</t>
  </si>
  <si>
    <t xml:space="preserve">ثلاثمائة وثلاثة وثمانون</t>
  </si>
  <si>
    <t xml:space="preserve">ثلاثمائة وثلاثة وثمانون ألفاً</t>
  </si>
  <si>
    <t xml:space="preserve">ثلاثمائة وثلاثة وثمانون مليوناً</t>
  </si>
  <si>
    <t xml:space="preserve">ثلاثمائة وثلاثة وثمانون هللة</t>
  </si>
  <si>
    <t xml:space="preserve">ثلاثمائة وأربعة وثمانون</t>
  </si>
  <si>
    <t xml:space="preserve">ثلاثمائة وأربعة وثمانون ألفاً</t>
  </si>
  <si>
    <t xml:space="preserve">ثلاثمائة وأربعة وثمانون مليوناً</t>
  </si>
  <si>
    <t xml:space="preserve">ثلاثمائة وأربعة وثمانون هللة</t>
  </si>
  <si>
    <t xml:space="preserve">ثلاثمائة وخمسة وثمانون</t>
  </si>
  <si>
    <t xml:space="preserve">ثلاثمائة وخمسة وثمانون ألفاً</t>
  </si>
  <si>
    <t xml:space="preserve">ثلاثمائة وخمسة وثمانون مليوناً</t>
  </si>
  <si>
    <t xml:space="preserve">ثلاثمائة وخمسة وثمانون هللة</t>
  </si>
  <si>
    <t xml:space="preserve">ثلاثمائة وستة وثمانون</t>
  </si>
  <si>
    <t xml:space="preserve">ثلاثمائة وستة وثمانون ألفاً</t>
  </si>
  <si>
    <t xml:space="preserve">ثلاثمائة وستة وثمانون مليوناً</t>
  </si>
  <si>
    <t xml:space="preserve">ثلاثمائة وستة وثمانون هللة</t>
  </si>
  <si>
    <t xml:space="preserve">ثلاثمائة وسبعة وثمانون</t>
  </si>
  <si>
    <t xml:space="preserve">ثلاثمائة وسبعة وثمانون ألفاً</t>
  </si>
  <si>
    <t xml:space="preserve">ثلاثمائة وسبعة وثمانون مليوناً</t>
  </si>
  <si>
    <t xml:space="preserve">ثلاثمائة وسبعة وثمانون هللة</t>
  </si>
  <si>
    <t xml:space="preserve">ثلاثمائة وثمانية وثمانون</t>
  </si>
  <si>
    <t xml:space="preserve">ثلاثمائة وثمانية وثمانون ألفاً</t>
  </si>
  <si>
    <t xml:space="preserve">ثلاثمائة وثمانية وثمانون مليوناً</t>
  </si>
  <si>
    <t xml:space="preserve">ثلاثمائة وثمانية وثمانون هللة</t>
  </si>
  <si>
    <t xml:space="preserve">ثلاثمائة وتسعة وثمانون</t>
  </si>
  <si>
    <t xml:space="preserve">ثلاثمائة وتسعة وثمانون ألفاً</t>
  </si>
  <si>
    <t xml:space="preserve">ثلاثمائة وتسعة وثمانون مليوناً</t>
  </si>
  <si>
    <t xml:space="preserve">ثلاثمائة وتسعة وثمانون هللة</t>
  </si>
  <si>
    <t xml:space="preserve">ثلاثمائة وتسعون</t>
  </si>
  <si>
    <t xml:space="preserve">ثلاثمائة وتسعون ألفاً</t>
  </si>
  <si>
    <t xml:space="preserve">ثلاثمائة وتسعون مليوناً</t>
  </si>
  <si>
    <t xml:space="preserve">ثلاثمائة وتسعون هللة</t>
  </si>
  <si>
    <t xml:space="preserve">ثلاثمائة وواحد وتسعون</t>
  </si>
  <si>
    <t xml:space="preserve">ثلاثمائة وواحد وتسعون ألفاً</t>
  </si>
  <si>
    <t xml:space="preserve">ثلاثمائة وواحد وتسعون مليوناً</t>
  </si>
  <si>
    <t xml:space="preserve">ثلاثمائة وواحد وتسعون هللة</t>
  </si>
  <si>
    <t xml:space="preserve">ثلاثمائة واثنان وتسعون</t>
  </si>
  <si>
    <t xml:space="preserve">ثلاثمائة واثنان وتسعون ألفاً</t>
  </si>
  <si>
    <t xml:space="preserve">ثلاثمائة واثنان وتسعون مليوناً</t>
  </si>
  <si>
    <t xml:space="preserve">ثلاثمائة واثنان وتسعون هللة</t>
  </si>
  <si>
    <t xml:space="preserve">ثلاثمائة وثلاثة وتسعون</t>
  </si>
  <si>
    <t xml:space="preserve">ثلاثمائة وثلاثة وتسعون ألفاً</t>
  </si>
  <si>
    <t xml:space="preserve">ثلاثمائة وثلاثة وتسعون مليوناً</t>
  </si>
  <si>
    <t xml:space="preserve">ثلاثمائة وثلاثة وتسعون هللة</t>
  </si>
  <si>
    <t xml:space="preserve">ثلاثمائة وأربعة وتسعون</t>
  </si>
  <si>
    <t xml:space="preserve">ثلاثمائة وأربعة وتسعون ألفاً</t>
  </si>
  <si>
    <t xml:space="preserve">ثلاثمائة وأربعة وتسعون مليوناً</t>
  </si>
  <si>
    <t xml:space="preserve">ثلاثمائة وأربعة وتسعون هللة</t>
  </si>
  <si>
    <t xml:space="preserve">ثلاثمائة وخمسة وتسعون</t>
  </si>
  <si>
    <t xml:space="preserve">ثلاثمائة وخمسة وتسعون ألفاً</t>
  </si>
  <si>
    <t xml:space="preserve">ثلاثمائة وخمسة وتسعون مليوناً</t>
  </si>
  <si>
    <t xml:space="preserve">ثلاثمائة وخمسة وتسعون هللة</t>
  </si>
  <si>
    <t xml:space="preserve">ثلاثمائة وستة وتسعون</t>
  </si>
  <si>
    <t xml:space="preserve">ثلاثمائة وستة وتسعون ألفاً</t>
  </si>
  <si>
    <t xml:space="preserve">ثلاثمائة وستة وتسعون مليوناً</t>
  </si>
  <si>
    <t xml:space="preserve">ثلاثمائة وستة وتسعون هللة</t>
  </si>
  <si>
    <t xml:space="preserve">ثلاثمائة وسبعة وتسعون</t>
  </si>
  <si>
    <t xml:space="preserve">ثلاثمائة وسبعة وتسعون ألفاً</t>
  </si>
  <si>
    <t xml:space="preserve">ثلاثمائة وسبعة وتسعون مليوناً</t>
  </si>
  <si>
    <t xml:space="preserve">ثلاثمائة وسبعة وتسعون هللة</t>
  </si>
  <si>
    <t xml:space="preserve">ثلاثمائة وثمانية وتسعون</t>
  </si>
  <si>
    <t xml:space="preserve">ثلاثمائة وثمانية وتسعون ألفاً</t>
  </si>
  <si>
    <t xml:space="preserve">ثلاثمائة وثمانية وتسعون مليوناً</t>
  </si>
  <si>
    <t xml:space="preserve">ثلاثمائة وثمانية وتسعون هللة</t>
  </si>
  <si>
    <t xml:space="preserve">ثلاثمائة وتسعة وتسعون</t>
  </si>
  <si>
    <t xml:space="preserve">ثلاثمائة وتسعة وتسعون ألفاً</t>
  </si>
  <si>
    <t xml:space="preserve">ثلاثمائة وتسعة وتسعون مليوناً</t>
  </si>
  <si>
    <t xml:space="preserve">ثلاثمائة وتسعة وتسعون هللة</t>
  </si>
  <si>
    <t xml:space="preserve">أربعمائة</t>
  </si>
  <si>
    <t xml:space="preserve">أربعمائة ألف</t>
  </si>
  <si>
    <t xml:space="preserve">أربعمائة مليون</t>
  </si>
  <si>
    <t xml:space="preserve">أربعمائة هللة</t>
  </si>
  <si>
    <t xml:space="preserve">أربعمائة وواحد</t>
  </si>
  <si>
    <t xml:space="preserve">أربعمائة وواحد ألف</t>
  </si>
  <si>
    <t xml:space="preserve">أربعمائة وواحد مليون</t>
  </si>
  <si>
    <t xml:space="preserve">أربعمائة وواحد هللة</t>
  </si>
  <si>
    <t xml:space="preserve">أربعمائة واثنان</t>
  </si>
  <si>
    <t xml:space="preserve">أربعمائة واثنان ألف</t>
  </si>
  <si>
    <t xml:space="preserve">أربعمائة واثنان مليون</t>
  </si>
  <si>
    <t xml:space="preserve">أربعمائة واثنان هللة</t>
  </si>
  <si>
    <t xml:space="preserve">أربعمائة وثلاثة</t>
  </si>
  <si>
    <t xml:space="preserve">أربعمائة وثلاثة آلاف</t>
  </si>
  <si>
    <t xml:space="preserve">أربعمائة وثلاثة ملايين</t>
  </si>
  <si>
    <t xml:space="preserve">أربعمائة وثلاثة هللات</t>
  </si>
  <si>
    <t xml:space="preserve">أربعمائة وأربعة</t>
  </si>
  <si>
    <t xml:space="preserve">أربعمائة وأربعة آلاف</t>
  </si>
  <si>
    <t xml:space="preserve">أربعمائة وأربعة ملايين</t>
  </si>
  <si>
    <t xml:space="preserve">أربعمائة وأربعة هللات</t>
  </si>
  <si>
    <t xml:space="preserve">أربعمائة وخمسة</t>
  </si>
  <si>
    <t xml:space="preserve">أربعمائة وخمسة آلاف</t>
  </si>
  <si>
    <t xml:space="preserve">أربعمائة وخمسة ملايين</t>
  </si>
  <si>
    <t xml:space="preserve">أربعمائة وخمسة هللات</t>
  </si>
  <si>
    <t xml:space="preserve">أربعمائة وستة</t>
  </si>
  <si>
    <t xml:space="preserve">أربعمائة وستة آلاف</t>
  </si>
  <si>
    <t xml:space="preserve">أربعمائة وستة ملايين</t>
  </si>
  <si>
    <t xml:space="preserve">أربعمائة وستة هللات</t>
  </si>
  <si>
    <t xml:space="preserve">أربعمائة وسبعة</t>
  </si>
  <si>
    <t xml:space="preserve">أربعمائة وسبعة آلاف</t>
  </si>
  <si>
    <t xml:space="preserve">أربعمائة وسبعة ملايين</t>
  </si>
  <si>
    <t xml:space="preserve">أربعمائة وسبعة هللات</t>
  </si>
  <si>
    <t xml:space="preserve">أربعمائة وثمانية</t>
  </si>
  <si>
    <t xml:space="preserve">أربعمائة وثمانية آلاف</t>
  </si>
  <si>
    <t xml:space="preserve">أربعمائة وثمانية ملايين</t>
  </si>
  <si>
    <t xml:space="preserve">أربعمائة وثمانية هللات</t>
  </si>
  <si>
    <t xml:space="preserve">أربعمائة وتسعة</t>
  </si>
  <si>
    <t xml:space="preserve">أربعمائة وتسعة آلاف</t>
  </si>
  <si>
    <t xml:space="preserve">أربعمائة وتسعة ملايين</t>
  </si>
  <si>
    <t xml:space="preserve">أربعمائة وتسعة هللات</t>
  </si>
  <si>
    <t xml:space="preserve">أربعمائة وعشرة</t>
  </si>
  <si>
    <t xml:space="preserve">أربعمائة وعشرة آلاف</t>
  </si>
  <si>
    <t xml:space="preserve">أربعمائة وعشرة ملايين</t>
  </si>
  <si>
    <t xml:space="preserve">أربعمائة وعشرة هللات</t>
  </si>
  <si>
    <t xml:space="preserve">أربعمائة وأحد عشر</t>
  </si>
  <si>
    <t xml:space="preserve">أربعمائة وأحد عشر ألفاً</t>
  </si>
  <si>
    <t xml:space="preserve">أربعمائة وأحد عشر مليوناً</t>
  </si>
  <si>
    <t xml:space="preserve">أربعمائة وأحد عشر هللة</t>
  </si>
  <si>
    <t xml:space="preserve">أربعمائة واثنا عشر</t>
  </si>
  <si>
    <t xml:space="preserve">أربعمائة واثنا عشر ألفاً</t>
  </si>
  <si>
    <t xml:space="preserve">أربعمائة واثنا عشر مليوناً</t>
  </si>
  <si>
    <t xml:space="preserve">أربعمائة واثنا عشر هللة</t>
  </si>
  <si>
    <t xml:space="preserve">أربعمائة وثلاثة عشر</t>
  </si>
  <si>
    <t xml:space="preserve">أربعمائة وثلاثة عشر ألفاً</t>
  </si>
  <si>
    <t xml:space="preserve">أربعمائة وثلاثة عشر مليوناً</t>
  </si>
  <si>
    <t xml:space="preserve">أربعمائة وثلاثة عشر هللة</t>
  </si>
  <si>
    <t xml:space="preserve">أربعمائة وأربعة عشر</t>
  </si>
  <si>
    <t xml:space="preserve">أربعمائة وأربعة عشر ألفاً</t>
  </si>
  <si>
    <t xml:space="preserve">أربعمائة وأربعة عشر مليوناً</t>
  </si>
  <si>
    <t xml:space="preserve">أربعمائة وأربعة عشر هللة</t>
  </si>
  <si>
    <t xml:space="preserve">أربعمائة وخمسة عشر</t>
  </si>
  <si>
    <t xml:space="preserve">أربعمائة وخمسة عشر ألفاً</t>
  </si>
  <si>
    <t xml:space="preserve">أربعمائة وخمسة عشر مليوناً</t>
  </si>
  <si>
    <t xml:space="preserve">أربعمائة وخمسة عشر هللة</t>
  </si>
  <si>
    <t xml:space="preserve">أربعمائة وستة عشر</t>
  </si>
  <si>
    <t xml:space="preserve">أربعمائة وستة عشر ألفاً</t>
  </si>
  <si>
    <t xml:space="preserve">أربعمائة وستة عشر مليوناً</t>
  </si>
  <si>
    <t xml:space="preserve">أربعمائة وستة عشر هللة</t>
  </si>
  <si>
    <t xml:space="preserve">أربعمائة وسبعة عشر</t>
  </si>
  <si>
    <t xml:space="preserve">أربعمائة وسبعة عشر ألفاً</t>
  </si>
  <si>
    <t xml:space="preserve">أربعمائة وسبعة عشر مليوناً</t>
  </si>
  <si>
    <t xml:space="preserve">أربعمائة وسبعة عشر هللة</t>
  </si>
  <si>
    <t xml:space="preserve">أربعمائة وثمانية عشر</t>
  </si>
  <si>
    <t xml:space="preserve">أربعمائة وثمانية عشر ألفاً</t>
  </si>
  <si>
    <t xml:space="preserve">أربعمائة وثمانية عشر مليوناً</t>
  </si>
  <si>
    <t xml:space="preserve">أربعمائة وثمانية عشر هللة</t>
  </si>
  <si>
    <t xml:space="preserve">أربعمائة وتسعة عشر</t>
  </si>
  <si>
    <t xml:space="preserve">أربعمائة وتسعة عشر ألفاً</t>
  </si>
  <si>
    <t xml:space="preserve">أربعمائة وتسعة عشر مليوناً</t>
  </si>
  <si>
    <t xml:space="preserve">أربعمائة وتسعة عشر هللة</t>
  </si>
  <si>
    <t xml:space="preserve">أربعمائة وعشرون</t>
  </si>
  <si>
    <t xml:space="preserve">أربعمائة وعشرون ألفاً</t>
  </si>
  <si>
    <t xml:space="preserve">أربعمائة وعشرون مليوناً</t>
  </si>
  <si>
    <t xml:space="preserve">أربعمائة وعشرون هللة</t>
  </si>
  <si>
    <t xml:space="preserve">أربعمائة وواحد وعشرون</t>
  </si>
  <si>
    <t xml:space="preserve">أربعمائة وواحد وعشرون ألفاً</t>
  </si>
  <si>
    <t xml:space="preserve">أربعمائة وواحد وعشرون مليوناً</t>
  </si>
  <si>
    <t xml:space="preserve">أربعمائة وواحد وعشرون هللة</t>
  </si>
  <si>
    <t xml:space="preserve">أربعمائة واثنان وعشرون</t>
  </si>
  <si>
    <t xml:space="preserve">أربعمائة واثنان وعشرون ألفاً</t>
  </si>
  <si>
    <t xml:space="preserve">أربعمائة واثنان وعشرون مليوناً</t>
  </si>
  <si>
    <t xml:space="preserve">أربعمائة واثنان وعشرون هللة</t>
  </si>
  <si>
    <t xml:space="preserve">أربعمائة وثلاثة وعشرون</t>
  </si>
  <si>
    <t xml:space="preserve">أربعمائة وثلاثة وعشرون ألفاً</t>
  </si>
  <si>
    <t xml:space="preserve">أربعمائة وثلاثة وعشرون مليوناً</t>
  </si>
  <si>
    <t xml:space="preserve">أربعمائة وثلاثة وعشرون هللة</t>
  </si>
  <si>
    <t xml:space="preserve">أربعمائة وأربعة وعشرون</t>
  </si>
  <si>
    <t xml:space="preserve">أربعمائة وأربعة وعشرون ألفاً</t>
  </si>
  <si>
    <t xml:space="preserve">أربعمائة وأربعة وعشرون مليوناً</t>
  </si>
  <si>
    <t xml:space="preserve">أربعمائة وأربعة وعشرون هللة</t>
  </si>
  <si>
    <t xml:space="preserve">أربعمائة وخمسة وعشرون</t>
  </si>
  <si>
    <t xml:space="preserve">أربعمائة وخمسة وعشرون ألفاً</t>
  </si>
  <si>
    <t xml:space="preserve">أربعمائة وخمسة وعشرون مليوناً</t>
  </si>
  <si>
    <t xml:space="preserve">أربعمائة وخمسة وعشرون هللة</t>
  </si>
  <si>
    <t xml:space="preserve">أربعمائة وستة وعشرون</t>
  </si>
  <si>
    <t xml:space="preserve">أربعمائة وستة وعشرون ألفاً</t>
  </si>
  <si>
    <t xml:space="preserve">أربعمائة وستة وعشرون مليوناً</t>
  </si>
  <si>
    <t xml:space="preserve">أربعمائة وستة وعشرون هللة</t>
  </si>
  <si>
    <t xml:space="preserve">أربعمائة وسبعة وعشرون</t>
  </si>
  <si>
    <t xml:space="preserve">أربعمائة وسبعة وعشرون ألفاً</t>
  </si>
  <si>
    <t xml:space="preserve">أربعمائة وسبعة وعشرون مليوناً</t>
  </si>
  <si>
    <t xml:space="preserve">أربعمائة وسبعة وعشرون هللة</t>
  </si>
  <si>
    <t xml:space="preserve">أربعمائة وثمانية وعشرون</t>
  </si>
  <si>
    <t xml:space="preserve">أربعمائة وثمانية وعشرون ألفاً</t>
  </si>
  <si>
    <t xml:space="preserve">أربعمائة وثمانية وعشرون مليوناً</t>
  </si>
  <si>
    <t xml:space="preserve">أربعمائة وثمانية وعشرون هللة</t>
  </si>
  <si>
    <t xml:space="preserve">أربعمائة وتسعة وعشرون</t>
  </si>
  <si>
    <t xml:space="preserve">أربعمائة وتسعة وعشرون ألفاً</t>
  </si>
  <si>
    <t xml:space="preserve">أربعمائة وتسعة وعشرون مليوناً</t>
  </si>
  <si>
    <t xml:space="preserve">أربعمائة وتسعة وعشرون هللة</t>
  </si>
  <si>
    <t xml:space="preserve">أربعمائة وثلاثون</t>
  </si>
  <si>
    <t xml:space="preserve">أربعمائة وثلاثون ألفاً</t>
  </si>
  <si>
    <t xml:space="preserve">أربعمائة وثلاثون مليوناً</t>
  </si>
  <si>
    <t xml:space="preserve">أربعمائة وثلاثون هللة</t>
  </si>
  <si>
    <t xml:space="preserve">أربعمائة وواحد وثلاثون</t>
  </si>
  <si>
    <t xml:space="preserve">أربعمائة وواحد وثلاثون ألفاً</t>
  </si>
  <si>
    <t xml:space="preserve">أربعمائة وواحد وثلاثون مليوناً</t>
  </si>
  <si>
    <t xml:space="preserve">أربعمائة وواحد وثلاثون هللة</t>
  </si>
  <si>
    <t xml:space="preserve">أربعمائة واثنان وثلاثون</t>
  </si>
  <si>
    <t xml:space="preserve">أربعمائة واثنان وثلاثون ألفاً</t>
  </si>
  <si>
    <t xml:space="preserve">أربعمائة واثنان وثلاثون مليوناً</t>
  </si>
  <si>
    <t xml:space="preserve">أربعمائة واثنان وثلاثون هللة</t>
  </si>
  <si>
    <t xml:space="preserve">أربعمائة وثلاثة وثلاثون</t>
  </si>
  <si>
    <t xml:space="preserve">أربعمائة وثلاثة وثلاثون ألفاً</t>
  </si>
  <si>
    <t xml:space="preserve">أربعمائة وثلاثة وثلاثون مليوناً</t>
  </si>
  <si>
    <t xml:space="preserve">أربعمائة وثلاثة وثلاثون هللة</t>
  </si>
  <si>
    <t xml:space="preserve">أربعمائة وأربعة وثلاثون</t>
  </si>
  <si>
    <t xml:space="preserve">أربعمائة وأربعة وثلاثون ألفاً</t>
  </si>
  <si>
    <t xml:space="preserve">أربعمائة وأربعة وثلاثون مليوناً</t>
  </si>
  <si>
    <t xml:space="preserve">أربعمائة وأربعة وثلاثون هللة</t>
  </si>
  <si>
    <t xml:space="preserve">أربعمائة وخمسة وثلاثون</t>
  </si>
  <si>
    <t xml:space="preserve">أربعمائة وخمسة وثلاثون ألفاً</t>
  </si>
  <si>
    <t xml:space="preserve">أربعمائة وخمسة وثلاثون مليوناً</t>
  </si>
  <si>
    <t xml:space="preserve">أربعمائة وخمسة وثلاثون هللة</t>
  </si>
  <si>
    <t xml:space="preserve">أربعمائة وستة وثلاثون</t>
  </si>
  <si>
    <t xml:space="preserve">أربعمائة وستة وثلاثون ألفاً</t>
  </si>
  <si>
    <t xml:space="preserve">أربعمائة وستة وثلاثون مليوناً</t>
  </si>
  <si>
    <t xml:space="preserve">أربعمائة وستة وثلاثون هللة</t>
  </si>
  <si>
    <t xml:space="preserve">أربعمائة وسبعة وثلاثون</t>
  </si>
  <si>
    <t xml:space="preserve">أربعمائة وسبعة وثلاثون ألفاً</t>
  </si>
  <si>
    <t xml:space="preserve">أربعمائة وسبعة وثلاثون مليوناً</t>
  </si>
  <si>
    <t xml:space="preserve">أربعمائة وسبعة وثلاثون هللة</t>
  </si>
  <si>
    <t xml:space="preserve">أربعمائة وثمانية وثلاثون</t>
  </si>
  <si>
    <t xml:space="preserve">أربعمائة وثمانية وثلاثون ألفاً</t>
  </si>
  <si>
    <t xml:space="preserve">أربعمائة وثمانية وثلاثون مليوناً</t>
  </si>
  <si>
    <t xml:space="preserve">أربعمائة وثمانية وثلاثون هللة</t>
  </si>
  <si>
    <t xml:space="preserve">أربعمائة وتسعة وثلاثون</t>
  </si>
  <si>
    <t xml:space="preserve">أربعمائة وتسعة وثلاثون ألفاً</t>
  </si>
  <si>
    <t xml:space="preserve">أربعمائة وتسعة وثلاثون مليوناً</t>
  </si>
  <si>
    <t xml:space="preserve">أربعمائة وتسعة وثلاثون هللة</t>
  </si>
  <si>
    <t xml:space="preserve">أربعمائة وأربعون</t>
  </si>
  <si>
    <t xml:space="preserve">أربعمائة وأربعون ألفاً</t>
  </si>
  <si>
    <t xml:space="preserve">أربعمائة وأربعون مليوناً</t>
  </si>
  <si>
    <t xml:space="preserve">أربعمائة وأربعون هللة</t>
  </si>
  <si>
    <t xml:space="preserve">أربعمائة وواحد وأربعون</t>
  </si>
  <si>
    <t xml:space="preserve">أربعمائة وواحد وأربعون ألفاً</t>
  </si>
  <si>
    <t xml:space="preserve">أربعمائة وواحد وأربعون مليوناً</t>
  </si>
  <si>
    <t xml:space="preserve">أربعمائة وواحد وأربعون هللة</t>
  </si>
  <si>
    <t xml:space="preserve">أربعمائة واثنان وأربعون</t>
  </si>
  <si>
    <t xml:space="preserve">أربعمائة واثنان وأربعون ألفاً</t>
  </si>
  <si>
    <t xml:space="preserve">أربعمائة واثنان وأربعون مليوناً</t>
  </si>
  <si>
    <t xml:space="preserve">أربعمائة واثنان وأربعون هللة</t>
  </si>
  <si>
    <t xml:space="preserve">أربعمائة وثلاثة وأربعون</t>
  </si>
  <si>
    <t xml:space="preserve">أربعمائة وثلاثة وأربعون ألفاً</t>
  </si>
  <si>
    <t xml:space="preserve">أربعمائة وثلاثة وأربعون مليوناً</t>
  </si>
  <si>
    <t xml:space="preserve">أربعمائة وثلاثة وأربعون هللة</t>
  </si>
  <si>
    <t xml:space="preserve">أربعمائة وأربعة وأربعون</t>
  </si>
  <si>
    <t xml:space="preserve">أربعمائة وأربعة وأربعون ألفاً</t>
  </si>
  <si>
    <t xml:space="preserve">أربعمائة وأربعة وأربعون مليوناً</t>
  </si>
  <si>
    <t xml:space="preserve">أربعمائة وأربعة وأربعون هللة</t>
  </si>
  <si>
    <t xml:space="preserve">أربعمائة وخمسة وأربعون</t>
  </si>
  <si>
    <t xml:space="preserve">أربعمائة وخمسة وأربعون ألفاً</t>
  </si>
  <si>
    <t xml:space="preserve">أربعمائة وخمسة وأربعون مليوناً</t>
  </si>
  <si>
    <t xml:space="preserve">أربعمائة وخمسة وأربعون هللة</t>
  </si>
  <si>
    <t xml:space="preserve">أربعمائة وستة وأربعون</t>
  </si>
  <si>
    <t xml:space="preserve">أربعمائة وستة وأربعون ألفاً</t>
  </si>
  <si>
    <t xml:space="preserve">أربعمائة وستة وأربعون مليوناً</t>
  </si>
  <si>
    <t xml:space="preserve">أربعمائة وستة وأربعون هللة</t>
  </si>
  <si>
    <t xml:space="preserve">أربعمائة وسبعة وأربعون</t>
  </si>
  <si>
    <t xml:space="preserve">أربعمائة وسبعة وأربعون ألفاً</t>
  </si>
  <si>
    <t xml:space="preserve">أربعمائة وسبعة وأربعون مليوناً</t>
  </si>
  <si>
    <t xml:space="preserve">أربعمائة وسبعة وأربعون هللة</t>
  </si>
  <si>
    <t xml:space="preserve">أربعمائة وثمانية وأربعون</t>
  </si>
  <si>
    <t xml:space="preserve">أربعمائة وثمانية وأربعون ألفاً</t>
  </si>
  <si>
    <t xml:space="preserve">أربعمائة وثمانية وأربعون مليوناً</t>
  </si>
  <si>
    <t xml:space="preserve">أربعمائة وثمانية وأربعون هللة</t>
  </si>
  <si>
    <t xml:space="preserve">أربعمائة وتسعة وأربعون</t>
  </si>
  <si>
    <t xml:space="preserve">أربعمائة وتسعة وأربعون ألفاً</t>
  </si>
  <si>
    <t xml:space="preserve">أربعمائة وتسعة وأربعون مليوناً</t>
  </si>
  <si>
    <t xml:space="preserve">أربعمائة وتسعة وأربعون هللة</t>
  </si>
  <si>
    <t xml:space="preserve">أربعمائة وخمسون</t>
  </si>
  <si>
    <t xml:space="preserve">أربعمائة وخمسون ألفاً</t>
  </si>
  <si>
    <t xml:space="preserve">أربعمائة وخمسون مليوناً</t>
  </si>
  <si>
    <t xml:space="preserve">أربعمائة وخمسون هللة</t>
  </si>
  <si>
    <t xml:space="preserve">أربعمائة وواحد وخمسون</t>
  </si>
  <si>
    <t xml:space="preserve">أربعمائة وواحد وخمسون ألفاً</t>
  </si>
  <si>
    <t xml:space="preserve">أربعمائة وواحد وخمسون مليوناً</t>
  </si>
  <si>
    <t xml:space="preserve">أربعمائة وواحد وخمسون هللة</t>
  </si>
  <si>
    <t xml:space="preserve">أربعمائة واثنان وخمسون</t>
  </si>
  <si>
    <t xml:space="preserve">أربعمائة واثنان وخمسون ألفاً</t>
  </si>
  <si>
    <t xml:space="preserve">أربعمائة واثنان وخمسون مليوناً</t>
  </si>
  <si>
    <t xml:space="preserve">أربعمائة واثنان وخمسون هللة</t>
  </si>
  <si>
    <t xml:space="preserve">أربعمائة وثلاثة وخمسون</t>
  </si>
  <si>
    <t xml:space="preserve">أربعمائة وثلاثة وخمسون ألفاً</t>
  </si>
  <si>
    <t xml:space="preserve">أربعمائة وثلاثة وخمسون مليوناً</t>
  </si>
  <si>
    <t xml:space="preserve">أربعمائة وثلاثة وخمسون هللة</t>
  </si>
  <si>
    <t xml:space="preserve">أربعمائة وأربعة وخمسون</t>
  </si>
  <si>
    <t xml:space="preserve">أربعمائة وأربعة وخمسون ألفاً</t>
  </si>
  <si>
    <t xml:space="preserve">أربعمائة وأربعة وخمسون مليوناً</t>
  </si>
  <si>
    <t xml:space="preserve">أربعمائة وأربعة وخمسون هللة</t>
  </si>
  <si>
    <t xml:space="preserve">أربعمائة وخمسة وخمسون</t>
  </si>
  <si>
    <t xml:space="preserve">أربعمائة وخمسة وخمسون ألفاً</t>
  </si>
  <si>
    <t xml:space="preserve">أربعمائة وخمسة وخمسون مليوناً</t>
  </si>
  <si>
    <t xml:space="preserve">أربعمائة وخمسة وخمسون هللة</t>
  </si>
  <si>
    <t xml:space="preserve">أربعمائة وستة وخمسون</t>
  </si>
  <si>
    <t xml:space="preserve">أربعمائة وستة وخمسون ألفاً</t>
  </si>
  <si>
    <t xml:space="preserve">أربعمائة وستة وخمسون مليوناً</t>
  </si>
  <si>
    <t xml:space="preserve">أربعمائة وستة وخمسون هللة</t>
  </si>
  <si>
    <t xml:space="preserve">أربعمائة وسبعة وخمسون</t>
  </si>
  <si>
    <t xml:space="preserve">أربعمائة وسبعة وخمسون ألفاً</t>
  </si>
  <si>
    <t xml:space="preserve">أربعمائة وسبعة وخمسون مليوناً</t>
  </si>
  <si>
    <t xml:space="preserve">أربعمائة وسبعة وخمسون هللة</t>
  </si>
  <si>
    <t xml:space="preserve">أربعمائة وثمانية وخمسون</t>
  </si>
  <si>
    <t xml:space="preserve">أربعمائة وثمانية وخمسون ألفاً</t>
  </si>
  <si>
    <t xml:space="preserve">أربعمائة وثمانية وخمسون مليوناً</t>
  </si>
  <si>
    <t xml:space="preserve">أربعمائة وثمانية وخمسون هللة</t>
  </si>
  <si>
    <t xml:space="preserve">أربعمائة وتسعة وخمسون</t>
  </si>
  <si>
    <t xml:space="preserve">أربعمائة وتسعة وخمسون ألفاً</t>
  </si>
  <si>
    <t xml:space="preserve">أربعمائة وتسعة وخمسون مليوناً</t>
  </si>
  <si>
    <t xml:space="preserve">أربعمائة وتسعة وخمسون هللة</t>
  </si>
  <si>
    <t xml:space="preserve">أربعمائة وستون</t>
  </si>
  <si>
    <t xml:space="preserve">أربعمائة وستون ألفاً</t>
  </si>
  <si>
    <t xml:space="preserve">أربعمائة وستون مليوناً</t>
  </si>
  <si>
    <t xml:space="preserve">أربعمائة وستون هللة</t>
  </si>
  <si>
    <t xml:space="preserve">أربعمائة وواحد وستون</t>
  </si>
  <si>
    <t xml:space="preserve">أربعمائة وواحد وستون ألفاً</t>
  </si>
  <si>
    <t xml:space="preserve">أربعمائة وواحد وستون مليوناً</t>
  </si>
  <si>
    <t xml:space="preserve">أربعمائة وواحد وستون هللة</t>
  </si>
  <si>
    <t xml:space="preserve">أربعمائة واثنان وستون</t>
  </si>
  <si>
    <t xml:space="preserve">أربعمائة واثنان وستون ألفاً</t>
  </si>
  <si>
    <t xml:space="preserve">أربعمائة واثنان وستون مليوناً</t>
  </si>
  <si>
    <t xml:space="preserve">أربعمائة واثنان وستون هللة</t>
  </si>
  <si>
    <t xml:space="preserve">أربعمائة وثلاثة وستون</t>
  </si>
  <si>
    <t xml:space="preserve">أربعمائة وثلاثة وستون ألفاً</t>
  </si>
  <si>
    <t xml:space="preserve">أربعمائة وثلاثة وستون مليوناً</t>
  </si>
  <si>
    <t xml:space="preserve">أربعمائة وثلاثة وستون هللة</t>
  </si>
  <si>
    <t xml:space="preserve">أربعمائة وأربعة وستون</t>
  </si>
  <si>
    <t xml:space="preserve">أربعمائة وأربعة وستون ألفاً</t>
  </si>
  <si>
    <t xml:space="preserve">أربعمائة وأربعة وستون مليوناً</t>
  </si>
  <si>
    <t xml:space="preserve">أربعمائة وأربعة وستون هللة</t>
  </si>
  <si>
    <t xml:space="preserve">أربعمائة وخمسة وستون</t>
  </si>
  <si>
    <t xml:space="preserve">أربعمائة وخمسة وستون ألفاً</t>
  </si>
  <si>
    <t xml:space="preserve">أربعمائة وخمسة وستون مليوناً</t>
  </si>
  <si>
    <t xml:space="preserve">أربعمائة وخمسة وستون هللة</t>
  </si>
  <si>
    <t xml:space="preserve">أربعمائة وستة وستون</t>
  </si>
  <si>
    <t xml:space="preserve">أربعمائة وستة وستون ألفاً</t>
  </si>
  <si>
    <t xml:space="preserve">أربعمائة وستة وستون مليوناً</t>
  </si>
  <si>
    <t xml:space="preserve">أربعمائة وستة وستون هللة</t>
  </si>
  <si>
    <t xml:space="preserve">أربعمائة وسبعة وستون</t>
  </si>
  <si>
    <t xml:space="preserve">أربعمائة وسبعة وستون ألفاً</t>
  </si>
  <si>
    <t xml:space="preserve">أربعمائة وسبعة وستون مليوناً</t>
  </si>
  <si>
    <t xml:space="preserve">أربعمائة وسبعة وستون هللة</t>
  </si>
  <si>
    <t xml:space="preserve">أربعمائة وثمانية وستون</t>
  </si>
  <si>
    <t xml:space="preserve">أربعمائة وثمانية وستون ألفاً</t>
  </si>
  <si>
    <t xml:space="preserve">أربعمائة وثمانية وستون مليوناً</t>
  </si>
  <si>
    <t xml:space="preserve">أربعمائة وثمانية وستون هللة</t>
  </si>
  <si>
    <t xml:space="preserve">أربعمائة وتسعة وستون</t>
  </si>
  <si>
    <t xml:space="preserve">أربعمائة وتسعة وستون ألفاً</t>
  </si>
  <si>
    <t xml:space="preserve">أربعمائة وتسعة وستون مليوناً</t>
  </si>
  <si>
    <t xml:space="preserve">أربعمائة وتسعة وستون هللة</t>
  </si>
  <si>
    <t xml:space="preserve">أربعمائة وسبعون</t>
  </si>
  <si>
    <t xml:space="preserve">أربعمائة وسبعون ألفاً</t>
  </si>
  <si>
    <t xml:space="preserve">أربعمائة وسبعون مليوناً</t>
  </si>
  <si>
    <t xml:space="preserve">أربعمائة وسبعون هللة</t>
  </si>
  <si>
    <t xml:space="preserve">أربعمائة وواحد وسبعون</t>
  </si>
  <si>
    <t xml:space="preserve">أربعمائة وواحد وسبعون ألفاً</t>
  </si>
  <si>
    <t xml:space="preserve">أربعمائة وواحد وسبعون مليوناً</t>
  </si>
  <si>
    <t xml:space="preserve">أربعمائة وواحد وسبعون هللة</t>
  </si>
  <si>
    <t xml:space="preserve">أربعمائة واثنان وسبعون</t>
  </si>
  <si>
    <t xml:space="preserve">أربعمائة واثنان وسبعون ألفاً</t>
  </si>
  <si>
    <t xml:space="preserve">أربعمائة واثنان وسبعون مليوناً</t>
  </si>
  <si>
    <t xml:space="preserve">أربعمائة واثنان وسبعون هللة</t>
  </si>
  <si>
    <t xml:space="preserve">أربعمائة وثلاثة وسبعون</t>
  </si>
  <si>
    <t xml:space="preserve">أربعمائة وثلاثة وسبعون ألفاً</t>
  </si>
  <si>
    <t xml:space="preserve">أربعمائة وثلاثة وسبعون مليوناً</t>
  </si>
  <si>
    <t xml:space="preserve">أربعمائة وثلاثة وسبعون هللة</t>
  </si>
  <si>
    <t xml:space="preserve">أربعمائة وأربعة وسبعون</t>
  </si>
  <si>
    <t xml:space="preserve">أربعمائة وأربعة وسبعون ألفاً</t>
  </si>
  <si>
    <t xml:space="preserve">أربعمائة وأربعة وسبعون مليوناً</t>
  </si>
  <si>
    <t xml:space="preserve">أربعمائة وأربعة وسبعون هللة</t>
  </si>
  <si>
    <t xml:space="preserve">أربعمائة وخمسة وسبعون</t>
  </si>
  <si>
    <t xml:space="preserve">أربعمائة وخمسة وسبعون ألفاً</t>
  </si>
  <si>
    <t xml:space="preserve">أربعمائة وخمسة وسبعون مليوناً</t>
  </si>
  <si>
    <t xml:space="preserve">أربعمائة وخمسة وسبعون هللة</t>
  </si>
  <si>
    <t xml:space="preserve">أربعمائة وستة وسبعون</t>
  </si>
  <si>
    <t xml:space="preserve">أربعمائة وستة وسبعون ألفاً</t>
  </si>
  <si>
    <t xml:space="preserve">أربعمائة وستة وسبعون مليوناً</t>
  </si>
  <si>
    <t xml:space="preserve">أربعمائة وستة وسبعون هللة</t>
  </si>
  <si>
    <t xml:space="preserve">أربعمائة وسبعة وسبعون</t>
  </si>
  <si>
    <t xml:space="preserve">أربعمائة وسبعة وسبعون ألفاً</t>
  </si>
  <si>
    <t xml:space="preserve">أربعمائة وسبعة وسبعون مليوناً</t>
  </si>
  <si>
    <t xml:space="preserve">أربعمائة وسبعة وسبعون هللة</t>
  </si>
  <si>
    <t xml:space="preserve">أربعمائة وثمانية وسبعون</t>
  </si>
  <si>
    <t xml:space="preserve">أربعمائة وثمانية وسبعون ألفاً</t>
  </si>
  <si>
    <t xml:space="preserve">أربعمائة وثمانية وسبعون مليوناً</t>
  </si>
  <si>
    <t xml:space="preserve">أربعمائة وثمانية وسبعون هللة</t>
  </si>
  <si>
    <t xml:space="preserve">أربعمائة وتسعة وسبعون</t>
  </si>
  <si>
    <t xml:space="preserve">أربعمائة وتسعة وسبعون ألفاً</t>
  </si>
  <si>
    <t xml:space="preserve">أربعمائة وتسعة وسبعون مليوناً</t>
  </si>
  <si>
    <t xml:space="preserve">أربعمائة وتسعة وسبعون هللة</t>
  </si>
  <si>
    <t xml:space="preserve">أربعمائة وثمانون</t>
  </si>
  <si>
    <t xml:space="preserve">أربعمائة وثمانون ألفاً</t>
  </si>
  <si>
    <t xml:space="preserve">أربعمائة وثمانون مليوناً</t>
  </si>
  <si>
    <t xml:space="preserve">أربعمائة وثمانون هللة</t>
  </si>
  <si>
    <t xml:space="preserve">أربعمائة وواحد وثمانون</t>
  </si>
  <si>
    <t xml:space="preserve">أربعمائة وواحد وثمانون ألفاً</t>
  </si>
  <si>
    <t xml:space="preserve">أربعمائة وواحد وثمانون مليوناً</t>
  </si>
  <si>
    <t xml:space="preserve">أربعمائة وواحد وثمانون هللة</t>
  </si>
  <si>
    <t xml:space="preserve">أربعمائة واثنان وثمانون</t>
  </si>
  <si>
    <t xml:space="preserve">أربعمائة واثنان وثمانون ألفاً</t>
  </si>
  <si>
    <t xml:space="preserve">أربعمائة واثنان وثمانون مليوناً</t>
  </si>
  <si>
    <t xml:space="preserve">أربعمائة واثنان وثمانون هللة</t>
  </si>
  <si>
    <t xml:space="preserve">أربعمائة وثلاثة وثمانون</t>
  </si>
  <si>
    <t xml:space="preserve">أربعمائة وثلاثة وثمانون ألفاً</t>
  </si>
  <si>
    <t xml:space="preserve">أربعمائة وثلاثة وثمانون مليوناً</t>
  </si>
  <si>
    <t xml:space="preserve">أربعمائة وثلاثة وثمانون هللة</t>
  </si>
  <si>
    <t xml:space="preserve">أربعمائة وأربعة وثمانون</t>
  </si>
  <si>
    <t xml:space="preserve">أربعمائة وأربعة وثمانون ألفاً</t>
  </si>
  <si>
    <t xml:space="preserve">أربعمائة وأربعة وثمانون مليوناً</t>
  </si>
  <si>
    <t xml:space="preserve">أربعمائة وأربعة وثمانون هللة</t>
  </si>
  <si>
    <t xml:space="preserve">أربعمائة وخمسة وثمانون</t>
  </si>
  <si>
    <t xml:space="preserve">أربعمائة وخمسة وثمانون ألفاً</t>
  </si>
  <si>
    <t xml:space="preserve">أربعمائة وخمسة وثمانون مليوناً</t>
  </si>
  <si>
    <t xml:space="preserve">أربعمائة وخمسة وثمانون هللة</t>
  </si>
  <si>
    <t xml:space="preserve">أربعمائة وستة وثمانون</t>
  </si>
  <si>
    <t xml:space="preserve">أربعمائة وستة وثمانون ألفاً</t>
  </si>
  <si>
    <t xml:space="preserve">أربعمائة وستة وثمانون مليوناً</t>
  </si>
  <si>
    <t xml:space="preserve">أربعمائة وستة وثمانون هللة</t>
  </si>
  <si>
    <t xml:space="preserve">أربعمائة وسبعة وثمانون</t>
  </si>
  <si>
    <t xml:space="preserve">أربعمائة وسبعة وثمانون ألفاً</t>
  </si>
  <si>
    <t xml:space="preserve">أربعمائة وسبعة وثمانون مليوناً</t>
  </si>
  <si>
    <t xml:space="preserve">أربعمائة وسبعة وثمانون هللة</t>
  </si>
  <si>
    <t xml:space="preserve">أربعمائة وثمانية وثمانون</t>
  </si>
  <si>
    <t xml:space="preserve">أربعمائة وثمانية وثمانون ألفاً</t>
  </si>
  <si>
    <t xml:space="preserve">أربعمائة وثمانية وثمانون مليوناً</t>
  </si>
  <si>
    <t xml:space="preserve">أربعمائة وثمانية وثمانون هللة</t>
  </si>
  <si>
    <t xml:space="preserve">أربعمائة وتسعة وثمانون</t>
  </si>
  <si>
    <t xml:space="preserve">أربعمائة وتسعة وثمانون ألفاً</t>
  </si>
  <si>
    <t xml:space="preserve">أربعمائة وتسعة وثمانون مليوناً</t>
  </si>
  <si>
    <t xml:space="preserve">أربعمائة وتسعة وثمانون هللة</t>
  </si>
  <si>
    <t xml:space="preserve">أربعمائة وتسعون</t>
  </si>
  <si>
    <t xml:space="preserve">أربعمائة وتسعون ألفاً</t>
  </si>
  <si>
    <t xml:space="preserve">أربعمائة وتسعون مليوناً</t>
  </si>
  <si>
    <t xml:space="preserve">أربعمائة وتسعون هللة</t>
  </si>
  <si>
    <t xml:space="preserve">أربعمائة وواحد وتسعون</t>
  </si>
  <si>
    <t xml:space="preserve">أربعمائة وواحد وتسعون ألفاً</t>
  </si>
  <si>
    <t xml:space="preserve">أربعمائة وواحد وتسعون مليوناً</t>
  </si>
  <si>
    <t xml:space="preserve">أربعمائة وواحد وتسعون هللة</t>
  </si>
  <si>
    <t xml:space="preserve">أربعمائة واثنان وتسعون</t>
  </si>
  <si>
    <t xml:space="preserve">أربعمائة واثنان وتسعون ألفاً</t>
  </si>
  <si>
    <t xml:space="preserve">أربعمائة واثنان وتسعون مليوناً</t>
  </si>
  <si>
    <t xml:space="preserve">أربعمائة واثنان وتسعون هللة</t>
  </si>
  <si>
    <t xml:space="preserve">أربعمائة وثلاثة وتسعون</t>
  </si>
  <si>
    <t xml:space="preserve">أربعمائة وثلاثة وتسعون ألفاً</t>
  </si>
  <si>
    <t xml:space="preserve">أربعمائة وثلاثة وتسعون مليوناً</t>
  </si>
  <si>
    <t xml:space="preserve">أربعمائة وثلاثة وتسعون هللة</t>
  </si>
  <si>
    <t xml:space="preserve">أربعمائة وأربعة وتسعون</t>
  </si>
  <si>
    <t xml:space="preserve">أربعمائة وأربعة وتسعون ألفاً</t>
  </si>
  <si>
    <t xml:space="preserve">أربعمائة وأربعة وتسعون مليوناً</t>
  </si>
  <si>
    <t xml:space="preserve">أربعمائة وأربعة وتسعون هللة</t>
  </si>
  <si>
    <t xml:space="preserve">أربعمائة وخمسة وتسعون</t>
  </si>
  <si>
    <t xml:space="preserve">أربعمائة وخمسة وتسعون ألفاً</t>
  </si>
  <si>
    <t xml:space="preserve">أربعمائة وخمسة وتسعون مليوناً</t>
  </si>
  <si>
    <t xml:space="preserve">أربعمائة وخمسة وتسعون هللة</t>
  </si>
  <si>
    <t xml:space="preserve">أربعمائة وستة وتسعون</t>
  </si>
  <si>
    <t xml:space="preserve">أربعمائة وستة وتسعون ألفاً</t>
  </si>
  <si>
    <t xml:space="preserve">أربعمائة وستة وتسعون مليوناً</t>
  </si>
  <si>
    <t xml:space="preserve">أربعمائة وستة وتسعون هللة</t>
  </si>
  <si>
    <t xml:space="preserve">أربعمائة وسبعة وتسعون</t>
  </si>
  <si>
    <t xml:space="preserve">أربعمائة وسبعة وتسعون ألفاً</t>
  </si>
  <si>
    <t xml:space="preserve">أربعمائة وسبعة وتسعون مليوناً</t>
  </si>
  <si>
    <t xml:space="preserve">أربعمائة وسبعة وتسعون هللة</t>
  </si>
  <si>
    <t xml:space="preserve">أربعمائة وثمانية وتسعون</t>
  </si>
  <si>
    <t xml:space="preserve">أربعمائة وثمانية وتسعون ألفاً</t>
  </si>
  <si>
    <t xml:space="preserve">أربعمائة وثمانية وتسعون مليوناً</t>
  </si>
  <si>
    <t xml:space="preserve">أربعمائة وثمانية وتسعون هللة</t>
  </si>
  <si>
    <t xml:space="preserve">أربعمائة وتسعة وتسعون</t>
  </si>
  <si>
    <t xml:space="preserve">أربعمائة وتسعة وتسعون ألفاً</t>
  </si>
  <si>
    <t xml:space="preserve">أربعمائة وتسعة وتسعون مليوناً</t>
  </si>
  <si>
    <t xml:space="preserve">أربعمائة وتسعة وتسعون هللة</t>
  </si>
  <si>
    <t xml:space="preserve">خمسمائة</t>
  </si>
  <si>
    <t xml:space="preserve">خمسمائة ألف</t>
  </si>
  <si>
    <t xml:space="preserve">خمسمائة مليون</t>
  </si>
  <si>
    <t xml:space="preserve">خمسمائة هللة</t>
  </si>
  <si>
    <t xml:space="preserve">خمسمائة وواحد</t>
  </si>
  <si>
    <t xml:space="preserve">خمسمائة وواحد ألف</t>
  </si>
  <si>
    <t xml:space="preserve">خمسمائة وواحد مليون</t>
  </si>
  <si>
    <t xml:space="preserve">خمسمائة وواحد هللة</t>
  </si>
  <si>
    <t xml:space="preserve">خمسمائة واثنان</t>
  </si>
  <si>
    <t xml:space="preserve">خمسمائة واثنان ألف</t>
  </si>
  <si>
    <t xml:space="preserve">خمسمائة واثنان مليون</t>
  </si>
  <si>
    <t xml:space="preserve">خمسمائة واثنان هللة</t>
  </si>
  <si>
    <t xml:space="preserve">خمسمائة وثلاثة</t>
  </si>
  <si>
    <t xml:space="preserve">خمسمائة وثلاثة آلاف</t>
  </si>
  <si>
    <t xml:space="preserve">خمسمائة وثلاثة ملايين</t>
  </si>
  <si>
    <t xml:space="preserve">خمسمائة وثلاثة هللات</t>
  </si>
  <si>
    <t xml:space="preserve">خمسمائة وأربعة</t>
  </si>
  <si>
    <t xml:space="preserve">خمسمائة وأربعة آلاف</t>
  </si>
  <si>
    <t xml:space="preserve">خمسمائة وأربعة ملايين</t>
  </si>
  <si>
    <t xml:space="preserve">خمسمائة وأربعة هللات</t>
  </si>
  <si>
    <t xml:space="preserve">خمسمائة وخمسة</t>
  </si>
  <si>
    <t xml:space="preserve">خمسمائة وخمسة آلاف</t>
  </si>
  <si>
    <t xml:space="preserve">خمسمائة وخمسة ملايين</t>
  </si>
  <si>
    <t xml:space="preserve">خمسمائة وخمسة هللات</t>
  </si>
  <si>
    <t xml:space="preserve">خمسمائة وستة</t>
  </si>
  <si>
    <t xml:space="preserve">خمسمائة وستة آلاف</t>
  </si>
  <si>
    <t xml:space="preserve">خمسمائة وستة ملايين</t>
  </si>
  <si>
    <t xml:space="preserve">خمسمائة وستة هللات</t>
  </si>
  <si>
    <t xml:space="preserve">خمسمائة وسبعة</t>
  </si>
  <si>
    <t xml:space="preserve">خمسمائة وسبعة آلاف</t>
  </si>
  <si>
    <t xml:space="preserve">خمسمائة وسبعة ملايين</t>
  </si>
  <si>
    <t xml:space="preserve">خمسمائة وسبعة هللات</t>
  </si>
  <si>
    <t xml:space="preserve">خمسمائة وثمانية</t>
  </si>
  <si>
    <t xml:space="preserve">خمسمائة وثمانية آلاف</t>
  </si>
  <si>
    <t xml:space="preserve">خمسمائة وثمانية ملايين</t>
  </si>
  <si>
    <t xml:space="preserve">خمسمائة وثمانية هللات</t>
  </si>
  <si>
    <t xml:space="preserve">خمسمائة وتسعة</t>
  </si>
  <si>
    <t xml:space="preserve">خمسمائة وتسعة آلاف</t>
  </si>
  <si>
    <t xml:space="preserve">خمسمائة وتسعة ملايين</t>
  </si>
  <si>
    <t xml:space="preserve">خمسمائة وتسعة هللات</t>
  </si>
  <si>
    <t xml:space="preserve">خمسمائة وعشرة</t>
  </si>
  <si>
    <t xml:space="preserve">خمسمائة وعشرة آلاف</t>
  </si>
  <si>
    <t xml:space="preserve">خمسمائة وعشرة ملايين</t>
  </si>
  <si>
    <t xml:space="preserve">خمسمائة وعشرة هللات</t>
  </si>
  <si>
    <t xml:space="preserve">خمسمائة وأحد عشر</t>
  </si>
  <si>
    <t xml:space="preserve">خمسمائة وأحد عشر ألفاً</t>
  </si>
  <si>
    <t xml:space="preserve">خمسمائة وأحد عشر مليوناً</t>
  </si>
  <si>
    <t xml:space="preserve">خمسمائة وأحد عشر هللة</t>
  </si>
  <si>
    <t xml:space="preserve">خمسمائة واثنا عشر</t>
  </si>
  <si>
    <t xml:space="preserve">خمسمائة واثنا عشر ألفاً</t>
  </si>
  <si>
    <t xml:space="preserve">خمسمائة واثنا عشر مليوناً</t>
  </si>
  <si>
    <t xml:space="preserve">خمسمائة واثنا عشر هللة</t>
  </si>
  <si>
    <t xml:space="preserve">خمسمائة وثلاثة عشر</t>
  </si>
  <si>
    <t xml:space="preserve">خمسمائة وثلاثة عشر ألفاً</t>
  </si>
  <si>
    <t xml:space="preserve">خمسمائة وثلاثة عشر مليوناً</t>
  </si>
  <si>
    <t xml:space="preserve">خمسمائة وثلاثة عشر هللة</t>
  </si>
  <si>
    <t xml:space="preserve">خمسمائة وأربعة عشر</t>
  </si>
  <si>
    <t xml:space="preserve">خمسمائة وأربعة عشر ألفاً</t>
  </si>
  <si>
    <t xml:space="preserve">خمسمائة وأربعة عشر مليوناً</t>
  </si>
  <si>
    <t xml:space="preserve">خمسمائة وأربعة عشر هللة</t>
  </si>
  <si>
    <t xml:space="preserve">خمسمائة وخمسة عشر</t>
  </si>
  <si>
    <t xml:space="preserve">خمسمائة وخمسة عشر ألفاً</t>
  </si>
  <si>
    <t xml:space="preserve">خمسمائة وخمسة عشر مليوناً</t>
  </si>
  <si>
    <t xml:space="preserve">خمسمائة وخمسة عشر هللة</t>
  </si>
  <si>
    <t xml:space="preserve">خمسمائة وستة عشر</t>
  </si>
  <si>
    <t xml:space="preserve">خمسمائة وستة عشر ألفاً</t>
  </si>
  <si>
    <t xml:space="preserve">خمسمائة وستة عشر مليوناً</t>
  </si>
  <si>
    <t xml:space="preserve">خمسمائة وستة عشر هللة</t>
  </si>
  <si>
    <t xml:space="preserve">خمسمائة وسبعة عشر</t>
  </si>
  <si>
    <t xml:space="preserve">خمسمائة وسبعة عشر ألفاً</t>
  </si>
  <si>
    <t xml:space="preserve">خمسمائة وسبعة عشر مليوناً</t>
  </si>
  <si>
    <t xml:space="preserve">خمسمائة وسبعة عشر هللة</t>
  </si>
  <si>
    <t xml:space="preserve">خمسمائة وثمانية عشر</t>
  </si>
  <si>
    <t xml:space="preserve">خمسمائة وثمانية عشر ألفاً</t>
  </si>
  <si>
    <t xml:space="preserve">خمسمائة وثمانية عشر مليوناً</t>
  </si>
  <si>
    <t xml:space="preserve">خمسمائة وثمانية عشر هللة</t>
  </si>
  <si>
    <t xml:space="preserve">خمسمائة وتسعة عشر</t>
  </si>
  <si>
    <t xml:space="preserve">خمسمائة وتسعة عشر ألفاً</t>
  </si>
  <si>
    <t xml:space="preserve">خمسمائة وتسعة عشر مليوناً</t>
  </si>
  <si>
    <t xml:space="preserve">خمسمائة وتسعة عشر هللة</t>
  </si>
  <si>
    <t xml:space="preserve">خمسمائة وعشرون</t>
  </si>
  <si>
    <t xml:space="preserve">خمسمائة وعشرون ألفاً</t>
  </si>
  <si>
    <t xml:space="preserve">خمسمائة وعشرون مليوناً</t>
  </si>
  <si>
    <t xml:space="preserve">خمسمائة وعشرون هللة</t>
  </si>
  <si>
    <t xml:space="preserve">خمسمائة وواحد وعشرون</t>
  </si>
  <si>
    <t xml:space="preserve">خمسمائة وواحد وعشرون ألفاً</t>
  </si>
  <si>
    <t xml:space="preserve">خمسمائة وواحد وعشرون مليوناً</t>
  </si>
  <si>
    <t xml:space="preserve">خمسمائة وواحد وعشرون هللة</t>
  </si>
  <si>
    <t xml:space="preserve">خمسمائة واثنان وعشرون</t>
  </si>
  <si>
    <t xml:space="preserve">خمسمائة واثنان وعشرون ألفاً</t>
  </si>
  <si>
    <t xml:space="preserve">خمسمائة واثنان وعشرون مليوناً</t>
  </si>
  <si>
    <t xml:space="preserve">خمسمائة واثنان وعشرون هللة</t>
  </si>
  <si>
    <t xml:space="preserve">خمسمائة وثلاثة وعشرون</t>
  </si>
  <si>
    <t xml:space="preserve">خمسمائة وثلاثة وعشرون ألفاً</t>
  </si>
  <si>
    <t xml:space="preserve">خمسمائة وثلاثة وعشرون مليوناً</t>
  </si>
  <si>
    <t xml:space="preserve">خمسمائة وثلاثة وعشرون هللة</t>
  </si>
  <si>
    <t xml:space="preserve">خمسمائة وأربعة وعشرون</t>
  </si>
  <si>
    <t xml:space="preserve">خمسمائة وأربعة وعشرون ألفاً</t>
  </si>
  <si>
    <t xml:space="preserve">خمسمائة وأربعة وعشرون مليوناً</t>
  </si>
  <si>
    <t xml:space="preserve">خمسمائة وأربعة وعشرون هللة</t>
  </si>
  <si>
    <t xml:space="preserve">خمسمائة وخمسة وعشرون</t>
  </si>
  <si>
    <t xml:space="preserve">خمسمائة وخمسة وعشرون ألفاً</t>
  </si>
  <si>
    <t xml:space="preserve">خمسمائة وخمسة وعشرون مليوناً</t>
  </si>
  <si>
    <t xml:space="preserve">خمسمائة وخمسة وعشرون هللة</t>
  </si>
  <si>
    <t xml:space="preserve">خمسمائة وستة وعشرون</t>
  </si>
  <si>
    <t xml:space="preserve">خمسمائة وستة وعشرون ألفاً</t>
  </si>
  <si>
    <t xml:space="preserve">خمسمائة وستة وعشرون مليوناً</t>
  </si>
  <si>
    <t xml:space="preserve">خمسمائة وستة وعشرون هللة</t>
  </si>
  <si>
    <t xml:space="preserve">خمسمائة وسبعة وعشرون</t>
  </si>
  <si>
    <t xml:space="preserve">خمسمائة وسبعة وعشرون ألفاً</t>
  </si>
  <si>
    <t xml:space="preserve">خمسمائة وسبعة وعشرون مليوناً</t>
  </si>
  <si>
    <t xml:space="preserve">خمسمائة وسبعة وعشرون هللة</t>
  </si>
  <si>
    <t xml:space="preserve">خمسمائة وثمانية وعشرون</t>
  </si>
  <si>
    <t xml:space="preserve">خمسمائة وثمانية وعشرون ألفاً</t>
  </si>
  <si>
    <t xml:space="preserve">خمسمائة وثمانية وعشرون مليوناً</t>
  </si>
  <si>
    <t xml:space="preserve">خمسمائة وثمانية وعشرون هللة</t>
  </si>
  <si>
    <t xml:space="preserve">خمسمائة وتسعة وعشرون</t>
  </si>
  <si>
    <t xml:space="preserve">خمسمائة وتسعة وعشرون ألفاً</t>
  </si>
  <si>
    <t xml:space="preserve">خمسمائة وتسعة وعشرون مليوناً</t>
  </si>
  <si>
    <t xml:space="preserve">خمسمائة وتسعة وعشرون هللة</t>
  </si>
  <si>
    <t xml:space="preserve">خمسمائة وثلاثون</t>
  </si>
  <si>
    <t xml:space="preserve">خمسمائة وثلاثون ألفاً</t>
  </si>
  <si>
    <t xml:space="preserve">خمسمائة وثلاثون مليوناً</t>
  </si>
  <si>
    <t xml:space="preserve">خمسمائة وثلاثون هللة</t>
  </si>
  <si>
    <t xml:space="preserve">خمسمائة وواحد وثلاثون</t>
  </si>
  <si>
    <t xml:space="preserve">خمسمائة وواحد وثلاثون ألفاً</t>
  </si>
  <si>
    <t xml:space="preserve">خمسمائة وواحد وثلاثون مليوناً</t>
  </si>
  <si>
    <t xml:space="preserve">خمسمائة وواحد وثلاثون هللة</t>
  </si>
  <si>
    <t xml:space="preserve">خمسمائة واثنان وثلاثون</t>
  </si>
  <si>
    <t xml:space="preserve">خمسمائة واثنان وثلاثون ألفاً</t>
  </si>
  <si>
    <t xml:space="preserve">خمسمائة واثنان وثلاثون مليوناً</t>
  </si>
  <si>
    <t xml:space="preserve">خمسمائة واثنان وثلاثون هللة</t>
  </si>
  <si>
    <t xml:space="preserve">خمسمائة وثلاثة وثلاثون</t>
  </si>
  <si>
    <t xml:space="preserve">خمسمائة وثلاثة وثلاثون ألفاً</t>
  </si>
  <si>
    <t xml:space="preserve">خمسمائة وثلاثة وثلاثون مليوناً</t>
  </si>
  <si>
    <t xml:space="preserve">خمسمائة وثلاثة وثلاثون هللة</t>
  </si>
  <si>
    <t xml:space="preserve">خمسمائة وأربعة وثلاثون</t>
  </si>
  <si>
    <t xml:space="preserve">خمسمائة وأربعة وثلاثون ألفاً</t>
  </si>
  <si>
    <t xml:space="preserve">خمسمائة وأربعة وثلاثون مليوناً</t>
  </si>
  <si>
    <t xml:space="preserve">خمسمائة وأربعة وثلاثون هللة</t>
  </si>
  <si>
    <t xml:space="preserve">خمسمائة وخمسة وثلاثون</t>
  </si>
  <si>
    <t xml:space="preserve">خمسمائة وخمسة وثلاثون ألفاً</t>
  </si>
  <si>
    <t xml:space="preserve">خمسمائة وخمسة وثلاثون مليوناً</t>
  </si>
  <si>
    <t xml:space="preserve">خمسمائة وخمسة وثلاثون هللة</t>
  </si>
  <si>
    <t xml:space="preserve">خمسمائة وستة وثلاثون</t>
  </si>
  <si>
    <t xml:space="preserve">خمسمائة وستة وثلاثون ألفاً</t>
  </si>
  <si>
    <t xml:space="preserve">خمسمائة وستة وثلاثون مليوناً</t>
  </si>
  <si>
    <t xml:space="preserve">خمسمائة وستة وثلاثون هللة</t>
  </si>
  <si>
    <t xml:space="preserve">خمسمائة وسبعة وثلاثون</t>
  </si>
  <si>
    <t xml:space="preserve">خمسمائة وسبعة وثلاثون ألفاً</t>
  </si>
  <si>
    <t xml:space="preserve">خمسمائة وسبعة وثلاثون مليوناً</t>
  </si>
  <si>
    <t xml:space="preserve">خمسمائة وسبعة وثلاثون هللة</t>
  </si>
  <si>
    <t xml:space="preserve">خمسمائة وثمانية وثلاثون</t>
  </si>
  <si>
    <t xml:space="preserve">خمسمائة وثمانية وثلاثون ألفاً</t>
  </si>
  <si>
    <t xml:space="preserve">خمسمائة وثمانية وثلاثون مليوناً</t>
  </si>
  <si>
    <t xml:space="preserve">خمسمائة وثمانية وثلاثون هللة</t>
  </si>
  <si>
    <t xml:space="preserve">خمسمائة وتسعة وثلاثون</t>
  </si>
  <si>
    <t xml:space="preserve">خمسمائة وتسعة وثلاثون ألفاً</t>
  </si>
  <si>
    <t xml:space="preserve">خمسمائة وتسعة وثلاثون مليوناً</t>
  </si>
  <si>
    <t xml:space="preserve">خمسمائة وتسعة وثلاثون هللة</t>
  </si>
  <si>
    <t xml:space="preserve">خمسمائة وأربعون</t>
  </si>
  <si>
    <t xml:space="preserve">خمسمائة وأربعون ألفاً</t>
  </si>
  <si>
    <t xml:space="preserve">خمسمائة وأربعون مليوناً</t>
  </si>
  <si>
    <t xml:space="preserve">خمسمائة وأربعون هللة</t>
  </si>
  <si>
    <t xml:space="preserve">خمسمائة وواحد وأربعون</t>
  </si>
  <si>
    <t xml:space="preserve">خمسمائة وواحد وأربعون ألفاً</t>
  </si>
  <si>
    <t xml:space="preserve">خمسمائة وواحد وأربعون مليوناً</t>
  </si>
  <si>
    <t xml:space="preserve">خمسمائة وواحد وأربعون هللة</t>
  </si>
  <si>
    <t xml:space="preserve">خمسمائة واثنان وأربعون</t>
  </si>
  <si>
    <t xml:space="preserve">خمسمائة واثنان وأربعون ألفاً</t>
  </si>
  <si>
    <t xml:space="preserve">خمسمائة واثنان وأربعون مليوناً</t>
  </si>
  <si>
    <t xml:space="preserve">خمسمائة واثنان وأربعون هللة</t>
  </si>
  <si>
    <t xml:space="preserve">خمسمائة وثلاثة وأربعون</t>
  </si>
  <si>
    <t xml:space="preserve">خمسمائة وثلاثة وأربعون ألفاً</t>
  </si>
  <si>
    <t xml:space="preserve">خمسمائة وثلاثة وأربعون مليوناً</t>
  </si>
  <si>
    <t xml:space="preserve">خمسمائة وثلاثة وأربعون هللة</t>
  </si>
  <si>
    <t xml:space="preserve">خمسمائة وأربعة وأربعون</t>
  </si>
  <si>
    <t xml:space="preserve">خمسمائة وأربعة وأربعون ألفاً</t>
  </si>
  <si>
    <t xml:space="preserve">خمسمائة وأربعة وأربعون مليوناً</t>
  </si>
  <si>
    <t xml:space="preserve">خمسمائة وأربعة وأربعون هللة</t>
  </si>
  <si>
    <t xml:space="preserve">خمسمائة وخمسة وأربعون</t>
  </si>
  <si>
    <t xml:space="preserve">خمسمائة وخمسة وأربعون ألفاً</t>
  </si>
  <si>
    <t xml:space="preserve">خمسمائة وخمسة وأربعون مليوناً</t>
  </si>
  <si>
    <t xml:space="preserve">خمسمائة وخمسة وأربعون هللة</t>
  </si>
  <si>
    <t xml:space="preserve">خمسمائة وستة وأربعون</t>
  </si>
  <si>
    <t xml:space="preserve">خمسمائة وستة وأربعون ألفاً</t>
  </si>
  <si>
    <t xml:space="preserve">خمسمائة وستة وأربعون مليوناً</t>
  </si>
  <si>
    <t xml:space="preserve">خمسمائة وستة وأربعون هللة</t>
  </si>
  <si>
    <t xml:space="preserve">خمسمائة وسبعة وأربعون</t>
  </si>
  <si>
    <t xml:space="preserve">خمسمائة وسبعة وأربعون ألفاً</t>
  </si>
  <si>
    <t xml:space="preserve">خمسمائة وسبعة وأربعون مليوناً</t>
  </si>
  <si>
    <t xml:space="preserve">خمسمائة وسبعة وأربعون هللة</t>
  </si>
  <si>
    <t xml:space="preserve">خمسمائة وثمانية وأربعون</t>
  </si>
  <si>
    <t xml:space="preserve">خمسمائة وثمانية وأربعون ألفاً</t>
  </si>
  <si>
    <t xml:space="preserve">خمسمائة وثمانية وأربعون مليوناً</t>
  </si>
  <si>
    <t xml:space="preserve">خمسمائة وثمانية وأربعون هللة</t>
  </si>
  <si>
    <t xml:space="preserve">خمسمائة وتسعة وأربعون</t>
  </si>
  <si>
    <t xml:space="preserve">خمسمائة وتسعة وأربعون ألفاً</t>
  </si>
  <si>
    <t xml:space="preserve">خمسمائة وتسعة وأربعون مليوناً</t>
  </si>
  <si>
    <t xml:space="preserve">خمسمائة وتسعة وأربعون هللة</t>
  </si>
  <si>
    <t xml:space="preserve">خمسمائة وخمسون</t>
  </si>
  <si>
    <t xml:space="preserve">خمسمائة وخمسون ألفاً</t>
  </si>
  <si>
    <t xml:space="preserve">خمسمائة وخمسون مليوناً</t>
  </si>
  <si>
    <t xml:space="preserve">خمسمائة وخمسون هللة</t>
  </si>
  <si>
    <t xml:space="preserve">خمسمائة وواحد وخمسون</t>
  </si>
  <si>
    <t xml:space="preserve">خمسمائة وواحد وخمسون ألفاً</t>
  </si>
  <si>
    <t xml:space="preserve">خمسمائة وواحد وخمسون مليوناً</t>
  </si>
  <si>
    <t xml:space="preserve">خمسمائة وواحد وخمسون هللة</t>
  </si>
  <si>
    <t xml:space="preserve">خمسمائة واثنان وخمسون</t>
  </si>
  <si>
    <t xml:space="preserve">خمسمائة واثنان وخمسون ألفاً</t>
  </si>
  <si>
    <t xml:space="preserve">خمسمائة واثنان وخمسون مليوناً</t>
  </si>
  <si>
    <t xml:space="preserve">خمسمائة واثنان وخمسون هللة</t>
  </si>
  <si>
    <t xml:space="preserve">خمسمائة وثلاثة وخمسون</t>
  </si>
  <si>
    <t xml:space="preserve">خمسمائة وثلاثة وخمسون ألفاً</t>
  </si>
  <si>
    <t xml:space="preserve">خمسمائة وثلاثة وخمسون مليوناً</t>
  </si>
  <si>
    <t xml:space="preserve">خمسمائة وثلاثة وخمسون هللة</t>
  </si>
  <si>
    <t xml:space="preserve">خمسمائة وأربعة وخمسون</t>
  </si>
  <si>
    <t xml:space="preserve">خمسمائة وأربعة وخمسون ألفاً</t>
  </si>
  <si>
    <t xml:space="preserve">خمسمائة وأربعة وخمسون مليوناً</t>
  </si>
  <si>
    <t xml:space="preserve">خمسمائة وأربعة وخمسون هللة</t>
  </si>
  <si>
    <t xml:space="preserve">خمسمائة وخمسة وخمسون</t>
  </si>
  <si>
    <t xml:space="preserve">خمسمائة وخمسة وخمسون ألفاً</t>
  </si>
  <si>
    <t xml:space="preserve">خمسمائة وخمسة وخمسون مليوناً</t>
  </si>
  <si>
    <t xml:space="preserve">خمسمائة وخمسة وخمسون هللة</t>
  </si>
  <si>
    <t xml:space="preserve">خمسمائة وستة وخمسون</t>
  </si>
  <si>
    <t xml:space="preserve">خمسمائة وستة وخمسون ألفاً</t>
  </si>
  <si>
    <t xml:space="preserve">خمسمائة وستة وخمسون مليوناً</t>
  </si>
  <si>
    <t xml:space="preserve">خمسمائة وستة وخمسون هللة</t>
  </si>
  <si>
    <t xml:space="preserve">خمسمائة وسبعة وخمسون</t>
  </si>
  <si>
    <t xml:space="preserve">خمسمائة وسبعة وخمسون ألفاً</t>
  </si>
  <si>
    <t xml:space="preserve">خمسمائة وسبعة وخمسون مليوناً</t>
  </si>
  <si>
    <t xml:space="preserve">خمسمائة وسبعة وخمسون هللة</t>
  </si>
  <si>
    <t xml:space="preserve">خمسمائة وثمانية وخمسون</t>
  </si>
  <si>
    <t xml:space="preserve">خمسمائة وثمانية وخمسون ألفاً</t>
  </si>
  <si>
    <t xml:space="preserve">خمسمائة وثمانية وخمسون مليوناً</t>
  </si>
  <si>
    <t xml:space="preserve">خمسمائة وثمانية وخمسون هللة</t>
  </si>
  <si>
    <t xml:space="preserve">خمسمائة وتسعة وخمسون</t>
  </si>
  <si>
    <t xml:space="preserve">خمسمائة وتسعة وخمسون ألفاً</t>
  </si>
  <si>
    <t xml:space="preserve">خمسمائة وتسعة وخمسون مليوناً</t>
  </si>
  <si>
    <t xml:space="preserve">خمسمائة وتسعة وخمسون هللة</t>
  </si>
  <si>
    <t xml:space="preserve">خمسمائة وستون</t>
  </si>
  <si>
    <t xml:space="preserve">خمسمائة وستون ألفاً</t>
  </si>
  <si>
    <t xml:space="preserve">خمسمائة وستون مليوناً</t>
  </si>
  <si>
    <t xml:space="preserve">خمسمائة وستون هللة</t>
  </si>
  <si>
    <t xml:space="preserve">خمسمائة وواحد وستون</t>
  </si>
  <si>
    <t xml:space="preserve">خمسمائة وواحد وستون ألفاً</t>
  </si>
  <si>
    <t xml:space="preserve">خمسمائة وواحد وستون مليوناً</t>
  </si>
  <si>
    <t xml:space="preserve">خمسمائة وواحد وستون هللة</t>
  </si>
  <si>
    <t xml:space="preserve">خمسمائة واثنان وستون</t>
  </si>
  <si>
    <t xml:space="preserve">خمسمائة واثنان وستون ألفاً</t>
  </si>
  <si>
    <t xml:space="preserve">خمسمائة واثنان وستون مليوناً</t>
  </si>
  <si>
    <t xml:space="preserve">خمسمائة واثنان وستون هللة</t>
  </si>
  <si>
    <t xml:space="preserve">خمسمائة وثلاثة وستون</t>
  </si>
  <si>
    <t xml:space="preserve">خمسمائة وثلاثة وستون ألفاً</t>
  </si>
  <si>
    <t xml:space="preserve">خمسمائة وثلاثة وستون مليوناً</t>
  </si>
  <si>
    <t xml:space="preserve">خمسمائة وثلاثة وستون هللة</t>
  </si>
  <si>
    <t xml:space="preserve">خمسمائة وأربعة وستون</t>
  </si>
  <si>
    <t xml:space="preserve">خمسمائة وأربعة وستون ألفاً</t>
  </si>
  <si>
    <t xml:space="preserve">خمسمائة وأربعة وستون مليوناً</t>
  </si>
  <si>
    <t xml:space="preserve">خمسمائة وأربعة وستون هللة</t>
  </si>
  <si>
    <t xml:space="preserve">خمسمائة وخمسة وستون</t>
  </si>
  <si>
    <t xml:space="preserve">خمسمائة وخمسة وستون ألفاً</t>
  </si>
  <si>
    <t xml:space="preserve">خمسمائة وخمسة وستون مليوناً</t>
  </si>
  <si>
    <t xml:space="preserve">خمسمائة وخمسة وستون هللة</t>
  </si>
  <si>
    <t xml:space="preserve">خمسمائة وستة وستون</t>
  </si>
  <si>
    <t xml:space="preserve">خمسمائة وستة وستون ألفاً</t>
  </si>
  <si>
    <t xml:space="preserve">خمسمائة وستة وستون مليوناً</t>
  </si>
  <si>
    <t xml:space="preserve">خمسمائة وستة وستون هللة</t>
  </si>
  <si>
    <t xml:space="preserve">خمسمائة وسبعة وستون</t>
  </si>
  <si>
    <t xml:space="preserve">خمسمائة وسبعة وستون ألفاً</t>
  </si>
  <si>
    <t xml:space="preserve">خمسمائة وسبعة وستون مليوناً</t>
  </si>
  <si>
    <t xml:space="preserve">خمسمائة وسبعة وستون هللة</t>
  </si>
  <si>
    <t xml:space="preserve">خمسمائة وثمانية وستون</t>
  </si>
  <si>
    <t xml:space="preserve">خمسمائة وثمانية وستون ألفاً</t>
  </si>
  <si>
    <t xml:space="preserve">خمسمائة وثمانية وستون مليوناً</t>
  </si>
  <si>
    <t xml:space="preserve">خمسمائة وثمانية وستون هللة</t>
  </si>
  <si>
    <t xml:space="preserve">خمسمائة وتسعة وستون</t>
  </si>
  <si>
    <t xml:space="preserve">خمسمائة وتسعة وستون ألفاً</t>
  </si>
  <si>
    <t xml:space="preserve">خمسمائة وتسعة وستون مليوناً</t>
  </si>
  <si>
    <t xml:space="preserve">خمسمائة وتسعة وستون هللة</t>
  </si>
  <si>
    <t xml:space="preserve">خمسمائة وسبعون</t>
  </si>
  <si>
    <t xml:space="preserve">خمسمائة وسبعون ألفاً</t>
  </si>
  <si>
    <t xml:space="preserve">خمسمائة وسبعون مليوناً</t>
  </si>
  <si>
    <t xml:space="preserve">خمسمائة وسبعون هللة</t>
  </si>
  <si>
    <t xml:space="preserve">خمسمائة وواحد وسبعون</t>
  </si>
  <si>
    <t xml:space="preserve">خمسمائة وواحد وسبعون ألفاً</t>
  </si>
  <si>
    <t xml:space="preserve">خمسمائة وواحد وسبعون مليوناً</t>
  </si>
  <si>
    <t xml:space="preserve">خمسمائة وواحد وسبعون هللة</t>
  </si>
  <si>
    <t xml:space="preserve">خمسمائة واثنان وسبعون</t>
  </si>
  <si>
    <t xml:space="preserve">خمسمائة واثنان وسبعون ألفاً</t>
  </si>
  <si>
    <t xml:space="preserve">خمسمائة واثنان وسبعون مليوناً</t>
  </si>
  <si>
    <t xml:space="preserve">خمسمائة واثنان وسبعون هللة</t>
  </si>
  <si>
    <t xml:space="preserve">خمسمائة وثلاثة وسبعون</t>
  </si>
  <si>
    <t xml:space="preserve">خمسمائة وثلاثة وسبعون ألفاً</t>
  </si>
  <si>
    <t xml:space="preserve">خمسمائة وثلاثة وسبعون مليوناً</t>
  </si>
  <si>
    <t xml:space="preserve">خمسمائة وثلاثة وسبعون هللة</t>
  </si>
  <si>
    <t xml:space="preserve">خمسمائة وأربعة وسبعون</t>
  </si>
  <si>
    <t xml:space="preserve">خمسمائة وأربعة وسبعون ألفاً</t>
  </si>
  <si>
    <t xml:space="preserve">خمسمائة وأربعة وسبعون مليوناً</t>
  </si>
  <si>
    <t xml:space="preserve">خمسمائة وأربعة وسبعون هللة</t>
  </si>
  <si>
    <t xml:space="preserve">خمسمائة وخمسة وسبعون</t>
  </si>
  <si>
    <t xml:space="preserve">خمسمائة وخمسة وسبعون ألفاً</t>
  </si>
  <si>
    <t xml:space="preserve">خمسمائة وخمسة وسبعون مليوناً</t>
  </si>
  <si>
    <t xml:space="preserve">خمسمائة وخمسة وسبعون هللة</t>
  </si>
  <si>
    <t xml:space="preserve">خمسمائة وستة وسبعون</t>
  </si>
  <si>
    <t xml:space="preserve">خمسمائة وستة وسبعون ألفاً</t>
  </si>
  <si>
    <t xml:space="preserve">خمسمائة وستة وسبعون مليوناً</t>
  </si>
  <si>
    <t xml:space="preserve">خمسمائة وستة وسبعون هللة</t>
  </si>
  <si>
    <t xml:space="preserve">خمسمائة وسبعة وسبعون</t>
  </si>
  <si>
    <t xml:space="preserve">خمسمائة وسبعة وسبعون ألفاً</t>
  </si>
  <si>
    <t xml:space="preserve">خمسمائة وسبعة وسبعون مليوناً</t>
  </si>
  <si>
    <t xml:space="preserve">خمسمائة وسبعة وسبعون هللة</t>
  </si>
  <si>
    <t xml:space="preserve">خمسمائة وثمانية وسبعون</t>
  </si>
  <si>
    <t xml:space="preserve">خمسمائة وثمانية وسبعون ألفاً</t>
  </si>
  <si>
    <t xml:space="preserve">خمسمائة وثمانية وسبعون مليوناً</t>
  </si>
  <si>
    <t xml:space="preserve">خمسمائة وثمانية وسبعون هللة</t>
  </si>
  <si>
    <t xml:space="preserve">خمسمائة وتسعة وسبعون</t>
  </si>
  <si>
    <t xml:space="preserve">خمسمائة وتسعة وسبعون ألفاً</t>
  </si>
  <si>
    <t xml:space="preserve">خمسمائة وتسعة وسبعون مليوناً</t>
  </si>
  <si>
    <t xml:space="preserve">خمسمائة وتسعة وسبعون هللة</t>
  </si>
  <si>
    <t xml:space="preserve">خمسمائة وثمانون</t>
  </si>
  <si>
    <t xml:space="preserve">خمسمائة وثمانون ألفاً</t>
  </si>
  <si>
    <t xml:space="preserve">خمسمائة وثمانون مليوناً</t>
  </si>
  <si>
    <t xml:space="preserve">خمسمائة وثمانون هللة</t>
  </si>
  <si>
    <t xml:space="preserve">خمسمائة وواحد وثمانون</t>
  </si>
  <si>
    <t xml:space="preserve">خمسمائة وواحد وثمانون ألفاً</t>
  </si>
  <si>
    <t xml:space="preserve">خمسمائة وواحد وثمانون مليوناً</t>
  </si>
  <si>
    <t xml:space="preserve">خمسمائة وواحد وثمانون هللة</t>
  </si>
  <si>
    <t xml:space="preserve">خمسمائة واثنان وثمانون</t>
  </si>
  <si>
    <t xml:space="preserve">خمسمائة واثنان وثمانون ألفاً</t>
  </si>
  <si>
    <t xml:space="preserve">خمسمائة واثنان وثمانون مليوناً</t>
  </si>
  <si>
    <t xml:space="preserve">خمسمائة واثنان وثمانون هللة</t>
  </si>
  <si>
    <t xml:space="preserve">خمسمائة وثلاثة وثمانون</t>
  </si>
  <si>
    <t xml:space="preserve">خمسمائة وثلاثة وثمانون ألفاً</t>
  </si>
  <si>
    <t xml:space="preserve">خمسمائة وثلاثة وثمانون مليوناً</t>
  </si>
  <si>
    <t xml:space="preserve">خمسمائة وثلاثة وثمانون هللة</t>
  </si>
  <si>
    <t xml:space="preserve">خمسمائة وأربعة وثمانون</t>
  </si>
  <si>
    <t xml:space="preserve">خمسمائة وأربعة وثمانون ألفاً</t>
  </si>
  <si>
    <t xml:space="preserve">خمسمائة وأربعة وثمانون مليوناً</t>
  </si>
  <si>
    <t xml:space="preserve">خمسمائة وأربعة وثمانون هللة</t>
  </si>
  <si>
    <t xml:space="preserve">خمسمائة وخمسة وثمانون</t>
  </si>
  <si>
    <t xml:space="preserve">خمسمائة وخمسة وثمانون ألفاً</t>
  </si>
  <si>
    <t xml:space="preserve">خمسمائة وخمسة وثمانون مليوناً</t>
  </si>
  <si>
    <t xml:space="preserve">خمسمائة وخمسة وثمانون هللة</t>
  </si>
  <si>
    <t xml:space="preserve">خمسمائة وستة وثمانون</t>
  </si>
  <si>
    <t xml:space="preserve">خمسمائة وستة وثمانون ألفاً</t>
  </si>
  <si>
    <t xml:space="preserve">خمسمائة وستة وثمانون مليوناً</t>
  </si>
  <si>
    <t xml:space="preserve">خمسمائة وستة وثمانون هللة</t>
  </si>
  <si>
    <t xml:space="preserve">خمسمائة وسبعة وثمانون</t>
  </si>
  <si>
    <t xml:space="preserve">خمسمائة وسبعة وثمانون ألفاً</t>
  </si>
  <si>
    <t xml:space="preserve">خمسمائة وسبعة وثمانون مليوناً</t>
  </si>
  <si>
    <t xml:space="preserve">خمسمائة وسبعة وثمانون هللة</t>
  </si>
  <si>
    <t xml:space="preserve">خمسمائة وثمانية وثمانون</t>
  </si>
  <si>
    <t xml:space="preserve">خمسمائة وثمانية وثمانون ألفاً</t>
  </si>
  <si>
    <t xml:space="preserve">خمسمائة وثمانية وثمانون مليوناً</t>
  </si>
  <si>
    <t xml:space="preserve">خمسمائة وثمانية وثمانون هللة</t>
  </si>
  <si>
    <t xml:space="preserve">خمسمائة وتسعة وثمانون</t>
  </si>
  <si>
    <t xml:space="preserve">خمسمائة وتسعة وثمانون ألفاً</t>
  </si>
  <si>
    <t xml:space="preserve">خمسمائة وتسعة وثمانون مليوناً</t>
  </si>
  <si>
    <t xml:space="preserve">خمسمائة وتسعة وثمانون هللة</t>
  </si>
  <si>
    <t xml:space="preserve">خمسمائة وتسعون</t>
  </si>
  <si>
    <t xml:space="preserve">خمسمائة وتسعون ألفاً</t>
  </si>
  <si>
    <t xml:space="preserve">خمسمائة وتسعون مليوناً</t>
  </si>
  <si>
    <t xml:space="preserve">خمسمائة وتسعون هللة</t>
  </si>
  <si>
    <t xml:space="preserve">خمسمائة وواحد وتسعون</t>
  </si>
  <si>
    <t xml:space="preserve">خمسمائة وواحد وتسعون ألفاً</t>
  </si>
  <si>
    <t xml:space="preserve">خمسمائة وواحد وتسعون مليوناً</t>
  </si>
  <si>
    <t xml:space="preserve">خمسمائة وواحد وتسعون هللة</t>
  </si>
  <si>
    <t xml:space="preserve">خمسمائة واثنان وتسعون</t>
  </si>
  <si>
    <t xml:space="preserve">خمسمائة واثنان وتسعون ألفاً</t>
  </si>
  <si>
    <t xml:space="preserve">خمسمائة واثنان وتسعون مليوناً</t>
  </si>
  <si>
    <t xml:space="preserve">خمسمائة واثنان وتسعون هللة</t>
  </si>
  <si>
    <t xml:space="preserve">خمسمائة وثلاثة وتسعون</t>
  </si>
  <si>
    <t xml:space="preserve">خمسمائة وثلاثة وتسعون ألفاً</t>
  </si>
  <si>
    <t xml:space="preserve">خمسمائة وثلاثة وتسعون مليوناً</t>
  </si>
  <si>
    <t xml:space="preserve">خمسمائة وثلاثة وتسعون هللة</t>
  </si>
  <si>
    <t xml:space="preserve">خمسمائة وأربعة وتسعون</t>
  </si>
  <si>
    <t xml:space="preserve">خمسمائة وأربعة وتسعون ألفاً</t>
  </si>
  <si>
    <t xml:space="preserve">خمسمائة وأربعة وتسعون مليوناً</t>
  </si>
  <si>
    <t xml:space="preserve">خمسمائة وأربعة وتسعون هللة</t>
  </si>
  <si>
    <t xml:space="preserve">خمسمائة وخمسة وتسعون</t>
  </si>
  <si>
    <t xml:space="preserve">خمسمائة وخمسة وتسعون ألفاً</t>
  </si>
  <si>
    <t xml:space="preserve">خمسمائة وخمسة وتسعون مليوناً</t>
  </si>
  <si>
    <t xml:space="preserve">خمسمائة وخمسة وتسعون هللة</t>
  </si>
  <si>
    <t xml:space="preserve">خمسمائة وستة وتسعون</t>
  </si>
  <si>
    <t xml:space="preserve">خمسمائة وستة وتسعون ألفاً</t>
  </si>
  <si>
    <t xml:space="preserve">خمسمائة وستة وتسعون مليوناً</t>
  </si>
  <si>
    <t xml:space="preserve">خمسمائة وستة وتسعون هللة</t>
  </si>
  <si>
    <t xml:space="preserve">خمسمائة وسبعة وتسعون</t>
  </si>
  <si>
    <t xml:space="preserve">خمسمائة وسبعة وتسعون ألفاً</t>
  </si>
  <si>
    <t xml:space="preserve">خمسمائة وسبعة وتسعون مليوناً</t>
  </si>
  <si>
    <t xml:space="preserve">خمسمائة وسبعة وتسعون هللة</t>
  </si>
  <si>
    <t xml:space="preserve">خمسمائة وثمانية وتسعون</t>
  </si>
  <si>
    <t xml:space="preserve">خمسمائة وثمانية وتسعون ألفاً</t>
  </si>
  <si>
    <t xml:space="preserve">خمسمائة وثمانية وتسعون مليوناً</t>
  </si>
  <si>
    <t xml:space="preserve">خمسمائة وثمانية وتسعون هللة</t>
  </si>
  <si>
    <t xml:space="preserve">خمسمائة وتسعة وتسعون</t>
  </si>
  <si>
    <t xml:space="preserve">خمسمائة وتسعة وتسعون ألفاً</t>
  </si>
  <si>
    <t xml:space="preserve">خمسمائة وتسعة وتسعون مليوناً</t>
  </si>
  <si>
    <t xml:space="preserve">خمسمائة وتسعة وتسعون هللة</t>
  </si>
  <si>
    <t xml:space="preserve">ستمائة</t>
  </si>
  <si>
    <t xml:space="preserve">ستمائة ألف</t>
  </si>
  <si>
    <t xml:space="preserve">ستمائة مليون</t>
  </si>
  <si>
    <t xml:space="preserve">ستمائة هللة</t>
  </si>
  <si>
    <t xml:space="preserve">ستمائة وواحد</t>
  </si>
  <si>
    <t xml:space="preserve">ستمائة وواحد ألف</t>
  </si>
  <si>
    <t xml:space="preserve">ستمائة وواحد مليون</t>
  </si>
  <si>
    <t xml:space="preserve">ستمائة وواحد هللة</t>
  </si>
  <si>
    <t xml:space="preserve">ستمائة واثنان</t>
  </si>
  <si>
    <t xml:space="preserve">ستمائة واثنان ألف</t>
  </si>
  <si>
    <t xml:space="preserve">ستمائة واثنان مليون</t>
  </si>
  <si>
    <t xml:space="preserve">ستمائة واثنان هللة</t>
  </si>
  <si>
    <t xml:space="preserve">ستمائة وثلاثة</t>
  </si>
  <si>
    <t xml:space="preserve">ستمائة وثلاثة آلاف</t>
  </si>
  <si>
    <t xml:space="preserve">ستمائة وثلاثة ملايين</t>
  </si>
  <si>
    <t xml:space="preserve">ستمائة وثلاثة هللات</t>
  </si>
  <si>
    <t xml:space="preserve">ستمائة وأربعة</t>
  </si>
  <si>
    <t xml:space="preserve">ستمائة وأربعة آلاف</t>
  </si>
  <si>
    <t xml:space="preserve">ستمائة وأربعة ملايين</t>
  </si>
  <si>
    <t xml:space="preserve">ستمائة وأربعة هللات</t>
  </si>
  <si>
    <t xml:space="preserve">ستمائة وخمسة</t>
  </si>
  <si>
    <t xml:space="preserve">ستمائة وخمسة آلاف</t>
  </si>
  <si>
    <t xml:space="preserve">ستمائة وخمسة ملايين</t>
  </si>
  <si>
    <t xml:space="preserve">ستمائة وخمسة هللات</t>
  </si>
  <si>
    <t xml:space="preserve">ستمائة وستة</t>
  </si>
  <si>
    <t xml:space="preserve">ستمائة وستة آلاف</t>
  </si>
  <si>
    <t xml:space="preserve">ستمائة وستة ملايين</t>
  </si>
  <si>
    <t xml:space="preserve">ستمائة وستة هللات</t>
  </si>
  <si>
    <t xml:space="preserve">ستمائة وسبعة</t>
  </si>
  <si>
    <t xml:space="preserve">ستمائة وسبعة آلاف</t>
  </si>
  <si>
    <t xml:space="preserve">ستمائة وسبعة ملايين</t>
  </si>
  <si>
    <t xml:space="preserve">ستمائة وسبعة هللات</t>
  </si>
  <si>
    <t xml:space="preserve">ستمائة وثمانية</t>
  </si>
  <si>
    <t xml:space="preserve">ستمائة وثمانية آلاف</t>
  </si>
  <si>
    <t xml:space="preserve">ستمائة وثمانية ملايين</t>
  </si>
  <si>
    <t xml:space="preserve">ستمائة وثمانية هللات</t>
  </si>
  <si>
    <t xml:space="preserve">ستمائة وتسعة</t>
  </si>
  <si>
    <t xml:space="preserve">ستمائة وتسعة آلاف</t>
  </si>
  <si>
    <t xml:space="preserve">ستمائة وتسعة ملايين</t>
  </si>
  <si>
    <t xml:space="preserve">ستمائة وتسعة هللات</t>
  </si>
  <si>
    <t xml:space="preserve">ستمائة وعشرة</t>
  </si>
  <si>
    <t xml:space="preserve">ستمائة وعشرة آلاف</t>
  </si>
  <si>
    <t xml:space="preserve">ستمائة وعشرة ملايين</t>
  </si>
  <si>
    <t xml:space="preserve">ستمائة وعشرة هللات</t>
  </si>
  <si>
    <t xml:space="preserve">ستمائة وأحد عشر</t>
  </si>
  <si>
    <t xml:space="preserve">ستمائة وأحد عشر ألفاً</t>
  </si>
  <si>
    <t xml:space="preserve">ستمائة وأحد عشر مليوناً</t>
  </si>
  <si>
    <t xml:space="preserve">ستمائة وأحد عشر هللة</t>
  </si>
  <si>
    <t xml:space="preserve">ستمائة واثنا عشر</t>
  </si>
  <si>
    <t xml:space="preserve">ستمائة واثنا عشر ألفاً</t>
  </si>
  <si>
    <t xml:space="preserve">ستمائة واثنا عشر مليوناً</t>
  </si>
  <si>
    <t xml:space="preserve">ستمائة واثنا عشر هللة</t>
  </si>
  <si>
    <t xml:space="preserve">ستمائة وثلاثة عشر</t>
  </si>
  <si>
    <t xml:space="preserve">ستمائة وثلاثة عشر ألفاً</t>
  </si>
  <si>
    <t xml:space="preserve">ستمائة وثلاثة عشر مليوناً</t>
  </si>
  <si>
    <t xml:space="preserve">ستمائة وثلاثة عشر هللة</t>
  </si>
  <si>
    <t xml:space="preserve">ستمائة وأربعة عشر</t>
  </si>
  <si>
    <t xml:space="preserve">ستمائة وأربعة عشر ألفاً</t>
  </si>
  <si>
    <t xml:space="preserve">ستمائة وأربعة عشر مليوناً</t>
  </si>
  <si>
    <t xml:space="preserve">ستمائة وأربعة عشر هللة</t>
  </si>
  <si>
    <t xml:space="preserve">ستمائة وخمسة عشر</t>
  </si>
  <si>
    <t xml:space="preserve">ستمائة وخمسة عشر ألفاً</t>
  </si>
  <si>
    <t xml:space="preserve">ستمائة وخمسة عشر مليوناً</t>
  </si>
  <si>
    <t xml:space="preserve">ستمائة وخمسة عشر هللة</t>
  </si>
  <si>
    <t xml:space="preserve">ستمائة وستة عشر</t>
  </si>
  <si>
    <t xml:space="preserve">ستمائة وستة عشر ألفاً</t>
  </si>
  <si>
    <t xml:space="preserve">ستمائة وستة عشر مليوناً</t>
  </si>
  <si>
    <t xml:space="preserve">ستمائة وستة عشر هللة</t>
  </si>
  <si>
    <t xml:space="preserve">ستمائة وسبعة عشر</t>
  </si>
  <si>
    <t xml:space="preserve">ستمائة وسبعة عشر ألفاً</t>
  </si>
  <si>
    <t xml:space="preserve">ستمائة وسبعة عشر مليوناً</t>
  </si>
  <si>
    <t xml:space="preserve">ستمائة وسبعة عشر هللة</t>
  </si>
  <si>
    <t xml:space="preserve">ستمائة وثمانية عشر</t>
  </si>
  <si>
    <t xml:space="preserve">ستمائة وثمانية عشر ألفاً</t>
  </si>
  <si>
    <t xml:space="preserve">ستمائة وثمانية عشر مليوناً</t>
  </si>
  <si>
    <t xml:space="preserve">ستمائة وثمانية عشر هللة</t>
  </si>
  <si>
    <t xml:space="preserve">ستمائة وتسعة عشر</t>
  </si>
  <si>
    <t xml:space="preserve">ستمائة وتسعة عشر ألفاً</t>
  </si>
  <si>
    <t xml:space="preserve">ستمائة وتسعة عشر مليوناً</t>
  </si>
  <si>
    <t xml:space="preserve">ستمائة وتسعة عشر هللة</t>
  </si>
  <si>
    <t xml:space="preserve">ستمائة وعشرون</t>
  </si>
  <si>
    <t xml:space="preserve">ستمائة وعشرون ألفاً</t>
  </si>
  <si>
    <t xml:space="preserve">ستمائة وعشرون مليوناً</t>
  </si>
  <si>
    <t xml:space="preserve">ستمائة وعشرون هللة</t>
  </si>
  <si>
    <t xml:space="preserve">ستمائة وواحد وعشرون</t>
  </si>
  <si>
    <t xml:space="preserve">ستمائة وواحد وعشرون ألفاً</t>
  </si>
  <si>
    <t xml:space="preserve">ستمائة وواحد وعشرون مليوناً</t>
  </si>
  <si>
    <t xml:space="preserve">ستمائة وواحد وعشرون هللة</t>
  </si>
  <si>
    <t xml:space="preserve">ستمائة واثنان وعشرون</t>
  </si>
  <si>
    <t xml:space="preserve">ستمائة واثنان وعشرون ألفاً</t>
  </si>
  <si>
    <t xml:space="preserve">ستمائة واثنان وعشرون مليوناً</t>
  </si>
  <si>
    <t xml:space="preserve">ستمائة واثنان وعشرون هللة</t>
  </si>
  <si>
    <t xml:space="preserve">ستمائة وثلاثة وعشرون</t>
  </si>
  <si>
    <t xml:space="preserve">ستمائة وثلاثة وعشرون ألفاً</t>
  </si>
  <si>
    <t xml:space="preserve">ستمائة وثلاثة وعشرون مليوناً</t>
  </si>
  <si>
    <t xml:space="preserve">ستمائة وثلاثة وعشرون هللة</t>
  </si>
  <si>
    <t xml:space="preserve">ستمائة وأربعة وعشرون</t>
  </si>
  <si>
    <t xml:space="preserve">ستمائة وأربعة وعشرون ألفاً</t>
  </si>
  <si>
    <t xml:space="preserve">ستمائة وأربعة وعشرون مليوناً</t>
  </si>
  <si>
    <t xml:space="preserve">ستمائة وأربعة وعشرون هللة</t>
  </si>
  <si>
    <t xml:space="preserve">ستمائة وخمسة وعشرون</t>
  </si>
  <si>
    <t xml:space="preserve">ستمائة وخمسة وعشرون ألفاً</t>
  </si>
  <si>
    <t xml:space="preserve">ستمائة وخمسة وعشرون مليوناً</t>
  </si>
  <si>
    <t xml:space="preserve">ستمائة وخمسة وعشرون هللة</t>
  </si>
  <si>
    <t xml:space="preserve">ستمائة وستة وعشرون</t>
  </si>
  <si>
    <t xml:space="preserve">ستمائة وستة وعشرون ألفاً</t>
  </si>
  <si>
    <t xml:space="preserve">ستمائة وستة وعشرون مليوناً</t>
  </si>
  <si>
    <t xml:space="preserve">ستمائة وستة وعشرون هللة</t>
  </si>
  <si>
    <t xml:space="preserve">ستمائة وسبعة وعشرون</t>
  </si>
  <si>
    <t xml:space="preserve">ستمائة وسبعة وعشرون ألفاً</t>
  </si>
  <si>
    <t xml:space="preserve">ستمائة وسبعة وعشرون مليوناً</t>
  </si>
  <si>
    <t xml:space="preserve">ستمائة وسبعة وعشرون هللة</t>
  </si>
  <si>
    <t xml:space="preserve">ستمائة وثمانية وعشرون</t>
  </si>
  <si>
    <t xml:space="preserve">ستمائة وثمانية وعشرون ألفاً</t>
  </si>
  <si>
    <t xml:space="preserve">ستمائة وثمانية وعشرون مليوناً</t>
  </si>
  <si>
    <t xml:space="preserve">ستمائة وثمانية وعشرون هللة</t>
  </si>
  <si>
    <t xml:space="preserve">ستمائة وتسعة وعشرون</t>
  </si>
  <si>
    <t xml:space="preserve">ستمائة وتسعة وعشرون ألفاً</t>
  </si>
  <si>
    <t xml:space="preserve">ستمائة وتسعة وعشرون مليوناً</t>
  </si>
  <si>
    <t xml:space="preserve">ستمائة وتسعة وعشرون هللة</t>
  </si>
  <si>
    <t xml:space="preserve">ستمائة وثلاثون</t>
  </si>
  <si>
    <t xml:space="preserve">ستمائة وثلاثون ألفاً</t>
  </si>
  <si>
    <t xml:space="preserve">ستمائة وثلاثون مليوناً</t>
  </si>
  <si>
    <t xml:space="preserve">ستمائة وثلاثون هللة</t>
  </si>
  <si>
    <t xml:space="preserve">ستمائة وواحد وثلاثون</t>
  </si>
  <si>
    <t xml:space="preserve">ستمائة وواحد وثلاثون ألفاً</t>
  </si>
  <si>
    <t xml:space="preserve">ستمائة وواحد وثلاثون مليوناً</t>
  </si>
  <si>
    <t xml:space="preserve">ستمائة وواحد وثلاثون هللة</t>
  </si>
  <si>
    <t xml:space="preserve">ستمائة واثنان وثلاثون</t>
  </si>
  <si>
    <t xml:space="preserve">ستمائة واثنان وثلاثون ألفاً</t>
  </si>
  <si>
    <t xml:space="preserve">ستمائة واثنان وثلاثون مليوناً</t>
  </si>
  <si>
    <t xml:space="preserve">ستمائة واثنان وثلاثون هللة</t>
  </si>
  <si>
    <t xml:space="preserve">ستمائة وثلاثة وثلاثون</t>
  </si>
  <si>
    <t xml:space="preserve">ستمائة وثلاثة وثلاثون ألفاً</t>
  </si>
  <si>
    <t xml:space="preserve">ستمائة وثلاثة وثلاثون مليوناً</t>
  </si>
  <si>
    <t xml:space="preserve">ستمائة وثلاثة وثلاثون هللة</t>
  </si>
  <si>
    <t xml:space="preserve">ستمائة وأربعة وثلاثون</t>
  </si>
  <si>
    <t xml:space="preserve">ستمائة وأربعة وثلاثون ألفاً</t>
  </si>
  <si>
    <t xml:space="preserve">ستمائة وأربعة وثلاثون مليوناً</t>
  </si>
  <si>
    <t xml:space="preserve">ستمائة وأربعة وثلاثون هللة</t>
  </si>
  <si>
    <t xml:space="preserve">ستمائة وخمسة وثلاثون</t>
  </si>
  <si>
    <t xml:space="preserve">ستمائة وخمسة وثلاثون ألفاً</t>
  </si>
  <si>
    <t xml:space="preserve">ستمائة وخمسة وثلاثون مليوناً</t>
  </si>
  <si>
    <t xml:space="preserve">ستمائة وخمسة وثلاثون هللة</t>
  </si>
  <si>
    <t xml:space="preserve">ستمائة وستة وثلاثون</t>
  </si>
  <si>
    <t xml:space="preserve">ستمائة وستة وثلاثون ألفاً</t>
  </si>
  <si>
    <t xml:space="preserve">ستمائة وستة وثلاثون مليوناً</t>
  </si>
  <si>
    <t xml:space="preserve">ستمائة وستة وثلاثون هللة</t>
  </si>
  <si>
    <t xml:space="preserve">ستمائة وسبعة وثلاثون</t>
  </si>
  <si>
    <t xml:space="preserve">ستمائة وسبعة وثلاثون ألفاً</t>
  </si>
  <si>
    <t xml:space="preserve">ستمائة وسبعة وثلاثون مليوناً</t>
  </si>
  <si>
    <t xml:space="preserve">ستمائة وسبعة وثلاثون هللة</t>
  </si>
  <si>
    <t xml:space="preserve">ستمائة وثمانية وثلاثون</t>
  </si>
  <si>
    <t xml:space="preserve">ستمائة وثمانية وثلاثون ألفاً</t>
  </si>
  <si>
    <t xml:space="preserve">ستمائة وثمانية وثلاثون مليوناً</t>
  </si>
  <si>
    <t xml:space="preserve">ستمائة وثمانية وثلاثون هللة</t>
  </si>
  <si>
    <t xml:space="preserve">ستمائة وتسعة وثلاثون</t>
  </si>
  <si>
    <t xml:space="preserve">ستمائة وتسعة وثلاثون ألفاً</t>
  </si>
  <si>
    <t xml:space="preserve">ستمائة وتسعة وثلاثون مليوناً</t>
  </si>
  <si>
    <t xml:space="preserve">ستمائة وتسعة وثلاثون هللة</t>
  </si>
  <si>
    <t xml:space="preserve">ستمائة وأربعون</t>
  </si>
  <si>
    <t xml:space="preserve">ستمائة وأربعون ألفاً</t>
  </si>
  <si>
    <t xml:space="preserve">ستمائة وأربعون مليوناً</t>
  </si>
  <si>
    <t xml:space="preserve">ستمائة وأربعون هللة</t>
  </si>
  <si>
    <t xml:space="preserve">ستمائة وواحد وأربعون</t>
  </si>
  <si>
    <t xml:space="preserve">ستمائة وواحد وأربعون ألفاً</t>
  </si>
  <si>
    <t xml:space="preserve">ستمائة وواحد وأربعون مليوناً</t>
  </si>
  <si>
    <t xml:space="preserve">ستمائة وواحد وأربعون هللة</t>
  </si>
  <si>
    <t xml:space="preserve">ستمائة واثنان وأربعون</t>
  </si>
  <si>
    <t xml:space="preserve">ستمائة واثنان وأربعون ألفاً</t>
  </si>
  <si>
    <t xml:space="preserve">ستمائة واثنان وأربعون مليوناً</t>
  </si>
  <si>
    <t xml:space="preserve">ستمائة واثنان وأربعون هللة</t>
  </si>
  <si>
    <t xml:space="preserve">ستمائة وثلاثة وأربعون</t>
  </si>
  <si>
    <t xml:space="preserve">ستمائة وثلاثة وأربعون ألفاً</t>
  </si>
  <si>
    <t xml:space="preserve">ستمائة وثلاثة وأربعون مليوناً</t>
  </si>
  <si>
    <t xml:space="preserve">ستمائة وثلاثة وأربعون هللة</t>
  </si>
  <si>
    <t xml:space="preserve">ستمائة وأربعة وأربعون</t>
  </si>
  <si>
    <t xml:space="preserve">ستمائة وأربعة وأربعون ألفاً</t>
  </si>
  <si>
    <t xml:space="preserve">ستمائة وأربعة وأربعون مليوناً</t>
  </si>
  <si>
    <t xml:space="preserve">ستمائة وأربعة وأربعون هللة</t>
  </si>
  <si>
    <t xml:space="preserve">ستمائة وخمسة وأربعون</t>
  </si>
  <si>
    <t xml:space="preserve">ستمائة وخمسة وأربعون ألفاً</t>
  </si>
  <si>
    <t xml:space="preserve">ستمائة وخمسة وأربعون مليوناً</t>
  </si>
  <si>
    <t xml:space="preserve">ستمائة وخمسة وأربعون هللة</t>
  </si>
  <si>
    <t xml:space="preserve">ستمائة وستة وأربعون</t>
  </si>
  <si>
    <t xml:space="preserve">ستمائة وستة وأربعون ألفاً</t>
  </si>
  <si>
    <t xml:space="preserve">ستمائة وستة وأربعون مليوناً</t>
  </si>
  <si>
    <t xml:space="preserve">ستمائة وستة وأربعون هللة</t>
  </si>
  <si>
    <t xml:space="preserve">ستمائة وسبعة وأربعون</t>
  </si>
  <si>
    <t xml:space="preserve">ستمائة وسبعة وأربعون ألفاً</t>
  </si>
  <si>
    <t xml:space="preserve">ستمائة وسبعة وأربعون مليوناً</t>
  </si>
  <si>
    <t xml:space="preserve">ستمائة وسبعة وأربعون هللة</t>
  </si>
  <si>
    <t xml:space="preserve">ستمائة وثمانية وأربعون</t>
  </si>
  <si>
    <t xml:space="preserve">ستمائة وثمانية وأربعون ألفاً</t>
  </si>
  <si>
    <t xml:space="preserve">ستمائة وثمانية وأربعون مليوناً</t>
  </si>
  <si>
    <t xml:space="preserve">ستمائة وثمانية وأربعون هللة</t>
  </si>
  <si>
    <t xml:space="preserve">ستمائة وتسعة وأربعون</t>
  </si>
  <si>
    <t xml:space="preserve">ستمائة وتسعة وأربعون ألفاً</t>
  </si>
  <si>
    <t xml:space="preserve">ستمائة وتسعة وأربعون مليوناً</t>
  </si>
  <si>
    <t xml:space="preserve">ستمائة وتسعة وأربعون هللة</t>
  </si>
  <si>
    <t xml:space="preserve">ستمائة وخمسون</t>
  </si>
  <si>
    <t xml:space="preserve">ستمائة وخمسون ألفاً</t>
  </si>
  <si>
    <t xml:space="preserve">ستمائة وخمسون مليوناً</t>
  </si>
  <si>
    <t xml:space="preserve">ستمائة وخمسون هللة</t>
  </si>
  <si>
    <t xml:space="preserve">ستمائة وواحد وخمسون</t>
  </si>
  <si>
    <t xml:space="preserve">ستمائة وواحد وخمسون ألفاً</t>
  </si>
  <si>
    <t xml:space="preserve">ستمائة وواحد وخمسون مليوناً</t>
  </si>
  <si>
    <t xml:space="preserve">ستمائة وواحد وخمسون هللة</t>
  </si>
  <si>
    <t xml:space="preserve">ستمائة واثنان وخمسون</t>
  </si>
  <si>
    <t xml:space="preserve">ستمائة واثنان وخمسون ألفاً</t>
  </si>
  <si>
    <t xml:space="preserve">ستمائة واثنان وخمسون مليوناً</t>
  </si>
  <si>
    <t xml:space="preserve">ستمائة واثنان وخمسون هللة</t>
  </si>
  <si>
    <t xml:space="preserve">ستمائة وثلاثة وخمسون</t>
  </si>
  <si>
    <t xml:space="preserve">ستمائة وثلاثة وخمسون ألفاً</t>
  </si>
  <si>
    <t xml:space="preserve">ستمائة وثلاثة وخمسون مليوناً</t>
  </si>
  <si>
    <t xml:space="preserve">ستمائة وثلاثة وخمسون هللة</t>
  </si>
  <si>
    <t xml:space="preserve">ستمائة وأربعة وخمسون</t>
  </si>
  <si>
    <t xml:space="preserve">ستمائة وأربعة وخمسون ألفاً</t>
  </si>
  <si>
    <t xml:space="preserve">ستمائة وأربعة وخمسون مليوناً</t>
  </si>
  <si>
    <t xml:space="preserve">ستمائة وأربعة وخمسون هللة</t>
  </si>
  <si>
    <t xml:space="preserve">ستمائة وخمسة وخمسون</t>
  </si>
  <si>
    <t xml:space="preserve">ستمائة وخمسة وخمسون ألفاً</t>
  </si>
  <si>
    <t xml:space="preserve">ستمائة وخمسة وخمسون مليوناً</t>
  </si>
  <si>
    <t xml:space="preserve">ستمائة وخمسة وخمسون هللة</t>
  </si>
  <si>
    <t xml:space="preserve">ستمائة وستة وخمسون</t>
  </si>
  <si>
    <t xml:space="preserve">ستمائة وستة وخمسون ألفاً</t>
  </si>
  <si>
    <t xml:space="preserve">ستمائة وستة وخمسون مليوناً</t>
  </si>
  <si>
    <t xml:space="preserve">ستمائة وستة وخمسون هللة</t>
  </si>
  <si>
    <t xml:space="preserve">ستمائة وسبعة وخمسون</t>
  </si>
  <si>
    <t xml:space="preserve">ستمائة وسبعة وخمسون ألفاً</t>
  </si>
  <si>
    <t xml:space="preserve">ستمائة وسبعة وخمسون مليوناً</t>
  </si>
  <si>
    <t xml:space="preserve">ستمائة وسبعة وخمسون هللة</t>
  </si>
  <si>
    <t xml:space="preserve">ستمائة وثمانية وخمسون</t>
  </si>
  <si>
    <t xml:space="preserve">ستمائة وثمانية وخمسون ألفاً</t>
  </si>
  <si>
    <t xml:space="preserve">ستمائة وثمانية وخمسون مليوناً</t>
  </si>
  <si>
    <t xml:space="preserve">ستمائة وثمانية وخمسون هللة</t>
  </si>
  <si>
    <t xml:space="preserve">ستمائة وتسعة وخمسون</t>
  </si>
  <si>
    <t xml:space="preserve">ستمائة وتسعة وخمسون ألفاً</t>
  </si>
  <si>
    <t xml:space="preserve">ستمائة وتسعة وخمسون مليوناً</t>
  </si>
  <si>
    <t xml:space="preserve">ستمائة وتسعة وخمسون هللة</t>
  </si>
  <si>
    <t xml:space="preserve">ستمائة وستون</t>
  </si>
  <si>
    <t xml:space="preserve">ستمائة وستون ألفاً</t>
  </si>
  <si>
    <t xml:space="preserve">ستمائة وستون مليوناً</t>
  </si>
  <si>
    <t xml:space="preserve">ستمائة وستون هللة</t>
  </si>
  <si>
    <t xml:space="preserve">ستمائة وواحد وستون</t>
  </si>
  <si>
    <t xml:space="preserve">ستمائة وواحد وستون ألفاً</t>
  </si>
  <si>
    <t xml:space="preserve">ستمائة وواحد وستون مليوناً</t>
  </si>
  <si>
    <t xml:space="preserve">ستمائة وواحد وستون هللة</t>
  </si>
  <si>
    <t xml:space="preserve">ستمائة واثنان وستون</t>
  </si>
  <si>
    <t xml:space="preserve">ستمائة واثنان وستون ألفاً</t>
  </si>
  <si>
    <t xml:space="preserve">ستمائة واثنان وستون مليوناً</t>
  </si>
  <si>
    <t xml:space="preserve">ستمائة واثنان وستون هللة</t>
  </si>
  <si>
    <t xml:space="preserve">ستمائة وثلاثة وستون</t>
  </si>
  <si>
    <t xml:space="preserve">ستمائة وثلاثة وستون ألفاً</t>
  </si>
  <si>
    <t xml:space="preserve">ستمائة وثلاثة وستون مليوناً</t>
  </si>
  <si>
    <t xml:space="preserve">ستمائة وثلاثة وستون هللة</t>
  </si>
  <si>
    <t xml:space="preserve">ستمائة وأربعة وستون</t>
  </si>
  <si>
    <t xml:space="preserve">ستمائة وأربعة وستون ألفاً</t>
  </si>
  <si>
    <t xml:space="preserve">ستمائة وأربعة وستون مليوناً</t>
  </si>
  <si>
    <t xml:space="preserve">ستمائة وأربعة وستون هللة</t>
  </si>
  <si>
    <t xml:space="preserve">ستمائة وخمسة وستون</t>
  </si>
  <si>
    <t xml:space="preserve">ستمائة وخمسة وستون ألفاً</t>
  </si>
  <si>
    <t xml:space="preserve">ستمائة وخمسة وستون مليوناً</t>
  </si>
  <si>
    <t xml:space="preserve">ستمائة وخمسة وستون هللة</t>
  </si>
  <si>
    <t xml:space="preserve">ستمائة وستة وستون</t>
  </si>
  <si>
    <t xml:space="preserve">ستمائة وستة وستون ألفاً</t>
  </si>
  <si>
    <t xml:space="preserve">ستمائة وستة وستون مليوناً</t>
  </si>
  <si>
    <t xml:space="preserve">ستمائة وستة وستون هللة</t>
  </si>
  <si>
    <t xml:space="preserve">ستمائة وسبعة وستون</t>
  </si>
  <si>
    <t xml:space="preserve">ستمائة وسبعة وستون ألفاً</t>
  </si>
  <si>
    <t xml:space="preserve">ستمائة وسبعة وستون مليوناً</t>
  </si>
  <si>
    <t xml:space="preserve">ستمائة وسبعة وستون هللة</t>
  </si>
  <si>
    <t xml:space="preserve">ستمائة وثمانية وستون</t>
  </si>
  <si>
    <t xml:space="preserve">ستمائة وثمانية وستون ألفاً</t>
  </si>
  <si>
    <t xml:space="preserve">ستمائة وثمانية وستون مليوناً</t>
  </si>
  <si>
    <t xml:space="preserve">ستمائة وثمانية وستون هللة</t>
  </si>
  <si>
    <t xml:space="preserve">ستمائة وتسعة وستون</t>
  </si>
  <si>
    <t xml:space="preserve">ستمائة وتسعة وستون ألفاً</t>
  </si>
  <si>
    <t xml:space="preserve">ستمائة وتسعة وستون مليوناً</t>
  </si>
  <si>
    <t xml:space="preserve">ستمائة وتسعة وستون هللة</t>
  </si>
  <si>
    <t xml:space="preserve">ستمائة وسبعون</t>
  </si>
  <si>
    <t xml:space="preserve">ستمائة وسبعون ألفاً</t>
  </si>
  <si>
    <t xml:space="preserve">ستمائة وسبعون مليوناً</t>
  </si>
  <si>
    <t xml:space="preserve">ستمائة وسبعون هللة</t>
  </si>
  <si>
    <t xml:space="preserve">ستمائة وواحد وسبعون</t>
  </si>
  <si>
    <t xml:space="preserve">ستمائة وواحد وسبعون ألفاً</t>
  </si>
  <si>
    <t xml:space="preserve">ستمائة وواحد وسبعون مليوناً</t>
  </si>
  <si>
    <t xml:space="preserve">ستمائة وواحد وسبعون هللة</t>
  </si>
  <si>
    <t xml:space="preserve">ستمائة واثنان وسبعون</t>
  </si>
  <si>
    <t xml:space="preserve">ستمائة واثنان وسبعون ألفاً</t>
  </si>
  <si>
    <t xml:space="preserve">ستمائة واثنان وسبعون مليوناً</t>
  </si>
  <si>
    <t xml:space="preserve">ستمائة واثنان وسبعون هللة</t>
  </si>
  <si>
    <t xml:space="preserve">ستمائة وثلاثة وسبعون</t>
  </si>
  <si>
    <t xml:space="preserve">ستمائة وثلاثة وسبعون ألفاً</t>
  </si>
  <si>
    <t xml:space="preserve">ستمائة وثلاثة وسبعون مليوناً</t>
  </si>
  <si>
    <t xml:space="preserve">ستمائة وثلاثة وسبعون هللة</t>
  </si>
  <si>
    <t xml:space="preserve">ستمائة وأربعة وسبعون</t>
  </si>
  <si>
    <t xml:space="preserve">ستمائة وأربعة وسبعون ألفاً</t>
  </si>
  <si>
    <t xml:space="preserve">ستمائة وأربعة وسبعون مليوناً</t>
  </si>
  <si>
    <t xml:space="preserve">ستمائة وأربعة وسبعون هللة</t>
  </si>
  <si>
    <t xml:space="preserve">ستمائة وخمسة وسبعون</t>
  </si>
  <si>
    <t xml:space="preserve">ستمائة وخمسة وسبعون ألفاً</t>
  </si>
  <si>
    <t xml:space="preserve">ستمائة وخمسة وسبعون مليوناً</t>
  </si>
  <si>
    <t xml:space="preserve">ستمائة وخمسة وسبعون هللة</t>
  </si>
  <si>
    <t xml:space="preserve">ستمائة وستة وسبعون</t>
  </si>
  <si>
    <t xml:space="preserve">ستمائة وستة وسبعون ألفاً</t>
  </si>
  <si>
    <t xml:space="preserve">ستمائة وستة وسبعون مليوناً</t>
  </si>
  <si>
    <t xml:space="preserve">ستمائة وستة وسبعون هللة</t>
  </si>
  <si>
    <t xml:space="preserve">ستمائة وسبعة وسبعون</t>
  </si>
  <si>
    <t xml:space="preserve">ستمائة وسبعة وسبعون ألفاً</t>
  </si>
  <si>
    <t xml:space="preserve">ستمائة وسبعة وسبعون مليوناً</t>
  </si>
  <si>
    <t xml:space="preserve">ستمائة وسبعة وسبعون هللة</t>
  </si>
  <si>
    <t xml:space="preserve">ستمائة وثمانية وسبعون</t>
  </si>
  <si>
    <t xml:space="preserve">ستمائة وثمانية وسبعون ألفاً</t>
  </si>
  <si>
    <t xml:space="preserve">ستمائة وثمانية وسبعون مليوناً</t>
  </si>
  <si>
    <t xml:space="preserve">ستمائة وثمانية وسبعون هللة</t>
  </si>
  <si>
    <t xml:space="preserve">ستمائة وتسعة وسبعون</t>
  </si>
  <si>
    <t xml:space="preserve">ستمائة وتسعة وسبعون ألفاً</t>
  </si>
  <si>
    <t xml:space="preserve">ستمائة وتسعة وسبعون مليوناً</t>
  </si>
  <si>
    <t xml:space="preserve">ستمائة وتسعة وسبعون هللة</t>
  </si>
  <si>
    <t xml:space="preserve">ستمائة وثمانون</t>
  </si>
  <si>
    <t xml:space="preserve">ستمائة وثمانون ألفاً</t>
  </si>
  <si>
    <t xml:space="preserve">ستمائة وثمانون مليوناً</t>
  </si>
  <si>
    <t xml:space="preserve">ستمائة وثمانون هللة</t>
  </si>
  <si>
    <t xml:space="preserve">ستمائة وواحد وثمانون</t>
  </si>
  <si>
    <t xml:space="preserve">ستمائة وواحد وثمانون ألفاً</t>
  </si>
  <si>
    <t xml:space="preserve">ستمائة وواحد وثمانون مليوناً</t>
  </si>
  <si>
    <t xml:space="preserve">ستمائة وواحد وثمانون هللة</t>
  </si>
  <si>
    <t xml:space="preserve">ستمائة واثنان وثمانون</t>
  </si>
  <si>
    <t xml:space="preserve">ستمائة واثنان وثمانون ألفاً</t>
  </si>
  <si>
    <t xml:space="preserve">ستمائة واثنان وثمانون مليوناً</t>
  </si>
  <si>
    <t xml:space="preserve">ستمائة واثنان وثمانون هللة</t>
  </si>
  <si>
    <t xml:space="preserve">ستمائة وثلاثة وثمانون</t>
  </si>
  <si>
    <t xml:space="preserve">ستمائة وثلاثة وثمانون ألفاً</t>
  </si>
  <si>
    <t xml:space="preserve">ستمائة وثلاثة وثمانون مليوناً</t>
  </si>
  <si>
    <t xml:space="preserve">ستمائة وثلاثة وثمانون هللة</t>
  </si>
  <si>
    <t xml:space="preserve">ستمائة وأربعة وثمانون</t>
  </si>
  <si>
    <t xml:space="preserve">ستمائة وأربعة وثمانون ألفاً</t>
  </si>
  <si>
    <t xml:space="preserve">ستمائة وأربعة وثمانون مليوناً</t>
  </si>
  <si>
    <t xml:space="preserve">ستمائة وأربعة وثمانون هللة</t>
  </si>
  <si>
    <t xml:space="preserve">ستمائة وخمسة وثمانون</t>
  </si>
  <si>
    <t xml:space="preserve">ستمائة وخمسة وثمانون ألفاً</t>
  </si>
  <si>
    <t xml:space="preserve">ستمائة وخمسة وثمانون مليوناً</t>
  </si>
  <si>
    <t xml:space="preserve">ستمائة وخمسة وثمانون هللة</t>
  </si>
  <si>
    <t xml:space="preserve">ستمائة وستة وثمانون</t>
  </si>
  <si>
    <t xml:space="preserve">ستمائة وستة وثمانون ألفاً</t>
  </si>
  <si>
    <t xml:space="preserve">ستمائة وستة وثمانون مليوناً</t>
  </si>
  <si>
    <t xml:space="preserve">ستمائة وستة وثمانون هللة</t>
  </si>
  <si>
    <t xml:space="preserve">ستمائة وسبعة وثمانون</t>
  </si>
  <si>
    <t xml:space="preserve">ستمائة وسبعة وثمانون ألفاً</t>
  </si>
  <si>
    <t xml:space="preserve">ستمائة وسبعة وثمانون مليوناً</t>
  </si>
  <si>
    <t xml:space="preserve">ستمائة وسبعة وثمانون هللة</t>
  </si>
  <si>
    <t xml:space="preserve">ستمائة وثمانية وثمانون</t>
  </si>
  <si>
    <t xml:space="preserve">ستمائة وثمانية وثمانون ألفاً</t>
  </si>
  <si>
    <t xml:space="preserve">ستمائة وثمانية وثمانون مليوناً</t>
  </si>
  <si>
    <t xml:space="preserve">ستمائة وثمانية وثمانون هللة</t>
  </si>
  <si>
    <t xml:space="preserve">ستمائة وتسعة وثمانون</t>
  </si>
  <si>
    <t xml:space="preserve">ستمائة وتسعة وثمانون ألفاً</t>
  </si>
  <si>
    <t xml:space="preserve">ستمائة وتسعة وثمانون مليوناً</t>
  </si>
  <si>
    <t xml:space="preserve">ستمائة وتسعة وثمانون هللة</t>
  </si>
  <si>
    <t xml:space="preserve">ستمائة وتسعون</t>
  </si>
  <si>
    <t xml:space="preserve">ستمائة وتسعون ألفاً</t>
  </si>
  <si>
    <t xml:space="preserve">ستمائة وتسعون مليوناً</t>
  </si>
  <si>
    <t xml:space="preserve">ستمائة وتسعون هللة</t>
  </si>
  <si>
    <t xml:space="preserve">ستمائة وواحد وتسعون</t>
  </si>
  <si>
    <t xml:space="preserve">ستمائة وواحد وتسعون ألفاً</t>
  </si>
  <si>
    <t xml:space="preserve">ستمائة وواحد وتسعون مليوناً</t>
  </si>
  <si>
    <t xml:space="preserve">ستمائة وواحد وتسعون هللة</t>
  </si>
  <si>
    <t xml:space="preserve">ستمائة واثنان وتسعون</t>
  </si>
  <si>
    <t xml:space="preserve">ستمائة واثنان وتسعون ألفاً</t>
  </si>
  <si>
    <t xml:space="preserve">ستمائة واثنان وتسعون مليوناً</t>
  </si>
  <si>
    <t xml:space="preserve">ستمائة واثنان وتسعون هللة</t>
  </si>
  <si>
    <t xml:space="preserve">ستمائة وثلاثة وتسعون</t>
  </si>
  <si>
    <t xml:space="preserve">ستمائة وثلاثة وتسعون ألفاً</t>
  </si>
  <si>
    <t xml:space="preserve">ستمائة وثلاثة وتسعون مليوناً</t>
  </si>
  <si>
    <t xml:space="preserve">ستمائة وثلاثة وتسعون هللة</t>
  </si>
  <si>
    <t xml:space="preserve">ستمائة وأربعة وتسعون</t>
  </si>
  <si>
    <t xml:space="preserve">ستمائة وأربعة وتسعون ألفاً</t>
  </si>
  <si>
    <t xml:space="preserve">ستمائة وأربعة وتسعون مليوناً</t>
  </si>
  <si>
    <t xml:space="preserve">ستمائة وأربعة وتسعون هللة</t>
  </si>
  <si>
    <t xml:space="preserve">ستمائة وخمسة وتسعون</t>
  </si>
  <si>
    <t xml:space="preserve">ستمائة وخمسة وتسعون ألفاً</t>
  </si>
  <si>
    <t xml:space="preserve">ستمائة وخمسة وتسعون مليوناً</t>
  </si>
  <si>
    <t xml:space="preserve">ستمائة وخمسة وتسعون هللة</t>
  </si>
  <si>
    <t xml:space="preserve">ستمائة وستة وتسعون</t>
  </si>
  <si>
    <t xml:space="preserve">ستمائة وستة وتسعون ألفاً</t>
  </si>
  <si>
    <t xml:space="preserve">ستمائة وستة وتسعون مليوناً</t>
  </si>
  <si>
    <t xml:space="preserve">ستمائة وستة وتسعون هللة</t>
  </si>
  <si>
    <t xml:space="preserve">ستمائة وسبعة وتسعون</t>
  </si>
  <si>
    <t xml:space="preserve">ستمائة وسبعة وتسعون ألفاً</t>
  </si>
  <si>
    <t xml:space="preserve">ستمائة وسبعة وتسعون مليوناً</t>
  </si>
  <si>
    <t xml:space="preserve">ستمائة وسبعة وتسعون هللة</t>
  </si>
  <si>
    <t xml:space="preserve">ستمائة وثمانية وتسعون</t>
  </si>
  <si>
    <t xml:space="preserve">ستمائة وثمانية وتسعون ألفاً</t>
  </si>
  <si>
    <t xml:space="preserve">ستمائة وثمانية وتسعون مليوناً</t>
  </si>
  <si>
    <t xml:space="preserve">ستمائة وثمانية وتسعون هللة</t>
  </si>
  <si>
    <t xml:space="preserve">ستمائة وتسعة وتسعون</t>
  </si>
  <si>
    <t xml:space="preserve">ستمائة وتسعة وتسعون ألفاً</t>
  </si>
  <si>
    <t xml:space="preserve">ستمائة وتسعة وتسعون مليوناً</t>
  </si>
  <si>
    <t xml:space="preserve">ستمائة وتسعة وتسعون هللة</t>
  </si>
  <si>
    <t xml:space="preserve">سبعمائة</t>
  </si>
  <si>
    <t xml:space="preserve">سبعمائة ألف</t>
  </si>
  <si>
    <t xml:space="preserve">سبعمائة مليون</t>
  </si>
  <si>
    <t xml:space="preserve">سبعمائة هللة</t>
  </si>
  <si>
    <t xml:space="preserve">سبعمائة وواحد</t>
  </si>
  <si>
    <t xml:space="preserve">سبعمائة وواحد ألف</t>
  </si>
  <si>
    <t xml:space="preserve">سبعمائة وواحد مليون</t>
  </si>
  <si>
    <t xml:space="preserve">سبعمائة وواحد هللة</t>
  </si>
  <si>
    <t xml:space="preserve">سبعمائة واثنان</t>
  </si>
  <si>
    <t xml:space="preserve">سبعمائة واثنان ألف</t>
  </si>
  <si>
    <t xml:space="preserve">سبعمائة واثنان مليون</t>
  </si>
  <si>
    <t xml:space="preserve">سبعمائة واثنان هللة</t>
  </si>
  <si>
    <t xml:space="preserve">سبعمائة وثلاثة</t>
  </si>
  <si>
    <t xml:space="preserve">سبعمائة وثلاثة آلاف</t>
  </si>
  <si>
    <t xml:space="preserve">سبعمائة وثلاثة ملايين</t>
  </si>
  <si>
    <t xml:space="preserve">سبعمائة وثلاثة هللات</t>
  </si>
  <si>
    <t xml:space="preserve">سبعمائة وأربعة</t>
  </si>
  <si>
    <t xml:space="preserve">سبعمائة وأربعة آلاف</t>
  </si>
  <si>
    <t xml:space="preserve">سبعمائة وأربعة ملايين</t>
  </si>
  <si>
    <t xml:space="preserve">سبعمائة وأربعة هللات</t>
  </si>
  <si>
    <t xml:space="preserve">سبعمائة وخمسة</t>
  </si>
  <si>
    <t xml:space="preserve">سبعمائة وخمسة آلاف</t>
  </si>
  <si>
    <t xml:space="preserve">سبعمائة وخمسة ملايين</t>
  </si>
  <si>
    <t xml:space="preserve">سبعمائة وخمسة هللات</t>
  </si>
  <si>
    <t xml:space="preserve">سبعمائة وستة</t>
  </si>
  <si>
    <t xml:space="preserve">سبعمائة وستة آلاف</t>
  </si>
  <si>
    <t xml:space="preserve">سبعمائة وستة ملايين</t>
  </si>
  <si>
    <t xml:space="preserve">سبعمائة وستة هللات</t>
  </si>
  <si>
    <t xml:space="preserve">سبعمائة وسبعة</t>
  </si>
  <si>
    <t xml:space="preserve">سبعمائة وسبعة آلاف</t>
  </si>
  <si>
    <t xml:space="preserve">سبعمائة وسبعة ملايين</t>
  </si>
  <si>
    <t xml:space="preserve">سبعمائة وسبعة هللات</t>
  </si>
  <si>
    <t xml:space="preserve">سبعمائة وثمانية</t>
  </si>
  <si>
    <t xml:space="preserve">سبعمائة وثمانية آلاف</t>
  </si>
  <si>
    <t xml:space="preserve">سبعمائة وثمانية ملايين</t>
  </si>
  <si>
    <t xml:space="preserve">سبعمائة وثمانية هللات</t>
  </si>
  <si>
    <t xml:space="preserve">سبعمائة وتسعة</t>
  </si>
  <si>
    <t xml:space="preserve">سبعمائة وتسعة آلاف</t>
  </si>
  <si>
    <t xml:space="preserve">سبعمائة وتسعة ملايين</t>
  </si>
  <si>
    <t xml:space="preserve">سبعمائة وتسعة هللات</t>
  </si>
  <si>
    <t xml:space="preserve">سبعمائة وعشرة</t>
  </si>
  <si>
    <t xml:space="preserve">سبعمائة وعشرة آلاف</t>
  </si>
  <si>
    <t xml:space="preserve">سبعمائة وعشرة ملايين</t>
  </si>
  <si>
    <t xml:space="preserve">سبعمائة وعشرة هللات</t>
  </si>
  <si>
    <t xml:space="preserve">سبعمائة وأحد عشر</t>
  </si>
  <si>
    <t xml:space="preserve">سبعمائة وأحد عشر ألفاً</t>
  </si>
  <si>
    <t xml:space="preserve">سبعمائة وأحد عشر مليوناً</t>
  </si>
  <si>
    <t xml:space="preserve">سبعمائة وأحد عشر هللة</t>
  </si>
  <si>
    <t xml:space="preserve">سبعمائة واثنا عشر</t>
  </si>
  <si>
    <t xml:space="preserve">سبعمائة واثنا عشر ألفاً</t>
  </si>
  <si>
    <t xml:space="preserve">سبعمائة واثنا عشر مليوناً</t>
  </si>
  <si>
    <t xml:space="preserve">سبعمائة واثنا عشر هللة</t>
  </si>
  <si>
    <t xml:space="preserve">سبعمائة وثلاثة عشر</t>
  </si>
  <si>
    <t xml:space="preserve">سبعمائة وثلاثة عشر ألفاً</t>
  </si>
  <si>
    <t xml:space="preserve">سبعمائة وثلاثة عشر مليوناً</t>
  </si>
  <si>
    <t xml:space="preserve">سبعمائة وثلاثة عشر هللة</t>
  </si>
  <si>
    <t xml:space="preserve">سبعمائة وأربعة عشر</t>
  </si>
  <si>
    <t xml:space="preserve">سبعمائة وأربعة عشر ألفاً</t>
  </si>
  <si>
    <t xml:space="preserve">سبعمائة وأربعة عشر مليوناً</t>
  </si>
  <si>
    <t xml:space="preserve">سبعمائة وأربعة عشر هللة</t>
  </si>
  <si>
    <t xml:space="preserve">سبعمائة وخمسة عشر</t>
  </si>
  <si>
    <t xml:space="preserve">سبعمائة وخمسة عشر ألفاً</t>
  </si>
  <si>
    <t xml:space="preserve">سبعمائة وخمسة عشر مليوناً</t>
  </si>
  <si>
    <t xml:space="preserve">سبعمائة وخمسة عشر هللة</t>
  </si>
  <si>
    <t xml:space="preserve">سبعمائة وستة عشر</t>
  </si>
  <si>
    <t xml:space="preserve">سبعمائة وستة عشر ألفاً</t>
  </si>
  <si>
    <t xml:space="preserve">سبعمائة وستة عشر مليوناً</t>
  </si>
  <si>
    <t xml:space="preserve">سبعمائة وستة عشر هللة</t>
  </si>
  <si>
    <t xml:space="preserve">سبعمائة وسبعة عشر</t>
  </si>
  <si>
    <t xml:space="preserve">سبعمائة وسبعة عشر ألفاً</t>
  </si>
  <si>
    <t xml:space="preserve">سبعمائة وسبعة عشر مليوناً</t>
  </si>
  <si>
    <t xml:space="preserve">سبعمائة وسبعة عشر هللة</t>
  </si>
  <si>
    <t xml:space="preserve">سبعمائة وثمانية عشر</t>
  </si>
  <si>
    <t xml:space="preserve">سبعمائة وثمانية عشر ألفاً</t>
  </si>
  <si>
    <t xml:space="preserve">سبعمائة وثمانية عشر مليوناً</t>
  </si>
  <si>
    <t xml:space="preserve">سبعمائة وثمانية عشر هللة</t>
  </si>
  <si>
    <t xml:space="preserve">سبعمائة وتسعة عشر</t>
  </si>
  <si>
    <t xml:space="preserve">سبعمائة وتسعة عشر ألفاً</t>
  </si>
  <si>
    <t xml:space="preserve">سبعمائة وتسعة عشر مليوناً</t>
  </si>
  <si>
    <t xml:space="preserve">سبعمائة وتسعة عشر هللة</t>
  </si>
  <si>
    <t xml:space="preserve">سبعمائة وعشرون</t>
  </si>
  <si>
    <t xml:space="preserve">سبعمائة وعشرون ألفاً</t>
  </si>
  <si>
    <t xml:space="preserve">سبعمائة وعشرون مليوناً</t>
  </si>
  <si>
    <t xml:space="preserve">سبعمائة وعشرون هللة</t>
  </si>
  <si>
    <t xml:space="preserve">سبعمائة وواحد وعشرون</t>
  </si>
  <si>
    <t xml:space="preserve">سبعمائة وواحد وعشرون ألفاً</t>
  </si>
  <si>
    <t xml:space="preserve">سبعمائة وواحد وعشرون مليوناً</t>
  </si>
  <si>
    <t xml:space="preserve">سبعمائة وواحد وعشرون هللة</t>
  </si>
  <si>
    <t xml:space="preserve">سبعمائة واثنان وعشرون</t>
  </si>
  <si>
    <t xml:space="preserve">سبعمائة واثنان وعشرون ألفاً</t>
  </si>
  <si>
    <t xml:space="preserve">سبعمائة واثنان وعشرون مليوناً</t>
  </si>
  <si>
    <t xml:space="preserve">سبعمائة واثنان وعشرون هللة</t>
  </si>
  <si>
    <t xml:space="preserve">سبعمائة وثلاثة وعشرون</t>
  </si>
  <si>
    <t xml:space="preserve">سبعمائة وثلاثة وعشرون ألفاً</t>
  </si>
  <si>
    <t xml:space="preserve">سبعمائة وثلاثة وعشرون مليوناً</t>
  </si>
  <si>
    <t xml:space="preserve">سبعمائة وثلاثة وعشرون هللة</t>
  </si>
  <si>
    <t xml:space="preserve">سبعمائة وأربعة وعشرون</t>
  </si>
  <si>
    <t xml:space="preserve">سبعمائة وأربعة وعشرون ألفاً</t>
  </si>
  <si>
    <t xml:space="preserve">سبعمائة وأربعة وعشرون مليوناً</t>
  </si>
  <si>
    <t xml:space="preserve">سبعمائة وأربعة وعشرون هللة</t>
  </si>
  <si>
    <t xml:space="preserve">سبعمائة وخمسة وعشرون</t>
  </si>
  <si>
    <t xml:space="preserve">سبعمائة وخمسة وعشرون ألفاً</t>
  </si>
  <si>
    <t xml:space="preserve">سبعمائة وخمسة وعشرون مليوناً</t>
  </si>
  <si>
    <t xml:space="preserve">سبعمائة وخمسة وعشرون هللة</t>
  </si>
  <si>
    <t xml:space="preserve">سبعمائة وستة وعشرون</t>
  </si>
  <si>
    <t xml:space="preserve">سبعمائة وستة وعشرون ألفاً</t>
  </si>
  <si>
    <t xml:space="preserve">سبعمائة وستة وعشرون مليوناً</t>
  </si>
  <si>
    <t xml:space="preserve">سبعمائة وستة وعشرون هللة</t>
  </si>
  <si>
    <t xml:space="preserve">سبعمائة وسبعة وعشرون</t>
  </si>
  <si>
    <t xml:space="preserve">سبعمائة وسبعة وعشرون ألفاً</t>
  </si>
  <si>
    <t xml:space="preserve">سبعمائة وسبعة وعشرون مليوناً</t>
  </si>
  <si>
    <t xml:space="preserve">سبعمائة وسبعة وعشرون هللة</t>
  </si>
  <si>
    <t xml:space="preserve">سبعمائة وثمانية وعشرون</t>
  </si>
  <si>
    <t xml:space="preserve">سبعمائة وثمانية وعشرون ألفاً</t>
  </si>
  <si>
    <t xml:space="preserve">سبعمائة وثمانية وعشرون مليوناً</t>
  </si>
  <si>
    <t xml:space="preserve">سبعمائة وثمانية وعشرون هللة</t>
  </si>
  <si>
    <t xml:space="preserve">سبعمائة وتسعة وعشرون</t>
  </si>
  <si>
    <t xml:space="preserve">سبعمائة وتسعة وعشرون ألفاً</t>
  </si>
  <si>
    <t xml:space="preserve">سبعمائة وتسعة وعشرون مليوناً</t>
  </si>
  <si>
    <t xml:space="preserve">سبعمائة وتسعة وعشرون هللة</t>
  </si>
  <si>
    <t xml:space="preserve">سبعمائة وثلاثون</t>
  </si>
  <si>
    <t xml:space="preserve">سبعمائة وثلاثون ألفاً</t>
  </si>
  <si>
    <t xml:space="preserve">سبعمائة وثلاثون مليوناً</t>
  </si>
  <si>
    <t xml:space="preserve">سبعمائة وثلاثون هللة</t>
  </si>
  <si>
    <t xml:space="preserve">سبعمائة وواحد وثلاثون</t>
  </si>
  <si>
    <t xml:space="preserve">سبعمائة وواحد وثلاثون ألفاً</t>
  </si>
  <si>
    <t xml:space="preserve">سبعمائة وواحد وثلاثون مليوناً</t>
  </si>
  <si>
    <t xml:space="preserve">سبعمائة وواحد وثلاثون هللة</t>
  </si>
  <si>
    <t xml:space="preserve">سبعمائة واثنان وثلاثون</t>
  </si>
  <si>
    <t xml:space="preserve">سبعمائة واثنان وثلاثون ألفاً</t>
  </si>
  <si>
    <t xml:space="preserve">سبعمائة واثنان وثلاثون مليوناً</t>
  </si>
  <si>
    <t xml:space="preserve">سبعمائة واثنان وثلاثون هللة</t>
  </si>
  <si>
    <t xml:space="preserve">سبعمائة وثلاثة وثلاثون</t>
  </si>
  <si>
    <t xml:space="preserve">سبعمائة وثلاثة وثلاثون ألفاً</t>
  </si>
  <si>
    <t xml:space="preserve">سبعمائة وثلاثة وثلاثون مليوناً</t>
  </si>
  <si>
    <t xml:space="preserve">سبعمائة وثلاثة وثلاثون هللة</t>
  </si>
  <si>
    <t xml:space="preserve">سبعمائة وأربعة وثلاثون</t>
  </si>
  <si>
    <t xml:space="preserve">سبعمائة وأربعة وثلاثون ألفاً</t>
  </si>
  <si>
    <t xml:space="preserve">سبعمائة وأربعة وثلاثون مليوناً</t>
  </si>
  <si>
    <t xml:space="preserve">سبعمائة وأربعة وثلاثون هللة</t>
  </si>
  <si>
    <t xml:space="preserve">سبعمائة وخمسة وثلاثون</t>
  </si>
  <si>
    <t xml:space="preserve">سبعمائة وخمسة وثلاثون ألفاً</t>
  </si>
  <si>
    <t xml:space="preserve">سبعمائة وخمسة وثلاثون مليوناً</t>
  </si>
  <si>
    <t xml:space="preserve">سبعمائة وخمسة وثلاثون هللة</t>
  </si>
  <si>
    <t xml:space="preserve">سبعمائة وستة وثلاثون</t>
  </si>
  <si>
    <t xml:space="preserve">سبعمائة وستة وثلاثون ألفاً</t>
  </si>
  <si>
    <t xml:space="preserve">سبعمائة وستة وثلاثون مليوناً</t>
  </si>
  <si>
    <t xml:space="preserve">سبعمائة وستة وثلاثون هللة</t>
  </si>
  <si>
    <t xml:space="preserve">سبعمائة وسبعة وثلاثون</t>
  </si>
  <si>
    <t xml:space="preserve">سبعمائة وسبعة وثلاثون ألفاً</t>
  </si>
  <si>
    <t xml:space="preserve">سبعمائة وسبعة وثلاثون مليوناً</t>
  </si>
  <si>
    <t xml:space="preserve">سبعمائة وسبعة وثلاثون هللة</t>
  </si>
  <si>
    <t xml:space="preserve">سبعمائة وثمانية وثلاثون</t>
  </si>
  <si>
    <t xml:space="preserve">سبعمائة وثمانية وثلاثون ألفاً</t>
  </si>
  <si>
    <t xml:space="preserve">سبعمائة وثمانية وثلاثون مليوناً</t>
  </si>
  <si>
    <t xml:space="preserve">سبعمائة وثمانية وثلاثون هللة</t>
  </si>
  <si>
    <t xml:space="preserve">سبعمائة وتسعة وثلاثون</t>
  </si>
  <si>
    <t xml:space="preserve">سبعمائة وتسعة وثلاثون ألفاً</t>
  </si>
  <si>
    <t xml:space="preserve">سبعمائة وتسعة وثلاثون مليوناً</t>
  </si>
  <si>
    <t xml:space="preserve">سبعمائة وتسعة وثلاثون هللة</t>
  </si>
  <si>
    <t xml:space="preserve">سبعمائة وأربعون</t>
  </si>
  <si>
    <t xml:space="preserve">سبعمائة وأربعون ألفاً</t>
  </si>
  <si>
    <t xml:space="preserve">سبعمائة وأربعون مليوناً</t>
  </si>
  <si>
    <t xml:space="preserve">سبعمائة وأربعون هللة</t>
  </si>
  <si>
    <t xml:space="preserve">سبعمائة وواحد وأربعون</t>
  </si>
  <si>
    <t xml:space="preserve">سبعمائة وواحد وأربعون ألفاً</t>
  </si>
  <si>
    <t xml:space="preserve">سبعمائة وواحد وأربعون مليوناً</t>
  </si>
  <si>
    <t xml:space="preserve">سبعمائة وواحد وأربعون هللة</t>
  </si>
  <si>
    <t xml:space="preserve">سبعمائة واثنان وأربعون</t>
  </si>
  <si>
    <t xml:space="preserve">سبعمائة واثنان وأربعون ألفاً</t>
  </si>
  <si>
    <t xml:space="preserve">سبعمائة واثنان وأربعون مليوناً</t>
  </si>
  <si>
    <t xml:space="preserve">سبعمائة واثنان وأربعون هللة</t>
  </si>
  <si>
    <t xml:space="preserve">سبعمائة وثلاثة وأربعون</t>
  </si>
  <si>
    <t xml:space="preserve">سبعمائة وثلاثة وأربعون ألفاً</t>
  </si>
  <si>
    <t xml:space="preserve">سبعمائة وثلاثة وأربعون مليوناً</t>
  </si>
  <si>
    <t xml:space="preserve">سبعمائة وثلاثة وأربعون هللة</t>
  </si>
  <si>
    <t xml:space="preserve">سبعمائة وأربعة وأربعون</t>
  </si>
  <si>
    <t xml:space="preserve">سبعمائة وأربعة وأربعون ألفاً</t>
  </si>
  <si>
    <t xml:space="preserve">سبعمائة وأربعة وأربعون مليوناً</t>
  </si>
  <si>
    <t xml:space="preserve">سبعمائة وأربعة وأربعون هللة</t>
  </si>
  <si>
    <t xml:space="preserve">سبعمائة وخمسة وأربعون</t>
  </si>
  <si>
    <t xml:space="preserve">سبعمائة وخمسة وأربعون ألفاً</t>
  </si>
  <si>
    <t xml:space="preserve">سبعمائة وخمسة وأربعون مليوناً</t>
  </si>
  <si>
    <t xml:space="preserve">سبعمائة وخمسة وأربعون هللة</t>
  </si>
  <si>
    <t xml:space="preserve">سبعمائة وستة وأربعون</t>
  </si>
  <si>
    <t xml:space="preserve">سبعمائة وستة وأربعون ألفاً</t>
  </si>
  <si>
    <t xml:space="preserve">سبعمائة وستة وأربعون مليوناً</t>
  </si>
  <si>
    <t xml:space="preserve">سبعمائة وستة وأربعون هللة</t>
  </si>
  <si>
    <t xml:space="preserve">سبعمائة وسبعة وأربعون</t>
  </si>
  <si>
    <t xml:space="preserve">سبعمائة وسبعة وأربعون ألفاً</t>
  </si>
  <si>
    <t xml:space="preserve">سبعمائة وسبعة وأربعون مليوناً</t>
  </si>
  <si>
    <t xml:space="preserve">سبعمائة وسبعة وأربعون هللة</t>
  </si>
  <si>
    <t xml:space="preserve">سبعمائة وثمانية وأربعون</t>
  </si>
  <si>
    <t xml:space="preserve">سبعمائة وثمانية وأربعون ألفاً</t>
  </si>
  <si>
    <t xml:space="preserve">سبعمائة وثمانية وأربعون مليوناً</t>
  </si>
  <si>
    <t xml:space="preserve">سبعمائة وثمانية وأربعون هللة</t>
  </si>
  <si>
    <t xml:space="preserve">سبعمائة وتسعة وأربعون</t>
  </si>
  <si>
    <t xml:space="preserve">سبعمائة وتسعة وأربعون ألفاً</t>
  </si>
  <si>
    <t xml:space="preserve">سبعمائة وتسعة وأربعون مليوناً</t>
  </si>
  <si>
    <t xml:space="preserve">سبعمائة وتسعة وأربعون هللة</t>
  </si>
  <si>
    <t xml:space="preserve">سبعمائة وخمسون</t>
  </si>
  <si>
    <t xml:space="preserve">سبعمائة وخمسون ألفاً</t>
  </si>
  <si>
    <t xml:space="preserve">سبعمائة وخمسون مليوناً</t>
  </si>
  <si>
    <t xml:space="preserve">سبعمائة وخمسون هللة</t>
  </si>
  <si>
    <t xml:space="preserve">سبعمائة وواحد وخمسون</t>
  </si>
  <si>
    <t xml:space="preserve">سبعمائة وواحد وخمسون ألفاً</t>
  </si>
  <si>
    <t xml:space="preserve">سبعمائة وواحد وخمسون مليوناً</t>
  </si>
  <si>
    <t xml:space="preserve">سبعمائة وواحد وخمسون هللة</t>
  </si>
  <si>
    <t xml:space="preserve">سبعمائة واثنان وخمسون</t>
  </si>
  <si>
    <t xml:space="preserve">سبعمائة واثنان وخمسون ألفاً</t>
  </si>
  <si>
    <t xml:space="preserve">سبعمائة واثنان وخمسون مليوناً</t>
  </si>
  <si>
    <t xml:space="preserve">سبعمائة واثنان وخمسون هللة</t>
  </si>
  <si>
    <t xml:space="preserve">سبعمائة وثلاثة وخمسون</t>
  </si>
  <si>
    <t xml:space="preserve">سبعمائة وثلاثة وخمسون ألفاً</t>
  </si>
  <si>
    <t xml:space="preserve">سبعمائة وثلاثة وخمسون مليوناً</t>
  </si>
  <si>
    <t xml:space="preserve">سبعمائة وثلاثة وخمسون هللة</t>
  </si>
  <si>
    <t xml:space="preserve">سبعمائة وأربعة وخمسون</t>
  </si>
  <si>
    <t xml:space="preserve">سبعمائة وأربعة وخمسون ألفاً</t>
  </si>
  <si>
    <t xml:space="preserve">سبعمائة وأربعة وخمسون مليوناً</t>
  </si>
  <si>
    <t xml:space="preserve">سبعمائة وأربعة وخمسون هللة</t>
  </si>
  <si>
    <t xml:space="preserve">سبعمائة وخمسة وخمسون</t>
  </si>
  <si>
    <t xml:space="preserve">سبعمائة وخمسة وخمسون ألفاً</t>
  </si>
  <si>
    <t xml:space="preserve">سبعمائة وخمسة وخمسون مليوناً</t>
  </si>
  <si>
    <t xml:space="preserve">سبعمائة وخمسة وخمسون هللة</t>
  </si>
  <si>
    <t xml:space="preserve">سبعمائة وستة وخمسون</t>
  </si>
  <si>
    <t xml:space="preserve">سبعمائة وستة وخمسون ألفاً</t>
  </si>
  <si>
    <t xml:space="preserve">سبعمائة وستة وخمسون مليوناً</t>
  </si>
  <si>
    <t xml:space="preserve">سبعمائة وستة وخمسون هللة</t>
  </si>
  <si>
    <t xml:space="preserve">سبعمائة وسبعة وخمسون</t>
  </si>
  <si>
    <t xml:space="preserve">سبعمائة وسبعة وخمسون ألفاً</t>
  </si>
  <si>
    <t xml:space="preserve">سبعمائة وسبعة وخمسون مليوناً</t>
  </si>
  <si>
    <t xml:space="preserve">سبعمائة وسبعة وخمسون هللة</t>
  </si>
  <si>
    <t xml:space="preserve">سبعمائة وثمانية وخمسون</t>
  </si>
  <si>
    <t xml:space="preserve">سبعمائة وثمانية وخمسون ألفاً</t>
  </si>
  <si>
    <t xml:space="preserve">سبعمائة وثمانية وخمسون مليوناً</t>
  </si>
  <si>
    <t xml:space="preserve">سبعمائة وثمانية وخمسون هللة</t>
  </si>
  <si>
    <t xml:space="preserve">سبعمائة وتسعة وخمسون</t>
  </si>
  <si>
    <t xml:space="preserve">سبعمائة وتسعة وخمسون ألفاً</t>
  </si>
  <si>
    <t xml:space="preserve">سبعمائة وتسعة وخمسون مليوناً</t>
  </si>
  <si>
    <t xml:space="preserve">سبعمائة وتسعة وخمسون هللة</t>
  </si>
  <si>
    <t xml:space="preserve">سبعمائة وستون</t>
  </si>
  <si>
    <t xml:space="preserve">سبعمائة وستون ألفاً</t>
  </si>
  <si>
    <t xml:space="preserve">سبعمائة وستون مليوناً</t>
  </si>
  <si>
    <t xml:space="preserve">سبعمائة وستون هللة</t>
  </si>
  <si>
    <t xml:space="preserve">سبعمائة وواحد وستون</t>
  </si>
  <si>
    <t xml:space="preserve">سبعمائة وواحد وستون ألفاً</t>
  </si>
  <si>
    <t xml:space="preserve">سبعمائة وواحد وستون مليوناً</t>
  </si>
  <si>
    <t xml:space="preserve">سبعمائة وواحد وستون هللة</t>
  </si>
  <si>
    <t xml:space="preserve">سبعمائة واثنان وستون</t>
  </si>
  <si>
    <t xml:space="preserve">سبعمائة واثنان وستون ألفاً</t>
  </si>
  <si>
    <t xml:space="preserve">سبعمائة واثنان وستون مليوناً</t>
  </si>
  <si>
    <t xml:space="preserve">سبعمائة واثنان وستون هللة</t>
  </si>
  <si>
    <t xml:space="preserve">سبعمائة وثلاثة وستون</t>
  </si>
  <si>
    <t xml:space="preserve">سبعمائة وثلاثة وستون ألفاً</t>
  </si>
  <si>
    <t xml:space="preserve">سبعمائة وثلاثة وستون مليوناً</t>
  </si>
  <si>
    <t xml:space="preserve">سبعمائة وثلاثة وستون هللة</t>
  </si>
  <si>
    <t xml:space="preserve">سبعمائة وأربعة وستون</t>
  </si>
  <si>
    <t xml:space="preserve">سبعمائة وأربعة وستون ألفاً</t>
  </si>
  <si>
    <t xml:space="preserve">سبعمائة وأربعة وستون مليوناً</t>
  </si>
  <si>
    <t xml:space="preserve">سبعمائة وأربعة وستون هللة</t>
  </si>
  <si>
    <t xml:space="preserve">سبعمائة وخمسة وستون</t>
  </si>
  <si>
    <t xml:space="preserve">سبعمائة وخمسة وستون ألفاً</t>
  </si>
  <si>
    <t xml:space="preserve">سبعمائة وخمسة وستون مليوناً</t>
  </si>
  <si>
    <t xml:space="preserve">سبعمائة وخمسة وستون هللة</t>
  </si>
  <si>
    <t xml:space="preserve">سبعمائة وستة وستون</t>
  </si>
  <si>
    <t xml:space="preserve">سبعمائة وستة وستون ألفاً</t>
  </si>
  <si>
    <t xml:space="preserve">سبعمائة وستة وستون مليوناً</t>
  </si>
  <si>
    <t xml:space="preserve">سبعمائة وستة وستون هللة</t>
  </si>
  <si>
    <t xml:space="preserve">سبعمائة وسبعة وستون</t>
  </si>
  <si>
    <t xml:space="preserve">سبعمائة وسبعة وستون ألفاً</t>
  </si>
  <si>
    <t xml:space="preserve">سبعمائة وسبعة وستون مليوناً</t>
  </si>
  <si>
    <t xml:space="preserve">سبعمائة وسبعة وستون هللة</t>
  </si>
  <si>
    <t xml:space="preserve">سبعمائة وثمانية وستون</t>
  </si>
  <si>
    <t xml:space="preserve">سبعمائة وثمانية وستون ألفاً</t>
  </si>
  <si>
    <t xml:space="preserve">سبعمائة وثمانية وستون مليوناً</t>
  </si>
  <si>
    <t xml:space="preserve">سبعمائة وثمانية وستون هللة</t>
  </si>
  <si>
    <t xml:space="preserve">سبعمائة وتسعة وستون</t>
  </si>
  <si>
    <t xml:space="preserve">سبعمائة وتسعة وستون ألفاً</t>
  </si>
  <si>
    <t xml:space="preserve">سبعمائة وتسعة وستون مليوناً</t>
  </si>
  <si>
    <t xml:space="preserve">سبعمائة وتسعة وستون هللة</t>
  </si>
  <si>
    <t xml:space="preserve">سبعمائة وسبعون</t>
  </si>
  <si>
    <t xml:space="preserve">سبعمائة وسبعون ألفاً</t>
  </si>
  <si>
    <t xml:space="preserve">سبعمائة وسبعون مليوناً</t>
  </si>
  <si>
    <t xml:space="preserve">سبعمائة وسبعون هللة</t>
  </si>
  <si>
    <t xml:space="preserve">سبعمائة وواحد وسبعون</t>
  </si>
  <si>
    <t xml:space="preserve">سبعمائة وواحد وسبعون ألفاً</t>
  </si>
  <si>
    <t xml:space="preserve">سبعمائة وواحد وسبعون مليوناً</t>
  </si>
  <si>
    <t xml:space="preserve">سبعمائة وواحد وسبعون هللة</t>
  </si>
  <si>
    <t xml:space="preserve">سبعمائة واثنان وسبعون</t>
  </si>
  <si>
    <t xml:space="preserve">سبعمائة واثنان وسبعون ألفاً</t>
  </si>
  <si>
    <t xml:space="preserve">سبعمائة واثنان وسبعون مليوناً</t>
  </si>
  <si>
    <t xml:space="preserve">سبعمائة واثنان وسبعون هللة</t>
  </si>
  <si>
    <t xml:space="preserve">سبعمائة وثلاثة وسبعون</t>
  </si>
  <si>
    <t xml:space="preserve">سبعمائة وثلاثة وسبعون ألفاً</t>
  </si>
  <si>
    <t xml:space="preserve">سبعمائة وثلاثة وسبعون مليوناً</t>
  </si>
  <si>
    <t xml:space="preserve">سبعمائة وثلاثة وسبعون هللة</t>
  </si>
  <si>
    <t xml:space="preserve">سبعمائة وأربعة وسبعون</t>
  </si>
  <si>
    <t xml:space="preserve">سبعمائة وأربعة وسبعون ألفاً</t>
  </si>
  <si>
    <t xml:space="preserve">سبعمائة وأربعة وسبعون مليوناً</t>
  </si>
  <si>
    <t xml:space="preserve">سبعمائة وأربعة وسبعون هللة</t>
  </si>
  <si>
    <t xml:space="preserve">سبعمائة وخمسة وسبعون</t>
  </si>
  <si>
    <t xml:space="preserve">سبعمائة وخمسة وسبعون ألفاً</t>
  </si>
  <si>
    <t xml:space="preserve">سبعمائة وخمسة وسبعون مليوناً</t>
  </si>
  <si>
    <t xml:space="preserve">سبعمائة وخمسة وسبعون هللة</t>
  </si>
  <si>
    <t xml:space="preserve">سبعمائة وستة وسبعون</t>
  </si>
  <si>
    <t xml:space="preserve">سبعمائة وستة وسبعون ألفاً</t>
  </si>
  <si>
    <t xml:space="preserve">سبعمائة وستة وسبعون مليوناً</t>
  </si>
  <si>
    <t xml:space="preserve">سبعمائة وستة وسبعون هللة</t>
  </si>
  <si>
    <t xml:space="preserve">سبعمائة وسبعة وسبعون</t>
  </si>
  <si>
    <t xml:space="preserve">سبعمائة وسبعة وسبعون ألفاً</t>
  </si>
  <si>
    <t xml:space="preserve">سبعمائة وسبعة وسبعون مليوناً</t>
  </si>
  <si>
    <t xml:space="preserve">سبعمائة وسبعة وسبعون هللة</t>
  </si>
  <si>
    <t xml:space="preserve">سبعمائة وثمانية وسبعون</t>
  </si>
  <si>
    <t xml:space="preserve">سبعمائة وثمانية وسبعون ألفاً</t>
  </si>
  <si>
    <t xml:space="preserve">سبعمائة وثمانية وسبعون مليوناً</t>
  </si>
  <si>
    <t xml:space="preserve">سبعمائة وثمانية وسبعون هللة</t>
  </si>
  <si>
    <t xml:space="preserve">سبعمائة وتسعة وسبعون</t>
  </si>
  <si>
    <t xml:space="preserve">سبعمائة وتسعة وسبعون ألفاً</t>
  </si>
  <si>
    <t xml:space="preserve">سبعمائة وتسعة وسبعون مليوناً</t>
  </si>
  <si>
    <t xml:space="preserve">سبعمائة وتسعة وسبعون هللة</t>
  </si>
  <si>
    <t xml:space="preserve">سبعمائة وثمانون</t>
  </si>
  <si>
    <t xml:space="preserve">سبعمائة وثمانون ألفاً</t>
  </si>
  <si>
    <t xml:space="preserve">سبعمائة وثمانون مليوناً</t>
  </si>
  <si>
    <t xml:space="preserve">سبعمائة وثمانون هللة</t>
  </si>
  <si>
    <t xml:space="preserve">سبعمائة وواحد وثمانون</t>
  </si>
  <si>
    <t xml:space="preserve">سبعمائة وواحد وثمانون ألفاً</t>
  </si>
  <si>
    <t xml:space="preserve">سبعمائة وواحد وثمانون مليوناً</t>
  </si>
  <si>
    <t xml:space="preserve">سبعمائة وواحد وثمانون هللة</t>
  </si>
  <si>
    <t xml:space="preserve">سبعمائة واثنان وثمانون</t>
  </si>
  <si>
    <t xml:space="preserve">سبعمائة واثنان وثمانون ألفاً</t>
  </si>
  <si>
    <t xml:space="preserve">سبعمائة واثنان وثمانون مليوناً</t>
  </si>
  <si>
    <t xml:space="preserve">سبعمائة واثنان وثمانون هللة</t>
  </si>
  <si>
    <t xml:space="preserve">سبعمائة وثلاثة وثمانون</t>
  </si>
  <si>
    <t xml:space="preserve">سبعمائة وثلاثة وثمانون ألفاً</t>
  </si>
  <si>
    <t xml:space="preserve">سبعمائة وثلاثة وثمانون مليوناً</t>
  </si>
  <si>
    <t xml:space="preserve">سبعمائة وثلاثة وثمانون هللة</t>
  </si>
  <si>
    <t xml:space="preserve">سبعمائة وأربعة وثمانون</t>
  </si>
  <si>
    <t xml:space="preserve">سبعمائة وأربعة وثمانون ألفاً</t>
  </si>
  <si>
    <t xml:space="preserve">سبعمائة وأربعة وثمانون مليوناً</t>
  </si>
  <si>
    <t xml:space="preserve">سبعمائة وأربعة وثمانون هللة</t>
  </si>
  <si>
    <t xml:space="preserve">سبعمائة وخمسة وثمانون</t>
  </si>
  <si>
    <t xml:space="preserve">سبعمائة وخمسة وثمانون ألفاً</t>
  </si>
  <si>
    <t xml:space="preserve">سبعمائة وخمسة وثمانون مليوناً</t>
  </si>
  <si>
    <t xml:space="preserve">سبعمائة وخمسة وثمانون هللة</t>
  </si>
  <si>
    <t xml:space="preserve">سبعمائة وستة وثمانون</t>
  </si>
  <si>
    <t xml:space="preserve">سبعمائة وستة وثمانون ألفاً</t>
  </si>
  <si>
    <t xml:space="preserve">سبعمائة وستة وثمانون مليوناً</t>
  </si>
  <si>
    <t xml:space="preserve">سبعمائة وستة وثمانون هللة</t>
  </si>
  <si>
    <t xml:space="preserve">سبعمائة وسبعة وثمانون</t>
  </si>
  <si>
    <t xml:space="preserve">سبعمائة وسبعة وثمانون ألفاً</t>
  </si>
  <si>
    <t xml:space="preserve">سبعمائة وسبعة وثمانون مليوناً</t>
  </si>
  <si>
    <t xml:space="preserve">سبعمائة وسبعة وثمانون هللة</t>
  </si>
  <si>
    <t xml:space="preserve">سبعمائة وثمانية وثمانون</t>
  </si>
  <si>
    <t xml:space="preserve">سبعمائة وثمانية وثمانون ألفاً</t>
  </si>
  <si>
    <t xml:space="preserve">سبعمائة وثمانية وثمانون مليوناً</t>
  </si>
  <si>
    <t xml:space="preserve">سبعمائة وثمانية وثمانون هللة</t>
  </si>
  <si>
    <t xml:space="preserve">سبعمائة وتسعة وثمانون</t>
  </si>
  <si>
    <t xml:space="preserve">سبعمائة وتسعة وثمانون ألفاً</t>
  </si>
  <si>
    <t xml:space="preserve">سبعمائة وتسعة وثمانون مليوناً</t>
  </si>
  <si>
    <t xml:space="preserve">سبعمائة وتسعة وثمانون هللة</t>
  </si>
  <si>
    <t xml:space="preserve">سبعمائة وتسعون</t>
  </si>
  <si>
    <t xml:space="preserve">سبعمائة وتسعون ألفاً</t>
  </si>
  <si>
    <t xml:space="preserve">سبعمائة وتسعون مليوناً</t>
  </si>
  <si>
    <t xml:space="preserve">سبعمائة وتسعون هللة</t>
  </si>
  <si>
    <t xml:space="preserve">سبعمائة وواحد وتسعون</t>
  </si>
  <si>
    <t xml:space="preserve">سبعمائة وواحد وتسعون ألفاً</t>
  </si>
  <si>
    <t xml:space="preserve">سبعمائة وواحد وتسعون مليوناً</t>
  </si>
  <si>
    <t xml:space="preserve">سبعمائة وواحد وتسعون هللة</t>
  </si>
  <si>
    <t xml:space="preserve">سبعمائة واثنان وتسعون</t>
  </si>
  <si>
    <t xml:space="preserve">سبعمائة واثنان وتسعون ألفاً</t>
  </si>
  <si>
    <t xml:space="preserve">سبعمائة واثنان وتسعون مليوناً</t>
  </si>
  <si>
    <t xml:space="preserve">سبعمائة واثنان وتسعون هللة</t>
  </si>
  <si>
    <t xml:space="preserve">سبعمائة وثلاثة وتسعون</t>
  </si>
  <si>
    <t xml:space="preserve">سبعمائة وثلاثة وتسعون ألفاً</t>
  </si>
  <si>
    <t xml:space="preserve">سبعمائة وثلاثة وتسعون مليوناً</t>
  </si>
  <si>
    <t xml:space="preserve">سبعمائة وثلاثة وتسعون هللة</t>
  </si>
  <si>
    <t xml:space="preserve">سبعمائة وأربعة وتسعون</t>
  </si>
  <si>
    <t xml:space="preserve">سبعمائة وأربعة وتسعون ألفاً</t>
  </si>
  <si>
    <t xml:space="preserve">سبعمائة وأربعة وتسعون مليوناً</t>
  </si>
  <si>
    <t xml:space="preserve">سبعمائة وأربعة وتسعون هللة</t>
  </si>
  <si>
    <t xml:space="preserve">سبعمائة وخمسة وتسعون</t>
  </si>
  <si>
    <t xml:space="preserve">سبعمائة وخمسة وتسعون ألفاً</t>
  </si>
  <si>
    <t xml:space="preserve">سبعمائة وخمسة وتسعون مليوناً</t>
  </si>
  <si>
    <t xml:space="preserve">سبعمائة وخمسة وتسعون هللة</t>
  </si>
  <si>
    <t xml:space="preserve">سبعمائة وستة وتسعون</t>
  </si>
  <si>
    <t xml:space="preserve">سبعمائة وستة وتسعون ألفاً</t>
  </si>
  <si>
    <t xml:space="preserve">سبعمائة وستة وتسعون مليوناً</t>
  </si>
  <si>
    <t xml:space="preserve">سبعمائة وستة وتسعون هللة</t>
  </si>
  <si>
    <t xml:space="preserve">سبعمائة وسبعة وتسعون</t>
  </si>
  <si>
    <t xml:space="preserve">سبعمائة وسبعة وتسعون ألفاً</t>
  </si>
  <si>
    <t xml:space="preserve">سبعمائة وسبعة وتسعون مليوناً</t>
  </si>
  <si>
    <t xml:space="preserve">سبعمائة وسبعة وتسعون هللة</t>
  </si>
  <si>
    <t xml:space="preserve">سبعمائة وثمانية وتسعون</t>
  </si>
  <si>
    <t xml:space="preserve">سبعمائة وثمانية وتسعون ألفاً</t>
  </si>
  <si>
    <t xml:space="preserve">سبعمائة وثمانية وتسعون مليوناً</t>
  </si>
  <si>
    <t xml:space="preserve">سبعمائة وثمانية وتسعون هللة</t>
  </si>
  <si>
    <t xml:space="preserve">سبعمائة وتسعة وتسعون</t>
  </si>
  <si>
    <t xml:space="preserve">سبعمائة وتسعة وتسعون ألفاً</t>
  </si>
  <si>
    <t xml:space="preserve">سبعمائة وتسعة وتسعون مليوناً</t>
  </si>
  <si>
    <t xml:space="preserve">سبعمائة وتسعة وتسعون هللة</t>
  </si>
  <si>
    <t xml:space="preserve">ثمانمائة</t>
  </si>
  <si>
    <t xml:space="preserve">ثمانمائة ألف</t>
  </si>
  <si>
    <t xml:space="preserve">ثمانمائة مليون</t>
  </si>
  <si>
    <t xml:space="preserve">ثمانمائة هللة</t>
  </si>
  <si>
    <t xml:space="preserve">ثمانمائة وواحد</t>
  </si>
  <si>
    <t xml:space="preserve">ثمانمائة وواحد ألف</t>
  </si>
  <si>
    <t xml:space="preserve">ثمانمائة وواحد مليون</t>
  </si>
  <si>
    <t xml:space="preserve">ثمانمائة وواحد هللة</t>
  </si>
  <si>
    <t xml:space="preserve">ثمانمائة واثنان</t>
  </si>
  <si>
    <t xml:space="preserve">ثمانمائة واثنان ألف</t>
  </si>
  <si>
    <t xml:space="preserve">ثمانمائة واثنان مليون</t>
  </si>
  <si>
    <t xml:space="preserve">ثمانمائة واثنان هللة</t>
  </si>
  <si>
    <t xml:space="preserve">ثمانمائة وثلاثة</t>
  </si>
  <si>
    <t xml:space="preserve">ثمانمائة وثلاثة آلاف</t>
  </si>
  <si>
    <t xml:space="preserve">ثمانمائة وثلاثة ملايين</t>
  </si>
  <si>
    <t xml:space="preserve">ثمانمائة وثلاثة هللات</t>
  </si>
  <si>
    <t xml:space="preserve">ثمانمائة وأربعة</t>
  </si>
  <si>
    <t xml:space="preserve">ثمانمائة وأربعة آلاف</t>
  </si>
  <si>
    <t xml:space="preserve">ثمانمائة وأربعة ملايين</t>
  </si>
  <si>
    <t xml:space="preserve">ثمانمائة وأربعة هللات</t>
  </si>
  <si>
    <t xml:space="preserve">ثمانمائة وخمسة</t>
  </si>
  <si>
    <t xml:space="preserve">ثمانمائة وخمسة آلاف</t>
  </si>
  <si>
    <t xml:space="preserve">ثمانمائة وخمسة ملايين</t>
  </si>
  <si>
    <t xml:space="preserve">ثمانمائة وخمسة هللات</t>
  </si>
  <si>
    <t xml:space="preserve">ثمانمائة وستة</t>
  </si>
  <si>
    <t xml:space="preserve">ثمانمائة وستة آلاف</t>
  </si>
  <si>
    <t xml:space="preserve">ثمانمائة وستة ملايين</t>
  </si>
  <si>
    <t xml:space="preserve">ثمانمائة وستة هللات</t>
  </si>
  <si>
    <t xml:space="preserve">ثمانمائة وسبعة</t>
  </si>
  <si>
    <t xml:space="preserve">ثمانمائة وسبعة آلاف</t>
  </si>
  <si>
    <t xml:space="preserve">ثمانمائة وسبعة ملايين</t>
  </si>
  <si>
    <t xml:space="preserve">ثمانمائة وسبعة هللات</t>
  </si>
  <si>
    <t xml:space="preserve">ثمانمائة وثمانية</t>
  </si>
  <si>
    <t xml:space="preserve">ثمانمائة وثمانية آلاف</t>
  </si>
  <si>
    <t xml:space="preserve">ثمانمائة وثمانية ملايين</t>
  </si>
  <si>
    <t xml:space="preserve">ثمانمائة وثمانية هللات</t>
  </si>
  <si>
    <t xml:space="preserve">ثمانمائة وتسعة</t>
  </si>
  <si>
    <t xml:space="preserve">ثمانمائة وتسعة آلاف</t>
  </si>
  <si>
    <t xml:space="preserve">ثمانمائة وتسعة ملايين</t>
  </si>
  <si>
    <t xml:space="preserve">ثمانمائة وتسعة هللات</t>
  </si>
  <si>
    <t xml:space="preserve">ثمانمائة وعشرة</t>
  </si>
  <si>
    <t xml:space="preserve">ثمانمائة وعشرة آلاف</t>
  </si>
  <si>
    <t xml:space="preserve">ثمانمائة وعشرة ملايين</t>
  </si>
  <si>
    <t xml:space="preserve">ثمانمائة وعشرة هللات</t>
  </si>
  <si>
    <t xml:space="preserve">ثمانمائة وأحد عشر</t>
  </si>
  <si>
    <t xml:space="preserve">ثمانمائة وأحد عشر ألفاً</t>
  </si>
  <si>
    <t xml:space="preserve">ثمانمائة وأحد عشر مليوناً</t>
  </si>
  <si>
    <t xml:space="preserve">ثمانمائة وأحد عشر هللة</t>
  </si>
  <si>
    <t xml:space="preserve">ثمانمائة واثنا عشر</t>
  </si>
  <si>
    <t xml:space="preserve">ثمانمائة واثنا عشر ألفاً</t>
  </si>
  <si>
    <t xml:space="preserve">ثمانمائة واثنا عشر مليوناً</t>
  </si>
  <si>
    <t xml:space="preserve">ثمانمائة واثنا عشر هللة</t>
  </si>
  <si>
    <t xml:space="preserve">ثمانمائة وثلاثة عشر</t>
  </si>
  <si>
    <t xml:space="preserve">ثمانمائة وثلاثة عشر ألفاً</t>
  </si>
  <si>
    <t xml:space="preserve">ثمانمائة وثلاثة عشر مليوناً</t>
  </si>
  <si>
    <t xml:space="preserve">ثمانمائة وثلاثة عشر هللة</t>
  </si>
  <si>
    <t xml:space="preserve">ثمانمائة وأربعة عشر</t>
  </si>
  <si>
    <t xml:space="preserve">ثمانمائة وأربعة عشر ألفاً</t>
  </si>
  <si>
    <t xml:space="preserve">ثمانمائة وأربعة عشر مليوناً</t>
  </si>
  <si>
    <t xml:space="preserve">ثمانمائة وأربعة عشر هللة</t>
  </si>
  <si>
    <t xml:space="preserve">ثمانمائة وخمسة عشر</t>
  </si>
  <si>
    <t xml:space="preserve">ثمانمائة وخمسة عشر ألفاً</t>
  </si>
  <si>
    <t xml:space="preserve">ثمانمائة وخمسة عشر مليوناً</t>
  </si>
  <si>
    <t xml:space="preserve">ثمانمائة وخمسة عشر هللة</t>
  </si>
  <si>
    <t xml:space="preserve">ثمانمائة وستة عشر</t>
  </si>
  <si>
    <t xml:space="preserve">ثمانمائة وستة عشر ألفاً</t>
  </si>
  <si>
    <t xml:space="preserve">ثمانمائة وستة عشر مليوناً</t>
  </si>
  <si>
    <t xml:space="preserve">ثمانمائة وستة عشر هللة</t>
  </si>
  <si>
    <t xml:space="preserve">ثمانمائة وسبعة عشر</t>
  </si>
  <si>
    <t xml:space="preserve">ثمانمائة وسبعة عشر ألفاً</t>
  </si>
  <si>
    <t xml:space="preserve">ثمانمائة وسبعة عشر مليوناً</t>
  </si>
  <si>
    <t xml:space="preserve">ثمانمائة وسبعة عشر هللة</t>
  </si>
  <si>
    <t xml:space="preserve">ثمانمائة وثمانية عشر</t>
  </si>
  <si>
    <t xml:space="preserve">ثمانمائة وثمانية عشر ألفاً</t>
  </si>
  <si>
    <t xml:space="preserve">ثمانمائة وثمانية عشر مليوناً</t>
  </si>
  <si>
    <t xml:space="preserve">ثمانمائة وثمانية عشر هللة</t>
  </si>
  <si>
    <t xml:space="preserve">ثمانمائة وتسعة عشر</t>
  </si>
  <si>
    <t xml:space="preserve">ثمانمائة وتسعة عشر ألفاً</t>
  </si>
  <si>
    <t xml:space="preserve">ثمانمائة وتسعة عشر مليوناً</t>
  </si>
  <si>
    <t xml:space="preserve">ثمانمائة وتسعة عشر هللة</t>
  </si>
  <si>
    <t xml:space="preserve">ثمانمائة وعشرون</t>
  </si>
  <si>
    <t xml:space="preserve">ثمانمائة وعشرون ألفاً</t>
  </si>
  <si>
    <t xml:space="preserve">ثمانمائة وعشرون مليوناً</t>
  </si>
  <si>
    <t xml:space="preserve">ثمانمائة وعشرون هللة</t>
  </si>
  <si>
    <t xml:space="preserve">ثمانمائة وواحد وعشرون</t>
  </si>
  <si>
    <t xml:space="preserve">ثمانمائة وواحد وعشرون ألفاً</t>
  </si>
  <si>
    <t xml:space="preserve">ثمانمائة وواحد وعشرون مليوناً</t>
  </si>
  <si>
    <t xml:space="preserve">ثمانمائة وواحد وعشرون هللة</t>
  </si>
  <si>
    <t xml:space="preserve">ثمانمائة واثنان وعشرون</t>
  </si>
  <si>
    <t xml:space="preserve">ثمانمائة واثنان وعشرون ألفاً</t>
  </si>
  <si>
    <t xml:space="preserve">ثمانمائة واثنان وعشرون مليوناً</t>
  </si>
  <si>
    <t xml:space="preserve">ثمانمائة واثنان وعشرون هللة</t>
  </si>
  <si>
    <t xml:space="preserve">ثمانمائة وثلاثة وعشرون</t>
  </si>
  <si>
    <t xml:space="preserve">ثمانمائة وثلاثة وعشرون ألفاً</t>
  </si>
  <si>
    <t xml:space="preserve">ثمانمائة وثلاثة وعشرون مليوناً</t>
  </si>
  <si>
    <t xml:space="preserve">ثمانمائة وثلاثة وعشرون هللة</t>
  </si>
  <si>
    <t xml:space="preserve">ثمانمائة وأربعة وعشرون</t>
  </si>
  <si>
    <t xml:space="preserve">ثمانمائة وأربعة وعشرون ألفاً</t>
  </si>
  <si>
    <t xml:space="preserve">ثمانمائة وأربعة وعشرون مليوناً</t>
  </si>
  <si>
    <t xml:space="preserve">ثمانمائة وأربعة وعشرون هللة</t>
  </si>
  <si>
    <t xml:space="preserve">ثمانمائة وخمسة وعشرون</t>
  </si>
  <si>
    <t xml:space="preserve">ثمانمائة وخمسة وعشرون ألفاً</t>
  </si>
  <si>
    <t xml:space="preserve">ثمانمائة وخمسة وعشرون مليوناً</t>
  </si>
  <si>
    <t xml:space="preserve">ثمانمائة وخمسة وعشرون هللة</t>
  </si>
  <si>
    <t xml:space="preserve">ثمانمائة وستة وعشرون</t>
  </si>
  <si>
    <t xml:space="preserve">ثمانمائة وستة وعشرون ألفاً</t>
  </si>
  <si>
    <t xml:space="preserve">ثمانمائة وستة وعشرون مليوناً</t>
  </si>
  <si>
    <t xml:space="preserve">ثمانمائة وستة وعشرون هللة</t>
  </si>
  <si>
    <t xml:space="preserve">ثمانمائة وسبعة وعشرون</t>
  </si>
  <si>
    <t xml:space="preserve">ثمانمائة وسبعة وعشرون ألفاً</t>
  </si>
  <si>
    <t xml:space="preserve">ثمانمائة وسبعة وعشرون مليوناً</t>
  </si>
  <si>
    <t xml:space="preserve">ثمانمائة وسبعة وعشرون هللة</t>
  </si>
  <si>
    <t xml:space="preserve">ثمانمائة وثمانية وعشرون</t>
  </si>
  <si>
    <t xml:space="preserve">ثمانمائة وثمانية وعشرون ألفاً</t>
  </si>
  <si>
    <t xml:space="preserve">ثمانمائة وثمانية وعشرون مليوناً</t>
  </si>
  <si>
    <t xml:space="preserve">ثمانمائة وثمانية وعشرون هللة</t>
  </si>
  <si>
    <t xml:space="preserve">ثمانمائة وتسعة وعشرون</t>
  </si>
  <si>
    <t xml:space="preserve">ثمانمائة وتسعة وعشرون ألفاً</t>
  </si>
  <si>
    <t xml:space="preserve">ثمانمائة وتسعة وعشرون مليوناً</t>
  </si>
  <si>
    <t xml:space="preserve">ثمانمائة وتسعة وعشرون هللة</t>
  </si>
  <si>
    <t xml:space="preserve">ثمانمائة وثلاثون</t>
  </si>
  <si>
    <t xml:space="preserve">ثمانمائة وثلاثون ألفاً</t>
  </si>
  <si>
    <t xml:space="preserve">ثمانمائة وثلاثون مليوناً</t>
  </si>
  <si>
    <t xml:space="preserve">ثمانمائة وثلاثون هللة</t>
  </si>
  <si>
    <t xml:space="preserve">ثمانمائة وواحد وثلاثون</t>
  </si>
  <si>
    <t xml:space="preserve">ثمانمائة وواحد وثلاثون ألفاً</t>
  </si>
  <si>
    <t xml:space="preserve">ثمانمائة وواحد وثلاثون مليوناً</t>
  </si>
  <si>
    <t xml:space="preserve">ثمانمائة وواحد وثلاثون هللة</t>
  </si>
  <si>
    <t xml:space="preserve">ثمانمائة واثنان وثلاثون</t>
  </si>
  <si>
    <t xml:space="preserve">ثمانمائة واثنان وثلاثون ألفاً</t>
  </si>
  <si>
    <t xml:space="preserve">ثمانمائة واثنان وثلاثون مليوناً</t>
  </si>
  <si>
    <t xml:space="preserve">ثمانمائة واثنان وثلاثون هللة</t>
  </si>
  <si>
    <t xml:space="preserve">ثمانمائة وثلاثة وثلاثون</t>
  </si>
  <si>
    <t xml:space="preserve">ثمانمائة وثلاثة وثلاثون ألفاً</t>
  </si>
  <si>
    <t xml:space="preserve">ثمانمائة وثلاثة وثلاثون مليوناً</t>
  </si>
  <si>
    <t xml:space="preserve">ثمانمائة وثلاثة وثلاثون هللة</t>
  </si>
  <si>
    <t xml:space="preserve">ثمانمائة وأربعة وثلاثون</t>
  </si>
  <si>
    <t xml:space="preserve">ثمانمائة وأربعة وثلاثون ألفاً</t>
  </si>
  <si>
    <t xml:space="preserve">ثمانمائة وأربعة وثلاثون مليوناً</t>
  </si>
  <si>
    <t xml:space="preserve">ثمانمائة وأربعة وثلاثون هللة</t>
  </si>
  <si>
    <t xml:space="preserve">ثمانمائة وخمسة وثلاثون</t>
  </si>
  <si>
    <t xml:space="preserve">ثمانمائة وخمسة وثلاثون ألفاً</t>
  </si>
  <si>
    <t xml:space="preserve">ثمانمائة وخمسة وثلاثون مليوناً</t>
  </si>
  <si>
    <t xml:space="preserve">ثمانمائة وخمسة وثلاثون هللة</t>
  </si>
  <si>
    <t xml:space="preserve">ثمانمائة وستة وثلاثون</t>
  </si>
  <si>
    <t xml:space="preserve">ثمانمائة وستة وثلاثون ألفاً</t>
  </si>
  <si>
    <t xml:space="preserve">ثمانمائة وستة وثلاثون مليوناً</t>
  </si>
  <si>
    <t xml:space="preserve">ثمانمائة وستة وثلاثون هللة</t>
  </si>
  <si>
    <t xml:space="preserve">ثمانمائة وسبعة وثلاثون</t>
  </si>
  <si>
    <t xml:space="preserve">ثمانمائة وسبعة وثلاثون ألفاً</t>
  </si>
  <si>
    <t xml:space="preserve">ثمانمائة وسبعة وثلاثون مليوناً</t>
  </si>
  <si>
    <t xml:space="preserve">ثمانمائة وسبعة وثلاثون هللة</t>
  </si>
  <si>
    <t xml:space="preserve">ثمانمائة وثمانية وثلاثون</t>
  </si>
  <si>
    <t xml:space="preserve">ثمانمائة وثمانية وثلاثون ألفاً</t>
  </si>
  <si>
    <t xml:space="preserve">ثمانمائة وثمانية وثلاثون مليوناً</t>
  </si>
  <si>
    <t xml:space="preserve">ثمانمائة وثمانية وثلاثون هللة</t>
  </si>
  <si>
    <t xml:space="preserve">ثمانمائة وتسعة وثلاثون</t>
  </si>
  <si>
    <t xml:space="preserve">ثمانمائة وتسعة وثلاثون ألفاً</t>
  </si>
  <si>
    <t xml:space="preserve">ثمانمائة وتسعة وثلاثون مليوناً</t>
  </si>
  <si>
    <t xml:space="preserve">ثمانمائة وتسعة وثلاثون هللة</t>
  </si>
  <si>
    <t xml:space="preserve">ثمانمائة وأربعون</t>
  </si>
  <si>
    <t xml:space="preserve">ثمانمائة وأربعون ألفاً</t>
  </si>
  <si>
    <t xml:space="preserve">ثمانمائة وأربعون مليوناً</t>
  </si>
  <si>
    <t xml:space="preserve">ثمانمائة وأربعون هللة</t>
  </si>
  <si>
    <t xml:space="preserve">ثمانمائة وواحد وأربعون</t>
  </si>
  <si>
    <t xml:space="preserve">ثمانمائة وواحد وأربعون ألفاً</t>
  </si>
  <si>
    <t xml:space="preserve">ثمانمائة وواحد وأربعون مليوناً</t>
  </si>
  <si>
    <t xml:space="preserve">ثمانمائة وواحد وأربعون هللة</t>
  </si>
  <si>
    <t xml:space="preserve">ثمانمائة واثنان وأربعون</t>
  </si>
  <si>
    <t xml:space="preserve">ثمانمائة واثنان وأربعون ألفاً</t>
  </si>
  <si>
    <t xml:space="preserve">ثمانمائة واثنان وأربعون مليوناً</t>
  </si>
  <si>
    <t xml:space="preserve">ثمانمائة واثنان وأربعون هللة</t>
  </si>
  <si>
    <t xml:space="preserve">ثمانمائة وثلاثة وأربعون</t>
  </si>
  <si>
    <t xml:space="preserve">ثمانمائة وثلاثة وأربعون ألفاً</t>
  </si>
  <si>
    <t xml:space="preserve">ثمانمائة وثلاثة وأربعون مليوناً</t>
  </si>
  <si>
    <t xml:space="preserve">ثمانمائة وثلاثة وأربعون هللة</t>
  </si>
  <si>
    <t xml:space="preserve">ثمانمائة وأربعة وأربعون</t>
  </si>
  <si>
    <t xml:space="preserve">ثمانمائة وأربعة وأربعون ألفاً</t>
  </si>
  <si>
    <t xml:space="preserve">ثمانمائة وأربعة وأربعون مليوناً</t>
  </si>
  <si>
    <t xml:space="preserve">ثمانمائة وأربعة وأربعون هللة</t>
  </si>
  <si>
    <t xml:space="preserve">ثمانمائة وخمسة وأربعون</t>
  </si>
  <si>
    <t xml:space="preserve">ثمانمائة وخمسة وأربعون ألفاً</t>
  </si>
  <si>
    <t xml:space="preserve">ثمانمائة وخمسة وأربعون مليوناً</t>
  </si>
  <si>
    <t xml:space="preserve">ثمانمائة وخمسة وأربعون هللة</t>
  </si>
  <si>
    <t xml:space="preserve">ثمانمائة وستة وأربعون</t>
  </si>
  <si>
    <t xml:space="preserve">ثمانمائة وستة وأربعون ألفاً</t>
  </si>
  <si>
    <t xml:space="preserve">ثمانمائة وستة وأربعون مليوناً</t>
  </si>
  <si>
    <t xml:space="preserve">ثمانمائة وستة وأربعون هللة</t>
  </si>
  <si>
    <t xml:space="preserve">ثمانمائة وسبعة وأربعون</t>
  </si>
  <si>
    <t xml:space="preserve">ثمانمائة وسبعة وأربعون ألفاً</t>
  </si>
  <si>
    <t xml:space="preserve">ثمانمائة وسبعة وأربعون مليوناً</t>
  </si>
  <si>
    <t xml:space="preserve">ثمانمائة وسبعة وأربعون هللة</t>
  </si>
  <si>
    <t xml:space="preserve">ثمانمائة وثمانية وأربعون</t>
  </si>
  <si>
    <t xml:space="preserve">ثمانمائة وثمانية وأربعون ألفاً</t>
  </si>
  <si>
    <t xml:space="preserve">ثمانمائة وثمانية وأربعون مليوناً</t>
  </si>
  <si>
    <t xml:space="preserve">ثمانمائة وثمانية وأربعون هللة</t>
  </si>
  <si>
    <t xml:space="preserve">ثمانمائة وتسعة وأربعون</t>
  </si>
  <si>
    <t xml:space="preserve">ثمانمائة وتسعة وأربعون ألفاً</t>
  </si>
  <si>
    <t xml:space="preserve">ثمانمائة وتسعة وأربعون مليوناً</t>
  </si>
  <si>
    <t xml:space="preserve">ثمانمائة وتسعة وأربعون هللة</t>
  </si>
  <si>
    <t xml:space="preserve">ثمانمائة وخمسون</t>
  </si>
  <si>
    <t xml:space="preserve">ثمانمائة وخمسون ألفاً</t>
  </si>
  <si>
    <t xml:space="preserve">ثمانمائة وخمسون مليوناً</t>
  </si>
  <si>
    <t xml:space="preserve">ثمانمائة وخمسون هللة</t>
  </si>
  <si>
    <t xml:space="preserve">ثمانمائة وواحد وخمسون</t>
  </si>
  <si>
    <t xml:space="preserve">ثمانمائة وواحد وخمسون ألفاً</t>
  </si>
  <si>
    <t xml:space="preserve">ثمانمائة وواحد وخمسون مليوناً</t>
  </si>
  <si>
    <t xml:space="preserve">ثمانمائة وواحد وخمسون هللة</t>
  </si>
  <si>
    <t xml:space="preserve">ثمانمائة واثنان وخمسون</t>
  </si>
  <si>
    <t xml:space="preserve">ثمانمائة واثنان وخمسون ألفاً</t>
  </si>
  <si>
    <t xml:space="preserve">ثمانمائة واثنان وخمسون مليوناً</t>
  </si>
  <si>
    <t xml:space="preserve">ثمانمائة واثنان وخمسون هللة</t>
  </si>
  <si>
    <t xml:space="preserve">ثمانمائة وثلاثة وخمسون</t>
  </si>
  <si>
    <t xml:space="preserve">ثمانمائة وثلاثة وخمسون ألفاً</t>
  </si>
  <si>
    <t xml:space="preserve">ثمانمائة وثلاثة وخمسون مليوناً</t>
  </si>
  <si>
    <t xml:space="preserve">ثمانمائة وثلاثة وخمسون هللة</t>
  </si>
  <si>
    <t xml:space="preserve">ثمانمائة وأربعة وخمسون</t>
  </si>
  <si>
    <t xml:space="preserve">ثمانمائة وأربعة وخمسون ألفاً</t>
  </si>
  <si>
    <t xml:space="preserve">ثمانمائة وأربعة وخمسون مليوناً</t>
  </si>
  <si>
    <t xml:space="preserve">ثمانمائة وأربعة وخمسون هللة</t>
  </si>
  <si>
    <t xml:space="preserve">ثمانمائة وخمسة وخمسون</t>
  </si>
  <si>
    <t xml:space="preserve">ثمانمائة وخمسة وخمسون ألفاً</t>
  </si>
  <si>
    <t xml:space="preserve">ثمانمائة وخمسة وخمسون مليوناً</t>
  </si>
  <si>
    <t xml:space="preserve">ثمانمائة وخمسة وخمسون هللة</t>
  </si>
  <si>
    <t xml:space="preserve">ثمانمائة وستة وخمسون</t>
  </si>
  <si>
    <t xml:space="preserve">ثمانمائة وستة وخمسون ألفاً</t>
  </si>
  <si>
    <t xml:space="preserve">ثمانمائة وستة وخمسون مليوناً</t>
  </si>
  <si>
    <t xml:space="preserve">ثمانمائة وستة وخمسون هللة</t>
  </si>
  <si>
    <t xml:space="preserve">ثمانمائة وسبعة وخمسون</t>
  </si>
  <si>
    <t xml:space="preserve">ثمانمائة وسبعة وخمسون ألفاً</t>
  </si>
  <si>
    <t xml:space="preserve">ثمانمائة وسبعة وخمسون مليوناً</t>
  </si>
  <si>
    <t xml:space="preserve">ثمانمائة وسبعة وخمسون هللة</t>
  </si>
  <si>
    <t xml:space="preserve">ثمانمائة وثمانية وخمسون</t>
  </si>
  <si>
    <t xml:space="preserve">ثمانمائة وثمانية وخمسون ألفاً</t>
  </si>
  <si>
    <t xml:space="preserve">ثمانمائة وثمانية وخمسون مليوناً</t>
  </si>
  <si>
    <t xml:space="preserve">ثمانمائة وثمانية وخمسون هللة</t>
  </si>
  <si>
    <t xml:space="preserve">ثمانمائة وتسعة وخمسون</t>
  </si>
  <si>
    <t xml:space="preserve">ثمانمائة وتسعة وخمسون ألفاً</t>
  </si>
  <si>
    <t xml:space="preserve">ثمانمائة وتسعة وخمسون مليوناً</t>
  </si>
  <si>
    <t xml:space="preserve">ثمانمائة وتسعة وخمسون هللة</t>
  </si>
  <si>
    <t xml:space="preserve">ثمانمائة وستون</t>
  </si>
  <si>
    <t xml:space="preserve">ثمانمائة وستون ألفاً</t>
  </si>
  <si>
    <t xml:space="preserve">ثمانمائة وستون مليوناً</t>
  </si>
  <si>
    <t xml:space="preserve">ثمانمائة وستون هللة</t>
  </si>
  <si>
    <t xml:space="preserve">ثمانمائة وواحد وستون</t>
  </si>
  <si>
    <t xml:space="preserve">ثمانمائة وواحد وستون ألفاً</t>
  </si>
  <si>
    <t xml:space="preserve">ثمانمائة وواحد وستون مليوناً</t>
  </si>
  <si>
    <t xml:space="preserve">ثمانمائة وواحد وستون هللة</t>
  </si>
  <si>
    <t xml:space="preserve">ثمانمائة واثنان وستون</t>
  </si>
  <si>
    <t xml:space="preserve">ثمانمائة واثنان وستون ألفاً</t>
  </si>
  <si>
    <t xml:space="preserve">ثمانمائة واثنان وستون مليوناً</t>
  </si>
  <si>
    <t xml:space="preserve">ثمانمائة واثنان وستون هللة</t>
  </si>
  <si>
    <t xml:space="preserve">ثمانمائة وثلاثة وستون</t>
  </si>
  <si>
    <t xml:space="preserve">ثمانمائة وثلاثة وستون ألفاً</t>
  </si>
  <si>
    <t xml:space="preserve">ثمانمائة وثلاثة وستون مليوناً</t>
  </si>
  <si>
    <t xml:space="preserve">ثمانمائة وثلاثة وستون هللة</t>
  </si>
  <si>
    <t xml:space="preserve">ثمانمائة وأربعة وستون</t>
  </si>
  <si>
    <t xml:space="preserve">ثمانمائة وأربعة وستون ألفاً</t>
  </si>
  <si>
    <t xml:space="preserve">ثمانمائة وأربعة وستون مليوناً</t>
  </si>
  <si>
    <t xml:space="preserve">ثمانمائة وأربعة وستون هللة</t>
  </si>
  <si>
    <t xml:space="preserve">ثمانمائة وخمسة وستون</t>
  </si>
  <si>
    <t xml:space="preserve">ثمانمائة وخمسة وستون ألفاً</t>
  </si>
  <si>
    <t xml:space="preserve">ثمانمائة وخمسة وستون مليوناً</t>
  </si>
  <si>
    <t xml:space="preserve">ثمانمائة وخمسة وستون هللة</t>
  </si>
  <si>
    <t xml:space="preserve">ثمانمائة وستة وستون</t>
  </si>
  <si>
    <t xml:space="preserve">ثمانمائة وستة وستون ألفاً</t>
  </si>
  <si>
    <t xml:space="preserve">ثمانمائة وستة وستون مليوناً</t>
  </si>
  <si>
    <t xml:space="preserve">ثمانمائة وستة وستون هللة</t>
  </si>
  <si>
    <t xml:space="preserve">ثمانمائة وسبعة وستون</t>
  </si>
  <si>
    <t xml:space="preserve">ثمانمائة وسبعة وستون ألفاً</t>
  </si>
  <si>
    <t xml:space="preserve">ثمانمائة وسبعة وستون مليوناً</t>
  </si>
  <si>
    <t xml:space="preserve">ثمانمائة وسبعة وستون هللة</t>
  </si>
  <si>
    <t xml:space="preserve">ثمانمائة وثمانية وستون</t>
  </si>
  <si>
    <t xml:space="preserve">ثمانمائة وثمانية وستون ألفاً</t>
  </si>
  <si>
    <t xml:space="preserve">ثمانمائة وثمانية وستون مليوناً</t>
  </si>
  <si>
    <t xml:space="preserve">ثمانمائة وثمانية وستون هللة</t>
  </si>
  <si>
    <t xml:space="preserve">ثمانمائة وتسعة وستون</t>
  </si>
  <si>
    <t xml:space="preserve">ثمانمائة وتسعة وستون ألفاً</t>
  </si>
  <si>
    <t xml:space="preserve">ثمانمائة وتسعة وستون مليوناً</t>
  </si>
  <si>
    <t xml:space="preserve">ثمانمائة وتسعة وستون هللة</t>
  </si>
  <si>
    <t xml:space="preserve">ثمانمائة وسبعون</t>
  </si>
  <si>
    <t xml:space="preserve">ثمانمائة وسبعون ألفاً</t>
  </si>
  <si>
    <t xml:space="preserve">ثمانمائة وسبعون مليوناً</t>
  </si>
  <si>
    <t xml:space="preserve">ثمانمائة وسبعون هللة</t>
  </si>
  <si>
    <t xml:space="preserve">ثمانمائة وواحد وسبعون</t>
  </si>
  <si>
    <t xml:space="preserve">ثمانمائة وواحد وسبعون ألفاً</t>
  </si>
  <si>
    <t xml:space="preserve">ثمانمائة وواحد وسبعون مليوناً</t>
  </si>
  <si>
    <t xml:space="preserve">ثمانمائة وواحد وسبعون هللة</t>
  </si>
  <si>
    <t xml:space="preserve">ثمانمائة واثنان وسبعون</t>
  </si>
  <si>
    <t xml:space="preserve">ثمانمائة واثنان وسبعون ألفاً</t>
  </si>
  <si>
    <t xml:space="preserve">ثمانمائة واثنان وسبعون مليوناً</t>
  </si>
  <si>
    <t xml:space="preserve">ثمانمائة واثنان وسبعون هللة</t>
  </si>
  <si>
    <t xml:space="preserve">ثمانمائة وثلاثة وسبعون</t>
  </si>
  <si>
    <t xml:space="preserve">ثمانمائة وثلاثة وسبعون ألفاً</t>
  </si>
  <si>
    <t xml:space="preserve">ثمانمائة وثلاثة وسبعون مليوناً</t>
  </si>
  <si>
    <t xml:space="preserve">ثمانمائة وثلاثة وسبعون هللة</t>
  </si>
  <si>
    <t xml:space="preserve">ثمانمائة وأربعة وسبعون</t>
  </si>
  <si>
    <t xml:space="preserve">ثمانمائة وأربعة وسبعون ألفاً</t>
  </si>
  <si>
    <t xml:space="preserve">ثمانمائة وأربعة وسبعون مليوناً</t>
  </si>
  <si>
    <t xml:space="preserve">ثمانمائة وأربعة وسبعون هللة</t>
  </si>
  <si>
    <t xml:space="preserve">ثمانمائة وخمسة وسبعون</t>
  </si>
  <si>
    <t xml:space="preserve">ثمانمائة وخمسة وسبعون ألفاً</t>
  </si>
  <si>
    <t xml:space="preserve">ثمانمائة وخمسة وسبعون مليوناً</t>
  </si>
  <si>
    <t xml:space="preserve">ثمانمائة وخمسة وسبعون هللة</t>
  </si>
  <si>
    <t xml:space="preserve">ثمانمائة وستة وسبعون</t>
  </si>
  <si>
    <t xml:space="preserve">ثمانمائة وستة وسبعون ألفاً</t>
  </si>
  <si>
    <t xml:space="preserve">ثمانمائة وستة وسبعون مليوناً</t>
  </si>
  <si>
    <t xml:space="preserve">ثمانمائة وستة وسبعون هللة</t>
  </si>
  <si>
    <t xml:space="preserve">ثمانمائة وسبعة وسبعون</t>
  </si>
  <si>
    <t xml:space="preserve">ثمانمائة وسبعة وسبعون ألفاً</t>
  </si>
  <si>
    <t xml:space="preserve">ثمانمائة وسبعة وسبعون مليوناً</t>
  </si>
  <si>
    <t xml:space="preserve">ثمانمائة وسبعة وسبعون هللة</t>
  </si>
  <si>
    <t xml:space="preserve">ثمانمائة وثمانية وسبعون</t>
  </si>
  <si>
    <t xml:space="preserve">ثمانمائة وثمانية وسبعون ألفاً</t>
  </si>
  <si>
    <t xml:space="preserve">ثمانمائة وثمانية وسبعون مليوناً</t>
  </si>
  <si>
    <t xml:space="preserve">ثمانمائة وثمانية وسبعون هللة</t>
  </si>
  <si>
    <t xml:space="preserve">ثمانمائة وتسعة وسبعون</t>
  </si>
  <si>
    <t xml:space="preserve">ثمانمائة وتسعة وسبعون ألفاً</t>
  </si>
  <si>
    <t xml:space="preserve">ثمانمائة وتسعة وسبعون مليوناً</t>
  </si>
  <si>
    <t xml:space="preserve">ثمانمائة وتسعة وسبعون هللة</t>
  </si>
  <si>
    <t xml:space="preserve">ثمانمائة وثمانون</t>
  </si>
  <si>
    <t xml:space="preserve">ثمانمائة وثمانون ألفاً</t>
  </si>
  <si>
    <t xml:space="preserve">ثمانمائة وثمانون مليوناً</t>
  </si>
  <si>
    <t xml:space="preserve">ثمانمائة وثمانون هللة</t>
  </si>
  <si>
    <t xml:space="preserve">ثمانمائة وواحد وثمانون</t>
  </si>
  <si>
    <t xml:space="preserve">ثمانمائة وواحد وثمانون ألفاً</t>
  </si>
  <si>
    <t xml:space="preserve">ثمانمائة وواحد وثمانون مليوناً</t>
  </si>
  <si>
    <t xml:space="preserve">ثمانمائة وواحد وثمانون هللة</t>
  </si>
  <si>
    <t xml:space="preserve">ثمانمائة واثنان وثمانون</t>
  </si>
  <si>
    <t xml:space="preserve">ثمانمائة واثنان وثمانون ألفاً</t>
  </si>
  <si>
    <t xml:space="preserve">ثمانمائة واثنان وثمانون مليوناً</t>
  </si>
  <si>
    <t xml:space="preserve">ثمانمائة واثنان وثمانون هللة</t>
  </si>
  <si>
    <t xml:space="preserve">ثمانمائة وثلاثة وثمانون</t>
  </si>
  <si>
    <t xml:space="preserve">ثمانمائة وثلاثة وثمانون ألفاً</t>
  </si>
  <si>
    <t xml:space="preserve">ثمانمائة وثلاثة وثمانون مليوناً</t>
  </si>
  <si>
    <t xml:space="preserve">ثمانمائة وثلاثة وثمانون هللة</t>
  </si>
  <si>
    <t xml:space="preserve">ثمانمائة وأربعة وثمانون</t>
  </si>
  <si>
    <t xml:space="preserve">ثمانمائة وأربعة وثمانون ألفاً</t>
  </si>
  <si>
    <t xml:space="preserve">ثمانمائة وأربعة وثمانون مليوناً</t>
  </si>
  <si>
    <t xml:space="preserve">ثمانمائة وأربعة وثمانون هللة</t>
  </si>
  <si>
    <t xml:space="preserve">ثمانمائة وخمسة وثمانون</t>
  </si>
  <si>
    <t xml:space="preserve">ثمانمائة وخمسة وثمانون ألفاً</t>
  </si>
  <si>
    <t xml:space="preserve">ثمانمائة وخمسة وثمانون مليوناً</t>
  </si>
  <si>
    <t xml:space="preserve">ثمانمائة وخمسة وثمانون هللة</t>
  </si>
  <si>
    <t xml:space="preserve">ثمانمائة وستة وثمانون</t>
  </si>
  <si>
    <t xml:space="preserve">ثمانمائة وستة وثمانون ألفاً</t>
  </si>
  <si>
    <t xml:space="preserve">ثمانمائة وستة وثمانون مليوناً</t>
  </si>
  <si>
    <t xml:space="preserve">ثمانمائة وستة وثمانون هللة</t>
  </si>
  <si>
    <t xml:space="preserve">ثمانمائة وسبعة وثمانون</t>
  </si>
  <si>
    <t xml:space="preserve">ثمانمائة وسبعة وثمانون ألفاً</t>
  </si>
  <si>
    <t xml:space="preserve">ثمانمائة وسبعة وثمانون مليوناً</t>
  </si>
  <si>
    <t xml:space="preserve">ثمانمائة وسبعة وثمانون هللة</t>
  </si>
  <si>
    <t xml:space="preserve">ثمانمائة وثمانية وثمانون</t>
  </si>
  <si>
    <t xml:space="preserve">ثمانمائة وثمانية وثمانون ألفاً</t>
  </si>
  <si>
    <t xml:space="preserve">ثمانمائة وثمانية وثمانون مليوناً</t>
  </si>
  <si>
    <t xml:space="preserve">ثمانمائة وثمانية وثمانون هللة</t>
  </si>
  <si>
    <t xml:space="preserve">ثمانمائة وتسعة وثمانون</t>
  </si>
  <si>
    <t xml:space="preserve">ثمانمائة وتسعة وثمانون ألفاً</t>
  </si>
  <si>
    <t xml:space="preserve">ثمانمائة وتسعة وثمانون مليوناً</t>
  </si>
  <si>
    <t xml:space="preserve">ثمانمائة وتسعة وثمانون هللة</t>
  </si>
  <si>
    <t xml:space="preserve">ثمانمائة وتسعون</t>
  </si>
  <si>
    <t xml:space="preserve">ثمانمائة وتسعون ألفاً</t>
  </si>
  <si>
    <t xml:space="preserve">ثمانمائة وتسعون مليوناً</t>
  </si>
  <si>
    <t xml:space="preserve">ثمانمائة وتسعون هللة</t>
  </si>
  <si>
    <t xml:space="preserve">ثمانمائة وواحد وتسعون</t>
  </si>
  <si>
    <t xml:space="preserve">ثمانمائة وواحد وتسعون ألفاً</t>
  </si>
  <si>
    <t xml:space="preserve">ثمانمائة وواحد وتسعون مليوناً</t>
  </si>
  <si>
    <t xml:space="preserve">ثمانمائة وواحد وتسعون هللة</t>
  </si>
  <si>
    <t xml:space="preserve">ثمانمائة واثنان وتسعون</t>
  </si>
  <si>
    <t xml:space="preserve">ثمانمائة واثنان وتسعون ألفاً</t>
  </si>
  <si>
    <t xml:space="preserve">ثمانمائة واثنان وتسعون مليوناً</t>
  </si>
  <si>
    <t xml:space="preserve">ثمانمائة واثنان وتسعون هللة</t>
  </si>
  <si>
    <t xml:space="preserve">ثمانمائة وثلاثة وتسعون</t>
  </si>
  <si>
    <t xml:space="preserve">ثمانمائة وثلاثة وتسعون ألفاً</t>
  </si>
  <si>
    <t xml:space="preserve">ثمانمائة وثلاثة وتسعون مليوناً</t>
  </si>
  <si>
    <t xml:space="preserve">ثمانمائة وثلاثة وتسعون هللة</t>
  </si>
  <si>
    <t xml:space="preserve">ثمانمائة وأربعة وتسعون</t>
  </si>
  <si>
    <t xml:space="preserve">ثمانمائة وأربعة وتسعون ألفاً</t>
  </si>
  <si>
    <t xml:space="preserve">ثمانمائة وأربعة وتسعون مليوناً</t>
  </si>
  <si>
    <t xml:space="preserve">ثمانمائة وأربعة وتسعون هللة</t>
  </si>
  <si>
    <t xml:space="preserve">ثمانمائة وخمسة وتسعون</t>
  </si>
  <si>
    <t xml:space="preserve">ثمانمائة وخمسة وتسعون ألفاً</t>
  </si>
  <si>
    <t xml:space="preserve">ثمانمائة وخمسة وتسعون مليوناً</t>
  </si>
  <si>
    <t xml:space="preserve">ثمانمائة وخمسة وتسعون هللة</t>
  </si>
  <si>
    <t xml:space="preserve">ثمانمائة وستة وتسعون</t>
  </si>
  <si>
    <t xml:space="preserve">ثمانمائة وستة وتسعون ألفاً</t>
  </si>
  <si>
    <t xml:space="preserve">ثمانمائة وستة وتسعون مليوناً</t>
  </si>
  <si>
    <t xml:space="preserve">ثمانمائة وستة وتسعون هللة</t>
  </si>
  <si>
    <t xml:space="preserve">ثمانمائة وسبعة وتسعون</t>
  </si>
  <si>
    <t xml:space="preserve">ثمانمائة وسبعة وتسعون ألفاً</t>
  </si>
  <si>
    <t xml:space="preserve">ثمانمائة وسبعة وتسعون مليوناً</t>
  </si>
  <si>
    <t xml:space="preserve">ثمانمائة وسبعة وتسعون هللة</t>
  </si>
  <si>
    <t xml:space="preserve">ثمانمائة وثمانية وتسعون</t>
  </si>
  <si>
    <t xml:space="preserve">ثمانمائة وثمانية وتسعون ألفاً</t>
  </si>
  <si>
    <t xml:space="preserve">ثمانمائة وثمانية وتسعون مليوناً</t>
  </si>
  <si>
    <t xml:space="preserve">ثمانمائة وثمانية وتسعون هللة</t>
  </si>
  <si>
    <t xml:space="preserve">ثمانمائة وتسعة وتسعون</t>
  </si>
  <si>
    <t xml:space="preserve">ثمانمائة وتسعة وتسعون ألفاً</t>
  </si>
  <si>
    <t xml:space="preserve">ثمانمائة وتسعة وتسعون مليوناً</t>
  </si>
  <si>
    <t xml:space="preserve">ثمانمائة وتسعة وتسعون هللة</t>
  </si>
  <si>
    <t xml:space="preserve">تسعمائة</t>
  </si>
  <si>
    <t xml:space="preserve">تسعمائة ألف</t>
  </si>
  <si>
    <t xml:space="preserve">تسعمائة مليون</t>
  </si>
  <si>
    <t xml:space="preserve">تسعمائة هللة</t>
  </si>
  <si>
    <t xml:space="preserve">تسعمائة وواحد</t>
  </si>
  <si>
    <t xml:space="preserve">تسعمائة وواحد ألف</t>
  </si>
  <si>
    <t xml:space="preserve">تسعمائة وواحد مليون</t>
  </si>
  <si>
    <t xml:space="preserve">تسعمائة وواحد هللة</t>
  </si>
  <si>
    <t xml:space="preserve">تسعمائة واثنان</t>
  </si>
  <si>
    <t xml:space="preserve">تسعمائة واثنان ألف</t>
  </si>
  <si>
    <t xml:space="preserve">تسعمائة واثنان مليون</t>
  </si>
  <si>
    <t xml:space="preserve">تسعمائة واثنان هللة</t>
  </si>
  <si>
    <t xml:space="preserve">تسعمائة وثلاثة</t>
  </si>
  <si>
    <t xml:space="preserve">تسعمائة وثلاثة آلاف</t>
  </si>
  <si>
    <t xml:space="preserve">تسعمائة وثلاثة ملايين</t>
  </si>
  <si>
    <t xml:space="preserve">تسعمائة وثلاثة هللات</t>
  </si>
  <si>
    <t xml:space="preserve">تسعمائة وأربعة</t>
  </si>
  <si>
    <t xml:space="preserve">تسعمائة وأربعة آلاف</t>
  </si>
  <si>
    <t xml:space="preserve">تسعمائة وأربعة ملايين</t>
  </si>
  <si>
    <t xml:space="preserve">تسعمائة وأربعة هللات</t>
  </si>
  <si>
    <t xml:space="preserve">تسعمائة وخمسة</t>
  </si>
  <si>
    <t xml:space="preserve">تسعمائة وخمسة آلاف</t>
  </si>
  <si>
    <t xml:space="preserve">تسعمائة وخمسة ملايين</t>
  </si>
  <si>
    <t xml:space="preserve">تسعمائة وخمسة هللات</t>
  </si>
  <si>
    <t xml:space="preserve">تسعمائة وستة</t>
  </si>
  <si>
    <t xml:space="preserve">تسعمائة وستة آلاف</t>
  </si>
  <si>
    <t xml:space="preserve">تسعمائة وستة ملايين</t>
  </si>
  <si>
    <t xml:space="preserve">تسعمائة وستة هللات</t>
  </si>
  <si>
    <t xml:space="preserve">تسعمائة وسبعة</t>
  </si>
  <si>
    <t xml:space="preserve">تسعمائة وسبعة آلاف</t>
  </si>
  <si>
    <t xml:space="preserve">تسعمائة وسبعة ملايين</t>
  </si>
  <si>
    <t xml:space="preserve">تسعمائة وسبعة هللات</t>
  </si>
  <si>
    <t xml:space="preserve">تسعمائة وثمانية</t>
  </si>
  <si>
    <t xml:space="preserve">تسعمائة وثمانية آلاف</t>
  </si>
  <si>
    <t xml:space="preserve">تسعمائة وثمانية ملايين</t>
  </si>
  <si>
    <t xml:space="preserve">تسعمائة وثمانية هللات</t>
  </si>
  <si>
    <t xml:space="preserve">تسعمائة وتسعة</t>
  </si>
  <si>
    <t xml:space="preserve">تسعمائة وتسعة آلاف</t>
  </si>
  <si>
    <t xml:space="preserve">تسعمائة وتسعة ملايين</t>
  </si>
  <si>
    <t xml:space="preserve">تسعمائة وتسعة هللات</t>
  </si>
  <si>
    <t xml:space="preserve">تسعمائة وعشرة</t>
  </si>
  <si>
    <t xml:space="preserve">تسعمائة وعشرة آلاف</t>
  </si>
  <si>
    <t xml:space="preserve">تسعمائة وعشرة ملايين</t>
  </si>
  <si>
    <t xml:space="preserve">تسعمائة وعشرة هللات</t>
  </si>
  <si>
    <t xml:space="preserve">تسعمائة وأحد عشر</t>
  </si>
  <si>
    <t xml:space="preserve">تسعمائة وأحد عشر ألفاً</t>
  </si>
  <si>
    <t xml:space="preserve">تسعمائة وأحد عشر مليوناً</t>
  </si>
  <si>
    <t xml:space="preserve">تسعمائة وأحد عشر هللة</t>
  </si>
  <si>
    <t xml:space="preserve">تسعمائة واثنا عشر</t>
  </si>
  <si>
    <t xml:space="preserve">تسعمائة واثنا عشر ألفاً</t>
  </si>
  <si>
    <t xml:space="preserve">تسعمائة واثنا عشر مليوناً</t>
  </si>
  <si>
    <t xml:space="preserve">تسعمائة واثنا عشر هللة</t>
  </si>
  <si>
    <t xml:space="preserve">تسعمائة وثلاثة عشر</t>
  </si>
  <si>
    <t xml:space="preserve">تسعمائة وثلاثة عشر ألفاً</t>
  </si>
  <si>
    <t xml:space="preserve">تسعمائة وثلاثة عشر مليوناً</t>
  </si>
  <si>
    <t xml:space="preserve">تسعمائة وثلاثة عشر هللة</t>
  </si>
  <si>
    <t xml:space="preserve">تسعمائة وأربعة عشر</t>
  </si>
  <si>
    <t xml:space="preserve">تسعمائة وأربعة عشر ألفاً</t>
  </si>
  <si>
    <t xml:space="preserve">تسعمائة وأربعة عشر مليوناً</t>
  </si>
  <si>
    <t xml:space="preserve">تسعمائة وأربعة عشر هللة</t>
  </si>
  <si>
    <t xml:space="preserve">تسعمائة وخمسة عشر</t>
  </si>
  <si>
    <t xml:space="preserve">تسعمائة وخمسة عشر ألفاً</t>
  </si>
  <si>
    <t xml:space="preserve">تسعمائة وخمسة عشر مليوناً</t>
  </si>
  <si>
    <t xml:space="preserve">تسعمائة وخمسة عشر هللة</t>
  </si>
  <si>
    <t xml:space="preserve">تسعمائة وستة عشر</t>
  </si>
  <si>
    <t xml:space="preserve">تسعمائة وستة عشر ألفاً</t>
  </si>
  <si>
    <t xml:space="preserve">تسعمائة وستة عشر مليوناً</t>
  </si>
  <si>
    <t xml:space="preserve">تسعمائة وستة عشر هللة</t>
  </si>
  <si>
    <t xml:space="preserve">تسعمائة وسبعة عشر</t>
  </si>
  <si>
    <t xml:space="preserve">تسعمائة وسبعة عشر ألفاً</t>
  </si>
  <si>
    <t xml:space="preserve">تسعمائة وسبعة عشر مليوناً</t>
  </si>
  <si>
    <t xml:space="preserve">تسعمائة وسبعة عشر هللة</t>
  </si>
  <si>
    <t xml:space="preserve">تسعمائة وثمانية عشر</t>
  </si>
  <si>
    <t xml:space="preserve">تسعمائة وثمانية عشر ألفاً</t>
  </si>
  <si>
    <t xml:space="preserve">تسعمائة وثمانية عشر مليوناً</t>
  </si>
  <si>
    <t xml:space="preserve">تسعمائة وثمانية عشر هللة</t>
  </si>
  <si>
    <t xml:space="preserve">تسعمائة وتسعة عشر</t>
  </si>
  <si>
    <t xml:space="preserve">تسعمائة وتسعة عشر ألفاً</t>
  </si>
  <si>
    <t xml:space="preserve">تسعمائة وتسعة عشر مليوناً</t>
  </si>
  <si>
    <t xml:space="preserve">تسعمائة وتسعة عشر هللة</t>
  </si>
  <si>
    <t xml:space="preserve">تسعمائة وعشرون</t>
  </si>
  <si>
    <t xml:space="preserve">تسعمائة وعشرون ألفاً</t>
  </si>
  <si>
    <t xml:space="preserve">تسعمائة وعشرون مليوناً</t>
  </si>
  <si>
    <t xml:space="preserve">تسعمائة وعشرون هللة</t>
  </si>
  <si>
    <t xml:space="preserve">تسعمائة وواحد وعشرون</t>
  </si>
  <si>
    <t xml:space="preserve">تسعمائة وواحد وعشرون ألفاً</t>
  </si>
  <si>
    <t xml:space="preserve">تسعمائة وواحد وعشرون مليوناً</t>
  </si>
  <si>
    <t xml:space="preserve">تسعمائة وواحد وعشرون هللة</t>
  </si>
  <si>
    <t xml:space="preserve">تسعمائة واثنان وعشرون</t>
  </si>
  <si>
    <t xml:space="preserve">تسعمائة واثنان وعشرون ألفاً</t>
  </si>
  <si>
    <t xml:space="preserve">تسعمائة واثنان وعشرون مليوناً</t>
  </si>
  <si>
    <t xml:space="preserve">تسعمائة واثنان وعشرون هللة</t>
  </si>
  <si>
    <t xml:space="preserve">تسعمائة وثلاثة وعشرون</t>
  </si>
  <si>
    <t xml:space="preserve">تسعمائة وثلاثة وعشرون ألفاً</t>
  </si>
  <si>
    <t xml:space="preserve">تسعمائة وثلاثة وعشرون مليوناً</t>
  </si>
  <si>
    <t xml:space="preserve">تسعمائة وثلاثة وعشرون هللة</t>
  </si>
  <si>
    <t xml:space="preserve">تسعمائة وأربعة وعشرون</t>
  </si>
  <si>
    <t xml:space="preserve">تسعمائة وأربعة وعشرون ألفاً</t>
  </si>
  <si>
    <t xml:space="preserve">تسعمائة وأربعة وعشرون مليوناً</t>
  </si>
  <si>
    <t xml:space="preserve">تسعمائة وأربعة وعشرون هللة</t>
  </si>
  <si>
    <t xml:space="preserve">تسعمائة وخمسة وعشرون</t>
  </si>
  <si>
    <t xml:space="preserve">تسعمائة وخمسة وعشرون ألفاً</t>
  </si>
  <si>
    <t xml:space="preserve">تسعمائة وخمسة وعشرون مليوناً</t>
  </si>
  <si>
    <t xml:space="preserve">تسعمائة وخمسة وعشرون هللة</t>
  </si>
  <si>
    <t xml:space="preserve">تسعمائة وستة وعشرون</t>
  </si>
  <si>
    <t xml:space="preserve">تسعمائة وستة وعشرون ألفاً</t>
  </si>
  <si>
    <t xml:space="preserve">تسعمائة وستة وعشرون مليوناً</t>
  </si>
  <si>
    <t xml:space="preserve">تسعمائة وستة وعشرون هللة</t>
  </si>
  <si>
    <t xml:space="preserve">تسعمائة وسبعة وعشرون</t>
  </si>
  <si>
    <t xml:space="preserve">تسعمائة وسبعة وعشرون ألفاً</t>
  </si>
  <si>
    <t xml:space="preserve">تسعمائة وسبعة وعشرون مليوناً</t>
  </si>
  <si>
    <t xml:space="preserve">تسعمائة وسبعة وعشرون هللة</t>
  </si>
  <si>
    <t xml:space="preserve">تسعمائة وثمانية وعشرون</t>
  </si>
  <si>
    <t xml:space="preserve">تسعمائة وثمانية وعشرون ألفاً</t>
  </si>
  <si>
    <t xml:space="preserve">تسعمائة وثمانية وعشرون مليوناً</t>
  </si>
  <si>
    <t xml:space="preserve">تسعمائة وثمانية وعشرون هللة</t>
  </si>
  <si>
    <t xml:space="preserve">تسعمائة وتسعة وعشرون</t>
  </si>
  <si>
    <t xml:space="preserve">تسعمائة وتسعة وعشرون ألفاً</t>
  </si>
  <si>
    <t xml:space="preserve">تسعمائة وتسعة وعشرون مليوناً</t>
  </si>
  <si>
    <t xml:space="preserve">تسعمائة وتسعة وعشرون هللة</t>
  </si>
  <si>
    <t xml:space="preserve">تسعمائة وثلاثون</t>
  </si>
  <si>
    <t xml:space="preserve">تسعمائة وثلاثون ألفاً</t>
  </si>
  <si>
    <t xml:space="preserve">تسعمائة وثلاثون مليوناً</t>
  </si>
  <si>
    <t xml:space="preserve">تسعمائة وثلاثون هللة</t>
  </si>
  <si>
    <t xml:space="preserve">تسعمائة وواحد وثلاثون</t>
  </si>
  <si>
    <t xml:space="preserve">تسعمائة وواحد وثلاثون ألفاً</t>
  </si>
  <si>
    <t xml:space="preserve">تسعمائة وواحد وثلاثون مليوناً</t>
  </si>
  <si>
    <t xml:space="preserve">تسعمائة وواحد وثلاثون هللة</t>
  </si>
  <si>
    <t xml:space="preserve">تسعمائة واثنان وثلاثون</t>
  </si>
  <si>
    <t xml:space="preserve">تسعمائة واثنان وثلاثون ألفاً</t>
  </si>
  <si>
    <t xml:space="preserve">تسعمائة واثنان وثلاثون مليوناً</t>
  </si>
  <si>
    <t xml:space="preserve">تسعمائة واثنان وثلاثون هللة</t>
  </si>
  <si>
    <t xml:space="preserve">تسعمائة وثلاثة وثلاثون</t>
  </si>
  <si>
    <t xml:space="preserve">تسعمائة وثلاثة وثلاثون ألفاً</t>
  </si>
  <si>
    <t xml:space="preserve">تسعمائة وثلاثة وثلاثون مليوناً</t>
  </si>
  <si>
    <t xml:space="preserve">تسعمائة وثلاثة وثلاثون هللة</t>
  </si>
  <si>
    <t xml:space="preserve">تسعمائة وأربعة وثلاثون</t>
  </si>
  <si>
    <t xml:space="preserve">تسعمائة وأربعة وثلاثون ألفاً</t>
  </si>
  <si>
    <t xml:space="preserve">تسعمائة وأربعة وثلاثون مليوناً</t>
  </si>
  <si>
    <t xml:space="preserve">تسعمائة وأربعة وثلاثون هللة</t>
  </si>
  <si>
    <t xml:space="preserve">تسعمائة وخمسة وثلاثون</t>
  </si>
  <si>
    <t xml:space="preserve">تسعمائة وخمسة وثلاثون ألفاً</t>
  </si>
  <si>
    <t xml:space="preserve">تسعمائة وخمسة وثلاثون مليوناً</t>
  </si>
  <si>
    <t xml:space="preserve">تسعمائة وخمسة وثلاثون هللة</t>
  </si>
  <si>
    <t xml:space="preserve">تسعمائة وستة وثلاثون</t>
  </si>
  <si>
    <t xml:space="preserve">تسعمائة وستة وثلاثون ألفاً</t>
  </si>
  <si>
    <t xml:space="preserve">تسعمائة وستة وثلاثون مليوناً</t>
  </si>
  <si>
    <t xml:space="preserve">تسعمائة وستة وثلاثون هللة</t>
  </si>
  <si>
    <t xml:space="preserve">تسعمائة وسبعة وثلاثون</t>
  </si>
  <si>
    <t xml:space="preserve">تسعمائة وسبعة وثلاثون ألفاً</t>
  </si>
  <si>
    <t xml:space="preserve">تسعمائة وسبعة وثلاثون مليوناً</t>
  </si>
  <si>
    <t xml:space="preserve">تسعمائة وسبعة وثلاثون هللة</t>
  </si>
  <si>
    <t xml:space="preserve">تسعمائة وثمانية وثلاثون</t>
  </si>
  <si>
    <t xml:space="preserve">تسعمائة وثمانية وثلاثون ألفاً</t>
  </si>
  <si>
    <t xml:space="preserve">تسعمائة وثمانية وثلاثون مليوناً</t>
  </si>
  <si>
    <t xml:space="preserve">تسعمائة وثمانية وثلاثون هللة</t>
  </si>
  <si>
    <t xml:space="preserve">تسعمائة وتسعة وثلاثون</t>
  </si>
  <si>
    <t xml:space="preserve">تسعمائة وتسعة وثلاثون ألفاً</t>
  </si>
  <si>
    <t xml:space="preserve">تسعمائة وتسعة وثلاثون مليوناً</t>
  </si>
  <si>
    <t xml:space="preserve">تسعمائة وتسعة وثلاثون هللة</t>
  </si>
  <si>
    <t xml:space="preserve">تسعمائة وأربعون</t>
  </si>
  <si>
    <t xml:space="preserve">تسعمائة وأربعون ألفاً</t>
  </si>
  <si>
    <t xml:space="preserve">تسعمائة وأربعون مليوناً</t>
  </si>
  <si>
    <t xml:space="preserve">تسعمائة وأربعون هللة</t>
  </si>
  <si>
    <t xml:space="preserve">تسعمائة وواحد وأربعون</t>
  </si>
  <si>
    <t xml:space="preserve">تسعمائة وواحد وأربعون ألفاً</t>
  </si>
  <si>
    <t xml:space="preserve">تسعمائة وواحد وأربعون مليوناً</t>
  </si>
  <si>
    <t xml:space="preserve">تسعمائة وواحد وأربعون هللة</t>
  </si>
  <si>
    <t xml:space="preserve">تسعمائة واثنان وأربعون</t>
  </si>
  <si>
    <t xml:space="preserve">تسعمائة واثنان وأربعون ألفاً</t>
  </si>
  <si>
    <t xml:space="preserve">تسعمائة واثنان وأربعون مليوناً</t>
  </si>
  <si>
    <t xml:space="preserve">تسعمائة واثنان وأربعون هللة</t>
  </si>
  <si>
    <t xml:space="preserve">تسعمائة وثلاثة وأربعون</t>
  </si>
  <si>
    <t xml:space="preserve">تسعمائة وثلاثة وأربعون ألفاً</t>
  </si>
  <si>
    <t xml:space="preserve">تسعمائة وثلاثة وأربعون مليوناً</t>
  </si>
  <si>
    <t xml:space="preserve">تسعمائة وثلاثة وأربعون هللة</t>
  </si>
  <si>
    <t xml:space="preserve">تسعمائة وأربعة وأربعون</t>
  </si>
  <si>
    <t xml:space="preserve">تسعمائة وأربعة وأربعون ألفاً</t>
  </si>
  <si>
    <t xml:space="preserve">تسعمائة وأربعة وأربعون مليوناً</t>
  </si>
  <si>
    <t xml:space="preserve">تسعمائة وأربعة وأربعون هللة</t>
  </si>
  <si>
    <t xml:space="preserve">تسعمائة وخمسة وأربعون</t>
  </si>
  <si>
    <t xml:space="preserve">تسعمائة وخمسة وأربعون ألفاً</t>
  </si>
  <si>
    <t xml:space="preserve">تسعمائة وخمسة وأربعون مليوناً</t>
  </si>
  <si>
    <t xml:space="preserve">تسعمائة وخمسة وأربعون هللة</t>
  </si>
  <si>
    <t xml:space="preserve">تسعمائة وستة وأربعون</t>
  </si>
  <si>
    <t xml:space="preserve">تسعمائة وستة وأربعون ألفاً</t>
  </si>
  <si>
    <t xml:space="preserve">تسعمائة وستة وأربعون مليوناً</t>
  </si>
  <si>
    <t xml:space="preserve">تسعمائة وستة وأربعون هللة</t>
  </si>
  <si>
    <t xml:space="preserve">تسعمائة وسبعة وأربعون</t>
  </si>
  <si>
    <t xml:space="preserve">تسعمائة وسبعة وأربعون ألفاً</t>
  </si>
  <si>
    <t xml:space="preserve">تسعمائة وسبعة وأربعون مليوناً</t>
  </si>
  <si>
    <t xml:space="preserve">تسعمائة وسبعة وأربعون هللة</t>
  </si>
  <si>
    <t xml:space="preserve">تسعمائة وثمانية وأربعون</t>
  </si>
  <si>
    <t xml:space="preserve">تسعمائة وثمانية وأربعون ألفاً</t>
  </si>
  <si>
    <t xml:space="preserve">تسعمائة وثمانية وأربعون مليوناً</t>
  </si>
  <si>
    <t xml:space="preserve">تسعمائة وثمانية وأربعون هللة</t>
  </si>
  <si>
    <t xml:space="preserve">تسعمائة وتسعة وأربعون</t>
  </si>
  <si>
    <t xml:space="preserve">تسعمائة وتسعة وأربعون ألفاً</t>
  </si>
  <si>
    <t xml:space="preserve">تسعمائة وتسعة وأربعون مليوناً</t>
  </si>
  <si>
    <t xml:space="preserve">تسعمائة وتسعة وأربعون هللة</t>
  </si>
  <si>
    <t xml:space="preserve">تسعمائة وخمسون</t>
  </si>
  <si>
    <t xml:space="preserve">تسعمائة وخمسون ألفاً</t>
  </si>
  <si>
    <t xml:space="preserve">تسعمائة وخمسون مليوناً</t>
  </si>
  <si>
    <t xml:space="preserve">تسعمائة وخمسون هللة</t>
  </si>
  <si>
    <t xml:space="preserve">تسعمائة وواحد وخمسون</t>
  </si>
  <si>
    <t xml:space="preserve">تسعمائة وواحد وخمسون ألفاً</t>
  </si>
  <si>
    <t xml:space="preserve">تسعمائة وواحد وخمسون مليوناً</t>
  </si>
  <si>
    <t xml:space="preserve">تسعمائة وواحد وخمسون هللة</t>
  </si>
  <si>
    <t xml:space="preserve">تسعمائة واثنان وخمسون</t>
  </si>
  <si>
    <t xml:space="preserve">تسعمائة واثنان وخمسون ألفاً</t>
  </si>
  <si>
    <t xml:space="preserve">تسعمائة واثنان وخمسون مليوناً</t>
  </si>
  <si>
    <t xml:space="preserve">تسعمائة واثنان وخمسون هللة</t>
  </si>
  <si>
    <t xml:space="preserve">تسعمائة وثلاثة وخمسون</t>
  </si>
  <si>
    <t xml:space="preserve">تسعمائة وثلاثة وخمسون ألفاً</t>
  </si>
  <si>
    <t xml:space="preserve">تسعمائة وثلاثة وخمسون مليوناً</t>
  </si>
  <si>
    <t xml:space="preserve">تسعمائة وثلاثة وخمسون هللة</t>
  </si>
  <si>
    <t xml:space="preserve">تسعمائة وأربعة وخمسون</t>
  </si>
  <si>
    <t xml:space="preserve">تسعمائة وأربعة وخمسون ألفاً</t>
  </si>
  <si>
    <t xml:space="preserve">تسعمائة وأربعة وخمسون مليوناً</t>
  </si>
  <si>
    <t xml:space="preserve">تسعمائة وأربعة وخمسون هللة</t>
  </si>
  <si>
    <t xml:space="preserve">تسعمائة وخمسة وخمسون</t>
  </si>
  <si>
    <t xml:space="preserve">تسعمائة وخمسة وخمسون ألفاً</t>
  </si>
  <si>
    <t xml:space="preserve">تسعمائة وخمسة وخمسون مليوناً</t>
  </si>
  <si>
    <t xml:space="preserve">تسعمائة وخمسة وخمسون هللة</t>
  </si>
  <si>
    <t xml:space="preserve">تسعمائة وستة وخمسون</t>
  </si>
  <si>
    <t xml:space="preserve">تسعمائة وستة وخمسون ألفاً</t>
  </si>
  <si>
    <t xml:space="preserve">تسعمائة وستة وخمسون مليوناً</t>
  </si>
  <si>
    <t xml:space="preserve">تسعمائة وستة وخمسون هللة</t>
  </si>
  <si>
    <t xml:space="preserve">تسعمائة وسبعة وخمسون</t>
  </si>
  <si>
    <t xml:space="preserve">تسعمائة وسبعة وخمسون ألفاً</t>
  </si>
  <si>
    <t xml:space="preserve">تسعمائة وسبعة وخمسون مليوناً</t>
  </si>
  <si>
    <t xml:space="preserve">تسعمائة وسبعة وخمسون هللة</t>
  </si>
  <si>
    <t xml:space="preserve">تسعمائة وثمانية وخمسون</t>
  </si>
  <si>
    <t xml:space="preserve">تسعمائة وثمانية وخمسون ألفاً</t>
  </si>
  <si>
    <t xml:space="preserve">تسعمائة وثمانية وخمسون مليوناً</t>
  </si>
  <si>
    <t xml:space="preserve">تسعمائة وثمانية وخمسون هللة</t>
  </si>
  <si>
    <t xml:space="preserve">تسعمائة وتسعة وخمسون</t>
  </si>
  <si>
    <t xml:space="preserve">تسعمائة وتسعة وخمسون ألفاً</t>
  </si>
  <si>
    <t xml:space="preserve">تسعمائة وتسعة وخمسون مليوناً</t>
  </si>
  <si>
    <t xml:space="preserve">تسعمائة وتسعة وخمسون هللة</t>
  </si>
  <si>
    <t xml:space="preserve">تسعمائة وستون</t>
  </si>
  <si>
    <t xml:space="preserve">تسعمائة وستون ألفاً</t>
  </si>
  <si>
    <t xml:space="preserve">تسعمائة وستون مليوناً</t>
  </si>
  <si>
    <t xml:space="preserve">تسعمائة وستون هللة</t>
  </si>
  <si>
    <t xml:space="preserve">تسعمائة وواحد وستون</t>
  </si>
  <si>
    <t xml:space="preserve">تسعمائة وواحد وستون ألفاً</t>
  </si>
  <si>
    <t xml:space="preserve">تسعمائة وواحد وستون مليوناً</t>
  </si>
  <si>
    <t xml:space="preserve">تسعمائة وواحد وستون هللة</t>
  </si>
  <si>
    <t xml:space="preserve">تسعمائة واثنان وستون</t>
  </si>
  <si>
    <t xml:space="preserve">تسعمائة واثنان وستون ألفاً</t>
  </si>
  <si>
    <t xml:space="preserve">تسعمائة واثنان وستون مليوناً</t>
  </si>
  <si>
    <t xml:space="preserve">تسعمائة واثنان وستون هللة</t>
  </si>
  <si>
    <t xml:space="preserve">تسعمائة وثلاثة وستون</t>
  </si>
  <si>
    <t xml:space="preserve">تسعمائة وثلاثة وستون ألفاً</t>
  </si>
  <si>
    <t xml:space="preserve">تسعمائة وثلاثة وستون مليوناً</t>
  </si>
  <si>
    <t xml:space="preserve">تسعمائة وثلاثة وستون هللة</t>
  </si>
  <si>
    <t xml:space="preserve">تسعمائة وأربعة وستون</t>
  </si>
  <si>
    <t xml:space="preserve">تسعمائة وأربعة وستون ألفاً</t>
  </si>
  <si>
    <t xml:space="preserve">تسعمائة وأربعة وستون مليوناً</t>
  </si>
  <si>
    <t xml:space="preserve">تسعمائة وأربعة وستون هللة</t>
  </si>
  <si>
    <t xml:space="preserve">تسعمائة وخمسة وستون</t>
  </si>
  <si>
    <t xml:space="preserve">تسعمائة وخمسة وستون ألفاً</t>
  </si>
  <si>
    <t xml:space="preserve">تسعمائة وخمسة وستون مليوناً</t>
  </si>
  <si>
    <t xml:space="preserve">تسعمائة وخمسة وستون هللة</t>
  </si>
  <si>
    <t xml:space="preserve">تسعمائة وستة وستون</t>
  </si>
  <si>
    <t xml:space="preserve">تسعمائة وستة وستون ألفاً</t>
  </si>
  <si>
    <t xml:space="preserve">تسعمائة وستة وستون مليوناً</t>
  </si>
  <si>
    <t xml:space="preserve">تسعمائة وستة وستون هللة</t>
  </si>
  <si>
    <t xml:space="preserve">تسعمائة وسبعة وستون</t>
  </si>
  <si>
    <t xml:space="preserve">تسعمائة وسبعة وستون ألفاً</t>
  </si>
  <si>
    <t xml:space="preserve">تسعمائة وسبعة وستون مليوناً</t>
  </si>
  <si>
    <t xml:space="preserve">تسعمائة وسبعة وستون هللة</t>
  </si>
  <si>
    <t xml:space="preserve">تسعمائة وثمانية وستون</t>
  </si>
  <si>
    <t xml:space="preserve">تسعمائة وثمانية وستون ألفاً</t>
  </si>
  <si>
    <t xml:space="preserve">تسعمائة وثمانية وستون مليوناً</t>
  </si>
  <si>
    <t xml:space="preserve">تسعمائة وثمانية وستون هللة</t>
  </si>
  <si>
    <t xml:space="preserve">تسعمائة وتسعة وستون</t>
  </si>
  <si>
    <t xml:space="preserve">تسعمائة وتسعة وستون ألفاً</t>
  </si>
  <si>
    <t xml:space="preserve">تسعمائة وتسعة وستون مليوناً</t>
  </si>
  <si>
    <t xml:space="preserve">تسعمائة وتسعة وستون هللة</t>
  </si>
  <si>
    <t xml:space="preserve">تسعمائة وسبعون</t>
  </si>
  <si>
    <t xml:space="preserve">تسعمائة وسبعون ألفاً</t>
  </si>
  <si>
    <t xml:space="preserve">تسعمائة وسبعون مليوناً</t>
  </si>
  <si>
    <t xml:space="preserve">تسعمائة وسبعون هللة</t>
  </si>
  <si>
    <t xml:space="preserve">تسعمائة وواحد وسبعون</t>
  </si>
  <si>
    <t xml:space="preserve">تسعمائة وواحد وسبعون ألفاً</t>
  </si>
  <si>
    <t xml:space="preserve">تسعمائة وواحد وسبعون مليوناً</t>
  </si>
  <si>
    <t xml:space="preserve">تسعمائة وواحد وسبعون هللة</t>
  </si>
  <si>
    <t xml:space="preserve">تسعمائة واثنان وسبعون</t>
  </si>
  <si>
    <t xml:space="preserve">تسعمائة واثنان وسبعون ألفاً</t>
  </si>
  <si>
    <t xml:space="preserve">تسعمائة واثنان وسبعون مليوناً</t>
  </si>
  <si>
    <t xml:space="preserve">تسعمائة واثنان وسبعون هللة</t>
  </si>
  <si>
    <t xml:space="preserve">تسعمائة وثلاثة وسبعون</t>
  </si>
  <si>
    <t xml:space="preserve">تسعمائة وثلاثة وسبعون ألفاً</t>
  </si>
  <si>
    <t xml:space="preserve">تسعمائة وثلاثة وسبعون مليوناً</t>
  </si>
  <si>
    <t xml:space="preserve">تسعمائة وثلاثة وسبعون هللة</t>
  </si>
  <si>
    <t xml:space="preserve">تسعمائة وأربعة وسبعون</t>
  </si>
  <si>
    <t xml:space="preserve">تسعمائة وأربعة وسبعون ألفاً</t>
  </si>
  <si>
    <t xml:space="preserve">تسعمائة وأربعة وسبعون مليوناً</t>
  </si>
  <si>
    <t xml:space="preserve">تسعمائة وأربعة وسبعون هللة</t>
  </si>
  <si>
    <t xml:space="preserve">تسعمائة وخمسة وسبعون</t>
  </si>
  <si>
    <t xml:space="preserve">تسعمائة وخمسة وسبعون ألفاً</t>
  </si>
  <si>
    <t xml:space="preserve">تسعمائة وخمسة وسبعون مليوناً</t>
  </si>
  <si>
    <t xml:space="preserve">تسعمائة وخمسة وسبعون هللة</t>
  </si>
  <si>
    <t xml:space="preserve">تسعمائة وستة وسبعون</t>
  </si>
  <si>
    <t xml:space="preserve">تسعمائة وستة وسبعون ألفاً</t>
  </si>
  <si>
    <t xml:space="preserve">تسعمائة وستة وسبعون مليوناً</t>
  </si>
  <si>
    <t xml:space="preserve">تسعمائة وستة وسبعون هللة</t>
  </si>
  <si>
    <t xml:space="preserve">تسعمائة وسبعة وسبعون</t>
  </si>
  <si>
    <t xml:space="preserve">تسعمائة وسبعة وسبعون ألفاً</t>
  </si>
  <si>
    <t xml:space="preserve">تسعمائة وسبعة وسبعون مليوناً</t>
  </si>
  <si>
    <t xml:space="preserve">تسعمائة وسبعة وسبعون هللة</t>
  </si>
  <si>
    <t xml:space="preserve">تسعمائة وثمانية وسبعون</t>
  </si>
  <si>
    <t xml:space="preserve">تسعمائة وثمانية وسبعون ألفاً</t>
  </si>
  <si>
    <t xml:space="preserve">تسعمائة وثمانية وسبعون مليوناً</t>
  </si>
  <si>
    <t xml:space="preserve">تسعمائة وثمانية وسبعون هللة</t>
  </si>
  <si>
    <t xml:space="preserve">تسعمائة وتسعة وسبعون</t>
  </si>
  <si>
    <t xml:space="preserve">تسعمائة وتسعة وسبعون ألفاً</t>
  </si>
  <si>
    <t xml:space="preserve">تسعمائة وتسعة وسبعون مليوناً</t>
  </si>
  <si>
    <t xml:space="preserve">تسعمائة وتسعة وسبعون هللة</t>
  </si>
  <si>
    <t xml:space="preserve">تسعمائة وثمانون</t>
  </si>
  <si>
    <t xml:space="preserve">تسعمائة وثمانون ألفاً</t>
  </si>
  <si>
    <t xml:space="preserve">تسعمائة وثمانون مليوناً</t>
  </si>
  <si>
    <t xml:space="preserve">تسعمائة وثمانون هللة</t>
  </si>
  <si>
    <t xml:space="preserve">تسعمائة وواحد وثمانون</t>
  </si>
  <si>
    <t xml:space="preserve">تسعمائة وواحد وثمانون ألفاً</t>
  </si>
  <si>
    <t xml:space="preserve">تسعمائة وواحد وثمانون مليوناً</t>
  </si>
  <si>
    <t xml:space="preserve">تسعمائة وواحد وثمانون هللة</t>
  </si>
  <si>
    <t xml:space="preserve">تسعمائة واثنان وثمانون</t>
  </si>
  <si>
    <t xml:space="preserve">تسعمائة واثنان وثمانون ألفاً</t>
  </si>
  <si>
    <t xml:space="preserve">تسعمائة واثنان وثمانون مليوناً</t>
  </si>
  <si>
    <t xml:space="preserve">تسعمائة واثنان وثمانون هللة</t>
  </si>
  <si>
    <t xml:space="preserve">تسعمائة وثلاثة وثمانون</t>
  </si>
  <si>
    <t xml:space="preserve">تسعمائة وثلاثة وثمانون ألفاً</t>
  </si>
  <si>
    <t xml:space="preserve">تسعمائة وثلاثة وثمانون مليوناً</t>
  </si>
  <si>
    <t xml:space="preserve">تسعمائة وثلاثة وثمانون هللة</t>
  </si>
  <si>
    <t xml:space="preserve">تسعمائة وأربعة وثمانون</t>
  </si>
  <si>
    <t xml:space="preserve">تسعمائة وأربعة وثمانون ألفاً</t>
  </si>
  <si>
    <t xml:space="preserve">تسعمائة وأربعة وثمانون مليوناً</t>
  </si>
  <si>
    <t xml:space="preserve">تسعمائة وأربعة وثمانون هللة</t>
  </si>
  <si>
    <t xml:space="preserve">تسعمائة وخمسة وثمانون</t>
  </si>
  <si>
    <t xml:space="preserve">تسعمائة وخمسة وثمانون ألفاً</t>
  </si>
  <si>
    <t xml:space="preserve">تسعمائة وخمسة وثمانون مليوناً</t>
  </si>
  <si>
    <t xml:space="preserve">تسعمائة وخمسة وثمانون هللة</t>
  </si>
  <si>
    <t xml:space="preserve">تسعمائة وستة وثمانون</t>
  </si>
  <si>
    <t xml:space="preserve">تسعمائة وستة وثمانون ألفاً</t>
  </si>
  <si>
    <t xml:space="preserve">تسعمائة وستة وثمانون مليوناً</t>
  </si>
  <si>
    <t xml:space="preserve">تسعمائة وستة وثمانون هللة</t>
  </si>
  <si>
    <t xml:space="preserve">تسعمائة وسبعة وثمانون</t>
  </si>
  <si>
    <t xml:space="preserve">تسعمائة وسبعة وثمانون ألفاً</t>
  </si>
  <si>
    <t xml:space="preserve">تسعمائة وسبعة وثمانون مليوناً</t>
  </si>
  <si>
    <t xml:space="preserve">تسعمائة وسبعة وثمانون هللة</t>
  </si>
  <si>
    <t xml:space="preserve">تسعمائة وثمانية وثمانون</t>
  </si>
  <si>
    <t xml:space="preserve">تسعمائة وثمانية وثمانون ألفاً</t>
  </si>
  <si>
    <t xml:space="preserve">تسعمائة وثمانية وثمانون مليوناً</t>
  </si>
  <si>
    <t xml:space="preserve">تسعمائة وثمانية وثمانون هللة</t>
  </si>
  <si>
    <t xml:space="preserve">تسعمائة وتسعة وثمانون</t>
  </si>
  <si>
    <t xml:space="preserve">تسعمائة وتسعة وثمانون ألفاً</t>
  </si>
  <si>
    <t xml:space="preserve">تسعمائة وتسعة وثمانون مليوناً</t>
  </si>
  <si>
    <t xml:space="preserve">تسعمائة وتسعة وثمانون هللة</t>
  </si>
  <si>
    <t xml:space="preserve">تسعمائة وتسعون</t>
  </si>
  <si>
    <t xml:space="preserve">تسعمائة وتسعون ألفاً</t>
  </si>
  <si>
    <t xml:space="preserve">تسعمائة وتسعون مليوناً</t>
  </si>
  <si>
    <t xml:space="preserve">تسعمائة وتسعون هللة</t>
  </si>
  <si>
    <t xml:space="preserve">تسعمائة وواحد وتسعون</t>
  </si>
  <si>
    <t xml:space="preserve">تسعمائة وواحد وتسعون ألفاً</t>
  </si>
  <si>
    <t xml:space="preserve">تسعمائة وواحد وتسعون مليوناً</t>
  </si>
  <si>
    <t xml:space="preserve">تسعمائة وواحد وتسعون هللة</t>
  </si>
  <si>
    <t xml:space="preserve">تسعمائة واثنان وتسعون</t>
  </si>
  <si>
    <t xml:space="preserve">تسعمائة واثنان وتسعون ألفاً</t>
  </si>
  <si>
    <t xml:space="preserve">تسعمائة واثنان وتسعون مليوناً</t>
  </si>
  <si>
    <t xml:space="preserve">تسعمائة واثنان وتسعون هللة</t>
  </si>
  <si>
    <t xml:space="preserve">تسعمائة وثلاثة وتسعون</t>
  </si>
  <si>
    <t xml:space="preserve">تسعمائة وثلاثة وتسعون ألفاً</t>
  </si>
  <si>
    <t xml:space="preserve">تسعمائة وثلاثة وتسعون مليوناً</t>
  </si>
  <si>
    <t xml:space="preserve">تسعمائة وثلاثة وتسعون هللة</t>
  </si>
  <si>
    <t xml:space="preserve">تسعمائة وأربعة وتسعون</t>
  </si>
  <si>
    <t xml:space="preserve">تسعمائة وأربعة وتسعون ألفاً</t>
  </si>
  <si>
    <t xml:space="preserve">تسعمائة وأربعة وتسعون مليوناً</t>
  </si>
  <si>
    <t xml:space="preserve">تسعمائة وأربعة وتسعون هللة</t>
  </si>
  <si>
    <t xml:space="preserve">تسعمائة وخمسة وتسعون</t>
  </si>
  <si>
    <t xml:space="preserve">تسعمائة وخمسة وتسعون ألفاً</t>
  </si>
  <si>
    <t xml:space="preserve">تسعمائة وخمسة وتسعون مليوناً</t>
  </si>
  <si>
    <t xml:space="preserve">تسعمائة وخمسة وتسعون هللة</t>
  </si>
  <si>
    <t xml:space="preserve">تسعمائة وستة وتسعون</t>
  </si>
  <si>
    <t xml:space="preserve">تسعمائة وستة وتسعون ألفاً</t>
  </si>
  <si>
    <t xml:space="preserve">تسعمائة وستة وتسعون مليوناً</t>
  </si>
  <si>
    <t xml:space="preserve">تسعمائة وستة وتسعون هللة</t>
  </si>
  <si>
    <t xml:space="preserve">تسعمائة وسبعة وتسعون</t>
  </si>
  <si>
    <t xml:space="preserve">تسعمائة وسبعة وتسعون ألفاً</t>
  </si>
  <si>
    <t xml:space="preserve">تسعمائة وسبعة وتسعون مليوناً</t>
  </si>
  <si>
    <t xml:space="preserve">تسعمائة وسبعة وتسعون هللة</t>
  </si>
  <si>
    <t xml:space="preserve">تسعمائة وثمانية وتسعون</t>
  </si>
  <si>
    <t xml:space="preserve">تسعمائة وثمانية وتسعون ألفاً</t>
  </si>
  <si>
    <t xml:space="preserve">تسعمائة وثمانية وتسعون مليوناً</t>
  </si>
  <si>
    <t xml:space="preserve">تسعمائة وثمانية وتسعون هللة</t>
  </si>
  <si>
    <t xml:space="preserve">تسعمائة وتسعة وتسعون</t>
  </si>
  <si>
    <t xml:space="preserve">تسعمائة وتسعة وتسعون ألفاً</t>
  </si>
  <si>
    <t xml:space="preserve">تسعمائة وتسعة وتسعون مليوناً</t>
  </si>
  <si>
    <t xml:space="preserve">تسعمائة وتسعة وتسعون هللة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</si>
</sst>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&quot;B2&quot;dd/mm/yyyy&quot;هـ&quot;"/>
    <numFmt numFmtId="167" formatCode="dd/mm/yyyy"/>
    <numFmt numFmtId="168" formatCode="#,##0"/>
    <numFmt numFmtId="169" formatCode="00"/>
    <numFmt numFmtId="170" formatCode="#,##0.00;[RED]\(#,##0.00\);\-"/>
    <numFmt numFmtId="171" formatCode="0"/>
    <numFmt numFmtId="172" formatCode="0;\-0;\-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b val="true"/>
      <i val="true"/>
      <sz val="10"/>
      <color rgb="FF5A67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A6772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4"/>
      <color rgb="FFC62828"/>
      <name val="Arial"/>
      <family val="0"/>
      <charset val="1"/>
    </font>
    <font>
      <i val="true"/>
      <sz val="9"/>
      <color rgb="FF5A6772"/>
      <name val="Arial"/>
      <family val="0"/>
      <charset val="1"/>
    </font>
    <font>
      <b val="true"/>
      <sz val="11"/>
      <color rgb="FF1A4FA0"/>
      <name val="Arial"/>
      <family val="0"/>
      <charset val="1"/>
    </font>
    <font>
      <b val="true"/>
      <sz val="9"/>
      <color rgb="FF5A6772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3"/>
      <color rgb="FFC62828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0"/>
      <color rgb="FF5A6772"/>
      <name val="Arial"/>
      <family val="0"/>
      <charset val="1"/>
    </font>
    <font>
      <b val="true"/>
      <sz val="11"/>
      <color rgb="FF1F29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2"/>
      <color rgb="FF1A4FA0"/>
      <name val="Arial"/>
      <family val="0"/>
      <charset val="1"/>
    </font>
    <font>
      <b val="true"/>
      <sz val="9"/>
      <color rgb="FF1F2933"/>
      <name val="Arial"/>
      <family val="0"/>
      <charset val="1"/>
    </font>
    <font>
      <sz val="11"/>
      <color rgb="FF1A4FA0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8"/>
      <color rgb="FFC62828"/>
      <name val="Arial"/>
      <family val="0"/>
      <charset val="1"/>
    </font>
    <font>
      <sz val="8"/>
      <color rgb="FF5A6772"/>
      <name val="Arial"/>
      <family val="0"/>
      <charset val="1"/>
    </font>
    <font>
      <i val="true"/>
      <sz val="8"/>
      <color rgb="FF5A6772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1A4FA0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12"/>
      <color rgb="FF1A4FA0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6"/>
      <color rgb="FF2E7D7A"/>
      <name val="Arial"/>
      <family val="0"/>
      <charset val="1"/>
    </font>
    <font>
      <b val="true"/>
      <sz val="16"/>
      <color rgb="FF9A6B00"/>
      <name val="Arial"/>
      <family val="0"/>
      <charset val="1"/>
    </font>
    <font>
      <b val="true"/>
      <sz val="16"/>
      <color rgb="FF6A1B9A"/>
      <name val="Arial"/>
      <family val="0"/>
      <charset val="1"/>
    </font>
    <font>
      <b val="true"/>
      <sz val="16"/>
      <color rgb="FFC62828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i val="true"/>
      <sz val="8"/>
      <color rgb="FFC62828"/>
      <name val="Arial"/>
      <family val="0"/>
      <charset val="1"/>
    </font>
    <font>
      <b val="true"/>
      <sz val="11"/>
      <color rgb="FF2E7D7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1F2933"/>
      </patternFill>
    </fill>
    <fill>
      <patternFill patternType="solid">
        <fgColor rgb="FFF5F8FB"/>
        <bgColor rgb="FFF9F9F9"/>
      </patternFill>
    </fill>
    <fill>
      <patternFill patternType="solid">
        <fgColor rgb="FFFFF8E1"/>
        <bgColor rgb="FFFBF3E0"/>
      </patternFill>
    </fill>
    <fill>
      <patternFill patternType="solid">
        <fgColor rgb="FFF2F4F7"/>
        <bgColor rgb="FFF5F8FB"/>
      </patternFill>
    </fill>
    <fill>
      <patternFill patternType="solid">
        <fgColor rgb="FFFBF3E0"/>
        <bgColor rgb="FFFFF8E1"/>
      </patternFill>
    </fill>
    <fill>
      <patternFill patternType="solid">
        <fgColor rgb="FF2E7D7A"/>
        <bgColor rgb="FF2E7D32"/>
      </patternFill>
    </fill>
    <fill>
      <patternFill patternType="solid">
        <fgColor rgb="FF9A6B00"/>
        <bgColor rgb="FFC0504D"/>
      </patternFill>
    </fill>
    <fill>
      <patternFill patternType="solid">
        <fgColor rgb="FFDCEFEE"/>
        <bgColor rgb="FFE8F5E9"/>
      </patternFill>
    </fill>
    <fill>
      <patternFill patternType="solid">
        <fgColor rgb="FF2C5282"/>
        <bgColor rgb="FF1A4FA0"/>
      </patternFill>
    </fill>
    <fill>
      <patternFill patternType="solid">
        <fgColor rgb="FFFFFFFF"/>
        <bgColor rgb="FFF9F9F9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dotted">
        <color rgb="FF7A7A7A"/>
      </bottom>
      <diagonal/>
    </border>
    <border diagonalUp="false" diagonalDown="false">
      <left style="thin"/>
      <right style="thin"/>
      <top/>
      <bottom style="hair">
        <color rgb="FF9AA5B1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dotted">
        <color rgb="FF7A7A7A"/>
      </top>
      <bottom/>
      <diagonal/>
    </border>
    <border diagonalUp="false" diagonalDown="false">
      <left/>
      <right/>
      <top style="thin">
        <color rgb="FF1F3A5F"/>
      </top>
      <bottom/>
      <diagonal/>
    </border>
    <border diagonalUp="false" diagonalDown="false">
      <left/>
      <right/>
      <top style="medium">
        <color rgb="FF1F3A5F"/>
      </top>
      <bottom/>
      <diagonal/>
    </border>
    <border diagonalUp="false" diagonalDown="false">
      <left/>
      <right/>
      <top style="medium">
        <color rgb="FF2E7D7A"/>
      </top>
      <bottom/>
      <diagonal/>
    </border>
    <border diagonalUp="false" diagonalDown="false">
      <left/>
      <right/>
      <top style="medium">
        <color rgb="FF9A6B00"/>
      </top>
      <bottom/>
      <diagonal/>
    </border>
    <border diagonalUp="false" diagonalDown="false">
      <left style="medium">
        <color rgb="FF6A1B9A"/>
      </left>
      <right style="medium">
        <color rgb="FF6A1B9A"/>
      </right>
      <top style="medium">
        <color rgb="FF6A1B9A"/>
      </top>
      <bottom/>
      <diagonal/>
    </border>
    <border diagonalUp="false" diagonalDown="false">
      <left/>
      <right/>
      <top style="medium">
        <color rgb="FFC62828"/>
      </top>
      <bottom/>
      <diagonal/>
    </border>
    <border diagonalUp="false" diagonalDown="false">
      <left/>
      <right/>
      <top/>
      <bottom style="medium">
        <color rgb="FF2E7D7A"/>
      </bottom>
      <diagonal/>
    </border>
    <border diagonalUp="false" diagonalDown="false">
      <left/>
      <right/>
      <top/>
      <bottom style="medium">
        <color rgb="FF9A6B00"/>
      </bottom>
      <diagonal/>
    </border>
    <border diagonalUp="false" diagonalDown="false">
      <left style="medium">
        <color rgb="FF6A1B9A"/>
      </left>
      <right style="medium">
        <color rgb="FF6A1B9A"/>
      </right>
      <top/>
      <bottom style="medium">
        <color rgb="FF6A1B9A"/>
      </bottom>
      <diagonal/>
    </border>
    <border diagonalUp="false" diagonalDown="false">
      <left/>
      <right/>
      <top/>
      <bottom style="medium">
        <color rgb="FFC628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8" fillId="5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9" fillId="0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7" fontId="21" fillId="0" borderId="6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0" borderId="6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8" fillId="0" borderId="7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9" fontId="24" fillId="0" borderId="7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4" fillId="0" borderId="7" xfId="0" applyFont="true" applyBorder="true" applyAlignment="true" applyProtection="false">
      <alignment horizontal="right" vertical="center" textRotation="0" wrapText="false" indent="1" shrinkToFit="true" readingOrder="2"/>
      <protection locked="true" hidden="false"/>
    </xf>
    <xf numFmtId="164" fontId="24" fillId="0" borderId="7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8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9" fontId="24" fillId="0" borderId="8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4" fillId="0" borderId="8" xfId="0" applyFont="true" applyBorder="true" applyAlignment="true" applyProtection="false">
      <alignment horizontal="right" vertical="center" textRotation="0" wrapText="false" indent="1" shrinkToFit="true" readingOrder="2"/>
      <protection locked="true" hidden="false"/>
    </xf>
    <xf numFmtId="164" fontId="24" fillId="0" borderId="8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19" fillId="6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19" fillId="6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6" borderId="9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9" fillId="6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6" fillId="0" borderId="10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27" fillId="0" borderId="1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1" fillId="1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32" fillId="3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33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3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3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24" fillId="3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32" fillId="11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24" fillId="11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11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33" fillId="4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4" fillId="3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7" fillId="11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11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4" fillId="11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 readingOrder="2"/>
      <protection locked="true" hidden="false"/>
    </xf>
    <xf numFmtId="171" fontId="35" fillId="4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11" borderId="1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11" borderId="1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11" borderId="1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11" borderId="1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11" borderId="16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36" fillId="11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37" fillId="11" borderId="17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38" fillId="11" borderId="18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39" fillId="11" borderId="19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40" fillId="11" borderId="2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0" fontId="8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24" fillId="0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2" fontId="24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24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20" fillId="2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71" fontId="20" fillId="2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3" fillId="4" borderId="2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33" fillId="5" borderId="2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43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71" fontId="33" fillId="4" borderId="2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44" fillId="9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4" fillId="11" borderId="2" xfId="0" applyFont="true" applyBorder="true" applyAlignment="true" applyProtection="false">
      <alignment horizontal="right" vertical="center" textRotation="0" wrapText="true" indent="1" shrinkToFit="false" readingOrder="2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b val="1"/>
        <color rgb="FF2E7D32"/>
      </font>
    </dxf>
    <dxf>
      <font>
        <b val="1"/>
        <color rgb="FFC62828"/>
      </font>
      <fill>
        <patternFill>
          <bgColor rgb="FFFDECEA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F5F8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1A4FA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5A6772"/>
          <bgColor rgb="FF000000"/>
        </patternFill>
      </fill>
    </dxf>
    <dxf>
      <font>
        <b val="1"/>
        <color rgb="FF2E7D32"/>
      </font>
      <fill>
        <patternFill>
          <bgColor rgb="FFE8F5E9"/>
        </patternFill>
      </fill>
    </dxf>
    <dxf>
      <font>
        <b val="1"/>
        <color rgb="FF9A6B00"/>
      </font>
      <fill>
        <patternFill>
          <bgColor rgb="FFFBF3E0"/>
        </patternFill>
      </fill>
    </dxf>
    <dxf>
      <font>
        <b val="1"/>
        <color rgb="FFC62828"/>
      </font>
    </dxf>
    <dxf>
      <fill>
        <patternFill patternType="solid">
          <fgColor rgb="FF2E7D7A"/>
          <bgColor rgb="FF000000"/>
        </patternFill>
      </fill>
    </dxf>
    <dxf>
      <fill>
        <patternFill patternType="solid">
          <fgColor rgb="FFC628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9A6B00"/>
      <rgbColor rgb="FF6A1B9A"/>
      <rgbColor rgb="FF008080"/>
      <rgbColor rgb="FFD9D9D9"/>
      <rgbColor rgb="FF7A7A7A"/>
      <rgbColor rgb="FF878787"/>
      <rgbColor rgb="FFC0504D"/>
      <rgbColor rgb="FFFFF8E1"/>
      <rgbColor rgb="FFDCEFEE"/>
      <rgbColor rgb="FF660066"/>
      <rgbColor rgb="FFFF8080"/>
      <rgbColor rgb="FF1A4FA0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4F7"/>
      <rgbColor rgb="FFFBF3E0"/>
      <rgbColor rgb="FFF5F8FB"/>
      <rgbColor rgb="FFF9F9F9"/>
      <rgbColor rgb="FFCC99FF"/>
      <rgbColor rgb="FFFDECEA"/>
      <rgbColor rgb="FF4F81BD"/>
      <rgbColor rgb="FF33CCCC"/>
      <rgbColor rgb="FF99CC00"/>
      <rgbColor rgb="FFFFCC00"/>
      <rgbColor rgb="FFFF9900"/>
      <rgbColor rgb="FFFF6600"/>
      <rgbColor rgb="FF5A6772"/>
      <rgbColor rgb="FF9AA5B1"/>
      <rgbColor rgb="FF1F3A5F"/>
      <rgbColor rgb="FF2E7D7A"/>
      <rgbColor rgb="FF003300"/>
      <rgbColor rgb="FF333300"/>
      <rgbColor rgb="FFC62828"/>
      <rgbColor rgb="FF993366"/>
      <rgbColor rgb="FF2C5282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المدفوعات حسب الشهر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الملخص!H8</c:f>
              <c:strCache>
                <c:ptCount val="1"/>
                <c:pt idx="0">
                  <c:v>المبلغ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الملخص!$F$9:$F$20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الملخص!$H$9:$H$20</c:f>
              <c:numCache>
                <c:formatCode>#,##0.00;[RED]\(#,##0.00\);\-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40500.5</c:v>
                </c:pt>
                <c:pt idx="8">
                  <c:v>4830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079330"/>
        <c:axId val="55034400"/>
      </c:barChart>
      <c:catAx>
        <c:axId val="60793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34400"/>
        <c:crosses val="autoZero"/>
        <c:auto val="1"/>
        <c:lblAlgn val="ctr"/>
        <c:lblOffset val="100"/>
        <c:noMultiLvlLbl val="0"/>
      </c:catAx>
      <c:valAx>
        <c:axId val="55034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93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المدين حسب الفرع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الملخص!C8</c:f>
              <c:strCache>
                <c:ptCount val="1"/>
                <c:pt idx="0">
                  <c:v>مدين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الملخص!$B$9:$B$18</c:f>
              <c:strCache>
                <c:ptCount val="10"/>
                <c:pt idx="0">
                  <c:v>مكة</c:v>
                </c:pt>
                <c:pt idx="1">
                  <c:v>الرياض</c:v>
                </c:pt>
                <c:pt idx="2">
                  <c:v>جدة</c:v>
                </c:pt>
                <c:pt idx="3">
                  <c:v>المدينة المنورة</c:v>
                </c:pt>
                <c:pt idx="4">
                  <c:v>الدمام</c:v>
                </c:pt>
                <c:pt idx="5">
                  <c:v>الطائف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الملخص!$C$9:$C$18</c:f>
              <c:numCache>
                <c:formatCode>#,##0.00;[RED]\(#,##0.00\);\-</c:formatCode>
                <c:ptCount val="10"/>
                <c:pt idx="0">
                  <c:v>28000</c:v>
                </c:pt>
                <c:pt idx="1">
                  <c:v>4830</c:v>
                </c:pt>
                <c:pt idx="2">
                  <c:v>12500.5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62039390"/>
        <c:axId val="47451456"/>
      </c:barChart>
      <c:catAx>
        <c:axId val="620393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51456"/>
        <c:crosses val="autoZero"/>
        <c:auto val="1"/>
        <c:lblAlgn val="ctr"/>
        <c:lblOffset val="100"/>
        <c:noMultiLvlLbl val="0"/>
      </c:catAx>
      <c:valAx>
        <c:axId val="47451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393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-13680</xdr:colOff>
      <xdr:row>12</xdr:row>
      <xdr:rowOff>0</xdr:rowOff>
    </xdr:from>
    <xdr:to>
      <xdr:col>13</xdr:col>
      <xdr:colOff>0</xdr:colOff>
      <xdr:row>27</xdr:row>
      <xdr:rowOff>21960</xdr:rowOff>
    </xdr:to>
    <xdr:graphicFrame>
      <xdr:nvGraphicFramePr>
        <xdr:cNvPr id="0" name="Chart 1"/>
        <xdr:cNvGraphicFramePr/>
      </xdr:nvGraphicFramePr>
      <xdr:xfrm>
        <a:off x="-14996520" y="30002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-61200</xdr:colOff>
      <xdr:row>22</xdr:row>
      <xdr:rowOff>0</xdr:rowOff>
    </xdr:from>
    <xdr:to>
      <xdr:col>4</xdr:col>
      <xdr:colOff>0</xdr:colOff>
      <xdr:row>37</xdr:row>
      <xdr:rowOff>21960</xdr:rowOff>
    </xdr:to>
    <xdr:graphicFrame>
      <xdr:nvGraphicFramePr>
        <xdr:cNvPr id="1" name="Chart 2"/>
        <xdr:cNvGraphicFramePr/>
      </xdr:nvGraphicFramePr>
      <xdr:xfrm>
        <a:off x="-5217480" y="49053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true"/>
  </sheetPr>
  <dimension ref="B1:Q3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6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9" min="6" style="0" width="15"/>
    <col collapsed="false" customWidth="true" hidden="false" outlineLevel="0" max="10" min="10" style="0" width="2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5" min="13" style="0" width="14"/>
    <col collapsed="false" customWidth="true" hidden="true" outlineLevel="0" max="17" min="16" style="0" width="13"/>
  </cols>
  <sheetData>
    <row r="1" customFormat="false" ht="31.5" hidden="false" customHeight="true" outlineLevel="0" collapsed="false">
      <c r="B1" s="1" t="str">
        <f aca="false">CO_AR</f>
        <v>شركة الخطوط المعدنية للمقاولات العامة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" t="str">
        <f aca="false">CO_EN</f>
        <v>Metal Lines General Contracting Co.</v>
      </c>
      <c r="C2" s="2"/>
      <c r="D2" s="2"/>
      <c r="E2" s="2"/>
      <c r="F2" s="2"/>
      <c r="G2" s="2"/>
      <c r="H2" s="2"/>
      <c r="I2" s="2"/>
      <c r="L2" s="3" t="s">
        <v>0</v>
      </c>
      <c r="M2" s="3"/>
      <c r="N2" s="3"/>
    </row>
    <row r="3" customFormat="false" ht="17.35" hidden="false" customHeight="false" outlineLevel="0" collapsed="false">
      <c r="B3" s="4" t="str">
        <f aca="false">DEPT&amp;"  —  "&amp;CITY&amp;"   |   س.ت: "&amp;CR&amp;"   |   الرقم الضريبي: "&amp;VAT</f>
        <v>الإدارة المالية  —  مكة المكرمة   |   س.ت: 4031000000   |   الرقم الضريبي: 300000000000003</v>
      </c>
      <c r="C3" s="4"/>
      <c r="D3" s="4"/>
      <c r="E3" s="4"/>
      <c r="F3" s="4"/>
      <c r="G3" s="4"/>
      <c r="H3" s="4"/>
      <c r="I3" s="4"/>
      <c r="L3" s="5" t="s">
        <v>1</v>
      </c>
      <c r="M3" s="6" t="n">
        <v>1001</v>
      </c>
      <c r="N3" s="7" t="str">
        <f aca="false">IF(M3="","(آخر سند)","")</f>
        <v/>
      </c>
    </row>
    <row r="4" customFormat="false" ht="7.5" hidden="false" customHeight="true" outlineLevel="0" collapsed="false">
      <c r="L4" s="5" t="s">
        <v>2</v>
      </c>
      <c r="M4" s="8" t="s">
        <v>3</v>
      </c>
    </row>
    <row r="5" customFormat="false" ht="24" hidden="false" customHeight="true" outlineLevel="0" collapsed="false">
      <c r="B5" s="9" t="s">
        <v>4</v>
      </c>
      <c r="C5" s="9"/>
      <c r="D5" s="10" t="str">
        <f aca="false">IF(IF($M$6=0,"",INDEX(السندات!$E$5:$E$504,$M$6))="شيك","أمر دفع بشيك",IF(IF($M$6=0,"",INDEX(السندات!$E$5:$E$504,$M$6))="تحويل بنكي","أمر تحويل بنكي","أمر دفع نقدي"))</f>
        <v>أمر دفع نقدي</v>
      </c>
      <c r="E5" s="10"/>
      <c r="F5" s="10"/>
      <c r="G5" s="10"/>
      <c r="H5" s="11" t="str">
        <f aca="false">M4</f>
        <v>الأصل</v>
      </c>
      <c r="I5" s="11"/>
      <c r="L5" s="5" t="s">
        <v>5</v>
      </c>
      <c r="M5" s="12" t="n">
        <f aca="false">IF(M3="",IF(COUNT(السندات!$A$5:$A$504)=0,"",MAX(السندات!$A$5:$A$504)),M3)</f>
        <v>1001</v>
      </c>
    </row>
    <row r="6" customFormat="false" ht="19.5" hidden="false" customHeight="true" outlineLevel="0" collapsed="false">
      <c r="B6" s="13" t="str">
        <f aca="false">IF($M$6=0,"",INDEX(السندات!$B$5:$B$504,$M$6))</f>
        <v>CP-2026-1001</v>
      </c>
      <c r="C6" s="13"/>
      <c r="D6" s="14" t="str">
        <f aca="false">IF(IF($M$6=0,"",INDEX(السندات!$E$5:$E$504,$M$6))="شيك","CHEQUE PAYMENT ORDER",IF(IF($M$6=0,"",INDEX(السندات!$E$5:$E$504,$M$6))="تحويل بنكي","BANK TRANSFER ORDER","CASH PAYMENT ORDER"))</f>
        <v>CASH PAYMENT ORDER</v>
      </c>
      <c r="E6" s="14"/>
      <c r="F6" s="14"/>
      <c r="G6" s="14"/>
      <c r="L6" s="5" t="s">
        <v>6</v>
      </c>
      <c r="M6" s="15" t="n">
        <f aca="false">IFERROR(MATCH(M5,السندات!$A$5:$A$504,0),0)</f>
        <v>1</v>
      </c>
    </row>
    <row r="7" customFormat="false" ht="15" hidden="false" customHeight="false" outlineLevel="0" collapsed="false">
      <c r="L7" s="5" t="s">
        <v>7</v>
      </c>
      <c r="M7" s="15" t="str">
        <f aca="false">IF(M6=0,"-",COUNTIF(السندات!$A$5:$A$504,"&lt;="&amp;M5)&amp;" من "&amp;COUNT(السندات!$A$5:$A$504))</f>
        <v>1 من 3</v>
      </c>
    </row>
    <row r="8" customFormat="false" ht="15" hidden="false" customHeight="false" outlineLevel="0" collapsed="false">
      <c r="B8" s="9" t="s">
        <v>8</v>
      </c>
      <c r="C8" s="9"/>
      <c r="G8" s="16" t="str">
        <f aca="false">CUR&amp;"  "&amp;CUR_EN</f>
        <v>ريال سعودي  S.R</v>
      </c>
      <c r="H8" s="16"/>
      <c r="I8" s="16"/>
    </row>
    <row r="9" customFormat="false" ht="30" hidden="false" customHeight="true" outlineLevel="0" collapsed="false">
      <c r="B9" s="17" t="n">
        <f aca="false">IF($M$6=0,"",INDEX(السندات!$C$5:$C$504,$M$6))</f>
        <v>46249</v>
      </c>
      <c r="C9" s="17"/>
      <c r="D9" s="18" t="str">
        <f aca="false">IF($M$6=0,"⚠ لا توجد سندات — أضف سنداً في ورقة السجل",IF($M$6=0,"",INDEX(السندات!$N$5:$N$504,$M$6)))</f>
        <v>متوازن ✔</v>
      </c>
      <c r="E9" s="18"/>
      <c r="G9" s="19" t="str">
        <f aca="false">IF($M$6=0,"","#   "&amp;TEXT(MAX(IF($M$6=0,"",INDEX(السندات!$J$5:$J$504,$M$6)),IF($M$6=0,"",INDEX(السندات!$K$5:$K$504,$M$6))),"#,##0.00")&amp;"   #")</f>
        <v>#   3,000.00   #</v>
      </c>
      <c r="H9" s="19"/>
      <c r="I9" s="19"/>
      <c r="L9" s="20" t="str">
        <f aca="false">HYPERLINK("#'السندات'!C"&amp;(COUNT(السندات!$A$5:$A$504)+5),"➕ سند جديد (أول صف فارغ في السجل)")</f>
        <v>➕ سند جديد (أول صف فارغ في السجل)</v>
      </c>
    </row>
    <row r="10" customFormat="false" ht="15" hidden="false" customHeight="false" outlineLevel="0" collapsed="false">
      <c r="L10" s="20" t="str">
        <f aca="false">HYPERLINK("#'بنود السندات'!A"&amp;(COUNTA('بنود السندات'!A5:A3004)+5),"➕ إضافة بنود للسند")</f>
        <v>➕ إضافة بنود للسند</v>
      </c>
    </row>
    <row r="11" customFormat="false" ht="24" hidden="false" customHeight="true" outlineLevel="0" collapsed="false">
      <c r="B11" s="21" t="s">
        <v>9</v>
      </c>
      <c r="C11" s="22" t="n">
        <f aca="false">IF($M$6=0,"",INDEX(السندات!$C$5:$C$504,$M$6))</f>
        <v>46249</v>
      </c>
      <c r="D11" s="22"/>
      <c r="E11" s="22"/>
      <c r="F11" s="22"/>
      <c r="G11" s="22"/>
      <c r="H11" s="22"/>
      <c r="I11" s="23" t="s">
        <v>10</v>
      </c>
      <c r="L11" s="24" t="s">
        <v>11</v>
      </c>
    </row>
    <row r="12" customFormat="false" ht="24" hidden="false" customHeight="true" outlineLevel="0" collapsed="false">
      <c r="B12" s="21" t="s">
        <v>12</v>
      </c>
      <c r="C12" s="25" t="str">
        <f aca="false">IF($M$6=0,"",INDEX(السندات!$D$5:$D$504,$M$6))</f>
        <v>حيدر شماع</v>
      </c>
      <c r="D12" s="25"/>
      <c r="E12" s="25"/>
      <c r="F12" s="25"/>
      <c r="G12" s="25"/>
      <c r="H12" s="25"/>
      <c r="I12" s="23" t="s">
        <v>13</v>
      </c>
      <c r="L12" s="26" t="s">
        <v>14</v>
      </c>
    </row>
    <row r="13" customFormat="false" ht="24" hidden="false" customHeight="true" outlineLevel="0" collapsed="false">
      <c r="B13" s="21" t="s">
        <v>15</v>
      </c>
      <c r="C13" s="27" t="str">
        <f aca="false">IF($M$6=0,"",INDEX(السندات!$O$5:$O$504,$M$6))</f>
        <v>فقط ثلاثة آلاف ريال سعودي لا غير</v>
      </c>
      <c r="D13" s="27"/>
      <c r="E13" s="27"/>
      <c r="F13" s="27"/>
      <c r="G13" s="27"/>
      <c r="H13" s="27"/>
      <c r="I13" s="23" t="s">
        <v>16</v>
      </c>
    </row>
    <row r="14" customFormat="false" ht="24" hidden="false" customHeight="true" outlineLevel="0" collapsed="false">
      <c r="B14" s="21" t="s">
        <v>17</v>
      </c>
      <c r="C14" s="25" t="str">
        <f aca="false">IF($M$6=0,"",INDEX(السندات!$G$5:$G$504,$M$6))</f>
        <v>ذمم</v>
      </c>
      <c r="D14" s="25"/>
      <c r="E14" s="25"/>
      <c r="F14" s="25"/>
      <c r="G14" s="25"/>
      <c r="H14" s="25"/>
      <c r="I14" s="23" t="s">
        <v>18</v>
      </c>
      <c r="L14" s="28" t="s">
        <v>19</v>
      </c>
      <c r="M14" s="28"/>
      <c r="N14" s="28"/>
    </row>
    <row r="15" customFormat="false" ht="24" hidden="false" customHeight="true" outlineLevel="0" collapsed="false">
      <c r="B15" s="21" t="s">
        <v>20</v>
      </c>
      <c r="C15" s="25" t="str">
        <f aca="false">IF($M$6=0,"",IF(IF($M$6=0,"",INDEX(السندات!$E$5:$E$504,$M$6))="نقدي","☑","☐")&amp;" نقدي        "&amp;IF(IF($M$6=0,"",INDEX(السندات!$E$5:$E$504,$M$6))="شيك","☑","☐")&amp;" شيك        "&amp;IF(IF($M$6=0,"",INDEX(السندات!$E$5:$E$504,$M$6))="تحويل بنكي","☑","☐")&amp;" تحويل بنكي"&amp;IF(IF($M$6=0,"",INDEX(السندات!$F$5:$F$504,$M$6))="","","        رقم: "&amp;IF($M$6=0,"",INDEX(السندات!$F$5:$F$504,$M$6))))</f>
        <v>☑ نقدي        ☐ شيك        ☐ تحويل بنكي</v>
      </c>
      <c r="D15" s="25"/>
      <c r="E15" s="25"/>
      <c r="F15" s="25"/>
      <c r="G15" s="25"/>
      <c r="H15" s="25"/>
      <c r="I15" s="23" t="s">
        <v>21</v>
      </c>
      <c r="L15" s="28" t="s">
        <v>22</v>
      </c>
      <c r="M15" s="28"/>
      <c r="N15" s="28"/>
    </row>
    <row r="16" customFormat="false" ht="15" hidden="false" customHeight="true" outlineLevel="0" collapsed="false">
      <c r="L16" s="28" t="s">
        <v>23</v>
      </c>
      <c r="M16" s="28"/>
      <c r="N16" s="28"/>
    </row>
    <row r="17" customFormat="false" ht="15" hidden="false" customHeight="true" outlineLevel="0" collapsed="false">
      <c r="B17" s="29" t="s">
        <v>24</v>
      </c>
      <c r="C17" s="29"/>
      <c r="D17" s="29" t="s">
        <v>25</v>
      </c>
      <c r="E17" s="29"/>
      <c r="F17" s="29" t="s">
        <v>26</v>
      </c>
      <c r="G17" s="29"/>
      <c r="H17" s="29"/>
      <c r="I17" s="29" t="s">
        <v>27</v>
      </c>
      <c r="L17" s="28" t="s">
        <v>28</v>
      </c>
      <c r="M17" s="28"/>
      <c r="N17" s="28"/>
    </row>
    <row r="18" customFormat="false" ht="15" hidden="false" customHeight="false" outlineLevel="0" collapsed="false">
      <c r="B18" s="30" t="str">
        <f aca="false">CUR_EN&amp;"  ريال"</f>
        <v>S.R  ريال</v>
      </c>
      <c r="C18" s="30" t="s">
        <v>29</v>
      </c>
      <c r="D18" s="30" t="str">
        <f aca="false">CUR_EN&amp;"  ريال"</f>
        <v>S.R  ريال</v>
      </c>
      <c r="E18" s="30" t="s">
        <v>29</v>
      </c>
      <c r="F18" s="29"/>
      <c r="G18" s="29"/>
      <c r="H18" s="29"/>
      <c r="I18" s="29"/>
    </row>
    <row r="19" customFormat="false" ht="21" hidden="false" customHeight="true" outlineLevel="0" collapsed="false">
      <c r="B19" s="31" t="n">
        <f aca="false">IF(P19=0,"",INT(P19))</f>
        <v>3000</v>
      </c>
      <c r="C19" s="32" t="n">
        <f aca="false">IF(P19=0,"",ROUND(MOD(P19,1)*100,0))</f>
        <v>0</v>
      </c>
      <c r="D19" s="31" t="str">
        <f aca="false">IF(Q19=0,"",INT(Q19))</f>
        <v/>
      </c>
      <c r="E19" s="32" t="str">
        <f aca="false">IF(Q19=0,"",ROUND(MOD(Q19,1)*100,0))</f>
        <v/>
      </c>
      <c r="F19" s="33" t="str">
        <f aca="false">IFERROR(INDEX('بنود السندات'!$E$5:$E$3004,MATCH($M$5&amp;"-"&amp;1,'بنود السندات'!$C$5:$C$3004,0))&amp;"","")</f>
        <v>ذمم حيدر شماع</v>
      </c>
      <c r="G19" s="33"/>
      <c r="H19" s="33"/>
      <c r="I19" s="34" t="str">
        <f aca="false">IFERROR(INDEX('بنود السندات'!$D$5:$D$3004,MATCH($M$5&amp;"-"&amp;1,'بنود السندات'!$C$5:$C$3004,0))&amp;"","")</f>
        <v>مكة</v>
      </c>
      <c r="P19" s="35" t="n">
        <f aca="false">IFERROR(N(INDEX('بنود السندات'!$F$5:$F$3004,MATCH($M$5&amp;"-"&amp;1,'بنود السندات'!$C$5:$C$3004,0))),0)</f>
        <v>3000</v>
      </c>
      <c r="Q19" s="35" t="n">
        <f aca="false">IFERROR(N(INDEX('بنود السندات'!$G$5:$G$3004,MATCH($M$5&amp;"-"&amp;1,'بنود السندات'!$C$5:$C$3004,0))),0)</f>
        <v>0</v>
      </c>
    </row>
    <row r="20" customFormat="false" ht="21" hidden="false" customHeight="true" outlineLevel="0" collapsed="false">
      <c r="B20" s="31" t="str">
        <f aca="false">IF(P20=0,"",INT(P20))</f>
        <v/>
      </c>
      <c r="C20" s="32" t="str">
        <f aca="false">IF(P20=0,"",ROUND(MOD(P20,1)*100,0))</f>
        <v/>
      </c>
      <c r="D20" s="31" t="n">
        <f aca="false">IF(Q20=0,"",INT(Q20))</f>
        <v>3000</v>
      </c>
      <c r="E20" s="32" t="n">
        <f aca="false">IF(Q20=0,"",ROUND(MOD(Q20,1)*100,0))</f>
        <v>0</v>
      </c>
      <c r="F20" s="33" t="str">
        <f aca="false">IFERROR(INDEX('بنود السندات'!$E$5:$E$3004,MATCH($M$5&amp;"-"&amp;2,'بنود السندات'!$C$5:$C$3004,0))&amp;"","")</f>
        <v>الرياض 940</v>
      </c>
      <c r="G20" s="33"/>
      <c r="H20" s="33"/>
      <c r="I20" s="34" t="str">
        <f aca="false">IFERROR(INDEX('بنود السندات'!$D$5:$D$3004,MATCH($M$5&amp;"-"&amp;2,'بنود السندات'!$C$5:$C$3004,0))&amp;"","")</f>
        <v>مكة</v>
      </c>
      <c r="P20" s="35" t="n">
        <f aca="false">IFERROR(N(INDEX('بنود السندات'!$F$5:$F$3004,MATCH($M$5&amp;"-"&amp;2,'بنود السندات'!$C$5:$C$3004,0))),0)</f>
        <v>0</v>
      </c>
      <c r="Q20" s="35" t="n">
        <f aca="false">IFERROR(N(INDEX('بنود السندات'!$G$5:$G$3004,MATCH($M$5&amp;"-"&amp;2,'بنود السندات'!$C$5:$C$3004,0))),0)</f>
        <v>3000</v>
      </c>
    </row>
    <row r="21" customFormat="false" ht="21" hidden="false" customHeight="true" outlineLevel="0" collapsed="false">
      <c r="B21" s="31" t="str">
        <f aca="false">IF(P21=0,"",INT(P21))</f>
        <v/>
      </c>
      <c r="C21" s="32" t="str">
        <f aca="false">IF(P21=0,"",ROUND(MOD(P21,1)*100,0))</f>
        <v/>
      </c>
      <c r="D21" s="31" t="str">
        <f aca="false">IF(Q21=0,"",INT(Q21))</f>
        <v/>
      </c>
      <c r="E21" s="32" t="str">
        <f aca="false">IF(Q21=0,"",ROUND(MOD(Q21,1)*100,0))</f>
        <v/>
      </c>
      <c r="F21" s="33" t="str">
        <f aca="false">IFERROR(INDEX('بنود السندات'!$E$5:$E$3004,MATCH($M$5&amp;"-"&amp;3,'بنود السندات'!$C$5:$C$3004,0))&amp;"","")</f>
        <v/>
      </c>
      <c r="G21" s="33"/>
      <c r="H21" s="33"/>
      <c r="I21" s="34" t="str">
        <f aca="false">IFERROR(INDEX('بنود السندات'!$D$5:$D$3004,MATCH($M$5&amp;"-"&amp;3,'بنود السندات'!$C$5:$C$3004,0))&amp;"","")</f>
        <v/>
      </c>
      <c r="P21" s="35" t="n">
        <f aca="false">IFERROR(N(INDEX('بنود السندات'!$F$5:$F$3004,MATCH($M$5&amp;"-"&amp;3,'بنود السندات'!$C$5:$C$3004,0))),0)</f>
        <v>0</v>
      </c>
      <c r="Q21" s="35" t="n">
        <f aca="false">IFERROR(N(INDEX('بنود السندات'!$G$5:$G$3004,MATCH($M$5&amp;"-"&amp;3,'بنود السندات'!$C$5:$C$3004,0))),0)</f>
        <v>0</v>
      </c>
    </row>
    <row r="22" customFormat="false" ht="21" hidden="false" customHeight="true" outlineLevel="0" collapsed="false">
      <c r="B22" s="31" t="str">
        <f aca="false">IF(P22=0,"",INT(P22))</f>
        <v/>
      </c>
      <c r="C22" s="32" t="str">
        <f aca="false">IF(P22=0,"",ROUND(MOD(P22,1)*100,0))</f>
        <v/>
      </c>
      <c r="D22" s="31" t="str">
        <f aca="false">IF(Q22=0,"",INT(Q22))</f>
        <v/>
      </c>
      <c r="E22" s="32" t="str">
        <f aca="false">IF(Q22=0,"",ROUND(MOD(Q22,1)*100,0))</f>
        <v/>
      </c>
      <c r="F22" s="33" t="str">
        <f aca="false">IFERROR(INDEX('بنود السندات'!$E$5:$E$3004,MATCH($M$5&amp;"-"&amp;4,'بنود السندات'!$C$5:$C$3004,0))&amp;"","")</f>
        <v/>
      </c>
      <c r="G22" s="33"/>
      <c r="H22" s="33"/>
      <c r="I22" s="34" t="str">
        <f aca="false">IFERROR(INDEX('بنود السندات'!$D$5:$D$3004,MATCH($M$5&amp;"-"&amp;4,'بنود السندات'!$C$5:$C$3004,0))&amp;"","")</f>
        <v/>
      </c>
      <c r="P22" s="35" t="n">
        <f aca="false">IFERROR(N(INDEX('بنود السندات'!$F$5:$F$3004,MATCH($M$5&amp;"-"&amp;4,'بنود السندات'!$C$5:$C$3004,0))),0)</f>
        <v>0</v>
      </c>
      <c r="Q22" s="35" t="n">
        <f aca="false">IFERROR(N(INDEX('بنود السندات'!$G$5:$G$3004,MATCH($M$5&amp;"-"&amp;4,'بنود السندات'!$C$5:$C$3004,0))),0)</f>
        <v>0</v>
      </c>
    </row>
    <row r="23" customFormat="false" ht="21" hidden="false" customHeight="true" outlineLevel="0" collapsed="false">
      <c r="B23" s="31" t="str">
        <f aca="false">IF(P23=0,"",INT(P23))</f>
        <v/>
      </c>
      <c r="C23" s="32" t="str">
        <f aca="false">IF(P23=0,"",ROUND(MOD(P23,1)*100,0))</f>
        <v/>
      </c>
      <c r="D23" s="31" t="str">
        <f aca="false">IF(Q23=0,"",INT(Q23))</f>
        <v/>
      </c>
      <c r="E23" s="32" t="str">
        <f aca="false">IF(Q23=0,"",ROUND(MOD(Q23,1)*100,0))</f>
        <v/>
      </c>
      <c r="F23" s="33" t="str">
        <f aca="false">IFERROR(INDEX('بنود السندات'!$E$5:$E$3004,MATCH($M$5&amp;"-"&amp;5,'بنود السندات'!$C$5:$C$3004,0))&amp;"","")</f>
        <v/>
      </c>
      <c r="G23" s="33"/>
      <c r="H23" s="33"/>
      <c r="I23" s="34" t="str">
        <f aca="false">IFERROR(INDEX('بنود السندات'!$D$5:$D$3004,MATCH($M$5&amp;"-"&amp;5,'بنود السندات'!$C$5:$C$3004,0))&amp;"","")</f>
        <v/>
      </c>
      <c r="P23" s="35" t="n">
        <f aca="false">IFERROR(N(INDEX('بنود السندات'!$F$5:$F$3004,MATCH($M$5&amp;"-"&amp;5,'بنود السندات'!$C$5:$C$3004,0))),0)</f>
        <v>0</v>
      </c>
      <c r="Q23" s="35" t="n">
        <f aca="false">IFERROR(N(INDEX('بنود السندات'!$G$5:$G$3004,MATCH($M$5&amp;"-"&amp;5,'بنود السندات'!$C$5:$C$3004,0))),0)</f>
        <v>0</v>
      </c>
    </row>
    <row r="24" customFormat="false" ht="21" hidden="false" customHeight="true" outlineLevel="0" collapsed="false">
      <c r="B24" s="31" t="str">
        <f aca="false">IF(P24=0,"",INT(P24))</f>
        <v/>
      </c>
      <c r="C24" s="32" t="str">
        <f aca="false">IF(P24=0,"",ROUND(MOD(P24,1)*100,0))</f>
        <v/>
      </c>
      <c r="D24" s="31" t="str">
        <f aca="false">IF(Q24=0,"",INT(Q24))</f>
        <v/>
      </c>
      <c r="E24" s="32" t="str">
        <f aca="false">IF(Q24=0,"",ROUND(MOD(Q24,1)*100,0))</f>
        <v/>
      </c>
      <c r="F24" s="33" t="str">
        <f aca="false">IFERROR(INDEX('بنود السندات'!$E$5:$E$3004,MATCH($M$5&amp;"-"&amp;6,'بنود السندات'!$C$5:$C$3004,0))&amp;"","")</f>
        <v/>
      </c>
      <c r="G24" s="33"/>
      <c r="H24" s="33"/>
      <c r="I24" s="34" t="str">
        <f aca="false">IFERROR(INDEX('بنود السندات'!$D$5:$D$3004,MATCH($M$5&amp;"-"&amp;6,'بنود السندات'!$C$5:$C$3004,0))&amp;"","")</f>
        <v/>
      </c>
      <c r="P24" s="35" t="n">
        <f aca="false">IFERROR(N(INDEX('بنود السندات'!$F$5:$F$3004,MATCH($M$5&amp;"-"&amp;6,'بنود السندات'!$C$5:$C$3004,0))),0)</f>
        <v>0</v>
      </c>
      <c r="Q24" s="35" t="n">
        <f aca="false">IFERROR(N(INDEX('بنود السندات'!$G$5:$G$3004,MATCH($M$5&amp;"-"&amp;6,'بنود السندات'!$C$5:$C$3004,0))),0)</f>
        <v>0</v>
      </c>
    </row>
    <row r="25" customFormat="false" ht="21" hidden="false" customHeight="true" outlineLevel="0" collapsed="false">
      <c r="B25" s="31" t="str">
        <f aca="false">IF(P25=0,"",INT(P25))</f>
        <v/>
      </c>
      <c r="C25" s="32" t="str">
        <f aca="false">IF(P25=0,"",ROUND(MOD(P25,1)*100,0))</f>
        <v/>
      </c>
      <c r="D25" s="31" t="str">
        <f aca="false">IF(Q25=0,"",INT(Q25))</f>
        <v/>
      </c>
      <c r="E25" s="32" t="str">
        <f aca="false">IF(Q25=0,"",ROUND(MOD(Q25,1)*100,0))</f>
        <v/>
      </c>
      <c r="F25" s="33" t="str">
        <f aca="false">IFERROR(INDEX('بنود السندات'!$E$5:$E$3004,MATCH($M$5&amp;"-"&amp;7,'بنود السندات'!$C$5:$C$3004,0))&amp;"","")</f>
        <v/>
      </c>
      <c r="G25" s="33"/>
      <c r="H25" s="33"/>
      <c r="I25" s="34" t="str">
        <f aca="false">IFERROR(INDEX('بنود السندات'!$D$5:$D$3004,MATCH($M$5&amp;"-"&amp;7,'بنود السندات'!$C$5:$C$3004,0))&amp;"","")</f>
        <v/>
      </c>
      <c r="P25" s="35" t="n">
        <f aca="false">IFERROR(N(INDEX('بنود السندات'!$F$5:$F$3004,MATCH($M$5&amp;"-"&amp;7,'بنود السندات'!$C$5:$C$3004,0))),0)</f>
        <v>0</v>
      </c>
      <c r="Q25" s="35" t="n">
        <f aca="false">IFERROR(N(INDEX('بنود السندات'!$G$5:$G$3004,MATCH($M$5&amp;"-"&amp;7,'بنود السندات'!$C$5:$C$3004,0))),0)</f>
        <v>0</v>
      </c>
    </row>
    <row r="26" customFormat="false" ht="21" hidden="false" customHeight="true" outlineLevel="0" collapsed="false">
      <c r="B26" s="31" t="str">
        <f aca="false">IF(P26=0,"",INT(P26))</f>
        <v/>
      </c>
      <c r="C26" s="32" t="str">
        <f aca="false">IF(P26=0,"",ROUND(MOD(P26,1)*100,0))</f>
        <v/>
      </c>
      <c r="D26" s="31" t="str">
        <f aca="false">IF(Q26=0,"",INT(Q26))</f>
        <v/>
      </c>
      <c r="E26" s="32" t="str">
        <f aca="false">IF(Q26=0,"",ROUND(MOD(Q26,1)*100,0))</f>
        <v/>
      </c>
      <c r="F26" s="33" t="str">
        <f aca="false">IFERROR(INDEX('بنود السندات'!$E$5:$E$3004,MATCH($M$5&amp;"-"&amp;8,'بنود السندات'!$C$5:$C$3004,0))&amp;"","")</f>
        <v/>
      </c>
      <c r="G26" s="33"/>
      <c r="H26" s="33"/>
      <c r="I26" s="34" t="str">
        <f aca="false">IFERROR(INDEX('بنود السندات'!$D$5:$D$3004,MATCH($M$5&amp;"-"&amp;8,'بنود السندات'!$C$5:$C$3004,0))&amp;"","")</f>
        <v/>
      </c>
      <c r="P26" s="35" t="n">
        <f aca="false">IFERROR(N(INDEX('بنود السندات'!$F$5:$F$3004,MATCH($M$5&amp;"-"&amp;8,'بنود السندات'!$C$5:$C$3004,0))),0)</f>
        <v>0</v>
      </c>
      <c r="Q26" s="35" t="n">
        <f aca="false">IFERROR(N(INDEX('بنود السندات'!$G$5:$G$3004,MATCH($M$5&amp;"-"&amp;8,'بنود السندات'!$C$5:$C$3004,0))),0)</f>
        <v>0</v>
      </c>
    </row>
    <row r="27" customFormat="false" ht="21" hidden="false" customHeight="true" outlineLevel="0" collapsed="false">
      <c r="B27" s="31" t="str">
        <f aca="false">IF(P27=0,"",INT(P27))</f>
        <v/>
      </c>
      <c r="C27" s="32" t="str">
        <f aca="false">IF(P27=0,"",ROUND(MOD(P27,1)*100,0))</f>
        <v/>
      </c>
      <c r="D27" s="31" t="str">
        <f aca="false">IF(Q27=0,"",INT(Q27))</f>
        <v/>
      </c>
      <c r="E27" s="32" t="str">
        <f aca="false">IF(Q27=0,"",ROUND(MOD(Q27,1)*100,0))</f>
        <v/>
      </c>
      <c r="F27" s="33" t="str">
        <f aca="false">IFERROR(INDEX('بنود السندات'!$E$5:$E$3004,MATCH($M$5&amp;"-"&amp;9,'بنود السندات'!$C$5:$C$3004,0))&amp;"","")</f>
        <v/>
      </c>
      <c r="G27" s="33"/>
      <c r="H27" s="33"/>
      <c r="I27" s="34" t="str">
        <f aca="false">IFERROR(INDEX('بنود السندات'!$D$5:$D$3004,MATCH($M$5&amp;"-"&amp;9,'بنود السندات'!$C$5:$C$3004,0))&amp;"","")</f>
        <v/>
      </c>
      <c r="P27" s="35" t="n">
        <f aca="false">IFERROR(N(INDEX('بنود السندات'!$F$5:$F$3004,MATCH($M$5&amp;"-"&amp;9,'بنود السندات'!$C$5:$C$3004,0))),0)</f>
        <v>0</v>
      </c>
      <c r="Q27" s="35" t="n">
        <f aca="false">IFERROR(N(INDEX('بنود السندات'!$G$5:$G$3004,MATCH($M$5&amp;"-"&amp;9,'بنود السندات'!$C$5:$C$3004,0))),0)</f>
        <v>0</v>
      </c>
    </row>
    <row r="28" customFormat="false" ht="21" hidden="false" customHeight="true" outlineLevel="0" collapsed="false">
      <c r="B28" s="31" t="str">
        <f aca="false">IF(P28=0,"",INT(P28))</f>
        <v/>
      </c>
      <c r="C28" s="32" t="str">
        <f aca="false">IF(P28=0,"",ROUND(MOD(P28,1)*100,0))</f>
        <v/>
      </c>
      <c r="D28" s="31" t="str">
        <f aca="false">IF(Q28=0,"",INT(Q28))</f>
        <v/>
      </c>
      <c r="E28" s="32" t="str">
        <f aca="false">IF(Q28=0,"",ROUND(MOD(Q28,1)*100,0))</f>
        <v/>
      </c>
      <c r="F28" s="33" t="str">
        <f aca="false">IFERROR(INDEX('بنود السندات'!$E$5:$E$3004,MATCH($M$5&amp;"-"&amp;10,'بنود السندات'!$C$5:$C$3004,0))&amp;"","")</f>
        <v/>
      </c>
      <c r="G28" s="33"/>
      <c r="H28" s="33"/>
      <c r="I28" s="34" t="str">
        <f aca="false">IFERROR(INDEX('بنود السندات'!$D$5:$D$3004,MATCH($M$5&amp;"-"&amp;10,'بنود السندات'!$C$5:$C$3004,0))&amp;"","")</f>
        <v/>
      </c>
      <c r="P28" s="35" t="n">
        <f aca="false">IFERROR(N(INDEX('بنود السندات'!$F$5:$F$3004,MATCH($M$5&amp;"-"&amp;10,'بنود السندات'!$C$5:$C$3004,0))),0)</f>
        <v>0</v>
      </c>
      <c r="Q28" s="35" t="n">
        <f aca="false">IFERROR(N(INDEX('بنود السندات'!$G$5:$G$3004,MATCH($M$5&amp;"-"&amp;10,'بنود السندات'!$C$5:$C$3004,0))),0)</f>
        <v>0</v>
      </c>
    </row>
    <row r="29" customFormat="false" ht="21" hidden="false" customHeight="true" outlineLevel="0" collapsed="false">
      <c r="B29" s="31" t="str">
        <f aca="false">IF(P29=0,"",INT(P29))</f>
        <v/>
      </c>
      <c r="C29" s="32" t="str">
        <f aca="false">IF(P29=0,"",ROUND(MOD(P29,1)*100,0))</f>
        <v/>
      </c>
      <c r="D29" s="31" t="str">
        <f aca="false">IF(Q29=0,"",INT(Q29))</f>
        <v/>
      </c>
      <c r="E29" s="32" t="str">
        <f aca="false">IF(Q29=0,"",ROUND(MOD(Q29,1)*100,0))</f>
        <v/>
      </c>
      <c r="F29" s="33" t="str">
        <f aca="false">IFERROR(INDEX('بنود السندات'!$E$5:$E$3004,MATCH($M$5&amp;"-"&amp;11,'بنود السندات'!$C$5:$C$3004,0))&amp;"","")</f>
        <v/>
      </c>
      <c r="G29" s="33"/>
      <c r="H29" s="33"/>
      <c r="I29" s="34" t="str">
        <f aca="false">IFERROR(INDEX('بنود السندات'!$D$5:$D$3004,MATCH($M$5&amp;"-"&amp;11,'بنود السندات'!$C$5:$C$3004,0))&amp;"","")</f>
        <v/>
      </c>
      <c r="P29" s="35" t="n">
        <f aca="false">IFERROR(N(INDEX('بنود السندات'!$F$5:$F$3004,MATCH($M$5&amp;"-"&amp;11,'بنود السندات'!$C$5:$C$3004,0))),0)</f>
        <v>0</v>
      </c>
      <c r="Q29" s="35" t="n">
        <f aca="false">IFERROR(N(INDEX('بنود السندات'!$G$5:$G$3004,MATCH($M$5&amp;"-"&amp;11,'بنود السندات'!$C$5:$C$3004,0))),0)</f>
        <v>0</v>
      </c>
    </row>
    <row r="30" customFormat="false" ht="21" hidden="false" customHeight="true" outlineLevel="0" collapsed="false">
      <c r="B30" s="36" t="str">
        <f aca="false">IF(P30=0,"",INT(P30))</f>
        <v/>
      </c>
      <c r="C30" s="37" t="str">
        <f aca="false">IF(P30=0,"",ROUND(MOD(P30,1)*100,0))</f>
        <v/>
      </c>
      <c r="D30" s="36" t="str">
        <f aca="false">IF(Q30=0,"",INT(Q30))</f>
        <v/>
      </c>
      <c r="E30" s="37" t="str">
        <f aca="false">IF(Q30=0,"",ROUND(MOD(Q30,1)*100,0))</f>
        <v/>
      </c>
      <c r="F30" s="38" t="str">
        <f aca="false">IFERROR(INDEX('بنود السندات'!$E$5:$E$3004,MATCH($M$5&amp;"-"&amp;12,'بنود السندات'!$C$5:$C$3004,0))&amp;"","")</f>
        <v/>
      </c>
      <c r="G30" s="38"/>
      <c r="H30" s="38"/>
      <c r="I30" s="39" t="str">
        <f aca="false">IFERROR(INDEX('بنود السندات'!$D$5:$D$3004,MATCH($M$5&amp;"-"&amp;12,'بنود السندات'!$C$5:$C$3004,0))&amp;"","")</f>
        <v/>
      </c>
      <c r="P30" s="35" t="n">
        <f aca="false">IFERROR(N(INDEX('بنود السندات'!$F$5:$F$3004,MATCH($M$5&amp;"-"&amp;12,'بنود السندات'!$C$5:$C$3004,0))),0)</f>
        <v>0</v>
      </c>
      <c r="Q30" s="35" t="n">
        <f aca="false">IFERROR(N(INDEX('بنود السندات'!$G$5:$G$3004,MATCH($M$5&amp;"-"&amp;12,'بنود السندات'!$C$5:$C$3004,0))),0)</f>
        <v>0</v>
      </c>
    </row>
    <row r="31" customFormat="false" ht="25.5" hidden="false" customHeight="true" outlineLevel="0" collapsed="false">
      <c r="B31" s="40" t="n">
        <f aca="false">INT(P31)</f>
        <v>3000</v>
      </c>
      <c r="C31" s="41" t="n">
        <f aca="false">ROUND(MOD(P31,1)*100,0)</f>
        <v>0</v>
      </c>
      <c r="D31" s="40" t="n">
        <f aca="false">INT(Q31)</f>
        <v>3000</v>
      </c>
      <c r="E31" s="41" t="n">
        <f aca="false">ROUND(MOD(Q31,1)*100,0)</f>
        <v>0</v>
      </c>
      <c r="F31" s="42" t="str">
        <f aca="false">IF($M$6=0,"",INDEX(السندات!$H$5:$H$504,$M$6))</f>
        <v>رد ذمم حيدر شماع للمالك</v>
      </c>
      <c r="G31" s="42"/>
      <c r="H31" s="42"/>
      <c r="I31" s="43" t="s">
        <v>30</v>
      </c>
      <c r="P31" s="35" t="n">
        <f aca="false">ROUND(SUM(P19:P30),2)</f>
        <v>3000</v>
      </c>
      <c r="Q31" s="35" t="n">
        <f aca="false">ROUND(SUM(Q19:Q30),2)</f>
        <v>3000</v>
      </c>
    </row>
    <row r="32" customFormat="false" ht="15" hidden="false" customHeight="false" outlineLevel="0" collapsed="false">
      <c r="B32" s="44" t="str">
        <f aca="false">IF(M6=0,"",IF(INDEX(السندات!$M$5:$M$504,M6)&gt;12,"⚠ للسند "&amp;INDEX(السندات!$M$5:$M$504,M6)&amp;" بنداً — يظهر أول 12 فقط، والمجموع لما هو معروض",""))</f>
        <v/>
      </c>
      <c r="C32" s="44"/>
      <c r="D32" s="44"/>
      <c r="E32" s="44"/>
      <c r="F32" s="44"/>
      <c r="G32" s="44"/>
      <c r="H32" s="44"/>
      <c r="I32" s="44"/>
    </row>
    <row r="34" customFormat="false" ht="15" hidden="false" customHeight="false" outlineLevel="0" collapsed="false">
      <c r="B34" s="45" t="s">
        <v>31</v>
      </c>
      <c r="C34" s="45"/>
      <c r="D34" s="45" t="s">
        <v>32</v>
      </c>
      <c r="E34" s="45"/>
      <c r="F34" s="45" t="s">
        <v>33</v>
      </c>
      <c r="G34" s="45"/>
      <c r="H34" s="45" t="s">
        <v>34</v>
      </c>
      <c r="I34" s="45"/>
    </row>
    <row r="35" customFormat="false" ht="24" hidden="false" customHeight="true" outlineLevel="0" collapsed="false">
      <c r="B35" s="46" t="str">
        <f aca="false">IF(IF($M$6=0,"",INDEX(السندات!$I$5:$I$504,$M$6))="","",IF($M$6=0,"",INDEX(السندات!$I$5:$I$504,$M$6)))</f>
        <v>حيدر شماع</v>
      </c>
      <c r="C35" s="46"/>
      <c r="D35" s="46" t="str">
        <f aca="false">IF(CASHIER="","",CASHIER)</f>
        <v>احمد عبدالعظيم</v>
      </c>
      <c r="E35" s="46"/>
      <c r="F35" s="46" t="str">
        <f aca="false">IF(ACCOUNTANT="","",ACCOUNTANT)</f>
        <v/>
      </c>
      <c r="G35" s="46"/>
      <c r="H35" s="46" t="str">
        <f aca="false">IF(GM="","",GM)</f>
        <v>حيدر شماع</v>
      </c>
      <c r="I35" s="46"/>
    </row>
    <row r="36" customFormat="false" ht="33.75" hidden="false" customHeight="true" outlineLevel="0" collapsed="false">
      <c r="B36" s="47" t="s">
        <v>35</v>
      </c>
      <c r="C36" s="47"/>
      <c r="D36" s="47" t="s">
        <v>35</v>
      </c>
      <c r="E36" s="47"/>
      <c r="F36" s="47" t="s">
        <v>35</v>
      </c>
      <c r="G36" s="47"/>
      <c r="H36" s="47" t="s">
        <v>35</v>
      </c>
      <c r="I36" s="47"/>
    </row>
    <row r="38" customFormat="false" ht="15" hidden="false" customHeight="false" outlineLevel="0" collapsed="false">
      <c r="B38" s="48" t="str">
        <f aca="true">"تاريخ الطباعة: "&amp;TEXT(NOW(),"dd/mm/yyyy hh:mm")&amp;"   |   السند "&amp;M7&amp;"   |   "&amp;IF($M$6=0,"",INDEX(السندات!$B$5:$B$504,$M$6))</f>
        <v>تاريخ الطباعة: 29/09/2026 07:59   |   السند 1 من 3   |   CP-2026-1001</v>
      </c>
      <c r="C38" s="48"/>
      <c r="D38" s="48"/>
      <c r="E38" s="48"/>
      <c r="F38" s="48"/>
      <c r="G38" s="48"/>
      <c r="H38" s="48"/>
      <c r="I38" s="48"/>
    </row>
  </sheetData>
  <mergeCells count="54">
    <mergeCell ref="B1:I1"/>
    <mergeCell ref="B2:I2"/>
    <mergeCell ref="L2:N2"/>
    <mergeCell ref="B3:I3"/>
    <mergeCell ref="B5:C5"/>
    <mergeCell ref="D5:G5"/>
    <mergeCell ref="H5:I5"/>
    <mergeCell ref="B6:C6"/>
    <mergeCell ref="D6:G6"/>
    <mergeCell ref="B8:C8"/>
    <mergeCell ref="G8:I8"/>
    <mergeCell ref="B9:C9"/>
    <mergeCell ref="D9:E9"/>
    <mergeCell ref="G9:I9"/>
    <mergeCell ref="C11:H11"/>
    <mergeCell ref="C12:H12"/>
    <mergeCell ref="C13:H13"/>
    <mergeCell ref="C14:H14"/>
    <mergeCell ref="L14:N14"/>
    <mergeCell ref="C15:H15"/>
    <mergeCell ref="L15:N15"/>
    <mergeCell ref="L16:N16"/>
    <mergeCell ref="B17:C17"/>
    <mergeCell ref="D17:E17"/>
    <mergeCell ref="F17:H18"/>
    <mergeCell ref="I17:I18"/>
    <mergeCell ref="L17:N17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B32:I32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8:I38"/>
  </mergeCells>
  <conditionalFormatting sqref="D9">
    <cfRule type="expression" priority="2" aboveAverage="0" equalAverage="0" bottom="0" percent="0" rank="0" text="" dxfId="0">
      <formula>ISNUMBER(SEARCH("✔",D9))</formula>
    </cfRule>
    <cfRule type="expression" priority="3" aboveAverage="0" equalAverage="0" bottom="0" percent="0" rank="0" text="" dxfId="1">
      <formula>NOT(ISNUMBER(SEARCH("✔",D9)))</formula>
    </cfRule>
  </conditionalFormatting>
  <dataValidations count="2">
    <dataValidation allowBlank="true" error="اختر قيمة من القائمة المنسدلة (أو أضفها في ورقة الإعدادات)." errorStyle="stop" errorTitle="قيمة غير موجودة في القائمة" operator="between" prompt="اختر رقم السند — أو اتركها فارغة لعرض آخر سند" promptTitle="تلميح" showDropDown="false" showErrorMessage="true" showInputMessage="true" sqref="M3" type="list">
      <formula1>V_NOS</formula1>
      <formula2>0</formula2>
    </dataValidation>
    <dataValidation allowBlank="true" errorStyle="stop" operator="between" showDropDown="false" showErrorMessage="false" showInputMessage="false" sqref="M4" type="list">
      <formula1>"الأصل,صورة - الحسابات,صورة - الصندوق,صورة - المستفيد"</formula1>
      <formula2>0</formula2>
    </dataValidation>
  </dataValidations>
  <hyperlinks>
    <hyperlink ref="L11" location="'الملخص'!A1" display="📊 الملخص والإحصائيات"/>
    <hyperlink ref="L12" location="'الإعدادات'!A1" display="⚙ الإعدادات"/>
  </hyperlink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O504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1" min="10" style="0" width="15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6"/>
    <col collapsed="false" customWidth="true" hidden="false" outlineLevel="0" max="15" min="15" style="0" width="60"/>
  </cols>
  <sheetData>
    <row r="1" customFormat="false" ht="33.75" hidden="false" customHeight="true" outlineLevel="0" collapsed="false">
      <c r="A1" s="49" t="s">
        <v>36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customFormat="false" ht="19.5" hidden="false" customHeight="true" outlineLevel="0" collapsed="false">
      <c r="A2" s="50" t="s">
        <v>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customFormat="false" ht="15" hidden="false" customHeight="false" outlineLevel="0" collapsed="false">
      <c r="A3" s="51" t="str">
        <f aca="false">"عدد السندات: "&amp;COUNT(A5:A504)&amp;"   |   الإجمالي: "&amp;TEXT(SUM(J5:J504),"#,##0.00")&amp;" "&amp;CUR_EN</f>
        <v>عدد السندات: 3   |   الإجمالي: 45,330.50 S.R</v>
      </c>
      <c r="B3" s="51"/>
      <c r="C3" s="51"/>
      <c r="D3" s="51"/>
      <c r="E3" s="51"/>
      <c r="N3" s="52" t="s">
        <v>38</v>
      </c>
      <c r="O3" s="20" t="str">
        <f aca="false">HYPERLINK("#'بنود السندات'!A"&amp;(COUNTA('بنود السندات'!A5:A3004)+5),"➕ إضافة بنود ← بنود السندات")</f>
        <v>➕ إضافة بنود ← بنود السندات</v>
      </c>
    </row>
    <row r="4" customFormat="false" ht="31.5" hidden="false" customHeight="true" outlineLevel="0" collapsed="false">
      <c r="A4" s="53" t="s">
        <v>39</v>
      </c>
      <c r="B4" s="53" t="s">
        <v>40</v>
      </c>
      <c r="C4" s="53" t="s">
        <v>41</v>
      </c>
      <c r="D4" s="53" t="s">
        <v>42</v>
      </c>
      <c r="E4" s="53" t="s">
        <v>43</v>
      </c>
      <c r="F4" s="53" t="s">
        <v>44</v>
      </c>
      <c r="G4" s="53" t="s">
        <v>45</v>
      </c>
      <c r="H4" s="53" t="s">
        <v>46</v>
      </c>
      <c r="I4" s="53" t="s">
        <v>31</v>
      </c>
      <c r="J4" s="53" t="s">
        <v>47</v>
      </c>
      <c r="K4" s="53" t="s">
        <v>48</v>
      </c>
      <c r="L4" s="53" t="s">
        <v>49</v>
      </c>
      <c r="M4" s="53" t="s">
        <v>50</v>
      </c>
      <c r="N4" s="53" t="s">
        <v>51</v>
      </c>
      <c r="O4" s="53" t="s">
        <v>52</v>
      </c>
    </row>
    <row r="5" customFormat="false" ht="15" hidden="false" customHeight="false" outlineLevel="0" collapsed="false">
      <c r="A5" s="54" t="n">
        <f aca="false">IF(C5="","",START_NO+COUNT(C$5:C5)-1)</f>
        <v>1001</v>
      </c>
      <c r="B5" s="55" t="str">
        <f aca="false">IF(A5="","",PREFIX&amp;"-"&amp;TEXT(C5,"yyyy")&amp;"-"&amp;A5)</f>
        <v>CP-2026-1001</v>
      </c>
      <c r="C5" s="56" t="n">
        <v>46249</v>
      </c>
      <c r="D5" s="57" t="s">
        <v>53</v>
      </c>
      <c r="E5" s="58" t="s">
        <v>54</v>
      </c>
      <c r="F5" s="58"/>
      <c r="G5" s="57" t="s">
        <v>55</v>
      </c>
      <c r="H5" s="57" t="s">
        <v>56</v>
      </c>
      <c r="I5" s="57" t="s">
        <v>53</v>
      </c>
      <c r="J5" s="59" t="n">
        <f aca="false">IF(A5="","",SUMIFS('بنود السندات'!$F$5:$F$3004,'بنود السندات'!$A$5:$A$3004,A5))</f>
        <v>3000</v>
      </c>
      <c r="K5" s="59" t="n">
        <f aca="false">IF(A5="","",SUMIFS('بنود السندات'!$G$5:$G$3004,'بنود السندات'!$A$5:$A$3004,A5))</f>
        <v>3000</v>
      </c>
      <c r="L5" s="59" t="n">
        <f aca="false">IF(A5="","",ROUND(J5-K5,2))</f>
        <v>0</v>
      </c>
      <c r="M5" s="55" t="n">
        <f aca="false">IF(A5="","",COUNTIF('بنود السندات'!$A$5:$A$3004,A5))</f>
        <v>2</v>
      </c>
      <c r="N5" s="60" t="str">
        <f aca="false">IF(A5="","",IF(M5=0,"بدون بنود ⚠",IF(L5=0,"متوازن ✔","غير متوازن ✘")))</f>
        <v>متوازن ✔</v>
      </c>
      <c r="O5" s="61" t="str">
        <f aca="false">IF(A5="","","فقط "&amp;IF(INT(ROUND(MAX(J5,K5),2))=0,"صفر",MID(IF(INT(INT(ROUND(MAX(J5,K5),2))/1000000)&gt;0," و"&amp;INDEX(تفقيط!$D$2:$D$1001,INT(INT(ROUND(MAX(J5,K5),2))/1000000)+1),"")&amp;IF(INT(MOD(INT(ROUND(MAX(J5,K5),2)),1000000)/1000)&gt;0," و"&amp;INDEX(تفقيط!$C$2:$C$1001,INT(MOD(INT(ROUND(MAX(J5,K5),2)),1000000)/1000)+1),"")&amp;IF(MOD(INT(ROUND(MAX(J5,K5),2)),1000)&gt;0," و"&amp;INDEX(تفقيط!$B$2:$B$1001,MOD(INT(ROUND(MAX(J5,K5),2)),1000)+1),""),3,400))&amp;" "&amp;CUR&amp;IF(ROUND((ROUND(MAX(J5,K5),2)-INT(ROUND(MAX(J5,K5),2)))*100,0)&gt;0," و"&amp;INDEX(تفقيط!$E$2:$E$1001,ROUND((ROUND(MAX(J5,K5),2)-INT(ROUND(MAX(J5,K5),2)))*100,0)+1),"")&amp;" لا غير")</f>
        <v>فقط ثلاثة آلاف ريال سعودي لا غير</v>
      </c>
    </row>
    <row r="6" customFormat="false" ht="15" hidden="false" customHeight="false" outlineLevel="0" collapsed="false">
      <c r="A6" s="62" t="n">
        <f aca="false">IF(C6="","",START_NO+COUNT(C$5:C6)-1)</f>
        <v>1002</v>
      </c>
      <c r="B6" s="63" t="str">
        <f aca="false">IF(A6="","",PREFIX&amp;"-"&amp;TEXT(C6,"yyyy")&amp;"-"&amp;A6)</f>
        <v>CP-2026-1002</v>
      </c>
      <c r="C6" s="56" t="n">
        <v>46254</v>
      </c>
      <c r="D6" s="57" t="s">
        <v>57</v>
      </c>
      <c r="E6" s="58" t="s">
        <v>58</v>
      </c>
      <c r="F6" s="58" t="s">
        <v>59</v>
      </c>
      <c r="G6" s="57" t="s">
        <v>60</v>
      </c>
      <c r="H6" s="57" t="s">
        <v>61</v>
      </c>
      <c r="I6" s="57" t="s">
        <v>62</v>
      </c>
      <c r="J6" s="64" t="n">
        <f aca="false">IF(A6="","",SUMIFS('بنود السندات'!$F$5:$F$3004,'بنود السندات'!$A$5:$A$3004,A6))</f>
        <v>37500.5</v>
      </c>
      <c r="K6" s="64" t="n">
        <f aca="false">IF(A6="","",SUMIFS('بنود السندات'!$G$5:$G$3004,'بنود السندات'!$A$5:$A$3004,A6))</f>
        <v>37500.5</v>
      </c>
      <c r="L6" s="64" t="n">
        <f aca="false">IF(A6="","",ROUND(J6-K6,2))</f>
        <v>0</v>
      </c>
      <c r="M6" s="63" t="n">
        <f aca="false">IF(A6="","",COUNTIF('بنود السندات'!$A$5:$A$3004,A6))</f>
        <v>3</v>
      </c>
      <c r="N6" s="65" t="str">
        <f aca="false">IF(A6="","",IF(M6=0,"بدون بنود ⚠",IF(L6=0,"متوازن ✔","غير متوازن ✘")))</f>
        <v>متوازن ✔</v>
      </c>
      <c r="O6" s="66" t="str">
        <f aca="false">IF(A6="","","فقط "&amp;IF(INT(ROUND(MAX(J6,K6),2))=0,"صفر",MID(IF(INT(INT(ROUND(MAX(J6,K6),2))/1000000)&gt;0," و"&amp;INDEX(تفقيط!$D$2:$D$1001,INT(INT(ROUND(MAX(J6,K6),2))/1000000)+1),"")&amp;IF(INT(MOD(INT(ROUND(MAX(J6,K6),2)),1000000)/1000)&gt;0," و"&amp;INDEX(تفقيط!$C$2:$C$1001,INT(MOD(INT(ROUND(MAX(J6,K6),2)),1000000)/1000)+1),"")&amp;IF(MOD(INT(ROUND(MAX(J6,K6),2)),1000)&gt;0," و"&amp;INDEX(تفقيط!$B$2:$B$1001,MOD(INT(ROUND(MAX(J6,K6),2)),1000)+1),""),3,400))&amp;" "&amp;CUR&amp;IF(ROUND((ROUND(MAX(J6,K6),2)-INT(ROUND(MAX(J6,K6),2)))*100,0)&gt;0," و"&amp;INDEX(تفقيط!$E$2:$E$1001,ROUND((ROUND(MAX(J6,K6),2)-INT(ROUND(MAX(J6,K6),2)))*100,0)+1),"")&amp;" لا غير")</f>
        <v>فقط سبعة وثلاثون ألفاً وخمسمائة ريال سعودي وخمسون هللة لا غير</v>
      </c>
    </row>
    <row r="7" customFormat="false" ht="15" hidden="false" customHeight="false" outlineLevel="0" collapsed="false">
      <c r="A7" s="54" t="n">
        <f aca="false">IF(C7="","",START_NO+COUNT(C$5:C7)-1)</f>
        <v>1003</v>
      </c>
      <c r="B7" s="55" t="str">
        <f aca="false">IF(A7="","",PREFIX&amp;"-"&amp;TEXT(C7,"yyyy")&amp;"-"&amp;A7)</f>
        <v>CP-2026-1003</v>
      </c>
      <c r="C7" s="56" t="n">
        <v>46268</v>
      </c>
      <c r="D7" s="57" t="s">
        <v>63</v>
      </c>
      <c r="E7" s="58" t="s">
        <v>64</v>
      </c>
      <c r="F7" s="58" t="s">
        <v>65</v>
      </c>
      <c r="G7" s="57" t="s">
        <v>66</v>
      </c>
      <c r="H7" s="57" t="s">
        <v>67</v>
      </c>
      <c r="I7" s="57" t="s">
        <v>68</v>
      </c>
      <c r="J7" s="59" t="n">
        <f aca="false">IF(A7="","",SUMIFS('بنود السندات'!$F$5:$F$3004,'بنود السندات'!$A$5:$A$3004,A7))</f>
        <v>4830</v>
      </c>
      <c r="K7" s="59" t="n">
        <f aca="false">IF(A7="","",SUMIFS('بنود السندات'!$G$5:$G$3004,'بنود السندات'!$A$5:$A$3004,A7))</f>
        <v>4830</v>
      </c>
      <c r="L7" s="59" t="n">
        <f aca="false">IF(A7="","",ROUND(J7-K7,2))</f>
        <v>0</v>
      </c>
      <c r="M7" s="55" t="n">
        <f aca="false">IF(A7="","",COUNTIF('بنود السندات'!$A$5:$A$3004,A7))</f>
        <v>3</v>
      </c>
      <c r="N7" s="60" t="str">
        <f aca="false">IF(A7="","",IF(M7=0,"بدون بنود ⚠",IF(L7=0,"متوازن ✔","غير متوازن ✘")))</f>
        <v>متوازن ✔</v>
      </c>
      <c r="O7" s="61" t="str">
        <f aca="false">IF(A7="","","فقط "&amp;IF(INT(ROUND(MAX(J7,K7),2))=0,"صفر",MID(IF(INT(INT(ROUND(MAX(J7,K7),2))/1000000)&gt;0," و"&amp;INDEX(تفقيط!$D$2:$D$1001,INT(INT(ROUND(MAX(J7,K7),2))/1000000)+1),"")&amp;IF(INT(MOD(INT(ROUND(MAX(J7,K7),2)),1000000)/1000)&gt;0," و"&amp;INDEX(تفقيط!$C$2:$C$1001,INT(MOD(INT(ROUND(MAX(J7,K7),2)),1000000)/1000)+1),"")&amp;IF(MOD(INT(ROUND(MAX(J7,K7),2)),1000)&gt;0," و"&amp;INDEX(تفقيط!$B$2:$B$1001,MOD(INT(ROUND(MAX(J7,K7),2)),1000)+1),""),3,400))&amp;" "&amp;CUR&amp;IF(ROUND((ROUND(MAX(J7,K7),2)-INT(ROUND(MAX(J7,K7),2)))*100,0)&gt;0," و"&amp;INDEX(تفقيط!$E$2:$E$1001,ROUND((ROUND(MAX(J7,K7),2)-INT(ROUND(MAX(J7,K7),2)))*100,0)+1),"")&amp;" لا غير")</f>
        <v>فقط أربعة آلاف وثمانمائة وثلاثون ريال سعودي لا غير</v>
      </c>
    </row>
    <row r="8" customFormat="false" ht="15" hidden="false" customHeight="false" outlineLevel="0" collapsed="false">
      <c r="A8" s="62" t="str">
        <f aca="false">IF(C8="","",START_NO+COUNT(C$5:C8)-1)</f>
        <v/>
      </c>
      <c r="B8" s="63" t="str">
        <f aca="false">IF(A8="","",PREFIX&amp;"-"&amp;TEXT(C8,"yyyy")&amp;"-"&amp;A8)</f>
        <v/>
      </c>
      <c r="C8" s="56"/>
      <c r="D8" s="57"/>
      <c r="E8" s="58"/>
      <c r="F8" s="58"/>
      <c r="G8" s="57"/>
      <c r="H8" s="57"/>
      <c r="I8" s="57"/>
      <c r="J8" s="64" t="str">
        <f aca="false">IF(A8="","",SUMIFS('بنود السندات'!$F$5:$F$3004,'بنود السندات'!$A$5:$A$3004,A8))</f>
        <v/>
      </c>
      <c r="K8" s="64" t="str">
        <f aca="false">IF(A8="","",SUMIFS('بنود السندات'!$G$5:$G$3004,'بنود السندات'!$A$5:$A$3004,A8))</f>
        <v/>
      </c>
      <c r="L8" s="64" t="str">
        <f aca="false">IF(A8="","",ROUND(J8-K8,2))</f>
        <v/>
      </c>
      <c r="M8" s="63" t="str">
        <f aca="false">IF(A8="","",COUNTIF('بنود السندات'!$A$5:$A$3004,A8))</f>
        <v/>
      </c>
      <c r="N8" s="65" t="str">
        <f aca="false">IF(A8="","",IF(M8=0,"بدون بنود ⚠",IF(L8=0,"متوازن ✔","غير متوازن ✘")))</f>
        <v/>
      </c>
      <c r="O8" s="66" t="str">
        <f aca="false">IF(A8="","","فقط "&amp;IF(INT(ROUND(MAX(J8,K8),2))=0,"صفر",MID(IF(INT(INT(ROUND(MAX(J8,K8),2))/1000000)&gt;0," و"&amp;INDEX(تفقيط!$D$2:$D$1001,INT(INT(ROUND(MAX(J8,K8),2))/1000000)+1),"")&amp;IF(INT(MOD(INT(ROUND(MAX(J8,K8),2)),1000000)/1000)&gt;0," و"&amp;INDEX(تفقيط!$C$2:$C$1001,INT(MOD(INT(ROUND(MAX(J8,K8),2)),1000000)/1000)+1),"")&amp;IF(MOD(INT(ROUND(MAX(J8,K8),2)),1000)&gt;0," و"&amp;INDEX(تفقيط!$B$2:$B$1001,MOD(INT(ROUND(MAX(J8,K8),2)),1000)+1),""),3,400))&amp;" "&amp;CUR&amp;IF(ROUND((ROUND(MAX(J8,K8),2)-INT(ROUND(MAX(J8,K8),2)))*100,0)&gt;0," و"&amp;INDEX(تفقيط!$E$2:$E$1001,ROUND((ROUND(MAX(J8,K8),2)-INT(ROUND(MAX(J8,K8),2)))*100,0)+1),"")&amp;" لا غير")</f>
        <v/>
      </c>
    </row>
    <row r="9" customFormat="false" ht="15" hidden="false" customHeight="false" outlineLevel="0" collapsed="false">
      <c r="A9" s="54" t="str">
        <f aca="false">IF(C9="","",START_NO+COUNT(C$5:C9)-1)</f>
        <v/>
      </c>
      <c r="B9" s="55" t="str">
        <f aca="false">IF(A9="","",PREFIX&amp;"-"&amp;TEXT(C9,"yyyy")&amp;"-"&amp;A9)</f>
        <v/>
      </c>
      <c r="C9" s="56"/>
      <c r="D9" s="57"/>
      <c r="E9" s="58"/>
      <c r="F9" s="58"/>
      <c r="G9" s="57"/>
      <c r="H9" s="57"/>
      <c r="I9" s="57"/>
      <c r="J9" s="59" t="str">
        <f aca="false">IF(A9="","",SUMIFS('بنود السندات'!$F$5:$F$3004,'بنود السندات'!$A$5:$A$3004,A9))</f>
        <v/>
      </c>
      <c r="K9" s="59" t="str">
        <f aca="false">IF(A9="","",SUMIFS('بنود السندات'!$G$5:$G$3004,'بنود السندات'!$A$5:$A$3004,A9))</f>
        <v/>
      </c>
      <c r="L9" s="59" t="str">
        <f aca="false">IF(A9="","",ROUND(J9-K9,2))</f>
        <v/>
      </c>
      <c r="M9" s="55" t="str">
        <f aca="false">IF(A9="","",COUNTIF('بنود السندات'!$A$5:$A$3004,A9))</f>
        <v/>
      </c>
      <c r="N9" s="60" t="str">
        <f aca="false">IF(A9="","",IF(M9=0,"بدون بنود ⚠",IF(L9=0,"متوازن ✔","غير متوازن ✘")))</f>
        <v/>
      </c>
      <c r="O9" s="61" t="str">
        <f aca="false">IF(A9="","","فقط "&amp;IF(INT(ROUND(MAX(J9,K9),2))=0,"صفر",MID(IF(INT(INT(ROUND(MAX(J9,K9),2))/1000000)&gt;0," و"&amp;INDEX(تفقيط!$D$2:$D$1001,INT(INT(ROUND(MAX(J9,K9),2))/1000000)+1),"")&amp;IF(INT(MOD(INT(ROUND(MAX(J9,K9),2)),1000000)/1000)&gt;0," و"&amp;INDEX(تفقيط!$C$2:$C$1001,INT(MOD(INT(ROUND(MAX(J9,K9),2)),1000000)/1000)+1),"")&amp;IF(MOD(INT(ROUND(MAX(J9,K9),2)),1000)&gt;0," و"&amp;INDEX(تفقيط!$B$2:$B$1001,MOD(INT(ROUND(MAX(J9,K9),2)),1000)+1),""),3,400))&amp;" "&amp;CUR&amp;IF(ROUND((ROUND(MAX(J9,K9),2)-INT(ROUND(MAX(J9,K9),2)))*100,0)&gt;0," و"&amp;INDEX(تفقيط!$E$2:$E$1001,ROUND((ROUND(MAX(J9,K9),2)-INT(ROUND(MAX(J9,K9),2)))*100,0)+1),"")&amp;" لا غير")</f>
        <v/>
      </c>
    </row>
    <row r="10" customFormat="false" ht="15" hidden="false" customHeight="false" outlineLevel="0" collapsed="false">
      <c r="A10" s="62" t="str">
        <f aca="false">IF(C10="","",START_NO+COUNT(C$5:C10)-1)</f>
        <v/>
      </c>
      <c r="B10" s="63" t="str">
        <f aca="false">IF(A10="","",PREFIX&amp;"-"&amp;TEXT(C10,"yyyy")&amp;"-"&amp;A10)</f>
        <v/>
      </c>
      <c r="C10" s="56"/>
      <c r="D10" s="57"/>
      <c r="E10" s="58"/>
      <c r="F10" s="58"/>
      <c r="G10" s="57"/>
      <c r="H10" s="57"/>
      <c r="I10" s="57"/>
      <c r="J10" s="64" t="str">
        <f aca="false">IF(A10="","",SUMIFS('بنود السندات'!$F$5:$F$3004,'بنود السندات'!$A$5:$A$3004,A10))</f>
        <v/>
      </c>
      <c r="K10" s="64" t="str">
        <f aca="false">IF(A10="","",SUMIFS('بنود السندات'!$G$5:$G$3004,'بنود السندات'!$A$5:$A$3004,A10))</f>
        <v/>
      </c>
      <c r="L10" s="64" t="str">
        <f aca="false">IF(A10="","",ROUND(J10-K10,2))</f>
        <v/>
      </c>
      <c r="M10" s="63" t="str">
        <f aca="false">IF(A10="","",COUNTIF('بنود السندات'!$A$5:$A$3004,A10))</f>
        <v/>
      </c>
      <c r="N10" s="65" t="str">
        <f aca="false">IF(A10="","",IF(M10=0,"بدون بنود ⚠",IF(L10=0,"متوازن ✔","غير متوازن ✘")))</f>
        <v/>
      </c>
      <c r="O10" s="66" t="str">
        <f aca="false">IF(A10="","","فقط "&amp;IF(INT(ROUND(MAX(J10,K10),2))=0,"صفر",MID(IF(INT(INT(ROUND(MAX(J10,K10),2))/1000000)&gt;0," و"&amp;INDEX(تفقيط!$D$2:$D$1001,INT(INT(ROUND(MAX(J10,K10),2))/1000000)+1),"")&amp;IF(INT(MOD(INT(ROUND(MAX(J10,K10),2)),1000000)/1000)&gt;0," و"&amp;INDEX(تفقيط!$C$2:$C$1001,INT(MOD(INT(ROUND(MAX(J10,K10),2)),1000000)/1000)+1),"")&amp;IF(MOD(INT(ROUND(MAX(J10,K10),2)),1000)&gt;0," و"&amp;INDEX(تفقيط!$B$2:$B$1001,MOD(INT(ROUND(MAX(J10,K10),2)),1000)+1),""),3,400))&amp;" "&amp;CUR&amp;IF(ROUND((ROUND(MAX(J10,K10),2)-INT(ROUND(MAX(J10,K10),2)))*100,0)&gt;0," و"&amp;INDEX(تفقيط!$E$2:$E$1001,ROUND((ROUND(MAX(J10,K10),2)-INT(ROUND(MAX(J10,K10),2)))*100,0)+1),"")&amp;" لا غير")</f>
        <v/>
      </c>
    </row>
    <row r="11" customFormat="false" ht="15" hidden="false" customHeight="false" outlineLevel="0" collapsed="false">
      <c r="A11" s="54" t="str">
        <f aca="false">IF(C11="","",START_NO+COUNT(C$5:C11)-1)</f>
        <v/>
      </c>
      <c r="B11" s="55" t="str">
        <f aca="false">IF(A11="","",PREFIX&amp;"-"&amp;TEXT(C11,"yyyy")&amp;"-"&amp;A11)</f>
        <v/>
      </c>
      <c r="C11" s="56"/>
      <c r="D11" s="57"/>
      <c r="E11" s="58"/>
      <c r="F11" s="58"/>
      <c r="G11" s="57"/>
      <c r="H11" s="57"/>
      <c r="I11" s="57"/>
      <c r="J11" s="59" t="str">
        <f aca="false">IF(A11="","",SUMIFS('بنود السندات'!$F$5:$F$3004,'بنود السندات'!$A$5:$A$3004,A11))</f>
        <v/>
      </c>
      <c r="K11" s="59" t="str">
        <f aca="false">IF(A11="","",SUMIFS('بنود السندات'!$G$5:$G$3004,'بنود السندات'!$A$5:$A$3004,A11))</f>
        <v/>
      </c>
      <c r="L11" s="59" t="str">
        <f aca="false">IF(A11="","",ROUND(J11-K11,2))</f>
        <v/>
      </c>
      <c r="M11" s="55" t="str">
        <f aca="false">IF(A11="","",COUNTIF('بنود السندات'!$A$5:$A$3004,A11))</f>
        <v/>
      </c>
      <c r="N11" s="60" t="str">
        <f aca="false">IF(A11="","",IF(M11=0,"بدون بنود ⚠",IF(L11=0,"متوازن ✔","غير متوازن ✘")))</f>
        <v/>
      </c>
      <c r="O11" s="61" t="str">
        <f aca="false">IF(A11="","","فقط "&amp;IF(INT(ROUND(MAX(J11,K11),2))=0,"صفر",MID(IF(INT(INT(ROUND(MAX(J11,K11),2))/1000000)&gt;0," و"&amp;INDEX(تفقيط!$D$2:$D$1001,INT(INT(ROUND(MAX(J11,K11),2))/1000000)+1),"")&amp;IF(INT(MOD(INT(ROUND(MAX(J11,K11),2)),1000000)/1000)&gt;0," و"&amp;INDEX(تفقيط!$C$2:$C$1001,INT(MOD(INT(ROUND(MAX(J11,K11),2)),1000000)/1000)+1),"")&amp;IF(MOD(INT(ROUND(MAX(J11,K11),2)),1000)&gt;0," و"&amp;INDEX(تفقيط!$B$2:$B$1001,MOD(INT(ROUND(MAX(J11,K11),2)),1000)+1),""),3,400))&amp;" "&amp;CUR&amp;IF(ROUND((ROUND(MAX(J11,K11),2)-INT(ROUND(MAX(J11,K11),2)))*100,0)&gt;0," و"&amp;INDEX(تفقيط!$E$2:$E$1001,ROUND((ROUND(MAX(J11,K11),2)-INT(ROUND(MAX(J11,K11),2)))*100,0)+1),"")&amp;" لا غير")</f>
        <v/>
      </c>
    </row>
    <row r="12" customFormat="false" ht="15" hidden="false" customHeight="false" outlineLevel="0" collapsed="false">
      <c r="A12" s="62" t="str">
        <f aca="false">IF(C12="","",START_NO+COUNT(C$5:C12)-1)</f>
        <v/>
      </c>
      <c r="B12" s="63" t="str">
        <f aca="false">IF(A12="","",PREFIX&amp;"-"&amp;TEXT(C12,"yyyy")&amp;"-"&amp;A12)</f>
        <v/>
      </c>
      <c r="C12" s="56"/>
      <c r="D12" s="57"/>
      <c r="E12" s="58"/>
      <c r="F12" s="58"/>
      <c r="G12" s="57"/>
      <c r="H12" s="57"/>
      <c r="I12" s="57"/>
      <c r="J12" s="64" t="str">
        <f aca="false">IF(A12="","",SUMIFS('بنود السندات'!$F$5:$F$3004,'بنود السندات'!$A$5:$A$3004,A12))</f>
        <v/>
      </c>
      <c r="K12" s="64" t="str">
        <f aca="false">IF(A12="","",SUMIFS('بنود السندات'!$G$5:$G$3004,'بنود السندات'!$A$5:$A$3004,A12))</f>
        <v/>
      </c>
      <c r="L12" s="64" t="str">
        <f aca="false">IF(A12="","",ROUND(J12-K12,2))</f>
        <v/>
      </c>
      <c r="M12" s="63" t="str">
        <f aca="false">IF(A12="","",COUNTIF('بنود السندات'!$A$5:$A$3004,A12))</f>
        <v/>
      </c>
      <c r="N12" s="65" t="str">
        <f aca="false">IF(A12="","",IF(M12=0,"بدون بنود ⚠",IF(L12=0,"متوازن ✔","غير متوازن ✘")))</f>
        <v/>
      </c>
      <c r="O12" s="66" t="str">
        <f aca="false">IF(A12="","","فقط "&amp;IF(INT(ROUND(MAX(J12,K12),2))=0,"صفر",MID(IF(INT(INT(ROUND(MAX(J12,K12),2))/1000000)&gt;0," و"&amp;INDEX(تفقيط!$D$2:$D$1001,INT(INT(ROUND(MAX(J12,K12),2))/1000000)+1),"")&amp;IF(INT(MOD(INT(ROUND(MAX(J12,K12),2)),1000000)/1000)&gt;0," و"&amp;INDEX(تفقيط!$C$2:$C$1001,INT(MOD(INT(ROUND(MAX(J12,K12),2)),1000000)/1000)+1),"")&amp;IF(MOD(INT(ROUND(MAX(J12,K12),2)),1000)&gt;0," و"&amp;INDEX(تفقيط!$B$2:$B$1001,MOD(INT(ROUND(MAX(J12,K12),2)),1000)+1),""),3,400))&amp;" "&amp;CUR&amp;IF(ROUND((ROUND(MAX(J12,K12),2)-INT(ROUND(MAX(J12,K12),2)))*100,0)&gt;0," و"&amp;INDEX(تفقيط!$E$2:$E$1001,ROUND((ROUND(MAX(J12,K12),2)-INT(ROUND(MAX(J12,K12),2)))*100,0)+1),"")&amp;" لا غير")</f>
        <v/>
      </c>
    </row>
    <row r="13" customFormat="false" ht="15" hidden="false" customHeight="false" outlineLevel="0" collapsed="false">
      <c r="A13" s="54" t="str">
        <f aca="false">IF(C13="","",START_NO+COUNT(C$5:C13)-1)</f>
        <v/>
      </c>
      <c r="B13" s="55" t="str">
        <f aca="false">IF(A13="","",PREFIX&amp;"-"&amp;TEXT(C13,"yyyy")&amp;"-"&amp;A13)</f>
        <v/>
      </c>
      <c r="C13" s="56"/>
      <c r="D13" s="57"/>
      <c r="E13" s="58"/>
      <c r="F13" s="58"/>
      <c r="G13" s="57"/>
      <c r="H13" s="57"/>
      <c r="I13" s="57"/>
      <c r="J13" s="59" t="str">
        <f aca="false">IF(A13="","",SUMIFS('بنود السندات'!$F$5:$F$3004,'بنود السندات'!$A$5:$A$3004,A13))</f>
        <v/>
      </c>
      <c r="K13" s="59" t="str">
        <f aca="false">IF(A13="","",SUMIFS('بنود السندات'!$G$5:$G$3004,'بنود السندات'!$A$5:$A$3004,A13))</f>
        <v/>
      </c>
      <c r="L13" s="59" t="str">
        <f aca="false">IF(A13="","",ROUND(J13-K13,2))</f>
        <v/>
      </c>
      <c r="M13" s="55" t="str">
        <f aca="false">IF(A13="","",COUNTIF('بنود السندات'!$A$5:$A$3004,A13))</f>
        <v/>
      </c>
      <c r="N13" s="60" t="str">
        <f aca="false">IF(A13="","",IF(M13=0,"بدون بنود ⚠",IF(L13=0,"متوازن ✔","غير متوازن ✘")))</f>
        <v/>
      </c>
      <c r="O13" s="61" t="str">
        <f aca="false">IF(A13="","","فقط "&amp;IF(INT(ROUND(MAX(J13,K13),2))=0,"صفر",MID(IF(INT(INT(ROUND(MAX(J13,K13),2))/1000000)&gt;0," و"&amp;INDEX(تفقيط!$D$2:$D$1001,INT(INT(ROUND(MAX(J13,K13),2))/1000000)+1),"")&amp;IF(INT(MOD(INT(ROUND(MAX(J13,K13),2)),1000000)/1000)&gt;0," و"&amp;INDEX(تفقيط!$C$2:$C$1001,INT(MOD(INT(ROUND(MAX(J13,K13),2)),1000000)/1000)+1),"")&amp;IF(MOD(INT(ROUND(MAX(J13,K13),2)),1000)&gt;0," و"&amp;INDEX(تفقيط!$B$2:$B$1001,MOD(INT(ROUND(MAX(J13,K13),2)),1000)+1),""),3,400))&amp;" "&amp;CUR&amp;IF(ROUND((ROUND(MAX(J13,K13),2)-INT(ROUND(MAX(J13,K13),2)))*100,0)&gt;0," و"&amp;INDEX(تفقيط!$E$2:$E$1001,ROUND((ROUND(MAX(J13,K13),2)-INT(ROUND(MAX(J13,K13),2)))*100,0)+1),"")&amp;" لا غير")</f>
        <v/>
      </c>
    </row>
    <row r="14" customFormat="false" ht="15" hidden="false" customHeight="false" outlineLevel="0" collapsed="false">
      <c r="A14" s="62" t="str">
        <f aca="false">IF(C14="","",START_NO+COUNT(C$5:C14)-1)</f>
        <v/>
      </c>
      <c r="B14" s="63" t="str">
        <f aca="false">IF(A14="","",PREFIX&amp;"-"&amp;TEXT(C14,"yyyy")&amp;"-"&amp;A14)</f>
        <v/>
      </c>
      <c r="C14" s="56"/>
      <c r="D14" s="57"/>
      <c r="E14" s="58"/>
      <c r="F14" s="58"/>
      <c r="G14" s="57"/>
      <c r="H14" s="57"/>
      <c r="I14" s="57"/>
      <c r="J14" s="64" t="str">
        <f aca="false">IF(A14="","",SUMIFS('بنود السندات'!$F$5:$F$3004,'بنود السندات'!$A$5:$A$3004,A14))</f>
        <v/>
      </c>
      <c r="K14" s="64" t="str">
        <f aca="false">IF(A14="","",SUMIFS('بنود السندات'!$G$5:$G$3004,'بنود السندات'!$A$5:$A$3004,A14))</f>
        <v/>
      </c>
      <c r="L14" s="64" t="str">
        <f aca="false">IF(A14="","",ROUND(J14-K14,2))</f>
        <v/>
      </c>
      <c r="M14" s="63" t="str">
        <f aca="false">IF(A14="","",COUNTIF('بنود السندات'!$A$5:$A$3004,A14))</f>
        <v/>
      </c>
      <c r="N14" s="65" t="str">
        <f aca="false">IF(A14="","",IF(M14=0,"بدون بنود ⚠",IF(L14=0,"متوازن ✔","غير متوازن ✘")))</f>
        <v/>
      </c>
      <c r="O14" s="66" t="str">
        <f aca="false">IF(A14="","","فقط "&amp;IF(INT(ROUND(MAX(J14,K14),2))=0,"صفر",MID(IF(INT(INT(ROUND(MAX(J14,K14),2))/1000000)&gt;0," و"&amp;INDEX(تفقيط!$D$2:$D$1001,INT(INT(ROUND(MAX(J14,K14),2))/1000000)+1),"")&amp;IF(INT(MOD(INT(ROUND(MAX(J14,K14),2)),1000000)/1000)&gt;0," و"&amp;INDEX(تفقيط!$C$2:$C$1001,INT(MOD(INT(ROUND(MAX(J14,K14),2)),1000000)/1000)+1),"")&amp;IF(MOD(INT(ROUND(MAX(J14,K14),2)),1000)&gt;0," و"&amp;INDEX(تفقيط!$B$2:$B$1001,MOD(INT(ROUND(MAX(J14,K14),2)),1000)+1),""),3,400))&amp;" "&amp;CUR&amp;IF(ROUND((ROUND(MAX(J14,K14),2)-INT(ROUND(MAX(J14,K14),2)))*100,0)&gt;0," و"&amp;INDEX(تفقيط!$E$2:$E$1001,ROUND((ROUND(MAX(J14,K14),2)-INT(ROUND(MAX(J14,K14),2)))*100,0)+1),"")&amp;" لا غير")</f>
        <v/>
      </c>
    </row>
    <row r="15" customFormat="false" ht="15" hidden="false" customHeight="false" outlineLevel="0" collapsed="false">
      <c r="A15" s="54" t="str">
        <f aca="false">IF(C15="","",START_NO+COUNT(C$5:C15)-1)</f>
        <v/>
      </c>
      <c r="B15" s="55" t="str">
        <f aca="false">IF(A15="","",PREFIX&amp;"-"&amp;TEXT(C15,"yyyy")&amp;"-"&amp;A15)</f>
        <v/>
      </c>
      <c r="C15" s="56"/>
      <c r="D15" s="57"/>
      <c r="E15" s="58"/>
      <c r="F15" s="58"/>
      <c r="G15" s="57"/>
      <c r="H15" s="57"/>
      <c r="I15" s="57"/>
      <c r="J15" s="59" t="str">
        <f aca="false">IF(A15="","",SUMIFS('بنود السندات'!$F$5:$F$3004,'بنود السندات'!$A$5:$A$3004,A15))</f>
        <v/>
      </c>
      <c r="K15" s="59" t="str">
        <f aca="false">IF(A15="","",SUMIFS('بنود السندات'!$G$5:$G$3004,'بنود السندات'!$A$5:$A$3004,A15))</f>
        <v/>
      </c>
      <c r="L15" s="59" t="str">
        <f aca="false">IF(A15="","",ROUND(J15-K15,2))</f>
        <v/>
      </c>
      <c r="M15" s="55" t="str">
        <f aca="false">IF(A15="","",COUNTIF('بنود السندات'!$A$5:$A$3004,A15))</f>
        <v/>
      </c>
      <c r="N15" s="60" t="str">
        <f aca="false">IF(A15="","",IF(M15=0,"بدون بنود ⚠",IF(L15=0,"متوازن ✔","غير متوازن ✘")))</f>
        <v/>
      </c>
      <c r="O15" s="61" t="str">
        <f aca="false">IF(A15="","","فقط "&amp;IF(INT(ROUND(MAX(J15,K15),2))=0,"صفر",MID(IF(INT(INT(ROUND(MAX(J15,K15),2))/1000000)&gt;0," و"&amp;INDEX(تفقيط!$D$2:$D$1001,INT(INT(ROUND(MAX(J15,K15),2))/1000000)+1),"")&amp;IF(INT(MOD(INT(ROUND(MAX(J15,K15),2)),1000000)/1000)&gt;0," و"&amp;INDEX(تفقيط!$C$2:$C$1001,INT(MOD(INT(ROUND(MAX(J15,K15),2)),1000000)/1000)+1),"")&amp;IF(MOD(INT(ROUND(MAX(J15,K15),2)),1000)&gt;0," و"&amp;INDEX(تفقيط!$B$2:$B$1001,MOD(INT(ROUND(MAX(J15,K15),2)),1000)+1),""),3,400))&amp;" "&amp;CUR&amp;IF(ROUND((ROUND(MAX(J15,K15),2)-INT(ROUND(MAX(J15,K15),2)))*100,0)&gt;0," و"&amp;INDEX(تفقيط!$E$2:$E$1001,ROUND((ROUND(MAX(J15,K15),2)-INT(ROUND(MAX(J15,K15),2)))*100,0)+1),"")&amp;" لا غير")</f>
        <v/>
      </c>
    </row>
    <row r="16" customFormat="false" ht="15" hidden="false" customHeight="false" outlineLevel="0" collapsed="false">
      <c r="A16" s="62" t="str">
        <f aca="false">IF(C16="","",START_NO+COUNT(C$5:C16)-1)</f>
        <v/>
      </c>
      <c r="B16" s="63" t="str">
        <f aca="false">IF(A16="","",PREFIX&amp;"-"&amp;TEXT(C16,"yyyy")&amp;"-"&amp;A16)</f>
        <v/>
      </c>
      <c r="C16" s="56"/>
      <c r="D16" s="57"/>
      <c r="E16" s="58"/>
      <c r="F16" s="58"/>
      <c r="G16" s="57"/>
      <c r="H16" s="57"/>
      <c r="I16" s="57"/>
      <c r="J16" s="64" t="str">
        <f aca="false">IF(A16="","",SUMIFS('بنود السندات'!$F$5:$F$3004,'بنود السندات'!$A$5:$A$3004,A16))</f>
        <v/>
      </c>
      <c r="K16" s="64" t="str">
        <f aca="false">IF(A16="","",SUMIFS('بنود السندات'!$G$5:$G$3004,'بنود السندات'!$A$5:$A$3004,A16))</f>
        <v/>
      </c>
      <c r="L16" s="64" t="str">
        <f aca="false">IF(A16="","",ROUND(J16-K16,2))</f>
        <v/>
      </c>
      <c r="M16" s="63" t="str">
        <f aca="false">IF(A16="","",COUNTIF('بنود السندات'!$A$5:$A$3004,A16))</f>
        <v/>
      </c>
      <c r="N16" s="65" t="str">
        <f aca="false">IF(A16="","",IF(M16=0,"بدون بنود ⚠",IF(L16=0,"متوازن ✔","غير متوازن ✘")))</f>
        <v/>
      </c>
      <c r="O16" s="66" t="str">
        <f aca="false">IF(A16="","","فقط "&amp;IF(INT(ROUND(MAX(J16,K16),2))=0,"صفر",MID(IF(INT(INT(ROUND(MAX(J16,K16),2))/1000000)&gt;0," و"&amp;INDEX(تفقيط!$D$2:$D$1001,INT(INT(ROUND(MAX(J16,K16),2))/1000000)+1),"")&amp;IF(INT(MOD(INT(ROUND(MAX(J16,K16),2)),1000000)/1000)&gt;0," و"&amp;INDEX(تفقيط!$C$2:$C$1001,INT(MOD(INT(ROUND(MAX(J16,K16),2)),1000000)/1000)+1),"")&amp;IF(MOD(INT(ROUND(MAX(J16,K16),2)),1000)&gt;0," و"&amp;INDEX(تفقيط!$B$2:$B$1001,MOD(INT(ROUND(MAX(J16,K16),2)),1000)+1),""),3,400))&amp;" "&amp;CUR&amp;IF(ROUND((ROUND(MAX(J16,K16),2)-INT(ROUND(MAX(J16,K16),2)))*100,0)&gt;0," و"&amp;INDEX(تفقيط!$E$2:$E$1001,ROUND((ROUND(MAX(J16,K16),2)-INT(ROUND(MAX(J16,K16),2)))*100,0)+1),"")&amp;" لا غير")</f>
        <v/>
      </c>
    </row>
    <row r="17" customFormat="false" ht="15" hidden="false" customHeight="false" outlineLevel="0" collapsed="false">
      <c r="A17" s="54" t="str">
        <f aca="false">IF(C17="","",START_NO+COUNT(C$5:C17)-1)</f>
        <v/>
      </c>
      <c r="B17" s="55" t="str">
        <f aca="false">IF(A17="","",PREFIX&amp;"-"&amp;TEXT(C17,"yyyy")&amp;"-"&amp;A17)</f>
        <v/>
      </c>
      <c r="C17" s="56"/>
      <c r="D17" s="57"/>
      <c r="E17" s="58"/>
      <c r="F17" s="58"/>
      <c r="G17" s="57"/>
      <c r="H17" s="57"/>
      <c r="I17" s="57"/>
      <c r="J17" s="59" t="str">
        <f aca="false">IF(A17="","",SUMIFS('بنود السندات'!$F$5:$F$3004,'بنود السندات'!$A$5:$A$3004,A17))</f>
        <v/>
      </c>
      <c r="K17" s="59" t="str">
        <f aca="false">IF(A17="","",SUMIFS('بنود السندات'!$G$5:$G$3004,'بنود السندات'!$A$5:$A$3004,A17))</f>
        <v/>
      </c>
      <c r="L17" s="59" t="str">
        <f aca="false">IF(A17="","",ROUND(J17-K17,2))</f>
        <v/>
      </c>
      <c r="M17" s="55" t="str">
        <f aca="false">IF(A17="","",COUNTIF('بنود السندات'!$A$5:$A$3004,A17))</f>
        <v/>
      </c>
      <c r="N17" s="60" t="str">
        <f aca="false">IF(A17="","",IF(M17=0,"بدون بنود ⚠",IF(L17=0,"متوازن ✔","غير متوازن ✘")))</f>
        <v/>
      </c>
      <c r="O17" s="61" t="str">
        <f aca="false">IF(A17="","","فقط "&amp;IF(INT(ROUND(MAX(J17,K17),2))=0,"صفر",MID(IF(INT(INT(ROUND(MAX(J17,K17),2))/1000000)&gt;0," و"&amp;INDEX(تفقيط!$D$2:$D$1001,INT(INT(ROUND(MAX(J17,K17),2))/1000000)+1),"")&amp;IF(INT(MOD(INT(ROUND(MAX(J17,K17),2)),1000000)/1000)&gt;0," و"&amp;INDEX(تفقيط!$C$2:$C$1001,INT(MOD(INT(ROUND(MAX(J17,K17),2)),1000000)/1000)+1),"")&amp;IF(MOD(INT(ROUND(MAX(J17,K17),2)),1000)&gt;0," و"&amp;INDEX(تفقيط!$B$2:$B$1001,MOD(INT(ROUND(MAX(J17,K17),2)),1000)+1),""),3,400))&amp;" "&amp;CUR&amp;IF(ROUND((ROUND(MAX(J17,K17),2)-INT(ROUND(MAX(J17,K17),2)))*100,0)&gt;0," و"&amp;INDEX(تفقيط!$E$2:$E$1001,ROUND((ROUND(MAX(J17,K17),2)-INT(ROUND(MAX(J17,K17),2)))*100,0)+1),"")&amp;" لا غير")</f>
        <v/>
      </c>
    </row>
    <row r="18" customFormat="false" ht="15" hidden="false" customHeight="false" outlineLevel="0" collapsed="false">
      <c r="A18" s="62" t="str">
        <f aca="false">IF(C18="","",START_NO+COUNT(C$5:C18)-1)</f>
        <v/>
      </c>
      <c r="B18" s="63" t="str">
        <f aca="false">IF(A18="","",PREFIX&amp;"-"&amp;TEXT(C18,"yyyy")&amp;"-"&amp;A18)</f>
        <v/>
      </c>
      <c r="C18" s="56"/>
      <c r="D18" s="57"/>
      <c r="E18" s="58"/>
      <c r="F18" s="58"/>
      <c r="G18" s="57"/>
      <c r="H18" s="57"/>
      <c r="I18" s="57"/>
      <c r="J18" s="64" t="str">
        <f aca="false">IF(A18="","",SUMIFS('بنود السندات'!$F$5:$F$3004,'بنود السندات'!$A$5:$A$3004,A18))</f>
        <v/>
      </c>
      <c r="K18" s="64" t="str">
        <f aca="false">IF(A18="","",SUMIFS('بنود السندات'!$G$5:$G$3004,'بنود السندات'!$A$5:$A$3004,A18))</f>
        <v/>
      </c>
      <c r="L18" s="64" t="str">
        <f aca="false">IF(A18="","",ROUND(J18-K18,2))</f>
        <v/>
      </c>
      <c r="M18" s="63" t="str">
        <f aca="false">IF(A18="","",COUNTIF('بنود السندات'!$A$5:$A$3004,A18))</f>
        <v/>
      </c>
      <c r="N18" s="65" t="str">
        <f aca="false">IF(A18="","",IF(M18=0,"بدون بنود ⚠",IF(L18=0,"متوازن ✔","غير متوازن ✘")))</f>
        <v/>
      </c>
      <c r="O18" s="66" t="str">
        <f aca="false">IF(A18="","","فقط "&amp;IF(INT(ROUND(MAX(J18,K18),2))=0,"صفر",MID(IF(INT(INT(ROUND(MAX(J18,K18),2))/1000000)&gt;0," و"&amp;INDEX(تفقيط!$D$2:$D$1001,INT(INT(ROUND(MAX(J18,K18),2))/1000000)+1),"")&amp;IF(INT(MOD(INT(ROUND(MAX(J18,K18),2)),1000000)/1000)&gt;0," و"&amp;INDEX(تفقيط!$C$2:$C$1001,INT(MOD(INT(ROUND(MAX(J18,K18),2)),1000000)/1000)+1),"")&amp;IF(MOD(INT(ROUND(MAX(J18,K18),2)),1000)&gt;0," و"&amp;INDEX(تفقيط!$B$2:$B$1001,MOD(INT(ROUND(MAX(J18,K18),2)),1000)+1),""),3,400))&amp;" "&amp;CUR&amp;IF(ROUND((ROUND(MAX(J18,K18),2)-INT(ROUND(MAX(J18,K18),2)))*100,0)&gt;0," و"&amp;INDEX(تفقيط!$E$2:$E$1001,ROUND((ROUND(MAX(J18,K18),2)-INT(ROUND(MAX(J18,K18),2)))*100,0)+1),"")&amp;" لا غير")</f>
        <v/>
      </c>
    </row>
    <row r="19" customFormat="false" ht="15" hidden="false" customHeight="false" outlineLevel="0" collapsed="false">
      <c r="A19" s="54" t="str">
        <f aca="false">IF(C19="","",START_NO+COUNT(C$5:C19)-1)</f>
        <v/>
      </c>
      <c r="B19" s="55" t="str">
        <f aca="false">IF(A19="","",PREFIX&amp;"-"&amp;TEXT(C19,"yyyy")&amp;"-"&amp;A19)</f>
        <v/>
      </c>
      <c r="C19" s="56"/>
      <c r="D19" s="57"/>
      <c r="E19" s="58"/>
      <c r="F19" s="58"/>
      <c r="G19" s="57"/>
      <c r="H19" s="57"/>
      <c r="I19" s="57"/>
      <c r="J19" s="59" t="str">
        <f aca="false">IF(A19="","",SUMIFS('بنود السندات'!$F$5:$F$3004,'بنود السندات'!$A$5:$A$3004,A19))</f>
        <v/>
      </c>
      <c r="K19" s="59" t="str">
        <f aca="false">IF(A19="","",SUMIFS('بنود السندات'!$G$5:$G$3004,'بنود السندات'!$A$5:$A$3004,A19))</f>
        <v/>
      </c>
      <c r="L19" s="59" t="str">
        <f aca="false">IF(A19="","",ROUND(J19-K19,2))</f>
        <v/>
      </c>
      <c r="M19" s="55" t="str">
        <f aca="false">IF(A19="","",COUNTIF('بنود السندات'!$A$5:$A$3004,A19))</f>
        <v/>
      </c>
      <c r="N19" s="60" t="str">
        <f aca="false">IF(A19="","",IF(M19=0,"بدون بنود ⚠",IF(L19=0,"متوازن ✔","غير متوازن ✘")))</f>
        <v/>
      </c>
      <c r="O19" s="61" t="str">
        <f aca="false">IF(A19="","","فقط "&amp;IF(INT(ROUND(MAX(J19,K19),2))=0,"صفر",MID(IF(INT(INT(ROUND(MAX(J19,K19),2))/1000000)&gt;0," و"&amp;INDEX(تفقيط!$D$2:$D$1001,INT(INT(ROUND(MAX(J19,K19),2))/1000000)+1),"")&amp;IF(INT(MOD(INT(ROUND(MAX(J19,K19),2)),1000000)/1000)&gt;0," و"&amp;INDEX(تفقيط!$C$2:$C$1001,INT(MOD(INT(ROUND(MAX(J19,K19),2)),1000000)/1000)+1),"")&amp;IF(MOD(INT(ROUND(MAX(J19,K19),2)),1000)&gt;0," و"&amp;INDEX(تفقيط!$B$2:$B$1001,MOD(INT(ROUND(MAX(J19,K19),2)),1000)+1),""),3,400))&amp;" "&amp;CUR&amp;IF(ROUND((ROUND(MAX(J19,K19),2)-INT(ROUND(MAX(J19,K19),2)))*100,0)&gt;0," و"&amp;INDEX(تفقيط!$E$2:$E$1001,ROUND((ROUND(MAX(J19,K19),2)-INT(ROUND(MAX(J19,K19),2)))*100,0)+1),"")&amp;" لا غير")</f>
        <v/>
      </c>
    </row>
    <row r="20" customFormat="false" ht="15" hidden="false" customHeight="false" outlineLevel="0" collapsed="false">
      <c r="A20" s="62" t="str">
        <f aca="false">IF(C20="","",START_NO+COUNT(C$5:C20)-1)</f>
        <v/>
      </c>
      <c r="B20" s="63" t="str">
        <f aca="false">IF(A20="","",PREFIX&amp;"-"&amp;TEXT(C20,"yyyy")&amp;"-"&amp;A20)</f>
        <v/>
      </c>
      <c r="C20" s="56"/>
      <c r="D20" s="57"/>
      <c r="E20" s="58"/>
      <c r="F20" s="58"/>
      <c r="G20" s="57"/>
      <c r="H20" s="57"/>
      <c r="I20" s="57"/>
      <c r="J20" s="64" t="str">
        <f aca="false">IF(A20="","",SUMIFS('بنود السندات'!$F$5:$F$3004,'بنود السندات'!$A$5:$A$3004,A20))</f>
        <v/>
      </c>
      <c r="K20" s="64" t="str">
        <f aca="false">IF(A20="","",SUMIFS('بنود السندات'!$G$5:$G$3004,'بنود السندات'!$A$5:$A$3004,A20))</f>
        <v/>
      </c>
      <c r="L20" s="64" t="str">
        <f aca="false">IF(A20="","",ROUND(J20-K20,2))</f>
        <v/>
      </c>
      <c r="M20" s="63" t="str">
        <f aca="false">IF(A20="","",COUNTIF('بنود السندات'!$A$5:$A$3004,A20))</f>
        <v/>
      </c>
      <c r="N20" s="65" t="str">
        <f aca="false">IF(A20="","",IF(M20=0,"بدون بنود ⚠",IF(L20=0,"متوازن ✔","غير متوازن ✘")))</f>
        <v/>
      </c>
      <c r="O20" s="66" t="str">
        <f aca="false">IF(A20="","","فقط "&amp;IF(INT(ROUND(MAX(J20,K20),2))=0,"صفر",MID(IF(INT(INT(ROUND(MAX(J20,K20),2))/1000000)&gt;0," و"&amp;INDEX(تفقيط!$D$2:$D$1001,INT(INT(ROUND(MAX(J20,K20),2))/1000000)+1),"")&amp;IF(INT(MOD(INT(ROUND(MAX(J20,K20),2)),1000000)/1000)&gt;0," و"&amp;INDEX(تفقيط!$C$2:$C$1001,INT(MOD(INT(ROUND(MAX(J20,K20),2)),1000000)/1000)+1),"")&amp;IF(MOD(INT(ROUND(MAX(J20,K20),2)),1000)&gt;0," و"&amp;INDEX(تفقيط!$B$2:$B$1001,MOD(INT(ROUND(MAX(J20,K20),2)),1000)+1),""),3,400))&amp;" "&amp;CUR&amp;IF(ROUND((ROUND(MAX(J20,K20),2)-INT(ROUND(MAX(J20,K20),2)))*100,0)&gt;0," و"&amp;INDEX(تفقيط!$E$2:$E$1001,ROUND((ROUND(MAX(J20,K20),2)-INT(ROUND(MAX(J20,K20),2)))*100,0)+1),"")&amp;" لا غير")</f>
        <v/>
      </c>
    </row>
    <row r="21" customFormat="false" ht="15" hidden="false" customHeight="false" outlineLevel="0" collapsed="false">
      <c r="A21" s="54" t="str">
        <f aca="false">IF(C21="","",START_NO+COUNT(C$5:C21)-1)</f>
        <v/>
      </c>
      <c r="B21" s="55" t="str">
        <f aca="false">IF(A21="","",PREFIX&amp;"-"&amp;TEXT(C21,"yyyy")&amp;"-"&amp;A21)</f>
        <v/>
      </c>
      <c r="C21" s="56"/>
      <c r="D21" s="57"/>
      <c r="E21" s="58"/>
      <c r="F21" s="58"/>
      <c r="G21" s="57"/>
      <c r="H21" s="57"/>
      <c r="I21" s="57"/>
      <c r="J21" s="59" t="str">
        <f aca="false">IF(A21="","",SUMIFS('بنود السندات'!$F$5:$F$3004,'بنود السندات'!$A$5:$A$3004,A21))</f>
        <v/>
      </c>
      <c r="K21" s="59" t="str">
        <f aca="false">IF(A21="","",SUMIFS('بنود السندات'!$G$5:$G$3004,'بنود السندات'!$A$5:$A$3004,A21))</f>
        <v/>
      </c>
      <c r="L21" s="59" t="str">
        <f aca="false">IF(A21="","",ROUND(J21-K21,2))</f>
        <v/>
      </c>
      <c r="M21" s="55" t="str">
        <f aca="false">IF(A21="","",COUNTIF('بنود السندات'!$A$5:$A$3004,A21))</f>
        <v/>
      </c>
      <c r="N21" s="60" t="str">
        <f aca="false">IF(A21="","",IF(M21=0,"بدون بنود ⚠",IF(L21=0,"متوازن ✔","غير متوازن ✘")))</f>
        <v/>
      </c>
      <c r="O21" s="61" t="str">
        <f aca="false">IF(A21="","","فقط "&amp;IF(INT(ROUND(MAX(J21,K21),2))=0,"صفر",MID(IF(INT(INT(ROUND(MAX(J21,K21),2))/1000000)&gt;0," و"&amp;INDEX(تفقيط!$D$2:$D$1001,INT(INT(ROUND(MAX(J21,K21),2))/1000000)+1),"")&amp;IF(INT(MOD(INT(ROUND(MAX(J21,K21),2)),1000000)/1000)&gt;0," و"&amp;INDEX(تفقيط!$C$2:$C$1001,INT(MOD(INT(ROUND(MAX(J21,K21),2)),1000000)/1000)+1),"")&amp;IF(MOD(INT(ROUND(MAX(J21,K21),2)),1000)&gt;0," و"&amp;INDEX(تفقيط!$B$2:$B$1001,MOD(INT(ROUND(MAX(J21,K21),2)),1000)+1),""),3,400))&amp;" "&amp;CUR&amp;IF(ROUND((ROUND(MAX(J21,K21),2)-INT(ROUND(MAX(J21,K21),2)))*100,0)&gt;0," و"&amp;INDEX(تفقيط!$E$2:$E$1001,ROUND((ROUND(MAX(J21,K21),2)-INT(ROUND(MAX(J21,K21),2)))*100,0)+1),"")&amp;" لا غير")</f>
        <v/>
      </c>
    </row>
    <row r="22" customFormat="false" ht="15" hidden="false" customHeight="false" outlineLevel="0" collapsed="false">
      <c r="A22" s="62" t="str">
        <f aca="false">IF(C22="","",START_NO+COUNT(C$5:C22)-1)</f>
        <v/>
      </c>
      <c r="B22" s="63" t="str">
        <f aca="false">IF(A22="","",PREFIX&amp;"-"&amp;TEXT(C22,"yyyy")&amp;"-"&amp;A22)</f>
        <v/>
      </c>
      <c r="C22" s="56"/>
      <c r="D22" s="57"/>
      <c r="E22" s="58"/>
      <c r="F22" s="58"/>
      <c r="G22" s="57"/>
      <c r="H22" s="57"/>
      <c r="I22" s="57"/>
      <c r="J22" s="64" t="str">
        <f aca="false">IF(A22="","",SUMIFS('بنود السندات'!$F$5:$F$3004,'بنود السندات'!$A$5:$A$3004,A22))</f>
        <v/>
      </c>
      <c r="K22" s="64" t="str">
        <f aca="false">IF(A22="","",SUMIFS('بنود السندات'!$G$5:$G$3004,'بنود السندات'!$A$5:$A$3004,A22))</f>
        <v/>
      </c>
      <c r="L22" s="64" t="str">
        <f aca="false">IF(A22="","",ROUND(J22-K22,2))</f>
        <v/>
      </c>
      <c r="M22" s="63" t="str">
        <f aca="false">IF(A22="","",COUNTIF('بنود السندات'!$A$5:$A$3004,A22))</f>
        <v/>
      </c>
      <c r="N22" s="65" t="str">
        <f aca="false">IF(A22="","",IF(M22=0,"بدون بنود ⚠",IF(L22=0,"متوازن ✔","غير متوازن ✘")))</f>
        <v/>
      </c>
      <c r="O22" s="66" t="str">
        <f aca="false">IF(A22="","","فقط "&amp;IF(INT(ROUND(MAX(J22,K22),2))=0,"صفر",MID(IF(INT(INT(ROUND(MAX(J22,K22),2))/1000000)&gt;0," و"&amp;INDEX(تفقيط!$D$2:$D$1001,INT(INT(ROUND(MAX(J22,K22),2))/1000000)+1),"")&amp;IF(INT(MOD(INT(ROUND(MAX(J22,K22),2)),1000000)/1000)&gt;0," و"&amp;INDEX(تفقيط!$C$2:$C$1001,INT(MOD(INT(ROUND(MAX(J22,K22),2)),1000000)/1000)+1),"")&amp;IF(MOD(INT(ROUND(MAX(J22,K22),2)),1000)&gt;0," و"&amp;INDEX(تفقيط!$B$2:$B$1001,MOD(INT(ROUND(MAX(J22,K22),2)),1000)+1),""),3,400))&amp;" "&amp;CUR&amp;IF(ROUND((ROUND(MAX(J22,K22),2)-INT(ROUND(MAX(J22,K22),2)))*100,0)&gt;0," و"&amp;INDEX(تفقيط!$E$2:$E$1001,ROUND((ROUND(MAX(J22,K22),2)-INT(ROUND(MAX(J22,K22),2)))*100,0)+1),"")&amp;" لا غير")</f>
        <v/>
      </c>
    </row>
    <row r="23" customFormat="false" ht="15" hidden="false" customHeight="false" outlineLevel="0" collapsed="false">
      <c r="A23" s="54" t="str">
        <f aca="false">IF(C23="","",START_NO+COUNT(C$5:C23)-1)</f>
        <v/>
      </c>
      <c r="B23" s="55" t="str">
        <f aca="false">IF(A23="","",PREFIX&amp;"-"&amp;TEXT(C23,"yyyy")&amp;"-"&amp;A23)</f>
        <v/>
      </c>
      <c r="C23" s="56"/>
      <c r="D23" s="57"/>
      <c r="E23" s="58"/>
      <c r="F23" s="58"/>
      <c r="G23" s="57"/>
      <c r="H23" s="57"/>
      <c r="I23" s="57"/>
      <c r="J23" s="59" t="str">
        <f aca="false">IF(A23="","",SUMIFS('بنود السندات'!$F$5:$F$3004,'بنود السندات'!$A$5:$A$3004,A23))</f>
        <v/>
      </c>
      <c r="K23" s="59" t="str">
        <f aca="false">IF(A23="","",SUMIFS('بنود السندات'!$G$5:$G$3004,'بنود السندات'!$A$5:$A$3004,A23))</f>
        <v/>
      </c>
      <c r="L23" s="59" t="str">
        <f aca="false">IF(A23="","",ROUND(J23-K23,2))</f>
        <v/>
      </c>
      <c r="M23" s="55" t="str">
        <f aca="false">IF(A23="","",COUNTIF('بنود السندات'!$A$5:$A$3004,A23))</f>
        <v/>
      </c>
      <c r="N23" s="60" t="str">
        <f aca="false">IF(A23="","",IF(M23=0,"بدون بنود ⚠",IF(L23=0,"متوازن ✔","غير متوازن ✘")))</f>
        <v/>
      </c>
      <c r="O23" s="61" t="str">
        <f aca="false">IF(A23="","","فقط "&amp;IF(INT(ROUND(MAX(J23,K23),2))=0,"صفر",MID(IF(INT(INT(ROUND(MAX(J23,K23),2))/1000000)&gt;0," و"&amp;INDEX(تفقيط!$D$2:$D$1001,INT(INT(ROUND(MAX(J23,K23),2))/1000000)+1),"")&amp;IF(INT(MOD(INT(ROUND(MAX(J23,K23),2)),1000000)/1000)&gt;0," و"&amp;INDEX(تفقيط!$C$2:$C$1001,INT(MOD(INT(ROUND(MAX(J23,K23),2)),1000000)/1000)+1),"")&amp;IF(MOD(INT(ROUND(MAX(J23,K23),2)),1000)&gt;0," و"&amp;INDEX(تفقيط!$B$2:$B$1001,MOD(INT(ROUND(MAX(J23,K23),2)),1000)+1),""),3,400))&amp;" "&amp;CUR&amp;IF(ROUND((ROUND(MAX(J23,K23),2)-INT(ROUND(MAX(J23,K23),2)))*100,0)&gt;0," و"&amp;INDEX(تفقيط!$E$2:$E$1001,ROUND((ROUND(MAX(J23,K23),2)-INT(ROUND(MAX(J23,K23),2)))*100,0)+1),"")&amp;" لا غير")</f>
        <v/>
      </c>
    </row>
    <row r="24" customFormat="false" ht="15" hidden="false" customHeight="false" outlineLevel="0" collapsed="false">
      <c r="A24" s="62" t="str">
        <f aca="false">IF(C24="","",START_NO+COUNT(C$5:C24)-1)</f>
        <v/>
      </c>
      <c r="B24" s="63" t="str">
        <f aca="false">IF(A24="","",PREFIX&amp;"-"&amp;TEXT(C24,"yyyy")&amp;"-"&amp;A24)</f>
        <v/>
      </c>
      <c r="C24" s="56"/>
      <c r="D24" s="57"/>
      <c r="E24" s="58"/>
      <c r="F24" s="58"/>
      <c r="G24" s="57"/>
      <c r="H24" s="57"/>
      <c r="I24" s="57"/>
      <c r="J24" s="64" t="str">
        <f aca="false">IF(A24="","",SUMIFS('بنود السندات'!$F$5:$F$3004,'بنود السندات'!$A$5:$A$3004,A24))</f>
        <v/>
      </c>
      <c r="K24" s="64" t="str">
        <f aca="false">IF(A24="","",SUMIFS('بنود السندات'!$G$5:$G$3004,'بنود السندات'!$A$5:$A$3004,A24))</f>
        <v/>
      </c>
      <c r="L24" s="64" t="str">
        <f aca="false">IF(A24="","",ROUND(J24-K24,2))</f>
        <v/>
      </c>
      <c r="M24" s="63" t="str">
        <f aca="false">IF(A24="","",COUNTIF('بنود السندات'!$A$5:$A$3004,A24))</f>
        <v/>
      </c>
      <c r="N24" s="65" t="str">
        <f aca="false">IF(A24="","",IF(M24=0,"بدون بنود ⚠",IF(L24=0,"متوازن ✔","غير متوازن ✘")))</f>
        <v/>
      </c>
      <c r="O24" s="66" t="str">
        <f aca="false">IF(A24="","","فقط "&amp;IF(INT(ROUND(MAX(J24,K24),2))=0,"صفر",MID(IF(INT(INT(ROUND(MAX(J24,K24),2))/1000000)&gt;0," و"&amp;INDEX(تفقيط!$D$2:$D$1001,INT(INT(ROUND(MAX(J24,K24),2))/1000000)+1),"")&amp;IF(INT(MOD(INT(ROUND(MAX(J24,K24),2)),1000000)/1000)&gt;0," و"&amp;INDEX(تفقيط!$C$2:$C$1001,INT(MOD(INT(ROUND(MAX(J24,K24),2)),1000000)/1000)+1),"")&amp;IF(MOD(INT(ROUND(MAX(J24,K24),2)),1000)&gt;0," و"&amp;INDEX(تفقيط!$B$2:$B$1001,MOD(INT(ROUND(MAX(J24,K24),2)),1000)+1),""),3,400))&amp;" "&amp;CUR&amp;IF(ROUND((ROUND(MAX(J24,K24),2)-INT(ROUND(MAX(J24,K24),2)))*100,0)&gt;0," و"&amp;INDEX(تفقيط!$E$2:$E$1001,ROUND((ROUND(MAX(J24,K24),2)-INT(ROUND(MAX(J24,K24),2)))*100,0)+1),"")&amp;" لا غير")</f>
        <v/>
      </c>
    </row>
    <row r="25" customFormat="false" ht="15" hidden="false" customHeight="false" outlineLevel="0" collapsed="false">
      <c r="A25" s="54" t="str">
        <f aca="false">IF(C25="","",START_NO+COUNT(C$5:C25)-1)</f>
        <v/>
      </c>
      <c r="B25" s="55" t="str">
        <f aca="false">IF(A25="","",PREFIX&amp;"-"&amp;TEXT(C25,"yyyy")&amp;"-"&amp;A25)</f>
        <v/>
      </c>
      <c r="C25" s="56"/>
      <c r="D25" s="57"/>
      <c r="E25" s="58"/>
      <c r="F25" s="58"/>
      <c r="G25" s="57"/>
      <c r="H25" s="57"/>
      <c r="I25" s="57"/>
      <c r="J25" s="59" t="str">
        <f aca="false">IF(A25="","",SUMIFS('بنود السندات'!$F$5:$F$3004,'بنود السندات'!$A$5:$A$3004,A25))</f>
        <v/>
      </c>
      <c r="K25" s="59" t="str">
        <f aca="false">IF(A25="","",SUMIFS('بنود السندات'!$G$5:$G$3004,'بنود السندات'!$A$5:$A$3004,A25))</f>
        <v/>
      </c>
      <c r="L25" s="59" t="str">
        <f aca="false">IF(A25="","",ROUND(J25-K25,2))</f>
        <v/>
      </c>
      <c r="M25" s="55" t="str">
        <f aca="false">IF(A25="","",COUNTIF('بنود السندات'!$A$5:$A$3004,A25))</f>
        <v/>
      </c>
      <c r="N25" s="60" t="str">
        <f aca="false">IF(A25="","",IF(M25=0,"بدون بنود ⚠",IF(L25=0,"متوازن ✔","غير متوازن ✘")))</f>
        <v/>
      </c>
      <c r="O25" s="61" t="str">
        <f aca="false">IF(A25="","","فقط "&amp;IF(INT(ROUND(MAX(J25,K25),2))=0,"صفر",MID(IF(INT(INT(ROUND(MAX(J25,K25),2))/1000000)&gt;0," و"&amp;INDEX(تفقيط!$D$2:$D$1001,INT(INT(ROUND(MAX(J25,K25),2))/1000000)+1),"")&amp;IF(INT(MOD(INT(ROUND(MAX(J25,K25),2)),1000000)/1000)&gt;0," و"&amp;INDEX(تفقيط!$C$2:$C$1001,INT(MOD(INT(ROUND(MAX(J25,K25),2)),1000000)/1000)+1),"")&amp;IF(MOD(INT(ROUND(MAX(J25,K25),2)),1000)&gt;0," و"&amp;INDEX(تفقيط!$B$2:$B$1001,MOD(INT(ROUND(MAX(J25,K25),2)),1000)+1),""),3,400))&amp;" "&amp;CUR&amp;IF(ROUND((ROUND(MAX(J25,K25),2)-INT(ROUND(MAX(J25,K25),2)))*100,0)&gt;0," و"&amp;INDEX(تفقيط!$E$2:$E$1001,ROUND((ROUND(MAX(J25,K25),2)-INT(ROUND(MAX(J25,K25),2)))*100,0)+1),"")&amp;" لا غير")</f>
        <v/>
      </c>
    </row>
    <row r="26" customFormat="false" ht="15" hidden="false" customHeight="false" outlineLevel="0" collapsed="false">
      <c r="A26" s="62" t="str">
        <f aca="false">IF(C26="","",START_NO+COUNT(C$5:C26)-1)</f>
        <v/>
      </c>
      <c r="B26" s="63" t="str">
        <f aca="false">IF(A26="","",PREFIX&amp;"-"&amp;TEXT(C26,"yyyy")&amp;"-"&amp;A26)</f>
        <v/>
      </c>
      <c r="C26" s="56"/>
      <c r="D26" s="57"/>
      <c r="E26" s="58"/>
      <c r="F26" s="58"/>
      <c r="G26" s="57"/>
      <c r="H26" s="57"/>
      <c r="I26" s="57"/>
      <c r="J26" s="64" t="str">
        <f aca="false">IF(A26="","",SUMIFS('بنود السندات'!$F$5:$F$3004,'بنود السندات'!$A$5:$A$3004,A26))</f>
        <v/>
      </c>
      <c r="K26" s="64" t="str">
        <f aca="false">IF(A26="","",SUMIFS('بنود السندات'!$G$5:$G$3004,'بنود السندات'!$A$5:$A$3004,A26))</f>
        <v/>
      </c>
      <c r="L26" s="64" t="str">
        <f aca="false">IF(A26="","",ROUND(J26-K26,2))</f>
        <v/>
      </c>
      <c r="M26" s="63" t="str">
        <f aca="false">IF(A26="","",COUNTIF('بنود السندات'!$A$5:$A$3004,A26))</f>
        <v/>
      </c>
      <c r="N26" s="65" t="str">
        <f aca="false">IF(A26="","",IF(M26=0,"بدون بنود ⚠",IF(L26=0,"متوازن ✔","غير متوازن ✘")))</f>
        <v/>
      </c>
      <c r="O26" s="66" t="str">
        <f aca="false">IF(A26="","","فقط "&amp;IF(INT(ROUND(MAX(J26,K26),2))=0,"صفر",MID(IF(INT(INT(ROUND(MAX(J26,K26),2))/1000000)&gt;0," و"&amp;INDEX(تفقيط!$D$2:$D$1001,INT(INT(ROUND(MAX(J26,K26),2))/1000000)+1),"")&amp;IF(INT(MOD(INT(ROUND(MAX(J26,K26),2)),1000000)/1000)&gt;0," و"&amp;INDEX(تفقيط!$C$2:$C$1001,INT(MOD(INT(ROUND(MAX(J26,K26),2)),1000000)/1000)+1),"")&amp;IF(MOD(INT(ROUND(MAX(J26,K26),2)),1000)&gt;0," و"&amp;INDEX(تفقيط!$B$2:$B$1001,MOD(INT(ROUND(MAX(J26,K26),2)),1000)+1),""),3,400))&amp;" "&amp;CUR&amp;IF(ROUND((ROUND(MAX(J26,K26),2)-INT(ROUND(MAX(J26,K26),2)))*100,0)&gt;0," و"&amp;INDEX(تفقيط!$E$2:$E$1001,ROUND((ROUND(MAX(J26,K26),2)-INT(ROUND(MAX(J26,K26),2)))*100,0)+1),"")&amp;" لا غير")</f>
        <v/>
      </c>
    </row>
    <row r="27" customFormat="false" ht="15" hidden="false" customHeight="false" outlineLevel="0" collapsed="false">
      <c r="A27" s="54" t="str">
        <f aca="false">IF(C27="","",START_NO+COUNT(C$5:C27)-1)</f>
        <v/>
      </c>
      <c r="B27" s="55" t="str">
        <f aca="false">IF(A27="","",PREFIX&amp;"-"&amp;TEXT(C27,"yyyy")&amp;"-"&amp;A27)</f>
        <v/>
      </c>
      <c r="C27" s="56"/>
      <c r="D27" s="57"/>
      <c r="E27" s="58"/>
      <c r="F27" s="58"/>
      <c r="G27" s="57"/>
      <c r="H27" s="57"/>
      <c r="I27" s="57"/>
      <c r="J27" s="59" t="str">
        <f aca="false">IF(A27="","",SUMIFS('بنود السندات'!$F$5:$F$3004,'بنود السندات'!$A$5:$A$3004,A27))</f>
        <v/>
      </c>
      <c r="K27" s="59" t="str">
        <f aca="false">IF(A27="","",SUMIFS('بنود السندات'!$G$5:$G$3004,'بنود السندات'!$A$5:$A$3004,A27))</f>
        <v/>
      </c>
      <c r="L27" s="59" t="str">
        <f aca="false">IF(A27="","",ROUND(J27-K27,2))</f>
        <v/>
      </c>
      <c r="M27" s="55" t="str">
        <f aca="false">IF(A27="","",COUNTIF('بنود السندات'!$A$5:$A$3004,A27))</f>
        <v/>
      </c>
      <c r="N27" s="60" t="str">
        <f aca="false">IF(A27="","",IF(M27=0,"بدون بنود ⚠",IF(L27=0,"متوازن ✔","غير متوازن ✘")))</f>
        <v/>
      </c>
      <c r="O27" s="61" t="str">
        <f aca="false">IF(A27="","","فقط "&amp;IF(INT(ROUND(MAX(J27,K27),2))=0,"صفر",MID(IF(INT(INT(ROUND(MAX(J27,K27),2))/1000000)&gt;0," و"&amp;INDEX(تفقيط!$D$2:$D$1001,INT(INT(ROUND(MAX(J27,K27),2))/1000000)+1),"")&amp;IF(INT(MOD(INT(ROUND(MAX(J27,K27),2)),1000000)/1000)&gt;0," و"&amp;INDEX(تفقيط!$C$2:$C$1001,INT(MOD(INT(ROUND(MAX(J27,K27),2)),1000000)/1000)+1),"")&amp;IF(MOD(INT(ROUND(MAX(J27,K27),2)),1000)&gt;0," و"&amp;INDEX(تفقيط!$B$2:$B$1001,MOD(INT(ROUND(MAX(J27,K27),2)),1000)+1),""),3,400))&amp;" "&amp;CUR&amp;IF(ROUND((ROUND(MAX(J27,K27),2)-INT(ROUND(MAX(J27,K27),2)))*100,0)&gt;0," و"&amp;INDEX(تفقيط!$E$2:$E$1001,ROUND((ROUND(MAX(J27,K27),2)-INT(ROUND(MAX(J27,K27),2)))*100,0)+1),"")&amp;" لا غير")</f>
        <v/>
      </c>
    </row>
    <row r="28" customFormat="false" ht="15" hidden="false" customHeight="false" outlineLevel="0" collapsed="false">
      <c r="A28" s="62" t="str">
        <f aca="false">IF(C28="","",START_NO+COUNT(C$5:C28)-1)</f>
        <v/>
      </c>
      <c r="B28" s="63" t="str">
        <f aca="false">IF(A28="","",PREFIX&amp;"-"&amp;TEXT(C28,"yyyy")&amp;"-"&amp;A28)</f>
        <v/>
      </c>
      <c r="C28" s="56"/>
      <c r="D28" s="57"/>
      <c r="E28" s="58"/>
      <c r="F28" s="58"/>
      <c r="G28" s="57"/>
      <c r="H28" s="57"/>
      <c r="I28" s="57"/>
      <c r="J28" s="64" t="str">
        <f aca="false">IF(A28="","",SUMIFS('بنود السندات'!$F$5:$F$3004,'بنود السندات'!$A$5:$A$3004,A28))</f>
        <v/>
      </c>
      <c r="K28" s="64" t="str">
        <f aca="false">IF(A28="","",SUMIFS('بنود السندات'!$G$5:$G$3004,'بنود السندات'!$A$5:$A$3004,A28))</f>
        <v/>
      </c>
      <c r="L28" s="64" t="str">
        <f aca="false">IF(A28="","",ROUND(J28-K28,2))</f>
        <v/>
      </c>
      <c r="M28" s="63" t="str">
        <f aca="false">IF(A28="","",COUNTIF('بنود السندات'!$A$5:$A$3004,A28))</f>
        <v/>
      </c>
      <c r="N28" s="65" t="str">
        <f aca="false">IF(A28="","",IF(M28=0,"بدون بنود ⚠",IF(L28=0,"متوازن ✔","غير متوازن ✘")))</f>
        <v/>
      </c>
      <c r="O28" s="66" t="str">
        <f aca="false">IF(A28="","","فقط "&amp;IF(INT(ROUND(MAX(J28,K28),2))=0,"صفر",MID(IF(INT(INT(ROUND(MAX(J28,K28),2))/1000000)&gt;0," و"&amp;INDEX(تفقيط!$D$2:$D$1001,INT(INT(ROUND(MAX(J28,K28),2))/1000000)+1),"")&amp;IF(INT(MOD(INT(ROUND(MAX(J28,K28),2)),1000000)/1000)&gt;0," و"&amp;INDEX(تفقيط!$C$2:$C$1001,INT(MOD(INT(ROUND(MAX(J28,K28),2)),1000000)/1000)+1),"")&amp;IF(MOD(INT(ROUND(MAX(J28,K28),2)),1000)&gt;0," و"&amp;INDEX(تفقيط!$B$2:$B$1001,MOD(INT(ROUND(MAX(J28,K28),2)),1000)+1),""),3,400))&amp;" "&amp;CUR&amp;IF(ROUND((ROUND(MAX(J28,K28),2)-INT(ROUND(MAX(J28,K28),2)))*100,0)&gt;0," و"&amp;INDEX(تفقيط!$E$2:$E$1001,ROUND((ROUND(MAX(J28,K28),2)-INT(ROUND(MAX(J28,K28),2)))*100,0)+1),"")&amp;" لا غير")</f>
        <v/>
      </c>
    </row>
    <row r="29" customFormat="false" ht="15" hidden="false" customHeight="false" outlineLevel="0" collapsed="false">
      <c r="A29" s="54" t="str">
        <f aca="false">IF(C29="","",START_NO+COUNT(C$5:C29)-1)</f>
        <v/>
      </c>
      <c r="B29" s="55" t="str">
        <f aca="false">IF(A29="","",PREFIX&amp;"-"&amp;TEXT(C29,"yyyy")&amp;"-"&amp;A29)</f>
        <v/>
      </c>
      <c r="C29" s="56"/>
      <c r="D29" s="57"/>
      <c r="E29" s="58"/>
      <c r="F29" s="58"/>
      <c r="G29" s="57"/>
      <c r="H29" s="57"/>
      <c r="I29" s="57"/>
      <c r="J29" s="59" t="str">
        <f aca="false">IF(A29="","",SUMIFS('بنود السندات'!$F$5:$F$3004,'بنود السندات'!$A$5:$A$3004,A29))</f>
        <v/>
      </c>
      <c r="K29" s="59" t="str">
        <f aca="false">IF(A29="","",SUMIFS('بنود السندات'!$G$5:$G$3004,'بنود السندات'!$A$5:$A$3004,A29))</f>
        <v/>
      </c>
      <c r="L29" s="59" t="str">
        <f aca="false">IF(A29="","",ROUND(J29-K29,2))</f>
        <v/>
      </c>
      <c r="M29" s="55" t="str">
        <f aca="false">IF(A29="","",COUNTIF('بنود السندات'!$A$5:$A$3004,A29))</f>
        <v/>
      </c>
      <c r="N29" s="60" t="str">
        <f aca="false">IF(A29="","",IF(M29=0,"بدون بنود ⚠",IF(L29=0,"متوازن ✔","غير متوازن ✘")))</f>
        <v/>
      </c>
      <c r="O29" s="61" t="str">
        <f aca="false">IF(A29="","","فقط "&amp;IF(INT(ROUND(MAX(J29,K29),2))=0,"صفر",MID(IF(INT(INT(ROUND(MAX(J29,K29),2))/1000000)&gt;0," و"&amp;INDEX(تفقيط!$D$2:$D$1001,INT(INT(ROUND(MAX(J29,K29),2))/1000000)+1),"")&amp;IF(INT(MOD(INT(ROUND(MAX(J29,K29),2)),1000000)/1000)&gt;0," و"&amp;INDEX(تفقيط!$C$2:$C$1001,INT(MOD(INT(ROUND(MAX(J29,K29),2)),1000000)/1000)+1),"")&amp;IF(MOD(INT(ROUND(MAX(J29,K29),2)),1000)&gt;0," و"&amp;INDEX(تفقيط!$B$2:$B$1001,MOD(INT(ROUND(MAX(J29,K29),2)),1000)+1),""),3,400))&amp;" "&amp;CUR&amp;IF(ROUND((ROUND(MAX(J29,K29),2)-INT(ROUND(MAX(J29,K29),2)))*100,0)&gt;0," و"&amp;INDEX(تفقيط!$E$2:$E$1001,ROUND((ROUND(MAX(J29,K29),2)-INT(ROUND(MAX(J29,K29),2)))*100,0)+1),"")&amp;" لا غير")</f>
        <v/>
      </c>
    </row>
    <row r="30" customFormat="false" ht="15" hidden="false" customHeight="false" outlineLevel="0" collapsed="false">
      <c r="A30" s="62" t="str">
        <f aca="false">IF(C30="","",START_NO+COUNT(C$5:C30)-1)</f>
        <v/>
      </c>
      <c r="B30" s="63" t="str">
        <f aca="false">IF(A30="","",PREFIX&amp;"-"&amp;TEXT(C30,"yyyy")&amp;"-"&amp;A30)</f>
        <v/>
      </c>
      <c r="C30" s="56"/>
      <c r="D30" s="57"/>
      <c r="E30" s="58"/>
      <c r="F30" s="58"/>
      <c r="G30" s="57"/>
      <c r="H30" s="57"/>
      <c r="I30" s="57"/>
      <c r="J30" s="64" t="str">
        <f aca="false">IF(A30="","",SUMIFS('بنود السندات'!$F$5:$F$3004,'بنود السندات'!$A$5:$A$3004,A30))</f>
        <v/>
      </c>
      <c r="K30" s="64" t="str">
        <f aca="false">IF(A30="","",SUMIFS('بنود السندات'!$G$5:$G$3004,'بنود السندات'!$A$5:$A$3004,A30))</f>
        <v/>
      </c>
      <c r="L30" s="64" t="str">
        <f aca="false">IF(A30="","",ROUND(J30-K30,2))</f>
        <v/>
      </c>
      <c r="M30" s="63" t="str">
        <f aca="false">IF(A30="","",COUNTIF('بنود السندات'!$A$5:$A$3004,A30))</f>
        <v/>
      </c>
      <c r="N30" s="65" t="str">
        <f aca="false">IF(A30="","",IF(M30=0,"بدون بنود ⚠",IF(L30=0,"متوازن ✔","غير متوازن ✘")))</f>
        <v/>
      </c>
      <c r="O30" s="66" t="str">
        <f aca="false">IF(A30="","","فقط "&amp;IF(INT(ROUND(MAX(J30,K30),2))=0,"صفر",MID(IF(INT(INT(ROUND(MAX(J30,K30),2))/1000000)&gt;0," و"&amp;INDEX(تفقيط!$D$2:$D$1001,INT(INT(ROUND(MAX(J30,K30),2))/1000000)+1),"")&amp;IF(INT(MOD(INT(ROUND(MAX(J30,K30),2)),1000000)/1000)&gt;0," و"&amp;INDEX(تفقيط!$C$2:$C$1001,INT(MOD(INT(ROUND(MAX(J30,K30),2)),1000000)/1000)+1),"")&amp;IF(MOD(INT(ROUND(MAX(J30,K30),2)),1000)&gt;0," و"&amp;INDEX(تفقيط!$B$2:$B$1001,MOD(INT(ROUND(MAX(J30,K30),2)),1000)+1),""),3,400))&amp;" "&amp;CUR&amp;IF(ROUND((ROUND(MAX(J30,K30),2)-INT(ROUND(MAX(J30,K30),2)))*100,0)&gt;0," و"&amp;INDEX(تفقيط!$E$2:$E$1001,ROUND((ROUND(MAX(J30,K30),2)-INT(ROUND(MAX(J30,K30),2)))*100,0)+1),"")&amp;" لا غير")</f>
        <v/>
      </c>
    </row>
    <row r="31" customFormat="false" ht="15" hidden="false" customHeight="false" outlineLevel="0" collapsed="false">
      <c r="A31" s="54" t="str">
        <f aca="false">IF(C31="","",START_NO+COUNT(C$5:C31)-1)</f>
        <v/>
      </c>
      <c r="B31" s="55" t="str">
        <f aca="false">IF(A31="","",PREFIX&amp;"-"&amp;TEXT(C31,"yyyy")&amp;"-"&amp;A31)</f>
        <v/>
      </c>
      <c r="C31" s="56"/>
      <c r="D31" s="57"/>
      <c r="E31" s="58"/>
      <c r="F31" s="58"/>
      <c r="G31" s="57"/>
      <c r="H31" s="57"/>
      <c r="I31" s="57"/>
      <c r="J31" s="59" t="str">
        <f aca="false">IF(A31="","",SUMIFS('بنود السندات'!$F$5:$F$3004,'بنود السندات'!$A$5:$A$3004,A31))</f>
        <v/>
      </c>
      <c r="K31" s="59" t="str">
        <f aca="false">IF(A31="","",SUMIFS('بنود السندات'!$G$5:$G$3004,'بنود السندات'!$A$5:$A$3004,A31))</f>
        <v/>
      </c>
      <c r="L31" s="59" t="str">
        <f aca="false">IF(A31="","",ROUND(J31-K31,2))</f>
        <v/>
      </c>
      <c r="M31" s="55" t="str">
        <f aca="false">IF(A31="","",COUNTIF('بنود السندات'!$A$5:$A$3004,A31))</f>
        <v/>
      </c>
      <c r="N31" s="60" t="str">
        <f aca="false">IF(A31="","",IF(M31=0,"بدون بنود ⚠",IF(L31=0,"متوازن ✔","غير متوازن ✘")))</f>
        <v/>
      </c>
      <c r="O31" s="61" t="str">
        <f aca="false">IF(A31="","","فقط "&amp;IF(INT(ROUND(MAX(J31,K31),2))=0,"صفر",MID(IF(INT(INT(ROUND(MAX(J31,K31),2))/1000000)&gt;0," و"&amp;INDEX(تفقيط!$D$2:$D$1001,INT(INT(ROUND(MAX(J31,K31),2))/1000000)+1),"")&amp;IF(INT(MOD(INT(ROUND(MAX(J31,K31),2)),1000000)/1000)&gt;0," و"&amp;INDEX(تفقيط!$C$2:$C$1001,INT(MOD(INT(ROUND(MAX(J31,K31),2)),1000000)/1000)+1),"")&amp;IF(MOD(INT(ROUND(MAX(J31,K31),2)),1000)&gt;0," و"&amp;INDEX(تفقيط!$B$2:$B$1001,MOD(INT(ROUND(MAX(J31,K31),2)),1000)+1),""),3,400))&amp;" "&amp;CUR&amp;IF(ROUND((ROUND(MAX(J31,K31),2)-INT(ROUND(MAX(J31,K31),2)))*100,0)&gt;0," و"&amp;INDEX(تفقيط!$E$2:$E$1001,ROUND((ROUND(MAX(J31,K31),2)-INT(ROUND(MAX(J31,K31),2)))*100,0)+1),"")&amp;" لا غير")</f>
        <v/>
      </c>
    </row>
    <row r="32" customFormat="false" ht="15" hidden="false" customHeight="false" outlineLevel="0" collapsed="false">
      <c r="A32" s="62" t="str">
        <f aca="false">IF(C32="","",START_NO+COUNT(C$5:C32)-1)</f>
        <v/>
      </c>
      <c r="B32" s="63" t="str">
        <f aca="false">IF(A32="","",PREFIX&amp;"-"&amp;TEXT(C32,"yyyy")&amp;"-"&amp;A32)</f>
        <v/>
      </c>
      <c r="C32" s="56"/>
      <c r="D32" s="57"/>
      <c r="E32" s="58"/>
      <c r="F32" s="58"/>
      <c r="G32" s="57"/>
      <c r="H32" s="57"/>
      <c r="I32" s="57"/>
      <c r="J32" s="64" t="str">
        <f aca="false">IF(A32="","",SUMIFS('بنود السندات'!$F$5:$F$3004,'بنود السندات'!$A$5:$A$3004,A32))</f>
        <v/>
      </c>
      <c r="K32" s="64" t="str">
        <f aca="false">IF(A32="","",SUMIFS('بنود السندات'!$G$5:$G$3004,'بنود السندات'!$A$5:$A$3004,A32))</f>
        <v/>
      </c>
      <c r="L32" s="64" t="str">
        <f aca="false">IF(A32="","",ROUND(J32-K32,2))</f>
        <v/>
      </c>
      <c r="M32" s="63" t="str">
        <f aca="false">IF(A32="","",COUNTIF('بنود السندات'!$A$5:$A$3004,A32))</f>
        <v/>
      </c>
      <c r="N32" s="65" t="str">
        <f aca="false">IF(A32="","",IF(M32=0,"بدون بنود ⚠",IF(L32=0,"متوازن ✔","غير متوازن ✘")))</f>
        <v/>
      </c>
      <c r="O32" s="66" t="str">
        <f aca="false">IF(A32="","","فقط "&amp;IF(INT(ROUND(MAX(J32,K32),2))=0,"صفر",MID(IF(INT(INT(ROUND(MAX(J32,K32),2))/1000000)&gt;0," و"&amp;INDEX(تفقيط!$D$2:$D$1001,INT(INT(ROUND(MAX(J32,K32),2))/1000000)+1),"")&amp;IF(INT(MOD(INT(ROUND(MAX(J32,K32),2)),1000000)/1000)&gt;0," و"&amp;INDEX(تفقيط!$C$2:$C$1001,INT(MOD(INT(ROUND(MAX(J32,K32),2)),1000000)/1000)+1),"")&amp;IF(MOD(INT(ROUND(MAX(J32,K32),2)),1000)&gt;0," و"&amp;INDEX(تفقيط!$B$2:$B$1001,MOD(INT(ROUND(MAX(J32,K32),2)),1000)+1),""),3,400))&amp;" "&amp;CUR&amp;IF(ROUND((ROUND(MAX(J32,K32),2)-INT(ROUND(MAX(J32,K32),2)))*100,0)&gt;0," و"&amp;INDEX(تفقيط!$E$2:$E$1001,ROUND((ROUND(MAX(J32,K32),2)-INT(ROUND(MAX(J32,K32),2)))*100,0)+1),"")&amp;" لا غير")</f>
        <v/>
      </c>
    </row>
    <row r="33" customFormat="false" ht="15" hidden="false" customHeight="false" outlineLevel="0" collapsed="false">
      <c r="A33" s="54" t="str">
        <f aca="false">IF(C33="","",START_NO+COUNT(C$5:C33)-1)</f>
        <v/>
      </c>
      <c r="B33" s="55" t="str">
        <f aca="false">IF(A33="","",PREFIX&amp;"-"&amp;TEXT(C33,"yyyy")&amp;"-"&amp;A33)</f>
        <v/>
      </c>
      <c r="C33" s="56"/>
      <c r="D33" s="57"/>
      <c r="E33" s="58"/>
      <c r="F33" s="58"/>
      <c r="G33" s="57"/>
      <c r="H33" s="57"/>
      <c r="I33" s="57"/>
      <c r="J33" s="59" t="str">
        <f aca="false">IF(A33="","",SUMIFS('بنود السندات'!$F$5:$F$3004,'بنود السندات'!$A$5:$A$3004,A33))</f>
        <v/>
      </c>
      <c r="K33" s="59" t="str">
        <f aca="false">IF(A33="","",SUMIFS('بنود السندات'!$G$5:$G$3004,'بنود السندات'!$A$5:$A$3004,A33))</f>
        <v/>
      </c>
      <c r="L33" s="59" t="str">
        <f aca="false">IF(A33="","",ROUND(J33-K33,2))</f>
        <v/>
      </c>
      <c r="M33" s="55" t="str">
        <f aca="false">IF(A33="","",COUNTIF('بنود السندات'!$A$5:$A$3004,A33))</f>
        <v/>
      </c>
      <c r="N33" s="60" t="str">
        <f aca="false">IF(A33="","",IF(M33=0,"بدون بنود ⚠",IF(L33=0,"متوازن ✔","غير متوازن ✘")))</f>
        <v/>
      </c>
      <c r="O33" s="61" t="str">
        <f aca="false">IF(A33="","","فقط "&amp;IF(INT(ROUND(MAX(J33,K33),2))=0,"صفر",MID(IF(INT(INT(ROUND(MAX(J33,K33),2))/1000000)&gt;0," و"&amp;INDEX(تفقيط!$D$2:$D$1001,INT(INT(ROUND(MAX(J33,K33),2))/1000000)+1),"")&amp;IF(INT(MOD(INT(ROUND(MAX(J33,K33),2)),1000000)/1000)&gt;0," و"&amp;INDEX(تفقيط!$C$2:$C$1001,INT(MOD(INT(ROUND(MAX(J33,K33),2)),1000000)/1000)+1),"")&amp;IF(MOD(INT(ROUND(MAX(J33,K33),2)),1000)&gt;0," و"&amp;INDEX(تفقيط!$B$2:$B$1001,MOD(INT(ROUND(MAX(J33,K33),2)),1000)+1),""),3,400))&amp;" "&amp;CUR&amp;IF(ROUND((ROUND(MAX(J33,K33),2)-INT(ROUND(MAX(J33,K33),2)))*100,0)&gt;0," و"&amp;INDEX(تفقيط!$E$2:$E$1001,ROUND((ROUND(MAX(J33,K33),2)-INT(ROUND(MAX(J33,K33),2)))*100,0)+1),"")&amp;" لا غير")</f>
        <v/>
      </c>
    </row>
    <row r="34" customFormat="false" ht="15" hidden="false" customHeight="false" outlineLevel="0" collapsed="false">
      <c r="A34" s="62" t="str">
        <f aca="false">IF(C34="","",START_NO+COUNT(C$5:C34)-1)</f>
        <v/>
      </c>
      <c r="B34" s="63" t="str">
        <f aca="false">IF(A34="","",PREFIX&amp;"-"&amp;TEXT(C34,"yyyy")&amp;"-"&amp;A34)</f>
        <v/>
      </c>
      <c r="C34" s="56"/>
      <c r="D34" s="57"/>
      <c r="E34" s="58"/>
      <c r="F34" s="58"/>
      <c r="G34" s="57"/>
      <c r="H34" s="57"/>
      <c r="I34" s="57"/>
      <c r="J34" s="64" t="str">
        <f aca="false">IF(A34="","",SUMIFS('بنود السندات'!$F$5:$F$3004,'بنود السندات'!$A$5:$A$3004,A34))</f>
        <v/>
      </c>
      <c r="K34" s="64" t="str">
        <f aca="false">IF(A34="","",SUMIFS('بنود السندات'!$G$5:$G$3004,'بنود السندات'!$A$5:$A$3004,A34))</f>
        <v/>
      </c>
      <c r="L34" s="64" t="str">
        <f aca="false">IF(A34="","",ROUND(J34-K34,2))</f>
        <v/>
      </c>
      <c r="M34" s="63" t="str">
        <f aca="false">IF(A34="","",COUNTIF('بنود السندات'!$A$5:$A$3004,A34))</f>
        <v/>
      </c>
      <c r="N34" s="65" t="str">
        <f aca="false">IF(A34="","",IF(M34=0,"بدون بنود ⚠",IF(L34=0,"متوازن ✔","غير متوازن ✘")))</f>
        <v/>
      </c>
      <c r="O34" s="66" t="str">
        <f aca="false">IF(A34="","","فقط "&amp;IF(INT(ROUND(MAX(J34,K34),2))=0,"صفر",MID(IF(INT(INT(ROUND(MAX(J34,K34),2))/1000000)&gt;0," و"&amp;INDEX(تفقيط!$D$2:$D$1001,INT(INT(ROUND(MAX(J34,K34),2))/1000000)+1),"")&amp;IF(INT(MOD(INT(ROUND(MAX(J34,K34),2)),1000000)/1000)&gt;0," و"&amp;INDEX(تفقيط!$C$2:$C$1001,INT(MOD(INT(ROUND(MAX(J34,K34),2)),1000000)/1000)+1),"")&amp;IF(MOD(INT(ROUND(MAX(J34,K34),2)),1000)&gt;0," و"&amp;INDEX(تفقيط!$B$2:$B$1001,MOD(INT(ROUND(MAX(J34,K34),2)),1000)+1),""),3,400))&amp;" "&amp;CUR&amp;IF(ROUND((ROUND(MAX(J34,K34),2)-INT(ROUND(MAX(J34,K34),2)))*100,0)&gt;0," و"&amp;INDEX(تفقيط!$E$2:$E$1001,ROUND((ROUND(MAX(J34,K34),2)-INT(ROUND(MAX(J34,K34),2)))*100,0)+1),"")&amp;" لا غير")</f>
        <v/>
      </c>
    </row>
    <row r="35" customFormat="false" ht="15" hidden="false" customHeight="false" outlineLevel="0" collapsed="false">
      <c r="A35" s="54" t="str">
        <f aca="false">IF(C35="","",START_NO+COUNT(C$5:C35)-1)</f>
        <v/>
      </c>
      <c r="B35" s="55" t="str">
        <f aca="false">IF(A35="","",PREFIX&amp;"-"&amp;TEXT(C35,"yyyy")&amp;"-"&amp;A35)</f>
        <v/>
      </c>
      <c r="C35" s="56"/>
      <c r="D35" s="57"/>
      <c r="E35" s="58"/>
      <c r="F35" s="58"/>
      <c r="G35" s="57"/>
      <c r="H35" s="57"/>
      <c r="I35" s="57"/>
      <c r="J35" s="59" t="str">
        <f aca="false">IF(A35="","",SUMIFS('بنود السندات'!$F$5:$F$3004,'بنود السندات'!$A$5:$A$3004,A35))</f>
        <v/>
      </c>
      <c r="K35" s="59" t="str">
        <f aca="false">IF(A35="","",SUMIFS('بنود السندات'!$G$5:$G$3004,'بنود السندات'!$A$5:$A$3004,A35))</f>
        <v/>
      </c>
      <c r="L35" s="59" t="str">
        <f aca="false">IF(A35="","",ROUND(J35-K35,2))</f>
        <v/>
      </c>
      <c r="M35" s="55" t="str">
        <f aca="false">IF(A35="","",COUNTIF('بنود السندات'!$A$5:$A$3004,A35))</f>
        <v/>
      </c>
      <c r="N35" s="60" t="str">
        <f aca="false">IF(A35="","",IF(M35=0,"بدون بنود ⚠",IF(L35=0,"متوازن ✔","غير متوازن ✘")))</f>
        <v/>
      </c>
      <c r="O35" s="61" t="str">
        <f aca="false">IF(A35="","","فقط "&amp;IF(INT(ROUND(MAX(J35,K35),2))=0,"صفر",MID(IF(INT(INT(ROUND(MAX(J35,K35),2))/1000000)&gt;0," و"&amp;INDEX(تفقيط!$D$2:$D$1001,INT(INT(ROUND(MAX(J35,K35),2))/1000000)+1),"")&amp;IF(INT(MOD(INT(ROUND(MAX(J35,K35),2)),1000000)/1000)&gt;0," و"&amp;INDEX(تفقيط!$C$2:$C$1001,INT(MOD(INT(ROUND(MAX(J35,K35),2)),1000000)/1000)+1),"")&amp;IF(MOD(INT(ROUND(MAX(J35,K35),2)),1000)&gt;0," و"&amp;INDEX(تفقيط!$B$2:$B$1001,MOD(INT(ROUND(MAX(J35,K35),2)),1000)+1),""),3,400))&amp;" "&amp;CUR&amp;IF(ROUND((ROUND(MAX(J35,K35),2)-INT(ROUND(MAX(J35,K35),2)))*100,0)&gt;0," و"&amp;INDEX(تفقيط!$E$2:$E$1001,ROUND((ROUND(MAX(J35,K35),2)-INT(ROUND(MAX(J35,K35),2)))*100,0)+1),"")&amp;" لا غير")</f>
        <v/>
      </c>
    </row>
    <row r="36" customFormat="false" ht="15" hidden="false" customHeight="false" outlineLevel="0" collapsed="false">
      <c r="A36" s="62" t="str">
        <f aca="false">IF(C36="","",START_NO+COUNT(C$5:C36)-1)</f>
        <v/>
      </c>
      <c r="B36" s="63" t="str">
        <f aca="false">IF(A36="","",PREFIX&amp;"-"&amp;TEXT(C36,"yyyy")&amp;"-"&amp;A36)</f>
        <v/>
      </c>
      <c r="C36" s="56"/>
      <c r="D36" s="57"/>
      <c r="E36" s="58"/>
      <c r="F36" s="58"/>
      <c r="G36" s="57"/>
      <c r="H36" s="57"/>
      <c r="I36" s="57"/>
      <c r="J36" s="64" t="str">
        <f aca="false">IF(A36="","",SUMIFS('بنود السندات'!$F$5:$F$3004,'بنود السندات'!$A$5:$A$3004,A36))</f>
        <v/>
      </c>
      <c r="K36" s="64" t="str">
        <f aca="false">IF(A36="","",SUMIFS('بنود السندات'!$G$5:$G$3004,'بنود السندات'!$A$5:$A$3004,A36))</f>
        <v/>
      </c>
      <c r="L36" s="64" t="str">
        <f aca="false">IF(A36="","",ROUND(J36-K36,2))</f>
        <v/>
      </c>
      <c r="M36" s="63" t="str">
        <f aca="false">IF(A36="","",COUNTIF('بنود السندات'!$A$5:$A$3004,A36))</f>
        <v/>
      </c>
      <c r="N36" s="65" t="str">
        <f aca="false">IF(A36="","",IF(M36=0,"بدون بنود ⚠",IF(L36=0,"متوازن ✔","غير متوازن ✘")))</f>
        <v/>
      </c>
      <c r="O36" s="66" t="str">
        <f aca="false">IF(A36="","","فقط "&amp;IF(INT(ROUND(MAX(J36,K36),2))=0,"صفر",MID(IF(INT(INT(ROUND(MAX(J36,K36),2))/1000000)&gt;0," و"&amp;INDEX(تفقيط!$D$2:$D$1001,INT(INT(ROUND(MAX(J36,K36),2))/1000000)+1),"")&amp;IF(INT(MOD(INT(ROUND(MAX(J36,K36),2)),1000000)/1000)&gt;0," و"&amp;INDEX(تفقيط!$C$2:$C$1001,INT(MOD(INT(ROUND(MAX(J36,K36),2)),1000000)/1000)+1),"")&amp;IF(MOD(INT(ROUND(MAX(J36,K36),2)),1000)&gt;0," و"&amp;INDEX(تفقيط!$B$2:$B$1001,MOD(INT(ROUND(MAX(J36,K36),2)),1000)+1),""),3,400))&amp;" "&amp;CUR&amp;IF(ROUND((ROUND(MAX(J36,K36),2)-INT(ROUND(MAX(J36,K36),2)))*100,0)&gt;0," و"&amp;INDEX(تفقيط!$E$2:$E$1001,ROUND((ROUND(MAX(J36,K36),2)-INT(ROUND(MAX(J36,K36),2)))*100,0)+1),"")&amp;" لا غير")</f>
        <v/>
      </c>
    </row>
    <row r="37" customFormat="false" ht="15" hidden="false" customHeight="false" outlineLevel="0" collapsed="false">
      <c r="A37" s="54" t="str">
        <f aca="false">IF(C37="","",START_NO+COUNT(C$5:C37)-1)</f>
        <v/>
      </c>
      <c r="B37" s="55" t="str">
        <f aca="false">IF(A37="","",PREFIX&amp;"-"&amp;TEXT(C37,"yyyy")&amp;"-"&amp;A37)</f>
        <v/>
      </c>
      <c r="C37" s="56"/>
      <c r="D37" s="57"/>
      <c r="E37" s="58"/>
      <c r="F37" s="58"/>
      <c r="G37" s="57"/>
      <c r="H37" s="57"/>
      <c r="I37" s="57"/>
      <c r="J37" s="59" t="str">
        <f aca="false">IF(A37="","",SUMIFS('بنود السندات'!$F$5:$F$3004,'بنود السندات'!$A$5:$A$3004,A37))</f>
        <v/>
      </c>
      <c r="K37" s="59" t="str">
        <f aca="false">IF(A37="","",SUMIFS('بنود السندات'!$G$5:$G$3004,'بنود السندات'!$A$5:$A$3004,A37))</f>
        <v/>
      </c>
      <c r="L37" s="59" t="str">
        <f aca="false">IF(A37="","",ROUND(J37-K37,2))</f>
        <v/>
      </c>
      <c r="M37" s="55" t="str">
        <f aca="false">IF(A37="","",COUNTIF('بنود السندات'!$A$5:$A$3004,A37))</f>
        <v/>
      </c>
      <c r="N37" s="60" t="str">
        <f aca="false">IF(A37="","",IF(M37=0,"بدون بنود ⚠",IF(L37=0,"متوازن ✔","غير متوازن ✘")))</f>
        <v/>
      </c>
      <c r="O37" s="61" t="str">
        <f aca="false">IF(A37="","","فقط "&amp;IF(INT(ROUND(MAX(J37,K37),2))=0,"صفر",MID(IF(INT(INT(ROUND(MAX(J37,K37),2))/1000000)&gt;0," و"&amp;INDEX(تفقيط!$D$2:$D$1001,INT(INT(ROUND(MAX(J37,K37),2))/1000000)+1),"")&amp;IF(INT(MOD(INT(ROUND(MAX(J37,K37),2)),1000000)/1000)&gt;0," و"&amp;INDEX(تفقيط!$C$2:$C$1001,INT(MOD(INT(ROUND(MAX(J37,K37),2)),1000000)/1000)+1),"")&amp;IF(MOD(INT(ROUND(MAX(J37,K37),2)),1000)&gt;0," و"&amp;INDEX(تفقيط!$B$2:$B$1001,MOD(INT(ROUND(MAX(J37,K37),2)),1000)+1),""),3,400))&amp;" "&amp;CUR&amp;IF(ROUND((ROUND(MAX(J37,K37),2)-INT(ROUND(MAX(J37,K37),2)))*100,0)&gt;0," و"&amp;INDEX(تفقيط!$E$2:$E$1001,ROUND((ROUND(MAX(J37,K37),2)-INT(ROUND(MAX(J37,K37),2)))*100,0)+1),"")&amp;" لا غير")</f>
        <v/>
      </c>
    </row>
    <row r="38" customFormat="false" ht="15" hidden="false" customHeight="false" outlineLevel="0" collapsed="false">
      <c r="A38" s="62" t="str">
        <f aca="false">IF(C38="","",START_NO+COUNT(C$5:C38)-1)</f>
        <v/>
      </c>
      <c r="B38" s="63" t="str">
        <f aca="false">IF(A38="","",PREFIX&amp;"-"&amp;TEXT(C38,"yyyy")&amp;"-"&amp;A38)</f>
        <v/>
      </c>
      <c r="C38" s="56"/>
      <c r="D38" s="57"/>
      <c r="E38" s="58"/>
      <c r="F38" s="58"/>
      <c r="G38" s="57"/>
      <c r="H38" s="57"/>
      <c r="I38" s="57"/>
      <c r="J38" s="64" t="str">
        <f aca="false">IF(A38="","",SUMIFS('بنود السندات'!$F$5:$F$3004,'بنود السندات'!$A$5:$A$3004,A38))</f>
        <v/>
      </c>
      <c r="K38" s="64" t="str">
        <f aca="false">IF(A38="","",SUMIFS('بنود السندات'!$G$5:$G$3004,'بنود السندات'!$A$5:$A$3004,A38))</f>
        <v/>
      </c>
      <c r="L38" s="64" t="str">
        <f aca="false">IF(A38="","",ROUND(J38-K38,2))</f>
        <v/>
      </c>
      <c r="M38" s="63" t="str">
        <f aca="false">IF(A38="","",COUNTIF('بنود السندات'!$A$5:$A$3004,A38))</f>
        <v/>
      </c>
      <c r="N38" s="65" t="str">
        <f aca="false">IF(A38="","",IF(M38=0,"بدون بنود ⚠",IF(L38=0,"متوازن ✔","غير متوازن ✘")))</f>
        <v/>
      </c>
      <c r="O38" s="66" t="str">
        <f aca="false">IF(A38="","","فقط "&amp;IF(INT(ROUND(MAX(J38,K38),2))=0,"صفر",MID(IF(INT(INT(ROUND(MAX(J38,K38),2))/1000000)&gt;0," و"&amp;INDEX(تفقيط!$D$2:$D$1001,INT(INT(ROUND(MAX(J38,K38),2))/1000000)+1),"")&amp;IF(INT(MOD(INT(ROUND(MAX(J38,K38),2)),1000000)/1000)&gt;0," و"&amp;INDEX(تفقيط!$C$2:$C$1001,INT(MOD(INT(ROUND(MAX(J38,K38),2)),1000000)/1000)+1),"")&amp;IF(MOD(INT(ROUND(MAX(J38,K38),2)),1000)&gt;0," و"&amp;INDEX(تفقيط!$B$2:$B$1001,MOD(INT(ROUND(MAX(J38,K38),2)),1000)+1),""),3,400))&amp;" "&amp;CUR&amp;IF(ROUND((ROUND(MAX(J38,K38),2)-INT(ROUND(MAX(J38,K38),2)))*100,0)&gt;0," و"&amp;INDEX(تفقيط!$E$2:$E$1001,ROUND((ROUND(MAX(J38,K38),2)-INT(ROUND(MAX(J38,K38),2)))*100,0)+1),"")&amp;" لا غير")</f>
        <v/>
      </c>
    </row>
    <row r="39" customFormat="false" ht="15" hidden="false" customHeight="false" outlineLevel="0" collapsed="false">
      <c r="A39" s="54" t="str">
        <f aca="false">IF(C39="","",START_NO+COUNT(C$5:C39)-1)</f>
        <v/>
      </c>
      <c r="B39" s="55" t="str">
        <f aca="false">IF(A39="","",PREFIX&amp;"-"&amp;TEXT(C39,"yyyy")&amp;"-"&amp;A39)</f>
        <v/>
      </c>
      <c r="C39" s="56"/>
      <c r="D39" s="57"/>
      <c r="E39" s="58"/>
      <c r="F39" s="58"/>
      <c r="G39" s="57"/>
      <c r="H39" s="57"/>
      <c r="I39" s="57"/>
      <c r="J39" s="59" t="str">
        <f aca="false">IF(A39="","",SUMIFS('بنود السندات'!$F$5:$F$3004,'بنود السندات'!$A$5:$A$3004,A39))</f>
        <v/>
      </c>
      <c r="K39" s="59" t="str">
        <f aca="false">IF(A39="","",SUMIFS('بنود السندات'!$G$5:$G$3004,'بنود السندات'!$A$5:$A$3004,A39))</f>
        <v/>
      </c>
      <c r="L39" s="59" t="str">
        <f aca="false">IF(A39="","",ROUND(J39-K39,2))</f>
        <v/>
      </c>
      <c r="M39" s="55" t="str">
        <f aca="false">IF(A39="","",COUNTIF('بنود السندات'!$A$5:$A$3004,A39))</f>
        <v/>
      </c>
      <c r="N39" s="60" t="str">
        <f aca="false">IF(A39="","",IF(M39=0,"بدون بنود ⚠",IF(L39=0,"متوازن ✔","غير متوازن ✘")))</f>
        <v/>
      </c>
      <c r="O39" s="61" t="str">
        <f aca="false">IF(A39="","","فقط "&amp;IF(INT(ROUND(MAX(J39,K39),2))=0,"صفر",MID(IF(INT(INT(ROUND(MAX(J39,K39),2))/1000000)&gt;0," و"&amp;INDEX(تفقيط!$D$2:$D$1001,INT(INT(ROUND(MAX(J39,K39),2))/1000000)+1),"")&amp;IF(INT(MOD(INT(ROUND(MAX(J39,K39),2)),1000000)/1000)&gt;0," و"&amp;INDEX(تفقيط!$C$2:$C$1001,INT(MOD(INT(ROUND(MAX(J39,K39),2)),1000000)/1000)+1),"")&amp;IF(MOD(INT(ROUND(MAX(J39,K39),2)),1000)&gt;0," و"&amp;INDEX(تفقيط!$B$2:$B$1001,MOD(INT(ROUND(MAX(J39,K39),2)),1000)+1),""),3,400))&amp;" "&amp;CUR&amp;IF(ROUND((ROUND(MAX(J39,K39),2)-INT(ROUND(MAX(J39,K39),2)))*100,0)&gt;0," و"&amp;INDEX(تفقيط!$E$2:$E$1001,ROUND((ROUND(MAX(J39,K39),2)-INT(ROUND(MAX(J39,K39),2)))*100,0)+1),"")&amp;" لا غير")</f>
        <v/>
      </c>
    </row>
    <row r="40" customFormat="false" ht="15" hidden="false" customHeight="false" outlineLevel="0" collapsed="false">
      <c r="A40" s="62" t="str">
        <f aca="false">IF(C40="","",START_NO+COUNT(C$5:C40)-1)</f>
        <v/>
      </c>
      <c r="B40" s="63" t="str">
        <f aca="false">IF(A40="","",PREFIX&amp;"-"&amp;TEXT(C40,"yyyy")&amp;"-"&amp;A40)</f>
        <v/>
      </c>
      <c r="C40" s="56"/>
      <c r="D40" s="57"/>
      <c r="E40" s="58"/>
      <c r="F40" s="58"/>
      <c r="G40" s="57"/>
      <c r="H40" s="57"/>
      <c r="I40" s="57"/>
      <c r="J40" s="64" t="str">
        <f aca="false">IF(A40="","",SUMIFS('بنود السندات'!$F$5:$F$3004,'بنود السندات'!$A$5:$A$3004,A40))</f>
        <v/>
      </c>
      <c r="K40" s="64" t="str">
        <f aca="false">IF(A40="","",SUMIFS('بنود السندات'!$G$5:$G$3004,'بنود السندات'!$A$5:$A$3004,A40))</f>
        <v/>
      </c>
      <c r="L40" s="64" t="str">
        <f aca="false">IF(A40="","",ROUND(J40-K40,2))</f>
        <v/>
      </c>
      <c r="M40" s="63" t="str">
        <f aca="false">IF(A40="","",COUNTIF('بنود السندات'!$A$5:$A$3004,A40))</f>
        <v/>
      </c>
      <c r="N40" s="65" t="str">
        <f aca="false">IF(A40="","",IF(M40=0,"بدون بنود ⚠",IF(L40=0,"متوازن ✔","غير متوازن ✘")))</f>
        <v/>
      </c>
      <c r="O40" s="66" t="str">
        <f aca="false">IF(A40="","","فقط "&amp;IF(INT(ROUND(MAX(J40,K40),2))=0,"صفر",MID(IF(INT(INT(ROUND(MAX(J40,K40),2))/1000000)&gt;0," و"&amp;INDEX(تفقيط!$D$2:$D$1001,INT(INT(ROUND(MAX(J40,K40),2))/1000000)+1),"")&amp;IF(INT(MOD(INT(ROUND(MAX(J40,K40),2)),1000000)/1000)&gt;0," و"&amp;INDEX(تفقيط!$C$2:$C$1001,INT(MOD(INT(ROUND(MAX(J40,K40),2)),1000000)/1000)+1),"")&amp;IF(MOD(INT(ROUND(MAX(J40,K40),2)),1000)&gt;0," و"&amp;INDEX(تفقيط!$B$2:$B$1001,MOD(INT(ROUND(MAX(J40,K40),2)),1000)+1),""),3,400))&amp;" "&amp;CUR&amp;IF(ROUND((ROUND(MAX(J40,K40),2)-INT(ROUND(MAX(J40,K40),2)))*100,0)&gt;0," و"&amp;INDEX(تفقيط!$E$2:$E$1001,ROUND((ROUND(MAX(J40,K40),2)-INT(ROUND(MAX(J40,K40),2)))*100,0)+1),"")&amp;" لا غير")</f>
        <v/>
      </c>
    </row>
    <row r="41" customFormat="false" ht="15" hidden="false" customHeight="false" outlineLevel="0" collapsed="false">
      <c r="A41" s="54" t="str">
        <f aca="false">IF(C41="","",START_NO+COUNT(C$5:C41)-1)</f>
        <v/>
      </c>
      <c r="B41" s="55" t="str">
        <f aca="false">IF(A41="","",PREFIX&amp;"-"&amp;TEXT(C41,"yyyy")&amp;"-"&amp;A41)</f>
        <v/>
      </c>
      <c r="C41" s="56"/>
      <c r="D41" s="57"/>
      <c r="E41" s="58"/>
      <c r="F41" s="58"/>
      <c r="G41" s="57"/>
      <c r="H41" s="57"/>
      <c r="I41" s="57"/>
      <c r="J41" s="59" t="str">
        <f aca="false">IF(A41="","",SUMIFS('بنود السندات'!$F$5:$F$3004,'بنود السندات'!$A$5:$A$3004,A41))</f>
        <v/>
      </c>
      <c r="K41" s="59" t="str">
        <f aca="false">IF(A41="","",SUMIFS('بنود السندات'!$G$5:$G$3004,'بنود السندات'!$A$5:$A$3004,A41))</f>
        <v/>
      </c>
      <c r="L41" s="59" t="str">
        <f aca="false">IF(A41="","",ROUND(J41-K41,2))</f>
        <v/>
      </c>
      <c r="M41" s="55" t="str">
        <f aca="false">IF(A41="","",COUNTIF('بنود السندات'!$A$5:$A$3004,A41))</f>
        <v/>
      </c>
      <c r="N41" s="60" t="str">
        <f aca="false">IF(A41="","",IF(M41=0,"بدون بنود ⚠",IF(L41=0,"متوازن ✔","غير متوازن ✘")))</f>
        <v/>
      </c>
      <c r="O41" s="61" t="str">
        <f aca="false">IF(A41="","","فقط "&amp;IF(INT(ROUND(MAX(J41,K41),2))=0,"صفر",MID(IF(INT(INT(ROUND(MAX(J41,K41),2))/1000000)&gt;0," و"&amp;INDEX(تفقيط!$D$2:$D$1001,INT(INT(ROUND(MAX(J41,K41),2))/1000000)+1),"")&amp;IF(INT(MOD(INT(ROUND(MAX(J41,K41),2)),1000000)/1000)&gt;0," و"&amp;INDEX(تفقيط!$C$2:$C$1001,INT(MOD(INT(ROUND(MAX(J41,K41),2)),1000000)/1000)+1),"")&amp;IF(MOD(INT(ROUND(MAX(J41,K41),2)),1000)&gt;0," و"&amp;INDEX(تفقيط!$B$2:$B$1001,MOD(INT(ROUND(MAX(J41,K41),2)),1000)+1),""),3,400))&amp;" "&amp;CUR&amp;IF(ROUND((ROUND(MAX(J41,K41),2)-INT(ROUND(MAX(J41,K41),2)))*100,0)&gt;0," و"&amp;INDEX(تفقيط!$E$2:$E$1001,ROUND((ROUND(MAX(J41,K41),2)-INT(ROUND(MAX(J41,K41),2)))*100,0)+1),"")&amp;" لا غير")</f>
        <v/>
      </c>
    </row>
    <row r="42" customFormat="false" ht="15" hidden="false" customHeight="false" outlineLevel="0" collapsed="false">
      <c r="A42" s="62" t="str">
        <f aca="false">IF(C42="","",START_NO+COUNT(C$5:C42)-1)</f>
        <v/>
      </c>
      <c r="B42" s="63" t="str">
        <f aca="false">IF(A42="","",PREFIX&amp;"-"&amp;TEXT(C42,"yyyy")&amp;"-"&amp;A42)</f>
        <v/>
      </c>
      <c r="C42" s="56"/>
      <c r="D42" s="57"/>
      <c r="E42" s="58"/>
      <c r="F42" s="58"/>
      <c r="G42" s="57"/>
      <c r="H42" s="57"/>
      <c r="I42" s="57"/>
      <c r="J42" s="64" t="str">
        <f aca="false">IF(A42="","",SUMIFS('بنود السندات'!$F$5:$F$3004,'بنود السندات'!$A$5:$A$3004,A42))</f>
        <v/>
      </c>
      <c r="K42" s="64" t="str">
        <f aca="false">IF(A42="","",SUMIFS('بنود السندات'!$G$5:$G$3004,'بنود السندات'!$A$5:$A$3004,A42))</f>
        <v/>
      </c>
      <c r="L42" s="64" t="str">
        <f aca="false">IF(A42="","",ROUND(J42-K42,2))</f>
        <v/>
      </c>
      <c r="M42" s="63" t="str">
        <f aca="false">IF(A42="","",COUNTIF('بنود السندات'!$A$5:$A$3004,A42))</f>
        <v/>
      </c>
      <c r="N42" s="65" t="str">
        <f aca="false">IF(A42="","",IF(M42=0,"بدون بنود ⚠",IF(L42=0,"متوازن ✔","غير متوازن ✘")))</f>
        <v/>
      </c>
      <c r="O42" s="66" t="str">
        <f aca="false">IF(A42="","","فقط "&amp;IF(INT(ROUND(MAX(J42,K42),2))=0,"صفر",MID(IF(INT(INT(ROUND(MAX(J42,K42),2))/1000000)&gt;0," و"&amp;INDEX(تفقيط!$D$2:$D$1001,INT(INT(ROUND(MAX(J42,K42),2))/1000000)+1),"")&amp;IF(INT(MOD(INT(ROUND(MAX(J42,K42),2)),1000000)/1000)&gt;0," و"&amp;INDEX(تفقيط!$C$2:$C$1001,INT(MOD(INT(ROUND(MAX(J42,K42),2)),1000000)/1000)+1),"")&amp;IF(MOD(INT(ROUND(MAX(J42,K42),2)),1000)&gt;0," و"&amp;INDEX(تفقيط!$B$2:$B$1001,MOD(INT(ROUND(MAX(J42,K42),2)),1000)+1),""),3,400))&amp;" "&amp;CUR&amp;IF(ROUND((ROUND(MAX(J42,K42),2)-INT(ROUND(MAX(J42,K42),2)))*100,0)&gt;0," و"&amp;INDEX(تفقيط!$E$2:$E$1001,ROUND((ROUND(MAX(J42,K42),2)-INT(ROUND(MAX(J42,K42),2)))*100,0)+1),"")&amp;" لا غير")</f>
        <v/>
      </c>
    </row>
    <row r="43" customFormat="false" ht="15" hidden="false" customHeight="false" outlineLevel="0" collapsed="false">
      <c r="A43" s="54" t="str">
        <f aca="false">IF(C43="","",START_NO+COUNT(C$5:C43)-1)</f>
        <v/>
      </c>
      <c r="B43" s="55" t="str">
        <f aca="false">IF(A43="","",PREFIX&amp;"-"&amp;TEXT(C43,"yyyy")&amp;"-"&amp;A43)</f>
        <v/>
      </c>
      <c r="C43" s="56"/>
      <c r="D43" s="57"/>
      <c r="E43" s="58"/>
      <c r="F43" s="58"/>
      <c r="G43" s="57"/>
      <c r="H43" s="57"/>
      <c r="I43" s="57"/>
      <c r="J43" s="59" t="str">
        <f aca="false">IF(A43="","",SUMIFS('بنود السندات'!$F$5:$F$3004,'بنود السندات'!$A$5:$A$3004,A43))</f>
        <v/>
      </c>
      <c r="K43" s="59" t="str">
        <f aca="false">IF(A43="","",SUMIFS('بنود السندات'!$G$5:$G$3004,'بنود السندات'!$A$5:$A$3004,A43))</f>
        <v/>
      </c>
      <c r="L43" s="59" t="str">
        <f aca="false">IF(A43="","",ROUND(J43-K43,2))</f>
        <v/>
      </c>
      <c r="M43" s="55" t="str">
        <f aca="false">IF(A43="","",COUNTIF('بنود السندات'!$A$5:$A$3004,A43))</f>
        <v/>
      </c>
      <c r="N43" s="60" t="str">
        <f aca="false">IF(A43="","",IF(M43=0,"بدون بنود ⚠",IF(L43=0,"متوازن ✔","غير متوازن ✘")))</f>
        <v/>
      </c>
      <c r="O43" s="61" t="str">
        <f aca="false">IF(A43="","","فقط "&amp;IF(INT(ROUND(MAX(J43,K43),2))=0,"صفر",MID(IF(INT(INT(ROUND(MAX(J43,K43),2))/1000000)&gt;0," و"&amp;INDEX(تفقيط!$D$2:$D$1001,INT(INT(ROUND(MAX(J43,K43),2))/1000000)+1),"")&amp;IF(INT(MOD(INT(ROUND(MAX(J43,K43),2)),1000000)/1000)&gt;0," و"&amp;INDEX(تفقيط!$C$2:$C$1001,INT(MOD(INT(ROUND(MAX(J43,K43),2)),1000000)/1000)+1),"")&amp;IF(MOD(INT(ROUND(MAX(J43,K43),2)),1000)&gt;0," و"&amp;INDEX(تفقيط!$B$2:$B$1001,MOD(INT(ROUND(MAX(J43,K43),2)),1000)+1),""),3,400))&amp;" "&amp;CUR&amp;IF(ROUND((ROUND(MAX(J43,K43),2)-INT(ROUND(MAX(J43,K43),2)))*100,0)&gt;0," و"&amp;INDEX(تفقيط!$E$2:$E$1001,ROUND((ROUND(MAX(J43,K43),2)-INT(ROUND(MAX(J43,K43),2)))*100,0)+1),"")&amp;" لا غير")</f>
        <v/>
      </c>
    </row>
    <row r="44" customFormat="false" ht="15" hidden="false" customHeight="false" outlineLevel="0" collapsed="false">
      <c r="A44" s="62" t="str">
        <f aca="false">IF(C44="","",START_NO+COUNT(C$5:C44)-1)</f>
        <v/>
      </c>
      <c r="B44" s="63" t="str">
        <f aca="false">IF(A44="","",PREFIX&amp;"-"&amp;TEXT(C44,"yyyy")&amp;"-"&amp;A44)</f>
        <v/>
      </c>
      <c r="C44" s="56"/>
      <c r="D44" s="57"/>
      <c r="E44" s="58"/>
      <c r="F44" s="58"/>
      <c r="G44" s="57"/>
      <c r="H44" s="57"/>
      <c r="I44" s="57"/>
      <c r="J44" s="64" t="str">
        <f aca="false">IF(A44="","",SUMIFS('بنود السندات'!$F$5:$F$3004,'بنود السندات'!$A$5:$A$3004,A44))</f>
        <v/>
      </c>
      <c r="K44" s="64" t="str">
        <f aca="false">IF(A44="","",SUMIFS('بنود السندات'!$G$5:$G$3004,'بنود السندات'!$A$5:$A$3004,A44))</f>
        <v/>
      </c>
      <c r="L44" s="64" t="str">
        <f aca="false">IF(A44="","",ROUND(J44-K44,2))</f>
        <v/>
      </c>
      <c r="M44" s="63" t="str">
        <f aca="false">IF(A44="","",COUNTIF('بنود السندات'!$A$5:$A$3004,A44))</f>
        <v/>
      </c>
      <c r="N44" s="65" t="str">
        <f aca="false">IF(A44="","",IF(M44=0,"بدون بنود ⚠",IF(L44=0,"متوازن ✔","غير متوازن ✘")))</f>
        <v/>
      </c>
      <c r="O44" s="66" t="str">
        <f aca="false">IF(A44="","","فقط "&amp;IF(INT(ROUND(MAX(J44,K44),2))=0,"صفر",MID(IF(INT(INT(ROUND(MAX(J44,K44),2))/1000000)&gt;0," و"&amp;INDEX(تفقيط!$D$2:$D$1001,INT(INT(ROUND(MAX(J44,K44),2))/1000000)+1),"")&amp;IF(INT(MOD(INT(ROUND(MAX(J44,K44),2)),1000000)/1000)&gt;0," و"&amp;INDEX(تفقيط!$C$2:$C$1001,INT(MOD(INT(ROUND(MAX(J44,K44),2)),1000000)/1000)+1),"")&amp;IF(MOD(INT(ROUND(MAX(J44,K44),2)),1000)&gt;0," و"&amp;INDEX(تفقيط!$B$2:$B$1001,MOD(INT(ROUND(MAX(J44,K44),2)),1000)+1),""),3,400))&amp;" "&amp;CUR&amp;IF(ROUND((ROUND(MAX(J44,K44),2)-INT(ROUND(MAX(J44,K44),2)))*100,0)&gt;0," و"&amp;INDEX(تفقيط!$E$2:$E$1001,ROUND((ROUND(MAX(J44,K44),2)-INT(ROUND(MAX(J44,K44),2)))*100,0)+1),"")&amp;" لا غير")</f>
        <v/>
      </c>
    </row>
    <row r="45" customFormat="false" ht="15" hidden="false" customHeight="false" outlineLevel="0" collapsed="false">
      <c r="A45" s="54" t="str">
        <f aca="false">IF(C45="","",START_NO+COUNT(C$5:C45)-1)</f>
        <v/>
      </c>
      <c r="B45" s="55" t="str">
        <f aca="false">IF(A45="","",PREFIX&amp;"-"&amp;TEXT(C45,"yyyy")&amp;"-"&amp;A45)</f>
        <v/>
      </c>
      <c r="C45" s="56"/>
      <c r="D45" s="57"/>
      <c r="E45" s="58"/>
      <c r="F45" s="58"/>
      <c r="G45" s="57"/>
      <c r="H45" s="57"/>
      <c r="I45" s="57"/>
      <c r="J45" s="59" t="str">
        <f aca="false">IF(A45="","",SUMIFS('بنود السندات'!$F$5:$F$3004,'بنود السندات'!$A$5:$A$3004,A45))</f>
        <v/>
      </c>
      <c r="K45" s="59" t="str">
        <f aca="false">IF(A45="","",SUMIFS('بنود السندات'!$G$5:$G$3004,'بنود السندات'!$A$5:$A$3004,A45))</f>
        <v/>
      </c>
      <c r="L45" s="59" t="str">
        <f aca="false">IF(A45="","",ROUND(J45-K45,2))</f>
        <v/>
      </c>
      <c r="M45" s="55" t="str">
        <f aca="false">IF(A45="","",COUNTIF('بنود السندات'!$A$5:$A$3004,A45))</f>
        <v/>
      </c>
      <c r="N45" s="60" t="str">
        <f aca="false">IF(A45="","",IF(M45=0,"بدون بنود ⚠",IF(L45=0,"متوازن ✔","غير متوازن ✘")))</f>
        <v/>
      </c>
      <c r="O45" s="61" t="str">
        <f aca="false">IF(A45="","","فقط "&amp;IF(INT(ROUND(MAX(J45,K45),2))=0,"صفر",MID(IF(INT(INT(ROUND(MAX(J45,K45),2))/1000000)&gt;0," و"&amp;INDEX(تفقيط!$D$2:$D$1001,INT(INT(ROUND(MAX(J45,K45),2))/1000000)+1),"")&amp;IF(INT(MOD(INT(ROUND(MAX(J45,K45),2)),1000000)/1000)&gt;0," و"&amp;INDEX(تفقيط!$C$2:$C$1001,INT(MOD(INT(ROUND(MAX(J45,K45),2)),1000000)/1000)+1),"")&amp;IF(MOD(INT(ROUND(MAX(J45,K45),2)),1000)&gt;0," و"&amp;INDEX(تفقيط!$B$2:$B$1001,MOD(INT(ROUND(MAX(J45,K45),2)),1000)+1),""),3,400))&amp;" "&amp;CUR&amp;IF(ROUND((ROUND(MAX(J45,K45),2)-INT(ROUND(MAX(J45,K45),2)))*100,0)&gt;0," و"&amp;INDEX(تفقيط!$E$2:$E$1001,ROUND((ROUND(MAX(J45,K45),2)-INT(ROUND(MAX(J45,K45),2)))*100,0)+1),"")&amp;" لا غير")</f>
        <v/>
      </c>
    </row>
    <row r="46" customFormat="false" ht="15" hidden="false" customHeight="false" outlineLevel="0" collapsed="false">
      <c r="A46" s="62" t="str">
        <f aca="false">IF(C46="","",START_NO+COUNT(C$5:C46)-1)</f>
        <v/>
      </c>
      <c r="B46" s="63" t="str">
        <f aca="false">IF(A46="","",PREFIX&amp;"-"&amp;TEXT(C46,"yyyy")&amp;"-"&amp;A46)</f>
        <v/>
      </c>
      <c r="C46" s="56"/>
      <c r="D46" s="57"/>
      <c r="E46" s="58"/>
      <c r="F46" s="58"/>
      <c r="G46" s="57"/>
      <c r="H46" s="57"/>
      <c r="I46" s="57"/>
      <c r="J46" s="64" t="str">
        <f aca="false">IF(A46="","",SUMIFS('بنود السندات'!$F$5:$F$3004,'بنود السندات'!$A$5:$A$3004,A46))</f>
        <v/>
      </c>
      <c r="K46" s="64" t="str">
        <f aca="false">IF(A46="","",SUMIFS('بنود السندات'!$G$5:$G$3004,'بنود السندات'!$A$5:$A$3004,A46))</f>
        <v/>
      </c>
      <c r="L46" s="64" t="str">
        <f aca="false">IF(A46="","",ROUND(J46-K46,2))</f>
        <v/>
      </c>
      <c r="M46" s="63" t="str">
        <f aca="false">IF(A46="","",COUNTIF('بنود السندات'!$A$5:$A$3004,A46))</f>
        <v/>
      </c>
      <c r="N46" s="65" t="str">
        <f aca="false">IF(A46="","",IF(M46=0,"بدون بنود ⚠",IF(L46=0,"متوازن ✔","غير متوازن ✘")))</f>
        <v/>
      </c>
      <c r="O46" s="66" t="str">
        <f aca="false">IF(A46="","","فقط "&amp;IF(INT(ROUND(MAX(J46,K46),2))=0,"صفر",MID(IF(INT(INT(ROUND(MAX(J46,K46),2))/1000000)&gt;0," و"&amp;INDEX(تفقيط!$D$2:$D$1001,INT(INT(ROUND(MAX(J46,K46),2))/1000000)+1),"")&amp;IF(INT(MOD(INT(ROUND(MAX(J46,K46),2)),1000000)/1000)&gt;0," و"&amp;INDEX(تفقيط!$C$2:$C$1001,INT(MOD(INT(ROUND(MAX(J46,K46),2)),1000000)/1000)+1),"")&amp;IF(MOD(INT(ROUND(MAX(J46,K46),2)),1000)&gt;0," و"&amp;INDEX(تفقيط!$B$2:$B$1001,MOD(INT(ROUND(MAX(J46,K46),2)),1000)+1),""),3,400))&amp;" "&amp;CUR&amp;IF(ROUND((ROUND(MAX(J46,K46),2)-INT(ROUND(MAX(J46,K46),2)))*100,0)&gt;0," و"&amp;INDEX(تفقيط!$E$2:$E$1001,ROUND((ROUND(MAX(J46,K46),2)-INT(ROUND(MAX(J46,K46),2)))*100,0)+1),"")&amp;" لا غير")</f>
        <v/>
      </c>
    </row>
    <row r="47" customFormat="false" ht="15" hidden="false" customHeight="false" outlineLevel="0" collapsed="false">
      <c r="A47" s="54" t="str">
        <f aca="false">IF(C47="","",START_NO+COUNT(C$5:C47)-1)</f>
        <v/>
      </c>
      <c r="B47" s="55" t="str">
        <f aca="false">IF(A47="","",PREFIX&amp;"-"&amp;TEXT(C47,"yyyy")&amp;"-"&amp;A47)</f>
        <v/>
      </c>
      <c r="C47" s="56"/>
      <c r="D47" s="57"/>
      <c r="E47" s="58"/>
      <c r="F47" s="58"/>
      <c r="G47" s="57"/>
      <c r="H47" s="57"/>
      <c r="I47" s="57"/>
      <c r="J47" s="59" t="str">
        <f aca="false">IF(A47="","",SUMIFS('بنود السندات'!$F$5:$F$3004,'بنود السندات'!$A$5:$A$3004,A47))</f>
        <v/>
      </c>
      <c r="K47" s="59" t="str">
        <f aca="false">IF(A47="","",SUMIFS('بنود السندات'!$G$5:$G$3004,'بنود السندات'!$A$5:$A$3004,A47))</f>
        <v/>
      </c>
      <c r="L47" s="59" t="str">
        <f aca="false">IF(A47="","",ROUND(J47-K47,2))</f>
        <v/>
      </c>
      <c r="M47" s="55" t="str">
        <f aca="false">IF(A47="","",COUNTIF('بنود السندات'!$A$5:$A$3004,A47))</f>
        <v/>
      </c>
      <c r="N47" s="60" t="str">
        <f aca="false">IF(A47="","",IF(M47=0,"بدون بنود ⚠",IF(L47=0,"متوازن ✔","غير متوازن ✘")))</f>
        <v/>
      </c>
      <c r="O47" s="61" t="str">
        <f aca="false">IF(A47="","","فقط "&amp;IF(INT(ROUND(MAX(J47,K47),2))=0,"صفر",MID(IF(INT(INT(ROUND(MAX(J47,K47),2))/1000000)&gt;0," و"&amp;INDEX(تفقيط!$D$2:$D$1001,INT(INT(ROUND(MAX(J47,K47),2))/1000000)+1),"")&amp;IF(INT(MOD(INT(ROUND(MAX(J47,K47),2)),1000000)/1000)&gt;0," و"&amp;INDEX(تفقيط!$C$2:$C$1001,INT(MOD(INT(ROUND(MAX(J47,K47),2)),1000000)/1000)+1),"")&amp;IF(MOD(INT(ROUND(MAX(J47,K47),2)),1000)&gt;0," و"&amp;INDEX(تفقيط!$B$2:$B$1001,MOD(INT(ROUND(MAX(J47,K47),2)),1000)+1),""),3,400))&amp;" "&amp;CUR&amp;IF(ROUND((ROUND(MAX(J47,K47),2)-INT(ROUND(MAX(J47,K47),2)))*100,0)&gt;0," و"&amp;INDEX(تفقيط!$E$2:$E$1001,ROUND((ROUND(MAX(J47,K47),2)-INT(ROUND(MAX(J47,K47),2)))*100,0)+1),"")&amp;" لا غير")</f>
        <v/>
      </c>
    </row>
    <row r="48" customFormat="false" ht="15" hidden="false" customHeight="false" outlineLevel="0" collapsed="false">
      <c r="A48" s="62" t="str">
        <f aca="false">IF(C48="","",START_NO+COUNT(C$5:C48)-1)</f>
        <v/>
      </c>
      <c r="B48" s="63" t="str">
        <f aca="false">IF(A48="","",PREFIX&amp;"-"&amp;TEXT(C48,"yyyy")&amp;"-"&amp;A48)</f>
        <v/>
      </c>
      <c r="C48" s="56"/>
      <c r="D48" s="57"/>
      <c r="E48" s="58"/>
      <c r="F48" s="58"/>
      <c r="G48" s="57"/>
      <c r="H48" s="57"/>
      <c r="I48" s="57"/>
      <c r="J48" s="64" t="str">
        <f aca="false">IF(A48="","",SUMIFS('بنود السندات'!$F$5:$F$3004,'بنود السندات'!$A$5:$A$3004,A48))</f>
        <v/>
      </c>
      <c r="K48" s="64" t="str">
        <f aca="false">IF(A48="","",SUMIFS('بنود السندات'!$G$5:$G$3004,'بنود السندات'!$A$5:$A$3004,A48))</f>
        <v/>
      </c>
      <c r="L48" s="64" t="str">
        <f aca="false">IF(A48="","",ROUND(J48-K48,2))</f>
        <v/>
      </c>
      <c r="M48" s="63" t="str">
        <f aca="false">IF(A48="","",COUNTIF('بنود السندات'!$A$5:$A$3004,A48))</f>
        <v/>
      </c>
      <c r="N48" s="65" t="str">
        <f aca="false">IF(A48="","",IF(M48=0,"بدون بنود ⚠",IF(L48=0,"متوازن ✔","غير متوازن ✘")))</f>
        <v/>
      </c>
      <c r="O48" s="66" t="str">
        <f aca="false">IF(A48="","","فقط "&amp;IF(INT(ROUND(MAX(J48,K48),2))=0,"صفر",MID(IF(INT(INT(ROUND(MAX(J48,K48),2))/1000000)&gt;0," و"&amp;INDEX(تفقيط!$D$2:$D$1001,INT(INT(ROUND(MAX(J48,K48),2))/1000000)+1),"")&amp;IF(INT(MOD(INT(ROUND(MAX(J48,K48),2)),1000000)/1000)&gt;0," و"&amp;INDEX(تفقيط!$C$2:$C$1001,INT(MOD(INT(ROUND(MAX(J48,K48),2)),1000000)/1000)+1),"")&amp;IF(MOD(INT(ROUND(MAX(J48,K48),2)),1000)&gt;0," و"&amp;INDEX(تفقيط!$B$2:$B$1001,MOD(INT(ROUND(MAX(J48,K48),2)),1000)+1),""),3,400))&amp;" "&amp;CUR&amp;IF(ROUND((ROUND(MAX(J48,K48),2)-INT(ROUND(MAX(J48,K48),2)))*100,0)&gt;0," و"&amp;INDEX(تفقيط!$E$2:$E$1001,ROUND((ROUND(MAX(J48,K48),2)-INT(ROUND(MAX(J48,K48),2)))*100,0)+1),"")&amp;" لا غير")</f>
        <v/>
      </c>
    </row>
    <row r="49" customFormat="false" ht="15" hidden="false" customHeight="false" outlineLevel="0" collapsed="false">
      <c r="A49" s="54" t="str">
        <f aca="false">IF(C49="","",START_NO+COUNT(C$5:C49)-1)</f>
        <v/>
      </c>
      <c r="B49" s="55" t="str">
        <f aca="false">IF(A49="","",PREFIX&amp;"-"&amp;TEXT(C49,"yyyy")&amp;"-"&amp;A49)</f>
        <v/>
      </c>
      <c r="C49" s="56"/>
      <c r="D49" s="57"/>
      <c r="E49" s="58"/>
      <c r="F49" s="58"/>
      <c r="G49" s="57"/>
      <c r="H49" s="57"/>
      <c r="I49" s="57"/>
      <c r="J49" s="59" t="str">
        <f aca="false">IF(A49="","",SUMIFS('بنود السندات'!$F$5:$F$3004,'بنود السندات'!$A$5:$A$3004,A49))</f>
        <v/>
      </c>
      <c r="K49" s="59" t="str">
        <f aca="false">IF(A49="","",SUMIFS('بنود السندات'!$G$5:$G$3004,'بنود السندات'!$A$5:$A$3004,A49))</f>
        <v/>
      </c>
      <c r="L49" s="59" t="str">
        <f aca="false">IF(A49="","",ROUND(J49-K49,2))</f>
        <v/>
      </c>
      <c r="M49" s="55" t="str">
        <f aca="false">IF(A49="","",COUNTIF('بنود السندات'!$A$5:$A$3004,A49))</f>
        <v/>
      </c>
      <c r="N49" s="60" t="str">
        <f aca="false">IF(A49="","",IF(M49=0,"بدون بنود ⚠",IF(L49=0,"متوازن ✔","غير متوازن ✘")))</f>
        <v/>
      </c>
      <c r="O49" s="61" t="str">
        <f aca="false">IF(A49="","","فقط "&amp;IF(INT(ROUND(MAX(J49,K49),2))=0,"صفر",MID(IF(INT(INT(ROUND(MAX(J49,K49),2))/1000000)&gt;0," و"&amp;INDEX(تفقيط!$D$2:$D$1001,INT(INT(ROUND(MAX(J49,K49),2))/1000000)+1),"")&amp;IF(INT(MOD(INT(ROUND(MAX(J49,K49),2)),1000000)/1000)&gt;0," و"&amp;INDEX(تفقيط!$C$2:$C$1001,INT(MOD(INT(ROUND(MAX(J49,K49),2)),1000000)/1000)+1),"")&amp;IF(MOD(INT(ROUND(MAX(J49,K49),2)),1000)&gt;0," و"&amp;INDEX(تفقيط!$B$2:$B$1001,MOD(INT(ROUND(MAX(J49,K49),2)),1000)+1),""),3,400))&amp;" "&amp;CUR&amp;IF(ROUND((ROUND(MAX(J49,K49),2)-INT(ROUND(MAX(J49,K49),2)))*100,0)&gt;0," و"&amp;INDEX(تفقيط!$E$2:$E$1001,ROUND((ROUND(MAX(J49,K49),2)-INT(ROUND(MAX(J49,K49),2)))*100,0)+1),"")&amp;" لا غير")</f>
        <v/>
      </c>
    </row>
    <row r="50" customFormat="false" ht="15" hidden="false" customHeight="false" outlineLevel="0" collapsed="false">
      <c r="A50" s="62" t="str">
        <f aca="false">IF(C50="","",START_NO+COUNT(C$5:C50)-1)</f>
        <v/>
      </c>
      <c r="B50" s="63" t="str">
        <f aca="false">IF(A50="","",PREFIX&amp;"-"&amp;TEXT(C50,"yyyy")&amp;"-"&amp;A50)</f>
        <v/>
      </c>
      <c r="C50" s="56"/>
      <c r="D50" s="57"/>
      <c r="E50" s="58"/>
      <c r="F50" s="58"/>
      <c r="G50" s="57"/>
      <c r="H50" s="57"/>
      <c r="I50" s="57"/>
      <c r="J50" s="64" t="str">
        <f aca="false">IF(A50="","",SUMIFS('بنود السندات'!$F$5:$F$3004,'بنود السندات'!$A$5:$A$3004,A50))</f>
        <v/>
      </c>
      <c r="K50" s="64" t="str">
        <f aca="false">IF(A50="","",SUMIFS('بنود السندات'!$G$5:$G$3004,'بنود السندات'!$A$5:$A$3004,A50))</f>
        <v/>
      </c>
      <c r="L50" s="64" t="str">
        <f aca="false">IF(A50="","",ROUND(J50-K50,2))</f>
        <v/>
      </c>
      <c r="M50" s="63" t="str">
        <f aca="false">IF(A50="","",COUNTIF('بنود السندات'!$A$5:$A$3004,A50))</f>
        <v/>
      </c>
      <c r="N50" s="65" t="str">
        <f aca="false">IF(A50="","",IF(M50=0,"بدون بنود ⚠",IF(L50=0,"متوازن ✔","غير متوازن ✘")))</f>
        <v/>
      </c>
      <c r="O50" s="66" t="str">
        <f aca="false">IF(A50="","","فقط "&amp;IF(INT(ROUND(MAX(J50,K50),2))=0,"صفر",MID(IF(INT(INT(ROUND(MAX(J50,K50),2))/1000000)&gt;0," و"&amp;INDEX(تفقيط!$D$2:$D$1001,INT(INT(ROUND(MAX(J50,K50),2))/1000000)+1),"")&amp;IF(INT(MOD(INT(ROUND(MAX(J50,K50),2)),1000000)/1000)&gt;0," و"&amp;INDEX(تفقيط!$C$2:$C$1001,INT(MOD(INT(ROUND(MAX(J50,K50),2)),1000000)/1000)+1),"")&amp;IF(MOD(INT(ROUND(MAX(J50,K50),2)),1000)&gt;0," و"&amp;INDEX(تفقيط!$B$2:$B$1001,MOD(INT(ROUND(MAX(J50,K50),2)),1000)+1),""),3,400))&amp;" "&amp;CUR&amp;IF(ROUND((ROUND(MAX(J50,K50),2)-INT(ROUND(MAX(J50,K50),2)))*100,0)&gt;0," و"&amp;INDEX(تفقيط!$E$2:$E$1001,ROUND((ROUND(MAX(J50,K50),2)-INT(ROUND(MAX(J50,K50),2)))*100,0)+1),"")&amp;" لا غير")</f>
        <v/>
      </c>
    </row>
    <row r="51" customFormat="false" ht="15" hidden="false" customHeight="false" outlineLevel="0" collapsed="false">
      <c r="A51" s="54" t="str">
        <f aca="false">IF(C51="","",START_NO+COUNT(C$5:C51)-1)</f>
        <v/>
      </c>
      <c r="B51" s="55" t="str">
        <f aca="false">IF(A51="","",PREFIX&amp;"-"&amp;TEXT(C51,"yyyy")&amp;"-"&amp;A51)</f>
        <v/>
      </c>
      <c r="C51" s="56"/>
      <c r="D51" s="57"/>
      <c r="E51" s="58"/>
      <c r="F51" s="58"/>
      <c r="G51" s="57"/>
      <c r="H51" s="57"/>
      <c r="I51" s="57"/>
      <c r="J51" s="59" t="str">
        <f aca="false">IF(A51="","",SUMIFS('بنود السندات'!$F$5:$F$3004,'بنود السندات'!$A$5:$A$3004,A51))</f>
        <v/>
      </c>
      <c r="K51" s="59" t="str">
        <f aca="false">IF(A51="","",SUMIFS('بنود السندات'!$G$5:$G$3004,'بنود السندات'!$A$5:$A$3004,A51))</f>
        <v/>
      </c>
      <c r="L51" s="59" t="str">
        <f aca="false">IF(A51="","",ROUND(J51-K51,2))</f>
        <v/>
      </c>
      <c r="M51" s="55" t="str">
        <f aca="false">IF(A51="","",COUNTIF('بنود السندات'!$A$5:$A$3004,A51))</f>
        <v/>
      </c>
      <c r="N51" s="60" t="str">
        <f aca="false">IF(A51="","",IF(M51=0,"بدون بنود ⚠",IF(L51=0,"متوازن ✔","غير متوازن ✘")))</f>
        <v/>
      </c>
      <c r="O51" s="61" t="str">
        <f aca="false">IF(A51="","","فقط "&amp;IF(INT(ROUND(MAX(J51,K51),2))=0,"صفر",MID(IF(INT(INT(ROUND(MAX(J51,K51),2))/1000000)&gt;0," و"&amp;INDEX(تفقيط!$D$2:$D$1001,INT(INT(ROUND(MAX(J51,K51),2))/1000000)+1),"")&amp;IF(INT(MOD(INT(ROUND(MAX(J51,K51),2)),1000000)/1000)&gt;0," و"&amp;INDEX(تفقيط!$C$2:$C$1001,INT(MOD(INT(ROUND(MAX(J51,K51),2)),1000000)/1000)+1),"")&amp;IF(MOD(INT(ROUND(MAX(J51,K51),2)),1000)&gt;0," و"&amp;INDEX(تفقيط!$B$2:$B$1001,MOD(INT(ROUND(MAX(J51,K51),2)),1000)+1),""),3,400))&amp;" "&amp;CUR&amp;IF(ROUND((ROUND(MAX(J51,K51),2)-INT(ROUND(MAX(J51,K51),2)))*100,0)&gt;0," و"&amp;INDEX(تفقيط!$E$2:$E$1001,ROUND((ROUND(MAX(J51,K51),2)-INT(ROUND(MAX(J51,K51),2)))*100,0)+1),"")&amp;" لا غير")</f>
        <v/>
      </c>
    </row>
    <row r="52" customFormat="false" ht="15" hidden="false" customHeight="false" outlineLevel="0" collapsed="false">
      <c r="A52" s="62" t="str">
        <f aca="false">IF(C52="","",START_NO+COUNT(C$5:C52)-1)</f>
        <v/>
      </c>
      <c r="B52" s="63" t="str">
        <f aca="false">IF(A52="","",PREFIX&amp;"-"&amp;TEXT(C52,"yyyy")&amp;"-"&amp;A52)</f>
        <v/>
      </c>
      <c r="C52" s="56"/>
      <c r="D52" s="57"/>
      <c r="E52" s="58"/>
      <c r="F52" s="58"/>
      <c r="G52" s="57"/>
      <c r="H52" s="57"/>
      <c r="I52" s="57"/>
      <c r="J52" s="64" t="str">
        <f aca="false">IF(A52="","",SUMIFS('بنود السندات'!$F$5:$F$3004,'بنود السندات'!$A$5:$A$3004,A52))</f>
        <v/>
      </c>
      <c r="K52" s="64" t="str">
        <f aca="false">IF(A52="","",SUMIFS('بنود السندات'!$G$5:$G$3004,'بنود السندات'!$A$5:$A$3004,A52))</f>
        <v/>
      </c>
      <c r="L52" s="64" t="str">
        <f aca="false">IF(A52="","",ROUND(J52-K52,2))</f>
        <v/>
      </c>
      <c r="M52" s="63" t="str">
        <f aca="false">IF(A52="","",COUNTIF('بنود السندات'!$A$5:$A$3004,A52))</f>
        <v/>
      </c>
      <c r="N52" s="65" t="str">
        <f aca="false">IF(A52="","",IF(M52=0,"بدون بنود ⚠",IF(L52=0,"متوازن ✔","غير متوازن ✘")))</f>
        <v/>
      </c>
      <c r="O52" s="66" t="str">
        <f aca="false">IF(A52="","","فقط "&amp;IF(INT(ROUND(MAX(J52,K52),2))=0,"صفر",MID(IF(INT(INT(ROUND(MAX(J52,K52),2))/1000000)&gt;0," و"&amp;INDEX(تفقيط!$D$2:$D$1001,INT(INT(ROUND(MAX(J52,K52),2))/1000000)+1),"")&amp;IF(INT(MOD(INT(ROUND(MAX(J52,K52),2)),1000000)/1000)&gt;0," و"&amp;INDEX(تفقيط!$C$2:$C$1001,INT(MOD(INT(ROUND(MAX(J52,K52),2)),1000000)/1000)+1),"")&amp;IF(MOD(INT(ROUND(MAX(J52,K52),2)),1000)&gt;0," و"&amp;INDEX(تفقيط!$B$2:$B$1001,MOD(INT(ROUND(MAX(J52,K52),2)),1000)+1),""),3,400))&amp;" "&amp;CUR&amp;IF(ROUND((ROUND(MAX(J52,K52),2)-INT(ROUND(MAX(J52,K52),2)))*100,0)&gt;0," و"&amp;INDEX(تفقيط!$E$2:$E$1001,ROUND((ROUND(MAX(J52,K52),2)-INT(ROUND(MAX(J52,K52),2)))*100,0)+1),"")&amp;" لا غير")</f>
        <v/>
      </c>
    </row>
    <row r="53" customFormat="false" ht="15" hidden="false" customHeight="false" outlineLevel="0" collapsed="false">
      <c r="A53" s="54" t="str">
        <f aca="false">IF(C53="","",START_NO+COUNT(C$5:C53)-1)</f>
        <v/>
      </c>
      <c r="B53" s="55" t="str">
        <f aca="false">IF(A53="","",PREFIX&amp;"-"&amp;TEXT(C53,"yyyy")&amp;"-"&amp;A53)</f>
        <v/>
      </c>
      <c r="C53" s="56"/>
      <c r="D53" s="57"/>
      <c r="E53" s="58"/>
      <c r="F53" s="58"/>
      <c r="G53" s="57"/>
      <c r="H53" s="57"/>
      <c r="I53" s="57"/>
      <c r="J53" s="59" t="str">
        <f aca="false">IF(A53="","",SUMIFS('بنود السندات'!$F$5:$F$3004,'بنود السندات'!$A$5:$A$3004,A53))</f>
        <v/>
      </c>
      <c r="K53" s="59" t="str">
        <f aca="false">IF(A53="","",SUMIFS('بنود السندات'!$G$5:$G$3004,'بنود السندات'!$A$5:$A$3004,A53))</f>
        <v/>
      </c>
      <c r="L53" s="59" t="str">
        <f aca="false">IF(A53="","",ROUND(J53-K53,2))</f>
        <v/>
      </c>
      <c r="M53" s="55" t="str">
        <f aca="false">IF(A53="","",COUNTIF('بنود السندات'!$A$5:$A$3004,A53))</f>
        <v/>
      </c>
      <c r="N53" s="60" t="str">
        <f aca="false">IF(A53="","",IF(M53=0,"بدون بنود ⚠",IF(L53=0,"متوازن ✔","غير متوازن ✘")))</f>
        <v/>
      </c>
      <c r="O53" s="61" t="str">
        <f aca="false">IF(A53="","","فقط "&amp;IF(INT(ROUND(MAX(J53,K53),2))=0,"صفر",MID(IF(INT(INT(ROUND(MAX(J53,K53),2))/1000000)&gt;0," و"&amp;INDEX(تفقيط!$D$2:$D$1001,INT(INT(ROUND(MAX(J53,K53),2))/1000000)+1),"")&amp;IF(INT(MOD(INT(ROUND(MAX(J53,K53),2)),1000000)/1000)&gt;0," و"&amp;INDEX(تفقيط!$C$2:$C$1001,INT(MOD(INT(ROUND(MAX(J53,K53),2)),1000000)/1000)+1),"")&amp;IF(MOD(INT(ROUND(MAX(J53,K53),2)),1000)&gt;0," و"&amp;INDEX(تفقيط!$B$2:$B$1001,MOD(INT(ROUND(MAX(J53,K53),2)),1000)+1),""),3,400))&amp;" "&amp;CUR&amp;IF(ROUND((ROUND(MAX(J53,K53),2)-INT(ROUND(MAX(J53,K53),2)))*100,0)&gt;0," و"&amp;INDEX(تفقيط!$E$2:$E$1001,ROUND((ROUND(MAX(J53,K53),2)-INT(ROUND(MAX(J53,K53),2)))*100,0)+1),"")&amp;" لا غير")</f>
        <v/>
      </c>
    </row>
    <row r="54" customFormat="false" ht="15" hidden="false" customHeight="false" outlineLevel="0" collapsed="false">
      <c r="A54" s="62" t="str">
        <f aca="false">IF(C54="","",START_NO+COUNT(C$5:C54)-1)</f>
        <v/>
      </c>
      <c r="B54" s="63" t="str">
        <f aca="false">IF(A54="","",PREFIX&amp;"-"&amp;TEXT(C54,"yyyy")&amp;"-"&amp;A54)</f>
        <v/>
      </c>
      <c r="C54" s="56"/>
      <c r="D54" s="57"/>
      <c r="E54" s="58"/>
      <c r="F54" s="58"/>
      <c r="G54" s="57"/>
      <c r="H54" s="57"/>
      <c r="I54" s="57"/>
      <c r="J54" s="64" t="str">
        <f aca="false">IF(A54="","",SUMIFS('بنود السندات'!$F$5:$F$3004,'بنود السندات'!$A$5:$A$3004,A54))</f>
        <v/>
      </c>
      <c r="K54" s="64" t="str">
        <f aca="false">IF(A54="","",SUMIFS('بنود السندات'!$G$5:$G$3004,'بنود السندات'!$A$5:$A$3004,A54))</f>
        <v/>
      </c>
      <c r="L54" s="64" t="str">
        <f aca="false">IF(A54="","",ROUND(J54-K54,2))</f>
        <v/>
      </c>
      <c r="M54" s="63" t="str">
        <f aca="false">IF(A54="","",COUNTIF('بنود السندات'!$A$5:$A$3004,A54))</f>
        <v/>
      </c>
      <c r="N54" s="65" t="str">
        <f aca="false">IF(A54="","",IF(M54=0,"بدون بنود ⚠",IF(L54=0,"متوازن ✔","غير متوازن ✘")))</f>
        <v/>
      </c>
      <c r="O54" s="66" t="str">
        <f aca="false">IF(A54="","","فقط "&amp;IF(INT(ROUND(MAX(J54,K54),2))=0,"صفر",MID(IF(INT(INT(ROUND(MAX(J54,K54),2))/1000000)&gt;0," و"&amp;INDEX(تفقيط!$D$2:$D$1001,INT(INT(ROUND(MAX(J54,K54),2))/1000000)+1),"")&amp;IF(INT(MOD(INT(ROUND(MAX(J54,K54),2)),1000000)/1000)&gt;0," و"&amp;INDEX(تفقيط!$C$2:$C$1001,INT(MOD(INT(ROUND(MAX(J54,K54),2)),1000000)/1000)+1),"")&amp;IF(MOD(INT(ROUND(MAX(J54,K54),2)),1000)&gt;0," و"&amp;INDEX(تفقيط!$B$2:$B$1001,MOD(INT(ROUND(MAX(J54,K54),2)),1000)+1),""),3,400))&amp;" "&amp;CUR&amp;IF(ROUND((ROUND(MAX(J54,K54),2)-INT(ROUND(MAX(J54,K54),2)))*100,0)&gt;0," و"&amp;INDEX(تفقيط!$E$2:$E$1001,ROUND((ROUND(MAX(J54,K54),2)-INT(ROUND(MAX(J54,K54),2)))*100,0)+1),"")&amp;" لا غير")</f>
        <v/>
      </c>
    </row>
    <row r="55" customFormat="false" ht="15" hidden="false" customHeight="false" outlineLevel="0" collapsed="false">
      <c r="A55" s="54" t="str">
        <f aca="false">IF(C55="","",START_NO+COUNT(C$5:C55)-1)</f>
        <v/>
      </c>
      <c r="B55" s="55" t="str">
        <f aca="false">IF(A55="","",PREFIX&amp;"-"&amp;TEXT(C55,"yyyy")&amp;"-"&amp;A55)</f>
        <v/>
      </c>
      <c r="C55" s="56"/>
      <c r="D55" s="57"/>
      <c r="E55" s="58"/>
      <c r="F55" s="58"/>
      <c r="G55" s="57"/>
      <c r="H55" s="57"/>
      <c r="I55" s="57"/>
      <c r="J55" s="59" t="str">
        <f aca="false">IF(A55="","",SUMIFS('بنود السندات'!$F$5:$F$3004,'بنود السندات'!$A$5:$A$3004,A55))</f>
        <v/>
      </c>
      <c r="K55" s="59" t="str">
        <f aca="false">IF(A55="","",SUMIFS('بنود السندات'!$G$5:$G$3004,'بنود السندات'!$A$5:$A$3004,A55))</f>
        <v/>
      </c>
      <c r="L55" s="59" t="str">
        <f aca="false">IF(A55="","",ROUND(J55-K55,2))</f>
        <v/>
      </c>
      <c r="M55" s="55" t="str">
        <f aca="false">IF(A55="","",COUNTIF('بنود السندات'!$A$5:$A$3004,A55))</f>
        <v/>
      </c>
      <c r="N55" s="60" t="str">
        <f aca="false">IF(A55="","",IF(M55=0,"بدون بنود ⚠",IF(L55=0,"متوازن ✔","غير متوازن ✘")))</f>
        <v/>
      </c>
      <c r="O55" s="61" t="str">
        <f aca="false">IF(A55="","","فقط "&amp;IF(INT(ROUND(MAX(J55,K55),2))=0,"صفر",MID(IF(INT(INT(ROUND(MAX(J55,K55),2))/1000000)&gt;0," و"&amp;INDEX(تفقيط!$D$2:$D$1001,INT(INT(ROUND(MAX(J55,K55),2))/1000000)+1),"")&amp;IF(INT(MOD(INT(ROUND(MAX(J55,K55),2)),1000000)/1000)&gt;0," و"&amp;INDEX(تفقيط!$C$2:$C$1001,INT(MOD(INT(ROUND(MAX(J55,K55),2)),1000000)/1000)+1),"")&amp;IF(MOD(INT(ROUND(MAX(J55,K55),2)),1000)&gt;0," و"&amp;INDEX(تفقيط!$B$2:$B$1001,MOD(INT(ROUND(MAX(J55,K55),2)),1000)+1),""),3,400))&amp;" "&amp;CUR&amp;IF(ROUND((ROUND(MAX(J55,K55),2)-INT(ROUND(MAX(J55,K55),2)))*100,0)&gt;0," و"&amp;INDEX(تفقيط!$E$2:$E$1001,ROUND((ROUND(MAX(J55,K55),2)-INT(ROUND(MAX(J55,K55),2)))*100,0)+1),"")&amp;" لا غير")</f>
        <v/>
      </c>
    </row>
    <row r="56" customFormat="false" ht="15" hidden="false" customHeight="false" outlineLevel="0" collapsed="false">
      <c r="A56" s="62" t="str">
        <f aca="false">IF(C56="","",START_NO+COUNT(C$5:C56)-1)</f>
        <v/>
      </c>
      <c r="B56" s="63" t="str">
        <f aca="false">IF(A56="","",PREFIX&amp;"-"&amp;TEXT(C56,"yyyy")&amp;"-"&amp;A56)</f>
        <v/>
      </c>
      <c r="C56" s="56"/>
      <c r="D56" s="57"/>
      <c r="E56" s="58"/>
      <c r="F56" s="58"/>
      <c r="G56" s="57"/>
      <c r="H56" s="57"/>
      <c r="I56" s="57"/>
      <c r="J56" s="64" t="str">
        <f aca="false">IF(A56="","",SUMIFS('بنود السندات'!$F$5:$F$3004,'بنود السندات'!$A$5:$A$3004,A56))</f>
        <v/>
      </c>
      <c r="K56" s="64" t="str">
        <f aca="false">IF(A56="","",SUMIFS('بنود السندات'!$G$5:$G$3004,'بنود السندات'!$A$5:$A$3004,A56))</f>
        <v/>
      </c>
      <c r="L56" s="64" t="str">
        <f aca="false">IF(A56="","",ROUND(J56-K56,2))</f>
        <v/>
      </c>
      <c r="M56" s="63" t="str">
        <f aca="false">IF(A56="","",COUNTIF('بنود السندات'!$A$5:$A$3004,A56))</f>
        <v/>
      </c>
      <c r="N56" s="65" t="str">
        <f aca="false">IF(A56="","",IF(M56=0,"بدون بنود ⚠",IF(L56=0,"متوازن ✔","غير متوازن ✘")))</f>
        <v/>
      </c>
      <c r="O56" s="66" t="str">
        <f aca="false">IF(A56="","","فقط "&amp;IF(INT(ROUND(MAX(J56,K56),2))=0,"صفر",MID(IF(INT(INT(ROUND(MAX(J56,K56),2))/1000000)&gt;0," و"&amp;INDEX(تفقيط!$D$2:$D$1001,INT(INT(ROUND(MAX(J56,K56),2))/1000000)+1),"")&amp;IF(INT(MOD(INT(ROUND(MAX(J56,K56),2)),1000000)/1000)&gt;0," و"&amp;INDEX(تفقيط!$C$2:$C$1001,INT(MOD(INT(ROUND(MAX(J56,K56),2)),1000000)/1000)+1),"")&amp;IF(MOD(INT(ROUND(MAX(J56,K56),2)),1000)&gt;0," و"&amp;INDEX(تفقيط!$B$2:$B$1001,MOD(INT(ROUND(MAX(J56,K56),2)),1000)+1),""),3,400))&amp;" "&amp;CUR&amp;IF(ROUND((ROUND(MAX(J56,K56),2)-INT(ROUND(MAX(J56,K56),2)))*100,0)&gt;0," و"&amp;INDEX(تفقيط!$E$2:$E$1001,ROUND((ROUND(MAX(J56,K56),2)-INT(ROUND(MAX(J56,K56),2)))*100,0)+1),"")&amp;" لا غير")</f>
        <v/>
      </c>
    </row>
    <row r="57" customFormat="false" ht="15" hidden="false" customHeight="false" outlineLevel="0" collapsed="false">
      <c r="A57" s="54" t="str">
        <f aca="false">IF(C57="","",START_NO+COUNT(C$5:C57)-1)</f>
        <v/>
      </c>
      <c r="B57" s="55" t="str">
        <f aca="false">IF(A57="","",PREFIX&amp;"-"&amp;TEXT(C57,"yyyy")&amp;"-"&amp;A57)</f>
        <v/>
      </c>
      <c r="C57" s="56"/>
      <c r="D57" s="57"/>
      <c r="E57" s="58"/>
      <c r="F57" s="58"/>
      <c r="G57" s="57"/>
      <c r="H57" s="57"/>
      <c r="I57" s="57"/>
      <c r="J57" s="59" t="str">
        <f aca="false">IF(A57="","",SUMIFS('بنود السندات'!$F$5:$F$3004,'بنود السندات'!$A$5:$A$3004,A57))</f>
        <v/>
      </c>
      <c r="K57" s="59" t="str">
        <f aca="false">IF(A57="","",SUMIFS('بنود السندات'!$G$5:$G$3004,'بنود السندات'!$A$5:$A$3004,A57))</f>
        <v/>
      </c>
      <c r="L57" s="59" t="str">
        <f aca="false">IF(A57="","",ROUND(J57-K57,2))</f>
        <v/>
      </c>
      <c r="M57" s="55" t="str">
        <f aca="false">IF(A57="","",COUNTIF('بنود السندات'!$A$5:$A$3004,A57))</f>
        <v/>
      </c>
      <c r="N57" s="60" t="str">
        <f aca="false">IF(A57="","",IF(M57=0,"بدون بنود ⚠",IF(L57=0,"متوازن ✔","غير متوازن ✘")))</f>
        <v/>
      </c>
      <c r="O57" s="61" t="str">
        <f aca="false">IF(A57="","","فقط "&amp;IF(INT(ROUND(MAX(J57,K57),2))=0,"صفر",MID(IF(INT(INT(ROUND(MAX(J57,K57),2))/1000000)&gt;0," و"&amp;INDEX(تفقيط!$D$2:$D$1001,INT(INT(ROUND(MAX(J57,K57),2))/1000000)+1),"")&amp;IF(INT(MOD(INT(ROUND(MAX(J57,K57),2)),1000000)/1000)&gt;0," و"&amp;INDEX(تفقيط!$C$2:$C$1001,INT(MOD(INT(ROUND(MAX(J57,K57),2)),1000000)/1000)+1),"")&amp;IF(MOD(INT(ROUND(MAX(J57,K57),2)),1000)&gt;0," و"&amp;INDEX(تفقيط!$B$2:$B$1001,MOD(INT(ROUND(MAX(J57,K57),2)),1000)+1),""),3,400))&amp;" "&amp;CUR&amp;IF(ROUND((ROUND(MAX(J57,K57),2)-INT(ROUND(MAX(J57,K57),2)))*100,0)&gt;0," و"&amp;INDEX(تفقيط!$E$2:$E$1001,ROUND((ROUND(MAX(J57,K57),2)-INT(ROUND(MAX(J57,K57),2)))*100,0)+1),"")&amp;" لا غير")</f>
        <v/>
      </c>
    </row>
    <row r="58" customFormat="false" ht="15" hidden="false" customHeight="false" outlineLevel="0" collapsed="false">
      <c r="A58" s="62" t="str">
        <f aca="false">IF(C58="","",START_NO+COUNT(C$5:C58)-1)</f>
        <v/>
      </c>
      <c r="B58" s="63" t="str">
        <f aca="false">IF(A58="","",PREFIX&amp;"-"&amp;TEXT(C58,"yyyy")&amp;"-"&amp;A58)</f>
        <v/>
      </c>
      <c r="C58" s="56"/>
      <c r="D58" s="57"/>
      <c r="E58" s="58"/>
      <c r="F58" s="58"/>
      <c r="G58" s="57"/>
      <c r="H58" s="57"/>
      <c r="I58" s="57"/>
      <c r="J58" s="64" t="str">
        <f aca="false">IF(A58="","",SUMIFS('بنود السندات'!$F$5:$F$3004,'بنود السندات'!$A$5:$A$3004,A58))</f>
        <v/>
      </c>
      <c r="K58" s="64" t="str">
        <f aca="false">IF(A58="","",SUMIFS('بنود السندات'!$G$5:$G$3004,'بنود السندات'!$A$5:$A$3004,A58))</f>
        <v/>
      </c>
      <c r="L58" s="64" t="str">
        <f aca="false">IF(A58="","",ROUND(J58-K58,2))</f>
        <v/>
      </c>
      <c r="M58" s="63" t="str">
        <f aca="false">IF(A58="","",COUNTIF('بنود السندات'!$A$5:$A$3004,A58))</f>
        <v/>
      </c>
      <c r="N58" s="65" t="str">
        <f aca="false">IF(A58="","",IF(M58=0,"بدون بنود ⚠",IF(L58=0,"متوازن ✔","غير متوازن ✘")))</f>
        <v/>
      </c>
      <c r="O58" s="66" t="str">
        <f aca="false">IF(A58="","","فقط "&amp;IF(INT(ROUND(MAX(J58,K58),2))=0,"صفر",MID(IF(INT(INT(ROUND(MAX(J58,K58),2))/1000000)&gt;0," و"&amp;INDEX(تفقيط!$D$2:$D$1001,INT(INT(ROUND(MAX(J58,K58),2))/1000000)+1),"")&amp;IF(INT(MOD(INT(ROUND(MAX(J58,K58),2)),1000000)/1000)&gt;0," و"&amp;INDEX(تفقيط!$C$2:$C$1001,INT(MOD(INT(ROUND(MAX(J58,K58),2)),1000000)/1000)+1),"")&amp;IF(MOD(INT(ROUND(MAX(J58,K58),2)),1000)&gt;0," و"&amp;INDEX(تفقيط!$B$2:$B$1001,MOD(INT(ROUND(MAX(J58,K58),2)),1000)+1),""),3,400))&amp;" "&amp;CUR&amp;IF(ROUND((ROUND(MAX(J58,K58),2)-INT(ROUND(MAX(J58,K58),2)))*100,0)&gt;0," و"&amp;INDEX(تفقيط!$E$2:$E$1001,ROUND((ROUND(MAX(J58,K58),2)-INT(ROUND(MAX(J58,K58),2)))*100,0)+1),"")&amp;" لا غير")</f>
        <v/>
      </c>
    </row>
    <row r="59" customFormat="false" ht="15" hidden="false" customHeight="false" outlineLevel="0" collapsed="false">
      <c r="A59" s="54" t="str">
        <f aca="false">IF(C59="","",START_NO+COUNT(C$5:C59)-1)</f>
        <v/>
      </c>
      <c r="B59" s="55" t="str">
        <f aca="false">IF(A59="","",PREFIX&amp;"-"&amp;TEXT(C59,"yyyy")&amp;"-"&amp;A59)</f>
        <v/>
      </c>
      <c r="C59" s="56"/>
      <c r="D59" s="57"/>
      <c r="E59" s="58"/>
      <c r="F59" s="58"/>
      <c r="G59" s="57"/>
      <c r="H59" s="57"/>
      <c r="I59" s="57"/>
      <c r="J59" s="59" t="str">
        <f aca="false">IF(A59="","",SUMIFS('بنود السندات'!$F$5:$F$3004,'بنود السندات'!$A$5:$A$3004,A59))</f>
        <v/>
      </c>
      <c r="K59" s="59" t="str">
        <f aca="false">IF(A59="","",SUMIFS('بنود السندات'!$G$5:$G$3004,'بنود السندات'!$A$5:$A$3004,A59))</f>
        <v/>
      </c>
      <c r="L59" s="59" t="str">
        <f aca="false">IF(A59="","",ROUND(J59-K59,2))</f>
        <v/>
      </c>
      <c r="M59" s="55" t="str">
        <f aca="false">IF(A59="","",COUNTIF('بنود السندات'!$A$5:$A$3004,A59))</f>
        <v/>
      </c>
      <c r="N59" s="60" t="str">
        <f aca="false">IF(A59="","",IF(M59=0,"بدون بنود ⚠",IF(L59=0,"متوازن ✔","غير متوازن ✘")))</f>
        <v/>
      </c>
      <c r="O59" s="61" t="str">
        <f aca="false">IF(A59="","","فقط "&amp;IF(INT(ROUND(MAX(J59,K59),2))=0,"صفر",MID(IF(INT(INT(ROUND(MAX(J59,K59),2))/1000000)&gt;0," و"&amp;INDEX(تفقيط!$D$2:$D$1001,INT(INT(ROUND(MAX(J59,K59),2))/1000000)+1),"")&amp;IF(INT(MOD(INT(ROUND(MAX(J59,K59),2)),1000000)/1000)&gt;0," و"&amp;INDEX(تفقيط!$C$2:$C$1001,INT(MOD(INT(ROUND(MAX(J59,K59),2)),1000000)/1000)+1),"")&amp;IF(MOD(INT(ROUND(MAX(J59,K59),2)),1000)&gt;0," و"&amp;INDEX(تفقيط!$B$2:$B$1001,MOD(INT(ROUND(MAX(J59,K59),2)),1000)+1),""),3,400))&amp;" "&amp;CUR&amp;IF(ROUND((ROUND(MAX(J59,K59),2)-INT(ROUND(MAX(J59,K59),2)))*100,0)&gt;0," و"&amp;INDEX(تفقيط!$E$2:$E$1001,ROUND((ROUND(MAX(J59,K59),2)-INT(ROUND(MAX(J59,K59),2)))*100,0)+1),"")&amp;" لا غير")</f>
        <v/>
      </c>
    </row>
    <row r="60" customFormat="false" ht="15" hidden="false" customHeight="false" outlineLevel="0" collapsed="false">
      <c r="A60" s="62" t="str">
        <f aca="false">IF(C60="","",START_NO+COUNT(C$5:C60)-1)</f>
        <v/>
      </c>
      <c r="B60" s="63" t="str">
        <f aca="false">IF(A60="","",PREFIX&amp;"-"&amp;TEXT(C60,"yyyy")&amp;"-"&amp;A60)</f>
        <v/>
      </c>
      <c r="C60" s="56"/>
      <c r="D60" s="57"/>
      <c r="E60" s="58"/>
      <c r="F60" s="58"/>
      <c r="G60" s="57"/>
      <c r="H60" s="57"/>
      <c r="I60" s="57"/>
      <c r="J60" s="64" t="str">
        <f aca="false">IF(A60="","",SUMIFS('بنود السندات'!$F$5:$F$3004,'بنود السندات'!$A$5:$A$3004,A60))</f>
        <v/>
      </c>
      <c r="K60" s="64" t="str">
        <f aca="false">IF(A60="","",SUMIFS('بنود السندات'!$G$5:$G$3004,'بنود السندات'!$A$5:$A$3004,A60))</f>
        <v/>
      </c>
      <c r="L60" s="64" t="str">
        <f aca="false">IF(A60="","",ROUND(J60-K60,2))</f>
        <v/>
      </c>
      <c r="M60" s="63" t="str">
        <f aca="false">IF(A60="","",COUNTIF('بنود السندات'!$A$5:$A$3004,A60))</f>
        <v/>
      </c>
      <c r="N60" s="65" t="str">
        <f aca="false">IF(A60="","",IF(M60=0,"بدون بنود ⚠",IF(L60=0,"متوازن ✔","غير متوازن ✘")))</f>
        <v/>
      </c>
      <c r="O60" s="66" t="str">
        <f aca="false">IF(A60="","","فقط "&amp;IF(INT(ROUND(MAX(J60,K60),2))=0,"صفر",MID(IF(INT(INT(ROUND(MAX(J60,K60),2))/1000000)&gt;0," و"&amp;INDEX(تفقيط!$D$2:$D$1001,INT(INT(ROUND(MAX(J60,K60),2))/1000000)+1),"")&amp;IF(INT(MOD(INT(ROUND(MAX(J60,K60),2)),1000000)/1000)&gt;0," و"&amp;INDEX(تفقيط!$C$2:$C$1001,INT(MOD(INT(ROUND(MAX(J60,K60),2)),1000000)/1000)+1),"")&amp;IF(MOD(INT(ROUND(MAX(J60,K60),2)),1000)&gt;0," و"&amp;INDEX(تفقيط!$B$2:$B$1001,MOD(INT(ROUND(MAX(J60,K60),2)),1000)+1),""),3,400))&amp;" "&amp;CUR&amp;IF(ROUND((ROUND(MAX(J60,K60),2)-INT(ROUND(MAX(J60,K60),2)))*100,0)&gt;0," و"&amp;INDEX(تفقيط!$E$2:$E$1001,ROUND((ROUND(MAX(J60,K60),2)-INT(ROUND(MAX(J60,K60),2)))*100,0)+1),"")&amp;" لا غير")</f>
        <v/>
      </c>
    </row>
    <row r="61" customFormat="false" ht="15" hidden="false" customHeight="false" outlineLevel="0" collapsed="false">
      <c r="A61" s="54" t="str">
        <f aca="false">IF(C61="","",START_NO+COUNT(C$5:C61)-1)</f>
        <v/>
      </c>
      <c r="B61" s="55" t="str">
        <f aca="false">IF(A61="","",PREFIX&amp;"-"&amp;TEXT(C61,"yyyy")&amp;"-"&amp;A61)</f>
        <v/>
      </c>
      <c r="C61" s="56"/>
      <c r="D61" s="57"/>
      <c r="E61" s="58"/>
      <c r="F61" s="58"/>
      <c r="G61" s="57"/>
      <c r="H61" s="57"/>
      <c r="I61" s="57"/>
      <c r="J61" s="59" t="str">
        <f aca="false">IF(A61="","",SUMIFS('بنود السندات'!$F$5:$F$3004,'بنود السندات'!$A$5:$A$3004,A61))</f>
        <v/>
      </c>
      <c r="K61" s="59" t="str">
        <f aca="false">IF(A61="","",SUMIFS('بنود السندات'!$G$5:$G$3004,'بنود السندات'!$A$5:$A$3004,A61))</f>
        <v/>
      </c>
      <c r="L61" s="59" t="str">
        <f aca="false">IF(A61="","",ROUND(J61-K61,2))</f>
        <v/>
      </c>
      <c r="M61" s="55" t="str">
        <f aca="false">IF(A61="","",COUNTIF('بنود السندات'!$A$5:$A$3004,A61))</f>
        <v/>
      </c>
      <c r="N61" s="60" t="str">
        <f aca="false">IF(A61="","",IF(M61=0,"بدون بنود ⚠",IF(L61=0,"متوازن ✔","غير متوازن ✘")))</f>
        <v/>
      </c>
      <c r="O61" s="61" t="str">
        <f aca="false">IF(A61="","","فقط "&amp;IF(INT(ROUND(MAX(J61,K61),2))=0,"صفر",MID(IF(INT(INT(ROUND(MAX(J61,K61),2))/1000000)&gt;0," و"&amp;INDEX(تفقيط!$D$2:$D$1001,INT(INT(ROUND(MAX(J61,K61),2))/1000000)+1),"")&amp;IF(INT(MOD(INT(ROUND(MAX(J61,K61),2)),1000000)/1000)&gt;0," و"&amp;INDEX(تفقيط!$C$2:$C$1001,INT(MOD(INT(ROUND(MAX(J61,K61),2)),1000000)/1000)+1),"")&amp;IF(MOD(INT(ROUND(MAX(J61,K61),2)),1000)&gt;0," و"&amp;INDEX(تفقيط!$B$2:$B$1001,MOD(INT(ROUND(MAX(J61,K61),2)),1000)+1),""),3,400))&amp;" "&amp;CUR&amp;IF(ROUND((ROUND(MAX(J61,K61),2)-INT(ROUND(MAX(J61,K61),2)))*100,0)&gt;0," و"&amp;INDEX(تفقيط!$E$2:$E$1001,ROUND((ROUND(MAX(J61,K61),2)-INT(ROUND(MAX(J61,K61),2)))*100,0)+1),"")&amp;" لا غير")</f>
        <v/>
      </c>
    </row>
    <row r="62" customFormat="false" ht="15" hidden="false" customHeight="false" outlineLevel="0" collapsed="false">
      <c r="A62" s="62" t="str">
        <f aca="false">IF(C62="","",START_NO+COUNT(C$5:C62)-1)</f>
        <v/>
      </c>
      <c r="B62" s="63" t="str">
        <f aca="false">IF(A62="","",PREFIX&amp;"-"&amp;TEXT(C62,"yyyy")&amp;"-"&amp;A62)</f>
        <v/>
      </c>
      <c r="C62" s="56"/>
      <c r="D62" s="57"/>
      <c r="E62" s="58"/>
      <c r="F62" s="58"/>
      <c r="G62" s="57"/>
      <c r="H62" s="57"/>
      <c r="I62" s="57"/>
      <c r="J62" s="64" t="str">
        <f aca="false">IF(A62="","",SUMIFS('بنود السندات'!$F$5:$F$3004,'بنود السندات'!$A$5:$A$3004,A62))</f>
        <v/>
      </c>
      <c r="K62" s="64" t="str">
        <f aca="false">IF(A62="","",SUMIFS('بنود السندات'!$G$5:$G$3004,'بنود السندات'!$A$5:$A$3004,A62))</f>
        <v/>
      </c>
      <c r="L62" s="64" t="str">
        <f aca="false">IF(A62="","",ROUND(J62-K62,2))</f>
        <v/>
      </c>
      <c r="M62" s="63" t="str">
        <f aca="false">IF(A62="","",COUNTIF('بنود السندات'!$A$5:$A$3004,A62))</f>
        <v/>
      </c>
      <c r="N62" s="65" t="str">
        <f aca="false">IF(A62="","",IF(M62=0,"بدون بنود ⚠",IF(L62=0,"متوازن ✔","غير متوازن ✘")))</f>
        <v/>
      </c>
      <c r="O62" s="66" t="str">
        <f aca="false">IF(A62="","","فقط "&amp;IF(INT(ROUND(MAX(J62,K62),2))=0,"صفر",MID(IF(INT(INT(ROUND(MAX(J62,K62),2))/1000000)&gt;0," و"&amp;INDEX(تفقيط!$D$2:$D$1001,INT(INT(ROUND(MAX(J62,K62),2))/1000000)+1),"")&amp;IF(INT(MOD(INT(ROUND(MAX(J62,K62),2)),1000000)/1000)&gt;0," و"&amp;INDEX(تفقيط!$C$2:$C$1001,INT(MOD(INT(ROUND(MAX(J62,K62),2)),1000000)/1000)+1),"")&amp;IF(MOD(INT(ROUND(MAX(J62,K62),2)),1000)&gt;0," و"&amp;INDEX(تفقيط!$B$2:$B$1001,MOD(INT(ROUND(MAX(J62,K62),2)),1000)+1),""),3,400))&amp;" "&amp;CUR&amp;IF(ROUND((ROUND(MAX(J62,K62),2)-INT(ROUND(MAX(J62,K62),2)))*100,0)&gt;0," و"&amp;INDEX(تفقيط!$E$2:$E$1001,ROUND((ROUND(MAX(J62,K62),2)-INT(ROUND(MAX(J62,K62),2)))*100,0)+1),"")&amp;" لا غير")</f>
        <v/>
      </c>
    </row>
    <row r="63" customFormat="false" ht="15" hidden="false" customHeight="false" outlineLevel="0" collapsed="false">
      <c r="A63" s="54" t="str">
        <f aca="false">IF(C63="","",START_NO+COUNT(C$5:C63)-1)</f>
        <v/>
      </c>
      <c r="B63" s="55" t="str">
        <f aca="false">IF(A63="","",PREFIX&amp;"-"&amp;TEXT(C63,"yyyy")&amp;"-"&amp;A63)</f>
        <v/>
      </c>
      <c r="C63" s="56"/>
      <c r="D63" s="57"/>
      <c r="E63" s="58"/>
      <c r="F63" s="58"/>
      <c r="G63" s="57"/>
      <c r="H63" s="57"/>
      <c r="I63" s="57"/>
      <c r="J63" s="59" t="str">
        <f aca="false">IF(A63="","",SUMIFS('بنود السندات'!$F$5:$F$3004,'بنود السندات'!$A$5:$A$3004,A63))</f>
        <v/>
      </c>
      <c r="K63" s="59" t="str">
        <f aca="false">IF(A63="","",SUMIFS('بنود السندات'!$G$5:$G$3004,'بنود السندات'!$A$5:$A$3004,A63))</f>
        <v/>
      </c>
      <c r="L63" s="59" t="str">
        <f aca="false">IF(A63="","",ROUND(J63-K63,2))</f>
        <v/>
      </c>
      <c r="M63" s="55" t="str">
        <f aca="false">IF(A63="","",COUNTIF('بنود السندات'!$A$5:$A$3004,A63))</f>
        <v/>
      </c>
      <c r="N63" s="60" t="str">
        <f aca="false">IF(A63="","",IF(M63=0,"بدون بنود ⚠",IF(L63=0,"متوازن ✔","غير متوازن ✘")))</f>
        <v/>
      </c>
      <c r="O63" s="61" t="str">
        <f aca="false">IF(A63="","","فقط "&amp;IF(INT(ROUND(MAX(J63,K63),2))=0,"صفر",MID(IF(INT(INT(ROUND(MAX(J63,K63),2))/1000000)&gt;0," و"&amp;INDEX(تفقيط!$D$2:$D$1001,INT(INT(ROUND(MAX(J63,K63),2))/1000000)+1),"")&amp;IF(INT(MOD(INT(ROUND(MAX(J63,K63),2)),1000000)/1000)&gt;0," و"&amp;INDEX(تفقيط!$C$2:$C$1001,INT(MOD(INT(ROUND(MAX(J63,K63),2)),1000000)/1000)+1),"")&amp;IF(MOD(INT(ROUND(MAX(J63,K63),2)),1000)&gt;0," و"&amp;INDEX(تفقيط!$B$2:$B$1001,MOD(INT(ROUND(MAX(J63,K63),2)),1000)+1),""),3,400))&amp;" "&amp;CUR&amp;IF(ROUND((ROUND(MAX(J63,K63),2)-INT(ROUND(MAX(J63,K63),2)))*100,0)&gt;0," و"&amp;INDEX(تفقيط!$E$2:$E$1001,ROUND((ROUND(MAX(J63,K63),2)-INT(ROUND(MAX(J63,K63),2)))*100,0)+1),"")&amp;" لا غير")</f>
        <v/>
      </c>
    </row>
    <row r="64" customFormat="false" ht="15" hidden="false" customHeight="false" outlineLevel="0" collapsed="false">
      <c r="A64" s="62" t="str">
        <f aca="false">IF(C64="","",START_NO+COUNT(C$5:C64)-1)</f>
        <v/>
      </c>
      <c r="B64" s="63" t="str">
        <f aca="false">IF(A64="","",PREFIX&amp;"-"&amp;TEXT(C64,"yyyy")&amp;"-"&amp;A64)</f>
        <v/>
      </c>
      <c r="C64" s="56"/>
      <c r="D64" s="57"/>
      <c r="E64" s="58"/>
      <c r="F64" s="58"/>
      <c r="G64" s="57"/>
      <c r="H64" s="57"/>
      <c r="I64" s="57"/>
      <c r="J64" s="64" t="str">
        <f aca="false">IF(A64="","",SUMIFS('بنود السندات'!$F$5:$F$3004,'بنود السندات'!$A$5:$A$3004,A64))</f>
        <v/>
      </c>
      <c r="K64" s="64" t="str">
        <f aca="false">IF(A64="","",SUMIFS('بنود السندات'!$G$5:$G$3004,'بنود السندات'!$A$5:$A$3004,A64))</f>
        <v/>
      </c>
      <c r="L64" s="64" t="str">
        <f aca="false">IF(A64="","",ROUND(J64-K64,2))</f>
        <v/>
      </c>
      <c r="M64" s="63" t="str">
        <f aca="false">IF(A64="","",COUNTIF('بنود السندات'!$A$5:$A$3004,A64))</f>
        <v/>
      </c>
      <c r="N64" s="65" t="str">
        <f aca="false">IF(A64="","",IF(M64=0,"بدون بنود ⚠",IF(L64=0,"متوازن ✔","غير متوازن ✘")))</f>
        <v/>
      </c>
      <c r="O64" s="66" t="str">
        <f aca="false">IF(A64="","","فقط "&amp;IF(INT(ROUND(MAX(J64,K64),2))=0,"صفر",MID(IF(INT(INT(ROUND(MAX(J64,K64),2))/1000000)&gt;0," و"&amp;INDEX(تفقيط!$D$2:$D$1001,INT(INT(ROUND(MAX(J64,K64),2))/1000000)+1),"")&amp;IF(INT(MOD(INT(ROUND(MAX(J64,K64),2)),1000000)/1000)&gt;0," و"&amp;INDEX(تفقيط!$C$2:$C$1001,INT(MOD(INT(ROUND(MAX(J64,K64),2)),1000000)/1000)+1),"")&amp;IF(MOD(INT(ROUND(MAX(J64,K64),2)),1000)&gt;0," و"&amp;INDEX(تفقيط!$B$2:$B$1001,MOD(INT(ROUND(MAX(J64,K64),2)),1000)+1),""),3,400))&amp;" "&amp;CUR&amp;IF(ROUND((ROUND(MAX(J64,K64),2)-INT(ROUND(MAX(J64,K64),2)))*100,0)&gt;0," و"&amp;INDEX(تفقيط!$E$2:$E$1001,ROUND((ROUND(MAX(J64,K64),2)-INT(ROUND(MAX(J64,K64),2)))*100,0)+1),"")&amp;" لا غير")</f>
        <v/>
      </c>
    </row>
    <row r="65" customFormat="false" ht="15" hidden="false" customHeight="false" outlineLevel="0" collapsed="false">
      <c r="A65" s="54" t="str">
        <f aca="false">IF(C65="","",START_NO+COUNT(C$5:C65)-1)</f>
        <v/>
      </c>
      <c r="B65" s="55" t="str">
        <f aca="false">IF(A65="","",PREFIX&amp;"-"&amp;TEXT(C65,"yyyy")&amp;"-"&amp;A65)</f>
        <v/>
      </c>
      <c r="C65" s="56"/>
      <c r="D65" s="57"/>
      <c r="E65" s="58"/>
      <c r="F65" s="58"/>
      <c r="G65" s="57"/>
      <c r="H65" s="57"/>
      <c r="I65" s="57"/>
      <c r="J65" s="59" t="str">
        <f aca="false">IF(A65="","",SUMIFS('بنود السندات'!$F$5:$F$3004,'بنود السندات'!$A$5:$A$3004,A65))</f>
        <v/>
      </c>
      <c r="K65" s="59" t="str">
        <f aca="false">IF(A65="","",SUMIFS('بنود السندات'!$G$5:$G$3004,'بنود السندات'!$A$5:$A$3004,A65))</f>
        <v/>
      </c>
      <c r="L65" s="59" t="str">
        <f aca="false">IF(A65="","",ROUND(J65-K65,2))</f>
        <v/>
      </c>
      <c r="M65" s="55" t="str">
        <f aca="false">IF(A65="","",COUNTIF('بنود السندات'!$A$5:$A$3004,A65))</f>
        <v/>
      </c>
      <c r="N65" s="60" t="str">
        <f aca="false">IF(A65="","",IF(M65=0,"بدون بنود ⚠",IF(L65=0,"متوازن ✔","غير متوازن ✘")))</f>
        <v/>
      </c>
      <c r="O65" s="61" t="str">
        <f aca="false">IF(A65="","","فقط "&amp;IF(INT(ROUND(MAX(J65,K65),2))=0,"صفر",MID(IF(INT(INT(ROUND(MAX(J65,K65),2))/1000000)&gt;0," و"&amp;INDEX(تفقيط!$D$2:$D$1001,INT(INT(ROUND(MAX(J65,K65),2))/1000000)+1),"")&amp;IF(INT(MOD(INT(ROUND(MAX(J65,K65),2)),1000000)/1000)&gt;0," و"&amp;INDEX(تفقيط!$C$2:$C$1001,INT(MOD(INT(ROUND(MAX(J65,K65),2)),1000000)/1000)+1),"")&amp;IF(MOD(INT(ROUND(MAX(J65,K65),2)),1000)&gt;0," و"&amp;INDEX(تفقيط!$B$2:$B$1001,MOD(INT(ROUND(MAX(J65,K65),2)),1000)+1),""),3,400))&amp;" "&amp;CUR&amp;IF(ROUND((ROUND(MAX(J65,K65),2)-INT(ROUND(MAX(J65,K65),2)))*100,0)&gt;0," و"&amp;INDEX(تفقيط!$E$2:$E$1001,ROUND((ROUND(MAX(J65,K65),2)-INT(ROUND(MAX(J65,K65),2)))*100,0)+1),"")&amp;" لا غير")</f>
        <v/>
      </c>
    </row>
    <row r="66" customFormat="false" ht="15" hidden="false" customHeight="false" outlineLevel="0" collapsed="false">
      <c r="A66" s="62" t="str">
        <f aca="false">IF(C66="","",START_NO+COUNT(C$5:C66)-1)</f>
        <v/>
      </c>
      <c r="B66" s="63" t="str">
        <f aca="false">IF(A66="","",PREFIX&amp;"-"&amp;TEXT(C66,"yyyy")&amp;"-"&amp;A66)</f>
        <v/>
      </c>
      <c r="C66" s="56"/>
      <c r="D66" s="57"/>
      <c r="E66" s="58"/>
      <c r="F66" s="58"/>
      <c r="G66" s="57"/>
      <c r="H66" s="57"/>
      <c r="I66" s="57"/>
      <c r="J66" s="64" t="str">
        <f aca="false">IF(A66="","",SUMIFS('بنود السندات'!$F$5:$F$3004,'بنود السندات'!$A$5:$A$3004,A66))</f>
        <v/>
      </c>
      <c r="K66" s="64" t="str">
        <f aca="false">IF(A66="","",SUMIFS('بنود السندات'!$G$5:$G$3004,'بنود السندات'!$A$5:$A$3004,A66))</f>
        <v/>
      </c>
      <c r="L66" s="64" t="str">
        <f aca="false">IF(A66="","",ROUND(J66-K66,2))</f>
        <v/>
      </c>
      <c r="M66" s="63" t="str">
        <f aca="false">IF(A66="","",COUNTIF('بنود السندات'!$A$5:$A$3004,A66))</f>
        <v/>
      </c>
      <c r="N66" s="65" t="str">
        <f aca="false">IF(A66="","",IF(M66=0,"بدون بنود ⚠",IF(L66=0,"متوازن ✔","غير متوازن ✘")))</f>
        <v/>
      </c>
      <c r="O66" s="66" t="str">
        <f aca="false">IF(A66="","","فقط "&amp;IF(INT(ROUND(MAX(J66,K66),2))=0,"صفر",MID(IF(INT(INT(ROUND(MAX(J66,K66),2))/1000000)&gt;0," و"&amp;INDEX(تفقيط!$D$2:$D$1001,INT(INT(ROUND(MAX(J66,K66),2))/1000000)+1),"")&amp;IF(INT(MOD(INT(ROUND(MAX(J66,K66),2)),1000000)/1000)&gt;0," و"&amp;INDEX(تفقيط!$C$2:$C$1001,INT(MOD(INT(ROUND(MAX(J66,K66),2)),1000000)/1000)+1),"")&amp;IF(MOD(INT(ROUND(MAX(J66,K66),2)),1000)&gt;0," و"&amp;INDEX(تفقيط!$B$2:$B$1001,MOD(INT(ROUND(MAX(J66,K66),2)),1000)+1),""),3,400))&amp;" "&amp;CUR&amp;IF(ROUND((ROUND(MAX(J66,K66),2)-INT(ROUND(MAX(J66,K66),2)))*100,0)&gt;0," و"&amp;INDEX(تفقيط!$E$2:$E$1001,ROUND((ROUND(MAX(J66,K66),2)-INT(ROUND(MAX(J66,K66),2)))*100,0)+1),"")&amp;" لا غير")</f>
        <v/>
      </c>
    </row>
    <row r="67" customFormat="false" ht="15" hidden="false" customHeight="false" outlineLevel="0" collapsed="false">
      <c r="A67" s="54" t="str">
        <f aca="false">IF(C67="","",START_NO+COUNT(C$5:C67)-1)</f>
        <v/>
      </c>
      <c r="B67" s="55" t="str">
        <f aca="false">IF(A67="","",PREFIX&amp;"-"&amp;TEXT(C67,"yyyy")&amp;"-"&amp;A67)</f>
        <v/>
      </c>
      <c r="C67" s="56"/>
      <c r="D67" s="57"/>
      <c r="E67" s="58"/>
      <c r="F67" s="58"/>
      <c r="G67" s="57"/>
      <c r="H67" s="57"/>
      <c r="I67" s="57"/>
      <c r="J67" s="59" t="str">
        <f aca="false">IF(A67="","",SUMIFS('بنود السندات'!$F$5:$F$3004,'بنود السندات'!$A$5:$A$3004,A67))</f>
        <v/>
      </c>
      <c r="K67" s="59" t="str">
        <f aca="false">IF(A67="","",SUMIFS('بنود السندات'!$G$5:$G$3004,'بنود السندات'!$A$5:$A$3004,A67))</f>
        <v/>
      </c>
      <c r="L67" s="59" t="str">
        <f aca="false">IF(A67="","",ROUND(J67-K67,2))</f>
        <v/>
      </c>
      <c r="M67" s="55" t="str">
        <f aca="false">IF(A67="","",COUNTIF('بنود السندات'!$A$5:$A$3004,A67))</f>
        <v/>
      </c>
      <c r="N67" s="60" t="str">
        <f aca="false">IF(A67="","",IF(M67=0,"بدون بنود ⚠",IF(L67=0,"متوازن ✔","غير متوازن ✘")))</f>
        <v/>
      </c>
      <c r="O67" s="61" t="str">
        <f aca="false">IF(A67="","","فقط "&amp;IF(INT(ROUND(MAX(J67,K67),2))=0,"صفر",MID(IF(INT(INT(ROUND(MAX(J67,K67),2))/1000000)&gt;0," و"&amp;INDEX(تفقيط!$D$2:$D$1001,INT(INT(ROUND(MAX(J67,K67),2))/1000000)+1),"")&amp;IF(INT(MOD(INT(ROUND(MAX(J67,K67),2)),1000000)/1000)&gt;0," و"&amp;INDEX(تفقيط!$C$2:$C$1001,INT(MOD(INT(ROUND(MAX(J67,K67),2)),1000000)/1000)+1),"")&amp;IF(MOD(INT(ROUND(MAX(J67,K67),2)),1000)&gt;0," و"&amp;INDEX(تفقيط!$B$2:$B$1001,MOD(INT(ROUND(MAX(J67,K67),2)),1000)+1),""),3,400))&amp;" "&amp;CUR&amp;IF(ROUND((ROUND(MAX(J67,K67),2)-INT(ROUND(MAX(J67,K67),2)))*100,0)&gt;0," و"&amp;INDEX(تفقيط!$E$2:$E$1001,ROUND((ROUND(MAX(J67,K67),2)-INT(ROUND(MAX(J67,K67),2)))*100,0)+1),"")&amp;" لا غير")</f>
        <v/>
      </c>
    </row>
    <row r="68" customFormat="false" ht="15" hidden="false" customHeight="false" outlineLevel="0" collapsed="false">
      <c r="A68" s="62" t="str">
        <f aca="false">IF(C68="","",START_NO+COUNT(C$5:C68)-1)</f>
        <v/>
      </c>
      <c r="B68" s="63" t="str">
        <f aca="false">IF(A68="","",PREFIX&amp;"-"&amp;TEXT(C68,"yyyy")&amp;"-"&amp;A68)</f>
        <v/>
      </c>
      <c r="C68" s="56"/>
      <c r="D68" s="57"/>
      <c r="E68" s="58"/>
      <c r="F68" s="58"/>
      <c r="G68" s="57"/>
      <c r="H68" s="57"/>
      <c r="I68" s="57"/>
      <c r="J68" s="64" t="str">
        <f aca="false">IF(A68="","",SUMIFS('بنود السندات'!$F$5:$F$3004,'بنود السندات'!$A$5:$A$3004,A68))</f>
        <v/>
      </c>
      <c r="K68" s="64" t="str">
        <f aca="false">IF(A68="","",SUMIFS('بنود السندات'!$G$5:$G$3004,'بنود السندات'!$A$5:$A$3004,A68))</f>
        <v/>
      </c>
      <c r="L68" s="64" t="str">
        <f aca="false">IF(A68="","",ROUND(J68-K68,2))</f>
        <v/>
      </c>
      <c r="M68" s="63" t="str">
        <f aca="false">IF(A68="","",COUNTIF('بنود السندات'!$A$5:$A$3004,A68))</f>
        <v/>
      </c>
      <c r="N68" s="65" t="str">
        <f aca="false">IF(A68="","",IF(M68=0,"بدون بنود ⚠",IF(L68=0,"متوازن ✔","غير متوازن ✘")))</f>
        <v/>
      </c>
      <c r="O68" s="66" t="str">
        <f aca="false">IF(A68="","","فقط "&amp;IF(INT(ROUND(MAX(J68,K68),2))=0,"صفر",MID(IF(INT(INT(ROUND(MAX(J68,K68),2))/1000000)&gt;0," و"&amp;INDEX(تفقيط!$D$2:$D$1001,INT(INT(ROUND(MAX(J68,K68),2))/1000000)+1),"")&amp;IF(INT(MOD(INT(ROUND(MAX(J68,K68),2)),1000000)/1000)&gt;0," و"&amp;INDEX(تفقيط!$C$2:$C$1001,INT(MOD(INT(ROUND(MAX(J68,K68),2)),1000000)/1000)+1),"")&amp;IF(MOD(INT(ROUND(MAX(J68,K68),2)),1000)&gt;0," و"&amp;INDEX(تفقيط!$B$2:$B$1001,MOD(INT(ROUND(MAX(J68,K68),2)),1000)+1),""),3,400))&amp;" "&amp;CUR&amp;IF(ROUND((ROUND(MAX(J68,K68),2)-INT(ROUND(MAX(J68,K68),2)))*100,0)&gt;0," و"&amp;INDEX(تفقيط!$E$2:$E$1001,ROUND((ROUND(MAX(J68,K68),2)-INT(ROUND(MAX(J68,K68),2)))*100,0)+1),"")&amp;" لا غير")</f>
        <v/>
      </c>
    </row>
    <row r="69" customFormat="false" ht="15" hidden="false" customHeight="false" outlineLevel="0" collapsed="false">
      <c r="A69" s="54" t="str">
        <f aca="false">IF(C69="","",START_NO+COUNT(C$5:C69)-1)</f>
        <v/>
      </c>
      <c r="B69" s="55" t="str">
        <f aca="false">IF(A69="","",PREFIX&amp;"-"&amp;TEXT(C69,"yyyy")&amp;"-"&amp;A69)</f>
        <v/>
      </c>
      <c r="C69" s="56"/>
      <c r="D69" s="57"/>
      <c r="E69" s="58"/>
      <c r="F69" s="58"/>
      <c r="G69" s="57"/>
      <c r="H69" s="57"/>
      <c r="I69" s="57"/>
      <c r="J69" s="59" t="str">
        <f aca="false">IF(A69="","",SUMIFS('بنود السندات'!$F$5:$F$3004,'بنود السندات'!$A$5:$A$3004,A69))</f>
        <v/>
      </c>
      <c r="K69" s="59" t="str">
        <f aca="false">IF(A69="","",SUMIFS('بنود السندات'!$G$5:$G$3004,'بنود السندات'!$A$5:$A$3004,A69))</f>
        <v/>
      </c>
      <c r="L69" s="59" t="str">
        <f aca="false">IF(A69="","",ROUND(J69-K69,2))</f>
        <v/>
      </c>
      <c r="M69" s="55" t="str">
        <f aca="false">IF(A69="","",COUNTIF('بنود السندات'!$A$5:$A$3004,A69))</f>
        <v/>
      </c>
      <c r="N69" s="60" t="str">
        <f aca="false">IF(A69="","",IF(M69=0,"بدون بنود ⚠",IF(L69=0,"متوازن ✔","غير متوازن ✘")))</f>
        <v/>
      </c>
      <c r="O69" s="61" t="str">
        <f aca="false">IF(A69="","","فقط "&amp;IF(INT(ROUND(MAX(J69,K69),2))=0,"صفر",MID(IF(INT(INT(ROUND(MAX(J69,K69),2))/1000000)&gt;0," و"&amp;INDEX(تفقيط!$D$2:$D$1001,INT(INT(ROUND(MAX(J69,K69),2))/1000000)+1),"")&amp;IF(INT(MOD(INT(ROUND(MAX(J69,K69),2)),1000000)/1000)&gt;0," و"&amp;INDEX(تفقيط!$C$2:$C$1001,INT(MOD(INT(ROUND(MAX(J69,K69),2)),1000000)/1000)+1),"")&amp;IF(MOD(INT(ROUND(MAX(J69,K69),2)),1000)&gt;0," و"&amp;INDEX(تفقيط!$B$2:$B$1001,MOD(INT(ROUND(MAX(J69,K69),2)),1000)+1),""),3,400))&amp;" "&amp;CUR&amp;IF(ROUND((ROUND(MAX(J69,K69),2)-INT(ROUND(MAX(J69,K69),2)))*100,0)&gt;0," و"&amp;INDEX(تفقيط!$E$2:$E$1001,ROUND((ROUND(MAX(J69,K69),2)-INT(ROUND(MAX(J69,K69),2)))*100,0)+1),"")&amp;" لا غير")</f>
        <v/>
      </c>
    </row>
    <row r="70" customFormat="false" ht="15" hidden="false" customHeight="false" outlineLevel="0" collapsed="false">
      <c r="A70" s="62" t="str">
        <f aca="false">IF(C70="","",START_NO+COUNT(C$5:C70)-1)</f>
        <v/>
      </c>
      <c r="B70" s="63" t="str">
        <f aca="false">IF(A70="","",PREFIX&amp;"-"&amp;TEXT(C70,"yyyy")&amp;"-"&amp;A70)</f>
        <v/>
      </c>
      <c r="C70" s="56"/>
      <c r="D70" s="57"/>
      <c r="E70" s="58"/>
      <c r="F70" s="58"/>
      <c r="G70" s="57"/>
      <c r="H70" s="57"/>
      <c r="I70" s="57"/>
      <c r="J70" s="64" t="str">
        <f aca="false">IF(A70="","",SUMIFS('بنود السندات'!$F$5:$F$3004,'بنود السندات'!$A$5:$A$3004,A70))</f>
        <v/>
      </c>
      <c r="K70" s="64" t="str">
        <f aca="false">IF(A70="","",SUMIFS('بنود السندات'!$G$5:$G$3004,'بنود السندات'!$A$5:$A$3004,A70))</f>
        <v/>
      </c>
      <c r="L70" s="64" t="str">
        <f aca="false">IF(A70="","",ROUND(J70-K70,2))</f>
        <v/>
      </c>
      <c r="M70" s="63" t="str">
        <f aca="false">IF(A70="","",COUNTIF('بنود السندات'!$A$5:$A$3004,A70))</f>
        <v/>
      </c>
      <c r="N70" s="65" t="str">
        <f aca="false">IF(A70="","",IF(M70=0,"بدون بنود ⚠",IF(L70=0,"متوازن ✔","غير متوازن ✘")))</f>
        <v/>
      </c>
      <c r="O70" s="66" t="str">
        <f aca="false">IF(A70="","","فقط "&amp;IF(INT(ROUND(MAX(J70,K70),2))=0,"صفر",MID(IF(INT(INT(ROUND(MAX(J70,K70),2))/1000000)&gt;0," و"&amp;INDEX(تفقيط!$D$2:$D$1001,INT(INT(ROUND(MAX(J70,K70),2))/1000000)+1),"")&amp;IF(INT(MOD(INT(ROUND(MAX(J70,K70),2)),1000000)/1000)&gt;0," و"&amp;INDEX(تفقيط!$C$2:$C$1001,INT(MOD(INT(ROUND(MAX(J70,K70),2)),1000000)/1000)+1),"")&amp;IF(MOD(INT(ROUND(MAX(J70,K70),2)),1000)&gt;0," و"&amp;INDEX(تفقيط!$B$2:$B$1001,MOD(INT(ROUND(MAX(J70,K70),2)),1000)+1),""),3,400))&amp;" "&amp;CUR&amp;IF(ROUND((ROUND(MAX(J70,K70),2)-INT(ROUND(MAX(J70,K70),2)))*100,0)&gt;0," و"&amp;INDEX(تفقيط!$E$2:$E$1001,ROUND((ROUND(MAX(J70,K70),2)-INT(ROUND(MAX(J70,K70),2)))*100,0)+1),"")&amp;" لا غير")</f>
        <v/>
      </c>
    </row>
    <row r="71" customFormat="false" ht="15" hidden="false" customHeight="false" outlineLevel="0" collapsed="false">
      <c r="A71" s="54" t="str">
        <f aca="false">IF(C71="","",START_NO+COUNT(C$5:C71)-1)</f>
        <v/>
      </c>
      <c r="B71" s="55" t="str">
        <f aca="false">IF(A71="","",PREFIX&amp;"-"&amp;TEXT(C71,"yyyy")&amp;"-"&amp;A71)</f>
        <v/>
      </c>
      <c r="C71" s="56"/>
      <c r="D71" s="57"/>
      <c r="E71" s="58"/>
      <c r="F71" s="58"/>
      <c r="G71" s="57"/>
      <c r="H71" s="57"/>
      <c r="I71" s="57"/>
      <c r="J71" s="59" t="str">
        <f aca="false">IF(A71="","",SUMIFS('بنود السندات'!$F$5:$F$3004,'بنود السندات'!$A$5:$A$3004,A71))</f>
        <v/>
      </c>
      <c r="K71" s="59" t="str">
        <f aca="false">IF(A71="","",SUMIFS('بنود السندات'!$G$5:$G$3004,'بنود السندات'!$A$5:$A$3004,A71))</f>
        <v/>
      </c>
      <c r="L71" s="59" t="str">
        <f aca="false">IF(A71="","",ROUND(J71-K71,2))</f>
        <v/>
      </c>
      <c r="M71" s="55" t="str">
        <f aca="false">IF(A71="","",COUNTIF('بنود السندات'!$A$5:$A$3004,A71))</f>
        <v/>
      </c>
      <c r="N71" s="60" t="str">
        <f aca="false">IF(A71="","",IF(M71=0,"بدون بنود ⚠",IF(L71=0,"متوازن ✔","غير متوازن ✘")))</f>
        <v/>
      </c>
      <c r="O71" s="61" t="str">
        <f aca="false">IF(A71="","","فقط "&amp;IF(INT(ROUND(MAX(J71,K71),2))=0,"صفر",MID(IF(INT(INT(ROUND(MAX(J71,K71),2))/1000000)&gt;0," و"&amp;INDEX(تفقيط!$D$2:$D$1001,INT(INT(ROUND(MAX(J71,K71),2))/1000000)+1),"")&amp;IF(INT(MOD(INT(ROUND(MAX(J71,K71),2)),1000000)/1000)&gt;0," و"&amp;INDEX(تفقيط!$C$2:$C$1001,INT(MOD(INT(ROUND(MAX(J71,K71),2)),1000000)/1000)+1),"")&amp;IF(MOD(INT(ROUND(MAX(J71,K71),2)),1000)&gt;0," و"&amp;INDEX(تفقيط!$B$2:$B$1001,MOD(INT(ROUND(MAX(J71,K71),2)),1000)+1),""),3,400))&amp;" "&amp;CUR&amp;IF(ROUND((ROUND(MAX(J71,K71),2)-INT(ROUND(MAX(J71,K71),2)))*100,0)&gt;0," و"&amp;INDEX(تفقيط!$E$2:$E$1001,ROUND((ROUND(MAX(J71,K71),2)-INT(ROUND(MAX(J71,K71),2)))*100,0)+1),"")&amp;" لا غير")</f>
        <v/>
      </c>
    </row>
    <row r="72" customFormat="false" ht="15" hidden="false" customHeight="false" outlineLevel="0" collapsed="false">
      <c r="A72" s="62" t="str">
        <f aca="false">IF(C72="","",START_NO+COUNT(C$5:C72)-1)</f>
        <v/>
      </c>
      <c r="B72" s="63" t="str">
        <f aca="false">IF(A72="","",PREFIX&amp;"-"&amp;TEXT(C72,"yyyy")&amp;"-"&amp;A72)</f>
        <v/>
      </c>
      <c r="C72" s="56"/>
      <c r="D72" s="57"/>
      <c r="E72" s="58"/>
      <c r="F72" s="58"/>
      <c r="G72" s="57"/>
      <c r="H72" s="57"/>
      <c r="I72" s="57"/>
      <c r="J72" s="64" t="str">
        <f aca="false">IF(A72="","",SUMIFS('بنود السندات'!$F$5:$F$3004,'بنود السندات'!$A$5:$A$3004,A72))</f>
        <v/>
      </c>
      <c r="K72" s="64" t="str">
        <f aca="false">IF(A72="","",SUMIFS('بنود السندات'!$G$5:$G$3004,'بنود السندات'!$A$5:$A$3004,A72))</f>
        <v/>
      </c>
      <c r="L72" s="64" t="str">
        <f aca="false">IF(A72="","",ROUND(J72-K72,2))</f>
        <v/>
      </c>
      <c r="M72" s="63" t="str">
        <f aca="false">IF(A72="","",COUNTIF('بنود السندات'!$A$5:$A$3004,A72))</f>
        <v/>
      </c>
      <c r="N72" s="65" t="str">
        <f aca="false">IF(A72="","",IF(M72=0,"بدون بنود ⚠",IF(L72=0,"متوازن ✔","غير متوازن ✘")))</f>
        <v/>
      </c>
      <c r="O72" s="66" t="str">
        <f aca="false">IF(A72="","","فقط "&amp;IF(INT(ROUND(MAX(J72,K72),2))=0,"صفر",MID(IF(INT(INT(ROUND(MAX(J72,K72),2))/1000000)&gt;0," و"&amp;INDEX(تفقيط!$D$2:$D$1001,INT(INT(ROUND(MAX(J72,K72),2))/1000000)+1),"")&amp;IF(INT(MOD(INT(ROUND(MAX(J72,K72),2)),1000000)/1000)&gt;0," و"&amp;INDEX(تفقيط!$C$2:$C$1001,INT(MOD(INT(ROUND(MAX(J72,K72),2)),1000000)/1000)+1),"")&amp;IF(MOD(INT(ROUND(MAX(J72,K72),2)),1000)&gt;0," و"&amp;INDEX(تفقيط!$B$2:$B$1001,MOD(INT(ROUND(MAX(J72,K72),2)),1000)+1),""),3,400))&amp;" "&amp;CUR&amp;IF(ROUND((ROUND(MAX(J72,K72),2)-INT(ROUND(MAX(J72,K72),2)))*100,0)&gt;0," و"&amp;INDEX(تفقيط!$E$2:$E$1001,ROUND((ROUND(MAX(J72,K72),2)-INT(ROUND(MAX(J72,K72),2)))*100,0)+1),"")&amp;" لا غير")</f>
        <v/>
      </c>
    </row>
    <row r="73" customFormat="false" ht="15" hidden="false" customHeight="false" outlineLevel="0" collapsed="false">
      <c r="A73" s="54" t="str">
        <f aca="false">IF(C73="","",START_NO+COUNT(C$5:C73)-1)</f>
        <v/>
      </c>
      <c r="B73" s="55" t="str">
        <f aca="false">IF(A73="","",PREFIX&amp;"-"&amp;TEXT(C73,"yyyy")&amp;"-"&amp;A73)</f>
        <v/>
      </c>
      <c r="C73" s="56"/>
      <c r="D73" s="57"/>
      <c r="E73" s="58"/>
      <c r="F73" s="58"/>
      <c r="G73" s="57"/>
      <c r="H73" s="57"/>
      <c r="I73" s="57"/>
      <c r="J73" s="59" t="str">
        <f aca="false">IF(A73="","",SUMIFS('بنود السندات'!$F$5:$F$3004,'بنود السندات'!$A$5:$A$3004,A73))</f>
        <v/>
      </c>
      <c r="K73" s="59" t="str">
        <f aca="false">IF(A73="","",SUMIFS('بنود السندات'!$G$5:$G$3004,'بنود السندات'!$A$5:$A$3004,A73))</f>
        <v/>
      </c>
      <c r="L73" s="59" t="str">
        <f aca="false">IF(A73="","",ROUND(J73-K73,2))</f>
        <v/>
      </c>
      <c r="M73" s="55" t="str">
        <f aca="false">IF(A73="","",COUNTIF('بنود السندات'!$A$5:$A$3004,A73))</f>
        <v/>
      </c>
      <c r="N73" s="60" t="str">
        <f aca="false">IF(A73="","",IF(M73=0,"بدون بنود ⚠",IF(L73=0,"متوازن ✔","غير متوازن ✘")))</f>
        <v/>
      </c>
      <c r="O73" s="61" t="str">
        <f aca="false">IF(A73="","","فقط "&amp;IF(INT(ROUND(MAX(J73,K73),2))=0,"صفر",MID(IF(INT(INT(ROUND(MAX(J73,K73),2))/1000000)&gt;0," و"&amp;INDEX(تفقيط!$D$2:$D$1001,INT(INT(ROUND(MAX(J73,K73),2))/1000000)+1),"")&amp;IF(INT(MOD(INT(ROUND(MAX(J73,K73),2)),1000000)/1000)&gt;0," و"&amp;INDEX(تفقيط!$C$2:$C$1001,INT(MOD(INT(ROUND(MAX(J73,K73),2)),1000000)/1000)+1),"")&amp;IF(MOD(INT(ROUND(MAX(J73,K73),2)),1000)&gt;0," و"&amp;INDEX(تفقيط!$B$2:$B$1001,MOD(INT(ROUND(MAX(J73,K73),2)),1000)+1),""),3,400))&amp;" "&amp;CUR&amp;IF(ROUND((ROUND(MAX(J73,K73),2)-INT(ROUND(MAX(J73,K73),2)))*100,0)&gt;0," و"&amp;INDEX(تفقيط!$E$2:$E$1001,ROUND((ROUND(MAX(J73,K73),2)-INT(ROUND(MAX(J73,K73),2)))*100,0)+1),"")&amp;" لا غير")</f>
        <v/>
      </c>
    </row>
    <row r="74" customFormat="false" ht="15" hidden="false" customHeight="false" outlineLevel="0" collapsed="false">
      <c r="A74" s="62" t="str">
        <f aca="false">IF(C74="","",START_NO+COUNT(C$5:C74)-1)</f>
        <v/>
      </c>
      <c r="B74" s="63" t="str">
        <f aca="false">IF(A74="","",PREFIX&amp;"-"&amp;TEXT(C74,"yyyy")&amp;"-"&amp;A74)</f>
        <v/>
      </c>
      <c r="C74" s="56"/>
      <c r="D74" s="57"/>
      <c r="E74" s="58"/>
      <c r="F74" s="58"/>
      <c r="G74" s="57"/>
      <c r="H74" s="57"/>
      <c r="I74" s="57"/>
      <c r="J74" s="64" t="str">
        <f aca="false">IF(A74="","",SUMIFS('بنود السندات'!$F$5:$F$3004,'بنود السندات'!$A$5:$A$3004,A74))</f>
        <v/>
      </c>
      <c r="K74" s="64" t="str">
        <f aca="false">IF(A74="","",SUMIFS('بنود السندات'!$G$5:$G$3004,'بنود السندات'!$A$5:$A$3004,A74))</f>
        <v/>
      </c>
      <c r="L74" s="64" t="str">
        <f aca="false">IF(A74="","",ROUND(J74-K74,2))</f>
        <v/>
      </c>
      <c r="M74" s="63" t="str">
        <f aca="false">IF(A74="","",COUNTIF('بنود السندات'!$A$5:$A$3004,A74))</f>
        <v/>
      </c>
      <c r="N74" s="65" t="str">
        <f aca="false">IF(A74="","",IF(M74=0,"بدون بنود ⚠",IF(L74=0,"متوازن ✔","غير متوازن ✘")))</f>
        <v/>
      </c>
      <c r="O74" s="66" t="str">
        <f aca="false">IF(A74="","","فقط "&amp;IF(INT(ROUND(MAX(J74,K74),2))=0,"صفر",MID(IF(INT(INT(ROUND(MAX(J74,K74),2))/1000000)&gt;0," و"&amp;INDEX(تفقيط!$D$2:$D$1001,INT(INT(ROUND(MAX(J74,K74),2))/1000000)+1),"")&amp;IF(INT(MOD(INT(ROUND(MAX(J74,K74),2)),1000000)/1000)&gt;0," و"&amp;INDEX(تفقيط!$C$2:$C$1001,INT(MOD(INT(ROUND(MAX(J74,K74),2)),1000000)/1000)+1),"")&amp;IF(MOD(INT(ROUND(MAX(J74,K74),2)),1000)&gt;0," و"&amp;INDEX(تفقيط!$B$2:$B$1001,MOD(INT(ROUND(MAX(J74,K74),2)),1000)+1),""),3,400))&amp;" "&amp;CUR&amp;IF(ROUND((ROUND(MAX(J74,K74),2)-INT(ROUND(MAX(J74,K74),2)))*100,0)&gt;0," و"&amp;INDEX(تفقيط!$E$2:$E$1001,ROUND((ROUND(MAX(J74,K74),2)-INT(ROUND(MAX(J74,K74),2)))*100,0)+1),"")&amp;" لا غير")</f>
        <v/>
      </c>
    </row>
    <row r="75" customFormat="false" ht="15" hidden="false" customHeight="false" outlineLevel="0" collapsed="false">
      <c r="A75" s="54" t="str">
        <f aca="false">IF(C75="","",START_NO+COUNT(C$5:C75)-1)</f>
        <v/>
      </c>
      <c r="B75" s="55" t="str">
        <f aca="false">IF(A75="","",PREFIX&amp;"-"&amp;TEXT(C75,"yyyy")&amp;"-"&amp;A75)</f>
        <v/>
      </c>
      <c r="C75" s="56"/>
      <c r="D75" s="57"/>
      <c r="E75" s="58"/>
      <c r="F75" s="58"/>
      <c r="G75" s="57"/>
      <c r="H75" s="57"/>
      <c r="I75" s="57"/>
      <c r="J75" s="59" t="str">
        <f aca="false">IF(A75="","",SUMIFS('بنود السندات'!$F$5:$F$3004,'بنود السندات'!$A$5:$A$3004,A75))</f>
        <v/>
      </c>
      <c r="K75" s="59" t="str">
        <f aca="false">IF(A75="","",SUMIFS('بنود السندات'!$G$5:$G$3004,'بنود السندات'!$A$5:$A$3004,A75))</f>
        <v/>
      </c>
      <c r="L75" s="59" t="str">
        <f aca="false">IF(A75="","",ROUND(J75-K75,2))</f>
        <v/>
      </c>
      <c r="M75" s="55" t="str">
        <f aca="false">IF(A75="","",COUNTIF('بنود السندات'!$A$5:$A$3004,A75))</f>
        <v/>
      </c>
      <c r="N75" s="60" t="str">
        <f aca="false">IF(A75="","",IF(M75=0,"بدون بنود ⚠",IF(L75=0,"متوازن ✔","غير متوازن ✘")))</f>
        <v/>
      </c>
      <c r="O75" s="61" t="str">
        <f aca="false">IF(A75="","","فقط "&amp;IF(INT(ROUND(MAX(J75,K75),2))=0,"صفر",MID(IF(INT(INT(ROUND(MAX(J75,K75),2))/1000000)&gt;0," و"&amp;INDEX(تفقيط!$D$2:$D$1001,INT(INT(ROUND(MAX(J75,K75),2))/1000000)+1),"")&amp;IF(INT(MOD(INT(ROUND(MAX(J75,K75),2)),1000000)/1000)&gt;0," و"&amp;INDEX(تفقيط!$C$2:$C$1001,INT(MOD(INT(ROUND(MAX(J75,K75),2)),1000000)/1000)+1),"")&amp;IF(MOD(INT(ROUND(MAX(J75,K75),2)),1000)&gt;0," و"&amp;INDEX(تفقيط!$B$2:$B$1001,MOD(INT(ROUND(MAX(J75,K75),2)),1000)+1),""),3,400))&amp;" "&amp;CUR&amp;IF(ROUND((ROUND(MAX(J75,K75),2)-INT(ROUND(MAX(J75,K75),2)))*100,0)&gt;0," و"&amp;INDEX(تفقيط!$E$2:$E$1001,ROUND((ROUND(MAX(J75,K75),2)-INT(ROUND(MAX(J75,K75),2)))*100,0)+1),"")&amp;" لا غير")</f>
        <v/>
      </c>
    </row>
    <row r="76" customFormat="false" ht="15" hidden="false" customHeight="false" outlineLevel="0" collapsed="false">
      <c r="A76" s="62" t="str">
        <f aca="false">IF(C76="","",START_NO+COUNT(C$5:C76)-1)</f>
        <v/>
      </c>
      <c r="B76" s="63" t="str">
        <f aca="false">IF(A76="","",PREFIX&amp;"-"&amp;TEXT(C76,"yyyy")&amp;"-"&amp;A76)</f>
        <v/>
      </c>
      <c r="C76" s="56"/>
      <c r="D76" s="57"/>
      <c r="E76" s="58"/>
      <c r="F76" s="58"/>
      <c r="G76" s="57"/>
      <c r="H76" s="57"/>
      <c r="I76" s="57"/>
      <c r="J76" s="64" t="str">
        <f aca="false">IF(A76="","",SUMIFS('بنود السندات'!$F$5:$F$3004,'بنود السندات'!$A$5:$A$3004,A76))</f>
        <v/>
      </c>
      <c r="K76" s="64" t="str">
        <f aca="false">IF(A76="","",SUMIFS('بنود السندات'!$G$5:$G$3004,'بنود السندات'!$A$5:$A$3004,A76))</f>
        <v/>
      </c>
      <c r="L76" s="64" t="str">
        <f aca="false">IF(A76="","",ROUND(J76-K76,2))</f>
        <v/>
      </c>
      <c r="M76" s="63" t="str">
        <f aca="false">IF(A76="","",COUNTIF('بنود السندات'!$A$5:$A$3004,A76))</f>
        <v/>
      </c>
      <c r="N76" s="65" t="str">
        <f aca="false">IF(A76="","",IF(M76=0,"بدون بنود ⚠",IF(L76=0,"متوازن ✔","غير متوازن ✘")))</f>
        <v/>
      </c>
      <c r="O76" s="66" t="str">
        <f aca="false">IF(A76="","","فقط "&amp;IF(INT(ROUND(MAX(J76,K76),2))=0,"صفر",MID(IF(INT(INT(ROUND(MAX(J76,K76),2))/1000000)&gt;0," و"&amp;INDEX(تفقيط!$D$2:$D$1001,INT(INT(ROUND(MAX(J76,K76),2))/1000000)+1),"")&amp;IF(INT(MOD(INT(ROUND(MAX(J76,K76),2)),1000000)/1000)&gt;0," و"&amp;INDEX(تفقيط!$C$2:$C$1001,INT(MOD(INT(ROUND(MAX(J76,K76),2)),1000000)/1000)+1),"")&amp;IF(MOD(INT(ROUND(MAX(J76,K76),2)),1000)&gt;0," و"&amp;INDEX(تفقيط!$B$2:$B$1001,MOD(INT(ROUND(MAX(J76,K76),2)),1000)+1),""),3,400))&amp;" "&amp;CUR&amp;IF(ROUND((ROUND(MAX(J76,K76),2)-INT(ROUND(MAX(J76,K76),2)))*100,0)&gt;0," و"&amp;INDEX(تفقيط!$E$2:$E$1001,ROUND((ROUND(MAX(J76,K76),2)-INT(ROUND(MAX(J76,K76),2)))*100,0)+1),"")&amp;" لا غير")</f>
        <v/>
      </c>
    </row>
    <row r="77" customFormat="false" ht="15" hidden="false" customHeight="false" outlineLevel="0" collapsed="false">
      <c r="A77" s="54" t="str">
        <f aca="false">IF(C77="","",START_NO+COUNT(C$5:C77)-1)</f>
        <v/>
      </c>
      <c r="B77" s="55" t="str">
        <f aca="false">IF(A77="","",PREFIX&amp;"-"&amp;TEXT(C77,"yyyy")&amp;"-"&amp;A77)</f>
        <v/>
      </c>
      <c r="C77" s="56"/>
      <c r="D77" s="57"/>
      <c r="E77" s="58"/>
      <c r="F77" s="58"/>
      <c r="G77" s="57"/>
      <c r="H77" s="57"/>
      <c r="I77" s="57"/>
      <c r="J77" s="59" t="str">
        <f aca="false">IF(A77="","",SUMIFS('بنود السندات'!$F$5:$F$3004,'بنود السندات'!$A$5:$A$3004,A77))</f>
        <v/>
      </c>
      <c r="K77" s="59" t="str">
        <f aca="false">IF(A77="","",SUMIFS('بنود السندات'!$G$5:$G$3004,'بنود السندات'!$A$5:$A$3004,A77))</f>
        <v/>
      </c>
      <c r="L77" s="59" t="str">
        <f aca="false">IF(A77="","",ROUND(J77-K77,2))</f>
        <v/>
      </c>
      <c r="M77" s="55" t="str">
        <f aca="false">IF(A77="","",COUNTIF('بنود السندات'!$A$5:$A$3004,A77))</f>
        <v/>
      </c>
      <c r="N77" s="60" t="str">
        <f aca="false">IF(A77="","",IF(M77=0,"بدون بنود ⚠",IF(L77=0,"متوازن ✔","غير متوازن ✘")))</f>
        <v/>
      </c>
      <c r="O77" s="61" t="str">
        <f aca="false">IF(A77="","","فقط "&amp;IF(INT(ROUND(MAX(J77,K77),2))=0,"صفر",MID(IF(INT(INT(ROUND(MAX(J77,K77),2))/1000000)&gt;0," و"&amp;INDEX(تفقيط!$D$2:$D$1001,INT(INT(ROUND(MAX(J77,K77),2))/1000000)+1),"")&amp;IF(INT(MOD(INT(ROUND(MAX(J77,K77),2)),1000000)/1000)&gt;0," و"&amp;INDEX(تفقيط!$C$2:$C$1001,INT(MOD(INT(ROUND(MAX(J77,K77),2)),1000000)/1000)+1),"")&amp;IF(MOD(INT(ROUND(MAX(J77,K77),2)),1000)&gt;0," و"&amp;INDEX(تفقيط!$B$2:$B$1001,MOD(INT(ROUND(MAX(J77,K77),2)),1000)+1),""),3,400))&amp;" "&amp;CUR&amp;IF(ROUND((ROUND(MAX(J77,K77),2)-INT(ROUND(MAX(J77,K77),2)))*100,0)&gt;0," و"&amp;INDEX(تفقيط!$E$2:$E$1001,ROUND((ROUND(MAX(J77,K77),2)-INT(ROUND(MAX(J77,K77),2)))*100,0)+1),"")&amp;" لا غير")</f>
        <v/>
      </c>
    </row>
    <row r="78" customFormat="false" ht="15" hidden="false" customHeight="false" outlineLevel="0" collapsed="false">
      <c r="A78" s="62" t="str">
        <f aca="false">IF(C78="","",START_NO+COUNT(C$5:C78)-1)</f>
        <v/>
      </c>
      <c r="B78" s="63" t="str">
        <f aca="false">IF(A78="","",PREFIX&amp;"-"&amp;TEXT(C78,"yyyy")&amp;"-"&amp;A78)</f>
        <v/>
      </c>
      <c r="C78" s="56"/>
      <c r="D78" s="57"/>
      <c r="E78" s="58"/>
      <c r="F78" s="58"/>
      <c r="G78" s="57"/>
      <c r="H78" s="57"/>
      <c r="I78" s="57"/>
      <c r="J78" s="64" t="str">
        <f aca="false">IF(A78="","",SUMIFS('بنود السندات'!$F$5:$F$3004,'بنود السندات'!$A$5:$A$3004,A78))</f>
        <v/>
      </c>
      <c r="K78" s="64" t="str">
        <f aca="false">IF(A78="","",SUMIFS('بنود السندات'!$G$5:$G$3004,'بنود السندات'!$A$5:$A$3004,A78))</f>
        <v/>
      </c>
      <c r="L78" s="64" t="str">
        <f aca="false">IF(A78="","",ROUND(J78-K78,2))</f>
        <v/>
      </c>
      <c r="M78" s="63" t="str">
        <f aca="false">IF(A78="","",COUNTIF('بنود السندات'!$A$5:$A$3004,A78))</f>
        <v/>
      </c>
      <c r="N78" s="65" t="str">
        <f aca="false">IF(A78="","",IF(M78=0,"بدون بنود ⚠",IF(L78=0,"متوازن ✔","غير متوازن ✘")))</f>
        <v/>
      </c>
      <c r="O78" s="66" t="str">
        <f aca="false">IF(A78="","","فقط "&amp;IF(INT(ROUND(MAX(J78,K78),2))=0,"صفر",MID(IF(INT(INT(ROUND(MAX(J78,K78),2))/1000000)&gt;0," و"&amp;INDEX(تفقيط!$D$2:$D$1001,INT(INT(ROUND(MAX(J78,K78),2))/1000000)+1),"")&amp;IF(INT(MOD(INT(ROUND(MAX(J78,K78),2)),1000000)/1000)&gt;0," و"&amp;INDEX(تفقيط!$C$2:$C$1001,INT(MOD(INT(ROUND(MAX(J78,K78),2)),1000000)/1000)+1),"")&amp;IF(MOD(INT(ROUND(MAX(J78,K78),2)),1000)&gt;0," و"&amp;INDEX(تفقيط!$B$2:$B$1001,MOD(INT(ROUND(MAX(J78,K78),2)),1000)+1),""),3,400))&amp;" "&amp;CUR&amp;IF(ROUND((ROUND(MAX(J78,K78),2)-INT(ROUND(MAX(J78,K78),2)))*100,0)&gt;0," و"&amp;INDEX(تفقيط!$E$2:$E$1001,ROUND((ROUND(MAX(J78,K78),2)-INT(ROUND(MAX(J78,K78),2)))*100,0)+1),"")&amp;" لا غير")</f>
        <v/>
      </c>
    </row>
    <row r="79" customFormat="false" ht="15" hidden="false" customHeight="false" outlineLevel="0" collapsed="false">
      <c r="A79" s="54" t="str">
        <f aca="false">IF(C79="","",START_NO+COUNT(C$5:C79)-1)</f>
        <v/>
      </c>
      <c r="B79" s="55" t="str">
        <f aca="false">IF(A79="","",PREFIX&amp;"-"&amp;TEXT(C79,"yyyy")&amp;"-"&amp;A79)</f>
        <v/>
      </c>
      <c r="C79" s="56"/>
      <c r="D79" s="57"/>
      <c r="E79" s="58"/>
      <c r="F79" s="58"/>
      <c r="G79" s="57"/>
      <c r="H79" s="57"/>
      <c r="I79" s="57"/>
      <c r="J79" s="59" t="str">
        <f aca="false">IF(A79="","",SUMIFS('بنود السندات'!$F$5:$F$3004,'بنود السندات'!$A$5:$A$3004,A79))</f>
        <v/>
      </c>
      <c r="K79" s="59" t="str">
        <f aca="false">IF(A79="","",SUMIFS('بنود السندات'!$G$5:$G$3004,'بنود السندات'!$A$5:$A$3004,A79))</f>
        <v/>
      </c>
      <c r="L79" s="59" t="str">
        <f aca="false">IF(A79="","",ROUND(J79-K79,2))</f>
        <v/>
      </c>
      <c r="M79" s="55" t="str">
        <f aca="false">IF(A79="","",COUNTIF('بنود السندات'!$A$5:$A$3004,A79))</f>
        <v/>
      </c>
      <c r="N79" s="60" t="str">
        <f aca="false">IF(A79="","",IF(M79=0,"بدون بنود ⚠",IF(L79=0,"متوازن ✔","غير متوازن ✘")))</f>
        <v/>
      </c>
      <c r="O79" s="61" t="str">
        <f aca="false">IF(A79="","","فقط "&amp;IF(INT(ROUND(MAX(J79,K79),2))=0,"صفر",MID(IF(INT(INT(ROUND(MAX(J79,K79),2))/1000000)&gt;0," و"&amp;INDEX(تفقيط!$D$2:$D$1001,INT(INT(ROUND(MAX(J79,K79),2))/1000000)+1),"")&amp;IF(INT(MOD(INT(ROUND(MAX(J79,K79),2)),1000000)/1000)&gt;0," و"&amp;INDEX(تفقيط!$C$2:$C$1001,INT(MOD(INT(ROUND(MAX(J79,K79),2)),1000000)/1000)+1),"")&amp;IF(MOD(INT(ROUND(MAX(J79,K79),2)),1000)&gt;0," و"&amp;INDEX(تفقيط!$B$2:$B$1001,MOD(INT(ROUND(MAX(J79,K79),2)),1000)+1),""),3,400))&amp;" "&amp;CUR&amp;IF(ROUND((ROUND(MAX(J79,K79),2)-INT(ROUND(MAX(J79,K79),2)))*100,0)&gt;0," و"&amp;INDEX(تفقيط!$E$2:$E$1001,ROUND((ROUND(MAX(J79,K79),2)-INT(ROUND(MAX(J79,K79),2)))*100,0)+1),"")&amp;" لا غير")</f>
        <v/>
      </c>
    </row>
    <row r="80" customFormat="false" ht="15" hidden="false" customHeight="false" outlineLevel="0" collapsed="false">
      <c r="A80" s="62" t="str">
        <f aca="false">IF(C80="","",START_NO+COUNT(C$5:C80)-1)</f>
        <v/>
      </c>
      <c r="B80" s="63" t="str">
        <f aca="false">IF(A80="","",PREFIX&amp;"-"&amp;TEXT(C80,"yyyy")&amp;"-"&amp;A80)</f>
        <v/>
      </c>
      <c r="C80" s="56"/>
      <c r="D80" s="57"/>
      <c r="E80" s="58"/>
      <c r="F80" s="58"/>
      <c r="G80" s="57"/>
      <c r="H80" s="57"/>
      <c r="I80" s="57"/>
      <c r="J80" s="64" t="str">
        <f aca="false">IF(A80="","",SUMIFS('بنود السندات'!$F$5:$F$3004,'بنود السندات'!$A$5:$A$3004,A80))</f>
        <v/>
      </c>
      <c r="K80" s="64" t="str">
        <f aca="false">IF(A80="","",SUMIFS('بنود السندات'!$G$5:$G$3004,'بنود السندات'!$A$5:$A$3004,A80))</f>
        <v/>
      </c>
      <c r="L80" s="64" t="str">
        <f aca="false">IF(A80="","",ROUND(J80-K80,2))</f>
        <v/>
      </c>
      <c r="M80" s="63" t="str">
        <f aca="false">IF(A80="","",COUNTIF('بنود السندات'!$A$5:$A$3004,A80))</f>
        <v/>
      </c>
      <c r="N80" s="65" t="str">
        <f aca="false">IF(A80="","",IF(M80=0,"بدون بنود ⚠",IF(L80=0,"متوازن ✔","غير متوازن ✘")))</f>
        <v/>
      </c>
      <c r="O80" s="66" t="str">
        <f aca="false">IF(A80="","","فقط "&amp;IF(INT(ROUND(MAX(J80,K80),2))=0,"صفر",MID(IF(INT(INT(ROUND(MAX(J80,K80),2))/1000000)&gt;0," و"&amp;INDEX(تفقيط!$D$2:$D$1001,INT(INT(ROUND(MAX(J80,K80),2))/1000000)+1),"")&amp;IF(INT(MOD(INT(ROUND(MAX(J80,K80),2)),1000000)/1000)&gt;0," و"&amp;INDEX(تفقيط!$C$2:$C$1001,INT(MOD(INT(ROUND(MAX(J80,K80),2)),1000000)/1000)+1),"")&amp;IF(MOD(INT(ROUND(MAX(J80,K80),2)),1000)&gt;0," و"&amp;INDEX(تفقيط!$B$2:$B$1001,MOD(INT(ROUND(MAX(J80,K80),2)),1000)+1),""),3,400))&amp;" "&amp;CUR&amp;IF(ROUND((ROUND(MAX(J80,K80),2)-INT(ROUND(MAX(J80,K80),2)))*100,0)&gt;0," و"&amp;INDEX(تفقيط!$E$2:$E$1001,ROUND((ROUND(MAX(J80,K80),2)-INT(ROUND(MAX(J80,K80),2)))*100,0)+1),"")&amp;" لا غير")</f>
        <v/>
      </c>
    </row>
    <row r="81" customFormat="false" ht="15" hidden="false" customHeight="false" outlineLevel="0" collapsed="false">
      <c r="A81" s="54" t="str">
        <f aca="false">IF(C81="","",START_NO+COUNT(C$5:C81)-1)</f>
        <v/>
      </c>
      <c r="B81" s="55" t="str">
        <f aca="false">IF(A81="","",PREFIX&amp;"-"&amp;TEXT(C81,"yyyy")&amp;"-"&amp;A81)</f>
        <v/>
      </c>
      <c r="C81" s="56"/>
      <c r="D81" s="57"/>
      <c r="E81" s="58"/>
      <c r="F81" s="58"/>
      <c r="G81" s="57"/>
      <c r="H81" s="57"/>
      <c r="I81" s="57"/>
      <c r="J81" s="59" t="str">
        <f aca="false">IF(A81="","",SUMIFS('بنود السندات'!$F$5:$F$3004,'بنود السندات'!$A$5:$A$3004,A81))</f>
        <v/>
      </c>
      <c r="K81" s="59" t="str">
        <f aca="false">IF(A81="","",SUMIFS('بنود السندات'!$G$5:$G$3004,'بنود السندات'!$A$5:$A$3004,A81))</f>
        <v/>
      </c>
      <c r="L81" s="59" t="str">
        <f aca="false">IF(A81="","",ROUND(J81-K81,2))</f>
        <v/>
      </c>
      <c r="M81" s="55" t="str">
        <f aca="false">IF(A81="","",COUNTIF('بنود السندات'!$A$5:$A$3004,A81))</f>
        <v/>
      </c>
      <c r="N81" s="60" t="str">
        <f aca="false">IF(A81="","",IF(M81=0,"بدون بنود ⚠",IF(L81=0,"متوازن ✔","غير متوازن ✘")))</f>
        <v/>
      </c>
      <c r="O81" s="61" t="str">
        <f aca="false">IF(A81="","","فقط "&amp;IF(INT(ROUND(MAX(J81,K81),2))=0,"صفر",MID(IF(INT(INT(ROUND(MAX(J81,K81),2))/1000000)&gt;0," و"&amp;INDEX(تفقيط!$D$2:$D$1001,INT(INT(ROUND(MAX(J81,K81),2))/1000000)+1),"")&amp;IF(INT(MOD(INT(ROUND(MAX(J81,K81),2)),1000000)/1000)&gt;0," و"&amp;INDEX(تفقيط!$C$2:$C$1001,INT(MOD(INT(ROUND(MAX(J81,K81),2)),1000000)/1000)+1),"")&amp;IF(MOD(INT(ROUND(MAX(J81,K81),2)),1000)&gt;0," و"&amp;INDEX(تفقيط!$B$2:$B$1001,MOD(INT(ROUND(MAX(J81,K81),2)),1000)+1),""),3,400))&amp;" "&amp;CUR&amp;IF(ROUND((ROUND(MAX(J81,K81),2)-INT(ROUND(MAX(J81,K81),2)))*100,0)&gt;0," و"&amp;INDEX(تفقيط!$E$2:$E$1001,ROUND((ROUND(MAX(J81,K81),2)-INT(ROUND(MAX(J81,K81),2)))*100,0)+1),"")&amp;" لا غير")</f>
        <v/>
      </c>
    </row>
    <row r="82" customFormat="false" ht="15" hidden="false" customHeight="false" outlineLevel="0" collapsed="false">
      <c r="A82" s="62" t="str">
        <f aca="false">IF(C82="","",START_NO+COUNT(C$5:C82)-1)</f>
        <v/>
      </c>
      <c r="B82" s="63" t="str">
        <f aca="false">IF(A82="","",PREFIX&amp;"-"&amp;TEXT(C82,"yyyy")&amp;"-"&amp;A82)</f>
        <v/>
      </c>
      <c r="C82" s="56"/>
      <c r="D82" s="57"/>
      <c r="E82" s="58"/>
      <c r="F82" s="58"/>
      <c r="G82" s="57"/>
      <c r="H82" s="57"/>
      <c r="I82" s="57"/>
      <c r="J82" s="64" t="str">
        <f aca="false">IF(A82="","",SUMIFS('بنود السندات'!$F$5:$F$3004,'بنود السندات'!$A$5:$A$3004,A82))</f>
        <v/>
      </c>
      <c r="K82" s="64" t="str">
        <f aca="false">IF(A82="","",SUMIFS('بنود السندات'!$G$5:$G$3004,'بنود السندات'!$A$5:$A$3004,A82))</f>
        <v/>
      </c>
      <c r="L82" s="64" t="str">
        <f aca="false">IF(A82="","",ROUND(J82-K82,2))</f>
        <v/>
      </c>
      <c r="M82" s="63" t="str">
        <f aca="false">IF(A82="","",COUNTIF('بنود السندات'!$A$5:$A$3004,A82))</f>
        <v/>
      </c>
      <c r="N82" s="65" t="str">
        <f aca="false">IF(A82="","",IF(M82=0,"بدون بنود ⚠",IF(L82=0,"متوازن ✔","غير متوازن ✘")))</f>
        <v/>
      </c>
      <c r="O82" s="66" t="str">
        <f aca="false">IF(A82="","","فقط "&amp;IF(INT(ROUND(MAX(J82,K82),2))=0,"صفر",MID(IF(INT(INT(ROUND(MAX(J82,K82),2))/1000000)&gt;0," و"&amp;INDEX(تفقيط!$D$2:$D$1001,INT(INT(ROUND(MAX(J82,K82),2))/1000000)+1),"")&amp;IF(INT(MOD(INT(ROUND(MAX(J82,K82),2)),1000000)/1000)&gt;0," و"&amp;INDEX(تفقيط!$C$2:$C$1001,INT(MOD(INT(ROUND(MAX(J82,K82),2)),1000000)/1000)+1),"")&amp;IF(MOD(INT(ROUND(MAX(J82,K82),2)),1000)&gt;0," و"&amp;INDEX(تفقيط!$B$2:$B$1001,MOD(INT(ROUND(MAX(J82,K82),2)),1000)+1),""),3,400))&amp;" "&amp;CUR&amp;IF(ROUND((ROUND(MAX(J82,K82),2)-INT(ROUND(MAX(J82,K82),2)))*100,0)&gt;0," و"&amp;INDEX(تفقيط!$E$2:$E$1001,ROUND((ROUND(MAX(J82,K82),2)-INT(ROUND(MAX(J82,K82),2)))*100,0)+1),"")&amp;" لا غير")</f>
        <v/>
      </c>
    </row>
    <row r="83" customFormat="false" ht="15" hidden="false" customHeight="false" outlineLevel="0" collapsed="false">
      <c r="A83" s="54" t="str">
        <f aca="false">IF(C83="","",START_NO+COUNT(C$5:C83)-1)</f>
        <v/>
      </c>
      <c r="B83" s="55" t="str">
        <f aca="false">IF(A83="","",PREFIX&amp;"-"&amp;TEXT(C83,"yyyy")&amp;"-"&amp;A83)</f>
        <v/>
      </c>
      <c r="C83" s="56"/>
      <c r="D83" s="57"/>
      <c r="E83" s="58"/>
      <c r="F83" s="58"/>
      <c r="G83" s="57"/>
      <c r="H83" s="57"/>
      <c r="I83" s="57"/>
      <c r="J83" s="59" t="str">
        <f aca="false">IF(A83="","",SUMIFS('بنود السندات'!$F$5:$F$3004,'بنود السندات'!$A$5:$A$3004,A83))</f>
        <v/>
      </c>
      <c r="K83" s="59" t="str">
        <f aca="false">IF(A83="","",SUMIFS('بنود السندات'!$G$5:$G$3004,'بنود السندات'!$A$5:$A$3004,A83))</f>
        <v/>
      </c>
      <c r="L83" s="59" t="str">
        <f aca="false">IF(A83="","",ROUND(J83-K83,2))</f>
        <v/>
      </c>
      <c r="M83" s="55" t="str">
        <f aca="false">IF(A83="","",COUNTIF('بنود السندات'!$A$5:$A$3004,A83))</f>
        <v/>
      </c>
      <c r="N83" s="60" t="str">
        <f aca="false">IF(A83="","",IF(M83=0,"بدون بنود ⚠",IF(L83=0,"متوازن ✔","غير متوازن ✘")))</f>
        <v/>
      </c>
      <c r="O83" s="61" t="str">
        <f aca="false">IF(A83="","","فقط "&amp;IF(INT(ROUND(MAX(J83,K83),2))=0,"صفر",MID(IF(INT(INT(ROUND(MAX(J83,K83),2))/1000000)&gt;0," و"&amp;INDEX(تفقيط!$D$2:$D$1001,INT(INT(ROUND(MAX(J83,K83),2))/1000000)+1),"")&amp;IF(INT(MOD(INT(ROUND(MAX(J83,K83),2)),1000000)/1000)&gt;0," و"&amp;INDEX(تفقيط!$C$2:$C$1001,INT(MOD(INT(ROUND(MAX(J83,K83),2)),1000000)/1000)+1),"")&amp;IF(MOD(INT(ROUND(MAX(J83,K83),2)),1000)&gt;0," و"&amp;INDEX(تفقيط!$B$2:$B$1001,MOD(INT(ROUND(MAX(J83,K83),2)),1000)+1),""),3,400))&amp;" "&amp;CUR&amp;IF(ROUND((ROUND(MAX(J83,K83),2)-INT(ROUND(MAX(J83,K83),2)))*100,0)&gt;0," و"&amp;INDEX(تفقيط!$E$2:$E$1001,ROUND((ROUND(MAX(J83,K83),2)-INT(ROUND(MAX(J83,K83),2)))*100,0)+1),"")&amp;" لا غير")</f>
        <v/>
      </c>
    </row>
    <row r="84" customFormat="false" ht="15" hidden="false" customHeight="false" outlineLevel="0" collapsed="false">
      <c r="A84" s="62" t="str">
        <f aca="false">IF(C84="","",START_NO+COUNT(C$5:C84)-1)</f>
        <v/>
      </c>
      <c r="B84" s="63" t="str">
        <f aca="false">IF(A84="","",PREFIX&amp;"-"&amp;TEXT(C84,"yyyy")&amp;"-"&amp;A84)</f>
        <v/>
      </c>
      <c r="C84" s="56"/>
      <c r="D84" s="57"/>
      <c r="E84" s="58"/>
      <c r="F84" s="58"/>
      <c r="G84" s="57"/>
      <c r="H84" s="57"/>
      <c r="I84" s="57"/>
      <c r="J84" s="64" t="str">
        <f aca="false">IF(A84="","",SUMIFS('بنود السندات'!$F$5:$F$3004,'بنود السندات'!$A$5:$A$3004,A84))</f>
        <v/>
      </c>
      <c r="K84" s="64" t="str">
        <f aca="false">IF(A84="","",SUMIFS('بنود السندات'!$G$5:$G$3004,'بنود السندات'!$A$5:$A$3004,A84))</f>
        <v/>
      </c>
      <c r="L84" s="64" t="str">
        <f aca="false">IF(A84="","",ROUND(J84-K84,2))</f>
        <v/>
      </c>
      <c r="M84" s="63" t="str">
        <f aca="false">IF(A84="","",COUNTIF('بنود السندات'!$A$5:$A$3004,A84))</f>
        <v/>
      </c>
      <c r="N84" s="65" t="str">
        <f aca="false">IF(A84="","",IF(M84=0,"بدون بنود ⚠",IF(L84=0,"متوازن ✔","غير متوازن ✘")))</f>
        <v/>
      </c>
      <c r="O84" s="66" t="str">
        <f aca="false">IF(A84="","","فقط "&amp;IF(INT(ROUND(MAX(J84,K84),2))=0,"صفر",MID(IF(INT(INT(ROUND(MAX(J84,K84),2))/1000000)&gt;0," و"&amp;INDEX(تفقيط!$D$2:$D$1001,INT(INT(ROUND(MAX(J84,K84),2))/1000000)+1),"")&amp;IF(INT(MOD(INT(ROUND(MAX(J84,K84),2)),1000000)/1000)&gt;0," و"&amp;INDEX(تفقيط!$C$2:$C$1001,INT(MOD(INT(ROUND(MAX(J84,K84),2)),1000000)/1000)+1),"")&amp;IF(MOD(INT(ROUND(MAX(J84,K84),2)),1000)&gt;0," و"&amp;INDEX(تفقيط!$B$2:$B$1001,MOD(INT(ROUND(MAX(J84,K84),2)),1000)+1),""),3,400))&amp;" "&amp;CUR&amp;IF(ROUND((ROUND(MAX(J84,K84),2)-INT(ROUND(MAX(J84,K84),2)))*100,0)&gt;0," و"&amp;INDEX(تفقيط!$E$2:$E$1001,ROUND((ROUND(MAX(J84,K84),2)-INT(ROUND(MAX(J84,K84),2)))*100,0)+1),"")&amp;" لا غير")</f>
        <v/>
      </c>
    </row>
    <row r="85" customFormat="false" ht="15" hidden="false" customHeight="false" outlineLevel="0" collapsed="false">
      <c r="A85" s="54" t="str">
        <f aca="false">IF(C85="","",START_NO+COUNT(C$5:C85)-1)</f>
        <v/>
      </c>
      <c r="B85" s="55" t="str">
        <f aca="false">IF(A85="","",PREFIX&amp;"-"&amp;TEXT(C85,"yyyy")&amp;"-"&amp;A85)</f>
        <v/>
      </c>
      <c r="C85" s="56"/>
      <c r="D85" s="57"/>
      <c r="E85" s="58"/>
      <c r="F85" s="58"/>
      <c r="G85" s="57"/>
      <c r="H85" s="57"/>
      <c r="I85" s="57"/>
      <c r="J85" s="59" t="str">
        <f aca="false">IF(A85="","",SUMIFS('بنود السندات'!$F$5:$F$3004,'بنود السندات'!$A$5:$A$3004,A85))</f>
        <v/>
      </c>
      <c r="K85" s="59" t="str">
        <f aca="false">IF(A85="","",SUMIFS('بنود السندات'!$G$5:$G$3004,'بنود السندات'!$A$5:$A$3004,A85))</f>
        <v/>
      </c>
      <c r="L85" s="59" t="str">
        <f aca="false">IF(A85="","",ROUND(J85-K85,2))</f>
        <v/>
      </c>
      <c r="M85" s="55" t="str">
        <f aca="false">IF(A85="","",COUNTIF('بنود السندات'!$A$5:$A$3004,A85))</f>
        <v/>
      </c>
      <c r="N85" s="60" t="str">
        <f aca="false">IF(A85="","",IF(M85=0,"بدون بنود ⚠",IF(L85=0,"متوازن ✔","غير متوازن ✘")))</f>
        <v/>
      </c>
      <c r="O85" s="61" t="str">
        <f aca="false">IF(A85="","","فقط "&amp;IF(INT(ROUND(MAX(J85,K85),2))=0,"صفر",MID(IF(INT(INT(ROUND(MAX(J85,K85),2))/1000000)&gt;0," و"&amp;INDEX(تفقيط!$D$2:$D$1001,INT(INT(ROUND(MAX(J85,K85),2))/1000000)+1),"")&amp;IF(INT(MOD(INT(ROUND(MAX(J85,K85),2)),1000000)/1000)&gt;0," و"&amp;INDEX(تفقيط!$C$2:$C$1001,INT(MOD(INT(ROUND(MAX(J85,K85),2)),1000000)/1000)+1),"")&amp;IF(MOD(INT(ROUND(MAX(J85,K85),2)),1000)&gt;0," و"&amp;INDEX(تفقيط!$B$2:$B$1001,MOD(INT(ROUND(MAX(J85,K85),2)),1000)+1),""),3,400))&amp;" "&amp;CUR&amp;IF(ROUND((ROUND(MAX(J85,K85),2)-INT(ROUND(MAX(J85,K85),2)))*100,0)&gt;0," و"&amp;INDEX(تفقيط!$E$2:$E$1001,ROUND((ROUND(MAX(J85,K85),2)-INT(ROUND(MAX(J85,K85),2)))*100,0)+1),"")&amp;" لا غير")</f>
        <v/>
      </c>
    </row>
    <row r="86" customFormat="false" ht="15" hidden="false" customHeight="false" outlineLevel="0" collapsed="false">
      <c r="A86" s="62" t="str">
        <f aca="false">IF(C86="","",START_NO+COUNT(C$5:C86)-1)</f>
        <v/>
      </c>
      <c r="B86" s="63" t="str">
        <f aca="false">IF(A86="","",PREFIX&amp;"-"&amp;TEXT(C86,"yyyy")&amp;"-"&amp;A86)</f>
        <v/>
      </c>
      <c r="C86" s="56"/>
      <c r="D86" s="57"/>
      <c r="E86" s="58"/>
      <c r="F86" s="58"/>
      <c r="G86" s="57"/>
      <c r="H86" s="57"/>
      <c r="I86" s="57"/>
      <c r="J86" s="64" t="str">
        <f aca="false">IF(A86="","",SUMIFS('بنود السندات'!$F$5:$F$3004,'بنود السندات'!$A$5:$A$3004,A86))</f>
        <v/>
      </c>
      <c r="K86" s="64" t="str">
        <f aca="false">IF(A86="","",SUMIFS('بنود السندات'!$G$5:$G$3004,'بنود السندات'!$A$5:$A$3004,A86))</f>
        <v/>
      </c>
      <c r="L86" s="64" t="str">
        <f aca="false">IF(A86="","",ROUND(J86-K86,2))</f>
        <v/>
      </c>
      <c r="M86" s="63" t="str">
        <f aca="false">IF(A86="","",COUNTIF('بنود السندات'!$A$5:$A$3004,A86))</f>
        <v/>
      </c>
      <c r="N86" s="65" t="str">
        <f aca="false">IF(A86="","",IF(M86=0,"بدون بنود ⚠",IF(L86=0,"متوازن ✔","غير متوازن ✘")))</f>
        <v/>
      </c>
      <c r="O86" s="66" t="str">
        <f aca="false">IF(A86="","","فقط "&amp;IF(INT(ROUND(MAX(J86,K86),2))=0,"صفر",MID(IF(INT(INT(ROUND(MAX(J86,K86),2))/1000000)&gt;0," و"&amp;INDEX(تفقيط!$D$2:$D$1001,INT(INT(ROUND(MAX(J86,K86),2))/1000000)+1),"")&amp;IF(INT(MOD(INT(ROUND(MAX(J86,K86),2)),1000000)/1000)&gt;0," و"&amp;INDEX(تفقيط!$C$2:$C$1001,INT(MOD(INT(ROUND(MAX(J86,K86),2)),1000000)/1000)+1),"")&amp;IF(MOD(INT(ROUND(MAX(J86,K86),2)),1000)&gt;0," و"&amp;INDEX(تفقيط!$B$2:$B$1001,MOD(INT(ROUND(MAX(J86,K86),2)),1000)+1),""),3,400))&amp;" "&amp;CUR&amp;IF(ROUND((ROUND(MAX(J86,K86),2)-INT(ROUND(MAX(J86,K86),2)))*100,0)&gt;0," و"&amp;INDEX(تفقيط!$E$2:$E$1001,ROUND((ROUND(MAX(J86,K86),2)-INT(ROUND(MAX(J86,K86),2)))*100,0)+1),"")&amp;" لا غير")</f>
        <v/>
      </c>
    </row>
    <row r="87" customFormat="false" ht="15" hidden="false" customHeight="false" outlineLevel="0" collapsed="false">
      <c r="A87" s="54" t="str">
        <f aca="false">IF(C87="","",START_NO+COUNT(C$5:C87)-1)</f>
        <v/>
      </c>
      <c r="B87" s="55" t="str">
        <f aca="false">IF(A87="","",PREFIX&amp;"-"&amp;TEXT(C87,"yyyy")&amp;"-"&amp;A87)</f>
        <v/>
      </c>
      <c r="C87" s="56"/>
      <c r="D87" s="57"/>
      <c r="E87" s="58"/>
      <c r="F87" s="58"/>
      <c r="G87" s="57"/>
      <c r="H87" s="57"/>
      <c r="I87" s="57"/>
      <c r="J87" s="59" t="str">
        <f aca="false">IF(A87="","",SUMIFS('بنود السندات'!$F$5:$F$3004,'بنود السندات'!$A$5:$A$3004,A87))</f>
        <v/>
      </c>
      <c r="K87" s="59" t="str">
        <f aca="false">IF(A87="","",SUMIFS('بنود السندات'!$G$5:$G$3004,'بنود السندات'!$A$5:$A$3004,A87))</f>
        <v/>
      </c>
      <c r="L87" s="59" t="str">
        <f aca="false">IF(A87="","",ROUND(J87-K87,2))</f>
        <v/>
      </c>
      <c r="M87" s="55" t="str">
        <f aca="false">IF(A87="","",COUNTIF('بنود السندات'!$A$5:$A$3004,A87))</f>
        <v/>
      </c>
      <c r="N87" s="60" t="str">
        <f aca="false">IF(A87="","",IF(M87=0,"بدون بنود ⚠",IF(L87=0,"متوازن ✔","غير متوازن ✘")))</f>
        <v/>
      </c>
      <c r="O87" s="61" t="str">
        <f aca="false">IF(A87="","","فقط "&amp;IF(INT(ROUND(MAX(J87,K87),2))=0,"صفر",MID(IF(INT(INT(ROUND(MAX(J87,K87),2))/1000000)&gt;0," و"&amp;INDEX(تفقيط!$D$2:$D$1001,INT(INT(ROUND(MAX(J87,K87),2))/1000000)+1),"")&amp;IF(INT(MOD(INT(ROUND(MAX(J87,K87),2)),1000000)/1000)&gt;0," و"&amp;INDEX(تفقيط!$C$2:$C$1001,INT(MOD(INT(ROUND(MAX(J87,K87),2)),1000000)/1000)+1),"")&amp;IF(MOD(INT(ROUND(MAX(J87,K87),2)),1000)&gt;0," و"&amp;INDEX(تفقيط!$B$2:$B$1001,MOD(INT(ROUND(MAX(J87,K87),2)),1000)+1),""),3,400))&amp;" "&amp;CUR&amp;IF(ROUND((ROUND(MAX(J87,K87),2)-INT(ROUND(MAX(J87,K87),2)))*100,0)&gt;0," و"&amp;INDEX(تفقيط!$E$2:$E$1001,ROUND((ROUND(MAX(J87,K87),2)-INT(ROUND(MAX(J87,K87),2)))*100,0)+1),"")&amp;" لا غير")</f>
        <v/>
      </c>
    </row>
    <row r="88" customFormat="false" ht="15" hidden="false" customHeight="false" outlineLevel="0" collapsed="false">
      <c r="A88" s="62" t="str">
        <f aca="false">IF(C88="","",START_NO+COUNT(C$5:C88)-1)</f>
        <v/>
      </c>
      <c r="B88" s="63" t="str">
        <f aca="false">IF(A88="","",PREFIX&amp;"-"&amp;TEXT(C88,"yyyy")&amp;"-"&amp;A88)</f>
        <v/>
      </c>
      <c r="C88" s="56"/>
      <c r="D88" s="57"/>
      <c r="E88" s="58"/>
      <c r="F88" s="58"/>
      <c r="G88" s="57"/>
      <c r="H88" s="57"/>
      <c r="I88" s="57"/>
      <c r="J88" s="64" t="str">
        <f aca="false">IF(A88="","",SUMIFS('بنود السندات'!$F$5:$F$3004,'بنود السندات'!$A$5:$A$3004,A88))</f>
        <v/>
      </c>
      <c r="K88" s="64" t="str">
        <f aca="false">IF(A88="","",SUMIFS('بنود السندات'!$G$5:$G$3004,'بنود السندات'!$A$5:$A$3004,A88))</f>
        <v/>
      </c>
      <c r="L88" s="64" t="str">
        <f aca="false">IF(A88="","",ROUND(J88-K88,2))</f>
        <v/>
      </c>
      <c r="M88" s="63" t="str">
        <f aca="false">IF(A88="","",COUNTIF('بنود السندات'!$A$5:$A$3004,A88))</f>
        <v/>
      </c>
      <c r="N88" s="65" t="str">
        <f aca="false">IF(A88="","",IF(M88=0,"بدون بنود ⚠",IF(L88=0,"متوازن ✔","غير متوازن ✘")))</f>
        <v/>
      </c>
      <c r="O88" s="66" t="str">
        <f aca="false">IF(A88="","","فقط "&amp;IF(INT(ROUND(MAX(J88,K88),2))=0,"صفر",MID(IF(INT(INT(ROUND(MAX(J88,K88),2))/1000000)&gt;0," و"&amp;INDEX(تفقيط!$D$2:$D$1001,INT(INT(ROUND(MAX(J88,K88),2))/1000000)+1),"")&amp;IF(INT(MOD(INT(ROUND(MAX(J88,K88),2)),1000000)/1000)&gt;0," و"&amp;INDEX(تفقيط!$C$2:$C$1001,INT(MOD(INT(ROUND(MAX(J88,K88),2)),1000000)/1000)+1),"")&amp;IF(MOD(INT(ROUND(MAX(J88,K88),2)),1000)&gt;0," و"&amp;INDEX(تفقيط!$B$2:$B$1001,MOD(INT(ROUND(MAX(J88,K88),2)),1000)+1),""),3,400))&amp;" "&amp;CUR&amp;IF(ROUND((ROUND(MAX(J88,K88),2)-INT(ROUND(MAX(J88,K88),2)))*100,0)&gt;0," و"&amp;INDEX(تفقيط!$E$2:$E$1001,ROUND((ROUND(MAX(J88,K88),2)-INT(ROUND(MAX(J88,K88),2)))*100,0)+1),"")&amp;" لا غير")</f>
        <v/>
      </c>
    </row>
    <row r="89" customFormat="false" ht="15" hidden="false" customHeight="false" outlineLevel="0" collapsed="false">
      <c r="A89" s="54" t="str">
        <f aca="false">IF(C89="","",START_NO+COUNT(C$5:C89)-1)</f>
        <v/>
      </c>
      <c r="B89" s="55" t="str">
        <f aca="false">IF(A89="","",PREFIX&amp;"-"&amp;TEXT(C89,"yyyy")&amp;"-"&amp;A89)</f>
        <v/>
      </c>
      <c r="C89" s="56"/>
      <c r="D89" s="57"/>
      <c r="E89" s="58"/>
      <c r="F89" s="58"/>
      <c r="G89" s="57"/>
      <c r="H89" s="57"/>
      <c r="I89" s="57"/>
      <c r="J89" s="59" t="str">
        <f aca="false">IF(A89="","",SUMIFS('بنود السندات'!$F$5:$F$3004,'بنود السندات'!$A$5:$A$3004,A89))</f>
        <v/>
      </c>
      <c r="K89" s="59" t="str">
        <f aca="false">IF(A89="","",SUMIFS('بنود السندات'!$G$5:$G$3004,'بنود السندات'!$A$5:$A$3004,A89))</f>
        <v/>
      </c>
      <c r="L89" s="59" t="str">
        <f aca="false">IF(A89="","",ROUND(J89-K89,2))</f>
        <v/>
      </c>
      <c r="M89" s="55" t="str">
        <f aca="false">IF(A89="","",COUNTIF('بنود السندات'!$A$5:$A$3004,A89))</f>
        <v/>
      </c>
      <c r="N89" s="60" t="str">
        <f aca="false">IF(A89="","",IF(M89=0,"بدون بنود ⚠",IF(L89=0,"متوازن ✔","غير متوازن ✘")))</f>
        <v/>
      </c>
      <c r="O89" s="61" t="str">
        <f aca="false">IF(A89="","","فقط "&amp;IF(INT(ROUND(MAX(J89,K89),2))=0,"صفر",MID(IF(INT(INT(ROUND(MAX(J89,K89),2))/1000000)&gt;0," و"&amp;INDEX(تفقيط!$D$2:$D$1001,INT(INT(ROUND(MAX(J89,K89),2))/1000000)+1),"")&amp;IF(INT(MOD(INT(ROUND(MAX(J89,K89),2)),1000000)/1000)&gt;0," و"&amp;INDEX(تفقيط!$C$2:$C$1001,INT(MOD(INT(ROUND(MAX(J89,K89),2)),1000000)/1000)+1),"")&amp;IF(MOD(INT(ROUND(MAX(J89,K89),2)),1000)&gt;0," و"&amp;INDEX(تفقيط!$B$2:$B$1001,MOD(INT(ROUND(MAX(J89,K89),2)),1000)+1),""),3,400))&amp;" "&amp;CUR&amp;IF(ROUND((ROUND(MAX(J89,K89),2)-INT(ROUND(MAX(J89,K89),2)))*100,0)&gt;0," و"&amp;INDEX(تفقيط!$E$2:$E$1001,ROUND((ROUND(MAX(J89,K89),2)-INT(ROUND(MAX(J89,K89),2)))*100,0)+1),"")&amp;" لا غير")</f>
        <v/>
      </c>
    </row>
    <row r="90" customFormat="false" ht="15" hidden="false" customHeight="false" outlineLevel="0" collapsed="false">
      <c r="A90" s="62" t="str">
        <f aca="false">IF(C90="","",START_NO+COUNT(C$5:C90)-1)</f>
        <v/>
      </c>
      <c r="B90" s="63" t="str">
        <f aca="false">IF(A90="","",PREFIX&amp;"-"&amp;TEXT(C90,"yyyy")&amp;"-"&amp;A90)</f>
        <v/>
      </c>
      <c r="C90" s="56"/>
      <c r="D90" s="57"/>
      <c r="E90" s="58"/>
      <c r="F90" s="58"/>
      <c r="G90" s="57"/>
      <c r="H90" s="57"/>
      <c r="I90" s="57"/>
      <c r="J90" s="64" t="str">
        <f aca="false">IF(A90="","",SUMIFS('بنود السندات'!$F$5:$F$3004,'بنود السندات'!$A$5:$A$3004,A90))</f>
        <v/>
      </c>
      <c r="K90" s="64" t="str">
        <f aca="false">IF(A90="","",SUMIFS('بنود السندات'!$G$5:$G$3004,'بنود السندات'!$A$5:$A$3004,A90))</f>
        <v/>
      </c>
      <c r="L90" s="64" t="str">
        <f aca="false">IF(A90="","",ROUND(J90-K90,2))</f>
        <v/>
      </c>
      <c r="M90" s="63" t="str">
        <f aca="false">IF(A90="","",COUNTIF('بنود السندات'!$A$5:$A$3004,A90))</f>
        <v/>
      </c>
      <c r="N90" s="65" t="str">
        <f aca="false">IF(A90="","",IF(M90=0,"بدون بنود ⚠",IF(L90=0,"متوازن ✔","غير متوازن ✘")))</f>
        <v/>
      </c>
      <c r="O90" s="66" t="str">
        <f aca="false">IF(A90="","","فقط "&amp;IF(INT(ROUND(MAX(J90,K90),2))=0,"صفر",MID(IF(INT(INT(ROUND(MAX(J90,K90),2))/1000000)&gt;0," و"&amp;INDEX(تفقيط!$D$2:$D$1001,INT(INT(ROUND(MAX(J90,K90),2))/1000000)+1),"")&amp;IF(INT(MOD(INT(ROUND(MAX(J90,K90),2)),1000000)/1000)&gt;0," و"&amp;INDEX(تفقيط!$C$2:$C$1001,INT(MOD(INT(ROUND(MAX(J90,K90),2)),1000000)/1000)+1),"")&amp;IF(MOD(INT(ROUND(MAX(J90,K90),2)),1000)&gt;0," و"&amp;INDEX(تفقيط!$B$2:$B$1001,MOD(INT(ROUND(MAX(J90,K90),2)),1000)+1),""),3,400))&amp;" "&amp;CUR&amp;IF(ROUND((ROUND(MAX(J90,K90),2)-INT(ROUND(MAX(J90,K90),2)))*100,0)&gt;0," و"&amp;INDEX(تفقيط!$E$2:$E$1001,ROUND((ROUND(MAX(J90,K90),2)-INT(ROUND(MAX(J90,K90),2)))*100,0)+1),"")&amp;" لا غير")</f>
        <v/>
      </c>
    </row>
    <row r="91" customFormat="false" ht="15" hidden="false" customHeight="false" outlineLevel="0" collapsed="false">
      <c r="A91" s="54" t="str">
        <f aca="false">IF(C91="","",START_NO+COUNT(C$5:C91)-1)</f>
        <v/>
      </c>
      <c r="B91" s="55" t="str">
        <f aca="false">IF(A91="","",PREFIX&amp;"-"&amp;TEXT(C91,"yyyy")&amp;"-"&amp;A91)</f>
        <v/>
      </c>
      <c r="C91" s="56"/>
      <c r="D91" s="57"/>
      <c r="E91" s="58"/>
      <c r="F91" s="58"/>
      <c r="G91" s="57"/>
      <c r="H91" s="57"/>
      <c r="I91" s="57"/>
      <c r="J91" s="59" t="str">
        <f aca="false">IF(A91="","",SUMIFS('بنود السندات'!$F$5:$F$3004,'بنود السندات'!$A$5:$A$3004,A91))</f>
        <v/>
      </c>
      <c r="K91" s="59" t="str">
        <f aca="false">IF(A91="","",SUMIFS('بنود السندات'!$G$5:$G$3004,'بنود السندات'!$A$5:$A$3004,A91))</f>
        <v/>
      </c>
      <c r="L91" s="59" t="str">
        <f aca="false">IF(A91="","",ROUND(J91-K91,2))</f>
        <v/>
      </c>
      <c r="M91" s="55" t="str">
        <f aca="false">IF(A91="","",COUNTIF('بنود السندات'!$A$5:$A$3004,A91))</f>
        <v/>
      </c>
      <c r="N91" s="60" t="str">
        <f aca="false">IF(A91="","",IF(M91=0,"بدون بنود ⚠",IF(L91=0,"متوازن ✔","غير متوازن ✘")))</f>
        <v/>
      </c>
      <c r="O91" s="61" t="str">
        <f aca="false">IF(A91="","","فقط "&amp;IF(INT(ROUND(MAX(J91,K91),2))=0,"صفر",MID(IF(INT(INT(ROUND(MAX(J91,K91),2))/1000000)&gt;0," و"&amp;INDEX(تفقيط!$D$2:$D$1001,INT(INT(ROUND(MAX(J91,K91),2))/1000000)+1),"")&amp;IF(INT(MOD(INT(ROUND(MAX(J91,K91),2)),1000000)/1000)&gt;0," و"&amp;INDEX(تفقيط!$C$2:$C$1001,INT(MOD(INT(ROUND(MAX(J91,K91),2)),1000000)/1000)+1),"")&amp;IF(MOD(INT(ROUND(MAX(J91,K91),2)),1000)&gt;0," و"&amp;INDEX(تفقيط!$B$2:$B$1001,MOD(INT(ROUND(MAX(J91,K91),2)),1000)+1),""),3,400))&amp;" "&amp;CUR&amp;IF(ROUND((ROUND(MAX(J91,K91),2)-INT(ROUND(MAX(J91,K91),2)))*100,0)&gt;0," و"&amp;INDEX(تفقيط!$E$2:$E$1001,ROUND((ROUND(MAX(J91,K91),2)-INT(ROUND(MAX(J91,K91),2)))*100,0)+1),"")&amp;" لا غير")</f>
        <v/>
      </c>
    </row>
    <row r="92" customFormat="false" ht="15" hidden="false" customHeight="false" outlineLevel="0" collapsed="false">
      <c r="A92" s="62" t="str">
        <f aca="false">IF(C92="","",START_NO+COUNT(C$5:C92)-1)</f>
        <v/>
      </c>
      <c r="B92" s="63" t="str">
        <f aca="false">IF(A92="","",PREFIX&amp;"-"&amp;TEXT(C92,"yyyy")&amp;"-"&amp;A92)</f>
        <v/>
      </c>
      <c r="C92" s="56"/>
      <c r="D92" s="57"/>
      <c r="E92" s="58"/>
      <c r="F92" s="58"/>
      <c r="G92" s="57"/>
      <c r="H92" s="57"/>
      <c r="I92" s="57"/>
      <c r="J92" s="64" t="str">
        <f aca="false">IF(A92="","",SUMIFS('بنود السندات'!$F$5:$F$3004,'بنود السندات'!$A$5:$A$3004,A92))</f>
        <v/>
      </c>
      <c r="K92" s="64" t="str">
        <f aca="false">IF(A92="","",SUMIFS('بنود السندات'!$G$5:$G$3004,'بنود السندات'!$A$5:$A$3004,A92))</f>
        <v/>
      </c>
      <c r="L92" s="64" t="str">
        <f aca="false">IF(A92="","",ROUND(J92-K92,2))</f>
        <v/>
      </c>
      <c r="M92" s="63" t="str">
        <f aca="false">IF(A92="","",COUNTIF('بنود السندات'!$A$5:$A$3004,A92))</f>
        <v/>
      </c>
      <c r="N92" s="65" t="str">
        <f aca="false">IF(A92="","",IF(M92=0,"بدون بنود ⚠",IF(L92=0,"متوازن ✔","غير متوازن ✘")))</f>
        <v/>
      </c>
      <c r="O92" s="66" t="str">
        <f aca="false">IF(A92="","","فقط "&amp;IF(INT(ROUND(MAX(J92,K92),2))=0,"صفر",MID(IF(INT(INT(ROUND(MAX(J92,K92),2))/1000000)&gt;0," و"&amp;INDEX(تفقيط!$D$2:$D$1001,INT(INT(ROUND(MAX(J92,K92),2))/1000000)+1),"")&amp;IF(INT(MOD(INT(ROUND(MAX(J92,K92),2)),1000000)/1000)&gt;0," و"&amp;INDEX(تفقيط!$C$2:$C$1001,INT(MOD(INT(ROUND(MAX(J92,K92),2)),1000000)/1000)+1),"")&amp;IF(MOD(INT(ROUND(MAX(J92,K92),2)),1000)&gt;0," و"&amp;INDEX(تفقيط!$B$2:$B$1001,MOD(INT(ROUND(MAX(J92,K92),2)),1000)+1),""),3,400))&amp;" "&amp;CUR&amp;IF(ROUND((ROUND(MAX(J92,K92),2)-INT(ROUND(MAX(J92,K92),2)))*100,0)&gt;0," و"&amp;INDEX(تفقيط!$E$2:$E$1001,ROUND((ROUND(MAX(J92,K92),2)-INT(ROUND(MAX(J92,K92),2)))*100,0)+1),"")&amp;" لا غير")</f>
        <v/>
      </c>
    </row>
    <row r="93" customFormat="false" ht="15" hidden="false" customHeight="false" outlineLevel="0" collapsed="false">
      <c r="A93" s="54" t="str">
        <f aca="false">IF(C93="","",START_NO+COUNT(C$5:C93)-1)</f>
        <v/>
      </c>
      <c r="B93" s="55" t="str">
        <f aca="false">IF(A93="","",PREFIX&amp;"-"&amp;TEXT(C93,"yyyy")&amp;"-"&amp;A93)</f>
        <v/>
      </c>
      <c r="C93" s="56"/>
      <c r="D93" s="57"/>
      <c r="E93" s="58"/>
      <c r="F93" s="58"/>
      <c r="G93" s="57"/>
      <c r="H93" s="57"/>
      <c r="I93" s="57"/>
      <c r="J93" s="59" t="str">
        <f aca="false">IF(A93="","",SUMIFS('بنود السندات'!$F$5:$F$3004,'بنود السندات'!$A$5:$A$3004,A93))</f>
        <v/>
      </c>
      <c r="K93" s="59" t="str">
        <f aca="false">IF(A93="","",SUMIFS('بنود السندات'!$G$5:$G$3004,'بنود السندات'!$A$5:$A$3004,A93))</f>
        <v/>
      </c>
      <c r="L93" s="59" t="str">
        <f aca="false">IF(A93="","",ROUND(J93-K93,2))</f>
        <v/>
      </c>
      <c r="M93" s="55" t="str">
        <f aca="false">IF(A93="","",COUNTIF('بنود السندات'!$A$5:$A$3004,A93))</f>
        <v/>
      </c>
      <c r="N93" s="60" t="str">
        <f aca="false">IF(A93="","",IF(M93=0,"بدون بنود ⚠",IF(L93=0,"متوازن ✔","غير متوازن ✘")))</f>
        <v/>
      </c>
      <c r="O93" s="61" t="str">
        <f aca="false">IF(A93="","","فقط "&amp;IF(INT(ROUND(MAX(J93,K93),2))=0,"صفر",MID(IF(INT(INT(ROUND(MAX(J93,K93),2))/1000000)&gt;0," و"&amp;INDEX(تفقيط!$D$2:$D$1001,INT(INT(ROUND(MAX(J93,K93),2))/1000000)+1),"")&amp;IF(INT(MOD(INT(ROUND(MAX(J93,K93),2)),1000000)/1000)&gt;0," و"&amp;INDEX(تفقيط!$C$2:$C$1001,INT(MOD(INT(ROUND(MAX(J93,K93),2)),1000000)/1000)+1),"")&amp;IF(MOD(INT(ROUND(MAX(J93,K93),2)),1000)&gt;0," و"&amp;INDEX(تفقيط!$B$2:$B$1001,MOD(INT(ROUND(MAX(J93,K93),2)),1000)+1),""),3,400))&amp;" "&amp;CUR&amp;IF(ROUND((ROUND(MAX(J93,K93),2)-INT(ROUND(MAX(J93,K93),2)))*100,0)&gt;0," و"&amp;INDEX(تفقيط!$E$2:$E$1001,ROUND((ROUND(MAX(J93,K93),2)-INT(ROUND(MAX(J93,K93),2)))*100,0)+1),"")&amp;" لا غير")</f>
        <v/>
      </c>
    </row>
    <row r="94" customFormat="false" ht="15" hidden="false" customHeight="false" outlineLevel="0" collapsed="false">
      <c r="A94" s="62" t="str">
        <f aca="false">IF(C94="","",START_NO+COUNT(C$5:C94)-1)</f>
        <v/>
      </c>
      <c r="B94" s="63" t="str">
        <f aca="false">IF(A94="","",PREFIX&amp;"-"&amp;TEXT(C94,"yyyy")&amp;"-"&amp;A94)</f>
        <v/>
      </c>
      <c r="C94" s="56"/>
      <c r="D94" s="57"/>
      <c r="E94" s="58"/>
      <c r="F94" s="58"/>
      <c r="G94" s="57"/>
      <c r="H94" s="57"/>
      <c r="I94" s="57"/>
      <c r="J94" s="64" t="str">
        <f aca="false">IF(A94="","",SUMIFS('بنود السندات'!$F$5:$F$3004,'بنود السندات'!$A$5:$A$3004,A94))</f>
        <v/>
      </c>
      <c r="K94" s="64" t="str">
        <f aca="false">IF(A94="","",SUMIFS('بنود السندات'!$G$5:$G$3004,'بنود السندات'!$A$5:$A$3004,A94))</f>
        <v/>
      </c>
      <c r="L94" s="64" t="str">
        <f aca="false">IF(A94="","",ROUND(J94-K94,2))</f>
        <v/>
      </c>
      <c r="M94" s="63" t="str">
        <f aca="false">IF(A94="","",COUNTIF('بنود السندات'!$A$5:$A$3004,A94))</f>
        <v/>
      </c>
      <c r="N94" s="65" t="str">
        <f aca="false">IF(A94="","",IF(M94=0,"بدون بنود ⚠",IF(L94=0,"متوازن ✔","غير متوازن ✘")))</f>
        <v/>
      </c>
      <c r="O94" s="66" t="str">
        <f aca="false">IF(A94="","","فقط "&amp;IF(INT(ROUND(MAX(J94,K94),2))=0,"صفر",MID(IF(INT(INT(ROUND(MAX(J94,K94),2))/1000000)&gt;0," و"&amp;INDEX(تفقيط!$D$2:$D$1001,INT(INT(ROUND(MAX(J94,K94),2))/1000000)+1),"")&amp;IF(INT(MOD(INT(ROUND(MAX(J94,K94),2)),1000000)/1000)&gt;0," و"&amp;INDEX(تفقيط!$C$2:$C$1001,INT(MOD(INT(ROUND(MAX(J94,K94),2)),1000000)/1000)+1),"")&amp;IF(MOD(INT(ROUND(MAX(J94,K94),2)),1000)&gt;0," و"&amp;INDEX(تفقيط!$B$2:$B$1001,MOD(INT(ROUND(MAX(J94,K94),2)),1000)+1),""),3,400))&amp;" "&amp;CUR&amp;IF(ROUND((ROUND(MAX(J94,K94),2)-INT(ROUND(MAX(J94,K94),2)))*100,0)&gt;0," و"&amp;INDEX(تفقيط!$E$2:$E$1001,ROUND((ROUND(MAX(J94,K94),2)-INT(ROUND(MAX(J94,K94),2)))*100,0)+1),"")&amp;" لا غير")</f>
        <v/>
      </c>
    </row>
    <row r="95" customFormat="false" ht="15" hidden="false" customHeight="false" outlineLevel="0" collapsed="false">
      <c r="A95" s="54" t="str">
        <f aca="false">IF(C95="","",START_NO+COUNT(C$5:C95)-1)</f>
        <v/>
      </c>
      <c r="B95" s="55" t="str">
        <f aca="false">IF(A95="","",PREFIX&amp;"-"&amp;TEXT(C95,"yyyy")&amp;"-"&amp;A95)</f>
        <v/>
      </c>
      <c r="C95" s="56"/>
      <c r="D95" s="57"/>
      <c r="E95" s="58"/>
      <c r="F95" s="58"/>
      <c r="G95" s="57"/>
      <c r="H95" s="57"/>
      <c r="I95" s="57"/>
      <c r="J95" s="59" t="str">
        <f aca="false">IF(A95="","",SUMIFS('بنود السندات'!$F$5:$F$3004,'بنود السندات'!$A$5:$A$3004,A95))</f>
        <v/>
      </c>
      <c r="K95" s="59" t="str">
        <f aca="false">IF(A95="","",SUMIFS('بنود السندات'!$G$5:$G$3004,'بنود السندات'!$A$5:$A$3004,A95))</f>
        <v/>
      </c>
      <c r="L95" s="59" t="str">
        <f aca="false">IF(A95="","",ROUND(J95-K95,2))</f>
        <v/>
      </c>
      <c r="M95" s="55" t="str">
        <f aca="false">IF(A95="","",COUNTIF('بنود السندات'!$A$5:$A$3004,A95))</f>
        <v/>
      </c>
      <c r="N95" s="60" t="str">
        <f aca="false">IF(A95="","",IF(M95=0,"بدون بنود ⚠",IF(L95=0,"متوازن ✔","غير متوازن ✘")))</f>
        <v/>
      </c>
      <c r="O95" s="61" t="str">
        <f aca="false">IF(A95="","","فقط "&amp;IF(INT(ROUND(MAX(J95,K95),2))=0,"صفر",MID(IF(INT(INT(ROUND(MAX(J95,K95),2))/1000000)&gt;0," و"&amp;INDEX(تفقيط!$D$2:$D$1001,INT(INT(ROUND(MAX(J95,K95),2))/1000000)+1),"")&amp;IF(INT(MOD(INT(ROUND(MAX(J95,K95),2)),1000000)/1000)&gt;0," و"&amp;INDEX(تفقيط!$C$2:$C$1001,INT(MOD(INT(ROUND(MAX(J95,K95),2)),1000000)/1000)+1),"")&amp;IF(MOD(INT(ROUND(MAX(J95,K95),2)),1000)&gt;0," و"&amp;INDEX(تفقيط!$B$2:$B$1001,MOD(INT(ROUND(MAX(J95,K95),2)),1000)+1),""),3,400))&amp;" "&amp;CUR&amp;IF(ROUND((ROUND(MAX(J95,K95),2)-INT(ROUND(MAX(J95,K95),2)))*100,0)&gt;0," و"&amp;INDEX(تفقيط!$E$2:$E$1001,ROUND((ROUND(MAX(J95,K95),2)-INT(ROUND(MAX(J95,K95),2)))*100,0)+1),"")&amp;" لا غير")</f>
        <v/>
      </c>
    </row>
    <row r="96" customFormat="false" ht="15" hidden="false" customHeight="false" outlineLevel="0" collapsed="false">
      <c r="A96" s="62" t="str">
        <f aca="false">IF(C96="","",START_NO+COUNT(C$5:C96)-1)</f>
        <v/>
      </c>
      <c r="B96" s="63" t="str">
        <f aca="false">IF(A96="","",PREFIX&amp;"-"&amp;TEXT(C96,"yyyy")&amp;"-"&amp;A96)</f>
        <v/>
      </c>
      <c r="C96" s="56"/>
      <c r="D96" s="57"/>
      <c r="E96" s="58"/>
      <c r="F96" s="58"/>
      <c r="G96" s="57"/>
      <c r="H96" s="57"/>
      <c r="I96" s="57"/>
      <c r="J96" s="64" t="str">
        <f aca="false">IF(A96="","",SUMIFS('بنود السندات'!$F$5:$F$3004,'بنود السندات'!$A$5:$A$3004,A96))</f>
        <v/>
      </c>
      <c r="K96" s="64" t="str">
        <f aca="false">IF(A96="","",SUMIFS('بنود السندات'!$G$5:$G$3004,'بنود السندات'!$A$5:$A$3004,A96))</f>
        <v/>
      </c>
      <c r="L96" s="64" t="str">
        <f aca="false">IF(A96="","",ROUND(J96-K96,2))</f>
        <v/>
      </c>
      <c r="M96" s="63" t="str">
        <f aca="false">IF(A96="","",COUNTIF('بنود السندات'!$A$5:$A$3004,A96))</f>
        <v/>
      </c>
      <c r="N96" s="65" t="str">
        <f aca="false">IF(A96="","",IF(M96=0,"بدون بنود ⚠",IF(L96=0,"متوازن ✔","غير متوازن ✘")))</f>
        <v/>
      </c>
      <c r="O96" s="66" t="str">
        <f aca="false">IF(A96="","","فقط "&amp;IF(INT(ROUND(MAX(J96,K96),2))=0,"صفر",MID(IF(INT(INT(ROUND(MAX(J96,K96),2))/1000000)&gt;0," و"&amp;INDEX(تفقيط!$D$2:$D$1001,INT(INT(ROUND(MAX(J96,K96),2))/1000000)+1),"")&amp;IF(INT(MOD(INT(ROUND(MAX(J96,K96),2)),1000000)/1000)&gt;0," و"&amp;INDEX(تفقيط!$C$2:$C$1001,INT(MOD(INT(ROUND(MAX(J96,K96),2)),1000000)/1000)+1),"")&amp;IF(MOD(INT(ROUND(MAX(J96,K96),2)),1000)&gt;0," و"&amp;INDEX(تفقيط!$B$2:$B$1001,MOD(INT(ROUND(MAX(J96,K96),2)),1000)+1),""),3,400))&amp;" "&amp;CUR&amp;IF(ROUND((ROUND(MAX(J96,K96),2)-INT(ROUND(MAX(J96,K96),2)))*100,0)&gt;0," و"&amp;INDEX(تفقيط!$E$2:$E$1001,ROUND((ROUND(MAX(J96,K96),2)-INT(ROUND(MAX(J96,K96),2)))*100,0)+1),"")&amp;" لا غير")</f>
        <v/>
      </c>
    </row>
    <row r="97" customFormat="false" ht="15" hidden="false" customHeight="false" outlineLevel="0" collapsed="false">
      <c r="A97" s="54" t="str">
        <f aca="false">IF(C97="","",START_NO+COUNT(C$5:C97)-1)</f>
        <v/>
      </c>
      <c r="B97" s="55" t="str">
        <f aca="false">IF(A97="","",PREFIX&amp;"-"&amp;TEXT(C97,"yyyy")&amp;"-"&amp;A97)</f>
        <v/>
      </c>
      <c r="C97" s="56"/>
      <c r="D97" s="57"/>
      <c r="E97" s="58"/>
      <c r="F97" s="58"/>
      <c r="G97" s="57"/>
      <c r="H97" s="57"/>
      <c r="I97" s="57"/>
      <c r="J97" s="59" t="str">
        <f aca="false">IF(A97="","",SUMIFS('بنود السندات'!$F$5:$F$3004,'بنود السندات'!$A$5:$A$3004,A97))</f>
        <v/>
      </c>
      <c r="K97" s="59" t="str">
        <f aca="false">IF(A97="","",SUMIFS('بنود السندات'!$G$5:$G$3004,'بنود السندات'!$A$5:$A$3004,A97))</f>
        <v/>
      </c>
      <c r="L97" s="59" t="str">
        <f aca="false">IF(A97="","",ROUND(J97-K97,2))</f>
        <v/>
      </c>
      <c r="M97" s="55" t="str">
        <f aca="false">IF(A97="","",COUNTIF('بنود السندات'!$A$5:$A$3004,A97))</f>
        <v/>
      </c>
      <c r="N97" s="60" t="str">
        <f aca="false">IF(A97="","",IF(M97=0,"بدون بنود ⚠",IF(L97=0,"متوازن ✔","غير متوازن ✘")))</f>
        <v/>
      </c>
      <c r="O97" s="61" t="str">
        <f aca="false">IF(A97="","","فقط "&amp;IF(INT(ROUND(MAX(J97,K97),2))=0,"صفر",MID(IF(INT(INT(ROUND(MAX(J97,K97),2))/1000000)&gt;0," و"&amp;INDEX(تفقيط!$D$2:$D$1001,INT(INT(ROUND(MAX(J97,K97),2))/1000000)+1),"")&amp;IF(INT(MOD(INT(ROUND(MAX(J97,K97),2)),1000000)/1000)&gt;0," و"&amp;INDEX(تفقيط!$C$2:$C$1001,INT(MOD(INT(ROUND(MAX(J97,K97),2)),1000000)/1000)+1),"")&amp;IF(MOD(INT(ROUND(MAX(J97,K97),2)),1000)&gt;0," و"&amp;INDEX(تفقيط!$B$2:$B$1001,MOD(INT(ROUND(MAX(J97,K97),2)),1000)+1),""),3,400))&amp;" "&amp;CUR&amp;IF(ROUND((ROUND(MAX(J97,K97),2)-INT(ROUND(MAX(J97,K97),2)))*100,0)&gt;0," و"&amp;INDEX(تفقيط!$E$2:$E$1001,ROUND((ROUND(MAX(J97,K97),2)-INT(ROUND(MAX(J97,K97),2)))*100,0)+1),"")&amp;" لا غير")</f>
        <v/>
      </c>
    </row>
    <row r="98" customFormat="false" ht="15" hidden="false" customHeight="false" outlineLevel="0" collapsed="false">
      <c r="A98" s="62" t="str">
        <f aca="false">IF(C98="","",START_NO+COUNT(C$5:C98)-1)</f>
        <v/>
      </c>
      <c r="B98" s="63" t="str">
        <f aca="false">IF(A98="","",PREFIX&amp;"-"&amp;TEXT(C98,"yyyy")&amp;"-"&amp;A98)</f>
        <v/>
      </c>
      <c r="C98" s="56"/>
      <c r="D98" s="57"/>
      <c r="E98" s="58"/>
      <c r="F98" s="58"/>
      <c r="G98" s="57"/>
      <c r="H98" s="57"/>
      <c r="I98" s="57"/>
      <c r="J98" s="64" t="str">
        <f aca="false">IF(A98="","",SUMIFS('بنود السندات'!$F$5:$F$3004,'بنود السندات'!$A$5:$A$3004,A98))</f>
        <v/>
      </c>
      <c r="K98" s="64" t="str">
        <f aca="false">IF(A98="","",SUMIFS('بنود السندات'!$G$5:$G$3004,'بنود السندات'!$A$5:$A$3004,A98))</f>
        <v/>
      </c>
      <c r="L98" s="64" t="str">
        <f aca="false">IF(A98="","",ROUND(J98-K98,2))</f>
        <v/>
      </c>
      <c r="M98" s="63" t="str">
        <f aca="false">IF(A98="","",COUNTIF('بنود السندات'!$A$5:$A$3004,A98))</f>
        <v/>
      </c>
      <c r="N98" s="65" t="str">
        <f aca="false">IF(A98="","",IF(M98=0,"بدون بنود ⚠",IF(L98=0,"متوازن ✔","غير متوازن ✘")))</f>
        <v/>
      </c>
      <c r="O98" s="66" t="str">
        <f aca="false">IF(A98="","","فقط "&amp;IF(INT(ROUND(MAX(J98,K98),2))=0,"صفر",MID(IF(INT(INT(ROUND(MAX(J98,K98),2))/1000000)&gt;0," و"&amp;INDEX(تفقيط!$D$2:$D$1001,INT(INT(ROUND(MAX(J98,K98),2))/1000000)+1),"")&amp;IF(INT(MOD(INT(ROUND(MAX(J98,K98),2)),1000000)/1000)&gt;0," و"&amp;INDEX(تفقيط!$C$2:$C$1001,INT(MOD(INT(ROUND(MAX(J98,K98),2)),1000000)/1000)+1),"")&amp;IF(MOD(INT(ROUND(MAX(J98,K98),2)),1000)&gt;0," و"&amp;INDEX(تفقيط!$B$2:$B$1001,MOD(INT(ROUND(MAX(J98,K98),2)),1000)+1),""),3,400))&amp;" "&amp;CUR&amp;IF(ROUND((ROUND(MAX(J98,K98),2)-INT(ROUND(MAX(J98,K98),2)))*100,0)&gt;0," و"&amp;INDEX(تفقيط!$E$2:$E$1001,ROUND((ROUND(MAX(J98,K98),2)-INT(ROUND(MAX(J98,K98),2)))*100,0)+1),"")&amp;" لا غير")</f>
        <v/>
      </c>
    </row>
    <row r="99" customFormat="false" ht="15" hidden="false" customHeight="false" outlineLevel="0" collapsed="false">
      <c r="A99" s="54" t="str">
        <f aca="false">IF(C99="","",START_NO+COUNT(C$5:C99)-1)</f>
        <v/>
      </c>
      <c r="B99" s="55" t="str">
        <f aca="false">IF(A99="","",PREFIX&amp;"-"&amp;TEXT(C99,"yyyy")&amp;"-"&amp;A99)</f>
        <v/>
      </c>
      <c r="C99" s="56"/>
      <c r="D99" s="57"/>
      <c r="E99" s="58"/>
      <c r="F99" s="58"/>
      <c r="G99" s="57"/>
      <c r="H99" s="57"/>
      <c r="I99" s="57"/>
      <c r="J99" s="59" t="str">
        <f aca="false">IF(A99="","",SUMIFS('بنود السندات'!$F$5:$F$3004,'بنود السندات'!$A$5:$A$3004,A99))</f>
        <v/>
      </c>
      <c r="K99" s="59" t="str">
        <f aca="false">IF(A99="","",SUMIFS('بنود السندات'!$G$5:$G$3004,'بنود السندات'!$A$5:$A$3004,A99))</f>
        <v/>
      </c>
      <c r="L99" s="59" t="str">
        <f aca="false">IF(A99="","",ROUND(J99-K99,2))</f>
        <v/>
      </c>
      <c r="M99" s="55" t="str">
        <f aca="false">IF(A99="","",COUNTIF('بنود السندات'!$A$5:$A$3004,A99))</f>
        <v/>
      </c>
      <c r="N99" s="60" t="str">
        <f aca="false">IF(A99="","",IF(M99=0,"بدون بنود ⚠",IF(L99=0,"متوازن ✔","غير متوازن ✘")))</f>
        <v/>
      </c>
      <c r="O99" s="61" t="str">
        <f aca="false">IF(A99="","","فقط "&amp;IF(INT(ROUND(MAX(J99,K99),2))=0,"صفر",MID(IF(INT(INT(ROUND(MAX(J99,K99),2))/1000000)&gt;0," و"&amp;INDEX(تفقيط!$D$2:$D$1001,INT(INT(ROUND(MAX(J99,K99),2))/1000000)+1),"")&amp;IF(INT(MOD(INT(ROUND(MAX(J99,K99),2)),1000000)/1000)&gt;0," و"&amp;INDEX(تفقيط!$C$2:$C$1001,INT(MOD(INT(ROUND(MAX(J99,K99),2)),1000000)/1000)+1),"")&amp;IF(MOD(INT(ROUND(MAX(J99,K99),2)),1000)&gt;0," و"&amp;INDEX(تفقيط!$B$2:$B$1001,MOD(INT(ROUND(MAX(J99,K99),2)),1000)+1),""),3,400))&amp;" "&amp;CUR&amp;IF(ROUND((ROUND(MAX(J99,K99),2)-INT(ROUND(MAX(J99,K99),2)))*100,0)&gt;0," و"&amp;INDEX(تفقيط!$E$2:$E$1001,ROUND((ROUND(MAX(J99,K99),2)-INT(ROUND(MAX(J99,K99),2)))*100,0)+1),"")&amp;" لا غير")</f>
        <v/>
      </c>
    </row>
    <row r="100" customFormat="false" ht="15" hidden="false" customHeight="false" outlineLevel="0" collapsed="false">
      <c r="A100" s="62" t="str">
        <f aca="false">IF(C100="","",START_NO+COUNT(C$5:C100)-1)</f>
        <v/>
      </c>
      <c r="B100" s="63" t="str">
        <f aca="false">IF(A100="","",PREFIX&amp;"-"&amp;TEXT(C100,"yyyy")&amp;"-"&amp;A100)</f>
        <v/>
      </c>
      <c r="C100" s="56"/>
      <c r="D100" s="57"/>
      <c r="E100" s="58"/>
      <c r="F100" s="58"/>
      <c r="G100" s="57"/>
      <c r="H100" s="57"/>
      <c r="I100" s="57"/>
      <c r="J100" s="64" t="str">
        <f aca="false">IF(A100="","",SUMIFS('بنود السندات'!$F$5:$F$3004,'بنود السندات'!$A$5:$A$3004,A100))</f>
        <v/>
      </c>
      <c r="K100" s="64" t="str">
        <f aca="false">IF(A100="","",SUMIFS('بنود السندات'!$G$5:$G$3004,'بنود السندات'!$A$5:$A$3004,A100))</f>
        <v/>
      </c>
      <c r="L100" s="64" t="str">
        <f aca="false">IF(A100="","",ROUND(J100-K100,2))</f>
        <v/>
      </c>
      <c r="M100" s="63" t="str">
        <f aca="false">IF(A100="","",COUNTIF('بنود السندات'!$A$5:$A$3004,A100))</f>
        <v/>
      </c>
      <c r="N100" s="65" t="str">
        <f aca="false">IF(A100="","",IF(M100=0,"بدون بنود ⚠",IF(L100=0,"متوازن ✔","غير متوازن ✘")))</f>
        <v/>
      </c>
      <c r="O100" s="66" t="str">
        <f aca="false">IF(A100="","","فقط "&amp;IF(INT(ROUND(MAX(J100,K100),2))=0,"صفر",MID(IF(INT(INT(ROUND(MAX(J100,K100),2))/1000000)&gt;0," و"&amp;INDEX(تفقيط!$D$2:$D$1001,INT(INT(ROUND(MAX(J100,K100),2))/1000000)+1),"")&amp;IF(INT(MOD(INT(ROUND(MAX(J100,K100),2)),1000000)/1000)&gt;0," و"&amp;INDEX(تفقيط!$C$2:$C$1001,INT(MOD(INT(ROUND(MAX(J100,K100),2)),1000000)/1000)+1),"")&amp;IF(MOD(INT(ROUND(MAX(J100,K100),2)),1000)&gt;0," و"&amp;INDEX(تفقيط!$B$2:$B$1001,MOD(INT(ROUND(MAX(J100,K100),2)),1000)+1),""),3,400))&amp;" "&amp;CUR&amp;IF(ROUND((ROUND(MAX(J100,K100),2)-INT(ROUND(MAX(J100,K100),2)))*100,0)&gt;0," و"&amp;INDEX(تفقيط!$E$2:$E$1001,ROUND((ROUND(MAX(J100,K100),2)-INT(ROUND(MAX(J100,K100),2)))*100,0)+1),"")&amp;" لا غير")</f>
        <v/>
      </c>
    </row>
    <row r="101" customFormat="false" ht="15" hidden="false" customHeight="false" outlineLevel="0" collapsed="false">
      <c r="A101" s="54" t="str">
        <f aca="false">IF(C101="","",START_NO+COUNT(C$5:C101)-1)</f>
        <v/>
      </c>
      <c r="B101" s="55" t="str">
        <f aca="false">IF(A101="","",PREFIX&amp;"-"&amp;TEXT(C101,"yyyy")&amp;"-"&amp;A101)</f>
        <v/>
      </c>
      <c r="C101" s="56"/>
      <c r="D101" s="57"/>
      <c r="E101" s="58"/>
      <c r="F101" s="58"/>
      <c r="G101" s="57"/>
      <c r="H101" s="57"/>
      <c r="I101" s="57"/>
      <c r="J101" s="59" t="str">
        <f aca="false">IF(A101="","",SUMIFS('بنود السندات'!$F$5:$F$3004,'بنود السندات'!$A$5:$A$3004,A101))</f>
        <v/>
      </c>
      <c r="K101" s="59" t="str">
        <f aca="false">IF(A101="","",SUMIFS('بنود السندات'!$G$5:$G$3004,'بنود السندات'!$A$5:$A$3004,A101))</f>
        <v/>
      </c>
      <c r="L101" s="59" t="str">
        <f aca="false">IF(A101="","",ROUND(J101-K101,2))</f>
        <v/>
      </c>
      <c r="M101" s="55" t="str">
        <f aca="false">IF(A101="","",COUNTIF('بنود السندات'!$A$5:$A$3004,A101))</f>
        <v/>
      </c>
      <c r="N101" s="60" t="str">
        <f aca="false">IF(A101="","",IF(M101=0,"بدون بنود ⚠",IF(L101=0,"متوازن ✔","غير متوازن ✘")))</f>
        <v/>
      </c>
      <c r="O101" s="61" t="str">
        <f aca="false">IF(A101="","","فقط "&amp;IF(INT(ROUND(MAX(J101,K101),2))=0,"صفر",MID(IF(INT(INT(ROUND(MAX(J101,K101),2))/1000000)&gt;0," و"&amp;INDEX(تفقيط!$D$2:$D$1001,INT(INT(ROUND(MAX(J101,K101),2))/1000000)+1),"")&amp;IF(INT(MOD(INT(ROUND(MAX(J101,K101),2)),1000000)/1000)&gt;0," و"&amp;INDEX(تفقيط!$C$2:$C$1001,INT(MOD(INT(ROUND(MAX(J101,K101),2)),1000000)/1000)+1),"")&amp;IF(MOD(INT(ROUND(MAX(J101,K101),2)),1000)&gt;0," و"&amp;INDEX(تفقيط!$B$2:$B$1001,MOD(INT(ROUND(MAX(J101,K101),2)),1000)+1),""),3,400))&amp;" "&amp;CUR&amp;IF(ROUND((ROUND(MAX(J101,K101),2)-INT(ROUND(MAX(J101,K101),2)))*100,0)&gt;0," و"&amp;INDEX(تفقيط!$E$2:$E$1001,ROUND((ROUND(MAX(J101,K101),2)-INT(ROUND(MAX(J101,K101),2)))*100,0)+1),"")&amp;" لا غير")</f>
        <v/>
      </c>
    </row>
    <row r="102" customFormat="false" ht="15" hidden="false" customHeight="false" outlineLevel="0" collapsed="false">
      <c r="A102" s="62" t="str">
        <f aca="false">IF(C102="","",START_NO+COUNT(C$5:C102)-1)</f>
        <v/>
      </c>
      <c r="B102" s="63" t="str">
        <f aca="false">IF(A102="","",PREFIX&amp;"-"&amp;TEXT(C102,"yyyy")&amp;"-"&amp;A102)</f>
        <v/>
      </c>
      <c r="C102" s="56"/>
      <c r="D102" s="57"/>
      <c r="E102" s="58"/>
      <c r="F102" s="58"/>
      <c r="G102" s="57"/>
      <c r="H102" s="57"/>
      <c r="I102" s="57"/>
      <c r="J102" s="64" t="str">
        <f aca="false">IF(A102="","",SUMIFS('بنود السندات'!$F$5:$F$3004,'بنود السندات'!$A$5:$A$3004,A102))</f>
        <v/>
      </c>
      <c r="K102" s="64" t="str">
        <f aca="false">IF(A102="","",SUMIFS('بنود السندات'!$G$5:$G$3004,'بنود السندات'!$A$5:$A$3004,A102))</f>
        <v/>
      </c>
      <c r="L102" s="64" t="str">
        <f aca="false">IF(A102="","",ROUND(J102-K102,2))</f>
        <v/>
      </c>
      <c r="M102" s="63" t="str">
        <f aca="false">IF(A102="","",COUNTIF('بنود السندات'!$A$5:$A$3004,A102))</f>
        <v/>
      </c>
      <c r="N102" s="65" t="str">
        <f aca="false">IF(A102="","",IF(M102=0,"بدون بنود ⚠",IF(L102=0,"متوازن ✔","غير متوازن ✘")))</f>
        <v/>
      </c>
      <c r="O102" s="66" t="str">
        <f aca="false">IF(A102="","","فقط "&amp;IF(INT(ROUND(MAX(J102,K102),2))=0,"صفر",MID(IF(INT(INT(ROUND(MAX(J102,K102),2))/1000000)&gt;0," و"&amp;INDEX(تفقيط!$D$2:$D$1001,INT(INT(ROUND(MAX(J102,K102),2))/1000000)+1),"")&amp;IF(INT(MOD(INT(ROUND(MAX(J102,K102),2)),1000000)/1000)&gt;0," و"&amp;INDEX(تفقيط!$C$2:$C$1001,INT(MOD(INT(ROUND(MAX(J102,K102),2)),1000000)/1000)+1),"")&amp;IF(MOD(INT(ROUND(MAX(J102,K102),2)),1000)&gt;0," و"&amp;INDEX(تفقيط!$B$2:$B$1001,MOD(INT(ROUND(MAX(J102,K102),2)),1000)+1),""),3,400))&amp;" "&amp;CUR&amp;IF(ROUND((ROUND(MAX(J102,K102),2)-INT(ROUND(MAX(J102,K102),2)))*100,0)&gt;0," و"&amp;INDEX(تفقيط!$E$2:$E$1001,ROUND((ROUND(MAX(J102,K102),2)-INT(ROUND(MAX(J102,K102),2)))*100,0)+1),"")&amp;" لا غير")</f>
        <v/>
      </c>
    </row>
    <row r="103" customFormat="false" ht="15" hidden="false" customHeight="false" outlineLevel="0" collapsed="false">
      <c r="A103" s="54" t="str">
        <f aca="false">IF(C103="","",START_NO+COUNT(C$5:C103)-1)</f>
        <v/>
      </c>
      <c r="B103" s="55" t="str">
        <f aca="false">IF(A103="","",PREFIX&amp;"-"&amp;TEXT(C103,"yyyy")&amp;"-"&amp;A103)</f>
        <v/>
      </c>
      <c r="C103" s="56"/>
      <c r="D103" s="57"/>
      <c r="E103" s="58"/>
      <c r="F103" s="58"/>
      <c r="G103" s="57"/>
      <c r="H103" s="57"/>
      <c r="I103" s="57"/>
      <c r="J103" s="59" t="str">
        <f aca="false">IF(A103="","",SUMIFS('بنود السندات'!$F$5:$F$3004,'بنود السندات'!$A$5:$A$3004,A103))</f>
        <v/>
      </c>
      <c r="K103" s="59" t="str">
        <f aca="false">IF(A103="","",SUMIFS('بنود السندات'!$G$5:$G$3004,'بنود السندات'!$A$5:$A$3004,A103))</f>
        <v/>
      </c>
      <c r="L103" s="59" t="str">
        <f aca="false">IF(A103="","",ROUND(J103-K103,2))</f>
        <v/>
      </c>
      <c r="M103" s="55" t="str">
        <f aca="false">IF(A103="","",COUNTIF('بنود السندات'!$A$5:$A$3004,A103))</f>
        <v/>
      </c>
      <c r="N103" s="60" t="str">
        <f aca="false">IF(A103="","",IF(M103=0,"بدون بنود ⚠",IF(L103=0,"متوازن ✔","غير متوازن ✘")))</f>
        <v/>
      </c>
      <c r="O103" s="61" t="str">
        <f aca="false">IF(A103="","","فقط "&amp;IF(INT(ROUND(MAX(J103,K103),2))=0,"صفر",MID(IF(INT(INT(ROUND(MAX(J103,K103),2))/1000000)&gt;0," و"&amp;INDEX(تفقيط!$D$2:$D$1001,INT(INT(ROUND(MAX(J103,K103),2))/1000000)+1),"")&amp;IF(INT(MOD(INT(ROUND(MAX(J103,K103),2)),1000000)/1000)&gt;0," و"&amp;INDEX(تفقيط!$C$2:$C$1001,INT(MOD(INT(ROUND(MAX(J103,K103),2)),1000000)/1000)+1),"")&amp;IF(MOD(INT(ROUND(MAX(J103,K103),2)),1000)&gt;0," و"&amp;INDEX(تفقيط!$B$2:$B$1001,MOD(INT(ROUND(MAX(J103,K103),2)),1000)+1),""),3,400))&amp;" "&amp;CUR&amp;IF(ROUND((ROUND(MAX(J103,K103),2)-INT(ROUND(MAX(J103,K103),2)))*100,0)&gt;0," و"&amp;INDEX(تفقيط!$E$2:$E$1001,ROUND((ROUND(MAX(J103,K103),2)-INT(ROUND(MAX(J103,K103),2)))*100,0)+1),"")&amp;" لا غير")</f>
        <v/>
      </c>
    </row>
    <row r="104" customFormat="false" ht="15" hidden="false" customHeight="false" outlineLevel="0" collapsed="false">
      <c r="A104" s="62" t="str">
        <f aca="false">IF(C104="","",START_NO+COUNT(C$5:C104)-1)</f>
        <v/>
      </c>
      <c r="B104" s="63" t="str">
        <f aca="false">IF(A104="","",PREFIX&amp;"-"&amp;TEXT(C104,"yyyy")&amp;"-"&amp;A104)</f>
        <v/>
      </c>
      <c r="C104" s="56"/>
      <c r="D104" s="57"/>
      <c r="E104" s="58"/>
      <c r="F104" s="58"/>
      <c r="G104" s="57"/>
      <c r="H104" s="57"/>
      <c r="I104" s="57"/>
      <c r="J104" s="64" t="str">
        <f aca="false">IF(A104="","",SUMIFS('بنود السندات'!$F$5:$F$3004,'بنود السندات'!$A$5:$A$3004,A104))</f>
        <v/>
      </c>
      <c r="K104" s="64" t="str">
        <f aca="false">IF(A104="","",SUMIFS('بنود السندات'!$G$5:$G$3004,'بنود السندات'!$A$5:$A$3004,A104))</f>
        <v/>
      </c>
      <c r="L104" s="64" t="str">
        <f aca="false">IF(A104="","",ROUND(J104-K104,2))</f>
        <v/>
      </c>
      <c r="M104" s="63" t="str">
        <f aca="false">IF(A104="","",COUNTIF('بنود السندات'!$A$5:$A$3004,A104))</f>
        <v/>
      </c>
      <c r="N104" s="65" t="str">
        <f aca="false">IF(A104="","",IF(M104=0,"بدون بنود ⚠",IF(L104=0,"متوازن ✔","غير متوازن ✘")))</f>
        <v/>
      </c>
      <c r="O104" s="66" t="str">
        <f aca="false">IF(A104="","","فقط "&amp;IF(INT(ROUND(MAX(J104,K104),2))=0,"صفر",MID(IF(INT(INT(ROUND(MAX(J104,K104),2))/1000000)&gt;0," و"&amp;INDEX(تفقيط!$D$2:$D$1001,INT(INT(ROUND(MAX(J104,K104),2))/1000000)+1),"")&amp;IF(INT(MOD(INT(ROUND(MAX(J104,K104),2)),1000000)/1000)&gt;0," و"&amp;INDEX(تفقيط!$C$2:$C$1001,INT(MOD(INT(ROUND(MAX(J104,K104),2)),1000000)/1000)+1),"")&amp;IF(MOD(INT(ROUND(MAX(J104,K104),2)),1000)&gt;0," و"&amp;INDEX(تفقيط!$B$2:$B$1001,MOD(INT(ROUND(MAX(J104,K104),2)),1000)+1),""),3,400))&amp;" "&amp;CUR&amp;IF(ROUND((ROUND(MAX(J104,K104),2)-INT(ROUND(MAX(J104,K104),2)))*100,0)&gt;0," و"&amp;INDEX(تفقيط!$E$2:$E$1001,ROUND((ROUND(MAX(J104,K104),2)-INT(ROUND(MAX(J104,K104),2)))*100,0)+1),"")&amp;" لا غير")</f>
        <v/>
      </c>
    </row>
    <row r="105" customFormat="false" ht="15" hidden="false" customHeight="false" outlineLevel="0" collapsed="false">
      <c r="A105" s="54" t="str">
        <f aca="false">IF(C105="","",START_NO+COUNT(C$5:C105)-1)</f>
        <v/>
      </c>
      <c r="B105" s="55" t="str">
        <f aca="false">IF(A105="","",PREFIX&amp;"-"&amp;TEXT(C105,"yyyy")&amp;"-"&amp;A105)</f>
        <v/>
      </c>
      <c r="C105" s="56"/>
      <c r="D105" s="57"/>
      <c r="E105" s="58"/>
      <c r="F105" s="58"/>
      <c r="G105" s="57"/>
      <c r="H105" s="57"/>
      <c r="I105" s="57"/>
      <c r="J105" s="59" t="str">
        <f aca="false">IF(A105="","",SUMIFS('بنود السندات'!$F$5:$F$3004,'بنود السندات'!$A$5:$A$3004,A105))</f>
        <v/>
      </c>
      <c r="K105" s="59" t="str">
        <f aca="false">IF(A105="","",SUMIFS('بنود السندات'!$G$5:$G$3004,'بنود السندات'!$A$5:$A$3004,A105))</f>
        <v/>
      </c>
      <c r="L105" s="59" t="str">
        <f aca="false">IF(A105="","",ROUND(J105-K105,2))</f>
        <v/>
      </c>
      <c r="M105" s="55" t="str">
        <f aca="false">IF(A105="","",COUNTIF('بنود السندات'!$A$5:$A$3004,A105))</f>
        <v/>
      </c>
      <c r="N105" s="60" t="str">
        <f aca="false">IF(A105="","",IF(M105=0,"بدون بنود ⚠",IF(L105=0,"متوازن ✔","غير متوازن ✘")))</f>
        <v/>
      </c>
      <c r="O105" s="61" t="str">
        <f aca="false">IF(A105="","","فقط "&amp;IF(INT(ROUND(MAX(J105,K105),2))=0,"صفر",MID(IF(INT(INT(ROUND(MAX(J105,K105),2))/1000000)&gt;0," و"&amp;INDEX(تفقيط!$D$2:$D$1001,INT(INT(ROUND(MAX(J105,K105),2))/1000000)+1),"")&amp;IF(INT(MOD(INT(ROUND(MAX(J105,K105),2)),1000000)/1000)&gt;0," و"&amp;INDEX(تفقيط!$C$2:$C$1001,INT(MOD(INT(ROUND(MAX(J105,K105),2)),1000000)/1000)+1),"")&amp;IF(MOD(INT(ROUND(MAX(J105,K105),2)),1000)&gt;0," و"&amp;INDEX(تفقيط!$B$2:$B$1001,MOD(INT(ROUND(MAX(J105,K105),2)),1000)+1),""),3,400))&amp;" "&amp;CUR&amp;IF(ROUND((ROUND(MAX(J105,K105),2)-INT(ROUND(MAX(J105,K105),2)))*100,0)&gt;0," و"&amp;INDEX(تفقيط!$E$2:$E$1001,ROUND((ROUND(MAX(J105,K105),2)-INT(ROUND(MAX(J105,K105),2)))*100,0)+1),"")&amp;" لا غير")</f>
        <v/>
      </c>
    </row>
    <row r="106" customFormat="false" ht="15" hidden="false" customHeight="false" outlineLevel="0" collapsed="false">
      <c r="A106" s="62" t="str">
        <f aca="false">IF(C106="","",START_NO+COUNT(C$5:C106)-1)</f>
        <v/>
      </c>
      <c r="B106" s="63" t="str">
        <f aca="false">IF(A106="","",PREFIX&amp;"-"&amp;TEXT(C106,"yyyy")&amp;"-"&amp;A106)</f>
        <v/>
      </c>
      <c r="C106" s="56"/>
      <c r="D106" s="57"/>
      <c r="E106" s="58"/>
      <c r="F106" s="58"/>
      <c r="G106" s="57"/>
      <c r="H106" s="57"/>
      <c r="I106" s="57"/>
      <c r="J106" s="64" t="str">
        <f aca="false">IF(A106="","",SUMIFS('بنود السندات'!$F$5:$F$3004,'بنود السندات'!$A$5:$A$3004,A106))</f>
        <v/>
      </c>
      <c r="K106" s="64" t="str">
        <f aca="false">IF(A106="","",SUMIFS('بنود السندات'!$G$5:$G$3004,'بنود السندات'!$A$5:$A$3004,A106))</f>
        <v/>
      </c>
      <c r="L106" s="64" t="str">
        <f aca="false">IF(A106="","",ROUND(J106-K106,2))</f>
        <v/>
      </c>
      <c r="M106" s="63" t="str">
        <f aca="false">IF(A106="","",COUNTIF('بنود السندات'!$A$5:$A$3004,A106))</f>
        <v/>
      </c>
      <c r="N106" s="65" t="str">
        <f aca="false">IF(A106="","",IF(M106=0,"بدون بنود ⚠",IF(L106=0,"متوازن ✔","غير متوازن ✘")))</f>
        <v/>
      </c>
      <c r="O106" s="66" t="str">
        <f aca="false">IF(A106="","","فقط "&amp;IF(INT(ROUND(MAX(J106,K106),2))=0,"صفر",MID(IF(INT(INT(ROUND(MAX(J106,K106),2))/1000000)&gt;0," و"&amp;INDEX(تفقيط!$D$2:$D$1001,INT(INT(ROUND(MAX(J106,K106),2))/1000000)+1),"")&amp;IF(INT(MOD(INT(ROUND(MAX(J106,K106),2)),1000000)/1000)&gt;0," و"&amp;INDEX(تفقيط!$C$2:$C$1001,INT(MOD(INT(ROUND(MAX(J106,K106),2)),1000000)/1000)+1),"")&amp;IF(MOD(INT(ROUND(MAX(J106,K106),2)),1000)&gt;0," و"&amp;INDEX(تفقيط!$B$2:$B$1001,MOD(INT(ROUND(MAX(J106,K106),2)),1000)+1),""),3,400))&amp;" "&amp;CUR&amp;IF(ROUND((ROUND(MAX(J106,K106),2)-INT(ROUND(MAX(J106,K106),2)))*100,0)&gt;0," و"&amp;INDEX(تفقيط!$E$2:$E$1001,ROUND((ROUND(MAX(J106,K106),2)-INT(ROUND(MAX(J106,K106),2)))*100,0)+1),"")&amp;" لا غير")</f>
        <v/>
      </c>
    </row>
    <row r="107" customFormat="false" ht="15" hidden="false" customHeight="false" outlineLevel="0" collapsed="false">
      <c r="A107" s="54" t="str">
        <f aca="false">IF(C107="","",START_NO+COUNT(C$5:C107)-1)</f>
        <v/>
      </c>
      <c r="B107" s="55" t="str">
        <f aca="false">IF(A107="","",PREFIX&amp;"-"&amp;TEXT(C107,"yyyy")&amp;"-"&amp;A107)</f>
        <v/>
      </c>
      <c r="C107" s="56"/>
      <c r="D107" s="57"/>
      <c r="E107" s="58"/>
      <c r="F107" s="58"/>
      <c r="G107" s="57"/>
      <c r="H107" s="57"/>
      <c r="I107" s="57"/>
      <c r="J107" s="59" t="str">
        <f aca="false">IF(A107="","",SUMIFS('بنود السندات'!$F$5:$F$3004,'بنود السندات'!$A$5:$A$3004,A107))</f>
        <v/>
      </c>
      <c r="K107" s="59" t="str">
        <f aca="false">IF(A107="","",SUMIFS('بنود السندات'!$G$5:$G$3004,'بنود السندات'!$A$5:$A$3004,A107))</f>
        <v/>
      </c>
      <c r="L107" s="59" t="str">
        <f aca="false">IF(A107="","",ROUND(J107-K107,2))</f>
        <v/>
      </c>
      <c r="M107" s="55" t="str">
        <f aca="false">IF(A107="","",COUNTIF('بنود السندات'!$A$5:$A$3004,A107))</f>
        <v/>
      </c>
      <c r="N107" s="60" t="str">
        <f aca="false">IF(A107="","",IF(M107=0,"بدون بنود ⚠",IF(L107=0,"متوازن ✔","غير متوازن ✘")))</f>
        <v/>
      </c>
      <c r="O107" s="61" t="str">
        <f aca="false">IF(A107="","","فقط "&amp;IF(INT(ROUND(MAX(J107,K107),2))=0,"صفر",MID(IF(INT(INT(ROUND(MAX(J107,K107),2))/1000000)&gt;0," و"&amp;INDEX(تفقيط!$D$2:$D$1001,INT(INT(ROUND(MAX(J107,K107),2))/1000000)+1),"")&amp;IF(INT(MOD(INT(ROUND(MAX(J107,K107),2)),1000000)/1000)&gt;0," و"&amp;INDEX(تفقيط!$C$2:$C$1001,INT(MOD(INT(ROUND(MAX(J107,K107),2)),1000000)/1000)+1),"")&amp;IF(MOD(INT(ROUND(MAX(J107,K107),2)),1000)&gt;0," و"&amp;INDEX(تفقيط!$B$2:$B$1001,MOD(INT(ROUND(MAX(J107,K107),2)),1000)+1),""),3,400))&amp;" "&amp;CUR&amp;IF(ROUND((ROUND(MAX(J107,K107),2)-INT(ROUND(MAX(J107,K107),2)))*100,0)&gt;0," و"&amp;INDEX(تفقيط!$E$2:$E$1001,ROUND((ROUND(MAX(J107,K107),2)-INT(ROUND(MAX(J107,K107),2)))*100,0)+1),"")&amp;" لا غير")</f>
        <v/>
      </c>
    </row>
    <row r="108" customFormat="false" ht="15" hidden="false" customHeight="false" outlineLevel="0" collapsed="false">
      <c r="A108" s="62" t="str">
        <f aca="false">IF(C108="","",START_NO+COUNT(C$5:C108)-1)</f>
        <v/>
      </c>
      <c r="B108" s="63" t="str">
        <f aca="false">IF(A108="","",PREFIX&amp;"-"&amp;TEXT(C108,"yyyy")&amp;"-"&amp;A108)</f>
        <v/>
      </c>
      <c r="C108" s="56"/>
      <c r="D108" s="57"/>
      <c r="E108" s="58"/>
      <c r="F108" s="58"/>
      <c r="G108" s="57"/>
      <c r="H108" s="57"/>
      <c r="I108" s="57"/>
      <c r="J108" s="64" t="str">
        <f aca="false">IF(A108="","",SUMIFS('بنود السندات'!$F$5:$F$3004,'بنود السندات'!$A$5:$A$3004,A108))</f>
        <v/>
      </c>
      <c r="K108" s="64" t="str">
        <f aca="false">IF(A108="","",SUMIFS('بنود السندات'!$G$5:$G$3004,'بنود السندات'!$A$5:$A$3004,A108))</f>
        <v/>
      </c>
      <c r="L108" s="64" t="str">
        <f aca="false">IF(A108="","",ROUND(J108-K108,2))</f>
        <v/>
      </c>
      <c r="M108" s="63" t="str">
        <f aca="false">IF(A108="","",COUNTIF('بنود السندات'!$A$5:$A$3004,A108))</f>
        <v/>
      </c>
      <c r="N108" s="65" t="str">
        <f aca="false">IF(A108="","",IF(M108=0,"بدون بنود ⚠",IF(L108=0,"متوازن ✔","غير متوازن ✘")))</f>
        <v/>
      </c>
      <c r="O108" s="66" t="str">
        <f aca="false">IF(A108="","","فقط "&amp;IF(INT(ROUND(MAX(J108,K108),2))=0,"صفر",MID(IF(INT(INT(ROUND(MAX(J108,K108),2))/1000000)&gt;0," و"&amp;INDEX(تفقيط!$D$2:$D$1001,INT(INT(ROUND(MAX(J108,K108),2))/1000000)+1),"")&amp;IF(INT(MOD(INT(ROUND(MAX(J108,K108),2)),1000000)/1000)&gt;0," و"&amp;INDEX(تفقيط!$C$2:$C$1001,INT(MOD(INT(ROUND(MAX(J108,K108),2)),1000000)/1000)+1),"")&amp;IF(MOD(INT(ROUND(MAX(J108,K108),2)),1000)&gt;0," و"&amp;INDEX(تفقيط!$B$2:$B$1001,MOD(INT(ROUND(MAX(J108,K108),2)),1000)+1),""),3,400))&amp;" "&amp;CUR&amp;IF(ROUND((ROUND(MAX(J108,K108),2)-INT(ROUND(MAX(J108,K108),2)))*100,0)&gt;0," و"&amp;INDEX(تفقيط!$E$2:$E$1001,ROUND((ROUND(MAX(J108,K108),2)-INT(ROUND(MAX(J108,K108),2)))*100,0)+1),"")&amp;" لا غير")</f>
        <v/>
      </c>
    </row>
    <row r="109" customFormat="false" ht="15" hidden="false" customHeight="false" outlineLevel="0" collapsed="false">
      <c r="A109" s="54" t="str">
        <f aca="false">IF(C109="","",START_NO+COUNT(C$5:C109)-1)</f>
        <v/>
      </c>
      <c r="B109" s="55" t="str">
        <f aca="false">IF(A109="","",PREFIX&amp;"-"&amp;TEXT(C109,"yyyy")&amp;"-"&amp;A109)</f>
        <v/>
      </c>
      <c r="C109" s="56"/>
      <c r="D109" s="57"/>
      <c r="E109" s="58"/>
      <c r="F109" s="58"/>
      <c r="G109" s="57"/>
      <c r="H109" s="57"/>
      <c r="I109" s="57"/>
      <c r="J109" s="59" t="str">
        <f aca="false">IF(A109="","",SUMIFS('بنود السندات'!$F$5:$F$3004,'بنود السندات'!$A$5:$A$3004,A109))</f>
        <v/>
      </c>
      <c r="K109" s="59" t="str">
        <f aca="false">IF(A109="","",SUMIFS('بنود السندات'!$G$5:$G$3004,'بنود السندات'!$A$5:$A$3004,A109))</f>
        <v/>
      </c>
      <c r="L109" s="59" t="str">
        <f aca="false">IF(A109="","",ROUND(J109-K109,2))</f>
        <v/>
      </c>
      <c r="M109" s="55" t="str">
        <f aca="false">IF(A109="","",COUNTIF('بنود السندات'!$A$5:$A$3004,A109))</f>
        <v/>
      </c>
      <c r="N109" s="60" t="str">
        <f aca="false">IF(A109="","",IF(M109=0,"بدون بنود ⚠",IF(L109=0,"متوازن ✔","غير متوازن ✘")))</f>
        <v/>
      </c>
      <c r="O109" s="61" t="str">
        <f aca="false">IF(A109="","","فقط "&amp;IF(INT(ROUND(MAX(J109,K109),2))=0,"صفر",MID(IF(INT(INT(ROUND(MAX(J109,K109),2))/1000000)&gt;0," و"&amp;INDEX(تفقيط!$D$2:$D$1001,INT(INT(ROUND(MAX(J109,K109),2))/1000000)+1),"")&amp;IF(INT(MOD(INT(ROUND(MAX(J109,K109),2)),1000000)/1000)&gt;0," و"&amp;INDEX(تفقيط!$C$2:$C$1001,INT(MOD(INT(ROUND(MAX(J109,K109),2)),1000000)/1000)+1),"")&amp;IF(MOD(INT(ROUND(MAX(J109,K109),2)),1000)&gt;0," و"&amp;INDEX(تفقيط!$B$2:$B$1001,MOD(INT(ROUND(MAX(J109,K109),2)),1000)+1),""),3,400))&amp;" "&amp;CUR&amp;IF(ROUND((ROUND(MAX(J109,K109),2)-INT(ROUND(MAX(J109,K109),2)))*100,0)&gt;0," و"&amp;INDEX(تفقيط!$E$2:$E$1001,ROUND((ROUND(MAX(J109,K109),2)-INT(ROUND(MAX(J109,K109),2)))*100,0)+1),"")&amp;" لا غير")</f>
        <v/>
      </c>
    </row>
    <row r="110" customFormat="false" ht="15" hidden="false" customHeight="false" outlineLevel="0" collapsed="false">
      <c r="A110" s="62" t="str">
        <f aca="false">IF(C110="","",START_NO+COUNT(C$5:C110)-1)</f>
        <v/>
      </c>
      <c r="B110" s="63" t="str">
        <f aca="false">IF(A110="","",PREFIX&amp;"-"&amp;TEXT(C110,"yyyy")&amp;"-"&amp;A110)</f>
        <v/>
      </c>
      <c r="C110" s="56"/>
      <c r="D110" s="57"/>
      <c r="E110" s="58"/>
      <c r="F110" s="58"/>
      <c r="G110" s="57"/>
      <c r="H110" s="57"/>
      <c r="I110" s="57"/>
      <c r="J110" s="64" t="str">
        <f aca="false">IF(A110="","",SUMIFS('بنود السندات'!$F$5:$F$3004,'بنود السندات'!$A$5:$A$3004,A110))</f>
        <v/>
      </c>
      <c r="K110" s="64" t="str">
        <f aca="false">IF(A110="","",SUMIFS('بنود السندات'!$G$5:$G$3004,'بنود السندات'!$A$5:$A$3004,A110))</f>
        <v/>
      </c>
      <c r="L110" s="64" t="str">
        <f aca="false">IF(A110="","",ROUND(J110-K110,2))</f>
        <v/>
      </c>
      <c r="M110" s="63" t="str">
        <f aca="false">IF(A110="","",COUNTIF('بنود السندات'!$A$5:$A$3004,A110))</f>
        <v/>
      </c>
      <c r="N110" s="65" t="str">
        <f aca="false">IF(A110="","",IF(M110=0,"بدون بنود ⚠",IF(L110=0,"متوازن ✔","غير متوازن ✘")))</f>
        <v/>
      </c>
      <c r="O110" s="66" t="str">
        <f aca="false">IF(A110="","","فقط "&amp;IF(INT(ROUND(MAX(J110,K110),2))=0,"صفر",MID(IF(INT(INT(ROUND(MAX(J110,K110),2))/1000000)&gt;0," و"&amp;INDEX(تفقيط!$D$2:$D$1001,INT(INT(ROUND(MAX(J110,K110),2))/1000000)+1),"")&amp;IF(INT(MOD(INT(ROUND(MAX(J110,K110),2)),1000000)/1000)&gt;0," و"&amp;INDEX(تفقيط!$C$2:$C$1001,INT(MOD(INT(ROUND(MAX(J110,K110),2)),1000000)/1000)+1),"")&amp;IF(MOD(INT(ROUND(MAX(J110,K110),2)),1000)&gt;0," و"&amp;INDEX(تفقيط!$B$2:$B$1001,MOD(INT(ROUND(MAX(J110,K110),2)),1000)+1),""),3,400))&amp;" "&amp;CUR&amp;IF(ROUND((ROUND(MAX(J110,K110),2)-INT(ROUND(MAX(J110,K110),2)))*100,0)&gt;0," و"&amp;INDEX(تفقيط!$E$2:$E$1001,ROUND((ROUND(MAX(J110,K110),2)-INT(ROUND(MAX(J110,K110),2)))*100,0)+1),"")&amp;" لا غير")</f>
        <v/>
      </c>
    </row>
    <row r="111" customFormat="false" ht="15" hidden="false" customHeight="false" outlineLevel="0" collapsed="false">
      <c r="A111" s="54" t="str">
        <f aca="false">IF(C111="","",START_NO+COUNT(C$5:C111)-1)</f>
        <v/>
      </c>
      <c r="B111" s="55" t="str">
        <f aca="false">IF(A111="","",PREFIX&amp;"-"&amp;TEXT(C111,"yyyy")&amp;"-"&amp;A111)</f>
        <v/>
      </c>
      <c r="C111" s="56"/>
      <c r="D111" s="57"/>
      <c r="E111" s="58"/>
      <c r="F111" s="58"/>
      <c r="G111" s="57"/>
      <c r="H111" s="57"/>
      <c r="I111" s="57"/>
      <c r="J111" s="59" t="str">
        <f aca="false">IF(A111="","",SUMIFS('بنود السندات'!$F$5:$F$3004,'بنود السندات'!$A$5:$A$3004,A111))</f>
        <v/>
      </c>
      <c r="K111" s="59" t="str">
        <f aca="false">IF(A111="","",SUMIFS('بنود السندات'!$G$5:$G$3004,'بنود السندات'!$A$5:$A$3004,A111))</f>
        <v/>
      </c>
      <c r="L111" s="59" t="str">
        <f aca="false">IF(A111="","",ROUND(J111-K111,2))</f>
        <v/>
      </c>
      <c r="M111" s="55" t="str">
        <f aca="false">IF(A111="","",COUNTIF('بنود السندات'!$A$5:$A$3004,A111))</f>
        <v/>
      </c>
      <c r="N111" s="60" t="str">
        <f aca="false">IF(A111="","",IF(M111=0,"بدون بنود ⚠",IF(L111=0,"متوازن ✔","غير متوازن ✘")))</f>
        <v/>
      </c>
      <c r="O111" s="61" t="str">
        <f aca="false">IF(A111="","","فقط "&amp;IF(INT(ROUND(MAX(J111,K111),2))=0,"صفر",MID(IF(INT(INT(ROUND(MAX(J111,K111),2))/1000000)&gt;0," و"&amp;INDEX(تفقيط!$D$2:$D$1001,INT(INT(ROUND(MAX(J111,K111),2))/1000000)+1),"")&amp;IF(INT(MOD(INT(ROUND(MAX(J111,K111),2)),1000000)/1000)&gt;0," و"&amp;INDEX(تفقيط!$C$2:$C$1001,INT(MOD(INT(ROUND(MAX(J111,K111),2)),1000000)/1000)+1),"")&amp;IF(MOD(INT(ROUND(MAX(J111,K111),2)),1000)&gt;0," و"&amp;INDEX(تفقيط!$B$2:$B$1001,MOD(INT(ROUND(MAX(J111,K111),2)),1000)+1),""),3,400))&amp;" "&amp;CUR&amp;IF(ROUND((ROUND(MAX(J111,K111),2)-INT(ROUND(MAX(J111,K111),2)))*100,0)&gt;0," و"&amp;INDEX(تفقيط!$E$2:$E$1001,ROUND((ROUND(MAX(J111,K111),2)-INT(ROUND(MAX(J111,K111),2)))*100,0)+1),"")&amp;" لا غير")</f>
        <v/>
      </c>
    </row>
    <row r="112" customFormat="false" ht="15" hidden="false" customHeight="false" outlineLevel="0" collapsed="false">
      <c r="A112" s="62" t="str">
        <f aca="false">IF(C112="","",START_NO+COUNT(C$5:C112)-1)</f>
        <v/>
      </c>
      <c r="B112" s="63" t="str">
        <f aca="false">IF(A112="","",PREFIX&amp;"-"&amp;TEXT(C112,"yyyy")&amp;"-"&amp;A112)</f>
        <v/>
      </c>
      <c r="C112" s="56"/>
      <c r="D112" s="57"/>
      <c r="E112" s="58"/>
      <c r="F112" s="58"/>
      <c r="G112" s="57"/>
      <c r="H112" s="57"/>
      <c r="I112" s="57"/>
      <c r="J112" s="64" t="str">
        <f aca="false">IF(A112="","",SUMIFS('بنود السندات'!$F$5:$F$3004,'بنود السندات'!$A$5:$A$3004,A112))</f>
        <v/>
      </c>
      <c r="K112" s="64" t="str">
        <f aca="false">IF(A112="","",SUMIFS('بنود السندات'!$G$5:$G$3004,'بنود السندات'!$A$5:$A$3004,A112))</f>
        <v/>
      </c>
      <c r="L112" s="64" t="str">
        <f aca="false">IF(A112="","",ROUND(J112-K112,2))</f>
        <v/>
      </c>
      <c r="M112" s="63" t="str">
        <f aca="false">IF(A112="","",COUNTIF('بنود السندات'!$A$5:$A$3004,A112))</f>
        <v/>
      </c>
      <c r="N112" s="65" t="str">
        <f aca="false">IF(A112="","",IF(M112=0,"بدون بنود ⚠",IF(L112=0,"متوازن ✔","غير متوازن ✘")))</f>
        <v/>
      </c>
      <c r="O112" s="66" t="str">
        <f aca="false">IF(A112="","","فقط "&amp;IF(INT(ROUND(MAX(J112,K112),2))=0,"صفر",MID(IF(INT(INT(ROUND(MAX(J112,K112),2))/1000000)&gt;0," و"&amp;INDEX(تفقيط!$D$2:$D$1001,INT(INT(ROUND(MAX(J112,K112),2))/1000000)+1),"")&amp;IF(INT(MOD(INT(ROUND(MAX(J112,K112),2)),1000000)/1000)&gt;0," و"&amp;INDEX(تفقيط!$C$2:$C$1001,INT(MOD(INT(ROUND(MAX(J112,K112),2)),1000000)/1000)+1),"")&amp;IF(MOD(INT(ROUND(MAX(J112,K112),2)),1000)&gt;0," و"&amp;INDEX(تفقيط!$B$2:$B$1001,MOD(INT(ROUND(MAX(J112,K112),2)),1000)+1),""),3,400))&amp;" "&amp;CUR&amp;IF(ROUND((ROUND(MAX(J112,K112),2)-INT(ROUND(MAX(J112,K112),2)))*100,0)&gt;0," و"&amp;INDEX(تفقيط!$E$2:$E$1001,ROUND((ROUND(MAX(J112,K112),2)-INT(ROUND(MAX(J112,K112),2)))*100,0)+1),"")&amp;" لا غير")</f>
        <v/>
      </c>
    </row>
    <row r="113" customFormat="false" ht="15" hidden="false" customHeight="false" outlineLevel="0" collapsed="false">
      <c r="A113" s="54" t="str">
        <f aca="false">IF(C113="","",START_NO+COUNT(C$5:C113)-1)</f>
        <v/>
      </c>
      <c r="B113" s="55" t="str">
        <f aca="false">IF(A113="","",PREFIX&amp;"-"&amp;TEXT(C113,"yyyy")&amp;"-"&amp;A113)</f>
        <v/>
      </c>
      <c r="C113" s="56"/>
      <c r="D113" s="57"/>
      <c r="E113" s="58"/>
      <c r="F113" s="58"/>
      <c r="G113" s="57"/>
      <c r="H113" s="57"/>
      <c r="I113" s="57"/>
      <c r="J113" s="59" t="str">
        <f aca="false">IF(A113="","",SUMIFS('بنود السندات'!$F$5:$F$3004,'بنود السندات'!$A$5:$A$3004,A113))</f>
        <v/>
      </c>
      <c r="K113" s="59" t="str">
        <f aca="false">IF(A113="","",SUMIFS('بنود السندات'!$G$5:$G$3004,'بنود السندات'!$A$5:$A$3004,A113))</f>
        <v/>
      </c>
      <c r="L113" s="59" t="str">
        <f aca="false">IF(A113="","",ROUND(J113-K113,2))</f>
        <v/>
      </c>
      <c r="M113" s="55" t="str">
        <f aca="false">IF(A113="","",COUNTIF('بنود السندات'!$A$5:$A$3004,A113))</f>
        <v/>
      </c>
      <c r="N113" s="60" t="str">
        <f aca="false">IF(A113="","",IF(M113=0,"بدون بنود ⚠",IF(L113=0,"متوازن ✔","غير متوازن ✘")))</f>
        <v/>
      </c>
      <c r="O113" s="61" t="str">
        <f aca="false">IF(A113="","","فقط "&amp;IF(INT(ROUND(MAX(J113,K113),2))=0,"صفر",MID(IF(INT(INT(ROUND(MAX(J113,K113),2))/1000000)&gt;0," و"&amp;INDEX(تفقيط!$D$2:$D$1001,INT(INT(ROUND(MAX(J113,K113),2))/1000000)+1),"")&amp;IF(INT(MOD(INT(ROUND(MAX(J113,K113),2)),1000000)/1000)&gt;0," و"&amp;INDEX(تفقيط!$C$2:$C$1001,INT(MOD(INT(ROUND(MAX(J113,K113),2)),1000000)/1000)+1),"")&amp;IF(MOD(INT(ROUND(MAX(J113,K113),2)),1000)&gt;0," و"&amp;INDEX(تفقيط!$B$2:$B$1001,MOD(INT(ROUND(MAX(J113,K113),2)),1000)+1),""),3,400))&amp;" "&amp;CUR&amp;IF(ROUND((ROUND(MAX(J113,K113),2)-INT(ROUND(MAX(J113,K113),2)))*100,0)&gt;0," و"&amp;INDEX(تفقيط!$E$2:$E$1001,ROUND((ROUND(MAX(J113,K113),2)-INT(ROUND(MAX(J113,K113),2)))*100,0)+1),"")&amp;" لا غير")</f>
        <v/>
      </c>
    </row>
    <row r="114" customFormat="false" ht="15" hidden="false" customHeight="false" outlineLevel="0" collapsed="false">
      <c r="A114" s="62" t="str">
        <f aca="false">IF(C114="","",START_NO+COUNT(C$5:C114)-1)</f>
        <v/>
      </c>
      <c r="B114" s="63" t="str">
        <f aca="false">IF(A114="","",PREFIX&amp;"-"&amp;TEXT(C114,"yyyy")&amp;"-"&amp;A114)</f>
        <v/>
      </c>
      <c r="C114" s="56"/>
      <c r="D114" s="57"/>
      <c r="E114" s="58"/>
      <c r="F114" s="58"/>
      <c r="G114" s="57"/>
      <c r="H114" s="57"/>
      <c r="I114" s="57"/>
      <c r="J114" s="64" t="str">
        <f aca="false">IF(A114="","",SUMIFS('بنود السندات'!$F$5:$F$3004,'بنود السندات'!$A$5:$A$3004,A114))</f>
        <v/>
      </c>
      <c r="K114" s="64" t="str">
        <f aca="false">IF(A114="","",SUMIFS('بنود السندات'!$G$5:$G$3004,'بنود السندات'!$A$5:$A$3004,A114))</f>
        <v/>
      </c>
      <c r="L114" s="64" t="str">
        <f aca="false">IF(A114="","",ROUND(J114-K114,2))</f>
        <v/>
      </c>
      <c r="M114" s="63" t="str">
        <f aca="false">IF(A114="","",COUNTIF('بنود السندات'!$A$5:$A$3004,A114))</f>
        <v/>
      </c>
      <c r="N114" s="65" t="str">
        <f aca="false">IF(A114="","",IF(M114=0,"بدون بنود ⚠",IF(L114=0,"متوازن ✔","غير متوازن ✘")))</f>
        <v/>
      </c>
      <c r="O114" s="66" t="str">
        <f aca="false">IF(A114="","","فقط "&amp;IF(INT(ROUND(MAX(J114,K114),2))=0,"صفر",MID(IF(INT(INT(ROUND(MAX(J114,K114),2))/1000000)&gt;0," و"&amp;INDEX(تفقيط!$D$2:$D$1001,INT(INT(ROUND(MAX(J114,K114),2))/1000000)+1),"")&amp;IF(INT(MOD(INT(ROUND(MAX(J114,K114),2)),1000000)/1000)&gt;0," و"&amp;INDEX(تفقيط!$C$2:$C$1001,INT(MOD(INT(ROUND(MAX(J114,K114),2)),1000000)/1000)+1),"")&amp;IF(MOD(INT(ROUND(MAX(J114,K114),2)),1000)&gt;0," و"&amp;INDEX(تفقيط!$B$2:$B$1001,MOD(INT(ROUND(MAX(J114,K114),2)),1000)+1),""),3,400))&amp;" "&amp;CUR&amp;IF(ROUND((ROUND(MAX(J114,K114),2)-INT(ROUND(MAX(J114,K114),2)))*100,0)&gt;0," و"&amp;INDEX(تفقيط!$E$2:$E$1001,ROUND((ROUND(MAX(J114,K114),2)-INT(ROUND(MAX(J114,K114),2)))*100,0)+1),"")&amp;" لا غير")</f>
        <v/>
      </c>
    </row>
    <row r="115" customFormat="false" ht="15" hidden="false" customHeight="false" outlineLevel="0" collapsed="false">
      <c r="A115" s="54" t="str">
        <f aca="false">IF(C115="","",START_NO+COUNT(C$5:C115)-1)</f>
        <v/>
      </c>
      <c r="B115" s="55" t="str">
        <f aca="false">IF(A115="","",PREFIX&amp;"-"&amp;TEXT(C115,"yyyy")&amp;"-"&amp;A115)</f>
        <v/>
      </c>
      <c r="C115" s="56"/>
      <c r="D115" s="57"/>
      <c r="E115" s="58"/>
      <c r="F115" s="58"/>
      <c r="G115" s="57"/>
      <c r="H115" s="57"/>
      <c r="I115" s="57"/>
      <c r="J115" s="59" t="str">
        <f aca="false">IF(A115="","",SUMIFS('بنود السندات'!$F$5:$F$3004,'بنود السندات'!$A$5:$A$3004,A115))</f>
        <v/>
      </c>
      <c r="K115" s="59" t="str">
        <f aca="false">IF(A115="","",SUMIFS('بنود السندات'!$G$5:$G$3004,'بنود السندات'!$A$5:$A$3004,A115))</f>
        <v/>
      </c>
      <c r="L115" s="59" t="str">
        <f aca="false">IF(A115="","",ROUND(J115-K115,2))</f>
        <v/>
      </c>
      <c r="M115" s="55" t="str">
        <f aca="false">IF(A115="","",COUNTIF('بنود السندات'!$A$5:$A$3004,A115))</f>
        <v/>
      </c>
      <c r="N115" s="60" t="str">
        <f aca="false">IF(A115="","",IF(M115=0,"بدون بنود ⚠",IF(L115=0,"متوازن ✔","غير متوازن ✘")))</f>
        <v/>
      </c>
      <c r="O115" s="61" t="str">
        <f aca="false">IF(A115="","","فقط "&amp;IF(INT(ROUND(MAX(J115,K115),2))=0,"صفر",MID(IF(INT(INT(ROUND(MAX(J115,K115),2))/1000000)&gt;0," و"&amp;INDEX(تفقيط!$D$2:$D$1001,INT(INT(ROUND(MAX(J115,K115),2))/1000000)+1),"")&amp;IF(INT(MOD(INT(ROUND(MAX(J115,K115),2)),1000000)/1000)&gt;0," و"&amp;INDEX(تفقيط!$C$2:$C$1001,INT(MOD(INT(ROUND(MAX(J115,K115),2)),1000000)/1000)+1),"")&amp;IF(MOD(INT(ROUND(MAX(J115,K115),2)),1000)&gt;0," و"&amp;INDEX(تفقيط!$B$2:$B$1001,MOD(INT(ROUND(MAX(J115,K115),2)),1000)+1),""),3,400))&amp;" "&amp;CUR&amp;IF(ROUND((ROUND(MAX(J115,K115),2)-INT(ROUND(MAX(J115,K115),2)))*100,0)&gt;0," و"&amp;INDEX(تفقيط!$E$2:$E$1001,ROUND((ROUND(MAX(J115,K115),2)-INT(ROUND(MAX(J115,K115),2)))*100,0)+1),"")&amp;" لا غير")</f>
        <v/>
      </c>
    </row>
    <row r="116" customFormat="false" ht="15" hidden="false" customHeight="false" outlineLevel="0" collapsed="false">
      <c r="A116" s="62" t="str">
        <f aca="false">IF(C116="","",START_NO+COUNT(C$5:C116)-1)</f>
        <v/>
      </c>
      <c r="B116" s="63" t="str">
        <f aca="false">IF(A116="","",PREFIX&amp;"-"&amp;TEXT(C116,"yyyy")&amp;"-"&amp;A116)</f>
        <v/>
      </c>
      <c r="C116" s="56"/>
      <c r="D116" s="57"/>
      <c r="E116" s="58"/>
      <c r="F116" s="58"/>
      <c r="G116" s="57"/>
      <c r="H116" s="57"/>
      <c r="I116" s="57"/>
      <c r="J116" s="64" t="str">
        <f aca="false">IF(A116="","",SUMIFS('بنود السندات'!$F$5:$F$3004,'بنود السندات'!$A$5:$A$3004,A116))</f>
        <v/>
      </c>
      <c r="K116" s="64" t="str">
        <f aca="false">IF(A116="","",SUMIFS('بنود السندات'!$G$5:$G$3004,'بنود السندات'!$A$5:$A$3004,A116))</f>
        <v/>
      </c>
      <c r="L116" s="64" t="str">
        <f aca="false">IF(A116="","",ROUND(J116-K116,2))</f>
        <v/>
      </c>
      <c r="M116" s="63" t="str">
        <f aca="false">IF(A116="","",COUNTIF('بنود السندات'!$A$5:$A$3004,A116))</f>
        <v/>
      </c>
      <c r="N116" s="65" t="str">
        <f aca="false">IF(A116="","",IF(M116=0,"بدون بنود ⚠",IF(L116=0,"متوازن ✔","غير متوازن ✘")))</f>
        <v/>
      </c>
      <c r="O116" s="66" t="str">
        <f aca="false">IF(A116="","","فقط "&amp;IF(INT(ROUND(MAX(J116,K116),2))=0,"صفر",MID(IF(INT(INT(ROUND(MAX(J116,K116),2))/1000000)&gt;0," و"&amp;INDEX(تفقيط!$D$2:$D$1001,INT(INT(ROUND(MAX(J116,K116),2))/1000000)+1),"")&amp;IF(INT(MOD(INT(ROUND(MAX(J116,K116),2)),1000000)/1000)&gt;0," و"&amp;INDEX(تفقيط!$C$2:$C$1001,INT(MOD(INT(ROUND(MAX(J116,K116),2)),1000000)/1000)+1),"")&amp;IF(MOD(INT(ROUND(MAX(J116,K116),2)),1000)&gt;0," و"&amp;INDEX(تفقيط!$B$2:$B$1001,MOD(INT(ROUND(MAX(J116,K116),2)),1000)+1),""),3,400))&amp;" "&amp;CUR&amp;IF(ROUND((ROUND(MAX(J116,K116),2)-INT(ROUND(MAX(J116,K116),2)))*100,0)&gt;0," و"&amp;INDEX(تفقيط!$E$2:$E$1001,ROUND((ROUND(MAX(J116,K116),2)-INT(ROUND(MAX(J116,K116),2)))*100,0)+1),"")&amp;" لا غير")</f>
        <v/>
      </c>
    </row>
    <row r="117" customFormat="false" ht="15" hidden="false" customHeight="false" outlineLevel="0" collapsed="false">
      <c r="A117" s="54" t="str">
        <f aca="false">IF(C117="","",START_NO+COUNT(C$5:C117)-1)</f>
        <v/>
      </c>
      <c r="B117" s="55" t="str">
        <f aca="false">IF(A117="","",PREFIX&amp;"-"&amp;TEXT(C117,"yyyy")&amp;"-"&amp;A117)</f>
        <v/>
      </c>
      <c r="C117" s="56"/>
      <c r="D117" s="57"/>
      <c r="E117" s="58"/>
      <c r="F117" s="58"/>
      <c r="G117" s="57"/>
      <c r="H117" s="57"/>
      <c r="I117" s="57"/>
      <c r="J117" s="59" t="str">
        <f aca="false">IF(A117="","",SUMIFS('بنود السندات'!$F$5:$F$3004,'بنود السندات'!$A$5:$A$3004,A117))</f>
        <v/>
      </c>
      <c r="K117" s="59" t="str">
        <f aca="false">IF(A117="","",SUMIFS('بنود السندات'!$G$5:$G$3004,'بنود السندات'!$A$5:$A$3004,A117))</f>
        <v/>
      </c>
      <c r="L117" s="59" t="str">
        <f aca="false">IF(A117="","",ROUND(J117-K117,2))</f>
        <v/>
      </c>
      <c r="M117" s="55" t="str">
        <f aca="false">IF(A117="","",COUNTIF('بنود السندات'!$A$5:$A$3004,A117))</f>
        <v/>
      </c>
      <c r="N117" s="60" t="str">
        <f aca="false">IF(A117="","",IF(M117=0,"بدون بنود ⚠",IF(L117=0,"متوازن ✔","غير متوازن ✘")))</f>
        <v/>
      </c>
      <c r="O117" s="61" t="str">
        <f aca="false">IF(A117="","","فقط "&amp;IF(INT(ROUND(MAX(J117,K117),2))=0,"صفر",MID(IF(INT(INT(ROUND(MAX(J117,K117),2))/1000000)&gt;0," و"&amp;INDEX(تفقيط!$D$2:$D$1001,INT(INT(ROUND(MAX(J117,K117),2))/1000000)+1),"")&amp;IF(INT(MOD(INT(ROUND(MAX(J117,K117),2)),1000000)/1000)&gt;0," و"&amp;INDEX(تفقيط!$C$2:$C$1001,INT(MOD(INT(ROUND(MAX(J117,K117),2)),1000000)/1000)+1),"")&amp;IF(MOD(INT(ROUND(MAX(J117,K117),2)),1000)&gt;0," و"&amp;INDEX(تفقيط!$B$2:$B$1001,MOD(INT(ROUND(MAX(J117,K117),2)),1000)+1),""),3,400))&amp;" "&amp;CUR&amp;IF(ROUND((ROUND(MAX(J117,K117),2)-INT(ROUND(MAX(J117,K117),2)))*100,0)&gt;0," و"&amp;INDEX(تفقيط!$E$2:$E$1001,ROUND((ROUND(MAX(J117,K117),2)-INT(ROUND(MAX(J117,K117),2)))*100,0)+1),"")&amp;" لا غير")</f>
        <v/>
      </c>
    </row>
    <row r="118" customFormat="false" ht="15" hidden="false" customHeight="false" outlineLevel="0" collapsed="false">
      <c r="A118" s="62" t="str">
        <f aca="false">IF(C118="","",START_NO+COUNT(C$5:C118)-1)</f>
        <v/>
      </c>
      <c r="B118" s="63" t="str">
        <f aca="false">IF(A118="","",PREFIX&amp;"-"&amp;TEXT(C118,"yyyy")&amp;"-"&amp;A118)</f>
        <v/>
      </c>
      <c r="C118" s="56"/>
      <c r="D118" s="57"/>
      <c r="E118" s="58"/>
      <c r="F118" s="58"/>
      <c r="G118" s="57"/>
      <c r="H118" s="57"/>
      <c r="I118" s="57"/>
      <c r="J118" s="64" t="str">
        <f aca="false">IF(A118="","",SUMIFS('بنود السندات'!$F$5:$F$3004,'بنود السندات'!$A$5:$A$3004,A118))</f>
        <v/>
      </c>
      <c r="K118" s="64" t="str">
        <f aca="false">IF(A118="","",SUMIFS('بنود السندات'!$G$5:$G$3004,'بنود السندات'!$A$5:$A$3004,A118))</f>
        <v/>
      </c>
      <c r="L118" s="64" t="str">
        <f aca="false">IF(A118="","",ROUND(J118-K118,2))</f>
        <v/>
      </c>
      <c r="M118" s="63" t="str">
        <f aca="false">IF(A118="","",COUNTIF('بنود السندات'!$A$5:$A$3004,A118))</f>
        <v/>
      </c>
      <c r="N118" s="65" t="str">
        <f aca="false">IF(A118="","",IF(M118=0,"بدون بنود ⚠",IF(L118=0,"متوازن ✔","غير متوازن ✘")))</f>
        <v/>
      </c>
      <c r="O118" s="66" t="str">
        <f aca="false">IF(A118="","","فقط "&amp;IF(INT(ROUND(MAX(J118,K118),2))=0,"صفر",MID(IF(INT(INT(ROUND(MAX(J118,K118),2))/1000000)&gt;0," و"&amp;INDEX(تفقيط!$D$2:$D$1001,INT(INT(ROUND(MAX(J118,K118),2))/1000000)+1),"")&amp;IF(INT(MOD(INT(ROUND(MAX(J118,K118),2)),1000000)/1000)&gt;0," و"&amp;INDEX(تفقيط!$C$2:$C$1001,INT(MOD(INT(ROUND(MAX(J118,K118),2)),1000000)/1000)+1),"")&amp;IF(MOD(INT(ROUND(MAX(J118,K118),2)),1000)&gt;0," و"&amp;INDEX(تفقيط!$B$2:$B$1001,MOD(INT(ROUND(MAX(J118,K118),2)),1000)+1),""),3,400))&amp;" "&amp;CUR&amp;IF(ROUND((ROUND(MAX(J118,K118),2)-INT(ROUND(MAX(J118,K118),2)))*100,0)&gt;0," و"&amp;INDEX(تفقيط!$E$2:$E$1001,ROUND((ROUND(MAX(J118,K118),2)-INT(ROUND(MAX(J118,K118),2)))*100,0)+1),"")&amp;" لا غير")</f>
        <v/>
      </c>
    </row>
    <row r="119" customFormat="false" ht="15" hidden="false" customHeight="false" outlineLevel="0" collapsed="false">
      <c r="A119" s="54" t="str">
        <f aca="false">IF(C119="","",START_NO+COUNT(C$5:C119)-1)</f>
        <v/>
      </c>
      <c r="B119" s="55" t="str">
        <f aca="false">IF(A119="","",PREFIX&amp;"-"&amp;TEXT(C119,"yyyy")&amp;"-"&amp;A119)</f>
        <v/>
      </c>
      <c r="C119" s="56"/>
      <c r="D119" s="57"/>
      <c r="E119" s="58"/>
      <c r="F119" s="58"/>
      <c r="G119" s="57"/>
      <c r="H119" s="57"/>
      <c r="I119" s="57"/>
      <c r="J119" s="59" t="str">
        <f aca="false">IF(A119="","",SUMIFS('بنود السندات'!$F$5:$F$3004,'بنود السندات'!$A$5:$A$3004,A119))</f>
        <v/>
      </c>
      <c r="K119" s="59" t="str">
        <f aca="false">IF(A119="","",SUMIFS('بنود السندات'!$G$5:$G$3004,'بنود السندات'!$A$5:$A$3004,A119))</f>
        <v/>
      </c>
      <c r="L119" s="59" t="str">
        <f aca="false">IF(A119="","",ROUND(J119-K119,2))</f>
        <v/>
      </c>
      <c r="M119" s="55" t="str">
        <f aca="false">IF(A119="","",COUNTIF('بنود السندات'!$A$5:$A$3004,A119))</f>
        <v/>
      </c>
      <c r="N119" s="60" t="str">
        <f aca="false">IF(A119="","",IF(M119=0,"بدون بنود ⚠",IF(L119=0,"متوازن ✔","غير متوازن ✘")))</f>
        <v/>
      </c>
      <c r="O119" s="61" t="str">
        <f aca="false">IF(A119="","","فقط "&amp;IF(INT(ROUND(MAX(J119,K119),2))=0,"صفر",MID(IF(INT(INT(ROUND(MAX(J119,K119),2))/1000000)&gt;0," و"&amp;INDEX(تفقيط!$D$2:$D$1001,INT(INT(ROUND(MAX(J119,K119),2))/1000000)+1),"")&amp;IF(INT(MOD(INT(ROUND(MAX(J119,K119),2)),1000000)/1000)&gt;0," و"&amp;INDEX(تفقيط!$C$2:$C$1001,INT(MOD(INT(ROUND(MAX(J119,K119),2)),1000000)/1000)+1),"")&amp;IF(MOD(INT(ROUND(MAX(J119,K119),2)),1000)&gt;0," و"&amp;INDEX(تفقيط!$B$2:$B$1001,MOD(INT(ROUND(MAX(J119,K119),2)),1000)+1),""),3,400))&amp;" "&amp;CUR&amp;IF(ROUND((ROUND(MAX(J119,K119),2)-INT(ROUND(MAX(J119,K119),2)))*100,0)&gt;0," و"&amp;INDEX(تفقيط!$E$2:$E$1001,ROUND((ROUND(MAX(J119,K119),2)-INT(ROUND(MAX(J119,K119),2)))*100,0)+1),"")&amp;" لا غير")</f>
        <v/>
      </c>
    </row>
    <row r="120" customFormat="false" ht="15" hidden="false" customHeight="false" outlineLevel="0" collapsed="false">
      <c r="A120" s="62" t="str">
        <f aca="false">IF(C120="","",START_NO+COUNT(C$5:C120)-1)</f>
        <v/>
      </c>
      <c r="B120" s="63" t="str">
        <f aca="false">IF(A120="","",PREFIX&amp;"-"&amp;TEXT(C120,"yyyy")&amp;"-"&amp;A120)</f>
        <v/>
      </c>
      <c r="C120" s="56"/>
      <c r="D120" s="57"/>
      <c r="E120" s="58"/>
      <c r="F120" s="58"/>
      <c r="G120" s="57"/>
      <c r="H120" s="57"/>
      <c r="I120" s="57"/>
      <c r="J120" s="64" t="str">
        <f aca="false">IF(A120="","",SUMIFS('بنود السندات'!$F$5:$F$3004,'بنود السندات'!$A$5:$A$3004,A120))</f>
        <v/>
      </c>
      <c r="K120" s="64" t="str">
        <f aca="false">IF(A120="","",SUMIFS('بنود السندات'!$G$5:$G$3004,'بنود السندات'!$A$5:$A$3004,A120))</f>
        <v/>
      </c>
      <c r="L120" s="64" t="str">
        <f aca="false">IF(A120="","",ROUND(J120-K120,2))</f>
        <v/>
      </c>
      <c r="M120" s="63" t="str">
        <f aca="false">IF(A120="","",COUNTIF('بنود السندات'!$A$5:$A$3004,A120))</f>
        <v/>
      </c>
      <c r="N120" s="65" t="str">
        <f aca="false">IF(A120="","",IF(M120=0,"بدون بنود ⚠",IF(L120=0,"متوازن ✔","غير متوازن ✘")))</f>
        <v/>
      </c>
      <c r="O120" s="66" t="str">
        <f aca="false">IF(A120="","","فقط "&amp;IF(INT(ROUND(MAX(J120,K120),2))=0,"صفر",MID(IF(INT(INT(ROUND(MAX(J120,K120),2))/1000000)&gt;0," و"&amp;INDEX(تفقيط!$D$2:$D$1001,INT(INT(ROUND(MAX(J120,K120),2))/1000000)+1),"")&amp;IF(INT(MOD(INT(ROUND(MAX(J120,K120),2)),1000000)/1000)&gt;0," و"&amp;INDEX(تفقيط!$C$2:$C$1001,INT(MOD(INT(ROUND(MAX(J120,K120),2)),1000000)/1000)+1),"")&amp;IF(MOD(INT(ROUND(MAX(J120,K120),2)),1000)&gt;0," و"&amp;INDEX(تفقيط!$B$2:$B$1001,MOD(INT(ROUND(MAX(J120,K120),2)),1000)+1),""),3,400))&amp;" "&amp;CUR&amp;IF(ROUND((ROUND(MAX(J120,K120),2)-INT(ROUND(MAX(J120,K120),2)))*100,0)&gt;0," و"&amp;INDEX(تفقيط!$E$2:$E$1001,ROUND((ROUND(MAX(J120,K120),2)-INT(ROUND(MAX(J120,K120),2)))*100,0)+1),"")&amp;" لا غير")</f>
        <v/>
      </c>
    </row>
    <row r="121" customFormat="false" ht="15" hidden="false" customHeight="false" outlineLevel="0" collapsed="false">
      <c r="A121" s="54" t="str">
        <f aca="false">IF(C121="","",START_NO+COUNT(C$5:C121)-1)</f>
        <v/>
      </c>
      <c r="B121" s="55" t="str">
        <f aca="false">IF(A121="","",PREFIX&amp;"-"&amp;TEXT(C121,"yyyy")&amp;"-"&amp;A121)</f>
        <v/>
      </c>
      <c r="C121" s="56"/>
      <c r="D121" s="57"/>
      <c r="E121" s="58"/>
      <c r="F121" s="58"/>
      <c r="G121" s="57"/>
      <c r="H121" s="57"/>
      <c r="I121" s="57"/>
      <c r="J121" s="59" t="str">
        <f aca="false">IF(A121="","",SUMIFS('بنود السندات'!$F$5:$F$3004,'بنود السندات'!$A$5:$A$3004,A121))</f>
        <v/>
      </c>
      <c r="K121" s="59" t="str">
        <f aca="false">IF(A121="","",SUMIFS('بنود السندات'!$G$5:$G$3004,'بنود السندات'!$A$5:$A$3004,A121))</f>
        <v/>
      </c>
      <c r="L121" s="59" t="str">
        <f aca="false">IF(A121="","",ROUND(J121-K121,2))</f>
        <v/>
      </c>
      <c r="M121" s="55" t="str">
        <f aca="false">IF(A121="","",COUNTIF('بنود السندات'!$A$5:$A$3004,A121))</f>
        <v/>
      </c>
      <c r="N121" s="60" t="str">
        <f aca="false">IF(A121="","",IF(M121=0,"بدون بنود ⚠",IF(L121=0,"متوازن ✔","غير متوازن ✘")))</f>
        <v/>
      </c>
      <c r="O121" s="61" t="str">
        <f aca="false">IF(A121="","","فقط "&amp;IF(INT(ROUND(MAX(J121,K121),2))=0,"صفر",MID(IF(INT(INT(ROUND(MAX(J121,K121),2))/1000000)&gt;0," و"&amp;INDEX(تفقيط!$D$2:$D$1001,INT(INT(ROUND(MAX(J121,K121),2))/1000000)+1),"")&amp;IF(INT(MOD(INT(ROUND(MAX(J121,K121),2)),1000000)/1000)&gt;0," و"&amp;INDEX(تفقيط!$C$2:$C$1001,INT(MOD(INT(ROUND(MAX(J121,K121),2)),1000000)/1000)+1),"")&amp;IF(MOD(INT(ROUND(MAX(J121,K121),2)),1000)&gt;0," و"&amp;INDEX(تفقيط!$B$2:$B$1001,MOD(INT(ROUND(MAX(J121,K121),2)),1000)+1),""),3,400))&amp;" "&amp;CUR&amp;IF(ROUND((ROUND(MAX(J121,K121),2)-INT(ROUND(MAX(J121,K121),2)))*100,0)&gt;0," و"&amp;INDEX(تفقيط!$E$2:$E$1001,ROUND((ROUND(MAX(J121,K121),2)-INT(ROUND(MAX(J121,K121),2)))*100,0)+1),"")&amp;" لا غير")</f>
        <v/>
      </c>
    </row>
    <row r="122" customFormat="false" ht="15" hidden="false" customHeight="false" outlineLevel="0" collapsed="false">
      <c r="A122" s="62" t="str">
        <f aca="false">IF(C122="","",START_NO+COUNT(C$5:C122)-1)</f>
        <v/>
      </c>
      <c r="B122" s="63" t="str">
        <f aca="false">IF(A122="","",PREFIX&amp;"-"&amp;TEXT(C122,"yyyy")&amp;"-"&amp;A122)</f>
        <v/>
      </c>
      <c r="C122" s="56"/>
      <c r="D122" s="57"/>
      <c r="E122" s="58"/>
      <c r="F122" s="58"/>
      <c r="G122" s="57"/>
      <c r="H122" s="57"/>
      <c r="I122" s="57"/>
      <c r="J122" s="64" t="str">
        <f aca="false">IF(A122="","",SUMIFS('بنود السندات'!$F$5:$F$3004,'بنود السندات'!$A$5:$A$3004,A122))</f>
        <v/>
      </c>
      <c r="K122" s="64" t="str">
        <f aca="false">IF(A122="","",SUMIFS('بنود السندات'!$G$5:$G$3004,'بنود السندات'!$A$5:$A$3004,A122))</f>
        <v/>
      </c>
      <c r="L122" s="64" t="str">
        <f aca="false">IF(A122="","",ROUND(J122-K122,2))</f>
        <v/>
      </c>
      <c r="M122" s="63" t="str">
        <f aca="false">IF(A122="","",COUNTIF('بنود السندات'!$A$5:$A$3004,A122))</f>
        <v/>
      </c>
      <c r="N122" s="65" t="str">
        <f aca="false">IF(A122="","",IF(M122=0,"بدون بنود ⚠",IF(L122=0,"متوازن ✔","غير متوازن ✘")))</f>
        <v/>
      </c>
      <c r="O122" s="66" t="str">
        <f aca="false">IF(A122="","","فقط "&amp;IF(INT(ROUND(MAX(J122,K122),2))=0,"صفر",MID(IF(INT(INT(ROUND(MAX(J122,K122),2))/1000000)&gt;0," و"&amp;INDEX(تفقيط!$D$2:$D$1001,INT(INT(ROUND(MAX(J122,K122),2))/1000000)+1),"")&amp;IF(INT(MOD(INT(ROUND(MAX(J122,K122),2)),1000000)/1000)&gt;0," و"&amp;INDEX(تفقيط!$C$2:$C$1001,INT(MOD(INT(ROUND(MAX(J122,K122),2)),1000000)/1000)+1),"")&amp;IF(MOD(INT(ROUND(MAX(J122,K122),2)),1000)&gt;0," و"&amp;INDEX(تفقيط!$B$2:$B$1001,MOD(INT(ROUND(MAX(J122,K122),2)),1000)+1),""),3,400))&amp;" "&amp;CUR&amp;IF(ROUND((ROUND(MAX(J122,K122),2)-INT(ROUND(MAX(J122,K122),2)))*100,0)&gt;0," و"&amp;INDEX(تفقيط!$E$2:$E$1001,ROUND((ROUND(MAX(J122,K122),2)-INT(ROUND(MAX(J122,K122),2)))*100,0)+1),"")&amp;" لا غير")</f>
        <v/>
      </c>
    </row>
    <row r="123" customFormat="false" ht="15" hidden="false" customHeight="false" outlineLevel="0" collapsed="false">
      <c r="A123" s="54" t="str">
        <f aca="false">IF(C123="","",START_NO+COUNT(C$5:C123)-1)</f>
        <v/>
      </c>
      <c r="B123" s="55" t="str">
        <f aca="false">IF(A123="","",PREFIX&amp;"-"&amp;TEXT(C123,"yyyy")&amp;"-"&amp;A123)</f>
        <v/>
      </c>
      <c r="C123" s="56"/>
      <c r="D123" s="57"/>
      <c r="E123" s="58"/>
      <c r="F123" s="58"/>
      <c r="G123" s="57"/>
      <c r="H123" s="57"/>
      <c r="I123" s="57"/>
      <c r="J123" s="59" t="str">
        <f aca="false">IF(A123="","",SUMIFS('بنود السندات'!$F$5:$F$3004,'بنود السندات'!$A$5:$A$3004,A123))</f>
        <v/>
      </c>
      <c r="K123" s="59" t="str">
        <f aca="false">IF(A123="","",SUMIFS('بنود السندات'!$G$5:$G$3004,'بنود السندات'!$A$5:$A$3004,A123))</f>
        <v/>
      </c>
      <c r="L123" s="59" t="str">
        <f aca="false">IF(A123="","",ROUND(J123-K123,2))</f>
        <v/>
      </c>
      <c r="M123" s="55" t="str">
        <f aca="false">IF(A123="","",COUNTIF('بنود السندات'!$A$5:$A$3004,A123))</f>
        <v/>
      </c>
      <c r="N123" s="60" t="str">
        <f aca="false">IF(A123="","",IF(M123=0,"بدون بنود ⚠",IF(L123=0,"متوازن ✔","غير متوازن ✘")))</f>
        <v/>
      </c>
      <c r="O123" s="61" t="str">
        <f aca="false">IF(A123="","","فقط "&amp;IF(INT(ROUND(MAX(J123,K123),2))=0,"صفر",MID(IF(INT(INT(ROUND(MAX(J123,K123),2))/1000000)&gt;0," و"&amp;INDEX(تفقيط!$D$2:$D$1001,INT(INT(ROUND(MAX(J123,K123),2))/1000000)+1),"")&amp;IF(INT(MOD(INT(ROUND(MAX(J123,K123),2)),1000000)/1000)&gt;0," و"&amp;INDEX(تفقيط!$C$2:$C$1001,INT(MOD(INT(ROUND(MAX(J123,K123),2)),1000000)/1000)+1),"")&amp;IF(MOD(INT(ROUND(MAX(J123,K123),2)),1000)&gt;0," و"&amp;INDEX(تفقيط!$B$2:$B$1001,MOD(INT(ROUND(MAX(J123,K123),2)),1000)+1),""),3,400))&amp;" "&amp;CUR&amp;IF(ROUND((ROUND(MAX(J123,K123),2)-INT(ROUND(MAX(J123,K123),2)))*100,0)&gt;0," و"&amp;INDEX(تفقيط!$E$2:$E$1001,ROUND((ROUND(MAX(J123,K123),2)-INT(ROUND(MAX(J123,K123),2)))*100,0)+1),"")&amp;" لا غير")</f>
        <v/>
      </c>
    </row>
    <row r="124" customFormat="false" ht="15" hidden="false" customHeight="false" outlineLevel="0" collapsed="false">
      <c r="A124" s="62" t="str">
        <f aca="false">IF(C124="","",START_NO+COUNT(C$5:C124)-1)</f>
        <v/>
      </c>
      <c r="B124" s="63" t="str">
        <f aca="false">IF(A124="","",PREFIX&amp;"-"&amp;TEXT(C124,"yyyy")&amp;"-"&amp;A124)</f>
        <v/>
      </c>
      <c r="C124" s="56"/>
      <c r="D124" s="57"/>
      <c r="E124" s="58"/>
      <c r="F124" s="58"/>
      <c r="G124" s="57"/>
      <c r="H124" s="57"/>
      <c r="I124" s="57"/>
      <c r="J124" s="64" t="str">
        <f aca="false">IF(A124="","",SUMIFS('بنود السندات'!$F$5:$F$3004,'بنود السندات'!$A$5:$A$3004,A124))</f>
        <v/>
      </c>
      <c r="K124" s="64" t="str">
        <f aca="false">IF(A124="","",SUMIFS('بنود السندات'!$G$5:$G$3004,'بنود السندات'!$A$5:$A$3004,A124))</f>
        <v/>
      </c>
      <c r="L124" s="64" t="str">
        <f aca="false">IF(A124="","",ROUND(J124-K124,2))</f>
        <v/>
      </c>
      <c r="M124" s="63" t="str">
        <f aca="false">IF(A124="","",COUNTIF('بنود السندات'!$A$5:$A$3004,A124))</f>
        <v/>
      </c>
      <c r="N124" s="65" t="str">
        <f aca="false">IF(A124="","",IF(M124=0,"بدون بنود ⚠",IF(L124=0,"متوازن ✔","غير متوازن ✘")))</f>
        <v/>
      </c>
      <c r="O124" s="66" t="str">
        <f aca="false">IF(A124="","","فقط "&amp;IF(INT(ROUND(MAX(J124,K124),2))=0,"صفر",MID(IF(INT(INT(ROUND(MAX(J124,K124),2))/1000000)&gt;0," و"&amp;INDEX(تفقيط!$D$2:$D$1001,INT(INT(ROUND(MAX(J124,K124),2))/1000000)+1),"")&amp;IF(INT(MOD(INT(ROUND(MAX(J124,K124),2)),1000000)/1000)&gt;0," و"&amp;INDEX(تفقيط!$C$2:$C$1001,INT(MOD(INT(ROUND(MAX(J124,K124),2)),1000000)/1000)+1),"")&amp;IF(MOD(INT(ROUND(MAX(J124,K124),2)),1000)&gt;0," و"&amp;INDEX(تفقيط!$B$2:$B$1001,MOD(INT(ROUND(MAX(J124,K124),2)),1000)+1),""),3,400))&amp;" "&amp;CUR&amp;IF(ROUND((ROUND(MAX(J124,K124),2)-INT(ROUND(MAX(J124,K124),2)))*100,0)&gt;0," و"&amp;INDEX(تفقيط!$E$2:$E$1001,ROUND((ROUND(MAX(J124,K124),2)-INT(ROUND(MAX(J124,K124),2)))*100,0)+1),"")&amp;" لا غير")</f>
        <v/>
      </c>
    </row>
    <row r="125" customFormat="false" ht="15" hidden="false" customHeight="false" outlineLevel="0" collapsed="false">
      <c r="A125" s="54" t="str">
        <f aca="false">IF(C125="","",START_NO+COUNT(C$5:C125)-1)</f>
        <v/>
      </c>
      <c r="B125" s="55" t="str">
        <f aca="false">IF(A125="","",PREFIX&amp;"-"&amp;TEXT(C125,"yyyy")&amp;"-"&amp;A125)</f>
        <v/>
      </c>
      <c r="C125" s="56"/>
      <c r="D125" s="57"/>
      <c r="E125" s="58"/>
      <c r="F125" s="58"/>
      <c r="G125" s="57"/>
      <c r="H125" s="57"/>
      <c r="I125" s="57"/>
      <c r="J125" s="59" t="str">
        <f aca="false">IF(A125="","",SUMIFS('بنود السندات'!$F$5:$F$3004,'بنود السندات'!$A$5:$A$3004,A125))</f>
        <v/>
      </c>
      <c r="K125" s="59" t="str">
        <f aca="false">IF(A125="","",SUMIFS('بنود السندات'!$G$5:$G$3004,'بنود السندات'!$A$5:$A$3004,A125))</f>
        <v/>
      </c>
      <c r="L125" s="59" t="str">
        <f aca="false">IF(A125="","",ROUND(J125-K125,2))</f>
        <v/>
      </c>
      <c r="M125" s="55" t="str">
        <f aca="false">IF(A125="","",COUNTIF('بنود السندات'!$A$5:$A$3004,A125))</f>
        <v/>
      </c>
      <c r="N125" s="60" t="str">
        <f aca="false">IF(A125="","",IF(M125=0,"بدون بنود ⚠",IF(L125=0,"متوازن ✔","غير متوازن ✘")))</f>
        <v/>
      </c>
      <c r="O125" s="61" t="str">
        <f aca="false">IF(A125="","","فقط "&amp;IF(INT(ROUND(MAX(J125,K125),2))=0,"صفر",MID(IF(INT(INT(ROUND(MAX(J125,K125),2))/1000000)&gt;0," و"&amp;INDEX(تفقيط!$D$2:$D$1001,INT(INT(ROUND(MAX(J125,K125),2))/1000000)+1),"")&amp;IF(INT(MOD(INT(ROUND(MAX(J125,K125),2)),1000000)/1000)&gt;0," و"&amp;INDEX(تفقيط!$C$2:$C$1001,INT(MOD(INT(ROUND(MAX(J125,K125),2)),1000000)/1000)+1),"")&amp;IF(MOD(INT(ROUND(MAX(J125,K125),2)),1000)&gt;0," و"&amp;INDEX(تفقيط!$B$2:$B$1001,MOD(INT(ROUND(MAX(J125,K125),2)),1000)+1),""),3,400))&amp;" "&amp;CUR&amp;IF(ROUND((ROUND(MAX(J125,K125),2)-INT(ROUND(MAX(J125,K125),2)))*100,0)&gt;0," و"&amp;INDEX(تفقيط!$E$2:$E$1001,ROUND((ROUND(MAX(J125,K125),2)-INT(ROUND(MAX(J125,K125),2)))*100,0)+1),"")&amp;" لا غير")</f>
        <v/>
      </c>
    </row>
    <row r="126" customFormat="false" ht="15" hidden="false" customHeight="false" outlineLevel="0" collapsed="false">
      <c r="A126" s="62" t="str">
        <f aca="false">IF(C126="","",START_NO+COUNT(C$5:C126)-1)</f>
        <v/>
      </c>
      <c r="B126" s="63" t="str">
        <f aca="false">IF(A126="","",PREFIX&amp;"-"&amp;TEXT(C126,"yyyy")&amp;"-"&amp;A126)</f>
        <v/>
      </c>
      <c r="C126" s="56"/>
      <c r="D126" s="57"/>
      <c r="E126" s="58"/>
      <c r="F126" s="58"/>
      <c r="G126" s="57"/>
      <c r="H126" s="57"/>
      <c r="I126" s="57"/>
      <c r="J126" s="64" t="str">
        <f aca="false">IF(A126="","",SUMIFS('بنود السندات'!$F$5:$F$3004,'بنود السندات'!$A$5:$A$3004,A126))</f>
        <v/>
      </c>
      <c r="K126" s="64" t="str">
        <f aca="false">IF(A126="","",SUMIFS('بنود السندات'!$G$5:$G$3004,'بنود السندات'!$A$5:$A$3004,A126))</f>
        <v/>
      </c>
      <c r="L126" s="64" t="str">
        <f aca="false">IF(A126="","",ROUND(J126-K126,2))</f>
        <v/>
      </c>
      <c r="M126" s="63" t="str">
        <f aca="false">IF(A126="","",COUNTIF('بنود السندات'!$A$5:$A$3004,A126))</f>
        <v/>
      </c>
      <c r="N126" s="65" t="str">
        <f aca="false">IF(A126="","",IF(M126=0,"بدون بنود ⚠",IF(L126=0,"متوازن ✔","غير متوازن ✘")))</f>
        <v/>
      </c>
      <c r="O126" s="66" t="str">
        <f aca="false">IF(A126="","","فقط "&amp;IF(INT(ROUND(MAX(J126,K126),2))=0,"صفر",MID(IF(INT(INT(ROUND(MAX(J126,K126),2))/1000000)&gt;0," و"&amp;INDEX(تفقيط!$D$2:$D$1001,INT(INT(ROUND(MAX(J126,K126),2))/1000000)+1),"")&amp;IF(INT(MOD(INT(ROUND(MAX(J126,K126),2)),1000000)/1000)&gt;0," و"&amp;INDEX(تفقيط!$C$2:$C$1001,INT(MOD(INT(ROUND(MAX(J126,K126),2)),1000000)/1000)+1),"")&amp;IF(MOD(INT(ROUND(MAX(J126,K126),2)),1000)&gt;0," و"&amp;INDEX(تفقيط!$B$2:$B$1001,MOD(INT(ROUND(MAX(J126,K126),2)),1000)+1),""),3,400))&amp;" "&amp;CUR&amp;IF(ROUND((ROUND(MAX(J126,K126),2)-INT(ROUND(MAX(J126,K126),2)))*100,0)&gt;0," و"&amp;INDEX(تفقيط!$E$2:$E$1001,ROUND((ROUND(MAX(J126,K126),2)-INT(ROUND(MAX(J126,K126),2)))*100,0)+1),"")&amp;" لا غير")</f>
        <v/>
      </c>
    </row>
    <row r="127" customFormat="false" ht="15" hidden="false" customHeight="false" outlineLevel="0" collapsed="false">
      <c r="A127" s="54" t="str">
        <f aca="false">IF(C127="","",START_NO+COUNT(C$5:C127)-1)</f>
        <v/>
      </c>
      <c r="B127" s="55" t="str">
        <f aca="false">IF(A127="","",PREFIX&amp;"-"&amp;TEXT(C127,"yyyy")&amp;"-"&amp;A127)</f>
        <v/>
      </c>
      <c r="C127" s="56"/>
      <c r="D127" s="57"/>
      <c r="E127" s="58"/>
      <c r="F127" s="58"/>
      <c r="G127" s="57"/>
      <c r="H127" s="57"/>
      <c r="I127" s="57"/>
      <c r="J127" s="59" t="str">
        <f aca="false">IF(A127="","",SUMIFS('بنود السندات'!$F$5:$F$3004,'بنود السندات'!$A$5:$A$3004,A127))</f>
        <v/>
      </c>
      <c r="K127" s="59" t="str">
        <f aca="false">IF(A127="","",SUMIFS('بنود السندات'!$G$5:$G$3004,'بنود السندات'!$A$5:$A$3004,A127))</f>
        <v/>
      </c>
      <c r="L127" s="59" t="str">
        <f aca="false">IF(A127="","",ROUND(J127-K127,2))</f>
        <v/>
      </c>
      <c r="M127" s="55" t="str">
        <f aca="false">IF(A127="","",COUNTIF('بنود السندات'!$A$5:$A$3004,A127))</f>
        <v/>
      </c>
      <c r="N127" s="60" t="str">
        <f aca="false">IF(A127="","",IF(M127=0,"بدون بنود ⚠",IF(L127=0,"متوازن ✔","غير متوازن ✘")))</f>
        <v/>
      </c>
      <c r="O127" s="61" t="str">
        <f aca="false">IF(A127="","","فقط "&amp;IF(INT(ROUND(MAX(J127,K127),2))=0,"صفر",MID(IF(INT(INT(ROUND(MAX(J127,K127),2))/1000000)&gt;0," و"&amp;INDEX(تفقيط!$D$2:$D$1001,INT(INT(ROUND(MAX(J127,K127),2))/1000000)+1),"")&amp;IF(INT(MOD(INT(ROUND(MAX(J127,K127),2)),1000000)/1000)&gt;0," و"&amp;INDEX(تفقيط!$C$2:$C$1001,INT(MOD(INT(ROUND(MAX(J127,K127),2)),1000000)/1000)+1),"")&amp;IF(MOD(INT(ROUND(MAX(J127,K127),2)),1000)&gt;0," و"&amp;INDEX(تفقيط!$B$2:$B$1001,MOD(INT(ROUND(MAX(J127,K127),2)),1000)+1),""),3,400))&amp;" "&amp;CUR&amp;IF(ROUND((ROUND(MAX(J127,K127),2)-INT(ROUND(MAX(J127,K127),2)))*100,0)&gt;0," و"&amp;INDEX(تفقيط!$E$2:$E$1001,ROUND((ROUND(MAX(J127,K127),2)-INT(ROUND(MAX(J127,K127),2)))*100,0)+1),"")&amp;" لا غير")</f>
        <v/>
      </c>
    </row>
    <row r="128" customFormat="false" ht="15" hidden="false" customHeight="false" outlineLevel="0" collapsed="false">
      <c r="A128" s="62" t="str">
        <f aca="false">IF(C128="","",START_NO+COUNT(C$5:C128)-1)</f>
        <v/>
      </c>
      <c r="B128" s="63" t="str">
        <f aca="false">IF(A128="","",PREFIX&amp;"-"&amp;TEXT(C128,"yyyy")&amp;"-"&amp;A128)</f>
        <v/>
      </c>
      <c r="C128" s="56"/>
      <c r="D128" s="57"/>
      <c r="E128" s="58"/>
      <c r="F128" s="58"/>
      <c r="G128" s="57"/>
      <c r="H128" s="57"/>
      <c r="I128" s="57"/>
      <c r="J128" s="64" t="str">
        <f aca="false">IF(A128="","",SUMIFS('بنود السندات'!$F$5:$F$3004,'بنود السندات'!$A$5:$A$3004,A128))</f>
        <v/>
      </c>
      <c r="K128" s="64" t="str">
        <f aca="false">IF(A128="","",SUMIFS('بنود السندات'!$G$5:$G$3004,'بنود السندات'!$A$5:$A$3004,A128))</f>
        <v/>
      </c>
      <c r="L128" s="64" t="str">
        <f aca="false">IF(A128="","",ROUND(J128-K128,2))</f>
        <v/>
      </c>
      <c r="M128" s="63" t="str">
        <f aca="false">IF(A128="","",COUNTIF('بنود السندات'!$A$5:$A$3004,A128))</f>
        <v/>
      </c>
      <c r="N128" s="65" t="str">
        <f aca="false">IF(A128="","",IF(M128=0,"بدون بنود ⚠",IF(L128=0,"متوازن ✔","غير متوازن ✘")))</f>
        <v/>
      </c>
      <c r="O128" s="66" t="str">
        <f aca="false">IF(A128="","","فقط "&amp;IF(INT(ROUND(MAX(J128,K128),2))=0,"صفر",MID(IF(INT(INT(ROUND(MAX(J128,K128),2))/1000000)&gt;0," و"&amp;INDEX(تفقيط!$D$2:$D$1001,INT(INT(ROUND(MAX(J128,K128),2))/1000000)+1),"")&amp;IF(INT(MOD(INT(ROUND(MAX(J128,K128),2)),1000000)/1000)&gt;0," و"&amp;INDEX(تفقيط!$C$2:$C$1001,INT(MOD(INT(ROUND(MAX(J128,K128),2)),1000000)/1000)+1),"")&amp;IF(MOD(INT(ROUND(MAX(J128,K128),2)),1000)&gt;0," و"&amp;INDEX(تفقيط!$B$2:$B$1001,MOD(INT(ROUND(MAX(J128,K128),2)),1000)+1),""),3,400))&amp;" "&amp;CUR&amp;IF(ROUND((ROUND(MAX(J128,K128),2)-INT(ROUND(MAX(J128,K128),2)))*100,0)&gt;0," و"&amp;INDEX(تفقيط!$E$2:$E$1001,ROUND((ROUND(MAX(J128,K128),2)-INT(ROUND(MAX(J128,K128),2)))*100,0)+1),"")&amp;" لا غير")</f>
        <v/>
      </c>
    </row>
    <row r="129" customFormat="false" ht="15" hidden="false" customHeight="false" outlineLevel="0" collapsed="false">
      <c r="A129" s="54" t="str">
        <f aca="false">IF(C129="","",START_NO+COUNT(C$5:C129)-1)</f>
        <v/>
      </c>
      <c r="B129" s="55" t="str">
        <f aca="false">IF(A129="","",PREFIX&amp;"-"&amp;TEXT(C129,"yyyy")&amp;"-"&amp;A129)</f>
        <v/>
      </c>
      <c r="C129" s="56"/>
      <c r="D129" s="57"/>
      <c r="E129" s="58"/>
      <c r="F129" s="58"/>
      <c r="G129" s="57"/>
      <c r="H129" s="57"/>
      <c r="I129" s="57"/>
      <c r="J129" s="59" t="str">
        <f aca="false">IF(A129="","",SUMIFS('بنود السندات'!$F$5:$F$3004,'بنود السندات'!$A$5:$A$3004,A129))</f>
        <v/>
      </c>
      <c r="K129" s="59" t="str">
        <f aca="false">IF(A129="","",SUMIFS('بنود السندات'!$G$5:$G$3004,'بنود السندات'!$A$5:$A$3004,A129))</f>
        <v/>
      </c>
      <c r="L129" s="59" t="str">
        <f aca="false">IF(A129="","",ROUND(J129-K129,2))</f>
        <v/>
      </c>
      <c r="M129" s="55" t="str">
        <f aca="false">IF(A129="","",COUNTIF('بنود السندات'!$A$5:$A$3004,A129))</f>
        <v/>
      </c>
      <c r="N129" s="60" t="str">
        <f aca="false">IF(A129="","",IF(M129=0,"بدون بنود ⚠",IF(L129=0,"متوازن ✔","غير متوازن ✘")))</f>
        <v/>
      </c>
      <c r="O129" s="61" t="str">
        <f aca="false">IF(A129="","","فقط "&amp;IF(INT(ROUND(MAX(J129,K129),2))=0,"صفر",MID(IF(INT(INT(ROUND(MAX(J129,K129),2))/1000000)&gt;0," و"&amp;INDEX(تفقيط!$D$2:$D$1001,INT(INT(ROUND(MAX(J129,K129),2))/1000000)+1),"")&amp;IF(INT(MOD(INT(ROUND(MAX(J129,K129),2)),1000000)/1000)&gt;0," و"&amp;INDEX(تفقيط!$C$2:$C$1001,INT(MOD(INT(ROUND(MAX(J129,K129),2)),1000000)/1000)+1),"")&amp;IF(MOD(INT(ROUND(MAX(J129,K129),2)),1000)&gt;0," و"&amp;INDEX(تفقيط!$B$2:$B$1001,MOD(INT(ROUND(MAX(J129,K129),2)),1000)+1),""),3,400))&amp;" "&amp;CUR&amp;IF(ROUND((ROUND(MAX(J129,K129),2)-INT(ROUND(MAX(J129,K129),2)))*100,0)&gt;0," و"&amp;INDEX(تفقيط!$E$2:$E$1001,ROUND((ROUND(MAX(J129,K129),2)-INT(ROUND(MAX(J129,K129),2)))*100,0)+1),"")&amp;" لا غير")</f>
        <v/>
      </c>
    </row>
    <row r="130" customFormat="false" ht="15" hidden="false" customHeight="false" outlineLevel="0" collapsed="false">
      <c r="A130" s="62" t="str">
        <f aca="false">IF(C130="","",START_NO+COUNT(C$5:C130)-1)</f>
        <v/>
      </c>
      <c r="B130" s="63" t="str">
        <f aca="false">IF(A130="","",PREFIX&amp;"-"&amp;TEXT(C130,"yyyy")&amp;"-"&amp;A130)</f>
        <v/>
      </c>
      <c r="C130" s="56"/>
      <c r="D130" s="57"/>
      <c r="E130" s="58"/>
      <c r="F130" s="58"/>
      <c r="G130" s="57"/>
      <c r="H130" s="57"/>
      <c r="I130" s="57"/>
      <c r="J130" s="64" t="str">
        <f aca="false">IF(A130="","",SUMIFS('بنود السندات'!$F$5:$F$3004,'بنود السندات'!$A$5:$A$3004,A130))</f>
        <v/>
      </c>
      <c r="K130" s="64" t="str">
        <f aca="false">IF(A130="","",SUMIFS('بنود السندات'!$G$5:$G$3004,'بنود السندات'!$A$5:$A$3004,A130))</f>
        <v/>
      </c>
      <c r="L130" s="64" t="str">
        <f aca="false">IF(A130="","",ROUND(J130-K130,2))</f>
        <v/>
      </c>
      <c r="M130" s="63" t="str">
        <f aca="false">IF(A130="","",COUNTIF('بنود السندات'!$A$5:$A$3004,A130))</f>
        <v/>
      </c>
      <c r="N130" s="65" t="str">
        <f aca="false">IF(A130="","",IF(M130=0,"بدون بنود ⚠",IF(L130=0,"متوازن ✔","غير متوازن ✘")))</f>
        <v/>
      </c>
      <c r="O130" s="66" t="str">
        <f aca="false">IF(A130="","","فقط "&amp;IF(INT(ROUND(MAX(J130,K130),2))=0,"صفر",MID(IF(INT(INT(ROUND(MAX(J130,K130),2))/1000000)&gt;0," و"&amp;INDEX(تفقيط!$D$2:$D$1001,INT(INT(ROUND(MAX(J130,K130),2))/1000000)+1),"")&amp;IF(INT(MOD(INT(ROUND(MAX(J130,K130),2)),1000000)/1000)&gt;0," و"&amp;INDEX(تفقيط!$C$2:$C$1001,INT(MOD(INT(ROUND(MAX(J130,K130),2)),1000000)/1000)+1),"")&amp;IF(MOD(INT(ROUND(MAX(J130,K130),2)),1000)&gt;0," و"&amp;INDEX(تفقيط!$B$2:$B$1001,MOD(INT(ROUND(MAX(J130,K130),2)),1000)+1),""),3,400))&amp;" "&amp;CUR&amp;IF(ROUND((ROUND(MAX(J130,K130),2)-INT(ROUND(MAX(J130,K130),2)))*100,0)&gt;0," و"&amp;INDEX(تفقيط!$E$2:$E$1001,ROUND((ROUND(MAX(J130,K130),2)-INT(ROUND(MAX(J130,K130),2)))*100,0)+1),"")&amp;" لا غير")</f>
        <v/>
      </c>
    </row>
    <row r="131" customFormat="false" ht="15" hidden="false" customHeight="false" outlineLevel="0" collapsed="false">
      <c r="A131" s="54" t="str">
        <f aca="false">IF(C131="","",START_NO+COUNT(C$5:C131)-1)</f>
        <v/>
      </c>
      <c r="B131" s="55" t="str">
        <f aca="false">IF(A131="","",PREFIX&amp;"-"&amp;TEXT(C131,"yyyy")&amp;"-"&amp;A131)</f>
        <v/>
      </c>
      <c r="C131" s="56"/>
      <c r="D131" s="57"/>
      <c r="E131" s="58"/>
      <c r="F131" s="58"/>
      <c r="G131" s="57"/>
      <c r="H131" s="57"/>
      <c r="I131" s="57"/>
      <c r="J131" s="59" t="str">
        <f aca="false">IF(A131="","",SUMIFS('بنود السندات'!$F$5:$F$3004,'بنود السندات'!$A$5:$A$3004,A131))</f>
        <v/>
      </c>
      <c r="K131" s="59" t="str">
        <f aca="false">IF(A131="","",SUMIFS('بنود السندات'!$G$5:$G$3004,'بنود السندات'!$A$5:$A$3004,A131))</f>
        <v/>
      </c>
      <c r="L131" s="59" t="str">
        <f aca="false">IF(A131="","",ROUND(J131-K131,2))</f>
        <v/>
      </c>
      <c r="M131" s="55" t="str">
        <f aca="false">IF(A131="","",COUNTIF('بنود السندات'!$A$5:$A$3004,A131))</f>
        <v/>
      </c>
      <c r="N131" s="60" t="str">
        <f aca="false">IF(A131="","",IF(M131=0,"بدون بنود ⚠",IF(L131=0,"متوازن ✔","غير متوازن ✘")))</f>
        <v/>
      </c>
      <c r="O131" s="61" t="str">
        <f aca="false">IF(A131="","","فقط "&amp;IF(INT(ROUND(MAX(J131,K131),2))=0,"صفر",MID(IF(INT(INT(ROUND(MAX(J131,K131),2))/1000000)&gt;0," و"&amp;INDEX(تفقيط!$D$2:$D$1001,INT(INT(ROUND(MAX(J131,K131),2))/1000000)+1),"")&amp;IF(INT(MOD(INT(ROUND(MAX(J131,K131),2)),1000000)/1000)&gt;0," و"&amp;INDEX(تفقيط!$C$2:$C$1001,INT(MOD(INT(ROUND(MAX(J131,K131),2)),1000000)/1000)+1),"")&amp;IF(MOD(INT(ROUND(MAX(J131,K131),2)),1000)&gt;0," و"&amp;INDEX(تفقيط!$B$2:$B$1001,MOD(INT(ROUND(MAX(J131,K131),2)),1000)+1),""),3,400))&amp;" "&amp;CUR&amp;IF(ROUND((ROUND(MAX(J131,K131),2)-INT(ROUND(MAX(J131,K131),2)))*100,0)&gt;0," و"&amp;INDEX(تفقيط!$E$2:$E$1001,ROUND((ROUND(MAX(J131,K131),2)-INT(ROUND(MAX(J131,K131),2)))*100,0)+1),"")&amp;" لا غير")</f>
        <v/>
      </c>
    </row>
    <row r="132" customFormat="false" ht="15" hidden="false" customHeight="false" outlineLevel="0" collapsed="false">
      <c r="A132" s="62" t="str">
        <f aca="false">IF(C132="","",START_NO+COUNT(C$5:C132)-1)</f>
        <v/>
      </c>
      <c r="B132" s="63" t="str">
        <f aca="false">IF(A132="","",PREFIX&amp;"-"&amp;TEXT(C132,"yyyy")&amp;"-"&amp;A132)</f>
        <v/>
      </c>
      <c r="C132" s="56"/>
      <c r="D132" s="57"/>
      <c r="E132" s="58"/>
      <c r="F132" s="58"/>
      <c r="G132" s="57"/>
      <c r="H132" s="57"/>
      <c r="I132" s="57"/>
      <c r="J132" s="64" t="str">
        <f aca="false">IF(A132="","",SUMIFS('بنود السندات'!$F$5:$F$3004,'بنود السندات'!$A$5:$A$3004,A132))</f>
        <v/>
      </c>
      <c r="K132" s="64" t="str">
        <f aca="false">IF(A132="","",SUMIFS('بنود السندات'!$G$5:$G$3004,'بنود السندات'!$A$5:$A$3004,A132))</f>
        <v/>
      </c>
      <c r="L132" s="64" t="str">
        <f aca="false">IF(A132="","",ROUND(J132-K132,2))</f>
        <v/>
      </c>
      <c r="M132" s="63" t="str">
        <f aca="false">IF(A132="","",COUNTIF('بنود السندات'!$A$5:$A$3004,A132))</f>
        <v/>
      </c>
      <c r="N132" s="65" t="str">
        <f aca="false">IF(A132="","",IF(M132=0,"بدون بنود ⚠",IF(L132=0,"متوازن ✔","غير متوازن ✘")))</f>
        <v/>
      </c>
      <c r="O132" s="66" t="str">
        <f aca="false">IF(A132="","","فقط "&amp;IF(INT(ROUND(MAX(J132,K132),2))=0,"صفر",MID(IF(INT(INT(ROUND(MAX(J132,K132),2))/1000000)&gt;0," و"&amp;INDEX(تفقيط!$D$2:$D$1001,INT(INT(ROUND(MAX(J132,K132),2))/1000000)+1),"")&amp;IF(INT(MOD(INT(ROUND(MAX(J132,K132),2)),1000000)/1000)&gt;0," و"&amp;INDEX(تفقيط!$C$2:$C$1001,INT(MOD(INT(ROUND(MAX(J132,K132),2)),1000000)/1000)+1),"")&amp;IF(MOD(INT(ROUND(MAX(J132,K132),2)),1000)&gt;0," و"&amp;INDEX(تفقيط!$B$2:$B$1001,MOD(INT(ROUND(MAX(J132,K132),2)),1000)+1),""),3,400))&amp;" "&amp;CUR&amp;IF(ROUND((ROUND(MAX(J132,K132),2)-INT(ROUND(MAX(J132,K132),2)))*100,0)&gt;0," و"&amp;INDEX(تفقيط!$E$2:$E$1001,ROUND((ROUND(MAX(J132,K132),2)-INT(ROUND(MAX(J132,K132),2)))*100,0)+1),"")&amp;" لا غير")</f>
        <v/>
      </c>
    </row>
    <row r="133" customFormat="false" ht="15" hidden="false" customHeight="false" outlineLevel="0" collapsed="false">
      <c r="A133" s="54" t="str">
        <f aca="false">IF(C133="","",START_NO+COUNT(C$5:C133)-1)</f>
        <v/>
      </c>
      <c r="B133" s="55" t="str">
        <f aca="false">IF(A133="","",PREFIX&amp;"-"&amp;TEXT(C133,"yyyy")&amp;"-"&amp;A133)</f>
        <v/>
      </c>
      <c r="C133" s="56"/>
      <c r="D133" s="57"/>
      <c r="E133" s="58"/>
      <c r="F133" s="58"/>
      <c r="G133" s="57"/>
      <c r="H133" s="57"/>
      <c r="I133" s="57"/>
      <c r="J133" s="59" t="str">
        <f aca="false">IF(A133="","",SUMIFS('بنود السندات'!$F$5:$F$3004,'بنود السندات'!$A$5:$A$3004,A133))</f>
        <v/>
      </c>
      <c r="K133" s="59" t="str">
        <f aca="false">IF(A133="","",SUMIFS('بنود السندات'!$G$5:$G$3004,'بنود السندات'!$A$5:$A$3004,A133))</f>
        <v/>
      </c>
      <c r="L133" s="59" t="str">
        <f aca="false">IF(A133="","",ROUND(J133-K133,2))</f>
        <v/>
      </c>
      <c r="M133" s="55" t="str">
        <f aca="false">IF(A133="","",COUNTIF('بنود السندات'!$A$5:$A$3004,A133))</f>
        <v/>
      </c>
      <c r="N133" s="60" t="str">
        <f aca="false">IF(A133="","",IF(M133=0,"بدون بنود ⚠",IF(L133=0,"متوازن ✔","غير متوازن ✘")))</f>
        <v/>
      </c>
      <c r="O133" s="61" t="str">
        <f aca="false">IF(A133="","","فقط "&amp;IF(INT(ROUND(MAX(J133,K133),2))=0,"صفر",MID(IF(INT(INT(ROUND(MAX(J133,K133),2))/1000000)&gt;0," و"&amp;INDEX(تفقيط!$D$2:$D$1001,INT(INT(ROUND(MAX(J133,K133),2))/1000000)+1),"")&amp;IF(INT(MOD(INT(ROUND(MAX(J133,K133),2)),1000000)/1000)&gt;0," و"&amp;INDEX(تفقيط!$C$2:$C$1001,INT(MOD(INT(ROUND(MAX(J133,K133),2)),1000000)/1000)+1),"")&amp;IF(MOD(INT(ROUND(MAX(J133,K133),2)),1000)&gt;0," و"&amp;INDEX(تفقيط!$B$2:$B$1001,MOD(INT(ROUND(MAX(J133,K133),2)),1000)+1),""),3,400))&amp;" "&amp;CUR&amp;IF(ROUND((ROUND(MAX(J133,K133),2)-INT(ROUND(MAX(J133,K133),2)))*100,0)&gt;0," و"&amp;INDEX(تفقيط!$E$2:$E$1001,ROUND((ROUND(MAX(J133,K133),2)-INT(ROUND(MAX(J133,K133),2)))*100,0)+1),"")&amp;" لا غير")</f>
        <v/>
      </c>
    </row>
    <row r="134" customFormat="false" ht="15" hidden="false" customHeight="false" outlineLevel="0" collapsed="false">
      <c r="A134" s="62" t="str">
        <f aca="false">IF(C134="","",START_NO+COUNT(C$5:C134)-1)</f>
        <v/>
      </c>
      <c r="B134" s="63" t="str">
        <f aca="false">IF(A134="","",PREFIX&amp;"-"&amp;TEXT(C134,"yyyy")&amp;"-"&amp;A134)</f>
        <v/>
      </c>
      <c r="C134" s="56"/>
      <c r="D134" s="57"/>
      <c r="E134" s="58"/>
      <c r="F134" s="58"/>
      <c r="G134" s="57"/>
      <c r="H134" s="57"/>
      <c r="I134" s="57"/>
      <c r="J134" s="64" t="str">
        <f aca="false">IF(A134="","",SUMIFS('بنود السندات'!$F$5:$F$3004,'بنود السندات'!$A$5:$A$3004,A134))</f>
        <v/>
      </c>
      <c r="K134" s="64" t="str">
        <f aca="false">IF(A134="","",SUMIFS('بنود السندات'!$G$5:$G$3004,'بنود السندات'!$A$5:$A$3004,A134))</f>
        <v/>
      </c>
      <c r="L134" s="64" t="str">
        <f aca="false">IF(A134="","",ROUND(J134-K134,2))</f>
        <v/>
      </c>
      <c r="M134" s="63" t="str">
        <f aca="false">IF(A134="","",COUNTIF('بنود السندات'!$A$5:$A$3004,A134))</f>
        <v/>
      </c>
      <c r="N134" s="65" t="str">
        <f aca="false">IF(A134="","",IF(M134=0,"بدون بنود ⚠",IF(L134=0,"متوازن ✔","غير متوازن ✘")))</f>
        <v/>
      </c>
      <c r="O134" s="66" t="str">
        <f aca="false">IF(A134="","","فقط "&amp;IF(INT(ROUND(MAX(J134,K134),2))=0,"صفر",MID(IF(INT(INT(ROUND(MAX(J134,K134),2))/1000000)&gt;0," و"&amp;INDEX(تفقيط!$D$2:$D$1001,INT(INT(ROUND(MAX(J134,K134),2))/1000000)+1),"")&amp;IF(INT(MOD(INT(ROUND(MAX(J134,K134),2)),1000000)/1000)&gt;0," و"&amp;INDEX(تفقيط!$C$2:$C$1001,INT(MOD(INT(ROUND(MAX(J134,K134),2)),1000000)/1000)+1),"")&amp;IF(MOD(INT(ROUND(MAX(J134,K134),2)),1000)&gt;0," و"&amp;INDEX(تفقيط!$B$2:$B$1001,MOD(INT(ROUND(MAX(J134,K134),2)),1000)+1),""),3,400))&amp;" "&amp;CUR&amp;IF(ROUND((ROUND(MAX(J134,K134),2)-INT(ROUND(MAX(J134,K134),2)))*100,0)&gt;0," و"&amp;INDEX(تفقيط!$E$2:$E$1001,ROUND((ROUND(MAX(J134,K134),2)-INT(ROUND(MAX(J134,K134),2)))*100,0)+1),"")&amp;" لا غير")</f>
        <v/>
      </c>
    </row>
    <row r="135" customFormat="false" ht="15" hidden="false" customHeight="false" outlineLevel="0" collapsed="false">
      <c r="A135" s="54" t="str">
        <f aca="false">IF(C135="","",START_NO+COUNT(C$5:C135)-1)</f>
        <v/>
      </c>
      <c r="B135" s="55" t="str">
        <f aca="false">IF(A135="","",PREFIX&amp;"-"&amp;TEXT(C135,"yyyy")&amp;"-"&amp;A135)</f>
        <v/>
      </c>
      <c r="C135" s="56"/>
      <c r="D135" s="57"/>
      <c r="E135" s="58"/>
      <c r="F135" s="58"/>
      <c r="G135" s="57"/>
      <c r="H135" s="57"/>
      <c r="I135" s="57"/>
      <c r="J135" s="59" t="str">
        <f aca="false">IF(A135="","",SUMIFS('بنود السندات'!$F$5:$F$3004,'بنود السندات'!$A$5:$A$3004,A135))</f>
        <v/>
      </c>
      <c r="K135" s="59" t="str">
        <f aca="false">IF(A135="","",SUMIFS('بنود السندات'!$G$5:$G$3004,'بنود السندات'!$A$5:$A$3004,A135))</f>
        <v/>
      </c>
      <c r="L135" s="59" t="str">
        <f aca="false">IF(A135="","",ROUND(J135-K135,2))</f>
        <v/>
      </c>
      <c r="M135" s="55" t="str">
        <f aca="false">IF(A135="","",COUNTIF('بنود السندات'!$A$5:$A$3004,A135))</f>
        <v/>
      </c>
      <c r="N135" s="60" t="str">
        <f aca="false">IF(A135="","",IF(M135=0,"بدون بنود ⚠",IF(L135=0,"متوازن ✔","غير متوازن ✘")))</f>
        <v/>
      </c>
      <c r="O135" s="61" t="str">
        <f aca="false">IF(A135="","","فقط "&amp;IF(INT(ROUND(MAX(J135,K135),2))=0,"صفر",MID(IF(INT(INT(ROUND(MAX(J135,K135),2))/1000000)&gt;0," و"&amp;INDEX(تفقيط!$D$2:$D$1001,INT(INT(ROUND(MAX(J135,K135),2))/1000000)+1),"")&amp;IF(INT(MOD(INT(ROUND(MAX(J135,K135),2)),1000000)/1000)&gt;0," و"&amp;INDEX(تفقيط!$C$2:$C$1001,INT(MOD(INT(ROUND(MAX(J135,K135),2)),1000000)/1000)+1),"")&amp;IF(MOD(INT(ROUND(MAX(J135,K135),2)),1000)&gt;0," و"&amp;INDEX(تفقيط!$B$2:$B$1001,MOD(INT(ROUND(MAX(J135,K135),2)),1000)+1),""),3,400))&amp;" "&amp;CUR&amp;IF(ROUND((ROUND(MAX(J135,K135),2)-INT(ROUND(MAX(J135,K135),2)))*100,0)&gt;0," و"&amp;INDEX(تفقيط!$E$2:$E$1001,ROUND((ROUND(MAX(J135,K135),2)-INT(ROUND(MAX(J135,K135),2)))*100,0)+1),"")&amp;" لا غير")</f>
        <v/>
      </c>
    </row>
    <row r="136" customFormat="false" ht="15" hidden="false" customHeight="false" outlineLevel="0" collapsed="false">
      <c r="A136" s="62" t="str">
        <f aca="false">IF(C136="","",START_NO+COUNT(C$5:C136)-1)</f>
        <v/>
      </c>
      <c r="B136" s="63" t="str">
        <f aca="false">IF(A136="","",PREFIX&amp;"-"&amp;TEXT(C136,"yyyy")&amp;"-"&amp;A136)</f>
        <v/>
      </c>
      <c r="C136" s="56"/>
      <c r="D136" s="57"/>
      <c r="E136" s="58"/>
      <c r="F136" s="58"/>
      <c r="G136" s="57"/>
      <c r="H136" s="57"/>
      <c r="I136" s="57"/>
      <c r="J136" s="64" t="str">
        <f aca="false">IF(A136="","",SUMIFS('بنود السندات'!$F$5:$F$3004,'بنود السندات'!$A$5:$A$3004,A136))</f>
        <v/>
      </c>
      <c r="K136" s="64" t="str">
        <f aca="false">IF(A136="","",SUMIFS('بنود السندات'!$G$5:$G$3004,'بنود السندات'!$A$5:$A$3004,A136))</f>
        <v/>
      </c>
      <c r="L136" s="64" t="str">
        <f aca="false">IF(A136="","",ROUND(J136-K136,2))</f>
        <v/>
      </c>
      <c r="M136" s="63" t="str">
        <f aca="false">IF(A136="","",COUNTIF('بنود السندات'!$A$5:$A$3004,A136))</f>
        <v/>
      </c>
      <c r="N136" s="65" t="str">
        <f aca="false">IF(A136="","",IF(M136=0,"بدون بنود ⚠",IF(L136=0,"متوازن ✔","غير متوازن ✘")))</f>
        <v/>
      </c>
      <c r="O136" s="66" t="str">
        <f aca="false">IF(A136="","","فقط "&amp;IF(INT(ROUND(MAX(J136,K136),2))=0,"صفر",MID(IF(INT(INT(ROUND(MAX(J136,K136),2))/1000000)&gt;0," و"&amp;INDEX(تفقيط!$D$2:$D$1001,INT(INT(ROUND(MAX(J136,K136),2))/1000000)+1),"")&amp;IF(INT(MOD(INT(ROUND(MAX(J136,K136),2)),1000000)/1000)&gt;0," و"&amp;INDEX(تفقيط!$C$2:$C$1001,INT(MOD(INT(ROUND(MAX(J136,K136),2)),1000000)/1000)+1),"")&amp;IF(MOD(INT(ROUND(MAX(J136,K136),2)),1000)&gt;0," و"&amp;INDEX(تفقيط!$B$2:$B$1001,MOD(INT(ROUND(MAX(J136,K136),2)),1000)+1),""),3,400))&amp;" "&amp;CUR&amp;IF(ROUND((ROUND(MAX(J136,K136),2)-INT(ROUND(MAX(J136,K136),2)))*100,0)&gt;0," و"&amp;INDEX(تفقيط!$E$2:$E$1001,ROUND((ROUND(MAX(J136,K136),2)-INT(ROUND(MAX(J136,K136),2)))*100,0)+1),"")&amp;" لا غير")</f>
        <v/>
      </c>
    </row>
    <row r="137" customFormat="false" ht="15" hidden="false" customHeight="false" outlineLevel="0" collapsed="false">
      <c r="A137" s="54" t="str">
        <f aca="false">IF(C137="","",START_NO+COUNT(C$5:C137)-1)</f>
        <v/>
      </c>
      <c r="B137" s="55" t="str">
        <f aca="false">IF(A137="","",PREFIX&amp;"-"&amp;TEXT(C137,"yyyy")&amp;"-"&amp;A137)</f>
        <v/>
      </c>
      <c r="C137" s="56"/>
      <c r="D137" s="57"/>
      <c r="E137" s="58"/>
      <c r="F137" s="58"/>
      <c r="G137" s="57"/>
      <c r="H137" s="57"/>
      <c r="I137" s="57"/>
      <c r="J137" s="59" t="str">
        <f aca="false">IF(A137="","",SUMIFS('بنود السندات'!$F$5:$F$3004,'بنود السندات'!$A$5:$A$3004,A137))</f>
        <v/>
      </c>
      <c r="K137" s="59" t="str">
        <f aca="false">IF(A137="","",SUMIFS('بنود السندات'!$G$5:$G$3004,'بنود السندات'!$A$5:$A$3004,A137))</f>
        <v/>
      </c>
      <c r="L137" s="59" t="str">
        <f aca="false">IF(A137="","",ROUND(J137-K137,2))</f>
        <v/>
      </c>
      <c r="M137" s="55" t="str">
        <f aca="false">IF(A137="","",COUNTIF('بنود السندات'!$A$5:$A$3004,A137))</f>
        <v/>
      </c>
      <c r="N137" s="60" t="str">
        <f aca="false">IF(A137="","",IF(M137=0,"بدون بنود ⚠",IF(L137=0,"متوازن ✔","غير متوازن ✘")))</f>
        <v/>
      </c>
      <c r="O137" s="61" t="str">
        <f aca="false">IF(A137="","","فقط "&amp;IF(INT(ROUND(MAX(J137,K137),2))=0,"صفر",MID(IF(INT(INT(ROUND(MAX(J137,K137),2))/1000000)&gt;0," و"&amp;INDEX(تفقيط!$D$2:$D$1001,INT(INT(ROUND(MAX(J137,K137),2))/1000000)+1),"")&amp;IF(INT(MOD(INT(ROUND(MAX(J137,K137),2)),1000000)/1000)&gt;0," و"&amp;INDEX(تفقيط!$C$2:$C$1001,INT(MOD(INT(ROUND(MAX(J137,K137),2)),1000000)/1000)+1),"")&amp;IF(MOD(INT(ROUND(MAX(J137,K137),2)),1000)&gt;0," و"&amp;INDEX(تفقيط!$B$2:$B$1001,MOD(INT(ROUND(MAX(J137,K137),2)),1000)+1),""),3,400))&amp;" "&amp;CUR&amp;IF(ROUND((ROUND(MAX(J137,K137),2)-INT(ROUND(MAX(J137,K137),2)))*100,0)&gt;0," و"&amp;INDEX(تفقيط!$E$2:$E$1001,ROUND((ROUND(MAX(J137,K137),2)-INT(ROUND(MAX(J137,K137),2)))*100,0)+1),"")&amp;" لا غير")</f>
        <v/>
      </c>
    </row>
    <row r="138" customFormat="false" ht="15" hidden="false" customHeight="false" outlineLevel="0" collapsed="false">
      <c r="A138" s="62" t="str">
        <f aca="false">IF(C138="","",START_NO+COUNT(C$5:C138)-1)</f>
        <v/>
      </c>
      <c r="B138" s="63" t="str">
        <f aca="false">IF(A138="","",PREFIX&amp;"-"&amp;TEXT(C138,"yyyy")&amp;"-"&amp;A138)</f>
        <v/>
      </c>
      <c r="C138" s="56"/>
      <c r="D138" s="57"/>
      <c r="E138" s="58"/>
      <c r="F138" s="58"/>
      <c r="G138" s="57"/>
      <c r="H138" s="57"/>
      <c r="I138" s="57"/>
      <c r="J138" s="64" t="str">
        <f aca="false">IF(A138="","",SUMIFS('بنود السندات'!$F$5:$F$3004,'بنود السندات'!$A$5:$A$3004,A138))</f>
        <v/>
      </c>
      <c r="K138" s="64" t="str">
        <f aca="false">IF(A138="","",SUMIFS('بنود السندات'!$G$5:$G$3004,'بنود السندات'!$A$5:$A$3004,A138))</f>
        <v/>
      </c>
      <c r="L138" s="64" t="str">
        <f aca="false">IF(A138="","",ROUND(J138-K138,2))</f>
        <v/>
      </c>
      <c r="M138" s="63" t="str">
        <f aca="false">IF(A138="","",COUNTIF('بنود السندات'!$A$5:$A$3004,A138))</f>
        <v/>
      </c>
      <c r="N138" s="65" t="str">
        <f aca="false">IF(A138="","",IF(M138=0,"بدون بنود ⚠",IF(L138=0,"متوازن ✔","غير متوازن ✘")))</f>
        <v/>
      </c>
      <c r="O138" s="66" t="str">
        <f aca="false">IF(A138="","","فقط "&amp;IF(INT(ROUND(MAX(J138,K138),2))=0,"صفر",MID(IF(INT(INT(ROUND(MAX(J138,K138),2))/1000000)&gt;0," و"&amp;INDEX(تفقيط!$D$2:$D$1001,INT(INT(ROUND(MAX(J138,K138),2))/1000000)+1),"")&amp;IF(INT(MOD(INT(ROUND(MAX(J138,K138),2)),1000000)/1000)&gt;0," و"&amp;INDEX(تفقيط!$C$2:$C$1001,INT(MOD(INT(ROUND(MAX(J138,K138),2)),1000000)/1000)+1),"")&amp;IF(MOD(INT(ROUND(MAX(J138,K138),2)),1000)&gt;0," و"&amp;INDEX(تفقيط!$B$2:$B$1001,MOD(INT(ROUND(MAX(J138,K138),2)),1000)+1),""),3,400))&amp;" "&amp;CUR&amp;IF(ROUND((ROUND(MAX(J138,K138),2)-INT(ROUND(MAX(J138,K138),2)))*100,0)&gt;0," و"&amp;INDEX(تفقيط!$E$2:$E$1001,ROUND((ROUND(MAX(J138,K138),2)-INT(ROUND(MAX(J138,K138),2)))*100,0)+1),"")&amp;" لا غير")</f>
        <v/>
      </c>
    </row>
    <row r="139" customFormat="false" ht="15" hidden="false" customHeight="false" outlineLevel="0" collapsed="false">
      <c r="A139" s="54" t="str">
        <f aca="false">IF(C139="","",START_NO+COUNT(C$5:C139)-1)</f>
        <v/>
      </c>
      <c r="B139" s="55" t="str">
        <f aca="false">IF(A139="","",PREFIX&amp;"-"&amp;TEXT(C139,"yyyy")&amp;"-"&amp;A139)</f>
        <v/>
      </c>
      <c r="C139" s="56"/>
      <c r="D139" s="57"/>
      <c r="E139" s="58"/>
      <c r="F139" s="58"/>
      <c r="G139" s="57"/>
      <c r="H139" s="57"/>
      <c r="I139" s="57"/>
      <c r="J139" s="59" t="str">
        <f aca="false">IF(A139="","",SUMIFS('بنود السندات'!$F$5:$F$3004,'بنود السندات'!$A$5:$A$3004,A139))</f>
        <v/>
      </c>
      <c r="K139" s="59" t="str">
        <f aca="false">IF(A139="","",SUMIFS('بنود السندات'!$G$5:$G$3004,'بنود السندات'!$A$5:$A$3004,A139))</f>
        <v/>
      </c>
      <c r="L139" s="59" t="str">
        <f aca="false">IF(A139="","",ROUND(J139-K139,2))</f>
        <v/>
      </c>
      <c r="M139" s="55" t="str">
        <f aca="false">IF(A139="","",COUNTIF('بنود السندات'!$A$5:$A$3004,A139))</f>
        <v/>
      </c>
      <c r="N139" s="60" t="str">
        <f aca="false">IF(A139="","",IF(M139=0,"بدون بنود ⚠",IF(L139=0,"متوازن ✔","غير متوازن ✘")))</f>
        <v/>
      </c>
      <c r="O139" s="61" t="str">
        <f aca="false">IF(A139="","","فقط "&amp;IF(INT(ROUND(MAX(J139,K139),2))=0,"صفر",MID(IF(INT(INT(ROUND(MAX(J139,K139),2))/1000000)&gt;0," و"&amp;INDEX(تفقيط!$D$2:$D$1001,INT(INT(ROUND(MAX(J139,K139),2))/1000000)+1),"")&amp;IF(INT(MOD(INT(ROUND(MAX(J139,K139),2)),1000000)/1000)&gt;0," و"&amp;INDEX(تفقيط!$C$2:$C$1001,INT(MOD(INT(ROUND(MAX(J139,K139),2)),1000000)/1000)+1),"")&amp;IF(MOD(INT(ROUND(MAX(J139,K139),2)),1000)&gt;0," و"&amp;INDEX(تفقيط!$B$2:$B$1001,MOD(INT(ROUND(MAX(J139,K139),2)),1000)+1),""),3,400))&amp;" "&amp;CUR&amp;IF(ROUND((ROUND(MAX(J139,K139),2)-INT(ROUND(MAX(J139,K139),2)))*100,0)&gt;0," و"&amp;INDEX(تفقيط!$E$2:$E$1001,ROUND((ROUND(MAX(J139,K139),2)-INT(ROUND(MAX(J139,K139),2)))*100,0)+1),"")&amp;" لا غير")</f>
        <v/>
      </c>
    </row>
    <row r="140" customFormat="false" ht="15" hidden="false" customHeight="false" outlineLevel="0" collapsed="false">
      <c r="A140" s="62" t="str">
        <f aca="false">IF(C140="","",START_NO+COUNT(C$5:C140)-1)</f>
        <v/>
      </c>
      <c r="B140" s="63" t="str">
        <f aca="false">IF(A140="","",PREFIX&amp;"-"&amp;TEXT(C140,"yyyy")&amp;"-"&amp;A140)</f>
        <v/>
      </c>
      <c r="C140" s="56"/>
      <c r="D140" s="57"/>
      <c r="E140" s="58"/>
      <c r="F140" s="58"/>
      <c r="G140" s="57"/>
      <c r="H140" s="57"/>
      <c r="I140" s="57"/>
      <c r="J140" s="64" t="str">
        <f aca="false">IF(A140="","",SUMIFS('بنود السندات'!$F$5:$F$3004,'بنود السندات'!$A$5:$A$3004,A140))</f>
        <v/>
      </c>
      <c r="K140" s="64" t="str">
        <f aca="false">IF(A140="","",SUMIFS('بنود السندات'!$G$5:$G$3004,'بنود السندات'!$A$5:$A$3004,A140))</f>
        <v/>
      </c>
      <c r="L140" s="64" t="str">
        <f aca="false">IF(A140="","",ROUND(J140-K140,2))</f>
        <v/>
      </c>
      <c r="M140" s="63" t="str">
        <f aca="false">IF(A140="","",COUNTIF('بنود السندات'!$A$5:$A$3004,A140))</f>
        <v/>
      </c>
      <c r="N140" s="65" t="str">
        <f aca="false">IF(A140="","",IF(M140=0,"بدون بنود ⚠",IF(L140=0,"متوازن ✔","غير متوازن ✘")))</f>
        <v/>
      </c>
      <c r="O140" s="66" t="str">
        <f aca="false">IF(A140="","","فقط "&amp;IF(INT(ROUND(MAX(J140,K140),2))=0,"صفر",MID(IF(INT(INT(ROUND(MAX(J140,K140),2))/1000000)&gt;0," و"&amp;INDEX(تفقيط!$D$2:$D$1001,INT(INT(ROUND(MAX(J140,K140),2))/1000000)+1),"")&amp;IF(INT(MOD(INT(ROUND(MAX(J140,K140),2)),1000000)/1000)&gt;0," و"&amp;INDEX(تفقيط!$C$2:$C$1001,INT(MOD(INT(ROUND(MAX(J140,K140),2)),1000000)/1000)+1),"")&amp;IF(MOD(INT(ROUND(MAX(J140,K140),2)),1000)&gt;0," و"&amp;INDEX(تفقيط!$B$2:$B$1001,MOD(INT(ROUND(MAX(J140,K140),2)),1000)+1),""),3,400))&amp;" "&amp;CUR&amp;IF(ROUND((ROUND(MAX(J140,K140),2)-INT(ROUND(MAX(J140,K140),2)))*100,0)&gt;0," و"&amp;INDEX(تفقيط!$E$2:$E$1001,ROUND((ROUND(MAX(J140,K140),2)-INT(ROUND(MAX(J140,K140),2)))*100,0)+1),"")&amp;" لا غير")</f>
        <v/>
      </c>
    </row>
    <row r="141" customFormat="false" ht="15" hidden="false" customHeight="false" outlineLevel="0" collapsed="false">
      <c r="A141" s="54" t="str">
        <f aca="false">IF(C141="","",START_NO+COUNT(C$5:C141)-1)</f>
        <v/>
      </c>
      <c r="B141" s="55" t="str">
        <f aca="false">IF(A141="","",PREFIX&amp;"-"&amp;TEXT(C141,"yyyy")&amp;"-"&amp;A141)</f>
        <v/>
      </c>
      <c r="C141" s="56"/>
      <c r="D141" s="57"/>
      <c r="E141" s="58"/>
      <c r="F141" s="58"/>
      <c r="G141" s="57"/>
      <c r="H141" s="57"/>
      <c r="I141" s="57"/>
      <c r="J141" s="59" t="str">
        <f aca="false">IF(A141="","",SUMIFS('بنود السندات'!$F$5:$F$3004,'بنود السندات'!$A$5:$A$3004,A141))</f>
        <v/>
      </c>
      <c r="K141" s="59" t="str">
        <f aca="false">IF(A141="","",SUMIFS('بنود السندات'!$G$5:$G$3004,'بنود السندات'!$A$5:$A$3004,A141))</f>
        <v/>
      </c>
      <c r="L141" s="59" t="str">
        <f aca="false">IF(A141="","",ROUND(J141-K141,2))</f>
        <v/>
      </c>
      <c r="M141" s="55" t="str">
        <f aca="false">IF(A141="","",COUNTIF('بنود السندات'!$A$5:$A$3004,A141))</f>
        <v/>
      </c>
      <c r="N141" s="60" t="str">
        <f aca="false">IF(A141="","",IF(M141=0,"بدون بنود ⚠",IF(L141=0,"متوازن ✔","غير متوازن ✘")))</f>
        <v/>
      </c>
      <c r="O141" s="61" t="str">
        <f aca="false">IF(A141="","","فقط "&amp;IF(INT(ROUND(MAX(J141,K141),2))=0,"صفر",MID(IF(INT(INT(ROUND(MAX(J141,K141),2))/1000000)&gt;0," و"&amp;INDEX(تفقيط!$D$2:$D$1001,INT(INT(ROUND(MAX(J141,K141),2))/1000000)+1),"")&amp;IF(INT(MOD(INT(ROUND(MAX(J141,K141),2)),1000000)/1000)&gt;0," و"&amp;INDEX(تفقيط!$C$2:$C$1001,INT(MOD(INT(ROUND(MAX(J141,K141),2)),1000000)/1000)+1),"")&amp;IF(MOD(INT(ROUND(MAX(J141,K141),2)),1000)&gt;0," و"&amp;INDEX(تفقيط!$B$2:$B$1001,MOD(INT(ROUND(MAX(J141,K141),2)),1000)+1),""),3,400))&amp;" "&amp;CUR&amp;IF(ROUND((ROUND(MAX(J141,K141),2)-INT(ROUND(MAX(J141,K141),2)))*100,0)&gt;0," و"&amp;INDEX(تفقيط!$E$2:$E$1001,ROUND((ROUND(MAX(J141,K141),2)-INT(ROUND(MAX(J141,K141),2)))*100,0)+1),"")&amp;" لا غير")</f>
        <v/>
      </c>
    </row>
    <row r="142" customFormat="false" ht="15" hidden="false" customHeight="false" outlineLevel="0" collapsed="false">
      <c r="A142" s="62" t="str">
        <f aca="false">IF(C142="","",START_NO+COUNT(C$5:C142)-1)</f>
        <v/>
      </c>
      <c r="B142" s="63" t="str">
        <f aca="false">IF(A142="","",PREFIX&amp;"-"&amp;TEXT(C142,"yyyy")&amp;"-"&amp;A142)</f>
        <v/>
      </c>
      <c r="C142" s="56"/>
      <c r="D142" s="57"/>
      <c r="E142" s="58"/>
      <c r="F142" s="58"/>
      <c r="G142" s="57"/>
      <c r="H142" s="57"/>
      <c r="I142" s="57"/>
      <c r="J142" s="64" t="str">
        <f aca="false">IF(A142="","",SUMIFS('بنود السندات'!$F$5:$F$3004,'بنود السندات'!$A$5:$A$3004,A142))</f>
        <v/>
      </c>
      <c r="K142" s="64" t="str">
        <f aca="false">IF(A142="","",SUMIFS('بنود السندات'!$G$5:$G$3004,'بنود السندات'!$A$5:$A$3004,A142))</f>
        <v/>
      </c>
      <c r="L142" s="64" t="str">
        <f aca="false">IF(A142="","",ROUND(J142-K142,2))</f>
        <v/>
      </c>
      <c r="M142" s="63" t="str">
        <f aca="false">IF(A142="","",COUNTIF('بنود السندات'!$A$5:$A$3004,A142))</f>
        <v/>
      </c>
      <c r="N142" s="65" t="str">
        <f aca="false">IF(A142="","",IF(M142=0,"بدون بنود ⚠",IF(L142=0,"متوازن ✔","غير متوازن ✘")))</f>
        <v/>
      </c>
      <c r="O142" s="66" t="str">
        <f aca="false">IF(A142="","","فقط "&amp;IF(INT(ROUND(MAX(J142,K142),2))=0,"صفر",MID(IF(INT(INT(ROUND(MAX(J142,K142),2))/1000000)&gt;0," و"&amp;INDEX(تفقيط!$D$2:$D$1001,INT(INT(ROUND(MAX(J142,K142),2))/1000000)+1),"")&amp;IF(INT(MOD(INT(ROUND(MAX(J142,K142),2)),1000000)/1000)&gt;0," و"&amp;INDEX(تفقيط!$C$2:$C$1001,INT(MOD(INT(ROUND(MAX(J142,K142),2)),1000000)/1000)+1),"")&amp;IF(MOD(INT(ROUND(MAX(J142,K142),2)),1000)&gt;0," و"&amp;INDEX(تفقيط!$B$2:$B$1001,MOD(INT(ROUND(MAX(J142,K142),2)),1000)+1),""),3,400))&amp;" "&amp;CUR&amp;IF(ROUND((ROUND(MAX(J142,K142),2)-INT(ROUND(MAX(J142,K142),2)))*100,0)&gt;0," و"&amp;INDEX(تفقيط!$E$2:$E$1001,ROUND((ROUND(MAX(J142,K142),2)-INT(ROUND(MAX(J142,K142),2)))*100,0)+1),"")&amp;" لا غير")</f>
        <v/>
      </c>
    </row>
    <row r="143" customFormat="false" ht="15" hidden="false" customHeight="false" outlineLevel="0" collapsed="false">
      <c r="A143" s="54" t="str">
        <f aca="false">IF(C143="","",START_NO+COUNT(C$5:C143)-1)</f>
        <v/>
      </c>
      <c r="B143" s="55" t="str">
        <f aca="false">IF(A143="","",PREFIX&amp;"-"&amp;TEXT(C143,"yyyy")&amp;"-"&amp;A143)</f>
        <v/>
      </c>
      <c r="C143" s="56"/>
      <c r="D143" s="57"/>
      <c r="E143" s="58"/>
      <c r="F143" s="58"/>
      <c r="G143" s="57"/>
      <c r="H143" s="57"/>
      <c r="I143" s="57"/>
      <c r="J143" s="59" t="str">
        <f aca="false">IF(A143="","",SUMIFS('بنود السندات'!$F$5:$F$3004,'بنود السندات'!$A$5:$A$3004,A143))</f>
        <v/>
      </c>
      <c r="K143" s="59" t="str">
        <f aca="false">IF(A143="","",SUMIFS('بنود السندات'!$G$5:$G$3004,'بنود السندات'!$A$5:$A$3004,A143))</f>
        <v/>
      </c>
      <c r="L143" s="59" t="str">
        <f aca="false">IF(A143="","",ROUND(J143-K143,2))</f>
        <v/>
      </c>
      <c r="M143" s="55" t="str">
        <f aca="false">IF(A143="","",COUNTIF('بنود السندات'!$A$5:$A$3004,A143))</f>
        <v/>
      </c>
      <c r="N143" s="60" t="str">
        <f aca="false">IF(A143="","",IF(M143=0,"بدون بنود ⚠",IF(L143=0,"متوازن ✔","غير متوازن ✘")))</f>
        <v/>
      </c>
      <c r="O143" s="61" t="str">
        <f aca="false">IF(A143="","","فقط "&amp;IF(INT(ROUND(MAX(J143,K143),2))=0,"صفر",MID(IF(INT(INT(ROUND(MAX(J143,K143),2))/1000000)&gt;0," و"&amp;INDEX(تفقيط!$D$2:$D$1001,INT(INT(ROUND(MAX(J143,K143),2))/1000000)+1),"")&amp;IF(INT(MOD(INT(ROUND(MAX(J143,K143),2)),1000000)/1000)&gt;0," و"&amp;INDEX(تفقيط!$C$2:$C$1001,INT(MOD(INT(ROUND(MAX(J143,K143),2)),1000000)/1000)+1),"")&amp;IF(MOD(INT(ROUND(MAX(J143,K143),2)),1000)&gt;0," و"&amp;INDEX(تفقيط!$B$2:$B$1001,MOD(INT(ROUND(MAX(J143,K143),2)),1000)+1),""),3,400))&amp;" "&amp;CUR&amp;IF(ROUND((ROUND(MAX(J143,K143),2)-INT(ROUND(MAX(J143,K143),2)))*100,0)&gt;0," و"&amp;INDEX(تفقيط!$E$2:$E$1001,ROUND((ROUND(MAX(J143,K143),2)-INT(ROUND(MAX(J143,K143),2)))*100,0)+1),"")&amp;" لا غير")</f>
        <v/>
      </c>
    </row>
    <row r="144" customFormat="false" ht="15" hidden="false" customHeight="false" outlineLevel="0" collapsed="false">
      <c r="A144" s="62" t="str">
        <f aca="false">IF(C144="","",START_NO+COUNT(C$5:C144)-1)</f>
        <v/>
      </c>
      <c r="B144" s="63" t="str">
        <f aca="false">IF(A144="","",PREFIX&amp;"-"&amp;TEXT(C144,"yyyy")&amp;"-"&amp;A144)</f>
        <v/>
      </c>
      <c r="C144" s="56"/>
      <c r="D144" s="57"/>
      <c r="E144" s="58"/>
      <c r="F144" s="58"/>
      <c r="G144" s="57"/>
      <c r="H144" s="57"/>
      <c r="I144" s="57"/>
      <c r="J144" s="64" t="str">
        <f aca="false">IF(A144="","",SUMIFS('بنود السندات'!$F$5:$F$3004,'بنود السندات'!$A$5:$A$3004,A144))</f>
        <v/>
      </c>
      <c r="K144" s="64" t="str">
        <f aca="false">IF(A144="","",SUMIFS('بنود السندات'!$G$5:$G$3004,'بنود السندات'!$A$5:$A$3004,A144))</f>
        <v/>
      </c>
      <c r="L144" s="64" t="str">
        <f aca="false">IF(A144="","",ROUND(J144-K144,2))</f>
        <v/>
      </c>
      <c r="M144" s="63" t="str">
        <f aca="false">IF(A144="","",COUNTIF('بنود السندات'!$A$5:$A$3004,A144))</f>
        <v/>
      </c>
      <c r="N144" s="65" t="str">
        <f aca="false">IF(A144="","",IF(M144=0,"بدون بنود ⚠",IF(L144=0,"متوازن ✔","غير متوازن ✘")))</f>
        <v/>
      </c>
      <c r="O144" s="66" t="str">
        <f aca="false">IF(A144="","","فقط "&amp;IF(INT(ROUND(MAX(J144,K144),2))=0,"صفر",MID(IF(INT(INT(ROUND(MAX(J144,K144),2))/1000000)&gt;0," و"&amp;INDEX(تفقيط!$D$2:$D$1001,INT(INT(ROUND(MAX(J144,K144),2))/1000000)+1),"")&amp;IF(INT(MOD(INT(ROUND(MAX(J144,K144),2)),1000000)/1000)&gt;0," و"&amp;INDEX(تفقيط!$C$2:$C$1001,INT(MOD(INT(ROUND(MAX(J144,K144),2)),1000000)/1000)+1),"")&amp;IF(MOD(INT(ROUND(MAX(J144,K144),2)),1000)&gt;0," و"&amp;INDEX(تفقيط!$B$2:$B$1001,MOD(INT(ROUND(MAX(J144,K144),2)),1000)+1),""),3,400))&amp;" "&amp;CUR&amp;IF(ROUND((ROUND(MAX(J144,K144),2)-INT(ROUND(MAX(J144,K144),2)))*100,0)&gt;0," و"&amp;INDEX(تفقيط!$E$2:$E$1001,ROUND((ROUND(MAX(J144,K144),2)-INT(ROUND(MAX(J144,K144),2)))*100,0)+1),"")&amp;" لا غير")</f>
        <v/>
      </c>
    </row>
    <row r="145" customFormat="false" ht="15" hidden="false" customHeight="false" outlineLevel="0" collapsed="false">
      <c r="A145" s="54" t="str">
        <f aca="false">IF(C145="","",START_NO+COUNT(C$5:C145)-1)</f>
        <v/>
      </c>
      <c r="B145" s="55" t="str">
        <f aca="false">IF(A145="","",PREFIX&amp;"-"&amp;TEXT(C145,"yyyy")&amp;"-"&amp;A145)</f>
        <v/>
      </c>
      <c r="C145" s="56"/>
      <c r="D145" s="57"/>
      <c r="E145" s="58"/>
      <c r="F145" s="58"/>
      <c r="G145" s="57"/>
      <c r="H145" s="57"/>
      <c r="I145" s="57"/>
      <c r="J145" s="59" t="str">
        <f aca="false">IF(A145="","",SUMIFS('بنود السندات'!$F$5:$F$3004,'بنود السندات'!$A$5:$A$3004,A145))</f>
        <v/>
      </c>
      <c r="K145" s="59" t="str">
        <f aca="false">IF(A145="","",SUMIFS('بنود السندات'!$G$5:$G$3004,'بنود السندات'!$A$5:$A$3004,A145))</f>
        <v/>
      </c>
      <c r="L145" s="59" t="str">
        <f aca="false">IF(A145="","",ROUND(J145-K145,2))</f>
        <v/>
      </c>
      <c r="M145" s="55" t="str">
        <f aca="false">IF(A145="","",COUNTIF('بنود السندات'!$A$5:$A$3004,A145))</f>
        <v/>
      </c>
      <c r="N145" s="60" t="str">
        <f aca="false">IF(A145="","",IF(M145=0,"بدون بنود ⚠",IF(L145=0,"متوازن ✔","غير متوازن ✘")))</f>
        <v/>
      </c>
      <c r="O145" s="61" t="str">
        <f aca="false">IF(A145="","","فقط "&amp;IF(INT(ROUND(MAX(J145,K145),2))=0,"صفر",MID(IF(INT(INT(ROUND(MAX(J145,K145),2))/1000000)&gt;0," و"&amp;INDEX(تفقيط!$D$2:$D$1001,INT(INT(ROUND(MAX(J145,K145),2))/1000000)+1),"")&amp;IF(INT(MOD(INT(ROUND(MAX(J145,K145),2)),1000000)/1000)&gt;0," و"&amp;INDEX(تفقيط!$C$2:$C$1001,INT(MOD(INT(ROUND(MAX(J145,K145),2)),1000000)/1000)+1),"")&amp;IF(MOD(INT(ROUND(MAX(J145,K145),2)),1000)&gt;0," و"&amp;INDEX(تفقيط!$B$2:$B$1001,MOD(INT(ROUND(MAX(J145,K145),2)),1000)+1),""),3,400))&amp;" "&amp;CUR&amp;IF(ROUND((ROUND(MAX(J145,K145),2)-INT(ROUND(MAX(J145,K145),2)))*100,0)&gt;0," و"&amp;INDEX(تفقيط!$E$2:$E$1001,ROUND((ROUND(MAX(J145,K145),2)-INT(ROUND(MAX(J145,K145),2)))*100,0)+1),"")&amp;" لا غير")</f>
        <v/>
      </c>
    </row>
    <row r="146" customFormat="false" ht="15" hidden="false" customHeight="false" outlineLevel="0" collapsed="false">
      <c r="A146" s="62" t="str">
        <f aca="false">IF(C146="","",START_NO+COUNT(C$5:C146)-1)</f>
        <v/>
      </c>
      <c r="B146" s="63" t="str">
        <f aca="false">IF(A146="","",PREFIX&amp;"-"&amp;TEXT(C146,"yyyy")&amp;"-"&amp;A146)</f>
        <v/>
      </c>
      <c r="C146" s="56"/>
      <c r="D146" s="57"/>
      <c r="E146" s="58"/>
      <c r="F146" s="58"/>
      <c r="G146" s="57"/>
      <c r="H146" s="57"/>
      <c r="I146" s="57"/>
      <c r="J146" s="64" t="str">
        <f aca="false">IF(A146="","",SUMIFS('بنود السندات'!$F$5:$F$3004,'بنود السندات'!$A$5:$A$3004,A146))</f>
        <v/>
      </c>
      <c r="K146" s="64" t="str">
        <f aca="false">IF(A146="","",SUMIFS('بنود السندات'!$G$5:$G$3004,'بنود السندات'!$A$5:$A$3004,A146))</f>
        <v/>
      </c>
      <c r="L146" s="64" t="str">
        <f aca="false">IF(A146="","",ROUND(J146-K146,2))</f>
        <v/>
      </c>
      <c r="M146" s="63" t="str">
        <f aca="false">IF(A146="","",COUNTIF('بنود السندات'!$A$5:$A$3004,A146))</f>
        <v/>
      </c>
      <c r="N146" s="65" t="str">
        <f aca="false">IF(A146="","",IF(M146=0,"بدون بنود ⚠",IF(L146=0,"متوازن ✔","غير متوازن ✘")))</f>
        <v/>
      </c>
      <c r="O146" s="66" t="str">
        <f aca="false">IF(A146="","","فقط "&amp;IF(INT(ROUND(MAX(J146,K146),2))=0,"صفر",MID(IF(INT(INT(ROUND(MAX(J146,K146),2))/1000000)&gt;0," و"&amp;INDEX(تفقيط!$D$2:$D$1001,INT(INT(ROUND(MAX(J146,K146),2))/1000000)+1),"")&amp;IF(INT(MOD(INT(ROUND(MAX(J146,K146),2)),1000000)/1000)&gt;0," و"&amp;INDEX(تفقيط!$C$2:$C$1001,INT(MOD(INT(ROUND(MAX(J146,K146),2)),1000000)/1000)+1),"")&amp;IF(MOD(INT(ROUND(MAX(J146,K146),2)),1000)&gt;0," و"&amp;INDEX(تفقيط!$B$2:$B$1001,MOD(INT(ROUND(MAX(J146,K146),2)),1000)+1),""),3,400))&amp;" "&amp;CUR&amp;IF(ROUND((ROUND(MAX(J146,K146),2)-INT(ROUND(MAX(J146,K146),2)))*100,0)&gt;0," و"&amp;INDEX(تفقيط!$E$2:$E$1001,ROUND((ROUND(MAX(J146,K146),2)-INT(ROUND(MAX(J146,K146),2)))*100,0)+1),"")&amp;" لا غير")</f>
        <v/>
      </c>
    </row>
    <row r="147" customFormat="false" ht="15" hidden="false" customHeight="false" outlineLevel="0" collapsed="false">
      <c r="A147" s="54" t="str">
        <f aca="false">IF(C147="","",START_NO+COUNT(C$5:C147)-1)</f>
        <v/>
      </c>
      <c r="B147" s="55" t="str">
        <f aca="false">IF(A147="","",PREFIX&amp;"-"&amp;TEXT(C147,"yyyy")&amp;"-"&amp;A147)</f>
        <v/>
      </c>
      <c r="C147" s="56"/>
      <c r="D147" s="57"/>
      <c r="E147" s="58"/>
      <c r="F147" s="58"/>
      <c r="G147" s="57"/>
      <c r="H147" s="57"/>
      <c r="I147" s="57"/>
      <c r="J147" s="59" t="str">
        <f aca="false">IF(A147="","",SUMIFS('بنود السندات'!$F$5:$F$3004,'بنود السندات'!$A$5:$A$3004,A147))</f>
        <v/>
      </c>
      <c r="K147" s="59" t="str">
        <f aca="false">IF(A147="","",SUMIFS('بنود السندات'!$G$5:$G$3004,'بنود السندات'!$A$5:$A$3004,A147))</f>
        <v/>
      </c>
      <c r="L147" s="59" t="str">
        <f aca="false">IF(A147="","",ROUND(J147-K147,2))</f>
        <v/>
      </c>
      <c r="M147" s="55" t="str">
        <f aca="false">IF(A147="","",COUNTIF('بنود السندات'!$A$5:$A$3004,A147))</f>
        <v/>
      </c>
      <c r="N147" s="60" t="str">
        <f aca="false">IF(A147="","",IF(M147=0,"بدون بنود ⚠",IF(L147=0,"متوازن ✔","غير متوازن ✘")))</f>
        <v/>
      </c>
      <c r="O147" s="61" t="str">
        <f aca="false">IF(A147="","","فقط "&amp;IF(INT(ROUND(MAX(J147,K147),2))=0,"صفر",MID(IF(INT(INT(ROUND(MAX(J147,K147),2))/1000000)&gt;0," و"&amp;INDEX(تفقيط!$D$2:$D$1001,INT(INT(ROUND(MAX(J147,K147),2))/1000000)+1),"")&amp;IF(INT(MOD(INT(ROUND(MAX(J147,K147),2)),1000000)/1000)&gt;0," و"&amp;INDEX(تفقيط!$C$2:$C$1001,INT(MOD(INT(ROUND(MAX(J147,K147),2)),1000000)/1000)+1),"")&amp;IF(MOD(INT(ROUND(MAX(J147,K147),2)),1000)&gt;0," و"&amp;INDEX(تفقيط!$B$2:$B$1001,MOD(INT(ROUND(MAX(J147,K147),2)),1000)+1),""),3,400))&amp;" "&amp;CUR&amp;IF(ROUND((ROUND(MAX(J147,K147),2)-INT(ROUND(MAX(J147,K147),2)))*100,0)&gt;0," و"&amp;INDEX(تفقيط!$E$2:$E$1001,ROUND((ROUND(MAX(J147,K147),2)-INT(ROUND(MAX(J147,K147),2)))*100,0)+1),"")&amp;" لا غير")</f>
        <v/>
      </c>
    </row>
    <row r="148" customFormat="false" ht="15" hidden="false" customHeight="false" outlineLevel="0" collapsed="false">
      <c r="A148" s="62" t="str">
        <f aca="false">IF(C148="","",START_NO+COUNT(C$5:C148)-1)</f>
        <v/>
      </c>
      <c r="B148" s="63" t="str">
        <f aca="false">IF(A148="","",PREFIX&amp;"-"&amp;TEXT(C148,"yyyy")&amp;"-"&amp;A148)</f>
        <v/>
      </c>
      <c r="C148" s="56"/>
      <c r="D148" s="57"/>
      <c r="E148" s="58"/>
      <c r="F148" s="58"/>
      <c r="G148" s="57"/>
      <c r="H148" s="57"/>
      <c r="I148" s="57"/>
      <c r="J148" s="64" t="str">
        <f aca="false">IF(A148="","",SUMIFS('بنود السندات'!$F$5:$F$3004,'بنود السندات'!$A$5:$A$3004,A148))</f>
        <v/>
      </c>
      <c r="K148" s="64" t="str">
        <f aca="false">IF(A148="","",SUMIFS('بنود السندات'!$G$5:$G$3004,'بنود السندات'!$A$5:$A$3004,A148))</f>
        <v/>
      </c>
      <c r="L148" s="64" t="str">
        <f aca="false">IF(A148="","",ROUND(J148-K148,2))</f>
        <v/>
      </c>
      <c r="M148" s="63" t="str">
        <f aca="false">IF(A148="","",COUNTIF('بنود السندات'!$A$5:$A$3004,A148))</f>
        <v/>
      </c>
      <c r="N148" s="65" t="str">
        <f aca="false">IF(A148="","",IF(M148=0,"بدون بنود ⚠",IF(L148=0,"متوازن ✔","غير متوازن ✘")))</f>
        <v/>
      </c>
      <c r="O148" s="66" t="str">
        <f aca="false">IF(A148="","","فقط "&amp;IF(INT(ROUND(MAX(J148,K148),2))=0,"صفر",MID(IF(INT(INT(ROUND(MAX(J148,K148),2))/1000000)&gt;0," و"&amp;INDEX(تفقيط!$D$2:$D$1001,INT(INT(ROUND(MAX(J148,K148),2))/1000000)+1),"")&amp;IF(INT(MOD(INT(ROUND(MAX(J148,K148),2)),1000000)/1000)&gt;0," و"&amp;INDEX(تفقيط!$C$2:$C$1001,INT(MOD(INT(ROUND(MAX(J148,K148),2)),1000000)/1000)+1),"")&amp;IF(MOD(INT(ROUND(MAX(J148,K148),2)),1000)&gt;0," و"&amp;INDEX(تفقيط!$B$2:$B$1001,MOD(INT(ROUND(MAX(J148,K148),2)),1000)+1),""),3,400))&amp;" "&amp;CUR&amp;IF(ROUND((ROUND(MAX(J148,K148),2)-INT(ROUND(MAX(J148,K148),2)))*100,0)&gt;0," و"&amp;INDEX(تفقيط!$E$2:$E$1001,ROUND((ROUND(MAX(J148,K148),2)-INT(ROUND(MAX(J148,K148),2)))*100,0)+1),"")&amp;" لا غير")</f>
        <v/>
      </c>
    </row>
    <row r="149" customFormat="false" ht="15" hidden="false" customHeight="false" outlineLevel="0" collapsed="false">
      <c r="A149" s="54" t="str">
        <f aca="false">IF(C149="","",START_NO+COUNT(C$5:C149)-1)</f>
        <v/>
      </c>
      <c r="B149" s="55" t="str">
        <f aca="false">IF(A149="","",PREFIX&amp;"-"&amp;TEXT(C149,"yyyy")&amp;"-"&amp;A149)</f>
        <v/>
      </c>
      <c r="C149" s="56"/>
      <c r="D149" s="57"/>
      <c r="E149" s="58"/>
      <c r="F149" s="58"/>
      <c r="G149" s="57"/>
      <c r="H149" s="57"/>
      <c r="I149" s="57"/>
      <c r="J149" s="59" t="str">
        <f aca="false">IF(A149="","",SUMIFS('بنود السندات'!$F$5:$F$3004,'بنود السندات'!$A$5:$A$3004,A149))</f>
        <v/>
      </c>
      <c r="K149" s="59" t="str">
        <f aca="false">IF(A149="","",SUMIFS('بنود السندات'!$G$5:$G$3004,'بنود السندات'!$A$5:$A$3004,A149))</f>
        <v/>
      </c>
      <c r="L149" s="59" t="str">
        <f aca="false">IF(A149="","",ROUND(J149-K149,2))</f>
        <v/>
      </c>
      <c r="M149" s="55" t="str">
        <f aca="false">IF(A149="","",COUNTIF('بنود السندات'!$A$5:$A$3004,A149))</f>
        <v/>
      </c>
      <c r="N149" s="60" t="str">
        <f aca="false">IF(A149="","",IF(M149=0,"بدون بنود ⚠",IF(L149=0,"متوازن ✔","غير متوازن ✘")))</f>
        <v/>
      </c>
      <c r="O149" s="61" t="str">
        <f aca="false">IF(A149="","","فقط "&amp;IF(INT(ROUND(MAX(J149,K149),2))=0,"صفر",MID(IF(INT(INT(ROUND(MAX(J149,K149),2))/1000000)&gt;0," و"&amp;INDEX(تفقيط!$D$2:$D$1001,INT(INT(ROUND(MAX(J149,K149),2))/1000000)+1),"")&amp;IF(INT(MOD(INT(ROUND(MAX(J149,K149),2)),1000000)/1000)&gt;0," و"&amp;INDEX(تفقيط!$C$2:$C$1001,INT(MOD(INT(ROUND(MAX(J149,K149),2)),1000000)/1000)+1),"")&amp;IF(MOD(INT(ROUND(MAX(J149,K149),2)),1000)&gt;0," و"&amp;INDEX(تفقيط!$B$2:$B$1001,MOD(INT(ROUND(MAX(J149,K149),2)),1000)+1),""),3,400))&amp;" "&amp;CUR&amp;IF(ROUND((ROUND(MAX(J149,K149),2)-INT(ROUND(MAX(J149,K149),2)))*100,0)&gt;0," و"&amp;INDEX(تفقيط!$E$2:$E$1001,ROUND((ROUND(MAX(J149,K149),2)-INT(ROUND(MAX(J149,K149),2)))*100,0)+1),"")&amp;" لا غير")</f>
        <v/>
      </c>
    </row>
    <row r="150" customFormat="false" ht="15" hidden="false" customHeight="false" outlineLevel="0" collapsed="false">
      <c r="A150" s="62" t="str">
        <f aca="false">IF(C150="","",START_NO+COUNT(C$5:C150)-1)</f>
        <v/>
      </c>
      <c r="B150" s="63" t="str">
        <f aca="false">IF(A150="","",PREFIX&amp;"-"&amp;TEXT(C150,"yyyy")&amp;"-"&amp;A150)</f>
        <v/>
      </c>
      <c r="C150" s="56"/>
      <c r="D150" s="57"/>
      <c r="E150" s="58"/>
      <c r="F150" s="58"/>
      <c r="G150" s="57"/>
      <c r="H150" s="57"/>
      <c r="I150" s="57"/>
      <c r="J150" s="64" t="str">
        <f aca="false">IF(A150="","",SUMIFS('بنود السندات'!$F$5:$F$3004,'بنود السندات'!$A$5:$A$3004,A150))</f>
        <v/>
      </c>
      <c r="K150" s="64" t="str">
        <f aca="false">IF(A150="","",SUMIFS('بنود السندات'!$G$5:$G$3004,'بنود السندات'!$A$5:$A$3004,A150))</f>
        <v/>
      </c>
      <c r="L150" s="64" t="str">
        <f aca="false">IF(A150="","",ROUND(J150-K150,2))</f>
        <v/>
      </c>
      <c r="M150" s="63" t="str">
        <f aca="false">IF(A150="","",COUNTIF('بنود السندات'!$A$5:$A$3004,A150))</f>
        <v/>
      </c>
      <c r="N150" s="65" t="str">
        <f aca="false">IF(A150="","",IF(M150=0,"بدون بنود ⚠",IF(L150=0,"متوازن ✔","غير متوازن ✘")))</f>
        <v/>
      </c>
      <c r="O150" s="66" t="str">
        <f aca="false">IF(A150="","","فقط "&amp;IF(INT(ROUND(MAX(J150,K150),2))=0,"صفر",MID(IF(INT(INT(ROUND(MAX(J150,K150),2))/1000000)&gt;0," و"&amp;INDEX(تفقيط!$D$2:$D$1001,INT(INT(ROUND(MAX(J150,K150),2))/1000000)+1),"")&amp;IF(INT(MOD(INT(ROUND(MAX(J150,K150),2)),1000000)/1000)&gt;0," و"&amp;INDEX(تفقيط!$C$2:$C$1001,INT(MOD(INT(ROUND(MAX(J150,K150),2)),1000000)/1000)+1),"")&amp;IF(MOD(INT(ROUND(MAX(J150,K150),2)),1000)&gt;0," و"&amp;INDEX(تفقيط!$B$2:$B$1001,MOD(INT(ROUND(MAX(J150,K150),2)),1000)+1),""),3,400))&amp;" "&amp;CUR&amp;IF(ROUND((ROUND(MAX(J150,K150),2)-INT(ROUND(MAX(J150,K150),2)))*100,0)&gt;0," و"&amp;INDEX(تفقيط!$E$2:$E$1001,ROUND((ROUND(MAX(J150,K150),2)-INT(ROUND(MAX(J150,K150),2)))*100,0)+1),"")&amp;" لا غير")</f>
        <v/>
      </c>
    </row>
    <row r="151" customFormat="false" ht="15" hidden="false" customHeight="false" outlineLevel="0" collapsed="false">
      <c r="A151" s="54" t="str">
        <f aca="false">IF(C151="","",START_NO+COUNT(C$5:C151)-1)</f>
        <v/>
      </c>
      <c r="B151" s="55" t="str">
        <f aca="false">IF(A151="","",PREFIX&amp;"-"&amp;TEXT(C151,"yyyy")&amp;"-"&amp;A151)</f>
        <v/>
      </c>
      <c r="C151" s="56"/>
      <c r="D151" s="57"/>
      <c r="E151" s="58"/>
      <c r="F151" s="58"/>
      <c r="G151" s="57"/>
      <c r="H151" s="57"/>
      <c r="I151" s="57"/>
      <c r="J151" s="59" t="str">
        <f aca="false">IF(A151="","",SUMIFS('بنود السندات'!$F$5:$F$3004,'بنود السندات'!$A$5:$A$3004,A151))</f>
        <v/>
      </c>
      <c r="K151" s="59" t="str">
        <f aca="false">IF(A151="","",SUMIFS('بنود السندات'!$G$5:$G$3004,'بنود السندات'!$A$5:$A$3004,A151))</f>
        <v/>
      </c>
      <c r="L151" s="59" t="str">
        <f aca="false">IF(A151="","",ROUND(J151-K151,2))</f>
        <v/>
      </c>
      <c r="M151" s="55" t="str">
        <f aca="false">IF(A151="","",COUNTIF('بنود السندات'!$A$5:$A$3004,A151))</f>
        <v/>
      </c>
      <c r="N151" s="60" t="str">
        <f aca="false">IF(A151="","",IF(M151=0,"بدون بنود ⚠",IF(L151=0,"متوازن ✔","غير متوازن ✘")))</f>
        <v/>
      </c>
      <c r="O151" s="61" t="str">
        <f aca="false">IF(A151="","","فقط "&amp;IF(INT(ROUND(MAX(J151,K151),2))=0,"صفر",MID(IF(INT(INT(ROUND(MAX(J151,K151),2))/1000000)&gt;0," و"&amp;INDEX(تفقيط!$D$2:$D$1001,INT(INT(ROUND(MAX(J151,K151),2))/1000000)+1),"")&amp;IF(INT(MOD(INT(ROUND(MAX(J151,K151),2)),1000000)/1000)&gt;0," و"&amp;INDEX(تفقيط!$C$2:$C$1001,INT(MOD(INT(ROUND(MAX(J151,K151),2)),1000000)/1000)+1),"")&amp;IF(MOD(INT(ROUND(MAX(J151,K151),2)),1000)&gt;0," و"&amp;INDEX(تفقيط!$B$2:$B$1001,MOD(INT(ROUND(MAX(J151,K151),2)),1000)+1),""),3,400))&amp;" "&amp;CUR&amp;IF(ROUND((ROUND(MAX(J151,K151),2)-INT(ROUND(MAX(J151,K151),2)))*100,0)&gt;0," و"&amp;INDEX(تفقيط!$E$2:$E$1001,ROUND((ROUND(MAX(J151,K151),2)-INT(ROUND(MAX(J151,K151),2)))*100,0)+1),"")&amp;" لا غير")</f>
        <v/>
      </c>
    </row>
    <row r="152" customFormat="false" ht="15" hidden="false" customHeight="false" outlineLevel="0" collapsed="false">
      <c r="A152" s="62" t="str">
        <f aca="false">IF(C152="","",START_NO+COUNT(C$5:C152)-1)</f>
        <v/>
      </c>
      <c r="B152" s="63" t="str">
        <f aca="false">IF(A152="","",PREFIX&amp;"-"&amp;TEXT(C152,"yyyy")&amp;"-"&amp;A152)</f>
        <v/>
      </c>
      <c r="C152" s="56"/>
      <c r="D152" s="57"/>
      <c r="E152" s="58"/>
      <c r="F152" s="58"/>
      <c r="G152" s="57"/>
      <c r="H152" s="57"/>
      <c r="I152" s="57"/>
      <c r="J152" s="64" t="str">
        <f aca="false">IF(A152="","",SUMIFS('بنود السندات'!$F$5:$F$3004,'بنود السندات'!$A$5:$A$3004,A152))</f>
        <v/>
      </c>
      <c r="K152" s="64" t="str">
        <f aca="false">IF(A152="","",SUMIFS('بنود السندات'!$G$5:$G$3004,'بنود السندات'!$A$5:$A$3004,A152))</f>
        <v/>
      </c>
      <c r="L152" s="64" t="str">
        <f aca="false">IF(A152="","",ROUND(J152-K152,2))</f>
        <v/>
      </c>
      <c r="M152" s="63" t="str">
        <f aca="false">IF(A152="","",COUNTIF('بنود السندات'!$A$5:$A$3004,A152))</f>
        <v/>
      </c>
      <c r="N152" s="65" t="str">
        <f aca="false">IF(A152="","",IF(M152=0,"بدون بنود ⚠",IF(L152=0,"متوازن ✔","غير متوازن ✘")))</f>
        <v/>
      </c>
      <c r="O152" s="66" t="str">
        <f aca="false">IF(A152="","","فقط "&amp;IF(INT(ROUND(MAX(J152,K152),2))=0,"صفر",MID(IF(INT(INT(ROUND(MAX(J152,K152),2))/1000000)&gt;0," و"&amp;INDEX(تفقيط!$D$2:$D$1001,INT(INT(ROUND(MAX(J152,K152),2))/1000000)+1),"")&amp;IF(INT(MOD(INT(ROUND(MAX(J152,K152),2)),1000000)/1000)&gt;0," و"&amp;INDEX(تفقيط!$C$2:$C$1001,INT(MOD(INT(ROUND(MAX(J152,K152),2)),1000000)/1000)+1),"")&amp;IF(MOD(INT(ROUND(MAX(J152,K152),2)),1000)&gt;0," و"&amp;INDEX(تفقيط!$B$2:$B$1001,MOD(INT(ROUND(MAX(J152,K152),2)),1000)+1),""),3,400))&amp;" "&amp;CUR&amp;IF(ROUND((ROUND(MAX(J152,K152),2)-INT(ROUND(MAX(J152,K152),2)))*100,0)&gt;0," و"&amp;INDEX(تفقيط!$E$2:$E$1001,ROUND((ROUND(MAX(J152,K152),2)-INT(ROUND(MAX(J152,K152),2)))*100,0)+1),"")&amp;" لا غير")</f>
        <v/>
      </c>
    </row>
    <row r="153" customFormat="false" ht="15" hidden="false" customHeight="false" outlineLevel="0" collapsed="false">
      <c r="A153" s="54" t="str">
        <f aca="false">IF(C153="","",START_NO+COUNT(C$5:C153)-1)</f>
        <v/>
      </c>
      <c r="B153" s="55" t="str">
        <f aca="false">IF(A153="","",PREFIX&amp;"-"&amp;TEXT(C153,"yyyy")&amp;"-"&amp;A153)</f>
        <v/>
      </c>
      <c r="C153" s="56"/>
      <c r="D153" s="57"/>
      <c r="E153" s="58"/>
      <c r="F153" s="58"/>
      <c r="G153" s="57"/>
      <c r="H153" s="57"/>
      <c r="I153" s="57"/>
      <c r="J153" s="59" t="str">
        <f aca="false">IF(A153="","",SUMIFS('بنود السندات'!$F$5:$F$3004,'بنود السندات'!$A$5:$A$3004,A153))</f>
        <v/>
      </c>
      <c r="K153" s="59" t="str">
        <f aca="false">IF(A153="","",SUMIFS('بنود السندات'!$G$5:$G$3004,'بنود السندات'!$A$5:$A$3004,A153))</f>
        <v/>
      </c>
      <c r="L153" s="59" t="str">
        <f aca="false">IF(A153="","",ROUND(J153-K153,2))</f>
        <v/>
      </c>
      <c r="M153" s="55" t="str">
        <f aca="false">IF(A153="","",COUNTIF('بنود السندات'!$A$5:$A$3004,A153))</f>
        <v/>
      </c>
      <c r="N153" s="60" t="str">
        <f aca="false">IF(A153="","",IF(M153=0,"بدون بنود ⚠",IF(L153=0,"متوازن ✔","غير متوازن ✘")))</f>
        <v/>
      </c>
      <c r="O153" s="61" t="str">
        <f aca="false">IF(A153="","","فقط "&amp;IF(INT(ROUND(MAX(J153,K153),2))=0,"صفر",MID(IF(INT(INT(ROUND(MAX(J153,K153),2))/1000000)&gt;0," و"&amp;INDEX(تفقيط!$D$2:$D$1001,INT(INT(ROUND(MAX(J153,K153),2))/1000000)+1),"")&amp;IF(INT(MOD(INT(ROUND(MAX(J153,K153),2)),1000000)/1000)&gt;0," و"&amp;INDEX(تفقيط!$C$2:$C$1001,INT(MOD(INT(ROUND(MAX(J153,K153),2)),1000000)/1000)+1),"")&amp;IF(MOD(INT(ROUND(MAX(J153,K153),2)),1000)&gt;0," و"&amp;INDEX(تفقيط!$B$2:$B$1001,MOD(INT(ROUND(MAX(J153,K153),2)),1000)+1),""),3,400))&amp;" "&amp;CUR&amp;IF(ROUND((ROUND(MAX(J153,K153),2)-INT(ROUND(MAX(J153,K153),2)))*100,0)&gt;0," و"&amp;INDEX(تفقيط!$E$2:$E$1001,ROUND((ROUND(MAX(J153,K153),2)-INT(ROUND(MAX(J153,K153),2)))*100,0)+1),"")&amp;" لا غير")</f>
        <v/>
      </c>
    </row>
    <row r="154" customFormat="false" ht="15" hidden="false" customHeight="false" outlineLevel="0" collapsed="false">
      <c r="A154" s="62" t="str">
        <f aca="false">IF(C154="","",START_NO+COUNT(C$5:C154)-1)</f>
        <v/>
      </c>
      <c r="B154" s="63" t="str">
        <f aca="false">IF(A154="","",PREFIX&amp;"-"&amp;TEXT(C154,"yyyy")&amp;"-"&amp;A154)</f>
        <v/>
      </c>
      <c r="C154" s="56"/>
      <c r="D154" s="57"/>
      <c r="E154" s="58"/>
      <c r="F154" s="58"/>
      <c r="G154" s="57"/>
      <c r="H154" s="57"/>
      <c r="I154" s="57"/>
      <c r="J154" s="64" t="str">
        <f aca="false">IF(A154="","",SUMIFS('بنود السندات'!$F$5:$F$3004,'بنود السندات'!$A$5:$A$3004,A154))</f>
        <v/>
      </c>
      <c r="K154" s="64" t="str">
        <f aca="false">IF(A154="","",SUMIFS('بنود السندات'!$G$5:$G$3004,'بنود السندات'!$A$5:$A$3004,A154))</f>
        <v/>
      </c>
      <c r="L154" s="64" t="str">
        <f aca="false">IF(A154="","",ROUND(J154-K154,2))</f>
        <v/>
      </c>
      <c r="M154" s="63" t="str">
        <f aca="false">IF(A154="","",COUNTIF('بنود السندات'!$A$5:$A$3004,A154))</f>
        <v/>
      </c>
      <c r="N154" s="65" t="str">
        <f aca="false">IF(A154="","",IF(M154=0,"بدون بنود ⚠",IF(L154=0,"متوازن ✔","غير متوازن ✘")))</f>
        <v/>
      </c>
      <c r="O154" s="66" t="str">
        <f aca="false">IF(A154="","","فقط "&amp;IF(INT(ROUND(MAX(J154,K154),2))=0,"صفر",MID(IF(INT(INT(ROUND(MAX(J154,K154),2))/1000000)&gt;0," و"&amp;INDEX(تفقيط!$D$2:$D$1001,INT(INT(ROUND(MAX(J154,K154),2))/1000000)+1),"")&amp;IF(INT(MOD(INT(ROUND(MAX(J154,K154),2)),1000000)/1000)&gt;0," و"&amp;INDEX(تفقيط!$C$2:$C$1001,INT(MOD(INT(ROUND(MAX(J154,K154),2)),1000000)/1000)+1),"")&amp;IF(MOD(INT(ROUND(MAX(J154,K154),2)),1000)&gt;0," و"&amp;INDEX(تفقيط!$B$2:$B$1001,MOD(INT(ROUND(MAX(J154,K154),2)),1000)+1),""),3,400))&amp;" "&amp;CUR&amp;IF(ROUND((ROUND(MAX(J154,K154),2)-INT(ROUND(MAX(J154,K154),2)))*100,0)&gt;0," و"&amp;INDEX(تفقيط!$E$2:$E$1001,ROUND((ROUND(MAX(J154,K154),2)-INT(ROUND(MAX(J154,K154),2)))*100,0)+1),"")&amp;" لا غير")</f>
        <v/>
      </c>
    </row>
    <row r="155" customFormat="false" ht="15" hidden="false" customHeight="false" outlineLevel="0" collapsed="false">
      <c r="A155" s="54" t="str">
        <f aca="false">IF(C155="","",START_NO+COUNT(C$5:C155)-1)</f>
        <v/>
      </c>
      <c r="B155" s="55" t="str">
        <f aca="false">IF(A155="","",PREFIX&amp;"-"&amp;TEXT(C155,"yyyy")&amp;"-"&amp;A155)</f>
        <v/>
      </c>
      <c r="C155" s="56"/>
      <c r="D155" s="57"/>
      <c r="E155" s="58"/>
      <c r="F155" s="58"/>
      <c r="G155" s="57"/>
      <c r="H155" s="57"/>
      <c r="I155" s="57"/>
      <c r="J155" s="59" t="str">
        <f aca="false">IF(A155="","",SUMIFS('بنود السندات'!$F$5:$F$3004,'بنود السندات'!$A$5:$A$3004,A155))</f>
        <v/>
      </c>
      <c r="K155" s="59" t="str">
        <f aca="false">IF(A155="","",SUMIFS('بنود السندات'!$G$5:$G$3004,'بنود السندات'!$A$5:$A$3004,A155))</f>
        <v/>
      </c>
      <c r="L155" s="59" t="str">
        <f aca="false">IF(A155="","",ROUND(J155-K155,2))</f>
        <v/>
      </c>
      <c r="M155" s="55" t="str">
        <f aca="false">IF(A155="","",COUNTIF('بنود السندات'!$A$5:$A$3004,A155))</f>
        <v/>
      </c>
      <c r="N155" s="60" t="str">
        <f aca="false">IF(A155="","",IF(M155=0,"بدون بنود ⚠",IF(L155=0,"متوازن ✔","غير متوازن ✘")))</f>
        <v/>
      </c>
      <c r="O155" s="61" t="str">
        <f aca="false">IF(A155="","","فقط "&amp;IF(INT(ROUND(MAX(J155,K155),2))=0,"صفر",MID(IF(INT(INT(ROUND(MAX(J155,K155),2))/1000000)&gt;0," و"&amp;INDEX(تفقيط!$D$2:$D$1001,INT(INT(ROUND(MAX(J155,K155),2))/1000000)+1),"")&amp;IF(INT(MOD(INT(ROUND(MAX(J155,K155),2)),1000000)/1000)&gt;0," و"&amp;INDEX(تفقيط!$C$2:$C$1001,INT(MOD(INT(ROUND(MAX(J155,K155),2)),1000000)/1000)+1),"")&amp;IF(MOD(INT(ROUND(MAX(J155,K155),2)),1000)&gt;0," و"&amp;INDEX(تفقيط!$B$2:$B$1001,MOD(INT(ROUND(MAX(J155,K155),2)),1000)+1),""),3,400))&amp;" "&amp;CUR&amp;IF(ROUND((ROUND(MAX(J155,K155),2)-INT(ROUND(MAX(J155,K155),2)))*100,0)&gt;0," و"&amp;INDEX(تفقيط!$E$2:$E$1001,ROUND((ROUND(MAX(J155,K155),2)-INT(ROUND(MAX(J155,K155),2)))*100,0)+1),"")&amp;" لا غير")</f>
        <v/>
      </c>
    </row>
    <row r="156" customFormat="false" ht="15" hidden="false" customHeight="false" outlineLevel="0" collapsed="false">
      <c r="A156" s="62" t="str">
        <f aca="false">IF(C156="","",START_NO+COUNT(C$5:C156)-1)</f>
        <v/>
      </c>
      <c r="B156" s="63" t="str">
        <f aca="false">IF(A156="","",PREFIX&amp;"-"&amp;TEXT(C156,"yyyy")&amp;"-"&amp;A156)</f>
        <v/>
      </c>
      <c r="C156" s="56"/>
      <c r="D156" s="57"/>
      <c r="E156" s="58"/>
      <c r="F156" s="58"/>
      <c r="G156" s="57"/>
      <c r="H156" s="57"/>
      <c r="I156" s="57"/>
      <c r="J156" s="64" t="str">
        <f aca="false">IF(A156="","",SUMIFS('بنود السندات'!$F$5:$F$3004,'بنود السندات'!$A$5:$A$3004,A156))</f>
        <v/>
      </c>
      <c r="K156" s="64" t="str">
        <f aca="false">IF(A156="","",SUMIFS('بنود السندات'!$G$5:$G$3004,'بنود السندات'!$A$5:$A$3004,A156))</f>
        <v/>
      </c>
      <c r="L156" s="64" t="str">
        <f aca="false">IF(A156="","",ROUND(J156-K156,2))</f>
        <v/>
      </c>
      <c r="M156" s="63" t="str">
        <f aca="false">IF(A156="","",COUNTIF('بنود السندات'!$A$5:$A$3004,A156))</f>
        <v/>
      </c>
      <c r="N156" s="65" t="str">
        <f aca="false">IF(A156="","",IF(M156=0,"بدون بنود ⚠",IF(L156=0,"متوازن ✔","غير متوازن ✘")))</f>
        <v/>
      </c>
      <c r="O156" s="66" t="str">
        <f aca="false">IF(A156="","","فقط "&amp;IF(INT(ROUND(MAX(J156,K156),2))=0,"صفر",MID(IF(INT(INT(ROUND(MAX(J156,K156),2))/1000000)&gt;0," و"&amp;INDEX(تفقيط!$D$2:$D$1001,INT(INT(ROUND(MAX(J156,K156),2))/1000000)+1),"")&amp;IF(INT(MOD(INT(ROUND(MAX(J156,K156),2)),1000000)/1000)&gt;0," و"&amp;INDEX(تفقيط!$C$2:$C$1001,INT(MOD(INT(ROUND(MAX(J156,K156),2)),1000000)/1000)+1),"")&amp;IF(MOD(INT(ROUND(MAX(J156,K156),2)),1000)&gt;0," و"&amp;INDEX(تفقيط!$B$2:$B$1001,MOD(INT(ROUND(MAX(J156,K156),2)),1000)+1),""),3,400))&amp;" "&amp;CUR&amp;IF(ROUND((ROUND(MAX(J156,K156),2)-INT(ROUND(MAX(J156,K156),2)))*100,0)&gt;0," و"&amp;INDEX(تفقيط!$E$2:$E$1001,ROUND((ROUND(MAX(J156,K156),2)-INT(ROUND(MAX(J156,K156),2)))*100,0)+1),"")&amp;" لا غير")</f>
        <v/>
      </c>
    </row>
    <row r="157" customFormat="false" ht="15" hidden="false" customHeight="false" outlineLevel="0" collapsed="false">
      <c r="A157" s="54" t="str">
        <f aca="false">IF(C157="","",START_NO+COUNT(C$5:C157)-1)</f>
        <v/>
      </c>
      <c r="B157" s="55" t="str">
        <f aca="false">IF(A157="","",PREFIX&amp;"-"&amp;TEXT(C157,"yyyy")&amp;"-"&amp;A157)</f>
        <v/>
      </c>
      <c r="C157" s="56"/>
      <c r="D157" s="57"/>
      <c r="E157" s="58"/>
      <c r="F157" s="58"/>
      <c r="G157" s="57"/>
      <c r="H157" s="57"/>
      <c r="I157" s="57"/>
      <c r="J157" s="59" t="str">
        <f aca="false">IF(A157="","",SUMIFS('بنود السندات'!$F$5:$F$3004,'بنود السندات'!$A$5:$A$3004,A157))</f>
        <v/>
      </c>
      <c r="K157" s="59" t="str">
        <f aca="false">IF(A157="","",SUMIFS('بنود السندات'!$G$5:$G$3004,'بنود السندات'!$A$5:$A$3004,A157))</f>
        <v/>
      </c>
      <c r="L157" s="59" t="str">
        <f aca="false">IF(A157="","",ROUND(J157-K157,2))</f>
        <v/>
      </c>
      <c r="M157" s="55" t="str">
        <f aca="false">IF(A157="","",COUNTIF('بنود السندات'!$A$5:$A$3004,A157))</f>
        <v/>
      </c>
      <c r="N157" s="60" t="str">
        <f aca="false">IF(A157="","",IF(M157=0,"بدون بنود ⚠",IF(L157=0,"متوازن ✔","غير متوازن ✘")))</f>
        <v/>
      </c>
      <c r="O157" s="61" t="str">
        <f aca="false">IF(A157="","","فقط "&amp;IF(INT(ROUND(MAX(J157,K157),2))=0,"صفر",MID(IF(INT(INT(ROUND(MAX(J157,K157),2))/1000000)&gt;0," و"&amp;INDEX(تفقيط!$D$2:$D$1001,INT(INT(ROUND(MAX(J157,K157),2))/1000000)+1),"")&amp;IF(INT(MOD(INT(ROUND(MAX(J157,K157),2)),1000000)/1000)&gt;0," و"&amp;INDEX(تفقيط!$C$2:$C$1001,INT(MOD(INT(ROUND(MAX(J157,K157),2)),1000000)/1000)+1),"")&amp;IF(MOD(INT(ROUND(MAX(J157,K157),2)),1000)&gt;0," و"&amp;INDEX(تفقيط!$B$2:$B$1001,MOD(INT(ROUND(MAX(J157,K157),2)),1000)+1),""),3,400))&amp;" "&amp;CUR&amp;IF(ROUND((ROUND(MAX(J157,K157),2)-INT(ROUND(MAX(J157,K157),2)))*100,0)&gt;0," و"&amp;INDEX(تفقيط!$E$2:$E$1001,ROUND((ROUND(MAX(J157,K157),2)-INT(ROUND(MAX(J157,K157),2)))*100,0)+1),"")&amp;" لا غير")</f>
        <v/>
      </c>
    </row>
    <row r="158" customFormat="false" ht="15" hidden="false" customHeight="false" outlineLevel="0" collapsed="false">
      <c r="A158" s="62" t="str">
        <f aca="false">IF(C158="","",START_NO+COUNT(C$5:C158)-1)</f>
        <v/>
      </c>
      <c r="B158" s="63" t="str">
        <f aca="false">IF(A158="","",PREFIX&amp;"-"&amp;TEXT(C158,"yyyy")&amp;"-"&amp;A158)</f>
        <v/>
      </c>
      <c r="C158" s="56"/>
      <c r="D158" s="57"/>
      <c r="E158" s="58"/>
      <c r="F158" s="58"/>
      <c r="G158" s="57"/>
      <c r="H158" s="57"/>
      <c r="I158" s="57"/>
      <c r="J158" s="64" t="str">
        <f aca="false">IF(A158="","",SUMIFS('بنود السندات'!$F$5:$F$3004,'بنود السندات'!$A$5:$A$3004,A158))</f>
        <v/>
      </c>
      <c r="K158" s="64" t="str">
        <f aca="false">IF(A158="","",SUMIFS('بنود السندات'!$G$5:$G$3004,'بنود السندات'!$A$5:$A$3004,A158))</f>
        <v/>
      </c>
      <c r="L158" s="64" t="str">
        <f aca="false">IF(A158="","",ROUND(J158-K158,2))</f>
        <v/>
      </c>
      <c r="M158" s="63" t="str">
        <f aca="false">IF(A158="","",COUNTIF('بنود السندات'!$A$5:$A$3004,A158))</f>
        <v/>
      </c>
      <c r="N158" s="65" t="str">
        <f aca="false">IF(A158="","",IF(M158=0,"بدون بنود ⚠",IF(L158=0,"متوازن ✔","غير متوازن ✘")))</f>
        <v/>
      </c>
      <c r="O158" s="66" t="str">
        <f aca="false">IF(A158="","","فقط "&amp;IF(INT(ROUND(MAX(J158,K158),2))=0,"صفر",MID(IF(INT(INT(ROUND(MAX(J158,K158),2))/1000000)&gt;0," و"&amp;INDEX(تفقيط!$D$2:$D$1001,INT(INT(ROUND(MAX(J158,K158),2))/1000000)+1),"")&amp;IF(INT(MOD(INT(ROUND(MAX(J158,K158),2)),1000000)/1000)&gt;0," و"&amp;INDEX(تفقيط!$C$2:$C$1001,INT(MOD(INT(ROUND(MAX(J158,K158),2)),1000000)/1000)+1),"")&amp;IF(MOD(INT(ROUND(MAX(J158,K158),2)),1000)&gt;0," و"&amp;INDEX(تفقيط!$B$2:$B$1001,MOD(INT(ROUND(MAX(J158,K158),2)),1000)+1),""),3,400))&amp;" "&amp;CUR&amp;IF(ROUND((ROUND(MAX(J158,K158),2)-INT(ROUND(MAX(J158,K158),2)))*100,0)&gt;0," و"&amp;INDEX(تفقيط!$E$2:$E$1001,ROUND((ROUND(MAX(J158,K158),2)-INT(ROUND(MAX(J158,K158),2)))*100,0)+1),"")&amp;" لا غير")</f>
        <v/>
      </c>
    </row>
    <row r="159" customFormat="false" ht="15" hidden="false" customHeight="false" outlineLevel="0" collapsed="false">
      <c r="A159" s="54" t="str">
        <f aca="false">IF(C159="","",START_NO+COUNT(C$5:C159)-1)</f>
        <v/>
      </c>
      <c r="B159" s="55" t="str">
        <f aca="false">IF(A159="","",PREFIX&amp;"-"&amp;TEXT(C159,"yyyy")&amp;"-"&amp;A159)</f>
        <v/>
      </c>
      <c r="C159" s="56"/>
      <c r="D159" s="57"/>
      <c r="E159" s="58"/>
      <c r="F159" s="58"/>
      <c r="G159" s="57"/>
      <c r="H159" s="57"/>
      <c r="I159" s="57"/>
      <c r="J159" s="59" t="str">
        <f aca="false">IF(A159="","",SUMIFS('بنود السندات'!$F$5:$F$3004,'بنود السندات'!$A$5:$A$3004,A159))</f>
        <v/>
      </c>
      <c r="K159" s="59" t="str">
        <f aca="false">IF(A159="","",SUMIFS('بنود السندات'!$G$5:$G$3004,'بنود السندات'!$A$5:$A$3004,A159))</f>
        <v/>
      </c>
      <c r="L159" s="59" t="str">
        <f aca="false">IF(A159="","",ROUND(J159-K159,2))</f>
        <v/>
      </c>
      <c r="M159" s="55" t="str">
        <f aca="false">IF(A159="","",COUNTIF('بنود السندات'!$A$5:$A$3004,A159))</f>
        <v/>
      </c>
      <c r="N159" s="60" t="str">
        <f aca="false">IF(A159="","",IF(M159=0,"بدون بنود ⚠",IF(L159=0,"متوازن ✔","غير متوازن ✘")))</f>
        <v/>
      </c>
      <c r="O159" s="61" t="str">
        <f aca="false">IF(A159="","","فقط "&amp;IF(INT(ROUND(MAX(J159,K159),2))=0,"صفر",MID(IF(INT(INT(ROUND(MAX(J159,K159),2))/1000000)&gt;0," و"&amp;INDEX(تفقيط!$D$2:$D$1001,INT(INT(ROUND(MAX(J159,K159),2))/1000000)+1),"")&amp;IF(INT(MOD(INT(ROUND(MAX(J159,K159),2)),1000000)/1000)&gt;0," و"&amp;INDEX(تفقيط!$C$2:$C$1001,INT(MOD(INT(ROUND(MAX(J159,K159),2)),1000000)/1000)+1),"")&amp;IF(MOD(INT(ROUND(MAX(J159,K159),2)),1000)&gt;0," و"&amp;INDEX(تفقيط!$B$2:$B$1001,MOD(INT(ROUND(MAX(J159,K159),2)),1000)+1),""),3,400))&amp;" "&amp;CUR&amp;IF(ROUND((ROUND(MAX(J159,K159),2)-INT(ROUND(MAX(J159,K159),2)))*100,0)&gt;0," و"&amp;INDEX(تفقيط!$E$2:$E$1001,ROUND((ROUND(MAX(J159,K159),2)-INT(ROUND(MAX(J159,K159),2)))*100,0)+1),"")&amp;" لا غير")</f>
        <v/>
      </c>
    </row>
    <row r="160" customFormat="false" ht="15" hidden="false" customHeight="false" outlineLevel="0" collapsed="false">
      <c r="A160" s="62" t="str">
        <f aca="false">IF(C160="","",START_NO+COUNT(C$5:C160)-1)</f>
        <v/>
      </c>
      <c r="B160" s="63" t="str">
        <f aca="false">IF(A160="","",PREFIX&amp;"-"&amp;TEXT(C160,"yyyy")&amp;"-"&amp;A160)</f>
        <v/>
      </c>
      <c r="C160" s="56"/>
      <c r="D160" s="57"/>
      <c r="E160" s="58"/>
      <c r="F160" s="58"/>
      <c r="G160" s="57"/>
      <c r="H160" s="57"/>
      <c r="I160" s="57"/>
      <c r="J160" s="64" t="str">
        <f aca="false">IF(A160="","",SUMIFS('بنود السندات'!$F$5:$F$3004,'بنود السندات'!$A$5:$A$3004,A160))</f>
        <v/>
      </c>
      <c r="K160" s="64" t="str">
        <f aca="false">IF(A160="","",SUMIFS('بنود السندات'!$G$5:$G$3004,'بنود السندات'!$A$5:$A$3004,A160))</f>
        <v/>
      </c>
      <c r="L160" s="64" t="str">
        <f aca="false">IF(A160="","",ROUND(J160-K160,2))</f>
        <v/>
      </c>
      <c r="M160" s="63" t="str">
        <f aca="false">IF(A160="","",COUNTIF('بنود السندات'!$A$5:$A$3004,A160))</f>
        <v/>
      </c>
      <c r="N160" s="65" t="str">
        <f aca="false">IF(A160="","",IF(M160=0,"بدون بنود ⚠",IF(L160=0,"متوازن ✔","غير متوازن ✘")))</f>
        <v/>
      </c>
      <c r="O160" s="66" t="str">
        <f aca="false">IF(A160="","","فقط "&amp;IF(INT(ROUND(MAX(J160,K160),2))=0,"صفر",MID(IF(INT(INT(ROUND(MAX(J160,K160),2))/1000000)&gt;0," و"&amp;INDEX(تفقيط!$D$2:$D$1001,INT(INT(ROUND(MAX(J160,K160),2))/1000000)+1),"")&amp;IF(INT(MOD(INT(ROUND(MAX(J160,K160),2)),1000000)/1000)&gt;0," و"&amp;INDEX(تفقيط!$C$2:$C$1001,INT(MOD(INT(ROUND(MAX(J160,K160),2)),1000000)/1000)+1),"")&amp;IF(MOD(INT(ROUND(MAX(J160,K160),2)),1000)&gt;0," و"&amp;INDEX(تفقيط!$B$2:$B$1001,MOD(INT(ROUND(MAX(J160,K160),2)),1000)+1),""),3,400))&amp;" "&amp;CUR&amp;IF(ROUND((ROUND(MAX(J160,K160),2)-INT(ROUND(MAX(J160,K160),2)))*100,0)&gt;0," و"&amp;INDEX(تفقيط!$E$2:$E$1001,ROUND((ROUND(MAX(J160,K160),2)-INT(ROUND(MAX(J160,K160),2)))*100,0)+1),"")&amp;" لا غير")</f>
        <v/>
      </c>
    </row>
    <row r="161" customFormat="false" ht="15" hidden="false" customHeight="false" outlineLevel="0" collapsed="false">
      <c r="A161" s="54" t="str">
        <f aca="false">IF(C161="","",START_NO+COUNT(C$5:C161)-1)</f>
        <v/>
      </c>
      <c r="B161" s="55" t="str">
        <f aca="false">IF(A161="","",PREFIX&amp;"-"&amp;TEXT(C161,"yyyy")&amp;"-"&amp;A161)</f>
        <v/>
      </c>
      <c r="C161" s="56"/>
      <c r="D161" s="57"/>
      <c r="E161" s="58"/>
      <c r="F161" s="58"/>
      <c r="G161" s="57"/>
      <c r="H161" s="57"/>
      <c r="I161" s="57"/>
      <c r="J161" s="59" t="str">
        <f aca="false">IF(A161="","",SUMIFS('بنود السندات'!$F$5:$F$3004,'بنود السندات'!$A$5:$A$3004,A161))</f>
        <v/>
      </c>
      <c r="K161" s="59" t="str">
        <f aca="false">IF(A161="","",SUMIFS('بنود السندات'!$G$5:$G$3004,'بنود السندات'!$A$5:$A$3004,A161))</f>
        <v/>
      </c>
      <c r="L161" s="59" t="str">
        <f aca="false">IF(A161="","",ROUND(J161-K161,2))</f>
        <v/>
      </c>
      <c r="M161" s="55" t="str">
        <f aca="false">IF(A161="","",COUNTIF('بنود السندات'!$A$5:$A$3004,A161))</f>
        <v/>
      </c>
      <c r="N161" s="60" t="str">
        <f aca="false">IF(A161="","",IF(M161=0,"بدون بنود ⚠",IF(L161=0,"متوازن ✔","غير متوازن ✘")))</f>
        <v/>
      </c>
      <c r="O161" s="61" t="str">
        <f aca="false">IF(A161="","","فقط "&amp;IF(INT(ROUND(MAX(J161,K161),2))=0,"صفر",MID(IF(INT(INT(ROUND(MAX(J161,K161),2))/1000000)&gt;0," و"&amp;INDEX(تفقيط!$D$2:$D$1001,INT(INT(ROUND(MAX(J161,K161),2))/1000000)+1),"")&amp;IF(INT(MOD(INT(ROUND(MAX(J161,K161),2)),1000000)/1000)&gt;0," و"&amp;INDEX(تفقيط!$C$2:$C$1001,INT(MOD(INT(ROUND(MAX(J161,K161),2)),1000000)/1000)+1),"")&amp;IF(MOD(INT(ROUND(MAX(J161,K161),2)),1000)&gt;0," و"&amp;INDEX(تفقيط!$B$2:$B$1001,MOD(INT(ROUND(MAX(J161,K161),2)),1000)+1),""),3,400))&amp;" "&amp;CUR&amp;IF(ROUND((ROUND(MAX(J161,K161),2)-INT(ROUND(MAX(J161,K161),2)))*100,0)&gt;0," و"&amp;INDEX(تفقيط!$E$2:$E$1001,ROUND((ROUND(MAX(J161,K161),2)-INT(ROUND(MAX(J161,K161),2)))*100,0)+1),"")&amp;" لا غير")</f>
        <v/>
      </c>
    </row>
    <row r="162" customFormat="false" ht="15" hidden="false" customHeight="false" outlineLevel="0" collapsed="false">
      <c r="A162" s="62" t="str">
        <f aca="false">IF(C162="","",START_NO+COUNT(C$5:C162)-1)</f>
        <v/>
      </c>
      <c r="B162" s="63" t="str">
        <f aca="false">IF(A162="","",PREFIX&amp;"-"&amp;TEXT(C162,"yyyy")&amp;"-"&amp;A162)</f>
        <v/>
      </c>
      <c r="C162" s="56"/>
      <c r="D162" s="57"/>
      <c r="E162" s="58"/>
      <c r="F162" s="58"/>
      <c r="G162" s="57"/>
      <c r="H162" s="57"/>
      <c r="I162" s="57"/>
      <c r="J162" s="64" t="str">
        <f aca="false">IF(A162="","",SUMIFS('بنود السندات'!$F$5:$F$3004,'بنود السندات'!$A$5:$A$3004,A162))</f>
        <v/>
      </c>
      <c r="K162" s="64" t="str">
        <f aca="false">IF(A162="","",SUMIFS('بنود السندات'!$G$5:$G$3004,'بنود السندات'!$A$5:$A$3004,A162))</f>
        <v/>
      </c>
      <c r="L162" s="64" t="str">
        <f aca="false">IF(A162="","",ROUND(J162-K162,2))</f>
        <v/>
      </c>
      <c r="M162" s="63" t="str">
        <f aca="false">IF(A162="","",COUNTIF('بنود السندات'!$A$5:$A$3004,A162))</f>
        <v/>
      </c>
      <c r="N162" s="65" t="str">
        <f aca="false">IF(A162="","",IF(M162=0,"بدون بنود ⚠",IF(L162=0,"متوازن ✔","غير متوازن ✘")))</f>
        <v/>
      </c>
      <c r="O162" s="66" t="str">
        <f aca="false">IF(A162="","","فقط "&amp;IF(INT(ROUND(MAX(J162,K162),2))=0,"صفر",MID(IF(INT(INT(ROUND(MAX(J162,K162),2))/1000000)&gt;0," و"&amp;INDEX(تفقيط!$D$2:$D$1001,INT(INT(ROUND(MAX(J162,K162),2))/1000000)+1),"")&amp;IF(INT(MOD(INT(ROUND(MAX(J162,K162),2)),1000000)/1000)&gt;0," و"&amp;INDEX(تفقيط!$C$2:$C$1001,INT(MOD(INT(ROUND(MAX(J162,K162),2)),1000000)/1000)+1),"")&amp;IF(MOD(INT(ROUND(MAX(J162,K162),2)),1000)&gt;0," و"&amp;INDEX(تفقيط!$B$2:$B$1001,MOD(INT(ROUND(MAX(J162,K162),2)),1000)+1),""),3,400))&amp;" "&amp;CUR&amp;IF(ROUND((ROUND(MAX(J162,K162),2)-INT(ROUND(MAX(J162,K162),2)))*100,0)&gt;0," و"&amp;INDEX(تفقيط!$E$2:$E$1001,ROUND((ROUND(MAX(J162,K162),2)-INT(ROUND(MAX(J162,K162),2)))*100,0)+1),"")&amp;" لا غير")</f>
        <v/>
      </c>
    </row>
    <row r="163" customFormat="false" ht="15" hidden="false" customHeight="false" outlineLevel="0" collapsed="false">
      <c r="A163" s="54" t="str">
        <f aca="false">IF(C163="","",START_NO+COUNT(C$5:C163)-1)</f>
        <v/>
      </c>
      <c r="B163" s="55" t="str">
        <f aca="false">IF(A163="","",PREFIX&amp;"-"&amp;TEXT(C163,"yyyy")&amp;"-"&amp;A163)</f>
        <v/>
      </c>
      <c r="C163" s="56"/>
      <c r="D163" s="57"/>
      <c r="E163" s="58"/>
      <c r="F163" s="58"/>
      <c r="G163" s="57"/>
      <c r="H163" s="57"/>
      <c r="I163" s="57"/>
      <c r="J163" s="59" t="str">
        <f aca="false">IF(A163="","",SUMIFS('بنود السندات'!$F$5:$F$3004,'بنود السندات'!$A$5:$A$3004,A163))</f>
        <v/>
      </c>
      <c r="K163" s="59" t="str">
        <f aca="false">IF(A163="","",SUMIFS('بنود السندات'!$G$5:$G$3004,'بنود السندات'!$A$5:$A$3004,A163))</f>
        <v/>
      </c>
      <c r="L163" s="59" t="str">
        <f aca="false">IF(A163="","",ROUND(J163-K163,2))</f>
        <v/>
      </c>
      <c r="M163" s="55" t="str">
        <f aca="false">IF(A163="","",COUNTIF('بنود السندات'!$A$5:$A$3004,A163))</f>
        <v/>
      </c>
      <c r="N163" s="60" t="str">
        <f aca="false">IF(A163="","",IF(M163=0,"بدون بنود ⚠",IF(L163=0,"متوازن ✔","غير متوازن ✘")))</f>
        <v/>
      </c>
      <c r="O163" s="61" t="str">
        <f aca="false">IF(A163="","","فقط "&amp;IF(INT(ROUND(MAX(J163,K163),2))=0,"صفر",MID(IF(INT(INT(ROUND(MAX(J163,K163),2))/1000000)&gt;0," و"&amp;INDEX(تفقيط!$D$2:$D$1001,INT(INT(ROUND(MAX(J163,K163),2))/1000000)+1),"")&amp;IF(INT(MOD(INT(ROUND(MAX(J163,K163),2)),1000000)/1000)&gt;0," و"&amp;INDEX(تفقيط!$C$2:$C$1001,INT(MOD(INT(ROUND(MAX(J163,K163),2)),1000000)/1000)+1),"")&amp;IF(MOD(INT(ROUND(MAX(J163,K163),2)),1000)&gt;0," و"&amp;INDEX(تفقيط!$B$2:$B$1001,MOD(INT(ROUND(MAX(J163,K163),2)),1000)+1),""),3,400))&amp;" "&amp;CUR&amp;IF(ROUND((ROUND(MAX(J163,K163),2)-INT(ROUND(MAX(J163,K163),2)))*100,0)&gt;0," و"&amp;INDEX(تفقيط!$E$2:$E$1001,ROUND((ROUND(MAX(J163,K163),2)-INT(ROUND(MAX(J163,K163),2)))*100,0)+1),"")&amp;" لا غير")</f>
        <v/>
      </c>
    </row>
    <row r="164" customFormat="false" ht="15" hidden="false" customHeight="false" outlineLevel="0" collapsed="false">
      <c r="A164" s="62" t="str">
        <f aca="false">IF(C164="","",START_NO+COUNT(C$5:C164)-1)</f>
        <v/>
      </c>
      <c r="B164" s="63" t="str">
        <f aca="false">IF(A164="","",PREFIX&amp;"-"&amp;TEXT(C164,"yyyy")&amp;"-"&amp;A164)</f>
        <v/>
      </c>
      <c r="C164" s="56"/>
      <c r="D164" s="57"/>
      <c r="E164" s="58"/>
      <c r="F164" s="58"/>
      <c r="G164" s="57"/>
      <c r="H164" s="57"/>
      <c r="I164" s="57"/>
      <c r="J164" s="64" t="str">
        <f aca="false">IF(A164="","",SUMIFS('بنود السندات'!$F$5:$F$3004,'بنود السندات'!$A$5:$A$3004,A164))</f>
        <v/>
      </c>
      <c r="K164" s="64" t="str">
        <f aca="false">IF(A164="","",SUMIFS('بنود السندات'!$G$5:$G$3004,'بنود السندات'!$A$5:$A$3004,A164))</f>
        <v/>
      </c>
      <c r="L164" s="64" t="str">
        <f aca="false">IF(A164="","",ROUND(J164-K164,2))</f>
        <v/>
      </c>
      <c r="M164" s="63" t="str">
        <f aca="false">IF(A164="","",COUNTIF('بنود السندات'!$A$5:$A$3004,A164))</f>
        <v/>
      </c>
      <c r="N164" s="65" t="str">
        <f aca="false">IF(A164="","",IF(M164=0,"بدون بنود ⚠",IF(L164=0,"متوازن ✔","غير متوازن ✘")))</f>
        <v/>
      </c>
      <c r="O164" s="66" t="str">
        <f aca="false">IF(A164="","","فقط "&amp;IF(INT(ROUND(MAX(J164,K164),2))=0,"صفر",MID(IF(INT(INT(ROUND(MAX(J164,K164),2))/1000000)&gt;0," و"&amp;INDEX(تفقيط!$D$2:$D$1001,INT(INT(ROUND(MAX(J164,K164),2))/1000000)+1),"")&amp;IF(INT(MOD(INT(ROUND(MAX(J164,K164),2)),1000000)/1000)&gt;0," و"&amp;INDEX(تفقيط!$C$2:$C$1001,INT(MOD(INT(ROUND(MAX(J164,K164),2)),1000000)/1000)+1),"")&amp;IF(MOD(INT(ROUND(MAX(J164,K164),2)),1000)&gt;0," و"&amp;INDEX(تفقيط!$B$2:$B$1001,MOD(INT(ROUND(MAX(J164,K164),2)),1000)+1),""),3,400))&amp;" "&amp;CUR&amp;IF(ROUND((ROUND(MAX(J164,K164),2)-INT(ROUND(MAX(J164,K164),2)))*100,0)&gt;0," و"&amp;INDEX(تفقيط!$E$2:$E$1001,ROUND((ROUND(MAX(J164,K164),2)-INT(ROUND(MAX(J164,K164),2)))*100,0)+1),"")&amp;" لا غير")</f>
        <v/>
      </c>
    </row>
    <row r="165" customFormat="false" ht="15" hidden="false" customHeight="false" outlineLevel="0" collapsed="false">
      <c r="A165" s="54" t="str">
        <f aca="false">IF(C165="","",START_NO+COUNT(C$5:C165)-1)</f>
        <v/>
      </c>
      <c r="B165" s="55" t="str">
        <f aca="false">IF(A165="","",PREFIX&amp;"-"&amp;TEXT(C165,"yyyy")&amp;"-"&amp;A165)</f>
        <v/>
      </c>
      <c r="C165" s="56"/>
      <c r="D165" s="57"/>
      <c r="E165" s="58"/>
      <c r="F165" s="58"/>
      <c r="G165" s="57"/>
      <c r="H165" s="57"/>
      <c r="I165" s="57"/>
      <c r="J165" s="59" t="str">
        <f aca="false">IF(A165="","",SUMIFS('بنود السندات'!$F$5:$F$3004,'بنود السندات'!$A$5:$A$3004,A165))</f>
        <v/>
      </c>
      <c r="K165" s="59" t="str">
        <f aca="false">IF(A165="","",SUMIFS('بنود السندات'!$G$5:$G$3004,'بنود السندات'!$A$5:$A$3004,A165))</f>
        <v/>
      </c>
      <c r="L165" s="59" t="str">
        <f aca="false">IF(A165="","",ROUND(J165-K165,2))</f>
        <v/>
      </c>
      <c r="M165" s="55" t="str">
        <f aca="false">IF(A165="","",COUNTIF('بنود السندات'!$A$5:$A$3004,A165))</f>
        <v/>
      </c>
      <c r="N165" s="60" t="str">
        <f aca="false">IF(A165="","",IF(M165=0,"بدون بنود ⚠",IF(L165=0,"متوازن ✔","غير متوازن ✘")))</f>
        <v/>
      </c>
      <c r="O165" s="61" t="str">
        <f aca="false">IF(A165="","","فقط "&amp;IF(INT(ROUND(MAX(J165,K165),2))=0,"صفر",MID(IF(INT(INT(ROUND(MAX(J165,K165),2))/1000000)&gt;0," و"&amp;INDEX(تفقيط!$D$2:$D$1001,INT(INT(ROUND(MAX(J165,K165),2))/1000000)+1),"")&amp;IF(INT(MOD(INT(ROUND(MAX(J165,K165),2)),1000000)/1000)&gt;0," و"&amp;INDEX(تفقيط!$C$2:$C$1001,INT(MOD(INT(ROUND(MAX(J165,K165),2)),1000000)/1000)+1),"")&amp;IF(MOD(INT(ROUND(MAX(J165,K165),2)),1000)&gt;0," و"&amp;INDEX(تفقيط!$B$2:$B$1001,MOD(INT(ROUND(MAX(J165,K165),2)),1000)+1),""),3,400))&amp;" "&amp;CUR&amp;IF(ROUND((ROUND(MAX(J165,K165),2)-INT(ROUND(MAX(J165,K165),2)))*100,0)&gt;0," و"&amp;INDEX(تفقيط!$E$2:$E$1001,ROUND((ROUND(MAX(J165,K165),2)-INT(ROUND(MAX(J165,K165),2)))*100,0)+1),"")&amp;" لا غير")</f>
        <v/>
      </c>
    </row>
    <row r="166" customFormat="false" ht="15" hidden="false" customHeight="false" outlineLevel="0" collapsed="false">
      <c r="A166" s="62" t="str">
        <f aca="false">IF(C166="","",START_NO+COUNT(C$5:C166)-1)</f>
        <v/>
      </c>
      <c r="B166" s="63" t="str">
        <f aca="false">IF(A166="","",PREFIX&amp;"-"&amp;TEXT(C166,"yyyy")&amp;"-"&amp;A166)</f>
        <v/>
      </c>
      <c r="C166" s="56"/>
      <c r="D166" s="57"/>
      <c r="E166" s="58"/>
      <c r="F166" s="58"/>
      <c r="G166" s="57"/>
      <c r="H166" s="57"/>
      <c r="I166" s="57"/>
      <c r="J166" s="64" t="str">
        <f aca="false">IF(A166="","",SUMIFS('بنود السندات'!$F$5:$F$3004,'بنود السندات'!$A$5:$A$3004,A166))</f>
        <v/>
      </c>
      <c r="K166" s="64" t="str">
        <f aca="false">IF(A166="","",SUMIFS('بنود السندات'!$G$5:$G$3004,'بنود السندات'!$A$5:$A$3004,A166))</f>
        <v/>
      </c>
      <c r="L166" s="64" t="str">
        <f aca="false">IF(A166="","",ROUND(J166-K166,2))</f>
        <v/>
      </c>
      <c r="M166" s="63" t="str">
        <f aca="false">IF(A166="","",COUNTIF('بنود السندات'!$A$5:$A$3004,A166))</f>
        <v/>
      </c>
      <c r="N166" s="65" t="str">
        <f aca="false">IF(A166="","",IF(M166=0,"بدون بنود ⚠",IF(L166=0,"متوازن ✔","غير متوازن ✘")))</f>
        <v/>
      </c>
      <c r="O166" s="66" t="str">
        <f aca="false">IF(A166="","","فقط "&amp;IF(INT(ROUND(MAX(J166,K166),2))=0,"صفر",MID(IF(INT(INT(ROUND(MAX(J166,K166),2))/1000000)&gt;0," و"&amp;INDEX(تفقيط!$D$2:$D$1001,INT(INT(ROUND(MAX(J166,K166),2))/1000000)+1),"")&amp;IF(INT(MOD(INT(ROUND(MAX(J166,K166),2)),1000000)/1000)&gt;0," و"&amp;INDEX(تفقيط!$C$2:$C$1001,INT(MOD(INT(ROUND(MAX(J166,K166),2)),1000000)/1000)+1),"")&amp;IF(MOD(INT(ROUND(MAX(J166,K166),2)),1000)&gt;0," و"&amp;INDEX(تفقيط!$B$2:$B$1001,MOD(INT(ROUND(MAX(J166,K166),2)),1000)+1),""),3,400))&amp;" "&amp;CUR&amp;IF(ROUND((ROUND(MAX(J166,K166),2)-INT(ROUND(MAX(J166,K166),2)))*100,0)&gt;0," و"&amp;INDEX(تفقيط!$E$2:$E$1001,ROUND((ROUND(MAX(J166,K166),2)-INT(ROUND(MAX(J166,K166),2)))*100,0)+1),"")&amp;" لا غير")</f>
        <v/>
      </c>
    </row>
    <row r="167" customFormat="false" ht="15" hidden="false" customHeight="false" outlineLevel="0" collapsed="false">
      <c r="A167" s="54" t="str">
        <f aca="false">IF(C167="","",START_NO+COUNT(C$5:C167)-1)</f>
        <v/>
      </c>
      <c r="B167" s="55" t="str">
        <f aca="false">IF(A167="","",PREFIX&amp;"-"&amp;TEXT(C167,"yyyy")&amp;"-"&amp;A167)</f>
        <v/>
      </c>
      <c r="C167" s="56"/>
      <c r="D167" s="57"/>
      <c r="E167" s="58"/>
      <c r="F167" s="58"/>
      <c r="G167" s="57"/>
      <c r="H167" s="57"/>
      <c r="I167" s="57"/>
      <c r="J167" s="59" t="str">
        <f aca="false">IF(A167="","",SUMIFS('بنود السندات'!$F$5:$F$3004,'بنود السندات'!$A$5:$A$3004,A167))</f>
        <v/>
      </c>
      <c r="K167" s="59" t="str">
        <f aca="false">IF(A167="","",SUMIFS('بنود السندات'!$G$5:$G$3004,'بنود السندات'!$A$5:$A$3004,A167))</f>
        <v/>
      </c>
      <c r="L167" s="59" t="str">
        <f aca="false">IF(A167="","",ROUND(J167-K167,2))</f>
        <v/>
      </c>
      <c r="M167" s="55" t="str">
        <f aca="false">IF(A167="","",COUNTIF('بنود السندات'!$A$5:$A$3004,A167))</f>
        <v/>
      </c>
      <c r="N167" s="60" t="str">
        <f aca="false">IF(A167="","",IF(M167=0,"بدون بنود ⚠",IF(L167=0,"متوازن ✔","غير متوازن ✘")))</f>
        <v/>
      </c>
      <c r="O167" s="61" t="str">
        <f aca="false">IF(A167="","","فقط "&amp;IF(INT(ROUND(MAX(J167,K167),2))=0,"صفر",MID(IF(INT(INT(ROUND(MAX(J167,K167),2))/1000000)&gt;0," و"&amp;INDEX(تفقيط!$D$2:$D$1001,INT(INT(ROUND(MAX(J167,K167),2))/1000000)+1),"")&amp;IF(INT(MOD(INT(ROUND(MAX(J167,K167),2)),1000000)/1000)&gt;0," و"&amp;INDEX(تفقيط!$C$2:$C$1001,INT(MOD(INT(ROUND(MAX(J167,K167),2)),1000000)/1000)+1),"")&amp;IF(MOD(INT(ROUND(MAX(J167,K167),2)),1000)&gt;0," و"&amp;INDEX(تفقيط!$B$2:$B$1001,MOD(INT(ROUND(MAX(J167,K167),2)),1000)+1),""),3,400))&amp;" "&amp;CUR&amp;IF(ROUND((ROUND(MAX(J167,K167),2)-INT(ROUND(MAX(J167,K167),2)))*100,0)&gt;0," و"&amp;INDEX(تفقيط!$E$2:$E$1001,ROUND((ROUND(MAX(J167,K167),2)-INT(ROUND(MAX(J167,K167),2)))*100,0)+1),"")&amp;" لا غير")</f>
        <v/>
      </c>
    </row>
    <row r="168" customFormat="false" ht="15" hidden="false" customHeight="false" outlineLevel="0" collapsed="false">
      <c r="A168" s="62" t="str">
        <f aca="false">IF(C168="","",START_NO+COUNT(C$5:C168)-1)</f>
        <v/>
      </c>
      <c r="B168" s="63" t="str">
        <f aca="false">IF(A168="","",PREFIX&amp;"-"&amp;TEXT(C168,"yyyy")&amp;"-"&amp;A168)</f>
        <v/>
      </c>
      <c r="C168" s="56"/>
      <c r="D168" s="57"/>
      <c r="E168" s="58"/>
      <c r="F168" s="58"/>
      <c r="G168" s="57"/>
      <c r="H168" s="57"/>
      <c r="I168" s="57"/>
      <c r="J168" s="64" t="str">
        <f aca="false">IF(A168="","",SUMIFS('بنود السندات'!$F$5:$F$3004,'بنود السندات'!$A$5:$A$3004,A168))</f>
        <v/>
      </c>
      <c r="K168" s="64" t="str">
        <f aca="false">IF(A168="","",SUMIFS('بنود السندات'!$G$5:$G$3004,'بنود السندات'!$A$5:$A$3004,A168))</f>
        <v/>
      </c>
      <c r="L168" s="64" t="str">
        <f aca="false">IF(A168="","",ROUND(J168-K168,2))</f>
        <v/>
      </c>
      <c r="M168" s="63" t="str">
        <f aca="false">IF(A168="","",COUNTIF('بنود السندات'!$A$5:$A$3004,A168))</f>
        <v/>
      </c>
      <c r="N168" s="65" t="str">
        <f aca="false">IF(A168="","",IF(M168=0,"بدون بنود ⚠",IF(L168=0,"متوازن ✔","غير متوازن ✘")))</f>
        <v/>
      </c>
      <c r="O168" s="66" t="str">
        <f aca="false">IF(A168="","","فقط "&amp;IF(INT(ROUND(MAX(J168,K168),2))=0,"صفر",MID(IF(INT(INT(ROUND(MAX(J168,K168),2))/1000000)&gt;0," و"&amp;INDEX(تفقيط!$D$2:$D$1001,INT(INT(ROUND(MAX(J168,K168),2))/1000000)+1),"")&amp;IF(INT(MOD(INT(ROUND(MAX(J168,K168),2)),1000000)/1000)&gt;0," و"&amp;INDEX(تفقيط!$C$2:$C$1001,INT(MOD(INT(ROUND(MAX(J168,K168),2)),1000000)/1000)+1),"")&amp;IF(MOD(INT(ROUND(MAX(J168,K168),2)),1000)&gt;0," و"&amp;INDEX(تفقيط!$B$2:$B$1001,MOD(INT(ROUND(MAX(J168,K168),2)),1000)+1),""),3,400))&amp;" "&amp;CUR&amp;IF(ROUND((ROUND(MAX(J168,K168),2)-INT(ROUND(MAX(J168,K168),2)))*100,0)&gt;0," و"&amp;INDEX(تفقيط!$E$2:$E$1001,ROUND((ROUND(MAX(J168,K168),2)-INT(ROUND(MAX(J168,K168),2)))*100,0)+1),"")&amp;" لا غير")</f>
        <v/>
      </c>
    </row>
    <row r="169" customFormat="false" ht="15" hidden="false" customHeight="false" outlineLevel="0" collapsed="false">
      <c r="A169" s="54" t="str">
        <f aca="false">IF(C169="","",START_NO+COUNT(C$5:C169)-1)</f>
        <v/>
      </c>
      <c r="B169" s="55" t="str">
        <f aca="false">IF(A169="","",PREFIX&amp;"-"&amp;TEXT(C169,"yyyy")&amp;"-"&amp;A169)</f>
        <v/>
      </c>
      <c r="C169" s="56"/>
      <c r="D169" s="57"/>
      <c r="E169" s="58"/>
      <c r="F169" s="58"/>
      <c r="G169" s="57"/>
      <c r="H169" s="57"/>
      <c r="I169" s="57"/>
      <c r="J169" s="59" t="str">
        <f aca="false">IF(A169="","",SUMIFS('بنود السندات'!$F$5:$F$3004,'بنود السندات'!$A$5:$A$3004,A169))</f>
        <v/>
      </c>
      <c r="K169" s="59" t="str">
        <f aca="false">IF(A169="","",SUMIFS('بنود السندات'!$G$5:$G$3004,'بنود السندات'!$A$5:$A$3004,A169))</f>
        <v/>
      </c>
      <c r="L169" s="59" t="str">
        <f aca="false">IF(A169="","",ROUND(J169-K169,2))</f>
        <v/>
      </c>
      <c r="M169" s="55" t="str">
        <f aca="false">IF(A169="","",COUNTIF('بنود السندات'!$A$5:$A$3004,A169))</f>
        <v/>
      </c>
      <c r="N169" s="60" t="str">
        <f aca="false">IF(A169="","",IF(M169=0,"بدون بنود ⚠",IF(L169=0,"متوازن ✔","غير متوازن ✘")))</f>
        <v/>
      </c>
      <c r="O169" s="61" t="str">
        <f aca="false">IF(A169="","","فقط "&amp;IF(INT(ROUND(MAX(J169,K169),2))=0,"صفر",MID(IF(INT(INT(ROUND(MAX(J169,K169),2))/1000000)&gt;0," و"&amp;INDEX(تفقيط!$D$2:$D$1001,INT(INT(ROUND(MAX(J169,K169),2))/1000000)+1),"")&amp;IF(INT(MOD(INT(ROUND(MAX(J169,K169),2)),1000000)/1000)&gt;0," و"&amp;INDEX(تفقيط!$C$2:$C$1001,INT(MOD(INT(ROUND(MAX(J169,K169),2)),1000000)/1000)+1),"")&amp;IF(MOD(INT(ROUND(MAX(J169,K169),2)),1000)&gt;0," و"&amp;INDEX(تفقيط!$B$2:$B$1001,MOD(INT(ROUND(MAX(J169,K169),2)),1000)+1),""),3,400))&amp;" "&amp;CUR&amp;IF(ROUND((ROUND(MAX(J169,K169),2)-INT(ROUND(MAX(J169,K169),2)))*100,0)&gt;0," و"&amp;INDEX(تفقيط!$E$2:$E$1001,ROUND((ROUND(MAX(J169,K169),2)-INT(ROUND(MAX(J169,K169),2)))*100,0)+1),"")&amp;" لا غير")</f>
        <v/>
      </c>
    </row>
    <row r="170" customFormat="false" ht="15" hidden="false" customHeight="false" outlineLevel="0" collapsed="false">
      <c r="A170" s="62" t="str">
        <f aca="false">IF(C170="","",START_NO+COUNT(C$5:C170)-1)</f>
        <v/>
      </c>
      <c r="B170" s="63" t="str">
        <f aca="false">IF(A170="","",PREFIX&amp;"-"&amp;TEXT(C170,"yyyy")&amp;"-"&amp;A170)</f>
        <v/>
      </c>
      <c r="C170" s="56"/>
      <c r="D170" s="57"/>
      <c r="E170" s="58"/>
      <c r="F170" s="58"/>
      <c r="G170" s="57"/>
      <c r="H170" s="57"/>
      <c r="I170" s="57"/>
      <c r="J170" s="64" t="str">
        <f aca="false">IF(A170="","",SUMIFS('بنود السندات'!$F$5:$F$3004,'بنود السندات'!$A$5:$A$3004,A170))</f>
        <v/>
      </c>
      <c r="K170" s="64" t="str">
        <f aca="false">IF(A170="","",SUMIFS('بنود السندات'!$G$5:$G$3004,'بنود السندات'!$A$5:$A$3004,A170))</f>
        <v/>
      </c>
      <c r="L170" s="64" t="str">
        <f aca="false">IF(A170="","",ROUND(J170-K170,2))</f>
        <v/>
      </c>
      <c r="M170" s="63" t="str">
        <f aca="false">IF(A170="","",COUNTIF('بنود السندات'!$A$5:$A$3004,A170))</f>
        <v/>
      </c>
      <c r="N170" s="65" t="str">
        <f aca="false">IF(A170="","",IF(M170=0,"بدون بنود ⚠",IF(L170=0,"متوازن ✔","غير متوازن ✘")))</f>
        <v/>
      </c>
      <c r="O170" s="66" t="str">
        <f aca="false">IF(A170="","","فقط "&amp;IF(INT(ROUND(MAX(J170,K170),2))=0,"صفر",MID(IF(INT(INT(ROUND(MAX(J170,K170),2))/1000000)&gt;0," و"&amp;INDEX(تفقيط!$D$2:$D$1001,INT(INT(ROUND(MAX(J170,K170),2))/1000000)+1),"")&amp;IF(INT(MOD(INT(ROUND(MAX(J170,K170),2)),1000000)/1000)&gt;0," و"&amp;INDEX(تفقيط!$C$2:$C$1001,INT(MOD(INT(ROUND(MAX(J170,K170),2)),1000000)/1000)+1),"")&amp;IF(MOD(INT(ROUND(MAX(J170,K170),2)),1000)&gt;0," و"&amp;INDEX(تفقيط!$B$2:$B$1001,MOD(INT(ROUND(MAX(J170,K170),2)),1000)+1),""),3,400))&amp;" "&amp;CUR&amp;IF(ROUND((ROUND(MAX(J170,K170),2)-INT(ROUND(MAX(J170,K170),2)))*100,0)&gt;0," و"&amp;INDEX(تفقيط!$E$2:$E$1001,ROUND((ROUND(MAX(J170,K170),2)-INT(ROUND(MAX(J170,K170),2)))*100,0)+1),"")&amp;" لا غير")</f>
        <v/>
      </c>
    </row>
    <row r="171" customFormat="false" ht="15" hidden="false" customHeight="false" outlineLevel="0" collapsed="false">
      <c r="A171" s="54" t="str">
        <f aca="false">IF(C171="","",START_NO+COUNT(C$5:C171)-1)</f>
        <v/>
      </c>
      <c r="B171" s="55" t="str">
        <f aca="false">IF(A171="","",PREFIX&amp;"-"&amp;TEXT(C171,"yyyy")&amp;"-"&amp;A171)</f>
        <v/>
      </c>
      <c r="C171" s="56"/>
      <c r="D171" s="57"/>
      <c r="E171" s="58"/>
      <c r="F171" s="58"/>
      <c r="G171" s="57"/>
      <c r="H171" s="57"/>
      <c r="I171" s="57"/>
      <c r="J171" s="59" t="str">
        <f aca="false">IF(A171="","",SUMIFS('بنود السندات'!$F$5:$F$3004,'بنود السندات'!$A$5:$A$3004,A171))</f>
        <v/>
      </c>
      <c r="K171" s="59" t="str">
        <f aca="false">IF(A171="","",SUMIFS('بنود السندات'!$G$5:$G$3004,'بنود السندات'!$A$5:$A$3004,A171))</f>
        <v/>
      </c>
      <c r="L171" s="59" t="str">
        <f aca="false">IF(A171="","",ROUND(J171-K171,2))</f>
        <v/>
      </c>
      <c r="M171" s="55" t="str">
        <f aca="false">IF(A171="","",COUNTIF('بنود السندات'!$A$5:$A$3004,A171))</f>
        <v/>
      </c>
      <c r="N171" s="60" t="str">
        <f aca="false">IF(A171="","",IF(M171=0,"بدون بنود ⚠",IF(L171=0,"متوازن ✔","غير متوازن ✘")))</f>
        <v/>
      </c>
      <c r="O171" s="61" t="str">
        <f aca="false">IF(A171="","","فقط "&amp;IF(INT(ROUND(MAX(J171,K171),2))=0,"صفر",MID(IF(INT(INT(ROUND(MAX(J171,K171),2))/1000000)&gt;0," و"&amp;INDEX(تفقيط!$D$2:$D$1001,INT(INT(ROUND(MAX(J171,K171),2))/1000000)+1),"")&amp;IF(INT(MOD(INT(ROUND(MAX(J171,K171),2)),1000000)/1000)&gt;0," و"&amp;INDEX(تفقيط!$C$2:$C$1001,INT(MOD(INT(ROUND(MAX(J171,K171),2)),1000000)/1000)+1),"")&amp;IF(MOD(INT(ROUND(MAX(J171,K171),2)),1000)&gt;0," و"&amp;INDEX(تفقيط!$B$2:$B$1001,MOD(INT(ROUND(MAX(J171,K171),2)),1000)+1),""),3,400))&amp;" "&amp;CUR&amp;IF(ROUND((ROUND(MAX(J171,K171),2)-INT(ROUND(MAX(J171,K171),2)))*100,0)&gt;0," و"&amp;INDEX(تفقيط!$E$2:$E$1001,ROUND((ROUND(MAX(J171,K171),2)-INT(ROUND(MAX(J171,K171),2)))*100,0)+1),"")&amp;" لا غير")</f>
        <v/>
      </c>
    </row>
    <row r="172" customFormat="false" ht="15" hidden="false" customHeight="false" outlineLevel="0" collapsed="false">
      <c r="A172" s="62" t="str">
        <f aca="false">IF(C172="","",START_NO+COUNT(C$5:C172)-1)</f>
        <v/>
      </c>
      <c r="B172" s="63" t="str">
        <f aca="false">IF(A172="","",PREFIX&amp;"-"&amp;TEXT(C172,"yyyy")&amp;"-"&amp;A172)</f>
        <v/>
      </c>
      <c r="C172" s="56"/>
      <c r="D172" s="57"/>
      <c r="E172" s="58"/>
      <c r="F172" s="58"/>
      <c r="G172" s="57"/>
      <c r="H172" s="57"/>
      <c r="I172" s="57"/>
      <c r="J172" s="64" t="str">
        <f aca="false">IF(A172="","",SUMIFS('بنود السندات'!$F$5:$F$3004,'بنود السندات'!$A$5:$A$3004,A172))</f>
        <v/>
      </c>
      <c r="K172" s="64" t="str">
        <f aca="false">IF(A172="","",SUMIFS('بنود السندات'!$G$5:$G$3004,'بنود السندات'!$A$5:$A$3004,A172))</f>
        <v/>
      </c>
      <c r="L172" s="64" t="str">
        <f aca="false">IF(A172="","",ROUND(J172-K172,2))</f>
        <v/>
      </c>
      <c r="M172" s="63" t="str">
        <f aca="false">IF(A172="","",COUNTIF('بنود السندات'!$A$5:$A$3004,A172))</f>
        <v/>
      </c>
      <c r="N172" s="65" t="str">
        <f aca="false">IF(A172="","",IF(M172=0,"بدون بنود ⚠",IF(L172=0,"متوازن ✔","غير متوازن ✘")))</f>
        <v/>
      </c>
      <c r="O172" s="66" t="str">
        <f aca="false">IF(A172="","","فقط "&amp;IF(INT(ROUND(MAX(J172,K172),2))=0,"صفر",MID(IF(INT(INT(ROUND(MAX(J172,K172),2))/1000000)&gt;0," و"&amp;INDEX(تفقيط!$D$2:$D$1001,INT(INT(ROUND(MAX(J172,K172),2))/1000000)+1),"")&amp;IF(INT(MOD(INT(ROUND(MAX(J172,K172),2)),1000000)/1000)&gt;0," و"&amp;INDEX(تفقيط!$C$2:$C$1001,INT(MOD(INT(ROUND(MAX(J172,K172),2)),1000000)/1000)+1),"")&amp;IF(MOD(INT(ROUND(MAX(J172,K172),2)),1000)&gt;0," و"&amp;INDEX(تفقيط!$B$2:$B$1001,MOD(INT(ROUND(MAX(J172,K172),2)),1000)+1),""),3,400))&amp;" "&amp;CUR&amp;IF(ROUND((ROUND(MAX(J172,K172),2)-INT(ROUND(MAX(J172,K172),2)))*100,0)&gt;0," و"&amp;INDEX(تفقيط!$E$2:$E$1001,ROUND((ROUND(MAX(J172,K172),2)-INT(ROUND(MAX(J172,K172),2)))*100,0)+1),"")&amp;" لا غير")</f>
        <v/>
      </c>
    </row>
    <row r="173" customFormat="false" ht="15" hidden="false" customHeight="false" outlineLevel="0" collapsed="false">
      <c r="A173" s="54" t="str">
        <f aca="false">IF(C173="","",START_NO+COUNT(C$5:C173)-1)</f>
        <v/>
      </c>
      <c r="B173" s="55" t="str">
        <f aca="false">IF(A173="","",PREFIX&amp;"-"&amp;TEXT(C173,"yyyy")&amp;"-"&amp;A173)</f>
        <v/>
      </c>
      <c r="C173" s="56"/>
      <c r="D173" s="57"/>
      <c r="E173" s="58"/>
      <c r="F173" s="58"/>
      <c r="G173" s="57"/>
      <c r="H173" s="57"/>
      <c r="I173" s="57"/>
      <c r="J173" s="59" t="str">
        <f aca="false">IF(A173="","",SUMIFS('بنود السندات'!$F$5:$F$3004,'بنود السندات'!$A$5:$A$3004,A173))</f>
        <v/>
      </c>
      <c r="K173" s="59" t="str">
        <f aca="false">IF(A173="","",SUMIFS('بنود السندات'!$G$5:$G$3004,'بنود السندات'!$A$5:$A$3004,A173))</f>
        <v/>
      </c>
      <c r="L173" s="59" t="str">
        <f aca="false">IF(A173="","",ROUND(J173-K173,2))</f>
        <v/>
      </c>
      <c r="M173" s="55" t="str">
        <f aca="false">IF(A173="","",COUNTIF('بنود السندات'!$A$5:$A$3004,A173))</f>
        <v/>
      </c>
      <c r="N173" s="60" t="str">
        <f aca="false">IF(A173="","",IF(M173=0,"بدون بنود ⚠",IF(L173=0,"متوازن ✔","غير متوازن ✘")))</f>
        <v/>
      </c>
      <c r="O173" s="61" t="str">
        <f aca="false">IF(A173="","","فقط "&amp;IF(INT(ROUND(MAX(J173,K173),2))=0,"صفر",MID(IF(INT(INT(ROUND(MAX(J173,K173),2))/1000000)&gt;0," و"&amp;INDEX(تفقيط!$D$2:$D$1001,INT(INT(ROUND(MAX(J173,K173),2))/1000000)+1),"")&amp;IF(INT(MOD(INT(ROUND(MAX(J173,K173),2)),1000000)/1000)&gt;0," و"&amp;INDEX(تفقيط!$C$2:$C$1001,INT(MOD(INT(ROUND(MAX(J173,K173),2)),1000000)/1000)+1),"")&amp;IF(MOD(INT(ROUND(MAX(J173,K173),2)),1000)&gt;0," و"&amp;INDEX(تفقيط!$B$2:$B$1001,MOD(INT(ROUND(MAX(J173,K173),2)),1000)+1),""),3,400))&amp;" "&amp;CUR&amp;IF(ROUND((ROUND(MAX(J173,K173),2)-INT(ROUND(MAX(J173,K173),2)))*100,0)&gt;0," و"&amp;INDEX(تفقيط!$E$2:$E$1001,ROUND((ROUND(MAX(J173,K173),2)-INT(ROUND(MAX(J173,K173),2)))*100,0)+1),"")&amp;" لا غير")</f>
        <v/>
      </c>
    </row>
    <row r="174" customFormat="false" ht="15" hidden="false" customHeight="false" outlineLevel="0" collapsed="false">
      <c r="A174" s="62" t="str">
        <f aca="false">IF(C174="","",START_NO+COUNT(C$5:C174)-1)</f>
        <v/>
      </c>
      <c r="B174" s="63" t="str">
        <f aca="false">IF(A174="","",PREFIX&amp;"-"&amp;TEXT(C174,"yyyy")&amp;"-"&amp;A174)</f>
        <v/>
      </c>
      <c r="C174" s="56"/>
      <c r="D174" s="57"/>
      <c r="E174" s="58"/>
      <c r="F174" s="58"/>
      <c r="G174" s="57"/>
      <c r="H174" s="57"/>
      <c r="I174" s="57"/>
      <c r="J174" s="64" t="str">
        <f aca="false">IF(A174="","",SUMIFS('بنود السندات'!$F$5:$F$3004,'بنود السندات'!$A$5:$A$3004,A174))</f>
        <v/>
      </c>
      <c r="K174" s="64" t="str">
        <f aca="false">IF(A174="","",SUMIFS('بنود السندات'!$G$5:$G$3004,'بنود السندات'!$A$5:$A$3004,A174))</f>
        <v/>
      </c>
      <c r="L174" s="64" t="str">
        <f aca="false">IF(A174="","",ROUND(J174-K174,2))</f>
        <v/>
      </c>
      <c r="M174" s="63" t="str">
        <f aca="false">IF(A174="","",COUNTIF('بنود السندات'!$A$5:$A$3004,A174))</f>
        <v/>
      </c>
      <c r="N174" s="65" t="str">
        <f aca="false">IF(A174="","",IF(M174=0,"بدون بنود ⚠",IF(L174=0,"متوازن ✔","غير متوازن ✘")))</f>
        <v/>
      </c>
      <c r="O174" s="66" t="str">
        <f aca="false">IF(A174="","","فقط "&amp;IF(INT(ROUND(MAX(J174,K174),2))=0,"صفر",MID(IF(INT(INT(ROUND(MAX(J174,K174),2))/1000000)&gt;0," و"&amp;INDEX(تفقيط!$D$2:$D$1001,INT(INT(ROUND(MAX(J174,K174),2))/1000000)+1),"")&amp;IF(INT(MOD(INT(ROUND(MAX(J174,K174),2)),1000000)/1000)&gt;0," و"&amp;INDEX(تفقيط!$C$2:$C$1001,INT(MOD(INT(ROUND(MAX(J174,K174),2)),1000000)/1000)+1),"")&amp;IF(MOD(INT(ROUND(MAX(J174,K174),2)),1000)&gt;0," و"&amp;INDEX(تفقيط!$B$2:$B$1001,MOD(INT(ROUND(MAX(J174,K174),2)),1000)+1),""),3,400))&amp;" "&amp;CUR&amp;IF(ROUND((ROUND(MAX(J174,K174),2)-INT(ROUND(MAX(J174,K174),2)))*100,0)&gt;0," و"&amp;INDEX(تفقيط!$E$2:$E$1001,ROUND((ROUND(MAX(J174,K174),2)-INT(ROUND(MAX(J174,K174),2)))*100,0)+1),"")&amp;" لا غير")</f>
        <v/>
      </c>
    </row>
    <row r="175" customFormat="false" ht="15" hidden="false" customHeight="false" outlineLevel="0" collapsed="false">
      <c r="A175" s="54" t="str">
        <f aca="false">IF(C175="","",START_NO+COUNT(C$5:C175)-1)</f>
        <v/>
      </c>
      <c r="B175" s="55" t="str">
        <f aca="false">IF(A175="","",PREFIX&amp;"-"&amp;TEXT(C175,"yyyy")&amp;"-"&amp;A175)</f>
        <v/>
      </c>
      <c r="C175" s="56"/>
      <c r="D175" s="57"/>
      <c r="E175" s="58"/>
      <c r="F175" s="58"/>
      <c r="G175" s="57"/>
      <c r="H175" s="57"/>
      <c r="I175" s="57"/>
      <c r="J175" s="59" t="str">
        <f aca="false">IF(A175="","",SUMIFS('بنود السندات'!$F$5:$F$3004,'بنود السندات'!$A$5:$A$3004,A175))</f>
        <v/>
      </c>
      <c r="K175" s="59" t="str">
        <f aca="false">IF(A175="","",SUMIFS('بنود السندات'!$G$5:$G$3004,'بنود السندات'!$A$5:$A$3004,A175))</f>
        <v/>
      </c>
      <c r="L175" s="59" t="str">
        <f aca="false">IF(A175="","",ROUND(J175-K175,2))</f>
        <v/>
      </c>
      <c r="M175" s="55" t="str">
        <f aca="false">IF(A175="","",COUNTIF('بنود السندات'!$A$5:$A$3004,A175))</f>
        <v/>
      </c>
      <c r="N175" s="60" t="str">
        <f aca="false">IF(A175="","",IF(M175=0,"بدون بنود ⚠",IF(L175=0,"متوازن ✔","غير متوازن ✘")))</f>
        <v/>
      </c>
      <c r="O175" s="61" t="str">
        <f aca="false">IF(A175="","","فقط "&amp;IF(INT(ROUND(MAX(J175,K175),2))=0,"صفر",MID(IF(INT(INT(ROUND(MAX(J175,K175),2))/1000000)&gt;0," و"&amp;INDEX(تفقيط!$D$2:$D$1001,INT(INT(ROUND(MAX(J175,K175),2))/1000000)+1),"")&amp;IF(INT(MOD(INT(ROUND(MAX(J175,K175),2)),1000000)/1000)&gt;0," و"&amp;INDEX(تفقيط!$C$2:$C$1001,INT(MOD(INT(ROUND(MAX(J175,K175),2)),1000000)/1000)+1),"")&amp;IF(MOD(INT(ROUND(MAX(J175,K175),2)),1000)&gt;0," و"&amp;INDEX(تفقيط!$B$2:$B$1001,MOD(INT(ROUND(MAX(J175,K175),2)),1000)+1),""),3,400))&amp;" "&amp;CUR&amp;IF(ROUND((ROUND(MAX(J175,K175),2)-INT(ROUND(MAX(J175,K175),2)))*100,0)&gt;0," و"&amp;INDEX(تفقيط!$E$2:$E$1001,ROUND((ROUND(MAX(J175,K175),2)-INT(ROUND(MAX(J175,K175),2)))*100,0)+1),"")&amp;" لا غير")</f>
        <v/>
      </c>
    </row>
    <row r="176" customFormat="false" ht="15" hidden="false" customHeight="false" outlineLevel="0" collapsed="false">
      <c r="A176" s="62" t="str">
        <f aca="false">IF(C176="","",START_NO+COUNT(C$5:C176)-1)</f>
        <v/>
      </c>
      <c r="B176" s="63" t="str">
        <f aca="false">IF(A176="","",PREFIX&amp;"-"&amp;TEXT(C176,"yyyy")&amp;"-"&amp;A176)</f>
        <v/>
      </c>
      <c r="C176" s="56"/>
      <c r="D176" s="57"/>
      <c r="E176" s="58"/>
      <c r="F176" s="58"/>
      <c r="G176" s="57"/>
      <c r="H176" s="57"/>
      <c r="I176" s="57"/>
      <c r="J176" s="64" t="str">
        <f aca="false">IF(A176="","",SUMIFS('بنود السندات'!$F$5:$F$3004,'بنود السندات'!$A$5:$A$3004,A176))</f>
        <v/>
      </c>
      <c r="K176" s="64" t="str">
        <f aca="false">IF(A176="","",SUMIFS('بنود السندات'!$G$5:$G$3004,'بنود السندات'!$A$5:$A$3004,A176))</f>
        <v/>
      </c>
      <c r="L176" s="64" t="str">
        <f aca="false">IF(A176="","",ROUND(J176-K176,2))</f>
        <v/>
      </c>
      <c r="M176" s="63" t="str">
        <f aca="false">IF(A176="","",COUNTIF('بنود السندات'!$A$5:$A$3004,A176))</f>
        <v/>
      </c>
      <c r="N176" s="65" t="str">
        <f aca="false">IF(A176="","",IF(M176=0,"بدون بنود ⚠",IF(L176=0,"متوازن ✔","غير متوازن ✘")))</f>
        <v/>
      </c>
      <c r="O176" s="66" t="str">
        <f aca="false">IF(A176="","","فقط "&amp;IF(INT(ROUND(MAX(J176,K176),2))=0,"صفر",MID(IF(INT(INT(ROUND(MAX(J176,K176),2))/1000000)&gt;0," و"&amp;INDEX(تفقيط!$D$2:$D$1001,INT(INT(ROUND(MAX(J176,K176),2))/1000000)+1),"")&amp;IF(INT(MOD(INT(ROUND(MAX(J176,K176),2)),1000000)/1000)&gt;0," و"&amp;INDEX(تفقيط!$C$2:$C$1001,INT(MOD(INT(ROUND(MAX(J176,K176),2)),1000000)/1000)+1),"")&amp;IF(MOD(INT(ROUND(MAX(J176,K176),2)),1000)&gt;0," و"&amp;INDEX(تفقيط!$B$2:$B$1001,MOD(INT(ROUND(MAX(J176,K176),2)),1000)+1),""),3,400))&amp;" "&amp;CUR&amp;IF(ROUND((ROUND(MAX(J176,K176),2)-INT(ROUND(MAX(J176,K176),2)))*100,0)&gt;0," و"&amp;INDEX(تفقيط!$E$2:$E$1001,ROUND((ROUND(MAX(J176,K176),2)-INT(ROUND(MAX(J176,K176),2)))*100,0)+1),"")&amp;" لا غير")</f>
        <v/>
      </c>
    </row>
    <row r="177" customFormat="false" ht="15" hidden="false" customHeight="false" outlineLevel="0" collapsed="false">
      <c r="A177" s="54" t="str">
        <f aca="false">IF(C177="","",START_NO+COUNT(C$5:C177)-1)</f>
        <v/>
      </c>
      <c r="B177" s="55" t="str">
        <f aca="false">IF(A177="","",PREFIX&amp;"-"&amp;TEXT(C177,"yyyy")&amp;"-"&amp;A177)</f>
        <v/>
      </c>
      <c r="C177" s="56"/>
      <c r="D177" s="57"/>
      <c r="E177" s="58"/>
      <c r="F177" s="58"/>
      <c r="G177" s="57"/>
      <c r="H177" s="57"/>
      <c r="I177" s="57"/>
      <c r="J177" s="59" t="str">
        <f aca="false">IF(A177="","",SUMIFS('بنود السندات'!$F$5:$F$3004,'بنود السندات'!$A$5:$A$3004,A177))</f>
        <v/>
      </c>
      <c r="K177" s="59" t="str">
        <f aca="false">IF(A177="","",SUMIFS('بنود السندات'!$G$5:$G$3004,'بنود السندات'!$A$5:$A$3004,A177))</f>
        <v/>
      </c>
      <c r="L177" s="59" t="str">
        <f aca="false">IF(A177="","",ROUND(J177-K177,2))</f>
        <v/>
      </c>
      <c r="M177" s="55" t="str">
        <f aca="false">IF(A177="","",COUNTIF('بنود السندات'!$A$5:$A$3004,A177))</f>
        <v/>
      </c>
      <c r="N177" s="60" t="str">
        <f aca="false">IF(A177="","",IF(M177=0,"بدون بنود ⚠",IF(L177=0,"متوازن ✔","غير متوازن ✘")))</f>
        <v/>
      </c>
      <c r="O177" s="61" t="str">
        <f aca="false">IF(A177="","","فقط "&amp;IF(INT(ROUND(MAX(J177,K177),2))=0,"صفر",MID(IF(INT(INT(ROUND(MAX(J177,K177),2))/1000000)&gt;0," و"&amp;INDEX(تفقيط!$D$2:$D$1001,INT(INT(ROUND(MAX(J177,K177),2))/1000000)+1),"")&amp;IF(INT(MOD(INT(ROUND(MAX(J177,K177),2)),1000000)/1000)&gt;0," و"&amp;INDEX(تفقيط!$C$2:$C$1001,INT(MOD(INT(ROUND(MAX(J177,K177),2)),1000000)/1000)+1),"")&amp;IF(MOD(INT(ROUND(MAX(J177,K177),2)),1000)&gt;0," و"&amp;INDEX(تفقيط!$B$2:$B$1001,MOD(INT(ROUND(MAX(J177,K177),2)),1000)+1),""),3,400))&amp;" "&amp;CUR&amp;IF(ROUND((ROUND(MAX(J177,K177),2)-INT(ROUND(MAX(J177,K177),2)))*100,0)&gt;0," و"&amp;INDEX(تفقيط!$E$2:$E$1001,ROUND((ROUND(MAX(J177,K177),2)-INT(ROUND(MAX(J177,K177),2)))*100,0)+1),"")&amp;" لا غير")</f>
        <v/>
      </c>
    </row>
    <row r="178" customFormat="false" ht="15" hidden="false" customHeight="false" outlineLevel="0" collapsed="false">
      <c r="A178" s="62" t="str">
        <f aca="false">IF(C178="","",START_NO+COUNT(C$5:C178)-1)</f>
        <v/>
      </c>
      <c r="B178" s="63" t="str">
        <f aca="false">IF(A178="","",PREFIX&amp;"-"&amp;TEXT(C178,"yyyy")&amp;"-"&amp;A178)</f>
        <v/>
      </c>
      <c r="C178" s="56"/>
      <c r="D178" s="57"/>
      <c r="E178" s="58"/>
      <c r="F178" s="58"/>
      <c r="G178" s="57"/>
      <c r="H178" s="57"/>
      <c r="I178" s="57"/>
      <c r="J178" s="64" t="str">
        <f aca="false">IF(A178="","",SUMIFS('بنود السندات'!$F$5:$F$3004,'بنود السندات'!$A$5:$A$3004,A178))</f>
        <v/>
      </c>
      <c r="K178" s="64" t="str">
        <f aca="false">IF(A178="","",SUMIFS('بنود السندات'!$G$5:$G$3004,'بنود السندات'!$A$5:$A$3004,A178))</f>
        <v/>
      </c>
      <c r="L178" s="64" t="str">
        <f aca="false">IF(A178="","",ROUND(J178-K178,2))</f>
        <v/>
      </c>
      <c r="M178" s="63" t="str">
        <f aca="false">IF(A178="","",COUNTIF('بنود السندات'!$A$5:$A$3004,A178))</f>
        <v/>
      </c>
      <c r="N178" s="65" t="str">
        <f aca="false">IF(A178="","",IF(M178=0,"بدون بنود ⚠",IF(L178=0,"متوازن ✔","غير متوازن ✘")))</f>
        <v/>
      </c>
      <c r="O178" s="66" t="str">
        <f aca="false">IF(A178="","","فقط "&amp;IF(INT(ROUND(MAX(J178,K178),2))=0,"صفر",MID(IF(INT(INT(ROUND(MAX(J178,K178),2))/1000000)&gt;0," و"&amp;INDEX(تفقيط!$D$2:$D$1001,INT(INT(ROUND(MAX(J178,K178),2))/1000000)+1),"")&amp;IF(INT(MOD(INT(ROUND(MAX(J178,K178),2)),1000000)/1000)&gt;0," و"&amp;INDEX(تفقيط!$C$2:$C$1001,INT(MOD(INT(ROUND(MAX(J178,K178),2)),1000000)/1000)+1),"")&amp;IF(MOD(INT(ROUND(MAX(J178,K178),2)),1000)&gt;0," و"&amp;INDEX(تفقيط!$B$2:$B$1001,MOD(INT(ROUND(MAX(J178,K178),2)),1000)+1),""),3,400))&amp;" "&amp;CUR&amp;IF(ROUND((ROUND(MAX(J178,K178),2)-INT(ROUND(MAX(J178,K178),2)))*100,0)&gt;0," و"&amp;INDEX(تفقيط!$E$2:$E$1001,ROUND((ROUND(MAX(J178,K178),2)-INT(ROUND(MAX(J178,K178),2)))*100,0)+1),"")&amp;" لا غير")</f>
        <v/>
      </c>
    </row>
    <row r="179" customFormat="false" ht="15" hidden="false" customHeight="false" outlineLevel="0" collapsed="false">
      <c r="A179" s="54" t="str">
        <f aca="false">IF(C179="","",START_NO+COUNT(C$5:C179)-1)</f>
        <v/>
      </c>
      <c r="B179" s="55" t="str">
        <f aca="false">IF(A179="","",PREFIX&amp;"-"&amp;TEXT(C179,"yyyy")&amp;"-"&amp;A179)</f>
        <v/>
      </c>
      <c r="C179" s="56"/>
      <c r="D179" s="57"/>
      <c r="E179" s="58"/>
      <c r="F179" s="58"/>
      <c r="G179" s="57"/>
      <c r="H179" s="57"/>
      <c r="I179" s="57"/>
      <c r="J179" s="59" t="str">
        <f aca="false">IF(A179="","",SUMIFS('بنود السندات'!$F$5:$F$3004,'بنود السندات'!$A$5:$A$3004,A179))</f>
        <v/>
      </c>
      <c r="K179" s="59" t="str">
        <f aca="false">IF(A179="","",SUMIFS('بنود السندات'!$G$5:$G$3004,'بنود السندات'!$A$5:$A$3004,A179))</f>
        <v/>
      </c>
      <c r="L179" s="59" t="str">
        <f aca="false">IF(A179="","",ROUND(J179-K179,2))</f>
        <v/>
      </c>
      <c r="M179" s="55" t="str">
        <f aca="false">IF(A179="","",COUNTIF('بنود السندات'!$A$5:$A$3004,A179))</f>
        <v/>
      </c>
      <c r="N179" s="60" t="str">
        <f aca="false">IF(A179="","",IF(M179=0,"بدون بنود ⚠",IF(L179=0,"متوازن ✔","غير متوازن ✘")))</f>
        <v/>
      </c>
      <c r="O179" s="61" t="str">
        <f aca="false">IF(A179="","","فقط "&amp;IF(INT(ROUND(MAX(J179,K179),2))=0,"صفر",MID(IF(INT(INT(ROUND(MAX(J179,K179),2))/1000000)&gt;0," و"&amp;INDEX(تفقيط!$D$2:$D$1001,INT(INT(ROUND(MAX(J179,K179),2))/1000000)+1),"")&amp;IF(INT(MOD(INT(ROUND(MAX(J179,K179),2)),1000000)/1000)&gt;0," و"&amp;INDEX(تفقيط!$C$2:$C$1001,INT(MOD(INT(ROUND(MAX(J179,K179),2)),1000000)/1000)+1),"")&amp;IF(MOD(INT(ROUND(MAX(J179,K179),2)),1000)&gt;0," و"&amp;INDEX(تفقيط!$B$2:$B$1001,MOD(INT(ROUND(MAX(J179,K179),2)),1000)+1),""),3,400))&amp;" "&amp;CUR&amp;IF(ROUND((ROUND(MAX(J179,K179),2)-INT(ROUND(MAX(J179,K179),2)))*100,0)&gt;0," و"&amp;INDEX(تفقيط!$E$2:$E$1001,ROUND((ROUND(MAX(J179,K179),2)-INT(ROUND(MAX(J179,K179),2)))*100,0)+1),"")&amp;" لا غير")</f>
        <v/>
      </c>
    </row>
    <row r="180" customFormat="false" ht="15" hidden="false" customHeight="false" outlineLevel="0" collapsed="false">
      <c r="A180" s="62" t="str">
        <f aca="false">IF(C180="","",START_NO+COUNT(C$5:C180)-1)</f>
        <v/>
      </c>
      <c r="B180" s="63" t="str">
        <f aca="false">IF(A180="","",PREFIX&amp;"-"&amp;TEXT(C180,"yyyy")&amp;"-"&amp;A180)</f>
        <v/>
      </c>
      <c r="C180" s="56"/>
      <c r="D180" s="57"/>
      <c r="E180" s="58"/>
      <c r="F180" s="58"/>
      <c r="G180" s="57"/>
      <c r="H180" s="57"/>
      <c r="I180" s="57"/>
      <c r="J180" s="64" t="str">
        <f aca="false">IF(A180="","",SUMIFS('بنود السندات'!$F$5:$F$3004,'بنود السندات'!$A$5:$A$3004,A180))</f>
        <v/>
      </c>
      <c r="K180" s="64" t="str">
        <f aca="false">IF(A180="","",SUMIFS('بنود السندات'!$G$5:$G$3004,'بنود السندات'!$A$5:$A$3004,A180))</f>
        <v/>
      </c>
      <c r="L180" s="64" t="str">
        <f aca="false">IF(A180="","",ROUND(J180-K180,2))</f>
        <v/>
      </c>
      <c r="M180" s="63" t="str">
        <f aca="false">IF(A180="","",COUNTIF('بنود السندات'!$A$5:$A$3004,A180))</f>
        <v/>
      </c>
      <c r="N180" s="65" t="str">
        <f aca="false">IF(A180="","",IF(M180=0,"بدون بنود ⚠",IF(L180=0,"متوازن ✔","غير متوازن ✘")))</f>
        <v/>
      </c>
      <c r="O180" s="66" t="str">
        <f aca="false">IF(A180="","","فقط "&amp;IF(INT(ROUND(MAX(J180,K180),2))=0,"صفر",MID(IF(INT(INT(ROUND(MAX(J180,K180),2))/1000000)&gt;0," و"&amp;INDEX(تفقيط!$D$2:$D$1001,INT(INT(ROUND(MAX(J180,K180),2))/1000000)+1),"")&amp;IF(INT(MOD(INT(ROUND(MAX(J180,K180),2)),1000000)/1000)&gt;0," و"&amp;INDEX(تفقيط!$C$2:$C$1001,INT(MOD(INT(ROUND(MAX(J180,K180),2)),1000000)/1000)+1),"")&amp;IF(MOD(INT(ROUND(MAX(J180,K180),2)),1000)&gt;0," و"&amp;INDEX(تفقيط!$B$2:$B$1001,MOD(INT(ROUND(MAX(J180,K180),2)),1000)+1),""),3,400))&amp;" "&amp;CUR&amp;IF(ROUND((ROUND(MAX(J180,K180),2)-INT(ROUND(MAX(J180,K180),2)))*100,0)&gt;0," و"&amp;INDEX(تفقيط!$E$2:$E$1001,ROUND((ROUND(MAX(J180,K180),2)-INT(ROUND(MAX(J180,K180),2)))*100,0)+1),"")&amp;" لا غير")</f>
        <v/>
      </c>
    </row>
    <row r="181" customFormat="false" ht="15" hidden="false" customHeight="false" outlineLevel="0" collapsed="false">
      <c r="A181" s="54" t="str">
        <f aca="false">IF(C181="","",START_NO+COUNT(C$5:C181)-1)</f>
        <v/>
      </c>
      <c r="B181" s="55" t="str">
        <f aca="false">IF(A181="","",PREFIX&amp;"-"&amp;TEXT(C181,"yyyy")&amp;"-"&amp;A181)</f>
        <v/>
      </c>
      <c r="C181" s="56"/>
      <c r="D181" s="57"/>
      <c r="E181" s="58"/>
      <c r="F181" s="58"/>
      <c r="G181" s="57"/>
      <c r="H181" s="57"/>
      <c r="I181" s="57"/>
      <c r="J181" s="59" t="str">
        <f aca="false">IF(A181="","",SUMIFS('بنود السندات'!$F$5:$F$3004,'بنود السندات'!$A$5:$A$3004,A181))</f>
        <v/>
      </c>
      <c r="K181" s="59" t="str">
        <f aca="false">IF(A181="","",SUMIFS('بنود السندات'!$G$5:$G$3004,'بنود السندات'!$A$5:$A$3004,A181))</f>
        <v/>
      </c>
      <c r="L181" s="59" t="str">
        <f aca="false">IF(A181="","",ROUND(J181-K181,2))</f>
        <v/>
      </c>
      <c r="M181" s="55" t="str">
        <f aca="false">IF(A181="","",COUNTIF('بنود السندات'!$A$5:$A$3004,A181))</f>
        <v/>
      </c>
      <c r="N181" s="60" t="str">
        <f aca="false">IF(A181="","",IF(M181=0,"بدون بنود ⚠",IF(L181=0,"متوازن ✔","غير متوازن ✘")))</f>
        <v/>
      </c>
      <c r="O181" s="61" t="str">
        <f aca="false">IF(A181="","","فقط "&amp;IF(INT(ROUND(MAX(J181,K181),2))=0,"صفر",MID(IF(INT(INT(ROUND(MAX(J181,K181),2))/1000000)&gt;0," و"&amp;INDEX(تفقيط!$D$2:$D$1001,INT(INT(ROUND(MAX(J181,K181),2))/1000000)+1),"")&amp;IF(INT(MOD(INT(ROUND(MAX(J181,K181),2)),1000000)/1000)&gt;0," و"&amp;INDEX(تفقيط!$C$2:$C$1001,INT(MOD(INT(ROUND(MAX(J181,K181),2)),1000000)/1000)+1),"")&amp;IF(MOD(INT(ROUND(MAX(J181,K181),2)),1000)&gt;0," و"&amp;INDEX(تفقيط!$B$2:$B$1001,MOD(INT(ROUND(MAX(J181,K181),2)),1000)+1),""),3,400))&amp;" "&amp;CUR&amp;IF(ROUND((ROUND(MAX(J181,K181),2)-INT(ROUND(MAX(J181,K181),2)))*100,0)&gt;0," و"&amp;INDEX(تفقيط!$E$2:$E$1001,ROUND((ROUND(MAX(J181,K181),2)-INT(ROUND(MAX(J181,K181),2)))*100,0)+1),"")&amp;" لا غير")</f>
        <v/>
      </c>
    </row>
    <row r="182" customFormat="false" ht="15" hidden="false" customHeight="false" outlineLevel="0" collapsed="false">
      <c r="A182" s="62" t="str">
        <f aca="false">IF(C182="","",START_NO+COUNT(C$5:C182)-1)</f>
        <v/>
      </c>
      <c r="B182" s="63" t="str">
        <f aca="false">IF(A182="","",PREFIX&amp;"-"&amp;TEXT(C182,"yyyy")&amp;"-"&amp;A182)</f>
        <v/>
      </c>
      <c r="C182" s="56"/>
      <c r="D182" s="57"/>
      <c r="E182" s="58"/>
      <c r="F182" s="58"/>
      <c r="G182" s="57"/>
      <c r="H182" s="57"/>
      <c r="I182" s="57"/>
      <c r="J182" s="64" t="str">
        <f aca="false">IF(A182="","",SUMIFS('بنود السندات'!$F$5:$F$3004,'بنود السندات'!$A$5:$A$3004,A182))</f>
        <v/>
      </c>
      <c r="K182" s="64" t="str">
        <f aca="false">IF(A182="","",SUMIFS('بنود السندات'!$G$5:$G$3004,'بنود السندات'!$A$5:$A$3004,A182))</f>
        <v/>
      </c>
      <c r="L182" s="64" t="str">
        <f aca="false">IF(A182="","",ROUND(J182-K182,2))</f>
        <v/>
      </c>
      <c r="M182" s="63" t="str">
        <f aca="false">IF(A182="","",COUNTIF('بنود السندات'!$A$5:$A$3004,A182))</f>
        <v/>
      </c>
      <c r="N182" s="65" t="str">
        <f aca="false">IF(A182="","",IF(M182=0,"بدون بنود ⚠",IF(L182=0,"متوازن ✔","غير متوازن ✘")))</f>
        <v/>
      </c>
      <c r="O182" s="66" t="str">
        <f aca="false">IF(A182="","","فقط "&amp;IF(INT(ROUND(MAX(J182,K182),2))=0,"صفر",MID(IF(INT(INT(ROUND(MAX(J182,K182),2))/1000000)&gt;0," و"&amp;INDEX(تفقيط!$D$2:$D$1001,INT(INT(ROUND(MAX(J182,K182),2))/1000000)+1),"")&amp;IF(INT(MOD(INT(ROUND(MAX(J182,K182),2)),1000000)/1000)&gt;0," و"&amp;INDEX(تفقيط!$C$2:$C$1001,INT(MOD(INT(ROUND(MAX(J182,K182),2)),1000000)/1000)+1),"")&amp;IF(MOD(INT(ROUND(MAX(J182,K182),2)),1000)&gt;0," و"&amp;INDEX(تفقيط!$B$2:$B$1001,MOD(INT(ROUND(MAX(J182,K182),2)),1000)+1),""),3,400))&amp;" "&amp;CUR&amp;IF(ROUND((ROUND(MAX(J182,K182),2)-INT(ROUND(MAX(J182,K182),2)))*100,0)&gt;0," و"&amp;INDEX(تفقيط!$E$2:$E$1001,ROUND((ROUND(MAX(J182,K182),2)-INT(ROUND(MAX(J182,K182),2)))*100,0)+1),"")&amp;" لا غير")</f>
        <v/>
      </c>
    </row>
    <row r="183" customFormat="false" ht="15" hidden="false" customHeight="false" outlineLevel="0" collapsed="false">
      <c r="A183" s="54" t="str">
        <f aca="false">IF(C183="","",START_NO+COUNT(C$5:C183)-1)</f>
        <v/>
      </c>
      <c r="B183" s="55" t="str">
        <f aca="false">IF(A183="","",PREFIX&amp;"-"&amp;TEXT(C183,"yyyy")&amp;"-"&amp;A183)</f>
        <v/>
      </c>
      <c r="C183" s="56"/>
      <c r="D183" s="57"/>
      <c r="E183" s="58"/>
      <c r="F183" s="58"/>
      <c r="G183" s="57"/>
      <c r="H183" s="57"/>
      <c r="I183" s="57"/>
      <c r="J183" s="59" t="str">
        <f aca="false">IF(A183="","",SUMIFS('بنود السندات'!$F$5:$F$3004,'بنود السندات'!$A$5:$A$3004,A183))</f>
        <v/>
      </c>
      <c r="K183" s="59" t="str">
        <f aca="false">IF(A183="","",SUMIFS('بنود السندات'!$G$5:$G$3004,'بنود السندات'!$A$5:$A$3004,A183))</f>
        <v/>
      </c>
      <c r="L183" s="59" t="str">
        <f aca="false">IF(A183="","",ROUND(J183-K183,2))</f>
        <v/>
      </c>
      <c r="M183" s="55" t="str">
        <f aca="false">IF(A183="","",COUNTIF('بنود السندات'!$A$5:$A$3004,A183))</f>
        <v/>
      </c>
      <c r="N183" s="60" t="str">
        <f aca="false">IF(A183="","",IF(M183=0,"بدون بنود ⚠",IF(L183=0,"متوازن ✔","غير متوازن ✘")))</f>
        <v/>
      </c>
      <c r="O183" s="61" t="str">
        <f aca="false">IF(A183="","","فقط "&amp;IF(INT(ROUND(MAX(J183,K183),2))=0,"صفر",MID(IF(INT(INT(ROUND(MAX(J183,K183),2))/1000000)&gt;0," و"&amp;INDEX(تفقيط!$D$2:$D$1001,INT(INT(ROUND(MAX(J183,K183),2))/1000000)+1),"")&amp;IF(INT(MOD(INT(ROUND(MAX(J183,K183),2)),1000000)/1000)&gt;0," و"&amp;INDEX(تفقيط!$C$2:$C$1001,INT(MOD(INT(ROUND(MAX(J183,K183),2)),1000000)/1000)+1),"")&amp;IF(MOD(INT(ROUND(MAX(J183,K183),2)),1000)&gt;0," و"&amp;INDEX(تفقيط!$B$2:$B$1001,MOD(INT(ROUND(MAX(J183,K183),2)),1000)+1),""),3,400))&amp;" "&amp;CUR&amp;IF(ROUND((ROUND(MAX(J183,K183),2)-INT(ROUND(MAX(J183,K183),2)))*100,0)&gt;0," و"&amp;INDEX(تفقيط!$E$2:$E$1001,ROUND((ROUND(MAX(J183,K183),2)-INT(ROUND(MAX(J183,K183),2)))*100,0)+1),"")&amp;" لا غير")</f>
        <v/>
      </c>
    </row>
    <row r="184" customFormat="false" ht="15" hidden="false" customHeight="false" outlineLevel="0" collapsed="false">
      <c r="A184" s="62" t="str">
        <f aca="false">IF(C184="","",START_NO+COUNT(C$5:C184)-1)</f>
        <v/>
      </c>
      <c r="B184" s="63" t="str">
        <f aca="false">IF(A184="","",PREFIX&amp;"-"&amp;TEXT(C184,"yyyy")&amp;"-"&amp;A184)</f>
        <v/>
      </c>
      <c r="C184" s="56"/>
      <c r="D184" s="57"/>
      <c r="E184" s="58"/>
      <c r="F184" s="58"/>
      <c r="G184" s="57"/>
      <c r="H184" s="57"/>
      <c r="I184" s="57"/>
      <c r="J184" s="64" t="str">
        <f aca="false">IF(A184="","",SUMIFS('بنود السندات'!$F$5:$F$3004,'بنود السندات'!$A$5:$A$3004,A184))</f>
        <v/>
      </c>
      <c r="K184" s="64" t="str">
        <f aca="false">IF(A184="","",SUMIFS('بنود السندات'!$G$5:$G$3004,'بنود السندات'!$A$5:$A$3004,A184))</f>
        <v/>
      </c>
      <c r="L184" s="64" t="str">
        <f aca="false">IF(A184="","",ROUND(J184-K184,2))</f>
        <v/>
      </c>
      <c r="M184" s="63" t="str">
        <f aca="false">IF(A184="","",COUNTIF('بنود السندات'!$A$5:$A$3004,A184))</f>
        <v/>
      </c>
      <c r="N184" s="65" t="str">
        <f aca="false">IF(A184="","",IF(M184=0,"بدون بنود ⚠",IF(L184=0,"متوازن ✔","غير متوازن ✘")))</f>
        <v/>
      </c>
      <c r="O184" s="66" t="str">
        <f aca="false">IF(A184="","","فقط "&amp;IF(INT(ROUND(MAX(J184,K184),2))=0,"صفر",MID(IF(INT(INT(ROUND(MAX(J184,K184),2))/1000000)&gt;0," و"&amp;INDEX(تفقيط!$D$2:$D$1001,INT(INT(ROUND(MAX(J184,K184),2))/1000000)+1),"")&amp;IF(INT(MOD(INT(ROUND(MAX(J184,K184),2)),1000000)/1000)&gt;0," و"&amp;INDEX(تفقيط!$C$2:$C$1001,INT(MOD(INT(ROUND(MAX(J184,K184),2)),1000000)/1000)+1),"")&amp;IF(MOD(INT(ROUND(MAX(J184,K184),2)),1000)&gt;0," و"&amp;INDEX(تفقيط!$B$2:$B$1001,MOD(INT(ROUND(MAX(J184,K184),2)),1000)+1),""),3,400))&amp;" "&amp;CUR&amp;IF(ROUND((ROUND(MAX(J184,K184),2)-INT(ROUND(MAX(J184,K184),2)))*100,0)&gt;0," و"&amp;INDEX(تفقيط!$E$2:$E$1001,ROUND((ROUND(MAX(J184,K184),2)-INT(ROUND(MAX(J184,K184),2)))*100,0)+1),"")&amp;" لا غير")</f>
        <v/>
      </c>
    </row>
    <row r="185" customFormat="false" ht="15" hidden="false" customHeight="false" outlineLevel="0" collapsed="false">
      <c r="A185" s="54" t="str">
        <f aca="false">IF(C185="","",START_NO+COUNT(C$5:C185)-1)</f>
        <v/>
      </c>
      <c r="B185" s="55" t="str">
        <f aca="false">IF(A185="","",PREFIX&amp;"-"&amp;TEXT(C185,"yyyy")&amp;"-"&amp;A185)</f>
        <v/>
      </c>
      <c r="C185" s="56"/>
      <c r="D185" s="57"/>
      <c r="E185" s="58"/>
      <c r="F185" s="58"/>
      <c r="G185" s="57"/>
      <c r="H185" s="57"/>
      <c r="I185" s="57"/>
      <c r="J185" s="59" t="str">
        <f aca="false">IF(A185="","",SUMIFS('بنود السندات'!$F$5:$F$3004,'بنود السندات'!$A$5:$A$3004,A185))</f>
        <v/>
      </c>
      <c r="K185" s="59" t="str">
        <f aca="false">IF(A185="","",SUMIFS('بنود السندات'!$G$5:$G$3004,'بنود السندات'!$A$5:$A$3004,A185))</f>
        <v/>
      </c>
      <c r="L185" s="59" t="str">
        <f aca="false">IF(A185="","",ROUND(J185-K185,2))</f>
        <v/>
      </c>
      <c r="M185" s="55" t="str">
        <f aca="false">IF(A185="","",COUNTIF('بنود السندات'!$A$5:$A$3004,A185))</f>
        <v/>
      </c>
      <c r="N185" s="60" t="str">
        <f aca="false">IF(A185="","",IF(M185=0,"بدون بنود ⚠",IF(L185=0,"متوازن ✔","غير متوازن ✘")))</f>
        <v/>
      </c>
      <c r="O185" s="61" t="str">
        <f aca="false">IF(A185="","","فقط "&amp;IF(INT(ROUND(MAX(J185,K185),2))=0,"صفر",MID(IF(INT(INT(ROUND(MAX(J185,K185),2))/1000000)&gt;0," و"&amp;INDEX(تفقيط!$D$2:$D$1001,INT(INT(ROUND(MAX(J185,K185),2))/1000000)+1),"")&amp;IF(INT(MOD(INT(ROUND(MAX(J185,K185),2)),1000000)/1000)&gt;0," و"&amp;INDEX(تفقيط!$C$2:$C$1001,INT(MOD(INT(ROUND(MAX(J185,K185),2)),1000000)/1000)+1),"")&amp;IF(MOD(INT(ROUND(MAX(J185,K185),2)),1000)&gt;0," و"&amp;INDEX(تفقيط!$B$2:$B$1001,MOD(INT(ROUND(MAX(J185,K185),2)),1000)+1),""),3,400))&amp;" "&amp;CUR&amp;IF(ROUND((ROUND(MAX(J185,K185),2)-INT(ROUND(MAX(J185,K185),2)))*100,0)&gt;0," و"&amp;INDEX(تفقيط!$E$2:$E$1001,ROUND((ROUND(MAX(J185,K185),2)-INT(ROUND(MAX(J185,K185),2)))*100,0)+1),"")&amp;" لا غير")</f>
        <v/>
      </c>
    </row>
    <row r="186" customFormat="false" ht="15" hidden="false" customHeight="false" outlineLevel="0" collapsed="false">
      <c r="A186" s="62" t="str">
        <f aca="false">IF(C186="","",START_NO+COUNT(C$5:C186)-1)</f>
        <v/>
      </c>
      <c r="B186" s="63" t="str">
        <f aca="false">IF(A186="","",PREFIX&amp;"-"&amp;TEXT(C186,"yyyy")&amp;"-"&amp;A186)</f>
        <v/>
      </c>
      <c r="C186" s="56"/>
      <c r="D186" s="57"/>
      <c r="E186" s="58"/>
      <c r="F186" s="58"/>
      <c r="G186" s="57"/>
      <c r="H186" s="57"/>
      <c r="I186" s="57"/>
      <c r="J186" s="64" t="str">
        <f aca="false">IF(A186="","",SUMIFS('بنود السندات'!$F$5:$F$3004,'بنود السندات'!$A$5:$A$3004,A186))</f>
        <v/>
      </c>
      <c r="K186" s="64" t="str">
        <f aca="false">IF(A186="","",SUMIFS('بنود السندات'!$G$5:$G$3004,'بنود السندات'!$A$5:$A$3004,A186))</f>
        <v/>
      </c>
      <c r="L186" s="64" t="str">
        <f aca="false">IF(A186="","",ROUND(J186-K186,2))</f>
        <v/>
      </c>
      <c r="M186" s="63" t="str">
        <f aca="false">IF(A186="","",COUNTIF('بنود السندات'!$A$5:$A$3004,A186))</f>
        <v/>
      </c>
      <c r="N186" s="65" t="str">
        <f aca="false">IF(A186="","",IF(M186=0,"بدون بنود ⚠",IF(L186=0,"متوازن ✔","غير متوازن ✘")))</f>
        <v/>
      </c>
      <c r="O186" s="66" t="str">
        <f aca="false">IF(A186="","","فقط "&amp;IF(INT(ROUND(MAX(J186,K186),2))=0,"صفر",MID(IF(INT(INT(ROUND(MAX(J186,K186),2))/1000000)&gt;0," و"&amp;INDEX(تفقيط!$D$2:$D$1001,INT(INT(ROUND(MAX(J186,K186),2))/1000000)+1),"")&amp;IF(INT(MOD(INT(ROUND(MAX(J186,K186),2)),1000000)/1000)&gt;0," و"&amp;INDEX(تفقيط!$C$2:$C$1001,INT(MOD(INT(ROUND(MAX(J186,K186),2)),1000000)/1000)+1),"")&amp;IF(MOD(INT(ROUND(MAX(J186,K186),2)),1000)&gt;0," و"&amp;INDEX(تفقيط!$B$2:$B$1001,MOD(INT(ROUND(MAX(J186,K186),2)),1000)+1),""),3,400))&amp;" "&amp;CUR&amp;IF(ROUND((ROUND(MAX(J186,K186),2)-INT(ROUND(MAX(J186,K186),2)))*100,0)&gt;0," و"&amp;INDEX(تفقيط!$E$2:$E$1001,ROUND((ROUND(MAX(J186,K186),2)-INT(ROUND(MAX(J186,K186),2)))*100,0)+1),"")&amp;" لا غير")</f>
        <v/>
      </c>
    </row>
    <row r="187" customFormat="false" ht="15" hidden="false" customHeight="false" outlineLevel="0" collapsed="false">
      <c r="A187" s="54" t="str">
        <f aca="false">IF(C187="","",START_NO+COUNT(C$5:C187)-1)</f>
        <v/>
      </c>
      <c r="B187" s="55" t="str">
        <f aca="false">IF(A187="","",PREFIX&amp;"-"&amp;TEXT(C187,"yyyy")&amp;"-"&amp;A187)</f>
        <v/>
      </c>
      <c r="C187" s="56"/>
      <c r="D187" s="57"/>
      <c r="E187" s="58"/>
      <c r="F187" s="58"/>
      <c r="G187" s="57"/>
      <c r="H187" s="57"/>
      <c r="I187" s="57"/>
      <c r="J187" s="59" t="str">
        <f aca="false">IF(A187="","",SUMIFS('بنود السندات'!$F$5:$F$3004,'بنود السندات'!$A$5:$A$3004,A187))</f>
        <v/>
      </c>
      <c r="K187" s="59" t="str">
        <f aca="false">IF(A187="","",SUMIFS('بنود السندات'!$G$5:$G$3004,'بنود السندات'!$A$5:$A$3004,A187))</f>
        <v/>
      </c>
      <c r="L187" s="59" t="str">
        <f aca="false">IF(A187="","",ROUND(J187-K187,2))</f>
        <v/>
      </c>
      <c r="M187" s="55" t="str">
        <f aca="false">IF(A187="","",COUNTIF('بنود السندات'!$A$5:$A$3004,A187))</f>
        <v/>
      </c>
      <c r="N187" s="60" t="str">
        <f aca="false">IF(A187="","",IF(M187=0,"بدون بنود ⚠",IF(L187=0,"متوازن ✔","غير متوازن ✘")))</f>
        <v/>
      </c>
      <c r="O187" s="61" t="str">
        <f aca="false">IF(A187="","","فقط "&amp;IF(INT(ROUND(MAX(J187,K187),2))=0,"صفر",MID(IF(INT(INT(ROUND(MAX(J187,K187),2))/1000000)&gt;0," و"&amp;INDEX(تفقيط!$D$2:$D$1001,INT(INT(ROUND(MAX(J187,K187),2))/1000000)+1),"")&amp;IF(INT(MOD(INT(ROUND(MAX(J187,K187),2)),1000000)/1000)&gt;0," و"&amp;INDEX(تفقيط!$C$2:$C$1001,INT(MOD(INT(ROUND(MAX(J187,K187),2)),1000000)/1000)+1),"")&amp;IF(MOD(INT(ROUND(MAX(J187,K187),2)),1000)&gt;0," و"&amp;INDEX(تفقيط!$B$2:$B$1001,MOD(INT(ROUND(MAX(J187,K187),2)),1000)+1),""),3,400))&amp;" "&amp;CUR&amp;IF(ROUND((ROUND(MAX(J187,K187),2)-INT(ROUND(MAX(J187,K187),2)))*100,0)&gt;0," و"&amp;INDEX(تفقيط!$E$2:$E$1001,ROUND((ROUND(MAX(J187,K187),2)-INT(ROUND(MAX(J187,K187),2)))*100,0)+1),"")&amp;" لا غير")</f>
        <v/>
      </c>
    </row>
    <row r="188" customFormat="false" ht="15" hidden="false" customHeight="false" outlineLevel="0" collapsed="false">
      <c r="A188" s="62" t="str">
        <f aca="false">IF(C188="","",START_NO+COUNT(C$5:C188)-1)</f>
        <v/>
      </c>
      <c r="B188" s="63" t="str">
        <f aca="false">IF(A188="","",PREFIX&amp;"-"&amp;TEXT(C188,"yyyy")&amp;"-"&amp;A188)</f>
        <v/>
      </c>
      <c r="C188" s="56"/>
      <c r="D188" s="57"/>
      <c r="E188" s="58"/>
      <c r="F188" s="58"/>
      <c r="G188" s="57"/>
      <c r="H188" s="57"/>
      <c r="I188" s="57"/>
      <c r="J188" s="64" t="str">
        <f aca="false">IF(A188="","",SUMIFS('بنود السندات'!$F$5:$F$3004,'بنود السندات'!$A$5:$A$3004,A188))</f>
        <v/>
      </c>
      <c r="K188" s="64" t="str">
        <f aca="false">IF(A188="","",SUMIFS('بنود السندات'!$G$5:$G$3004,'بنود السندات'!$A$5:$A$3004,A188))</f>
        <v/>
      </c>
      <c r="L188" s="64" t="str">
        <f aca="false">IF(A188="","",ROUND(J188-K188,2))</f>
        <v/>
      </c>
      <c r="M188" s="63" t="str">
        <f aca="false">IF(A188="","",COUNTIF('بنود السندات'!$A$5:$A$3004,A188))</f>
        <v/>
      </c>
      <c r="N188" s="65" t="str">
        <f aca="false">IF(A188="","",IF(M188=0,"بدون بنود ⚠",IF(L188=0,"متوازن ✔","غير متوازن ✘")))</f>
        <v/>
      </c>
      <c r="O188" s="66" t="str">
        <f aca="false">IF(A188="","","فقط "&amp;IF(INT(ROUND(MAX(J188,K188),2))=0,"صفر",MID(IF(INT(INT(ROUND(MAX(J188,K188),2))/1000000)&gt;0," و"&amp;INDEX(تفقيط!$D$2:$D$1001,INT(INT(ROUND(MAX(J188,K188),2))/1000000)+1),"")&amp;IF(INT(MOD(INT(ROUND(MAX(J188,K188),2)),1000000)/1000)&gt;0," و"&amp;INDEX(تفقيط!$C$2:$C$1001,INT(MOD(INT(ROUND(MAX(J188,K188),2)),1000000)/1000)+1),"")&amp;IF(MOD(INT(ROUND(MAX(J188,K188),2)),1000)&gt;0," و"&amp;INDEX(تفقيط!$B$2:$B$1001,MOD(INT(ROUND(MAX(J188,K188),2)),1000)+1),""),3,400))&amp;" "&amp;CUR&amp;IF(ROUND((ROUND(MAX(J188,K188),2)-INT(ROUND(MAX(J188,K188),2)))*100,0)&gt;0," و"&amp;INDEX(تفقيط!$E$2:$E$1001,ROUND((ROUND(MAX(J188,K188),2)-INT(ROUND(MAX(J188,K188),2)))*100,0)+1),"")&amp;" لا غير")</f>
        <v/>
      </c>
    </row>
    <row r="189" customFormat="false" ht="15" hidden="false" customHeight="false" outlineLevel="0" collapsed="false">
      <c r="A189" s="54" t="str">
        <f aca="false">IF(C189="","",START_NO+COUNT(C$5:C189)-1)</f>
        <v/>
      </c>
      <c r="B189" s="55" t="str">
        <f aca="false">IF(A189="","",PREFIX&amp;"-"&amp;TEXT(C189,"yyyy")&amp;"-"&amp;A189)</f>
        <v/>
      </c>
      <c r="C189" s="56"/>
      <c r="D189" s="57"/>
      <c r="E189" s="58"/>
      <c r="F189" s="58"/>
      <c r="G189" s="57"/>
      <c r="H189" s="57"/>
      <c r="I189" s="57"/>
      <c r="J189" s="59" t="str">
        <f aca="false">IF(A189="","",SUMIFS('بنود السندات'!$F$5:$F$3004,'بنود السندات'!$A$5:$A$3004,A189))</f>
        <v/>
      </c>
      <c r="K189" s="59" t="str">
        <f aca="false">IF(A189="","",SUMIFS('بنود السندات'!$G$5:$G$3004,'بنود السندات'!$A$5:$A$3004,A189))</f>
        <v/>
      </c>
      <c r="L189" s="59" t="str">
        <f aca="false">IF(A189="","",ROUND(J189-K189,2))</f>
        <v/>
      </c>
      <c r="M189" s="55" t="str">
        <f aca="false">IF(A189="","",COUNTIF('بنود السندات'!$A$5:$A$3004,A189))</f>
        <v/>
      </c>
      <c r="N189" s="60" t="str">
        <f aca="false">IF(A189="","",IF(M189=0,"بدون بنود ⚠",IF(L189=0,"متوازن ✔","غير متوازن ✘")))</f>
        <v/>
      </c>
      <c r="O189" s="61" t="str">
        <f aca="false">IF(A189="","","فقط "&amp;IF(INT(ROUND(MAX(J189,K189),2))=0,"صفر",MID(IF(INT(INT(ROUND(MAX(J189,K189),2))/1000000)&gt;0," و"&amp;INDEX(تفقيط!$D$2:$D$1001,INT(INT(ROUND(MAX(J189,K189),2))/1000000)+1),"")&amp;IF(INT(MOD(INT(ROUND(MAX(J189,K189),2)),1000000)/1000)&gt;0," و"&amp;INDEX(تفقيط!$C$2:$C$1001,INT(MOD(INT(ROUND(MAX(J189,K189),2)),1000000)/1000)+1),"")&amp;IF(MOD(INT(ROUND(MAX(J189,K189),2)),1000)&gt;0," و"&amp;INDEX(تفقيط!$B$2:$B$1001,MOD(INT(ROUND(MAX(J189,K189),2)),1000)+1),""),3,400))&amp;" "&amp;CUR&amp;IF(ROUND((ROUND(MAX(J189,K189),2)-INT(ROUND(MAX(J189,K189),2)))*100,0)&gt;0," و"&amp;INDEX(تفقيط!$E$2:$E$1001,ROUND((ROUND(MAX(J189,K189),2)-INT(ROUND(MAX(J189,K189),2)))*100,0)+1),"")&amp;" لا غير")</f>
        <v/>
      </c>
    </row>
    <row r="190" customFormat="false" ht="15" hidden="false" customHeight="false" outlineLevel="0" collapsed="false">
      <c r="A190" s="62" t="str">
        <f aca="false">IF(C190="","",START_NO+COUNT(C$5:C190)-1)</f>
        <v/>
      </c>
      <c r="B190" s="63" t="str">
        <f aca="false">IF(A190="","",PREFIX&amp;"-"&amp;TEXT(C190,"yyyy")&amp;"-"&amp;A190)</f>
        <v/>
      </c>
      <c r="C190" s="56"/>
      <c r="D190" s="57"/>
      <c r="E190" s="58"/>
      <c r="F190" s="58"/>
      <c r="G190" s="57"/>
      <c r="H190" s="57"/>
      <c r="I190" s="57"/>
      <c r="J190" s="64" t="str">
        <f aca="false">IF(A190="","",SUMIFS('بنود السندات'!$F$5:$F$3004,'بنود السندات'!$A$5:$A$3004,A190))</f>
        <v/>
      </c>
      <c r="K190" s="64" t="str">
        <f aca="false">IF(A190="","",SUMIFS('بنود السندات'!$G$5:$G$3004,'بنود السندات'!$A$5:$A$3004,A190))</f>
        <v/>
      </c>
      <c r="L190" s="64" t="str">
        <f aca="false">IF(A190="","",ROUND(J190-K190,2))</f>
        <v/>
      </c>
      <c r="M190" s="63" t="str">
        <f aca="false">IF(A190="","",COUNTIF('بنود السندات'!$A$5:$A$3004,A190))</f>
        <v/>
      </c>
      <c r="N190" s="65" t="str">
        <f aca="false">IF(A190="","",IF(M190=0,"بدون بنود ⚠",IF(L190=0,"متوازن ✔","غير متوازن ✘")))</f>
        <v/>
      </c>
      <c r="O190" s="66" t="str">
        <f aca="false">IF(A190="","","فقط "&amp;IF(INT(ROUND(MAX(J190,K190),2))=0,"صفر",MID(IF(INT(INT(ROUND(MAX(J190,K190),2))/1000000)&gt;0," و"&amp;INDEX(تفقيط!$D$2:$D$1001,INT(INT(ROUND(MAX(J190,K190),2))/1000000)+1),"")&amp;IF(INT(MOD(INT(ROUND(MAX(J190,K190),2)),1000000)/1000)&gt;0," و"&amp;INDEX(تفقيط!$C$2:$C$1001,INT(MOD(INT(ROUND(MAX(J190,K190),2)),1000000)/1000)+1),"")&amp;IF(MOD(INT(ROUND(MAX(J190,K190),2)),1000)&gt;0," و"&amp;INDEX(تفقيط!$B$2:$B$1001,MOD(INT(ROUND(MAX(J190,K190),2)),1000)+1),""),3,400))&amp;" "&amp;CUR&amp;IF(ROUND((ROUND(MAX(J190,K190),2)-INT(ROUND(MAX(J190,K190),2)))*100,0)&gt;0," و"&amp;INDEX(تفقيط!$E$2:$E$1001,ROUND((ROUND(MAX(J190,K190),2)-INT(ROUND(MAX(J190,K190),2)))*100,0)+1),"")&amp;" لا غير")</f>
        <v/>
      </c>
    </row>
    <row r="191" customFormat="false" ht="15" hidden="false" customHeight="false" outlineLevel="0" collapsed="false">
      <c r="A191" s="54" t="str">
        <f aca="false">IF(C191="","",START_NO+COUNT(C$5:C191)-1)</f>
        <v/>
      </c>
      <c r="B191" s="55" t="str">
        <f aca="false">IF(A191="","",PREFIX&amp;"-"&amp;TEXT(C191,"yyyy")&amp;"-"&amp;A191)</f>
        <v/>
      </c>
      <c r="C191" s="56"/>
      <c r="D191" s="57"/>
      <c r="E191" s="58"/>
      <c r="F191" s="58"/>
      <c r="G191" s="57"/>
      <c r="H191" s="57"/>
      <c r="I191" s="57"/>
      <c r="J191" s="59" t="str">
        <f aca="false">IF(A191="","",SUMIFS('بنود السندات'!$F$5:$F$3004,'بنود السندات'!$A$5:$A$3004,A191))</f>
        <v/>
      </c>
      <c r="K191" s="59" t="str">
        <f aca="false">IF(A191="","",SUMIFS('بنود السندات'!$G$5:$G$3004,'بنود السندات'!$A$5:$A$3004,A191))</f>
        <v/>
      </c>
      <c r="L191" s="59" t="str">
        <f aca="false">IF(A191="","",ROUND(J191-K191,2))</f>
        <v/>
      </c>
      <c r="M191" s="55" t="str">
        <f aca="false">IF(A191="","",COUNTIF('بنود السندات'!$A$5:$A$3004,A191))</f>
        <v/>
      </c>
      <c r="N191" s="60" t="str">
        <f aca="false">IF(A191="","",IF(M191=0,"بدون بنود ⚠",IF(L191=0,"متوازن ✔","غير متوازن ✘")))</f>
        <v/>
      </c>
      <c r="O191" s="61" t="str">
        <f aca="false">IF(A191="","","فقط "&amp;IF(INT(ROUND(MAX(J191,K191),2))=0,"صفر",MID(IF(INT(INT(ROUND(MAX(J191,K191),2))/1000000)&gt;0," و"&amp;INDEX(تفقيط!$D$2:$D$1001,INT(INT(ROUND(MAX(J191,K191),2))/1000000)+1),"")&amp;IF(INT(MOD(INT(ROUND(MAX(J191,K191),2)),1000000)/1000)&gt;0," و"&amp;INDEX(تفقيط!$C$2:$C$1001,INT(MOD(INT(ROUND(MAX(J191,K191),2)),1000000)/1000)+1),"")&amp;IF(MOD(INT(ROUND(MAX(J191,K191),2)),1000)&gt;0," و"&amp;INDEX(تفقيط!$B$2:$B$1001,MOD(INT(ROUND(MAX(J191,K191),2)),1000)+1),""),3,400))&amp;" "&amp;CUR&amp;IF(ROUND((ROUND(MAX(J191,K191),2)-INT(ROUND(MAX(J191,K191),2)))*100,0)&gt;0," و"&amp;INDEX(تفقيط!$E$2:$E$1001,ROUND((ROUND(MAX(J191,K191),2)-INT(ROUND(MAX(J191,K191),2)))*100,0)+1),"")&amp;" لا غير")</f>
        <v/>
      </c>
    </row>
    <row r="192" customFormat="false" ht="15" hidden="false" customHeight="false" outlineLevel="0" collapsed="false">
      <c r="A192" s="62" t="str">
        <f aca="false">IF(C192="","",START_NO+COUNT(C$5:C192)-1)</f>
        <v/>
      </c>
      <c r="B192" s="63" t="str">
        <f aca="false">IF(A192="","",PREFIX&amp;"-"&amp;TEXT(C192,"yyyy")&amp;"-"&amp;A192)</f>
        <v/>
      </c>
      <c r="C192" s="56"/>
      <c r="D192" s="57"/>
      <c r="E192" s="58"/>
      <c r="F192" s="58"/>
      <c r="G192" s="57"/>
      <c r="H192" s="57"/>
      <c r="I192" s="57"/>
      <c r="J192" s="64" t="str">
        <f aca="false">IF(A192="","",SUMIFS('بنود السندات'!$F$5:$F$3004,'بنود السندات'!$A$5:$A$3004,A192))</f>
        <v/>
      </c>
      <c r="K192" s="64" t="str">
        <f aca="false">IF(A192="","",SUMIFS('بنود السندات'!$G$5:$G$3004,'بنود السندات'!$A$5:$A$3004,A192))</f>
        <v/>
      </c>
      <c r="L192" s="64" t="str">
        <f aca="false">IF(A192="","",ROUND(J192-K192,2))</f>
        <v/>
      </c>
      <c r="M192" s="63" t="str">
        <f aca="false">IF(A192="","",COUNTIF('بنود السندات'!$A$5:$A$3004,A192))</f>
        <v/>
      </c>
      <c r="N192" s="65" t="str">
        <f aca="false">IF(A192="","",IF(M192=0,"بدون بنود ⚠",IF(L192=0,"متوازن ✔","غير متوازن ✘")))</f>
        <v/>
      </c>
      <c r="O192" s="66" t="str">
        <f aca="false">IF(A192="","","فقط "&amp;IF(INT(ROUND(MAX(J192,K192),2))=0,"صفر",MID(IF(INT(INT(ROUND(MAX(J192,K192),2))/1000000)&gt;0," و"&amp;INDEX(تفقيط!$D$2:$D$1001,INT(INT(ROUND(MAX(J192,K192),2))/1000000)+1),"")&amp;IF(INT(MOD(INT(ROUND(MAX(J192,K192),2)),1000000)/1000)&gt;0," و"&amp;INDEX(تفقيط!$C$2:$C$1001,INT(MOD(INT(ROUND(MAX(J192,K192),2)),1000000)/1000)+1),"")&amp;IF(MOD(INT(ROUND(MAX(J192,K192),2)),1000)&gt;0," و"&amp;INDEX(تفقيط!$B$2:$B$1001,MOD(INT(ROUND(MAX(J192,K192),2)),1000)+1),""),3,400))&amp;" "&amp;CUR&amp;IF(ROUND((ROUND(MAX(J192,K192),2)-INT(ROUND(MAX(J192,K192),2)))*100,0)&gt;0," و"&amp;INDEX(تفقيط!$E$2:$E$1001,ROUND((ROUND(MAX(J192,K192),2)-INT(ROUND(MAX(J192,K192),2)))*100,0)+1),"")&amp;" لا غير")</f>
        <v/>
      </c>
    </row>
    <row r="193" customFormat="false" ht="15" hidden="false" customHeight="false" outlineLevel="0" collapsed="false">
      <c r="A193" s="54" t="str">
        <f aca="false">IF(C193="","",START_NO+COUNT(C$5:C193)-1)</f>
        <v/>
      </c>
      <c r="B193" s="55" t="str">
        <f aca="false">IF(A193="","",PREFIX&amp;"-"&amp;TEXT(C193,"yyyy")&amp;"-"&amp;A193)</f>
        <v/>
      </c>
      <c r="C193" s="56"/>
      <c r="D193" s="57"/>
      <c r="E193" s="58"/>
      <c r="F193" s="58"/>
      <c r="G193" s="57"/>
      <c r="H193" s="57"/>
      <c r="I193" s="57"/>
      <c r="J193" s="59" t="str">
        <f aca="false">IF(A193="","",SUMIFS('بنود السندات'!$F$5:$F$3004,'بنود السندات'!$A$5:$A$3004,A193))</f>
        <v/>
      </c>
      <c r="K193" s="59" t="str">
        <f aca="false">IF(A193="","",SUMIFS('بنود السندات'!$G$5:$G$3004,'بنود السندات'!$A$5:$A$3004,A193))</f>
        <v/>
      </c>
      <c r="L193" s="59" t="str">
        <f aca="false">IF(A193="","",ROUND(J193-K193,2))</f>
        <v/>
      </c>
      <c r="M193" s="55" t="str">
        <f aca="false">IF(A193="","",COUNTIF('بنود السندات'!$A$5:$A$3004,A193))</f>
        <v/>
      </c>
      <c r="N193" s="60" t="str">
        <f aca="false">IF(A193="","",IF(M193=0,"بدون بنود ⚠",IF(L193=0,"متوازن ✔","غير متوازن ✘")))</f>
        <v/>
      </c>
      <c r="O193" s="61" t="str">
        <f aca="false">IF(A193="","","فقط "&amp;IF(INT(ROUND(MAX(J193,K193),2))=0,"صفر",MID(IF(INT(INT(ROUND(MAX(J193,K193),2))/1000000)&gt;0," و"&amp;INDEX(تفقيط!$D$2:$D$1001,INT(INT(ROUND(MAX(J193,K193),2))/1000000)+1),"")&amp;IF(INT(MOD(INT(ROUND(MAX(J193,K193),2)),1000000)/1000)&gt;0," و"&amp;INDEX(تفقيط!$C$2:$C$1001,INT(MOD(INT(ROUND(MAX(J193,K193),2)),1000000)/1000)+1),"")&amp;IF(MOD(INT(ROUND(MAX(J193,K193),2)),1000)&gt;0," و"&amp;INDEX(تفقيط!$B$2:$B$1001,MOD(INT(ROUND(MAX(J193,K193),2)),1000)+1),""),3,400))&amp;" "&amp;CUR&amp;IF(ROUND((ROUND(MAX(J193,K193),2)-INT(ROUND(MAX(J193,K193),2)))*100,0)&gt;0," و"&amp;INDEX(تفقيط!$E$2:$E$1001,ROUND((ROUND(MAX(J193,K193),2)-INT(ROUND(MAX(J193,K193),2)))*100,0)+1),"")&amp;" لا غير")</f>
        <v/>
      </c>
    </row>
    <row r="194" customFormat="false" ht="15" hidden="false" customHeight="false" outlineLevel="0" collapsed="false">
      <c r="A194" s="62" t="str">
        <f aca="false">IF(C194="","",START_NO+COUNT(C$5:C194)-1)</f>
        <v/>
      </c>
      <c r="B194" s="63" t="str">
        <f aca="false">IF(A194="","",PREFIX&amp;"-"&amp;TEXT(C194,"yyyy")&amp;"-"&amp;A194)</f>
        <v/>
      </c>
      <c r="C194" s="56"/>
      <c r="D194" s="57"/>
      <c r="E194" s="58"/>
      <c r="F194" s="58"/>
      <c r="G194" s="57"/>
      <c r="H194" s="57"/>
      <c r="I194" s="57"/>
      <c r="J194" s="64" t="str">
        <f aca="false">IF(A194="","",SUMIFS('بنود السندات'!$F$5:$F$3004,'بنود السندات'!$A$5:$A$3004,A194))</f>
        <v/>
      </c>
      <c r="K194" s="64" t="str">
        <f aca="false">IF(A194="","",SUMIFS('بنود السندات'!$G$5:$G$3004,'بنود السندات'!$A$5:$A$3004,A194))</f>
        <v/>
      </c>
      <c r="L194" s="64" t="str">
        <f aca="false">IF(A194="","",ROUND(J194-K194,2))</f>
        <v/>
      </c>
      <c r="M194" s="63" t="str">
        <f aca="false">IF(A194="","",COUNTIF('بنود السندات'!$A$5:$A$3004,A194))</f>
        <v/>
      </c>
      <c r="N194" s="65" t="str">
        <f aca="false">IF(A194="","",IF(M194=0,"بدون بنود ⚠",IF(L194=0,"متوازن ✔","غير متوازن ✘")))</f>
        <v/>
      </c>
      <c r="O194" s="66" t="str">
        <f aca="false">IF(A194="","","فقط "&amp;IF(INT(ROUND(MAX(J194,K194),2))=0,"صفر",MID(IF(INT(INT(ROUND(MAX(J194,K194),2))/1000000)&gt;0," و"&amp;INDEX(تفقيط!$D$2:$D$1001,INT(INT(ROUND(MAX(J194,K194),2))/1000000)+1),"")&amp;IF(INT(MOD(INT(ROUND(MAX(J194,K194),2)),1000000)/1000)&gt;0," و"&amp;INDEX(تفقيط!$C$2:$C$1001,INT(MOD(INT(ROUND(MAX(J194,K194),2)),1000000)/1000)+1),"")&amp;IF(MOD(INT(ROUND(MAX(J194,K194),2)),1000)&gt;0," و"&amp;INDEX(تفقيط!$B$2:$B$1001,MOD(INT(ROUND(MAX(J194,K194),2)),1000)+1),""),3,400))&amp;" "&amp;CUR&amp;IF(ROUND((ROUND(MAX(J194,K194),2)-INT(ROUND(MAX(J194,K194),2)))*100,0)&gt;0," و"&amp;INDEX(تفقيط!$E$2:$E$1001,ROUND((ROUND(MAX(J194,K194),2)-INT(ROUND(MAX(J194,K194),2)))*100,0)+1),"")&amp;" لا غير")</f>
        <v/>
      </c>
    </row>
    <row r="195" customFormat="false" ht="15" hidden="false" customHeight="false" outlineLevel="0" collapsed="false">
      <c r="A195" s="54" t="str">
        <f aca="false">IF(C195="","",START_NO+COUNT(C$5:C195)-1)</f>
        <v/>
      </c>
      <c r="B195" s="55" t="str">
        <f aca="false">IF(A195="","",PREFIX&amp;"-"&amp;TEXT(C195,"yyyy")&amp;"-"&amp;A195)</f>
        <v/>
      </c>
      <c r="C195" s="56"/>
      <c r="D195" s="57"/>
      <c r="E195" s="58"/>
      <c r="F195" s="58"/>
      <c r="G195" s="57"/>
      <c r="H195" s="57"/>
      <c r="I195" s="57"/>
      <c r="J195" s="59" t="str">
        <f aca="false">IF(A195="","",SUMIFS('بنود السندات'!$F$5:$F$3004,'بنود السندات'!$A$5:$A$3004,A195))</f>
        <v/>
      </c>
      <c r="K195" s="59" t="str">
        <f aca="false">IF(A195="","",SUMIFS('بنود السندات'!$G$5:$G$3004,'بنود السندات'!$A$5:$A$3004,A195))</f>
        <v/>
      </c>
      <c r="L195" s="59" t="str">
        <f aca="false">IF(A195="","",ROUND(J195-K195,2))</f>
        <v/>
      </c>
      <c r="M195" s="55" t="str">
        <f aca="false">IF(A195="","",COUNTIF('بنود السندات'!$A$5:$A$3004,A195))</f>
        <v/>
      </c>
      <c r="N195" s="60" t="str">
        <f aca="false">IF(A195="","",IF(M195=0,"بدون بنود ⚠",IF(L195=0,"متوازن ✔","غير متوازن ✘")))</f>
        <v/>
      </c>
      <c r="O195" s="61" t="str">
        <f aca="false">IF(A195="","","فقط "&amp;IF(INT(ROUND(MAX(J195,K195),2))=0,"صفر",MID(IF(INT(INT(ROUND(MAX(J195,K195),2))/1000000)&gt;0," و"&amp;INDEX(تفقيط!$D$2:$D$1001,INT(INT(ROUND(MAX(J195,K195),2))/1000000)+1),"")&amp;IF(INT(MOD(INT(ROUND(MAX(J195,K195),2)),1000000)/1000)&gt;0," و"&amp;INDEX(تفقيط!$C$2:$C$1001,INT(MOD(INT(ROUND(MAX(J195,K195),2)),1000000)/1000)+1),"")&amp;IF(MOD(INT(ROUND(MAX(J195,K195),2)),1000)&gt;0," و"&amp;INDEX(تفقيط!$B$2:$B$1001,MOD(INT(ROUND(MAX(J195,K195),2)),1000)+1),""),3,400))&amp;" "&amp;CUR&amp;IF(ROUND((ROUND(MAX(J195,K195),2)-INT(ROUND(MAX(J195,K195),2)))*100,0)&gt;0," و"&amp;INDEX(تفقيط!$E$2:$E$1001,ROUND((ROUND(MAX(J195,K195),2)-INT(ROUND(MAX(J195,K195),2)))*100,0)+1),"")&amp;" لا غير")</f>
        <v/>
      </c>
    </row>
    <row r="196" customFormat="false" ht="15" hidden="false" customHeight="false" outlineLevel="0" collapsed="false">
      <c r="A196" s="62" t="str">
        <f aca="false">IF(C196="","",START_NO+COUNT(C$5:C196)-1)</f>
        <v/>
      </c>
      <c r="B196" s="63" t="str">
        <f aca="false">IF(A196="","",PREFIX&amp;"-"&amp;TEXT(C196,"yyyy")&amp;"-"&amp;A196)</f>
        <v/>
      </c>
      <c r="C196" s="56"/>
      <c r="D196" s="57"/>
      <c r="E196" s="58"/>
      <c r="F196" s="58"/>
      <c r="G196" s="57"/>
      <c r="H196" s="57"/>
      <c r="I196" s="57"/>
      <c r="J196" s="64" t="str">
        <f aca="false">IF(A196="","",SUMIFS('بنود السندات'!$F$5:$F$3004,'بنود السندات'!$A$5:$A$3004,A196))</f>
        <v/>
      </c>
      <c r="K196" s="64" t="str">
        <f aca="false">IF(A196="","",SUMIFS('بنود السندات'!$G$5:$G$3004,'بنود السندات'!$A$5:$A$3004,A196))</f>
        <v/>
      </c>
      <c r="L196" s="64" t="str">
        <f aca="false">IF(A196="","",ROUND(J196-K196,2))</f>
        <v/>
      </c>
      <c r="M196" s="63" t="str">
        <f aca="false">IF(A196="","",COUNTIF('بنود السندات'!$A$5:$A$3004,A196))</f>
        <v/>
      </c>
      <c r="N196" s="65" t="str">
        <f aca="false">IF(A196="","",IF(M196=0,"بدون بنود ⚠",IF(L196=0,"متوازن ✔","غير متوازن ✘")))</f>
        <v/>
      </c>
      <c r="O196" s="66" t="str">
        <f aca="false">IF(A196="","","فقط "&amp;IF(INT(ROUND(MAX(J196,K196),2))=0,"صفر",MID(IF(INT(INT(ROUND(MAX(J196,K196),2))/1000000)&gt;0," و"&amp;INDEX(تفقيط!$D$2:$D$1001,INT(INT(ROUND(MAX(J196,K196),2))/1000000)+1),"")&amp;IF(INT(MOD(INT(ROUND(MAX(J196,K196),2)),1000000)/1000)&gt;0," و"&amp;INDEX(تفقيط!$C$2:$C$1001,INT(MOD(INT(ROUND(MAX(J196,K196),2)),1000000)/1000)+1),"")&amp;IF(MOD(INT(ROUND(MAX(J196,K196),2)),1000)&gt;0," و"&amp;INDEX(تفقيط!$B$2:$B$1001,MOD(INT(ROUND(MAX(J196,K196),2)),1000)+1),""),3,400))&amp;" "&amp;CUR&amp;IF(ROUND((ROUND(MAX(J196,K196),2)-INT(ROUND(MAX(J196,K196),2)))*100,0)&gt;0," و"&amp;INDEX(تفقيط!$E$2:$E$1001,ROUND((ROUND(MAX(J196,K196),2)-INT(ROUND(MAX(J196,K196),2)))*100,0)+1),"")&amp;" لا غير")</f>
        <v/>
      </c>
    </row>
    <row r="197" customFormat="false" ht="15" hidden="false" customHeight="false" outlineLevel="0" collapsed="false">
      <c r="A197" s="54" t="str">
        <f aca="false">IF(C197="","",START_NO+COUNT(C$5:C197)-1)</f>
        <v/>
      </c>
      <c r="B197" s="55" t="str">
        <f aca="false">IF(A197="","",PREFIX&amp;"-"&amp;TEXT(C197,"yyyy")&amp;"-"&amp;A197)</f>
        <v/>
      </c>
      <c r="C197" s="56"/>
      <c r="D197" s="57"/>
      <c r="E197" s="58"/>
      <c r="F197" s="58"/>
      <c r="G197" s="57"/>
      <c r="H197" s="57"/>
      <c r="I197" s="57"/>
      <c r="J197" s="59" t="str">
        <f aca="false">IF(A197="","",SUMIFS('بنود السندات'!$F$5:$F$3004,'بنود السندات'!$A$5:$A$3004,A197))</f>
        <v/>
      </c>
      <c r="K197" s="59" t="str">
        <f aca="false">IF(A197="","",SUMIFS('بنود السندات'!$G$5:$G$3004,'بنود السندات'!$A$5:$A$3004,A197))</f>
        <v/>
      </c>
      <c r="L197" s="59" t="str">
        <f aca="false">IF(A197="","",ROUND(J197-K197,2))</f>
        <v/>
      </c>
      <c r="M197" s="55" t="str">
        <f aca="false">IF(A197="","",COUNTIF('بنود السندات'!$A$5:$A$3004,A197))</f>
        <v/>
      </c>
      <c r="N197" s="60" t="str">
        <f aca="false">IF(A197="","",IF(M197=0,"بدون بنود ⚠",IF(L197=0,"متوازن ✔","غير متوازن ✘")))</f>
        <v/>
      </c>
      <c r="O197" s="61" t="str">
        <f aca="false">IF(A197="","","فقط "&amp;IF(INT(ROUND(MAX(J197,K197),2))=0,"صفر",MID(IF(INT(INT(ROUND(MAX(J197,K197),2))/1000000)&gt;0," و"&amp;INDEX(تفقيط!$D$2:$D$1001,INT(INT(ROUND(MAX(J197,K197),2))/1000000)+1),"")&amp;IF(INT(MOD(INT(ROUND(MAX(J197,K197),2)),1000000)/1000)&gt;0," و"&amp;INDEX(تفقيط!$C$2:$C$1001,INT(MOD(INT(ROUND(MAX(J197,K197),2)),1000000)/1000)+1),"")&amp;IF(MOD(INT(ROUND(MAX(J197,K197),2)),1000)&gt;0," و"&amp;INDEX(تفقيط!$B$2:$B$1001,MOD(INT(ROUND(MAX(J197,K197),2)),1000)+1),""),3,400))&amp;" "&amp;CUR&amp;IF(ROUND((ROUND(MAX(J197,K197),2)-INT(ROUND(MAX(J197,K197),2)))*100,0)&gt;0," و"&amp;INDEX(تفقيط!$E$2:$E$1001,ROUND((ROUND(MAX(J197,K197),2)-INT(ROUND(MAX(J197,K197),2)))*100,0)+1),"")&amp;" لا غير")</f>
        <v/>
      </c>
    </row>
    <row r="198" customFormat="false" ht="15" hidden="false" customHeight="false" outlineLevel="0" collapsed="false">
      <c r="A198" s="62" t="str">
        <f aca="false">IF(C198="","",START_NO+COUNT(C$5:C198)-1)</f>
        <v/>
      </c>
      <c r="B198" s="63" t="str">
        <f aca="false">IF(A198="","",PREFIX&amp;"-"&amp;TEXT(C198,"yyyy")&amp;"-"&amp;A198)</f>
        <v/>
      </c>
      <c r="C198" s="56"/>
      <c r="D198" s="57"/>
      <c r="E198" s="58"/>
      <c r="F198" s="58"/>
      <c r="G198" s="57"/>
      <c r="H198" s="57"/>
      <c r="I198" s="57"/>
      <c r="J198" s="64" t="str">
        <f aca="false">IF(A198="","",SUMIFS('بنود السندات'!$F$5:$F$3004,'بنود السندات'!$A$5:$A$3004,A198))</f>
        <v/>
      </c>
      <c r="K198" s="64" t="str">
        <f aca="false">IF(A198="","",SUMIFS('بنود السندات'!$G$5:$G$3004,'بنود السندات'!$A$5:$A$3004,A198))</f>
        <v/>
      </c>
      <c r="L198" s="64" t="str">
        <f aca="false">IF(A198="","",ROUND(J198-K198,2))</f>
        <v/>
      </c>
      <c r="M198" s="63" t="str">
        <f aca="false">IF(A198="","",COUNTIF('بنود السندات'!$A$5:$A$3004,A198))</f>
        <v/>
      </c>
      <c r="N198" s="65" t="str">
        <f aca="false">IF(A198="","",IF(M198=0,"بدون بنود ⚠",IF(L198=0,"متوازن ✔","غير متوازن ✘")))</f>
        <v/>
      </c>
      <c r="O198" s="66" t="str">
        <f aca="false">IF(A198="","","فقط "&amp;IF(INT(ROUND(MAX(J198,K198),2))=0,"صفر",MID(IF(INT(INT(ROUND(MAX(J198,K198),2))/1000000)&gt;0," و"&amp;INDEX(تفقيط!$D$2:$D$1001,INT(INT(ROUND(MAX(J198,K198),2))/1000000)+1),"")&amp;IF(INT(MOD(INT(ROUND(MAX(J198,K198),2)),1000000)/1000)&gt;0," و"&amp;INDEX(تفقيط!$C$2:$C$1001,INT(MOD(INT(ROUND(MAX(J198,K198),2)),1000000)/1000)+1),"")&amp;IF(MOD(INT(ROUND(MAX(J198,K198),2)),1000)&gt;0," و"&amp;INDEX(تفقيط!$B$2:$B$1001,MOD(INT(ROUND(MAX(J198,K198),2)),1000)+1),""),3,400))&amp;" "&amp;CUR&amp;IF(ROUND((ROUND(MAX(J198,K198),2)-INT(ROUND(MAX(J198,K198),2)))*100,0)&gt;0," و"&amp;INDEX(تفقيط!$E$2:$E$1001,ROUND((ROUND(MAX(J198,K198),2)-INT(ROUND(MAX(J198,K198),2)))*100,0)+1),"")&amp;" لا غير")</f>
        <v/>
      </c>
    </row>
    <row r="199" customFormat="false" ht="15" hidden="false" customHeight="false" outlineLevel="0" collapsed="false">
      <c r="A199" s="54" t="str">
        <f aca="false">IF(C199="","",START_NO+COUNT(C$5:C199)-1)</f>
        <v/>
      </c>
      <c r="B199" s="55" t="str">
        <f aca="false">IF(A199="","",PREFIX&amp;"-"&amp;TEXT(C199,"yyyy")&amp;"-"&amp;A199)</f>
        <v/>
      </c>
      <c r="C199" s="56"/>
      <c r="D199" s="57"/>
      <c r="E199" s="58"/>
      <c r="F199" s="58"/>
      <c r="G199" s="57"/>
      <c r="H199" s="57"/>
      <c r="I199" s="57"/>
      <c r="J199" s="59" t="str">
        <f aca="false">IF(A199="","",SUMIFS('بنود السندات'!$F$5:$F$3004,'بنود السندات'!$A$5:$A$3004,A199))</f>
        <v/>
      </c>
      <c r="K199" s="59" t="str">
        <f aca="false">IF(A199="","",SUMIFS('بنود السندات'!$G$5:$G$3004,'بنود السندات'!$A$5:$A$3004,A199))</f>
        <v/>
      </c>
      <c r="L199" s="59" t="str">
        <f aca="false">IF(A199="","",ROUND(J199-K199,2))</f>
        <v/>
      </c>
      <c r="M199" s="55" t="str">
        <f aca="false">IF(A199="","",COUNTIF('بنود السندات'!$A$5:$A$3004,A199))</f>
        <v/>
      </c>
      <c r="N199" s="60" t="str">
        <f aca="false">IF(A199="","",IF(M199=0,"بدون بنود ⚠",IF(L199=0,"متوازن ✔","غير متوازن ✘")))</f>
        <v/>
      </c>
      <c r="O199" s="61" t="str">
        <f aca="false">IF(A199="","","فقط "&amp;IF(INT(ROUND(MAX(J199,K199),2))=0,"صفر",MID(IF(INT(INT(ROUND(MAX(J199,K199),2))/1000000)&gt;0," و"&amp;INDEX(تفقيط!$D$2:$D$1001,INT(INT(ROUND(MAX(J199,K199),2))/1000000)+1),"")&amp;IF(INT(MOD(INT(ROUND(MAX(J199,K199),2)),1000000)/1000)&gt;0," و"&amp;INDEX(تفقيط!$C$2:$C$1001,INT(MOD(INT(ROUND(MAX(J199,K199),2)),1000000)/1000)+1),"")&amp;IF(MOD(INT(ROUND(MAX(J199,K199),2)),1000)&gt;0," و"&amp;INDEX(تفقيط!$B$2:$B$1001,MOD(INT(ROUND(MAX(J199,K199),2)),1000)+1),""),3,400))&amp;" "&amp;CUR&amp;IF(ROUND((ROUND(MAX(J199,K199),2)-INT(ROUND(MAX(J199,K199),2)))*100,0)&gt;0," و"&amp;INDEX(تفقيط!$E$2:$E$1001,ROUND((ROUND(MAX(J199,K199),2)-INT(ROUND(MAX(J199,K199),2)))*100,0)+1),"")&amp;" لا غير")</f>
        <v/>
      </c>
    </row>
    <row r="200" customFormat="false" ht="15" hidden="false" customHeight="false" outlineLevel="0" collapsed="false">
      <c r="A200" s="62" t="str">
        <f aca="false">IF(C200="","",START_NO+COUNT(C$5:C200)-1)</f>
        <v/>
      </c>
      <c r="B200" s="63" t="str">
        <f aca="false">IF(A200="","",PREFIX&amp;"-"&amp;TEXT(C200,"yyyy")&amp;"-"&amp;A200)</f>
        <v/>
      </c>
      <c r="C200" s="56"/>
      <c r="D200" s="57"/>
      <c r="E200" s="58"/>
      <c r="F200" s="58"/>
      <c r="G200" s="57"/>
      <c r="H200" s="57"/>
      <c r="I200" s="57"/>
      <c r="J200" s="64" t="str">
        <f aca="false">IF(A200="","",SUMIFS('بنود السندات'!$F$5:$F$3004,'بنود السندات'!$A$5:$A$3004,A200))</f>
        <v/>
      </c>
      <c r="K200" s="64" t="str">
        <f aca="false">IF(A200="","",SUMIFS('بنود السندات'!$G$5:$G$3004,'بنود السندات'!$A$5:$A$3004,A200))</f>
        <v/>
      </c>
      <c r="L200" s="64" t="str">
        <f aca="false">IF(A200="","",ROUND(J200-K200,2))</f>
        <v/>
      </c>
      <c r="M200" s="63" t="str">
        <f aca="false">IF(A200="","",COUNTIF('بنود السندات'!$A$5:$A$3004,A200))</f>
        <v/>
      </c>
      <c r="N200" s="65" t="str">
        <f aca="false">IF(A200="","",IF(M200=0,"بدون بنود ⚠",IF(L200=0,"متوازن ✔","غير متوازن ✘")))</f>
        <v/>
      </c>
      <c r="O200" s="66" t="str">
        <f aca="false">IF(A200="","","فقط "&amp;IF(INT(ROUND(MAX(J200,K200),2))=0,"صفر",MID(IF(INT(INT(ROUND(MAX(J200,K200),2))/1000000)&gt;0," و"&amp;INDEX(تفقيط!$D$2:$D$1001,INT(INT(ROUND(MAX(J200,K200),2))/1000000)+1),"")&amp;IF(INT(MOD(INT(ROUND(MAX(J200,K200),2)),1000000)/1000)&gt;0," و"&amp;INDEX(تفقيط!$C$2:$C$1001,INT(MOD(INT(ROUND(MAX(J200,K200),2)),1000000)/1000)+1),"")&amp;IF(MOD(INT(ROUND(MAX(J200,K200),2)),1000)&gt;0," و"&amp;INDEX(تفقيط!$B$2:$B$1001,MOD(INT(ROUND(MAX(J200,K200),2)),1000)+1),""),3,400))&amp;" "&amp;CUR&amp;IF(ROUND((ROUND(MAX(J200,K200),2)-INT(ROUND(MAX(J200,K200),2)))*100,0)&gt;0," و"&amp;INDEX(تفقيط!$E$2:$E$1001,ROUND((ROUND(MAX(J200,K200),2)-INT(ROUND(MAX(J200,K200),2)))*100,0)+1),"")&amp;" لا غير")</f>
        <v/>
      </c>
    </row>
    <row r="201" customFormat="false" ht="15" hidden="false" customHeight="false" outlineLevel="0" collapsed="false">
      <c r="A201" s="54" t="str">
        <f aca="false">IF(C201="","",START_NO+COUNT(C$5:C201)-1)</f>
        <v/>
      </c>
      <c r="B201" s="55" t="str">
        <f aca="false">IF(A201="","",PREFIX&amp;"-"&amp;TEXT(C201,"yyyy")&amp;"-"&amp;A201)</f>
        <v/>
      </c>
      <c r="C201" s="56"/>
      <c r="D201" s="57"/>
      <c r="E201" s="58"/>
      <c r="F201" s="58"/>
      <c r="G201" s="57"/>
      <c r="H201" s="57"/>
      <c r="I201" s="57"/>
      <c r="J201" s="59" t="str">
        <f aca="false">IF(A201="","",SUMIFS('بنود السندات'!$F$5:$F$3004,'بنود السندات'!$A$5:$A$3004,A201))</f>
        <v/>
      </c>
      <c r="K201" s="59" t="str">
        <f aca="false">IF(A201="","",SUMIFS('بنود السندات'!$G$5:$G$3004,'بنود السندات'!$A$5:$A$3004,A201))</f>
        <v/>
      </c>
      <c r="L201" s="59" t="str">
        <f aca="false">IF(A201="","",ROUND(J201-K201,2))</f>
        <v/>
      </c>
      <c r="M201" s="55" t="str">
        <f aca="false">IF(A201="","",COUNTIF('بنود السندات'!$A$5:$A$3004,A201))</f>
        <v/>
      </c>
      <c r="N201" s="60" t="str">
        <f aca="false">IF(A201="","",IF(M201=0,"بدون بنود ⚠",IF(L201=0,"متوازن ✔","غير متوازن ✘")))</f>
        <v/>
      </c>
      <c r="O201" s="61" t="str">
        <f aca="false">IF(A201="","","فقط "&amp;IF(INT(ROUND(MAX(J201,K201),2))=0,"صفر",MID(IF(INT(INT(ROUND(MAX(J201,K201),2))/1000000)&gt;0," و"&amp;INDEX(تفقيط!$D$2:$D$1001,INT(INT(ROUND(MAX(J201,K201),2))/1000000)+1),"")&amp;IF(INT(MOD(INT(ROUND(MAX(J201,K201),2)),1000000)/1000)&gt;0," و"&amp;INDEX(تفقيط!$C$2:$C$1001,INT(MOD(INT(ROUND(MAX(J201,K201),2)),1000000)/1000)+1),"")&amp;IF(MOD(INT(ROUND(MAX(J201,K201),2)),1000)&gt;0," و"&amp;INDEX(تفقيط!$B$2:$B$1001,MOD(INT(ROUND(MAX(J201,K201),2)),1000)+1),""),3,400))&amp;" "&amp;CUR&amp;IF(ROUND((ROUND(MAX(J201,K201),2)-INT(ROUND(MAX(J201,K201),2)))*100,0)&gt;0," و"&amp;INDEX(تفقيط!$E$2:$E$1001,ROUND((ROUND(MAX(J201,K201),2)-INT(ROUND(MAX(J201,K201),2)))*100,0)+1),"")&amp;" لا غير")</f>
        <v/>
      </c>
    </row>
    <row r="202" customFormat="false" ht="15" hidden="false" customHeight="false" outlineLevel="0" collapsed="false">
      <c r="A202" s="62" t="str">
        <f aca="false">IF(C202="","",START_NO+COUNT(C$5:C202)-1)</f>
        <v/>
      </c>
      <c r="B202" s="63" t="str">
        <f aca="false">IF(A202="","",PREFIX&amp;"-"&amp;TEXT(C202,"yyyy")&amp;"-"&amp;A202)</f>
        <v/>
      </c>
      <c r="C202" s="56"/>
      <c r="D202" s="57"/>
      <c r="E202" s="58"/>
      <c r="F202" s="58"/>
      <c r="G202" s="57"/>
      <c r="H202" s="57"/>
      <c r="I202" s="57"/>
      <c r="J202" s="64" t="str">
        <f aca="false">IF(A202="","",SUMIFS('بنود السندات'!$F$5:$F$3004,'بنود السندات'!$A$5:$A$3004,A202))</f>
        <v/>
      </c>
      <c r="K202" s="64" t="str">
        <f aca="false">IF(A202="","",SUMIFS('بنود السندات'!$G$5:$G$3004,'بنود السندات'!$A$5:$A$3004,A202))</f>
        <v/>
      </c>
      <c r="L202" s="64" t="str">
        <f aca="false">IF(A202="","",ROUND(J202-K202,2))</f>
        <v/>
      </c>
      <c r="M202" s="63" t="str">
        <f aca="false">IF(A202="","",COUNTIF('بنود السندات'!$A$5:$A$3004,A202))</f>
        <v/>
      </c>
      <c r="N202" s="65" t="str">
        <f aca="false">IF(A202="","",IF(M202=0,"بدون بنود ⚠",IF(L202=0,"متوازن ✔","غير متوازن ✘")))</f>
        <v/>
      </c>
      <c r="O202" s="66" t="str">
        <f aca="false">IF(A202="","","فقط "&amp;IF(INT(ROUND(MAX(J202,K202),2))=0,"صفر",MID(IF(INT(INT(ROUND(MAX(J202,K202),2))/1000000)&gt;0," و"&amp;INDEX(تفقيط!$D$2:$D$1001,INT(INT(ROUND(MAX(J202,K202),2))/1000000)+1),"")&amp;IF(INT(MOD(INT(ROUND(MAX(J202,K202),2)),1000000)/1000)&gt;0," و"&amp;INDEX(تفقيط!$C$2:$C$1001,INT(MOD(INT(ROUND(MAX(J202,K202),2)),1000000)/1000)+1),"")&amp;IF(MOD(INT(ROUND(MAX(J202,K202),2)),1000)&gt;0," و"&amp;INDEX(تفقيط!$B$2:$B$1001,MOD(INT(ROUND(MAX(J202,K202),2)),1000)+1),""),3,400))&amp;" "&amp;CUR&amp;IF(ROUND((ROUND(MAX(J202,K202),2)-INT(ROUND(MAX(J202,K202),2)))*100,0)&gt;0," و"&amp;INDEX(تفقيط!$E$2:$E$1001,ROUND((ROUND(MAX(J202,K202),2)-INT(ROUND(MAX(J202,K202),2)))*100,0)+1),"")&amp;" لا غير")</f>
        <v/>
      </c>
    </row>
    <row r="203" customFormat="false" ht="15" hidden="false" customHeight="false" outlineLevel="0" collapsed="false">
      <c r="A203" s="54" t="str">
        <f aca="false">IF(C203="","",START_NO+COUNT(C$5:C203)-1)</f>
        <v/>
      </c>
      <c r="B203" s="55" t="str">
        <f aca="false">IF(A203="","",PREFIX&amp;"-"&amp;TEXT(C203,"yyyy")&amp;"-"&amp;A203)</f>
        <v/>
      </c>
      <c r="C203" s="56"/>
      <c r="D203" s="57"/>
      <c r="E203" s="58"/>
      <c r="F203" s="58"/>
      <c r="G203" s="57"/>
      <c r="H203" s="57"/>
      <c r="I203" s="57"/>
      <c r="J203" s="59" t="str">
        <f aca="false">IF(A203="","",SUMIFS('بنود السندات'!$F$5:$F$3004,'بنود السندات'!$A$5:$A$3004,A203))</f>
        <v/>
      </c>
      <c r="K203" s="59" t="str">
        <f aca="false">IF(A203="","",SUMIFS('بنود السندات'!$G$5:$G$3004,'بنود السندات'!$A$5:$A$3004,A203))</f>
        <v/>
      </c>
      <c r="L203" s="59" t="str">
        <f aca="false">IF(A203="","",ROUND(J203-K203,2))</f>
        <v/>
      </c>
      <c r="M203" s="55" t="str">
        <f aca="false">IF(A203="","",COUNTIF('بنود السندات'!$A$5:$A$3004,A203))</f>
        <v/>
      </c>
      <c r="N203" s="60" t="str">
        <f aca="false">IF(A203="","",IF(M203=0,"بدون بنود ⚠",IF(L203=0,"متوازن ✔","غير متوازن ✘")))</f>
        <v/>
      </c>
      <c r="O203" s="61" t="str">
        <f aca="false">IF(A203="","","فقط "&amp;IF(INT(ROUND(MAX(J203,K203),2))=0,"صفر",MID(IF(INT(INT(ROUND(MAX(J203,K203),2))/1000000)&gt;0," و"&amp;INDEX(تفقيط!$D$2:$D$1001,INT(INT(ROUND(MAX(J203,K203),2))/1000000)+1),"")&amp;IF(INT(MOD(INT(ROUND(MAX(J203,K203),2)),1000000)/1000)&gt;0," و"&amp;INDEX(تفقيط!$C$2:$C$1001,INT(MOD(INT(ROUND(MAX(J203,K203),2)),1000000)/1000)+1),"")&amp;IF(MOD(INT(ROUND(MAX(J203,K203),2)),1000)&gt;0," و"&amp;INDEX(تفقيط!$B$2:$B$1001,MOD(INT(ROUND(MAX(J203,K203),2)),1000)+1),""),3,400))&amp;" "&amp;CUR&amp;IF(ROUND((ROUND(MAX(J203,K203),2)-INT(ROUND(MAX(J203,K203),2)))*100,0)&gt;0," و"&amp;INDEX(تفقيط!$E$2:$E$1001,ROUND((ROUND(MAX(J203,K203),2)-INT(ROUND(MAX(J203,K203),2)))*100,0)+1),"")&amp;" لا غير")</f>
        <v/>
      </c>
    </row>
    <row r="204" customFormat="false" ht="15" hidden="false" customHeight="false" outlineLevel="0" collapsed="false">
      <c r="A204" s="62" t="str">
        <f aca="false">IF(C204="","",START_NO+COUNT(C$5:C204)-1)</f>
        <v/>
      </c>
      <c r="B204" s="63" t="str">
        <f aca="false">IF(A204="","",PREFIX&amp;"-"&amp;TEXT(C204,"yyyy")&amp;"-"&amp;A204)</f>
        <v/>
      </c>
      <c r="C204" s="56"/>
      <c r="D204" s="57"/>
      <c r="E204" s="58"/>
      <c r="F204" s="58"/>
      <c r="G204" s="57"/>
      <c r="H204" s="57"/>
      <c r="I204" s="57"/>
      <c r="J204" s="64" t="str">
        <f aca="false">IF(A204="","",SUMIFS('بنود السندات'!$F$5:$F$3004,'بنود السندات'!$A$5:$A$3004,A204))</f>
        <v/>
      </c>
      <c r="K204" s="64" t="str">
        <f aca="false">IF(A204="","",SUMIFS('بنود السندات'!$G$5:$G$3004,'بنود السندات'!$A$5:$A$3004,A204))</f>
        <v/>
      </c>
      <c r="L204" s="64" t="str">
        <f aca="false">IF(A204="","",ROUND(J204-K204,2))</f>
        <v/>
      </c>
      <c r="M204" s="63" t="str">
        <f aca="false">IF(A204="","",COUNTIF('بنود السندات'!$A$5:$A$3004,A204))</f>
        <v/>
      </c>
      <c r="N204" s="65" t="str">
        <f aca="false">IF(A204="","",IF(M204=0,"بدون بنود ⚠",IF(L204=0,"متوازن ✔","غير متوازن ✘")))</f>
        <v/>
      </c>
      <c r="O204" s="66" t="str">
        <f aca="false">IF(A204="","","فقط "&amp;IF(INT(ROUND(MAX(J204,K204),2))=0,"صفر",MID(IF(INT(INT(ROUND(MAX(J204,K204),2))/1000000)&gt;0," و"&amp;INDEX(تفقيط!$D$2:$D$1001,INT(INT(ROUND(MAX(J204,K204),2))/1000000)+1),"")&amp;IF(INT(MOD(INT(ROUND(MAX(J204,K204),2)),1000000)/1000)&gt;0," و"&amp;INDEX(تفقيط!$C$2:$C$1001,INT(MOD(INT(ROUND(MAX(J204,K204),2)),1000000)/1000)+1),"")&amp;IF(MOD(INT(ROUND(MAX(J204,K204),2)),1000)&gt;0," و"&amp;INDEX(تفقيط!$B$2:$B$1001,MOD(INT(ROUND(MAX(J204,K204),2)),1000)+1),""),3,400))&amp;" "&amp;CUR&amp;IF(ROUND((ROUND(MAX(J204,K204),2)-INT(ROUND(MAX(J204,K204),2)))*100,0)&gt;0," و"&amp;INDEX(تفقيط!$E$2:$E$1001,ROUND((ROUND(MAX(J204,K204),2)-INT(ROUND(MAX(J204,K204),2)))*100,0)+1),"")&amp;" لا غير")</f>
        <v/>
      </c>
    </row>
    <row r="205" customFormat="false" ht="15" hidden="false" customHeight="false" outlineLevel="0" collapsed="false">
      <c r="A205" s="54" t="str">
        <f aca="false">IF(C205="","",START_NO+COUNT(C$5:C205)-1)</f>
        <v/>
      </c>
      <c r="B205" s="55" t="str">
        <f aca="false">IF(A205="","",PREFIX&amp;"-"&amp;TEXT(C205,"yyyy")&amp;"-"&amp;A205)</f>
        <v/>
      </c>
      <c r="C205" s="56"/>
      <c r="D205" s="57"/>
      <c r="E205" s="58"/>
      <c r="F205" s="58"/>
      <c r="G205" s="57"/>
      <c r="H205" s="57"/>
      <c r="I205" s="57"/>
      <c r="J205" s="59" t="str">
        <f aca="false">IF(A205="","",SUMIFS('بنود السندات'!$F$5:$F$3004,'بنود السندات'!$A$5:$A$3004,A205))</f>
        <v/>
      </c>
      <c r="K205" s="59" t="str">
        <f aca="false">IF(A205="","",SUMIFS('بنود السندات'!$G$5:$G$3004,'بنود السندات'!$A$5:$A$3004,A205))</f>
        <v/>
      </c>
      <c r="L205" s="59" t="str">
        <f aca="false">IF(A205="","",ROUND(J205-K205,2))</f>
        <v/>
      </c>
      <c r="M205" s="55" t="str">
        <f aca="false">IF(A205="","",COUNTIF('بنود السندات'!$A$5:$A$3004,A205))</f>
        <v/>
      </c>
      <c r="N205" s="60" t="str">
        <f aca="false">IF(A205="","",IF(M205=0,"بدون بنود ⚠",IF(L205=0,"متوازن ✔","غير متوازن ✘")))</f>
        <v/>
      </c>
      <c r="O205" s="61" t="str">
        <f aca="false">IF(A205="","","فقط "&amp;IF(INT(ROUND(MAX(J205,K205),2))=0,"صفر",MID(IF(INT(INT(ROUND(MAX(J205,K205),2))/1000000)&gt;0," و"&amp;INDEX(تفقيط!$D$2:$D$1001,INT(INT(ROUND(MAX(J205,K205),2))/1000000)+1),"")&amp;IF(INT(MOD(INT(ROUND(MAX(J205,K205),2)),1000000)/1000)&gt;0," و"&amp;INDEX(تفقيط!$C$2:$C$1001,INT(MOD(INT(ROUND(MAX(J205,K205),2)),1000000)/1000)+1),"")&amp;IF(MOD(INT(ROUND(MAX(J205,K205),2)),1000)&gt;0," و"&amp;INDEX(تفقيط!$B$2:$B$1001,MOD(INT(ROUND(MAX(J205,K205),2)),1000)+1),""),3,400))&amp;" "&amp;CUR&amp;IF(ROUND((ROUND(MAX(J205,K205),2)-INT(ROUND(MAX(J205,K205),2)))*100,0)&gt;0," و"&amp;INDEX(تفقيط!$E$2:$E$1001,ROUND((ROUND(MAX(J205,K205),2)-INT(ROUND(MAX(J205,K205),2)))*100,0)+1),"")&amp;" لا غير")</f>
        <v/>
      </c>
    </row>
    <row r="206" customFormat="false" ht="15" hidden="false" customHeight="false" outlineLevel="0" collapsed="false">
      <c r="A206" s="62" t="str">
        <f aca="false">IF(C206="","",START_NO+COUNT(C$5:C206)-1)</f>
        <v/>
      </c>
      <c r="B206" s="63" t="str">
        <f aca="false">IF(A206="","",PREFIX&amp;"-"&amp;TEXT(C206,"yyyy")&amp;"-"&amp;A206)</f>
        <v/>
      </c>
      <c r="C206" s="56"/>
      <c r="D206" s="57"/>
      <c r="E206" s="58"/>
      <c r="F206" s="58"/>
      <c r="G206" s="57"/>
      <c r="H206" s="57"/>
      <c r="I206" s="57"/>
      <c r="J206" s="64" t="str">
        <f aca="false">IF(A206="","",SUMIFS('بنود السندات'!$F$5:$F$3004,'بنود السندات'!$A$5:$A$3004,A206))</f>
        <v/>
      </c>
      <c r="K206" s="64" t="str">
        <f aca="false">IF(A206="","",SUMIFS('بنود السندات'!$G$5:$G$3004,'بنود السندات'!$A$5:$A$3004,A206))</f>
        <v/>
      </c>
      <c r="L206" s="64" t="str">
        <f aca="false">IF(A206="","",ROUND(J206-K206,2))</f>
        <v/>
      </c>
      <c r="M206" s="63" t="str">
        <f aca="false">IF(A206="","",COUNTIF('بنود السندات'!$A$5:$A$3004,A206))</f>
        <v/>
      </c>
      <c r="N206" s="65" t="str">
        <f aca="false">IF(A206="","",IF(M206=0,"بدون بنود ⚠",IF(L206=0,"متوازن ✔","غير متوازن ✘")))</f>
        <v/>
      </c>
      <c r="O206" s="66" t="str">
        <f aca="false">IF(A206="","","فقط "&amp;IF(INT(ROUND(MAX(J206,K206),2))=0,"صفر",MID(IF(INT(INT(ROUND(MAX(J206,K206),2))/1000000)&gt;0," و"&amp;INDEX(تفقيط!$D$2:$D$1001,INT(INT(ROUND(MAX(J206,K206),2))/1000000)+1),"")&amp;IF(INT(MOD(INT(ROUND(MAX(J206,K206),2)),1000000)/1000)&gt;0," و"&amp;INDEX(تفقيط!$C$2:$C$1001,INT(MOD(INT(ROUND(MAX(J206,K206),2)),1000000)/1000)+1),"")&amp;IF(MOD(INT(ROUND(MAX(J206,K206),2)),1000)&gt;0," و"&amp;INDEX(تفقيط!$B$2:$B$1001,MOD(INT(ROUND(MAX(J206,K206),2)),1000)+1),""),3,400))&amp;" "&amp;CUR&amp;IF(ROUND((ROUND(MAX(J206,K206),2)-INT(ROUND(MAX(J206,K206),2)))*100,0)&gt;0," و"&amp;INDEX(تفقيط!$E$2:$E$1001,ROUND((ROUND(MAX(J206,K206),2)-INT(ROUND(MAX(J206,K206),2)))*100,0)+1),"")&amp;" لا غير")</f>
        <v/>
      </c>
    </row>
    <row r="207" customFormat="false" ht="15" hidden="false" customHeight="false" outlineLevel="0" collapsed="false">
      <c r="A207" s="54" t="str">
        <f aca="false">IF(C207="","",START_NO+COUNT(C$5:C207)-1)</f>
        <v/>
      </c>
      <c r="B207" s="55" t="str">
        <f aca="false">IF(A207="","",PREFIX&amp;"-"&amp;TEXT(C207,"yyyy")&amp;"-"&amp;A207)</f>
        <v/>
      </c>
      <c r="C207" s="56"/>
      <c r="D207" s="57"/>
      <c r="E207" s="58"/>
      <c r="F207" s="58"/>
      <c r="G207" s="57"/>
      <c r="H207" s="57"/>
      <c r="I207" s="57"/>
      <c r="J207" s="59" t="str">
        <f aca="false">IF(A207="","",SUMIFS('بنود السندات'!$F$5:$F$3004,'بنود السندات'!$A$5:$A$3004,A207))</f>
        <v/>
      </c>
      <c r="K207" s="59" t="str">
        <f aca="false">IF(A207="","",SUMIFS('بنود السندات'!$G$5:$G$3004,'بنود السندات'!$A$5:$A$3004,A207))</f>
        <v/>
      </c>
      <c r="L207" s="59" t="str">
        <f aca="false">IF(A207="","",ROUND(J207-K207,2))</f>
        <v/>
      </c>
      <c r="M207" s="55" t="str">
        <f aca="false">IF(A207="","",COUNTIF('بنود السندات'!$A$5:$A$3004,A207))</f>
        <v/>
      </c>
      <c r="N207" s="60" t="str">
        <f aca="false">IF(A207="","",IF(M207=0,"بدون بنود ⚠",IF(L207=0,"متوازن ✔","غير متوازن ✘")))</f>
        <v/>
      </c>
      <c r="O207" s="61" t="str">
        <f aca="false">IF(A207="","","فقط "&amp;IF(INT(ROUND(MAX(J207,K207),2))=0,"صفر",MID(IF(INT(INT(ROUND(MAX(J207,K207),2))/1000000)&gt;0," و"&amp;INDEX(تفقيط!$D$2:$D$1001,INT(INT(ROUND(MAX(J207,K207),2))/1000000)+1),"")&amp;IF(INT(MOD(INT(ROUND(MAX(J207,K207),2)),1000000)/1000)&gt;0," و"&amp;INDEX(تفقيط!$C$2:$C$1001,INT(MOD(INT(ROUND(MAX(J207,K207),2)),1000000)/1000)+1),"")&amp;IF(MOD(INT(ROUND(MAX(J207,K207),2)),1000)&gt;0," و"&amp;INDEX(تفقيط!$B$2:$B$1001,MOD(INT(ROUND(MAX(J207,K207),2)),1000)+1),""),3,400))&amp;" "&amp;CUR&amp;IF(ROUND((ROUND(MAX(J207,K207),2)-INT(ROUND(MAX(J207,K207),2)))*100,0)&gt;0," و"&amp;INDEX(تفقيط!$E$2:$E$1001,ROUND((ROUND(MAX(J207,K207),2)-INT(ROUND(MAX(J207,K207),2)))*100,0)+1),"")&amp;" لا غير")</f>
        <v/>
      </c>
    </row>
    <row r="208" customFormat="false" ht="15" hidden="false" customHeight="false" outlineLevel="0" collapsed="false">
      <c r="A208" s="62" t="str">
        <f aca="false">IF(C208="","",START_NO+COUNT(C$5:C208)-1)</f>
        <v/>
      </c>
      <c r="B208" s="63" t="str">
        <f aca="false">IF(A208="","",PREFIX&amp;"-"&amp;TEXT(C208,"yyyy")&amp;"-"&amp;A208)</f>
        <v/>
      </c>
      <c r="C208" s="56"/>
      <c r="D208" s="57"/>
      <c r="E208" s="58"/>
      <c r="F208" s="58"/>
      <c r="G208" s="57"/>
      <c r="H208" s="57"/>
      <c r="I208" s="57"/>
      <c r="J208" s="64" t="str">
        <f aca="false">IF(A208="","",SUMIFS('بنود السندات'!$F$5:$F$3004,'بنود السندات'!$A$5:$A$3004,A208))</f>
        <v/>
      </c>
      <c r="K208" s="64" t="str">
        <f aca="false">IF(A208="","",SUMIFS('بنود السندات'!$G$5:$G$3004,'بنود السندات'!$A$5:$A$3004,A208))</f>
        <v/>
      </c>
      <c r="L208" s="64" t="str">
        <f aca="false">IF(A208="","",ROUND(J208-K208,2))</f>
        <v/>
      </c>
      <c r="M208" s="63" t="str">
        <f aca="false">IF(A208="","",COUNTIF('بنود السندات'!$A$5:$A$3004,A208))</f>
        <v/>
      </c>
      <c r="N208" s="65" t="str">
        <f aca="false">IF(A208="","",IF(M208=0,"بدون بنود ⚠",IF(L208=0,"متوازن ✔","غير متوازن ✘")))</f>
        <v/>
      </c>
      <c r="O208" s="66" t="str">
        <f aca="false">IF(A208="","","فقط "&amp;IF(INT(ROUND(MAX(J208,K208),2))=0,"صفر",MID(IF(INT(INT(ROUND(MAX(J208,K208),2))/1000000)&gt;0," و"&amp;INDEX(تفقيط!$D$2:$D$1001,INT(INT(ROUND(MAX(J208,K208),2))/1000000)+1),"")&amp;IF(INT(MOD(INT(ROUND(MAX(J208,K208),2)),1000000)/1000)&gt;0," و"&amp;INDEX(تفقيط!$C$2:$C$1001,INT(MOD(INT(ROUND(MAX(J208,K208),2)),1000000)/1000)+1),"")&amp;IF(MOD(INT(ROUND(MAX(J208,K208),2)),1000)&gt;0," و"&amp;INDEX(تفقيط!$B$2:$B$1001,MOD(INT(ROUND(MAX(J208,K208),2)),1000)+1),""),3,400))&amp;" "&amp;CUR&amp;IF(ROUND((ROUND(MAX(J208,K208),2)-INT(ROUND(MAX(J208,K208),2)))*100,0)&gt;0," و"&amp;INDEX(تفقيط!$E$2:$E$1001,ROUND((ROUND(MAX(J208,K208),2)-INT(ROUND(MAX(J208,K208),2)))*100,0)+1),"")&amp;" لا غير")</f>
        <v/>
      </c>
    </row>
    <row r="209" customFormat="false" ht="15" hidden="false" customHeight="false" outlineLevel="0" collapsed="false">
      <c r="A209" s="54" t="str">
        <f aca="false">IF(C209="","",START_NO+COUNT(C$5:C209)-1)</f>
        <v/>
      </c>
      <c r="B209" s="55" t="str">
        <f aca="false">IF(A209="","",PREFIX&amp;"-"&amp;TEXT(C209,"yyyy")&amp;"-"&amp;A209)</f>
        <v/>
      </c>
      <c r="C209" s="56"/>
      <c r="D209" s="57"/>
      <c r="E209" s="58"/>
      <c r="F209" s="58"/>
      <c r="G209" s="57"/>
      <c r="H209" s="57"/>
      <c r="I209" s="57"/>
      <c r="J209" s="59" t="str">
        <f aca="false">IF(A209="","",SUMIFS('بنود السندات'!$F$5:$F$3004,'بنود السندات'!$A$5:$A$3004,A209))</f>
        <v/>
      </c>
      <c r="K209" s="59" t="str">
        <f aca="false">IF(A209="","",SUMIFS('بنود السندات'!$G$5:$G$3004,'بنود السندات'!$A$5:$A$3004,A209))</f>
        <v/>
      </c>
      <c r="L209" s="59" t="str">
        <f aca="false">IF(A209="","",ROUND(J209-K209,2))</f>
        <v/>
      </c>
      <c r="M209" s="55" t="str">
        <f aca="false">IF(A209="","",COUNTIF('بنود السندات'!$A$5:$A$3004,A209))</f>
        <v/>
      </c>
      <c r="N209" s="60" t="str">
        <f aca="false">IF(A209="","",IF(M209=0,"بدون بنود ⚠",IF(L209=0,"متوازن ✔","غير متوازن ✘")))</f>
        <v/>
      </c>
      <c r="O209" s="61" t="str">
        <f aca="false">IF(A209="","","فقط "&amp;IF(INT(ROUND(MAX(J209,K209),2))=0,"صفر",MID(IF(INT(INT(ROUND(MAX(J209,K209),2))/1000000)&gt;0," و"&amp;INDEX(تفقيط!$D$2:$D$1001,INT(INT(ROUND(MAX(J209,K209),2))/1000000)+1),"")&amp;IF(INT(MOD(INT(ROUND(MAX(J209,K209),2)),1000000)/1000)&gt;0," و"&amp;INDEX(تفقيط!$C$2:$C$1001,INT(MOD(INT(ROUND(MAX(J209,K209),2)),1000000)/1000)+1),"")&amp;IF(MOD(INT(ROUND(MAX(J209,K209),2)),1000)&gt;0," و"&amp;INDEX(تفقيط!$B$2:$B$1001,MOD(INT(ROUND(MAX(J209,K209),2)),1000)+1),""),3,400))&amp;" "&amp;CUR&amp;IF(ROUND((ROUND(MAX(J209,K209),2)-INT(ROUND(MAX(J209,K209),2)))*100,0)&gt;0," و"&amp;INDEX(تفقيط!$E$2:$E$1001,ROUND((ROUND(MAX(J209,K209),2)-INT(ROUND(MAX(J209,K209),2)))*100,0)+1),"")&amp;" لا غير")</f>
        <v/>
      </c>
    </row>
    <row r="210" customFormat="false" ht="15" hidden="false" customHeight="false" outlineLevel="0" collapsed="false">
      <c r="A210" s="62" t="str">
        <f aca="false">IF(C210="","",START_NO+COUNT(C$5:C210)-1)</f>
        <v/>
      </c>
      <c r="B210" s="63" t="str">
        <f aca="false">IF(A210="","",PREFIX&amp;"-"&amp;TEXT(C210,"yyyy")&amp;"-"&amp;A210)</f>
        <v/>
      </c>
      <c r="C210" s="56"/>
      <c r="D210" s="57"/>
      <c r="E210" s="58"/>
      <c r="F210" s="58"/>
      <c r="G210" s="57"/>
      <c r="H210" s="57"/>
      <c r="I210" s="57"/>
      <c r="J210" s="64" t="str">
        <f aca="false">IF(A210="","",SUMIFS('بنود السندات'!$F$5:$F$3004,'بنود السندات'!$A$5:$A$3004,A210))</f>
        <v/>
      </c>
      <c r="K210" s="64" t="str">
        <f aca="false">IF(A210="","",SUMIFS('بنود السندات'!$G$5:$G$3004,'بنود السندات'!$A$5:$A$3004,A210))</f>
        <v/>
      </c>
      <c r="L210" s="64" t="str">
        <f aca="false">IF(A210="","",ROUND(J210-K210,2))</f>
        <v/>
      </c>
      <c r="M210" s="63" t="str">
        <f aca="false">IF(A210="","",COUNTIF('بنود السندات'!$A$5:$A$3004,A210))</f>
        <v/>
      </c>
      <c r="N210" s="65" t="str">
        <f aca="false">IF(A210="","",IF(M210=0,"بدون بنود ⚠",IF(L210=0,"متوازن ✔","غير متوازن ✘")))</f>
        <v/>
      </c>
      <c r="O210" s="66" t="str">
        <f aca="false">IF(A210="","","فقط "&amp;IF(INT(ROUND(MAX(J210,K210),2))=0,"صفر",MID(IF(INT(INT(ROUND(MAX(J210,K210),2))/1000000)&gt;0," و"&amp;INDEX(تفقيط!$D$2:$D$1001,INT(INT(ROUND(MAX(J210,K210),2))/1000000)+1),"")&amp;IF(INT(MOD(INT(ROUND(MAX(J210,K210),2)),1000000)/1000)&gt;0," و"&amp;INDEX(تفقيط!$C$2:$C$1001,INT(MOD(INT(ROUND(MAX(J210,K210),2)),1000000)/1000)+1),"")&amp;IF(MOD(INT(ROUND(MAX(J210,K210),2)),1000)&gt;0," و"&amp;INDEX(تفقيط!$B$2:$B$1001,MOD(INT(ROUND(MAX(J210,K210),2)),1000)+1),""),3,400))&amp;" "&amp;CUR&amp;IF(ROUND((ROUND(MAX(J210,K210),2)-INT(ROUND(MAX(J210,K210),2)))*100,0)&gt;0," و"&amp;INDEX(تفقيط!$E$2:$E$1001,ROUND((ROUND(MAX(J210,K210),2)-INT(ROUND(MAX(J210,K210),2)))*100,0)+1),"")&amp;" لا غير")</f>
        <v/>
      </c>
    </row>
    <row r="211" customFormat="false" ht="15" hidden="false" customHeight="false" outlineLevel="0" collapsed="false">
      <c r="A211" s="54" t="str">
        <f aca="false">IF(C211="","",START_NO+COUNT(C$5:C211)-1)</f>
        <v/>
      </c>
      <c r="B211" s="55" t="str">
        <f aca="false">IF(A211="","",PREFIX&amp;"-"&amp;TEXT(C211,"yyyy")&amp;"-"&amp;A211)</f>
        <v/>
      </c>
      <c r="C211" s="56"/>
      <c r="D211" s="57"/>
      <c r="E211" s="58"/>
      <c r="F211" s="58"/>
      <c r="G211" s="57"/>
      <c r="H211" s="57"/>
      <c r="I211" s="57"/>
      <c r="J211" s="59" t="str">
        <f aca="false">IF(A211="","",SUMIFS('بنود السندات'!$F$5:$F$3004,'بنود السندات'!$A$5:$A$3004,A211))</f>
        <v/>
      </c>
      <c r="K211" s="59" t="str">
        <f aca="false">IF(A211="","",SUMIFS('بنود السندات'!$G$5:$G$3004,'بنود السندات'!$A$5:$A$3004,A211))</f>
        <v/>
      </c>
      <c r="L211" s="59" t="str">
        <f aca="false">IF(A211="","",ROUND(J211-K211,2))</f>
        <v/>
      </c>
      <c r="M211" s="55" t="str">
        <f aca="false">IF(A211="","",COUNTIF('بنود السندات'!$A$5:$A$3004,A211))</f>
        <v/>
      </c>
      <c r="N211" s="60" t="str">
        <f aca="false">IF(A211="","",IF(M211=0,"بدون بنود ⚠",IF(L211=0,"متوازن ✔","غير متوازن ✘")))</f>
        <v/>
      </c>
      <c r="O211" s="61" t="str">
        <f aca="false">IF(A211="","","فقط "&amp;IF(INT(ROUND(MAX(J211,K211),2))=0,"صفر",MID(IF(INT(INT(ROUND(MAX(J211,K211),2))/1000000)&gt;0," و"&amp;INDEX(تفقيط!$D$2:$D$1001,INT(INT(ROUND(MAX(J211,K211),2))/1000000)+1),"")&amp;IF(INT(MOD(INT(ROUND(MAX(J211,K211),2)),1000000)/1000)&gt;0," و"&amp;INDEX(تفقيط!$C$2:$C$1001,INT(MOD(INT(ROUND(MAX(J211,K211),2)),1000000)/1000)+1),"")&amp;IF(MOD(INT(ROUND(MAX(J211,K211),2)),1000)&gt;0," و"&amp;INDEX(تفقيط!$B$2:$B$1001,MOD(INT(ROUND(MAX(J211,K211),2)),1000)+1),""),3,400))&amp;" "&amp;CUR&amp;IF(ROUND((ROUND(MAX(J211,K211),2)-INT(ROUND(MAX(J211,K211),2)))*100,0)&gt;0," و"&amp;INDEX(تفقيط!$E$2:$E$1001,ROUND((ROUND(MAX(J211,K211),2)-INT(ROUND(MAX(J211,K211),2)))*100,0)+1),"")&amp;" لا غير")</f>
        <v/>
      </c>
    </row>
    <row r="212" customFormat="false" ht="15" hidden="false" customHeight="false" outlineLevel="0" collapsed="false">
      <c r="A212" s="62" t="str">
        <f aca="false">IF(C212="","",START_NO+COUNT(C$5:C212)-1)</f>
        <v/>
      </c>
      <c r="B212" s="63" t="str">
        <f aca="false">IF(A212="","",PREFIX&amp;"-"&amp;TEXT(C212,"yyyy")&amp;"-"&amp;A212)</f>
        <v/>
      </c>
      <c r="C212" s="56"/>
      <c r="D212" s="57"/>
      <c r="E212" s="58"/>
      <c r="F212" s="58"/>
      <c r="G212" s="57"/>
      <c r="H212" s="57"/>
      <c r="I212" s="57"/>
      <c r="J212" s="64" t="str">
        <f aca="false">IF(A212="","",SUMIFS('بنود السندات'!$F$5:$F$3004,'بنود السندات'!$A$5:$A$3004,A212))</f>
        <v/>
      </c>
      <c r="K212" s="64" t="str">
        <f aca="false">IF(A212="","",SUMIFS('بنود السندات'!$G$5:$G$3004,'بنود السندات'!$A$5:$A$3004,A212))</f>
        <v/>
      </c>
      <c r="L212" s="64" t="str">
        <f aca="false">IF(A212="","",ROUND(J212-K212,2))</f>
        <v/>
      </c>
      <c r="M212" s="63" t="str">
        <f aca="false">IF(A212="","",COUNTIF('بنود السندات'!$A$5:$A$3004,A212))</f>
        <v/>
      </c>
      <c r="N212" s="65" t="str">
        <f aca="false">IF(A212="","",IF(M212=0,"بدون بنود ⚠",IF(L212=0,"متوازن ✔","غير متوازن ✘")))</f>
        <v/>
      </c>
      <c r="O212" s="66" t="str">
        <f aca="false">IF(A212="","","فقط "&amp;IF(INT(ROUND(MAX(J212,K212),2))=0,"صفر",MID(IF(INT(INT(ROUND(MAX(J212,K212),2))/1000000)&gt;0," و"&amp;INDEX(تفقيط!$D$2:$D$1001,INT(INT(ROUND(MAX(J212,K212),2))/1000000)+1),"")&amp;IF(INT(MOD(INT(ROUND(MAX(J212,K212),2)),1000000)/1000)&gt;0," و"&amp;INDEX(تفقيط!$C$2:$C$1001,INT(MOD(INT(ROUND(MAX(J212,K212),2)),1000000)/1000)+1),"")&amp;IF(MOD(INT(ROUND(MAX(J212,K212),2)),1000)&gt;0," و"&amp;INDEX(تفقيط!$B$2:$B$1001,MOD(INT(ROUND(MAX(J212,K212),2)),1000)+1),""),3,400))&amp;" "&amp;CUR&amp;IF(ROUND((ROUND(MAX(J212,K212),2)-INT(ROUND(MAX(J212,K212),2)))*100,0)&gt;0," و"&amp;INDEX(تفقيط!$E$2:$E$1001,ROUND((ROUND(MAX(J212,K212),2)-INT(ROUND(MAX(J212,K212),2)))*100,0)+1),"")&amp;" لا غير")</f>
        <v/>
      </c>
    </row>
    <row r="213" customFormat="false" ht="15" hidden="false" customHeight="false" outlineLevel="0" collapsed="false">
      <c r="A213" s="54" t="str">
        <f aca="false">IF(C213="","",START_NO+COUNT(C$5:C213)-1)</f>
        <v/>
      </c>
      <c r="B213" s="55" t="str">
        <f aca="false">IF(A213="","",PREFIX&amp;"-"&amp;TEXT(C213,"yyyy")&amp;"-"&amp;A213)</f>
        <v/>
      </c>
      <c r="C213" s="56"/>
      <c r="D213" s="57"/>
      <c r="E213" s="58"/>
      <c r="F213" s="58"/>
      <c r="G213" s="57"/>
      <c r="H213" s="57"/>
      <c r="I213" s="57"/>
      <c r="J213" s="59" t="str">
        <f aca="false">IF(A213="","",SUMIFS('بنود السندات'!$F$5:$F$3004,'بنود السندات'!$A$5:$A$3004,A213))</f>
        <v/>
      </c>
      <c r="K213" s="59" t="str">
        <f aca="false">IF(A213="","",SUMIFS('بنود السندات'!$G$5:$G$3004,'بنود السندات'!$A$5:$A$3004,A213))</f>
        <v/>
      </c>
      <c r="L213" s="59" t="str">
        <f aca="false">IF(A213="","",ROUND(J213-K213,2))</f>
        <v/>
      </c>
      <c r="M213" s="55" t="str">
        <f aca="false">IF(A213="","",COUNTIF('بنود السندات'!$A$5:$A$3004,A213))</f>
        <v/>
      </c>
      <c r="N213" s="60" t="str">
        <f aca="false">IF(A213="","",IF(M213=0,"بدون بنود ⚠",IF(L213=0,"متوازن ✔","غير متوازن ✘")))</f>
        <v/>
      </c>
      <c r="O213" s="61" t="str">
        <f aca="false">IF(A213="","","فقط "&amp;IF(INT(ROUND(MAX(J213,K213),2))=0,"صفر",MID(IF(INT(INT(ROUND(MAX(J213,K213),2))/1000000)&gt;0," و"&amp;INDEX(تفقيط!$D$2:$D$1001,INT(INT(ROUND(MAX(J213,K213),2))/1000000)+1),"")&amp;IF(INT(MOD(INT(ROUND(MAX(J213,K213),2)),1000000)/1000)&gt;0," و"&amp;INDEX(تفقيط!$C$2:$C$1001,INT(MOD(INT(ROUND(MAX(J213,K213),2)),1000000)/1000)+1),"")&amp;IF(MOD(INT(ROUND(MAX(J213,K213),2)),1000)&gt;0," و"&amp;INDEX(تفقيط!$B$2:$B$1001,MOD(INT(ROUND(MAX(J213,K213),2)),1000)+1),""),3,400))&amp;" "&amp;CUR&amp;IF(ROUND((ROUND(MAX(J213,K213),2)-INT(ROUND(MAX(J213,K213),2)))*100,0)&gt;0," و"&amp;INDEX(تفقيط!$E$2:$E$1001,ROUND((ROUND(MAX(J213,K213),2)-INT(ROUND(MAX(J213,K213),2)))*100,0)+1),"")&amp;" لا غير")</f>
        <v/>
      </c>
    </row>
    <row r="214" customFormat="false" ht="15" hidden="false" customHeight="false" outlineLevel="0" collapsed="false">
      <c r="A214" s="62" t="str">
        <f aca="false">IF(C214="","",START_NO+COUNT(C$5:C214)-1)</f>
        <v/>
      </c>
      <c r="B214" s="63" t="str">
        <f aca="false">IF(A214="","",PREFIX&amp;"-"&amp;TEXT(C214,"yyyy")&amp;"-"&amp;A214)</f>
        <v/>
      </c>
      <c r="C214" s="56"/>
      <c r="D214" s="57"/>
      <c r="E214" s="58"/>
      <c r="F214" s="58"/>
      <c r="G214" s="57"/>
      <c r="H214" s="57"/>
      <c r="I214" s="57"/>
      <c r="J214" s="64" t="str">
        <f aca="false">IF(A214="","",SUMIFS('بنود السندات'!$F$5:$F$3004,'بنود السندات'!$A$5:$A$3004,A214))</f>
        <v/>
      </c>
      <c r="K214" s="64" t="str">
        <f aca="false">IF(A214="","",SUMIFS('بنود السندات'!$G$5:$G$3004,'بنود السندات'!$A$5:$A$3004,A214))</f>
        <v/>
      </c>
      <c r="L214" s="64" t="str">
        <f aca="false">IF(A214="","",ROUND(J214-K214,2))</f>
        <v/>
      </c>
      <c r="M214" s="63" t="str">
        <f aca="false">IF(A214="","",COUNTIF('بنود السندات'!$A$5:$A$3004,A214))</f>
        <v/>
      </c>
      <c r="N214" s="65" t="str">
        <f aca="false">IF(A214="","",IF(M214=0,"بدون بنود ⚠",IF(L214=0,"متوازن ✔","غير متوازن ✘")))</f>
        <v/>
      </c>
      <c r="O214" s="66" t="str">
        <f aca="false">IF(A214="","","فقط "&amp;IF(INT(ROUND(MAX(J214,K214),2))=0,"صفر",MID(IF(INT(INT(ROUND(MAX(J214,K214),2))/1000000)&gt;0," و"&amp;INDEX(تفقيط!$D$2:$D$1001,INT(INT(ROUND(MAX(J214,K214),2))/1000000)+1),"")&amp;IF(INT(MOD(INT(ROUND(MAX(J214,K214),2)),1000000)/1000)&gt;0," و"&amp;INDEX(تفقيط!$C$2:$C$1001,INT(MOD(INT(ROUND(MAX(J214,K214),2)),1000000)/1000)+1),"")&amp;IF(MOD(INT(ROUND(MAX(J214,K214),2)),1000)&gt;0," و"&amp;INDEX(تفقيط!$B$2:$B$1001,MOD(INT(ROUND(MAX(J214,K214),2)),1000)+1),""),3,400))&amp;" "&amp;CUR&amp;IF(ROUND((ROUND(MAX(J214,K214),2)-INT(ROUND(MAX(J214,K214),2)))*100,0)&gt;0," و"&amp;INDEX(تفقيط!$E$2:$E$1001,ROUND((ROUND(MAX(J214,K214),2)-INT(ROUND(MAX(J214,K214),2)))*100,0)+1),"")&amp;" لا غير")</f>
        <v/>
      </c>
    </row>
    <row r="215" customFormat="false" ht="15" hidden="false" customHeight="false" outlineLevel="0" collapsed="false">
      <c r="A215" s="54" t="str">
        <f aca="false">IF(C215="","",START_NO+COUNT(C$5:C215)-1)</f>
        <v/>
      </c>
      <c r="B215" s="55" t="str">
        <f aca="false">IF(A215="","",PREFIX&amp;"-"&amp;TEXT(C215,"yyyy")&amp;"-"&amp;A215)</f>
        <v/>
      </c>
      <c r="C215" s="56"/>
      <c r="D215" s="57"/>
      <c r="E215" s="58"/>
      <c r="F215" s="58"/>
      <c r="G215" s="57"/>
      <c r="H215" s="57"/>
      <c r="I215" s="57"/>
      <c r="J215" s="59" t="str">
        <f aca="false">IF(A215="","",SUMIFS('بنود السندات'!$F$5:$F$3004,'بنود السندات'!$A$5:$A$3004,A215))</f>
        <v/>
      </c>
      <c r="K215" s="59" t="str">
        <f aca="false">IF(A215="","",SUMIFS('بنود السندات'!$G$5:$G$3004,'بنود السندات'!$A$5:$A$3004,A215))</f>
        <v/>
      </c>
      <c r="L215" s="59" t="str">
        <f aca="false">IF(A215="","",ROUND(J215-K215,2))</f>
        <v/>
      </c>
      <c r="M215" s="55" t="str">
        <f aca="false">IF(A215="","",COUNTIF('بنود السندات'!$A$5:$A$3004,A215))</f>
        <v/>
      </c>
      <c r="N215" s="60" t="str">
        <f aca="false">IF(A215="","",IF(M215=0,"بدون بنود ⚠",IF(L215=0,"متوازن ✔","غير متوازن ✘")))</f>
        <v/>
      </c>
      <c r="O215" s="61" t="str">
        <f aca="false">IF(A215="","","فقط "&amp;IF(INT(ROUND(MAX(J215,K215),2))=0,"صفر",MID(IF(INT(INT(ROUND(MAX(J215,K215),2))/1000000)&gt;0," و"&amp;INDEX(تفقيط!$D$2:$D$1001,INT(INT(ROUND(MAX(J215,K215),2))/1000000)+1),"")&amp;IF(INT(MOD(INT(ROUND(MAX(J215,K215),2)),1000000)/1000)&gt;0," و"&amp;INDEX(تفقيط!$C$2:$C$1001,INT(MOD(INT(ROUND(MAX(J215,K215),2)),1000000)/1000)+1),"")&amp;IF(MOD(INT(ROUND(MAX(J215,K215),2)),1000)&gt;0," و"&amp;INDEX(تفقيط!$B$2:$B$1001,MOD(INT(ROUND(MAX(J215,K215),2)),1000)+1),""),3,400))&amp;" "&amp;CUR&amp;IF(ROUND((ROUND(MAX(J215,K215),2)-INT(ROUND(MAX(J215,K215),2)))*100,0)&gt;0," و"&amp;INDEX(تفقيط!$E$2:$E$1001,ROUND((ROUND(MAX(J215,K215),2)-INT(ROUND(MAX(J215,K215),2)))*100,0)+1),"")&amp;" لا غير")</f>
        <v/>
      </c>
    </row>
    <row r="216" customFormat="false" ht="15" hidden="false" customHeight="false" outlineLevel="0" collapsed="false">
      <c r="A216" s="62" t="str">
        <f aca="false">IF(C216="","",START_NO+COUNT(C$5:C216)-1)</f>
        <v/>
      </c>
      <c r="B216" s="63" t="str">
        <f aca="false">IF(A216="","",PREFIX&amp;"-"&amp;TEXT(C216,"yyyy")&amp;"-"&amp;A216)</f>
        <v/>
      </c>
      <c r="C216" s="56"/>
      <c r="D216" s="57"/>
      <c r="E216" s="58"/>
      <c r="F216" s="58"/>
      <c r="G216" s="57"/>
      <c r="H216" s="57"/>
      <c r="I216" s="57"/>
      <c r="J216" s="64" t="str">
        <f aca="false">IF(A216="","",SUMIFS('بنود السندات'!$F$5:$F$3004,'بنود السندات'!$A$5:$A$3004,A216))</f>
        <v/>
      </c>
      <c r="K216" s="64" t="str">
        <f aca="false">IF(A216="","",SUMIFS('بنود السندات'!$G$5:$G$3004,'بنود السندات'!$A$5:$A$3004,A216))</f>
        <v/>
      </c>
      <c r="L216" s="64" t="str">
        <f aca="false">IF(A216="","",ROUND(J216-K216,2))</f>
        <v/>
      </c>
      <c r="M216" s="63" t="str">
        <f aca="false">IF(A216="","",COUNTIF('بنود السندات'!$A$5:$A$3004,A216))</f>
        <v/>
      </c>
      <c r="N216" s="65" t="str">
        <f aca="false">IF(A216="","",IF(M216=0,"بدون بنود ⚠",IF(L216=0,"متوازن ✔","غير متوازن ✘")))</f>
        <v/>
      </c>
      <c r="O216" s="66" t="str">
        <f aca="false">IF(A216="","","فقط "&amp;IF(INT(ROUND(MAX(J216,K216),2))=0,"صفر",MID(IF(INT(INT(ROUND(MAX(J216,K216),2))/1000000)&gt;0," و"&amp;INDEX(تفقيط!$D$2:$D$1001,INT(INT(ROUND(MAX(J216,K216),2))/1000000)+1),"")&amp;IF(INT(MOD(INT(ROUND(MAX(J216,K216),2)),1000000)/1000)&gt;0," و"&amp;INDEX(تفقيط!$C$2:$C$1001,INT(MOD(INT(ROUND(MAX(J216,K216),2)),1000000)/1000)+1),"")&amp;IF(MOD(INT(ROUND(MAX(J216,K216),2)),1000)&gt;0," و"&amp;INDEX(تفقيط!$B$2:$B$1001,MOD(INT(ROUND(MAX(J216,K216),2)),1000)+1),""),3,400))&amp;" "&amp;CUR&amp;IF(ROUND((ROUND(MAX(J216,K216),2)-INT(ROUND(MAX(J216,K216),2)))*100,0)&gt;0," و"&amp;INDEX(تفقيط!$E$2:$E$1001,ROUND((ROUND(MAX(J216,K216),2)-INT(ROUND(MAX(J216,K216),2)))*100,0)+1),"")&amp;" لا غير")</f>
        <v/>
      </c>
    </row>
    <row r="217" customFormat="false" ht="15" hidden="false" customHeight="false" outlineLevel="0" collapsed="false">
      <c r="A217" s="54" t="str">
        <f aca="false">IF(C217="","",START_NO+COUNT(C$5:C217)-1)</f>
        <v/>
      </c>
      <c r="B217" s="55" t="str">
        <f aca="false">IF(A217="","",PREFIX&amp;"-"&amp;TEXT(C217,"yyyy")&amp;"-"&amp;A217)</f>
        <v/>
      </c>
      <c r="C217" s="56"/>
      <c r="D217" s="57"/>
      <c r="E217" s="58"/>
      <c r="F217" s="58"/>
      <c r="G217" s="57"/>
      <c r="H217" s="57"/>
      <c r="I217" s="57"/>
      <c r="J217" s="59" t="str">
        <f aca="false">IF(A217="","",SUMIFS('بنود السندات'!$F$5:$F$3004,'بنود السندات'!$A$5:$A$3004,A217))</f>
        <v/>
      </c>
      <c r="K217" s="59" t="str">
        <f aca="false">IF(A217="","",SUMIFS('بنود السندات'!$G$5:$G$3004,'بنود السندات'!$A$5:$A$3004,A217))</f>
        <v/>
      </c>
      <c r="L217" s="59" t="str">
        <f aca="false">IF(A217="","",ROUND(J217-K217,2))</f>
        <v/>
      </c>
      <c r="M217" s="55" t="str">
        <f aca="false">IF(A217="","",COUNTIF('بنود السندات'!$A$5:$A$3004,A217))</f>
        <v/>
      </c>
      <c r="N217" s="60" t="str">
        <f aca="false">IF(A217="","",IF(M217=0,"بدون بنود ⚠",IF(L217=0,"متوازن ✔","غير متوازن ✘")))</f>
        <v/>
      </c>
      <c r="O217" s="61" t="str">
        <f aca="false">IF(A217="","","فقط "&amp;IF(INT(ROUND(MAX(J217,K217),2))=0,"صفر",MID(IF(INT(INT(ROUND(MAX(J217,K217),2))/1000000)&gt;0," و"&amp;INDEX(تفقيط!$D$2:$D$1001,INT(INT(ROUND(MAX(J217,K217),2))/1000000)+1),"")&amp;IF(INT(MOD(INT(ROUND(MAX(J217,K217),2)),1000000)/1000)&gt;0," و"&amp;INDEX(تفقيط!$C$2:$C$1001,INT(MOD(INT(ROUND(MAX(J217,K217),2)),1000000)/1000)+1),"")&amp;IF(MOD(INT(ROUND(MAX(J217,K217),2)),1000)&gt;0," و"&amp;INDEX(تفقيط!$B$2:$B$1001,MOD(INT(ROUND(MAX(J217,K217),2)),1000)+1),""),3,400))&amp;" "&amp;CUR&amp;IF(ROUND((ROUND(MAX(J217,K217),2)-INT(ROUND(MAX(J217,K217),2)))*100,0)&gt;0," و"&amp;INDEX(تفقيط!$E$2:$E$1001,ROUND((ROUND(MAX(J217,K217),2)-INT(ROUND(MAX(J217,K217),2)))*100,0)+1),"")&amp;" لا غير")</f>
        <v/>
      </c>
    </row>
    <row r="218" customFormat="false" ht="15" hidden="false" customHeight="false" outlineLevel="0" collapsed="false">
      <c r="A218" s="62" t="str">
        <f aca="false">IF(C218="","",START_NO+COUNT(C$5:C218)-1)</f>
        <v/>
      </c>
      <c r="B218" s="63" t="str">
        <f aca="false">IF(A218="","",PREFIX&amp;"-"&amp;TEXT(C218,"yyyy")&amp;"-"&amp;A218)</f>
        <v/>
      </c>
      <c r="C218" s="56"/>
      <c r="D218" s="57"/>
      <c r="E218" s="58"/>
      <c r="F218" s="58"/>
      <c r="G218" s="57"/>
      <c r="H218" s="57"/>
      <c r="I218" s="57"/>
      <c r="J218" s="64" t="str">
        <f aca="false">IF(A218="","",SUMIFS('بنود السندات'!$F$5:$F$3004,'بنود السندات'!$A$5:$A$3004,A218))</f>
        <v/>
      </c>
      <c r="K218" s="64" t="str">
        <f aca="false">IF(A218="","",SUMIFS('بنود السندات'!$G$5:$G$3004,'بنود السندات'!$A$5:$A$3004,A218))</f>
        <v/>
      </c>
      <c r="L218" s="64" t="str">
        <f aca="false">IF(A218="","",ROUND(J218-K218,2))</f>
        <v/>
      </c>
      <c r="M218" s="63" t="str">
        <f aca="false">IF(A218="","",COUNTIF('بنود السندات'!$A$5:$A$3004,A218))</f>
        <v/>
      </c>
      <c r="N218" s="65" t="str">
        <f aca="false">IF(A218="","",IF(M218=0,"بدون بنود ⚠",IF(L218=0,"متوازن ✔","غير متوازن ✘")))</f>
        <v/>
      </c>
      <c r="O218" s="66" t="str">
        <f aca="false">IF(A218="","","فقط "&amp;IF(INT(ROUND(MAX(J218,K218),2))=0,"صفر",MID(IF(INT(INT(ROUND(MAX(J218,K218),2))/1000000)&gt;0," و"&amp;INDEX(تفقيط!$D$2:$D$1001,INT(INT(ROUND(MAX(J218,K218),2))/1000000)+1),"")&amp;IF(INT(MOD(INT(ROUND(MAX(J218,K218),2)),1000000)/1000)&gt;0," و"&amp;INDEX(تفقيط!$C$2:$C$1001,INT(MOD(INT(ROUND(MAX(J218,K218),2)),1000000)/1000)+1),"")&amp;IF(MOD(INT(ROUND(MAX(J218,K218),2)),1000)&gt;0," و"&amp;INDEX(تفقيط!$B$2:$B$1001,MOD(INT(ROUND(MAX(J218,K218),2)),1000)+1),""),3,400))&amp;" "&amp;CUR&amp;IF(ROUND((ROUND(MAX(J218,K218),2)-INT(ROUND(MAX(J218,K218),2)))*100,0)&gt;0," و"&amp;INDEX(تفقيط!$E$2:$E$1001,ROUND((ROUND(MAX(J218,K218),2)-INT(ROUND(MAX(J218,K218),2)))*100,0)+1),"")&amp;" لا غير")</f>
        <v/>
      </c>
    </row>
    <row r="219" customFormat="false" ht="15" hidden="false" customHeight="false" outlineLevel="0" collapsed="false">
      <c r="A219" s="54" t="str">
        <f aca="false">IF(C219="","",START_NO+COUNT(C$5:C219)-1)</f>
        <v/>
      </c>
      <c r="B219" s="55" t="str">
        <f aca="false">IF(A219="","",PREFIX&amp;"-"&amp;TEXT(C219,"yyyy")&amp;"-"&amp;A219)</f>
        <v/>
      </c>
      <c r="C219" s="56"/>
      <c r="D219" s="57"/>
      <c r="E219" s="58"/>
      <c r="F219" s="58"/>
      <c r="G219" s="57"/>
      <c r="H219" s="57"/>
      <c r="I219" s="57"/>
      <c r="J219" s="59" t="str">
        <f aca="false">IF(A219="","",SUMIFS('بنود السندات'!$F$5:$F$3004,'بنود السندات'!$A$5:$A$3004,A219))</f>
        <v/>
      </c>
      <c r="K219" s="59" t="str">
        <f aca="false">IF(A219="","",SUMIFS('بنود السندات'!$G$5:$G$3004,'بنود السندات'!$A$5:$A$3004,A219))</f>
        <v/>
      </c>
      <c r="L219" s="59" t="str">
        <f aca="false">IF(A219="","",ROUND(J219-K219,2))</f>
        <v/>
      </c>
      <c r="M219" s="55" t="str">
        <f aca="false">IF(A219="","",COUNTIF('بنود السندات'!$A$5:$A$3004,A219))</f>
        <v/>
      </c>
      <c r="N219" s="60" t="str">
        <f aca="false">IF(A219="","",IF(M219=0,"بدون بنود ⚠",IF(L219=0,"متوازن ✔","غير متوازن ✘")))</f>
        <v/>
      </c>
      <c r="O219" s="61" t="str">
        <f aca="false">IF(A219="","","فقط "&amp;IF(INT(ROUND(MAX(J219,K219),2))=0,"صفر",MID(IF(INT(INT(ROUND(MAX(J219,K219),2))/1000000)&gt;0," و"&amp;INDEX(تفقيط!$D$2:$D$1001,INT(INT(ROUND(MAX(J219,K219),2))/1000000)+1),"")&amp;IF(INT(MOD(INT(ROUND(MAX(J219,K219),2)),1000000)/1000)&gt;0," و"&amp;INDEX(تفقيط!$C$2:$C$1001,INT(MOD(INT(ROUND(MAX(J219,K219),2)),1000000)/1000)+1),"")&amp;IF(MOD(INT(ROUND(MAX(J219,K219),2)),1000)&gt;0," و"&amp;INDEX(تفقيط!$B$2:$B$1001,MOD(INT(ROUND(MAX(J219,K219),2)),1000)+1),""),3,400))&amp;" "&amp;CUR&amp;IF(ROUND((ROUND(MAX(J219,K219),2)-INT(ROUND(MAX(J219,K219),2)))*100,0)&gt;0," و"&amp;INDEX(تفقيط!$E$2:$E$1001,ROUND((ROUND(MAX(J219,K219),2)-INT(ROUND(MAX(J219,K219),2)))*100,0)+1),"")&amp;" لا غير")</f>
        <v/>
      </c>
    </row>
    <row r="220" customFormat="false" ht="15" hidden="false" customHeight="false" outlineLevel="0" collapsed="false">
      <c r="A220" s="62" t="str">
        <f aca="false">IF(C220="","",START_NO+COUNT(C$5:C220)-1)</f>
        <v/>
      </c>
      <c r="B220" s="63" t="str">
        <f aca="false">IF(A220="","",PREFIX&amp;"-"&amp;TEXT(C220,"yyyy")&amp;"-"&amp;A220)</f>
        <v/>
      </c>
      <c r="C220" s="56"/>
      <c r="D220" s="57"/>
      <c r="E220" s="58"/>
      <c r="F220" s="58"/>
      <c r="G220" s="57"/>
      <c r="H220" s="57"/>
      <c r="I220" s="57"/>
      <c r="J220" s="64" t="str">
        <f aca="false">IF(A220="","",SUMIFS('بنود السندات'!$F$5:$F$3004,'بنود السندات'!$A$5:$A$3004,A220))</f>
        <v/>
      </c>
      <c r="K220" s="64" t="str">
        <f aca="false">IF(A220="","",SUMIFS('بنود السندات'!$G$5:$G$3004,'بنود السندات'!$A$5:$A$3004,A220))</f>
        <v/>
      </c>
      <c r="L220" s="64" t="str">
        <f aca="false">IF(A220="","",ROUND(J220-K220,2))</f>
        <v/>
      </c>
      <c r="M220" s="63" t="str">
        <f aca="false">IF(A220="","",COUNTIF('بنود السندات'!$A$5:$A$3004,A220))</f>
        <v/>
      </c>
      <c r="N220" s="65" t="str">
        <f aca="false">IF(A220="","",IF(M220=0,"بدون بنود ⚠",IF(L220=0,"متوازن ✔","غير متوازن ✘")))</f>
        <v/>
      </c>
      <c r="O220" s="66" t="str">
        <f aca="false">IF(A220="","","فقط "&amp;IF(INT(ROUND(MAX(J220,K220),2))=0,"صفر",MID(IF(INT(INT(ROUND(MAX(J220,K220),2))/1000000)&gt;0," و"&amp;INDEX(تفقيط!$D$2:$D$1001,INT(INT(ROUND(MAX(J220,K220),2))/1000000)+1),"")&amp;IF(INT(MOD(INT(ROUND(MAX(J220,K220),2)),1000000)/1000)&gt;0," و"&amp;INDEX(تفقيط!$C$2:$C$1001,INT(MOD(INT(ROUND(MAX(J220,K220),2)),1000000)/1000)+1),"")&amp;IF(MOD(INT(ROUND(MAX(J220,K220),2)),1000)&gt;0," و"&amp;INDEX(تفقيط!$B$2:$B$1001,MOD(INT(ROUND(MAX(J220,K220),2)),1000)+1),""),3,400))&amp;" "&amp;CUR&amp;IF(ROUND((ROUND(MAX(J220,K220),2)-INT(ROUND(MAX(J220,K220),2)))*100,0)&gt;0," و"&amp;INDEX(تفقيط!$E$2:$E$1001,ROUND((ROUND(MAX(J220,K220),2)-INT(ROUND(MAX(J220,K220),2)))*100,0)+1),"")&amp;" لا غير")</f>
        <v/>
      </c>
    </row>
    <row r="221" customFormat="false" ht="15" hidden="false" customHeight="false" outlineLevel="0" collapsed="false">
      <c r="A221" s="54" t="str">
        <f aca="false">IF(C221="","",START_NO+COUNT(C$5:C221)-1)</f>
        <v/>
      </c>
      <c r="B221" s="55" t="str">
        <f aca="false">IF(A221="","",PREFIX&amp;"-"&amp;TEXT(C221,"yyyy")&amp;"-"&amp;A221)</f>
        <v/>
      </c>
      <c r="C221" s="56"/>
      <c r="D221" s="57"/>
      <c r="E221" s="58"/>
      <c r="F221" s="58"/>
      <c r="G221" s="57"/>
      <c r="H221" s="57"/>
      <c r="I221" s="57"/>
      <c r="J221" s="59" t="str">
        <f aca="false">IF(A221="","",SUMIFS('بنود السندات'!$F$5:$F$3004,'بنود السندات'!$A$5:$A$3004,A221))</f>
        <v/>
      </c>
      <c r="K221" s="59" t="str">
        <f aca="false">IF(A221="","",SUMIFS('بنود السندات'!$G$5:$G$3004,'بنود السندات'!$A$5:$A$3004,A221))</f>
        <v/>
      </c>
      <c r="L221" s="59" t="str">
        <f aca="false">IF(A221="","",ROUND(J221-K221,2))</f>
        <v/>
      </c>
      <c r="M221" s="55" t="str">
        <f aca="false">IF(A221="","",COUNTIF('بنود السندات'!$A$5:$A$3004,A221))</f>
        <v/>
      </c>
      <c r="N221" s="60" t="str">
        <f aca="false">IF(A221="","",IF(M221=0,"بدون بنود ⚠",IF(L221=0,"متوازن ✔","غير متوازن ✘")))</f>
        <v/>
      </c>
      <c r="O221" s="61" t="str">
        <f aca="false">IF(A221="","","فقط "&amp;IF(INT(ROUND(MAX(J221,K221),2))=0,"صفر",MID(IF(INT(INT(ROUND(MAX(J221,K221),2))/1000000)&gt;0," و"&amp;INDEX(تفقيط!$D$2:$D$1001,INT(INT(ROUND(MAX(J221,K221),2))/1000000)+1),"")&amp;IF(INT(MOD(INT(ROUND(MAX(J221,K221),2)),1000000)/1000)&gt;0," و"&amp;INDEX(تفقيط!$C$2:$C$1001,INT(MOD(INT(ROUND(MAX(J221,K221),2)),1000000)/1000)+1),"")&amp;IF(MOD(INT(ROUND(MAX(J221,K221),2)),1000)&gt;0," و"&amp;INDEX(تفقيط!$B$2:$B$1001,MOD(INT(ROUND(MAX(J221,K221),2)),1000)+1),""),3,400))&amp;" "&amp;CUR&amp;IF(ROUND((ROUND(MAX(J221,K221),2)-INT(ROUND(MAX(J221,K221),2)))*100,0)&gt;0," و"&amp;INDEX(تفقيط!$E$2:$E$1001,ROUND((ROUND(MAX(J221,K221),2)-INT(ROUND(MAX(J221,K221),2)))*100,0)+1),"")&amp;" لا غير")</f>
        <v/>
      </c>
    </row>
    <row r="222" customFormat="false" ht="15" hidden="false" customHeight="false" outlineLevel="0" collapsed="false">
      <c r="A222" s="62" t="str">
        <f aca="false">IF(C222="","",START_NO+COUNT(C$5:C222)-1)</f>
        <v/>
      </c>
      <c r="B222" s="63" t="str">
        <f aca="false">IF(A222="","",PREFIX&amp;"-"&amp;TEXT(C222,"yyyy")&amp;"-"&amp;A222)</f>
        <v/>
      </c>
      <c r="C222" s="56"/>
      <c r="D222" s="57"/>
      <c r="E222" s="58"/>
      <c r="F222" s="58"/>
      <c r="G222" s="57"/>
      <c r="H222" s="57"/>
      <c r="I222" s="57"/>
      <c r="J222" s="64" t="str">
        <f aca="false">IF(A222="","",SUMIFS('بنود السندات'!$F$5:$F$3004,'بنود السندات'!$A$5:$A$3004,A222))</f>
        <v/>
      </c>
      <c r="K222" s="64" t="str">
        <f aca="false">IF(A222="","",SUMIFS('بنود السندات'!$G$5:$G$3004,'بنود السندات'!$A$5:$A$3004,A222))</f>
        <v/>
      </c>
      <c r="L222" s="64" t="str">
        <f aca="false">IF(A222="","",ROUND(J222-K222,2))</f>
        <v/>
      </c>
      <c r="M222" s="63" t="str">
        <f aca="false">IF(A222="","",COUNTIF('بنود السندات'!$A$5:$A$3004,A222))</f>
        <v/>
      </c>
      <c r="N222" s="65" t="str">
        <f aca="false">IF(A222="","",IF(M222=0,"بدون بنود ⚠",IF(L222=0,"متوازن ✔","غير متوازن ✘")))</f>
        <v/>
      </c>
      <c r="O222" s="66" t="str">
        <f aca="false">IF(A222="","","فقط "&amp;IF(INT(ROUND(MAX(J222,K222),2))=0,"صفر",MID(IF(INT(INT(ROUND(MAX(J222,K222),2))/1000000)&gt;0," و"&amp;INDEX(تفقيط!$D$2:$D$1001,INT(INT(ROUND(MAX(J222,K222),2))/1000000)+1),"")&amp;IF(INT(MOD(INT(ROUND(MAX(J222,K222),2)),1000000)/1000)&gt;0," و"&amp;INDEX(تفقيط!$C$2:$C$1001,INT(MOD(INT(ROUND(MAX(J222,K222),2)),1000000)/1000)+1),"")&amp;IF(MOD(INT(ROUND(MAX(J222,K222),2)),1000)&gt;0," و"&amp;INDEX(تفقيط!$B$2:$B$1001,MOD(INT(ROUND(MAX(J222,K222),2)),1000)+1),""),3,400))&amp;" "&amp;CUR&amp;IF(ROUND((ROUND(MAX(J222,K222),2)-INT(ROUND(MAX(J222,K222),2)))*100,0)&gt;0," و"&amp;INDEX(تفقيط!$E$2:$E$1001,ROUND((ROUND(MAX(J222,K222),2)-INT(ROUND(MAX(J222,K222),2)))*100,0)+1),"")&amp;" لا غير")</f>
        <v/>
      </c>
    </row>
    <row r="223" customFormat="false" ht="15" hidden="false" customHeight="false" outlineLevel="0" collapsed="false">
      <c r="A223" s="54" t="str">
        <f aca="false">IF(C223="","",START_NO+COUNT(C$5:C223)-1)</f>
        <v/>
      </c>
      <c r="B223" s="55" t="str">
        <f aca="false">IF(A223="","",PREFIX&amp;"-"&amp;TEXT(C223,"yyyy")&amp;"-"&amp;A223)</f>
        <v/>
      </c>
      <c r="C223" s="56"/>
      <c r="D223" s="57"/>
      <c r="E223" s="58"/>
      <c r="F223" s="58"/>
      <c r="G223" s="57"/>
      <c r="H223" s="57"/>
      <c r="I223" s="57"/>
      <c r="J223" s="59" t="str">
        <f aca="false">IF(A223="","",SUMIFS('بنود السندات'!$F$5:$F$3004,'بنود السندات'!$A$5:$A$3004,A223))</f>
        <v/>
      </c>
      <c r="K223" s="59" t="str">
        <f aca="false">IF(A223="","",SUMIFS('بنود السندات'!$G$5:$G$3004,'بنود السندات'!$A$5:$A$3004,A223))</f>
        <v/>
      </c>
      <c r="L223" s="59" t="str">
        <f aca="false">IF(A223="","",ROUND(J223-K223,2))</f>
        <v/>
      </c>
      <c r="M223" s="55" t="str">
        <f aca="false">IF(A223="","",COUNTIF('بنود السندات'!$A$5:$A$3004,A223))</f>
        <v/>
      </c>
      <c r="N223" s="60" t="str">
        <f aca="false">IF(A223="","",IF(M223=0,"بدون بنود ⚠",IF(L223=0,"متوازن ✔","غير متوازن ✘")))</f>
        <v/>
      </c>
      <c r="O223" s="61" t="str">
        <f aca="false">IF(A223="","","فقط "&amp;IF(INT(ROUND(MAX(J223,K223),2))=0,"صفر",MID(IF(INT(INT(ROUND(MAX(J223,K223),2))/1000000)&gt;0," و"&amp;INDEX(تفقيط!$D$2:$D$1001,INT(INT(ROUND(MAX(J223,K223),2))/1000000)+1),"")&amp;IF(INT(MOD(INT(ROUND(MAX(J223,K223),2)),1000000)/1000)&gt;0," و"&amp;INDEX(تفقيط!$C$2:$C$1001,INT(MOD(INT(ROUND(MAX(J223,K223),2)),1000000)/1000)+1),"")&amp;IF(MOD(INT(ROUND(MAX(J223,K223),2)),1000)&gt;0," و"&amp;INDEX(تفقيط!$B$2:$B$1001,MOD(INT(ROUND(MAX(J223,K223),2)),1000)+1),""),3,400))&amp;" "&amp;CUR&amp;IF(ROUND((ROUND(MAX(J223,K223),2)-INT(ROUND(MAX(J223,K223),2)))*100,0)&gt;0," و"&amp;INDEX(تفقيط!$E$2:$E$1001,ROUND((ROUND(MAX(J223,K223),2)-INT(ROUND(MAX(J223,K223),2)))*100,0)+1),"")&amp;" لا غير")</f>
        <v/>
      </c>
    </row>
    <row r="224" customFormat="false" ht="15" hidden="false" customHeight="false" outlineLevel="0" collapsed="false">
      <c r="A224" s="62" t="str">
        <f aca="false">IF(C224="","",START_NO+COUNT(C$5:C224)-1)</f>
        <v/>
      </c>
      <c r="B224" s="63" t="str">
        <f aca="false">IF(A224="","",PREFIX&amp;"-"&amp;TEXT(C224,"yyyy")&amp;"-"&amp;A224)</f>
        <v/>
      </c>
      <c r="C224" s="56"/>
      <c r="D224" s="57"/>
      <c r="E224" s="58"/>
      <c r="F224" s="58"/>
      <c r="G224" s="57"/>
      <c r="H224" s="57"/>
      <c r="I224" s="57"/>
      <c r="J224" s="64" t="str">
        <f aca="false">IF(A224="","",SUMIFS('بنود السندات'!$F$5:$F$3004,'بنود السندات'!$A$5:$A$3004,A224))</f>
        <v/>
      </c>
      <c r="K224" s="64" t="str">
        <f aca="false">IF(A224="","",SUMIFS('بنود السندات'!$G$5:$G$3004,'بنود السندات'!$A$5:$A$3004,A224))</f>
        <v/>
      </c>
      <c r="L224" s="64" t="str">
        <f aca="false">IF(A224="","",ROUND(J224-K224,2))</f>
        <v/>
      </c>
      <c r="M224" s="63" t="str">
        <f aca="false">IF(A224="","",COUNTIF('بنود السندات'!$A$5:$A$3004,A224))</f>
        <v/>
      </c>
      <c r="N224" s="65" t="str">
        <f aca="false">IF(A224="","",IF(M224=0,"بدون بنود ⚠",IF(L224=0,"متوازن ✔","غير متوازن ✘")))</f>
        <v/>
      </c>
      <c r="O224" s="66" t="str">
        <f aca="false">IF(A224="","","فقط "&amp;IF(INT(ROUND(MAX(J224,K224),2))=0,"صفر",MID(IF(INT(INT(ROUND(MAX(J224,K224),2))/1000000)&gt;0," و"&amp;INDEX(تفقيط!$D$2:$D$1001,INT(INT(ROUND(MAX(J224,K224),2))/1000000)+1),"")&amp;IF(INT(MOD(INT(ROUND(MAX(J224,K224),2)),1000000)/1000)&gt;0," و"&amp;INDEX(تفقيط!$C$2:$C$1001,INT(MOD(INT(ROUND(MAX(J224,K224),2)),1000000)/1000)+1),"")&amp;IF(MOD(INT(ROUND(MAX(J224,K224),2)),1000)&gt;0," و"&amp;INDEX(تفقيط!$B$2:$B$1001,MOD(INT(ROUND(MAX(J224,K224),2)),1000)+1),""),3,400))&amp;" "&amp;CUR&amp;IF(ROUND((ROUND(MAX(J224,K224),2)-INT(ROUND(MAX(J224,K224),2)))*100,0)&gt;0," و"&amp;INDEX(تفقيط!$E$2:$E$1001,ROUND((ROUND(MAX(J224,K224),2)-INT(ROUND(MAX(J224,K224),2)))*100,0)+1),"")&amp;" لا غير")</f>
        <v/>
      </c>
    </row>
    <row r="225" customFormat="false" ht="15" hidden="false" customHeight="false" outlineLevel="0" collapsed="false">
      <c r="A225" s="54" t="str">
        <f aca="false">IF(C225="","",START_NO+COUNT(C$5:C225)-1)</f>
        <v/>
      </c>
      <c r="B225" s="55" t="str">
        <f aca="false">IF(A225="","",PREFIX&amp;"-"&amp;TEXT(C225,"yyyy")&amp;"-"&amp;A225)</f>
        <v/>
      </c>
      <c r="C225" s="56"/>
      <c r="D225" s="57"/>
      <c r="E225" s="58"/>
      <c r="F225" s="58"/>
      <c r="G225" s="57"/>
      <c r="H225" s="57"/>
      <c r="I225" s="57"/>
      <c r="J225" s="59" t="str">
        <f aca="false">IF(A225="","",SUMIFS('بنود السندات'!$F$5:$F$3004,'بنود السندات'!$A$5:$A$3004,A225))</f>
        <v/>
      </c>
      <c r="K225" s="59" t="str">
        <f aca="false">IF(A225="","",SUMIFS('بنود السندات'!$G$5:$G$3004,'بنود السندات'!$A$5:$A$3004,A225))</f>
        <v/>
      </c>
      <c r="L225" s="59" t="str">
        <f aca="false">IF(A225="","",ROUND(J225-K225,2))</f>
        <v/>
      </c>
      <c r="M225" s="55" t="str">
        <f aca="false">IF(A225="","",COUNTIF('بنود السندات'!$A$5:$A$3004,A225))</f>
        <v/>
      </c>
      <c r="N225" s="60" t="str">
        <f aca="false">IF(A225="","",IF(M225=0,"بدون بنود ⚠",IF(L225=0,"متوازن ✔","غير متوازن ✘")))</f>
        <v/>
      </c>
      <c r="O225" s="61" t="str">
        <f aca="false">IF(A225="","","فقط "&amp;IF(INT(ROUND(MAX(J225,K225),2))=0,"صفر",MID(IF(INT(INT(ROUND(MAX(J225,K225),2))/1000000)&gt;0," و"&amp;INDEX(تفقيط!$D$2:$D$1001,INT(INT(ROUND(MAX(J225,K225),2))/1000000)+1),"")&amp;IF(INT(MOD(INT(ROUND(MAX(J225,K225),2)),1000000)/1000)&gt;0," و"&amp;INDEX(تفقيط!$C$2:$C$1001,INT(MOD(INT(ROUND(MAX(J225,K225),2)),1000000)/1000)+1),"")&amp;IF(MOD(INT(ROUND(MAX(J225,K225),2)),1000)&gt;0," و"&amp;INDEX(تفقيط!$B$2:$B$1001,MOD(INT(ROUND(MAX(J225,K225),2)),1000)+1),""),3,400))&amp;" "&amp;CUR&amp;IF(ROUND((ROUND(MAX(J225,K225),2)-INT(ROUND(MAX(J225,K225),2)))*100,0)&gt;0," و"&amp;INDEX(تفقيط!$E$2:$E$1001,ROUND((ROUND(MAX(J225,K225),2)-INT(ROUND(MAX(J225,K225),2)))*100,0)+1),"")&amp;" لا غير")</f>
        <v/>
      </c>
    </row>
    <row r="226" customFormat="false" ht="15" hidden="false" customHeight="false" outlineLevel="0" collapsed="false">
      <c r="A226" s="62" t="str">
        <f aca="false">IF(C226="","",START_NO+COUNT(C$5:C226)-1)</f>
        <v/>
      </c>
      <c r="B226" s="63" t="str">
        <f aca="false">IF(A226="","",PREFIX&amp;"-"&amp;TEXT(C226,"yyyy")&amp;"-"&amp;A226)</f>
        <v/>
      </c>
      <c r="C226" s="56"/>
      <c r="D226" s="57"/>
      <c r="E226" s="58"/>
      <c r="F226" s="58"/>
      <c r="G226" s="57"/>
      <c r="H226" s="57"/>
      <c r="I226" s="57"/>
      <c r="J226" s="64" t="str">
        <f aca="false">IF(A226="","",SUMIFS('بنود السندات'!$F$5:$F$3004,'بنود السندات'!$A$5:$A$3004,A226))</f>
        <v/>
      </c>
      <c r="K226" s="64" t="str">
        <f aca="false">IF(A226="","",SUMIFS('بنود السندات'!$G$5:$G$3004,'بنود السندات'!$A$5:$A$3004,A226))</f>
        <v/>
      </c>
      <c r="L226" s="64" t="str">
        <f aca="false">IF(A226="","",ROUND(J226-K226,2))</f>
        <v/>
      </c>
      <c r="M226" s="63" t="str">
        <f aca="false">IF(A226="","",COUNTIF('بنود السندات'!$A$5:$A$3004,A226))</f>
        <v/>
      </c>
      <c r="N226" s="65" t="str">
        <f aca="false">IF(A226="","",IF(M226=0,"بدون بنود ⚠",IF(L226=0,"متوازن ✔","غير متوازن ✘")))</f>
        <v/>
      </c>
      <c r="O226" s="66" t="str">
        <f aca="false">IF(A226="","","فقط "&amp;IF(INT(ROUND(MAX(J226,K226),2))=0,"صفر",MID(IF(INT(INT(ROUND(MAX(J226,K226),2))/1000000)&gt;0," و"&amp;INDEX(تفقيط!$D$2:$D$1001,INT(INT(ROUND(MAX(J226,K226),2))/1000000)+1),"")&amp;IF(INT(MOD(INT(ROUND(MAX(J226,K226),2)),1000000)/1000)&gt;0," و"&amp;INDEX(تفقيط!$C$2:$C$1001,INT(MOD(INT(ROUND(MAX(J226,K226),2)),1000000)/1000)+1),"")&amp;IF(MOD(INT(ROUND(MAX(J226,K226),2)),1000)&gt;0," و"&amp;INDEX(تفقيط!$B$2:$B$1001,MOD(INT(ROUND(MAX(J226,K226),2)),1000)+1),""),3,400))&amp;" "&amp;CUR&amp;IF(ROUND((ROUND(MAX(J226,K226),2)-INT(ROUND(MAX(J226,K226),2)))*100,0)&gt;0," و"&amp;INDEX(تفقيط!$E$2:$E$1001,ROUND((ROUND(MAX(J226,K226),2)-INT(ROUND(MAX(J226,K226),2)))*100,0)+1),"")&amp;" لا غير")</f>
        <v/>
      </c>
    </row>
    <row r="227" customFormat="false" ht="15" hidden="false" customHeight="false" outlineLevel="0" collapsed="false">
      <c r="A227" s="54" t="str">
        <f aca="false">IF(C227="","",START_NO+COUNT(C$5:C227)-1)</f>
        <v/>
      </c>
      <c r="B227" s="55" t="str">
        <f aca="false">IF(A227="","",PREFIX&amp;"-"&amp;TEXT(C227,"yyyy")&amp;"-"&amp;A227)</f>
        <v/>
      </c>
      <c r="C227" s="56"/>
      <c r="D227" s="57"/>
      <c r="E227" s="58"/>
      <c r="F227" s="58"/>
      <c r="G227" s="57"/>
      <c r="H227" s="57"/>
      <c r="I227" s="57"/>
      <c r="J227" s="59" t="str">
        <f aca="false">IF(A227="","",SUMIFS('بنود السندات'!$F$5:$F$3004,'بنود السندات'!$A$5:$A$3004,A227))</f>
        <v/>
      </c>
      <c r="K227" s="59" t="str">
        <f aca="false">IF(A227="","",SUMIFS('بنود السندات'!$G$5:$G$3004,'بنود السندات'!$A$5:$A$3004,A227))</f>
        <v/>
      </c>
      <c r="L227" s="59" t="str">
        <f aca="false">IF(A227="","",ROUND(J227-K227,2))</f>
        <v/>
      </c>
      <c r="M227" s="55" t="str">
        <f aca="false">IF(A227="","",COUNTIF('بنود السندات'!$A$5:$A$3004,A227))</f>
        <v/>
      </c>
      <c r="N227" s="60" t="str">
        <f aca="false">IF(A227="","",IF(M227=0,"بدون بنود ⚠",IF(L227=0,"متوازن ✔","غير متوازن ✘")))</f>
        <v/>
      </c>
      <c r="O227" s="61" t="str">
        <f aca="false">IF(A227="","","فقط "&amp;IF(INT(ROUND(MAX(J227,K227),2))=0,"صفر",MID(IF(INT(INT(ROUND(MAX(J227,K227),2))/1000000)&gt;0," و"&amp;INDEX(تفقيط!$D$2:$D$1001,INT(INT(ROUND(MAX(J227,K227),2))/1000000)+1),"")&amp;IF(INT(MOD(INT(ROUND(MAX(J227,K227),2)),1000000)/1000)&gt;0," و"&amp;INDEX(تفقيط!$C$2:$C$1001,INT(MOD(INT(ROUND(MAX(J227,K227),2)),1000000)/1000)+1),"")&amp;IF(MOD(INT(ROUND(MAX(J227,K227),2)),1000)&gt;0," و"&amp;INDEX(تفقيط!$B$2:$B$1001,MOD(INT(ROUND(MAX(J227,K227),2)),1000)+1),""),3,400))&amp;" "&amp;CUR&amp;IF(ROUND((ROUND(MAX(J227,K227),2)-INT(ROUND(MAX(J227,K227),2)))*100,0)&gt;0," و"&amp;INDEX(تفقيط!$E$2:$E$1001,ROUND((ROUND(MAX(J227,K227),2)-INT(ROUND(MAX(J227,K227),2)))*100,0)+1),"")&amp;" لا غير")</f>
        <v/>
      </c>
    </row>
    <row r="228" customFormat="false" ht="15" hidden="false" customHeight="false" outlineLevel="0" collapsed="false">
      <c r="A228" s="62" t="str">
        <f aca="false">IF(C228="","",START_NO+COUNT(C$5:C228)-1)</f>
        <v/>
      </c>
      <c r="B228" s="63" t="str">
        <f aca="false">IF(A228="","",PREFIX&amp;"-"&amp;TEXT(C228,"yyyy")&amp;"-"&amp;A228)</f>
        <v/>
      </c>
      <c r="C228" s="56"/>
      <c r="D228" s="57"/>
      <c r="E228" s="58"/>
      <c r="F228" s="58"/>
      <c r="G228" s="57"/>
      <c r="H228" s="57"/>
      <c r="I228" s="57"/>
      <c r="J228" s="64" t="str">
        <f aca="false">IF(A228="","",SUMIFS('بنود السندات'!$F$5:$F$3004,'بنود السندات'!$A$5:$A$3004,A228))</f>
        <v/>
      </c>
      <c r="K228" s="64" t="str">
        <f aca="false">IF(A228="","",SUMIFS('بنود السندات'!$G$5:$G$3004,'بنود السندات'!$A$5:$A$3004,A228))</f>
        <v/>
      </c>
      <c r="L228" s="64" t="str">
        <f aca="false">IF(A228="","",ROUND(J228-K228,2))</f>
        <v/>
      </c>
      <c r="M228" s="63" t="str">
        <f aca="false">IF(A228="","",COUNTIF('بنود السندات'!$A$5:$A$3004,A228))</f>
        <v/>
      </c>
      <c r="N228" s="65" t="str">
        <f aca="false">IF(A228="","",IF(M228=0,"بدون بنود ⚠",IF(L228=0,"متوازن ✔","غير متوازن ✘")))</f>
        <v/>
      </c>
      <c r="O228" s="66" t="str">
        <f aca="false">IF(A228="","","فقط "&amp;IF(INT(ROUND(MAX(J228,K228),2))=0,"صفر",MID(IF(INT(INT(ROUND(MAX(J228,K228),2))/1000000)&gt;0," و"&amp;INDEX(تفقيط!$D$2:$D$1001,INT(INT(ROUND(MAX(J228,K228),2))/1000000)+1),"")&amp;IF(INT(MOD(INT(ROUND(MAX(J228,K228),2)),1000000)/1000)&gt;0," و"&amp;INDEX(تفقيط!$C$2:$C$1001,INT(MOD(INT(ROUND(MAX(J228,K228),2)),1000000)/1000)+1),"")&amp;IF(MOD(INT(ROUND(MAX(J228,K228),2)),1000)&gt;0," و"&amp;INDEX(تفقيط!$B$2:$B$1001,MOD(INT(ROUND(MAX(J228,K228),2)),1000)+1),""),3,400))&amp;" "&amp;CUR&amp;IF(ROUND((ROUND(MAX(J228,K228),2)-INT(ROUND(MAX(J228,K228),2)))*100,0)&gt;0," و"&amp;INDEX(تفقيط!$E$2:$E$1001,ROUND((ROUND(MAX(J228,K228),2)-INT(ROUND(MAX(J228,K228),2)))*100,0)+1),"")&amp;" لا غير")</f>
        <v/>
      </c>
    </row>
    <row r="229" customFormat="false" ht="15" hidden="false" customHeight="false" outlineLevel="0" collapsed="false">
      <c r="A229" s="54" t="str">
        <f aca="false">IF(C229="","",START_NO+COUNT(C$5:C229)-1)</f>
        <v/>
      </c>
      <c r="B229" s="55" t="str">
        <f aca="false">IF(A229="","",PREFIX&amp;"-"&amp;TEXT(C229,"yyyy")&amp;"-"&amp;A229)</f>
        <v/>
      </c>
      <c r="C229" s="56"/>
      <c r="D229" s="57"/>
      <c r="E229" s="58"/>
      <c r="F229" s="58"/>
      <c r="G229" s="57"/>
      <c r="H229" s="57"/>
      <c r="I229" s="57"/>
      <c r="J229" s="59" t="str">
        <f aca="false">IF(A229="","",SUMIFS('بنود السندات'!$F$5:$F$3004,'بنود السندات'!$A$5:$A$3004,A229))</f>
        <v/>
      </c>
      <c r="K229" s="59" t="str">
        <f aca="false">IF(A229="","",SUMIFS('بنود السندات'!$G$5:$G$3004,'بنود السندات'!$A$5:$A$3004,A229))</f>
        <v/>
      </c>
      <c r="L229" s="59" t="str">
        <f aca="false">IF(A229="","",ROUND(J229-K229,2))</f>
        <v/>
      </c>
      <c r="M229" s="55" t="str">
        <f aca="false">IF(A229="","",COUNTIF('بنود السندات'!$A$5:$A$3004,A229))</f>
        <v/>
      </c>
      <c r="N229" s="60" t="str">
        <f aca="false">IF(A229="","",IF(M229=0,"بدون بنود ⚠",IF(L229=0,"متوازن ✔","غير متوازن ✘")))</f>
        <v/>
      </c>
      <c r="O229" s="61" t="str">
        <f aca="false">IF(A229="","","فقط "&amp;IF(INT(ROUND(MAX(J229,K229),2))=0,"صفر",MID(IF(INT(INT(ROUND(MAX(J229,K229),2))/1000000)&gt;0," و"&amp;INDEX(تفقيط!$D$2:$D$1001,INT(INT(ROUND(MAX(J229,K229),2))/1000000)+1),"")&amp;IF(INT(MOD(INT(ROUND(MAX(J229,K229),2)),1000000)/1000)&gt;0," و"&amp;INDEX(تفقيط!$C$2:$C$1001,INT(MOD(INT(ROUND(MAX(J229,K229),2)),1000000)/1000)+1),"")&amp;IF(MOD(INT(ROUND(MAX(J229,K229),2)),1000)&gt;0," و"&amp;INDEX(تفقيط!$B$2:$B$1001,MOD(INT(ROUND(MAX(J229,K229),2)),1000)+1),""),3,400))&amp;" "&amp;CUR&amp;IF(ROUND((ROUND(MAX(J229,K229),2)-INT(ROUND(MAX(J229,K229),2)))*100,0)&gt;0," و"&amp;INDEX(تفقيط!$E$2:$E$1001,ROUND((ROUND(MAX(J229,K229),2)-INT(ROUND(MAX(J229,K229),2)))*100,0)+1),"")&amp;" لا غير")</f>
        <v/>
      </c>
    </row>
    <row r="230" customFormat="false" ht="15" hidden="false" customHeight="false" outlineLevel="0" collapsed="false">
      <c r="A230" s="62" t="str">
        <f aca="false">IF(C230="","",START_NO+COUNT(C$5:C230)-1)</f>
        <v/>
      </c>
      <c r="B230" s="63" t="str">
        <f aca="false">IF(A230="","",PREFIX&amp;"-"&amp;TEXT(C230,"yyyy")&amp;"-"&amp;A230)</f>
        <v/>
      </c>
      <c r="C230" s="56"/>
      <c r="D230" s="57"/>
      <c r="E230" s="58"/>
      <c r="F230" s="58"/>
      <c r="G230" s="57"/>
      <c r="H230" s="57"/>
      <c r="I230" s="57"/>
      <c r="J230" s="64" t="str">
        <f aca="false">IF(A230="","",SUMIFS('بنود السندات'!$F$5:$F$3004,'بنود السندات'!$A$5:$A$3004,A230))</f>
        <v/>
      </c>
      <c r="K230" s="64" t="str">
        <f aca="false">IF(A230="","",SUMIFS('بنود السندات'!$G$5:$G$3004,'بنود السندات'!$A$5:$A$3004,A230))</f>
        <v/>
      </c>
      <c r="L230" s="64" t="str">
        <f aca="false">IF(A230="","",ROUND(J230-K230,2))</f>
        <v/>
      </c>
      <c r="M230" s="63" t="str">
        <f aca="false">IF(A230="","",COUNTIF('بنود السندات'!$A$5:$A$3004,A230))</f>
        <v/>
      </c>
      <c r="N230" s="65" t="str">
        <f aca="false">IF(A230="","",IF(M230=0,"بدون بنود ⚠",IF(L230=0,"متوازن ✔","غير متوازن ✘")))</f>
        <v/>
      </c>
      <c r="O230" s="66" t="str">
        <f aca="false">IF(A230="","","فقط "&amp;IF(INT(ROUND(MAX(J230,K230),2))=0,"صفر",MID(IF(INT(INT(ROUND(MAX(J230,K230),2))/1000000)&gt;0," و"&amp;INDEX(تفقيط!$D$2:$D$1001,INT(INT(ROUND(MAX(J230,K230),2))/1000000)+1),"")&amp;IF(INT(MOD(INT(ROUND(MAX(J230,K230),2)),1000000)/1000)&gt;0," و"&amp;INDEX(تفقيط!$C$2:$C$1001,INT(MOD(INT(ROUND(MAX(J230,K230),2)),1000000)/1000)+1),"")&amp;IF(MOD(INT(ROUND(MAX(J230,K230),2)),1000)&gt;0," و"&amp;INDEX(تفقيط!$B$2:$B$1001,MOD(INT(ROUND(MAX(J230,K230),2)),1000)+1),""),3,400))&amp;" "&amp;CUR&amp;IF(ROUND((ROUND(MAX(J230,K230),2)-INT(ROUND(MAX(J230,K230),2)))*100,0)&gt;0," و"&amp;INDEX(تفقيط!$E$2:$E$1001,ROUND((ROUND(MAX(J230,K230),2)-INT(ROUND(MAX(J230,K230),2)))*100,0)+1),"")&amp;" لا غير")</f>
        <v/>
      </c>
    </row>
    <row r="231" customFormat="false" ht="15" hidden="false" customHeight="false" outlineLevel="0" collapsed="false">
      <c r="A231" s="54" t="str">
        <f aca="false">IF(C231="","",START_NO+COUNT(C$5:C231)-1)</f>
        <v/>
      </c>
      <c r="B231" s="55" t="str">
        <f aca="false">IF(A231="","",PREFIX&amp;"-"&amp;TEXT(C231,"yyyy")&amp;"-"&amp;A231)</f>
        <v/>
      </c>
      <c r="C231" s="56"/>
      <c r="D231" s="57"/>
      <c r="E231" s="58"/>
      <c r="F231" s="58"/>
      <c r="G231" s="57"/>
      <c r="H231" s="57"/>
      <c r="I231" s="57"/>
      <c r="J231" s="59" t="str">
        <f aca="false">IF(A231="","",SUMIFS('بنود السندات'!$F$5:$F$3004,'بنود السندات'!$A$5:$A$3004,A231))</f>
        <v/>
      </c>
      <c r="K231" s="59" t="str">
        <f aca="false">IF(A231="","",SUMIFS('بنود السندات'!$G$5:$G$3004,'بنود السندات'!$A$5:$A$3004,A231))</f>
        <v/>
      </c>
      <c r="L231" s="59" t="str">
        <f aca="false">IF(A231="","",ROUND(J231-K231,2))</f>
        <v/>
      </c>
      <c r="M231" s="55" t="str">
        <f aca="false">IF(A231="","",COUNTIF('بنود السندات'!$A$5:$A$3004,A231))</f>
        <v/>
      </c>
      <c r="N231" s="60" t="str">
        <f aca="false">IF(A231="","",IF(M231=0,"بدون بنود ⚠",IF(L231=0,"متوازن ✔","غير متوازن ✘")))</f>
        <v/>
      </c>
      <c r="O231" s="61" t="str">
        <f aca="false">IF(A231="","","فقط "&amp;IF(INT(ROUND(MAX(J231,K231),2))=0,"صفر",MID(IF(INT(INT(ROUND(MAX(J231,K231),2))/1000000)&gt;0," و"&amp;INDEX(تفقيط!$D$2:$D$1001,INT(INT(ROUND(MAX(J231,K231),2))/1000000)+1),"")&amp;IF(INT(MOD(INT(ROUND(MAX(J231,K231),2)),1000000)/1000)&gt;0," و"&amp;INDEX(تفقيط!$C$2:$C$1001,INT(MOD(INT(ROUND(MAX(J231,K231),2)),1000000)/1000)+1),"")&amp;IF(MOD(INT(ROUND(MAX(J231,K231),2)),1000)&gt;0," و"&amp;INDEX(تفقيط!$B$2:$B$1001,MOD(INT(ROUND(MAX(J231,K231),2)),1000)+1),""),3,400))&amp;" "&amp;CUR&amp;IF(ROUND((ROUND(MAX(J231,K231),2)-INT(ROUND(MAX(J231,K231),2)))*100,0)&gt;0," و"&amp;INDEX(تفقيط!$E$2:$E$1001,ROUND((ROUND(MAX(J231,K231),2)-INT(ROUND(MAX(J231,K231),2)))*100,0)+1),"")&amp;" لا غير")</f>
        <v/>
      </c>
    </row>
    <row r="232" customFormat="false" ht="15" hidden="false" customHeight="false" outlineLevel="0" collapsed="false">
      <c r="A232" s="62" t="str">
        <f aca="false">IF(C232="","",START_NO+COUNT(C$5:C232)-1)</f>
        <v/>
      </c>
      <c r="B232" s="63" t="str">
        <f aca="false">IF(A232="","",PREFIX&amp;"-"&amp;TEXT(C232,"yyyy")&amp;"-"&amp;A232)</f>
        <v/>
      </c>
      <c r="C232" s="56"/>
      <c r="D232" s="57"/>
      <c r="E232" s="58"/>
      <c r="F232" s="58"/>
      <c r="G232" s="57"/>
      <c r="H232" s="57"/>
      <c r="I232" s="57"/>
      <c r="J232" s="64" t="str">
        <f aca="false">IF(A232="","",SUMIFS('بنود السندات'!$F$5:$F$3004,'بنود السندات'!$A$5:$A$3004,A232))</f>
        <v/>
      </c>
      <c r="K232" s="64" t="str">
        <f aca="false">IF(A232="","",SUMIFS('بنود السندات'!$G$5:$G$3004,'بنود السندات'!$A$5:$A$3004,A232))</f>
        <v/>
      </c>
      <c r="L232" s="64" t="str">
        <f aca="false">IF(A232="","",ROUND(J232-K232,2))</f>
        <v/>
      </c>
      <c r="M232" s="63" t="str">
        <f aca="false">IF(A232="","",COUNTIF('بنود السندات'!$A$5:$A$3004,A232))</f>
        <v/>
      </c>
      <c r="N232" s="65" t="str">
        <f aca="false">IF(A232="","",IF(M232=0,"بدون بنود ⚠",IF(L232=0,"متوازن ✔","غير متوازن ✘")))</f>
        <v/>
      </c>
      <c r="O232" s="66" t="str">
        <f aca="false">IF(A232="","","فقط "&amp;IF(INT(ROUND(MAX(J232,K232),2))=0,"صفر",MID(IF(INT(INT(ROUND(MAX(J232,K232),2))/1000000)&gt;0," و"&amp;INDEX(تفقيط!$D$2:$D$1001,INT(INT(ROUND(MAX(J232,K232),2))/1000000)+1),"")&amp;IF(INT(MOD(INT(ROUND(MAX(J232,K232),2)),1000000)/1000)&gt;0," و"&amp;INDEX(تفقيط!$C$2:$C$1001,INT(MOD(INT(ROUND(MAX(J232,K232),2)),1000000)/1000)+1),"")&amp;IF(MOD(INT(ROUND(MAX(J232,K232),2)),1000)&gt;0," و"&amp;INDEX(تفقيط!$B$2:$B$1001,MOD(INT(ROUND(MAX(J232,K232),2)),1000)+1),""),3,400))&amp;" "&amp;CUR&amp;IF(ROUND((ROUND(MAX(J232,K232),2)-INT(ROUND(MAX(J232,K232),2)))*100,0)&gt;0," و"&amp;INDEX(تفقيط!$E$2:$E$1001,ROUND((ROUND(MAX(J232,K232),2)-INT(ROUND(MAX(J232,K232),2)))*100,0)+1),"")&amp;" لا غير")</f>
        <v/>
      </c>
    </row>
    <row r="233" customFormat="false" ht="15" hidden="false" customHeight="false" outlineLevel="0" collapsed="false">
      <c r="A233" s="54" t="str">
        <f aca="false">IF(C233="","",START_NO+COUNT(C$5:C233)-1)</f>
        <v/>
      </c>
      <c r="B233" s="55" t="str">
        <f aca="false">IF(A233="","",PREFIX&amp;"-"&amp;TEXT(C233,"yyyy")&amp;"-"&amp;A233)</f>
        <v/>
      </c>
      <c r="C233" s="56"/>
      <c r="D233" s="57"/>
      <c r="E233" s="58"/>
      <c r="F233" s="58"/>
      <c r="G233" s="57"/>
      <c r="H233" s="57"/>
      <c r="I233" s="57"/>
      <c r="J233" s="59" t="str">
        <f aca="false">IF(A233="","",SUMIFS('بنود السندات'!$F$5:$F$3004,'بنود السندات'!$A$5:$A$3004,A233))</f>
        <v/>
      </c>
      <c r="K233" s="59" t="str">
        <f aca="false">IF(A233="","",SUMIFS('بنود السندات'!$G$5:$G$3004,'بنود السندات'!$A$5:$A$3004,A233))</f>
        <v/>
      </c>
      <c r="L233" s="59" t="str">
        <f aca="false">IF(A233="","",ROUND(J233-K233,2))</f>
        <v/>
      </c>
      <c r="M233" s="55" t="str">
        <f aca="false">IF(A233="","",COUNTIF('بنود السندات'!$A$5:$A$3004,A233))</f>
        <v/>
      </c>
      <c r="N233" s="60" t="str">
        <f aca="false">IF(A233="","",IF(M233=0,"بدون بنود ⚠",IF(L233=0,"متوازن ✔","غير متوازن ✘")))</f>
        <v/>
      </c>
      <c r="O233" s="61" t="str">
        <f aca="false">IF(A233="","","فقط "&amp;IF(INT(ROUND(MAX(J233,K233),2))=0,"صفر",MID(IF(INT(INT(ROUND(MAX(J233,K233),2))/1000000)&gt;0," و"&amp;INDEX(تفقيط!$D$2:$D$1001,INT(INT(ROUND(MAX(J233,K233),2))/1000000)+1),"")&amp;IF(INT(MOD(INT(ROUND(MAX(J233,K233),2)),1000000)/1000)&gt;0," و"&amp;INDEX(تفقيط!$C$2:$C$1001,INT(MOD(INT(ROUND(MAX(J233,K233),2)),1000000)/1000)+1),"")&amp;IF(MOD(INT(ROUND(MAX(J233,K233),2)),1000)&gt;0," و"&amp;INDEX(تفقيط!$B$2:$B$1001,MOD(INT(ROUND(MAX(J233,K233),2)),1000)+1),""),3,400))&amp;" "&amp;CUR&amp;IF(ROUND((ROUND(MAX(J233,K233),2)-INT(ROUND(MAX(J233,K233),2)))*100,0)&gt;0," و"&amp;INDEX(تفقيط!$E$2:$E$1001,ROUND((ROUND(MAX(J233,K233),2)-INT(ROUND(MAX(J233,K233),2)))*100,0)+1),"")&amp;" لا غير")</f>
        <v/>
      </c>
    </row>
    <row r="234" customFormat="false" ht="15" hidden="false" customHeight="false" outlineLevel="0" collapsed="false">
      <c r="A234" s="62" t="str">
        <f aca="false">IF(C234="","",START_NO+COUNT(C$5:C234)-1)</f>
        <v/>
      </c>
      <c r="B234" s="63" t="str">
        <f aca="false">IF(A234="","",PREFIX&amp;"-"&amp;TEXT(C234,"yyyy")&amp;"-"&amp;A234)</f>
        <v/>
      </c>
      <c r="C234" s="56"/>
      <c r="D234" s="57"/>
      <c r="E234" s="58"/>
      <c r="F234" s="58"/>
      <c r="G234" s="57"/>
      <c r="H234" s="57"/>
      <c r="I234" s="57"/>
      <c r="J234" s="64" t="str">
        <f aca="false">IF(A234="","",SUMIFS('بنود السندات'!$F$5:$F$3004,'بنود السندات'!$A$5:$A$3004,A234))</f>
        <v/>
      </c>
      <c r="K234" s="64" t="str">
        <f aca="false">IF(A234="","",SUMIFS('بنود السندات'!$G$5:$G$3004,'بنود السندات'!$A$5:$A$3004,A234))</f>
        <v/>
      </c>
      <c r="L234" s="64" t="str">
        <f aca="false">IF(A234="","",ROUND(J234-K234,2))</f>
        <v/>
      </c>
      <c r="M234" s="63" t="str">
        <f aca="false">IF(A234="","",COUNTIF('بنود السندات'!$A$5:$A$3004,A234))</f>
        <v/>
      </c>
      <c r="N234" s="65" t="str">
        <f aca="false">IF(A234="","",IF(M234=0,"بدون بنود ⚠",IF(L234=0,"متوازن ✔","غير متوازن ✘")))</f>
        <v/>
      </c>
      <c r="O234" s="66" t="str">
        <f aca="false">IF(A234="","","فقط "&amp;IF(INT(ROUND(MAX(J234,K234),2))=0,"صفر",MID(IF(INT(INT(ROUND(MAX(J234,K234),2))/1000000)&gt;0," و"&amp;INDEX(تفقيط!$D$2:$D$1001,INT(INT(ROUND(MAX(J234,K234),2))/1000000)+1),"")&amp;IF(INT(MOD(INT(ROUND(MAX(J234,K234),2)),1000000)/1000)&gt;0," و"&amp;INDEX(تفقيط!$C$2:$C$1001,INT(MOD(INT(ROUND(MAX(J234,K234),2)),1000000)/1000)+1),"")&amp;IF(MOD(INT(ROUND(MAX(J234,K234),2)),1000)&gt;0," و"&amp;INDEX(تفقيط!$B$2:$B$1001,MOD(INT(ROUND(MAX(J234,K234),2)),1000)+1),""),3,400))&amp;" "&amp;CUR&amp;IF(ROUND((ROUND(MAX(J234,K234),2)-INT(ROUND(MAX(J234,K234),2)))*100,0)&gt;0," و"&amp;INDEX(تفقيط!$E$2:$E$1001,ROUND((ROUND(MAX(J234,K234),2)-INT(ROUND(MAX(J234,K234),2)))*100,0)+1),"")&amp;" لا غير")</f>
        <v/>
      </c>
    </row>
    <row r="235" customFormat="false" ht="15" hidden="false" customHeight="false" outlineLevel="0" collapsed="false">
      <c r="A235" s="54" t="str">
        <f aca="false">IF(C235="","",START_NO+COUNT(C$5:C235)-1)</f>
        <v/>
      </c>
      <c r="B235" s="55" t="str">
        <f aca="false">IF(A235="","",PREFIX&amp;"-"&amp;TEXT(C235,"yyyy")&amp;"-"&amp;A235)</f>
        <v/>
      </c>
      <c r="C235" s="56"/>
      <c r="D235" s="57"/>
      <c r="E235" s="58"/>
      <c r="F235" s="58"/>
      <c r="G235" s="57"/>
      <c r="H235" s="57"/>
      <c r="I235" s="57"/>
      <c r="J235" s="59" t="str">
        <f aca="false">IF(A235="","",SUMIFS('بنود السندات'!$F$5:$F$3004,'بنود السندات'!$A$5:$A$3004,A235))</f>
        <v/>
      </c>
      <c r="K235" s="59" t="str">
        <f aca="false">IF(A235="","",SUMIFS('بنود السندات'!$G$5:$G$3004,'بنود السندات'!$A$5:$A$3004,A235))</f>
        <v/>
      </c>
      <c r="L235" s="59" t="str">
        <f aca="false">IF(A235="","",ROUND(J235-K235,2))</f>
        <v/>
      </c>
      <c r="M235" s="55" t="str">
        <f aca="false">IF(A235="","",COUNTIF('بنود السندات'!$A$5:$A$3004,A235))</f>
        <v/>
      </c>
      <c r="N235" s="60" t="str">
        <f aca="false">IF(A235="","",IF(M235=0,"بدون بنود ⚠",IF(L235=0,"متوازن ✔","غير متوازن ✘")))</f>
        <v/>
      </c>
      <c r="O235" s="61" t="str">
        <f aca="false">IF(A235="","","فقط "&amp;IF(INT(ROUND(MAX(J235,K235),2))=0,"صفر",MID(IF(INT(INT(ROUND(MAX(J235,K235),2))/1000000)&gt;0," و"&amp;INDEX(تفقيط!$D$2:$D$1001,INT(INT(ROUND(MAX(J235,K235),2))/1000000)+1),"")&amp;IF(INT(MOD(INT(ROUND(MAX(J235,K235),2)),1000000)/1000)&gt;0," و"&amp;INDEX(تفقيط!$C$2:$C$1001,INT(MOD(INT(ROUND(MAX(J235,K235),2)),1000000)/1000)+1),"")&amp;IF(MOD(INT(ROUND(MAX(J235,K235),2)),1000)&gt;0," و"&amp;INDEX(تفقيط!$B$2:$B$1001,MOD(INT(ROUND(MAX(J235,K235),2)),1000)+1),""),3,400))&amp;" "&amp;CUR&amp;IF(ROUND((ROUND(MAX(J235,K235),2)-INT(ROUND(MAX(J235,K235),2)))*100,0)&gt;0," و"&amp;INDEX(تفقيط!$E$2:$E$1001,ROUND((ROUND(MAX(J235,K235),2)-INT(ROUND(MAX(J235,K235),2)))*100,0)+1),"")&amp;" لا غير")</f>
        <v/>
      </c>
    </row>
    <row r="236" customFormat="false" ht="15" hidden="false" customHeight="false" outlineLevel="0" collapsed="false">
      <c r="A236" s="62" t="str">
        <f aca="false">IF(C236="","",START_NO+COUNT(C$5:C236)-1)</f>
        <v/>
      </c>
      <c r="B236" s="63" t="str">
        <f aca="false">IF(A236="","",PREFIX&amp;"-"&amp;TEXT(C236,"yyyy")&amp;"-"&amp;A236)</f>
        <v/>
      </c>
      <c r="C236" s="56"/>
      <c r="D236" s="57"/>
      <c r="E236" s="58"/>
      <c r="F236" s="58"/>
      <c r="G236" s="57"/>
      <c r="H236" s="57"/>
      <c r="I236" s="57"/>
      <c r="J236" s="64" t="str">
        <f aca="false">IF(A236="","",SUMIFS('بنود السندات'!$F$5:$F$3004,'بنود السندات'!$A$5:$A$3004,A236))</f>
        <v/>
      </c>
      <c r="K236" s="64" t="str">
        <f aca="false">IF(A236="","",SUMIFS('بنود السندات'!$G$5:$G$3004,'بنود السندات'!$A$5:$A$3004,A236))</f>
        <v/>
      </c>
      <c r="L236" s="64" t="str">
        <f aca="false">IF(A236="","",ROUND(J236-K236,2))</f>
        <v/>
      </c>
      <c r="M236" s="63" t="str">
        <f aca="false">IF(A236="","",COUNTIF('بنود السندات'!$A$5:$A$3004,A236))</f>
        <v/>
      </c>
      <c r="N236" s="65" t="str">
        <f aca="false">IF(A236="","",IF(M236=0,"بدون بنود ⚠",IF(L236=0,"متوازن ✔","غير متوازن ✘")))</f>
        <v/>
      </c>
      <c r="O236" s="66" t="str">
        <f aca="false">IF(A236="","","فقط "&amp;IF(INT(ROUND(MAX(J236,K236),2))=0,"صفر",MID(IF(INT(INT(ROUND(MAX(J236,K236),2))/1000000)&gt;0," و"&amp;INDEX(تفقيط!$D$2:$D$1001,INT(INT(ROUND(MAX(J236,K236),2))/1000000)+1),"")&amp;IF(INT(MOD(INT(ROUND(MAX(J236,K236),2)),1000000)/1000)&gt;0," و"&amp;INDEX(تفقيط!$C$2:$C$1001,INT(MOD(INT(ROUND(MAX(J236,K236),2)),1000000)/1000)+1),"")&amp;IF(MOD(INT(ROUND(MAX(J236,K236),2)),1000)&gt;0," و"&amp;INDEX(تفقيط!$B$2:$B$1001,MOD(INT(ROUND(MAX(J236,K236),2)),1000)+1),""),3,400))&amp;" "&amp;CUR&amp;IF(ROUND((ROUND(MAX(J236,K236),2)-INT(ROUND(MAX(J236,K236),2)))*100,0)&gt;0," و"&amp;INDEX(تفقيط!$E$2:$E$1001,ROUND((ROUND(MAX(J236,K236),2)-INT(ROUND(MAX(J236,K236),2)))*100,0)+1),"")&amp;" لا غير")</f>
        <v/>
      </c>
    </row>
    <row r="237" customFormat="false" ht="15" hidden="false" customHeight="false" outlineLevel="0" collapsed="false">
      <c r="A237" s="54" t="str">
        <f aca="false">IF(C237="","",START_NO+COUNT(C$5:C237)-1)</f>
        <v/>
      </c>
      <c r="B237" s="55" t="str">
        <f aca="false">IF(A237="","",PREFIX&amp;"-"&amp;TEXT(C237,"yyyy")&amp;"-"&amp;A237)</f>
        <v/>
      </c>
      <c r="C237" s="56"/>
      <c r="D237" s="57"/>
      <c r="E237" s="58"/>
      <c r="F237" s="58"/>
      <c r="G237" s="57"/>
      <c r="H237" s="57"/>
      <c r="I237" s="57"/>
      <c r="J237" s="59" t="str">
        <f aca="false">IF(A237="","",SUMIFS('بنود السندات'!$F$5:$F$3004,'بنود السندات'!$A$5:$A$3004,A237))</f>
        <v/>
      </c>
      <c r="K237" s="59" t="str">
        <f aca="false">IF(A237="","",SUMIFS('بنود السندات'!$G$5:$G$3004,'بنود السندات'!$A$5:$A$3004,A237))</f>
        <v/>
      </c>
      <c r="L237" s="59" t="str">
        <f aca="false">IF(A237="","",ROUND(J237-K237,2))</f>
        <v/>
      </c>
      <c r="M237" s="55" t="str">
        <f aca="false">IF(A237="","",COUNTIF('بنود السندات'!$A$5:$A$3004,A237))</f>
        <v/>
      </c>
      <c r="N237" s="60" t="str">
        <f aca="false">IF(A237="","",IF(M237=0,"بدون بنود ⚠",IF(L237=0,"متوازن ✔","غير متوازن ✘")))</f>
        <v/>
      </c>
      <c r="O237" s="61" t="str">
        <f aca="false">IF(A237="","","فقط "&amp;IF(INT(ROUND(MAX(J237,K237),2))=0,"صفر",MID(IF(INT(INT(ROUND(MAX(J237,K237),2))/1000000)&gt;0," و"&amp;INDEX(تفقيط!$D$2:$D$1001,INT(INT(ROUND(MAX(J237,K237),2))/1000000)+1),"")&amp;IF(INT(MOD(INT(ROUND(MAX(J237,K237),2)),1000000)/1000)&gt;0," و"&amp;INDEX(تفقيط!$C$2:$C$1001,INT(MOD(INT(ROUND(MAX(J237,K237),2)),1000000)/1000)+1),"")&amp;IF(MOD(INT(ROUND(MAX(J237,K237),2)),1000)&gt;0," و"&amp;INDEX(تفقيط!$B$2:$B$1001,MOD(INT(ROUND(MAX(J237,K237),2)),1000)+1),""),3,400))&amp;" "&amp;CUR&amp;IF(ROUND((ROUND(MAX(J237,K237),2)-INT(ROUND(MAX(J237,K237),2)))*100,0)&gt;0," و"&amp;INDEX(تفقيط!$E$2:$E$1001,ROUND((ROUND(MAX(J237,K237),2)-INT(ROUND(MAX(J237,K237),2)))*100,0)+1),"")&amp;" لا غير")</f>
        <v/>
      </c>
    </row>
    <row r="238" customFormat="false" ht="15" hidden="false" customHeight="false" outlineLevel="0" collapsed="false">
      <c r="A238" s="62" t="str">
        <f aca="false">IF(C238="","",START_NO+COUNT(C$5:C238)-1)</f>
        <v/>
      </c>
      <c r="B238" s="63" t="str">
        <f aca="false">IF(A238="","",PREFIX&amp;"-"&amp;TEXT(C238,"yyyy")&amp;"-"&amp;A238)</f>
        <v/>
      </c>
      <c r="C238" s="56"/>
      <c r="D238" s="57"/>
      <c r="E238" s="58"/>
      <c r="F238" s="58"/>
      <c r="G238" s="57"/>
      <c r="H238" s="57"/>
      <c r="I238" s="57"/>
      <c r="J238" s="64" t="str">
        <f aca="false">IF(A238="","",SUMIFS('بنود السندات'!$F$5:$F$3004,'بنود السندات'!$A$5:$A$3004,A238))</f>
        <v/>
      </c>
      <c r="K238" s="64" t="str">
        <f aca="false">IF(A238="","",SUMIFS('بنود السندات'!$G$5:$G$3004,'بنود السندات'!$A$5:$A$3004,A238))</f>
        <v/>
      </c>
      <c r="L238" s="64" t="str">
        <f aca="false">IF(A238="","",ROUND(J238-K238,2))</f>
        <v/>
      </c>
      <c r="M238" s="63" t="str">
        <f aca="false">IF(A238="","",COUNTIF('بنود السندات'!$A$5:$A$3004,A238))</f>
        <v/>
      </c>
      <c r="N238" s="65" t="str">
        <f aca="false">IF(A238="","",IF(M238=0,"بدون بنود ⚠",IF(L238=0,"متوازن ✔","غير متوازن ✘")))</f>
        <v/>
      </c>
      <c r="O238" s="66" t="str">
        <f aca="false">IF(A238="","","فقط "&amp;IF(INT(ROUND(MAX(J238,K238),2))=0,"صفر",MID(IF(INT(INT(ROUND(MAX(J238,K238),2))/1000000)&gt;0," و"&amp;INDEX(تفقيط!$D$2:$D$1001,INT(INT(ROUND(MAX(J238,K238),2))/1000000)+1),"")&amp;IF(INT(MOD(INT(ROUND(MAX(J238,K238),2)),1000000)/1000)&gt;0," و"&amp;INDEX(تفقيط!$C$2:$C$1001,INT(MOD(INT(ROUND(MAX(J238,K238),2)),1000000)/1000)+1),"")&amp;IF(MOD(INT(ROUND(MAX(J238,K238),2)),1000)&gt;0," و"&amp;INDEX(تفقيط!$B$2:$B$1001,MOD(INT(ROUND(MAX(J238,K238),2)),1000)+1),""),3,400))&amp;" "&amp;CUR&amp;IF(ROUND((ROUND(MAX(J238,K238),2)-INT(ROUND(MAX(J238,K238),2)))*100,0)&gt;0," و"&amp;INDEX(تفقيط!$E$2:$E$1001,ROUND((ROUND(MAX(J238,K238),2)-INT(ROUND(MAX(J238,K238),2)))*100,0)+1),"")&amp;" لا غير")</f>
        <v/>
      </c>
    </row>
    <row r="239" customFormat="false" ht="15" hidden="false" customHeight="false" outlineLevel="0" collapsed="false">
      <c r="A239" s="54" t="str">
        <f aca="false">IF(C239="","",START_NO+COUNT(C$5:C239)-1)</f>
        <v/>
      </c>
      <c r="B239" s="55" t="str">
        <f aca="false">IF(A239="","",PREFIX&amp;"-"&amp;TEXT(C239,"yyyy")&amp;"-"&amp;A239)</f>
        <v/>
      </c>
      <c r="C239" s="56"/>
      <c r="D239" s="57"/>
      <c r="E239" s="58"/>
      <c r="F239" s="58"/>
      <c r="G239" s="57"/>
      <c r="H239" s="57"/>
      <c r="I239" s="57"/>
      <c r="J239" s="59" t="str">
        <f aca="false">IF(A239="","",SUMIFS('بنود السندات'!$F$5:$F$3004,'بنود السندات'!$A$5:$A$3004,A239))</f>
        <v/>
      </c>
      <c r="K239" s="59" t="str">
        <f aca="false">IF(A239="","",SUMIFS('بنود السندات'!$G$5:$G$3004,'بنود السندات'!$A$5:$A$3004,A239))</f>
        <v/>
      </c>
      <c r="L239" s="59" t="str">
        <f aca="false">IF(A239="","",ROUND(J239-K239,2))</f>
        <v/>
      </c>
      <c r="M239" s="55" t="str">
        <f aca="false">IF(A239="","",COUNTIF('بنود السندات'!$A$5:$A$3004,A239))</f>
        <v/>
      </c>
      <c r="N239" s="60" t="str">
        <f aca="false">IF(A239="","",IF(M239=0,"بدون بنود ⚠",IF(L239=0,"متوازن ✔","غير متوازن ✘")))</f>
        <v/>
      </c>
      <c r="O239" s="61" t="str">
        <f aca="false">IF(A239="","","فقط "&amp;IF(INT(ROUND(MAX(J239,K239),2))=0,"صفر",MID(IF(INT(INT(ROUND(MAX(J239,K239),2))/1000000)&gt;0," و"&amp;INDEX(تفقيط!$D$2:$D$1001,INT(INT(ROUND(MAX(J239,K239),2))/1000000)+1),"")&amp;IF(INT(MOD(INT(ROUND(MAX(J239,K239),2)),1000000)/1000)&gt;0," و"&amp;INDEX(تفقيط!$C$2:$C$1001,INT(MOD(INT(ROUND(MAX(J239,K239),2)),1000000)/1000)+1),"")&amp;IF(MOD(INT(ROUND(MAX(J239,K239),2)),1000)&gt;0," و"&amp;INDEX(تفقيط!$B$2:$B$1001,MOD(INT(ROUND(MAX(J239,K239),2)),1000)+1),""),3,400))&amp;" "&amp;CUR&amp;IF(ROUND((ROUND(MAX(J239,K239),2)-INT(ROUND(MAX(J239,K239),2)))*100,0)&gt;0," و"&amp;INDEX(تفقيط!$E$2:$E$1001,ROUND((ROUND(MAX(J239,K239),2)-INT(ROUND(MAX(J239,K239),2)))*100,0)+1),"")&amp;" لا غير")</f>
        <v/>
      </c>
    </row>
    <row r="240" customFormat="false" ht="15" hidden="false" customHeight="false" outlineLevel="0" collapsed="false">
      <c r="A240" s="62" t="str">
        <f aca="false">IF(C240="","",START_NO+COUNT(C$5:C240)-1)</f>
        <v/>
      </c>
      <c r="B240" s="63" t="str">
        <f aca="false">IF(A240="","",PREFIX&amp;"-"&amp;TEXT(C240,"yyyy")&amp;"-"&amp;A240)</f>
        <v/>
      </c>
      <c r="C240" s="56"/>
      <c r="D240" s="57"/>
      <c r="E240" s="58"/>
      <c r="F240" s="58"/>
      <c r="G240" s="57"/>
      <c r="H240" s="57"/>
      <c r="I240" s="57"/>
      <c r="J240" s="64" t="str">
        <f aca="false">IF(A240="","",SUMIFS('بنود السندات'!$F$5:$F$3004,'بنود السندات'!$A$5:$A$3004,A240))</f>
        <v/>
      </c>
      <c r="K240" s="64" t="str">
        <f aca="false">IF(A240="","",SUMIFS('بنود السندات'!$G$5:$G$3004,'بنود السندات'!$A$5:$A$3004,A240))</f>
        <v/>
      </c>
      <c r="L240" s="64" t="str">
        <f aca="false">IF(A240="","",ROUND(J240-K240,2))</f>
        <v/>
      </c>
      <c r="M240" s="63" t="str">
        <f aca="false">IF(A240="","",COUNTIF('بنود السندات'!$A$5:$A$3004,A240))</f>
        <v/>
      </c>
      <c r="N240" s="65" t="str">
        <f aca="false">IF(A240="","",IF(M240=0,"بدون بنود ⚠",IF(L240=0,"متوازن ✔","غير متوازن ✘")))</f>
        <v/>
      </c>
      <c r="O240" s="66" t="str">
        <f aca="false">IF(A240="","","فقط "&amp;IF(INT(ROUND(MAX(J240,K240),2))=0,"صفر",MID(IF(INT(INT(ROUND(MAX(J240,K240),2))/1000000)&gt;0," و"&amp;INDEX(تفقيط!$D$2:$D$1001,INT(INT(ROUND(MAX(J240,K240),2))/1000000)+1),"")&amp;IF(INT(MOD(INT(ROUND(MAX(J240,K240),2)),1000000)/1000)&gt;0," و"&amp;INDEX(تفقيط!$C$2:$C$1001,INT(MOD(INT(ROUND(MAX(J240,K240),2)),1000000)/1000)+1),"")&amp;IF(MOD(INT(ROUND(MAX(J240,K240),2)),1000)&gt;0," و"&amp;INDEX(تفقيط!$B$2:$B$1001,MOD(INT(ROUND(MAX(J240,K240),2)),1000)+1),""),3,400))&amp;" "&amp;CUR&amp;IF(ROUND((ROUND(MAX(J240,K240),2)-INT(ROUND(MAX(J240,K240),2)))*100,0)&gt;0," و"&amp;INDEX(تفقيط!$E$2:$E$1001,ROUND((ROUND(MAX(J240,K240),2)-INT(ROUND(MAX(J240,K240),2)))*100,0)+1),"")&amp;" لا غير")</f>
        <v/>
      </c>
    </row>
    <row r="241" customFormat="false" ht="15" hidden="false" customHeight="false" outlineLevel="0" collapsed="false">
      <c r="A241" s="54" t="str">
        <f aca="false">IF(C241="","",START_NO+COUNT(C$5:C241)-1)</f>
        <v/>
      </c>
      <c r="B241" s="55" t="str">
        <f aca="false">IF(A241="","",PREFIX&amp;"-"&amp;TEXT(C241,"yyyy")&amp;"-"&amp;A241)</f>
        <v/>
      </c>
      <c r="C241" s="56"/>
      <c r="D241" s="57"/>
      <c r="E241" s="58"/>
      <c r="F241" s="58"/>
      <c r="G241" s="57"/>
      <c r="H241" s="57"/>
      <c r="I241" s="57"/>
      <c r="J241" s="59" t="str">
        <f aca="false">IF(A241="","",SUMIFS('بنود السندات'!$F$5:$F$3004,'بنود السندات'!$A$5:$A$3004,A241))</f>
        <v/>
      </c>
      <c r="K241" s="59" t="str">
        <f aca="false">IF(A241="","",SUMIFS('بنود السندات'!$G$5:$G$3004,'بنود السندات'!$A$5:$A$3004,A241))</f>
        <v/>
      </c>
      <c r="L241" s="59" t="str">
        <f aca="false">IF(A241="","",ROUND(J241-K241,2))</f>
        <v/>
      </c>
      <c r="M241" s="55" t="str">
        <f aca="false">IF(A241="","",COUNTIF('بنود السندات'!$A$5:$A$3004,A241))</f>
        <v/>
      </c>
      <c r="N241" s="60" t="str">
        <f aca="false">IF(A241="","",IF(M241=0,"بدون بنود ⚠",IF(L241=0,"متوازن ✔","غير متوازن ✘")))</f>
        <v/>
      </c>
      <c r="O241" s="61" t="str">
        <f aca="false">IF(A241="","","فقط "&amp;IF(INT(ROUND(MAX(J241,K241),2))=0,"صفر",MID(IF(INT(INT(ROUND(MAX(J241,K241),2))/1000000)&gt;0," و"&amp;INDEX(تفقيط!$D$2:$D$1001,INT(INT(ROUND(MAX(J241,K241),2))/1000000)+1),"")&amp;IF(INT(MOD(INT(ROUND(MAX(J241,K241),2)),1000000)/1000)&gt;0," و"&amp;INDEX(تفقيط!$C$2:$C$1001,INT(MOD(INT(ROUND(MAX(J241,K241),2)),1000000)/1000)+1),"")&amp;IF(MOD(INT(ROUND(MAX(J241,K241),2)),1000)&gt;0," و"&amp;INDEX(تفقيط!$B$2:$B$1001,MOD(INT(ROUND(MAX(J241,K241),2)),1000)+1),""),3,400))&amp;" "&amp;CUR&amp;IF(ROUND((ROUND(MAX(J241,K241),2)-INT(ROUND(MAX(J241,K241),2)))*100,0)&gt;0," و"&amp;INDEX(تفقيط!$E$2:$E$1001,ROUND((ROUND(MAX(J241,K241),2)-INT(ROUND(MAX(J241,K241),2)))*100,0)+1),"")&amp;" لا غير")</f>
        <v/>
      </c>
    </row>
    <row r="242" customFormat="false" ht="15" hidden="false" customHeight="false" outlineLevel="0" collapsed="false">
      <c r="A242" s="62" t="str">
        <f aca="false">IF(C242="","",START_NO+COUNT(C$5:C242)-1)</f>
        <v/>
      </c>
      <c r="B242" s="63" t="str">
        <f aca="false">IF(A242="","",PREFIX&amp;"-"&amp;TEXT(C242,"yyyy")&amp;"-"&amp;A242)</f>
        <v/>
      </c>
      <c r="C242" s="56"/>
      <c r="D242" s="57"/>
      <c r="E242" s="58"/>
      <c r="F242" s="58"/>
      <c r="G242" s="57"/>
      <c r="H242" s="57"/>
      <c r="I242" s="57"/>
      <c r="J242" s="64" t="str">
        <f aca="false">IF(A242="","",SUMIFS('بنود السندات'!$F$5:$F$3004,'بنود السندات'!$A$5:$A$3004,A242))</f>
        <v/>
      </c>
      <c r="K242" s="64" t="str">
        <f aca="false">IF(A242="","",SUMIFS('بنود السندات'!$G$5:$G$3004,'بنود السندات'!$A$5:$A$3004,A242))</f>
        <v/>
      </c>
      <c r="L242" s="64" t="str">
        <f aca="false">IF(A242="","",ROUND(J242-K242,2))</f>
        <v/>
      </c>
      <c r="M242" s="63" t="str">
        <f aca="false">IF(A242="","",COUNTIF('بنود السندات'!$A$5:$A$3004,A242))</f>
        <v/>
      </c>
      <c r="N242" s="65" t="str">
        <f aca="false">IF(A242="","",IF(M242=0,"بدون بنود ⚠",IF(L242=0,"متوازن ✔","غير متوازن ✘")))</f>
        <v/>
      </c>
      <c r="O242" s="66" t="str">
        <f aca="false">IF(A242="","","فقط "&amp;IF(INT(ROUND(MAX(J242,K242),2))=0,"صفر",MID(IF(INT(INT(ROUND(MAX(J242,K242),2))/1000000)&gt;0," و"&amp;INDEX(تفقيط!$D$2:$D$1001,INT(INT(ROUND(MAX(J242,K242),2))/1000000)+1),"")&amp;IF(INT(MOD(INT(ROUND(MAX(J242,K242),2)),1000000)/1000)&gt;0," و"&amp;INDEX(تفقيط!$C$2:$C$1001,INT(MOD(INT(ROUND(MAX(J242,K242),2)),1000000)/1000)+1),"")&amp;IF(MOD(INT(ROUND(MAX(J242,K242),2)),1000)&gt;0," و"&amp;INDEX(تفقيط!$B$2:$B$1001,MOD(INT(ROUND(MAX(J242,K242),2)),1000)+1),""),3,400))&amp;" "&amp;CUR&amp;IF(ROUND((ROUND(MAX(J242,K242),2)-INT(ROUND(MAX(J242,K242),2)))*100,0)&gt;0," و"&amp;INDEX(تفقيط!$E$2:$E$1001,ROUND((ROUND(MAX(J242,K242),2)-INT(ROUND(MAX(J242,K242),2)))*100,0)+1),"")&amp;" لا غير")</f>
        <v/>
      </c>
    </row>
    <row r="243" customFormat="false" ht="15" hidden="false" customHeight="false" outlineLevel="0" collapsed="false">
      <c r="A243" s="54" t="str">
        <f aca="false">IF(C243="","",START_NO+COUNT(C$5:C243)-1)</f>
        <v/>
      </c>
      <c r="B243" s="55" t="str">
        <f aca="false">IF(A243="","",PREFIX&amp;"-"&amp;TEXT(C243,"yyyy")&amp;"-"&amp;A243)</f>
        <v/>
      </c>
      <c r="C243" s="56"/>
      <c r="D243" s="57"/>
      <c r="E243" s="58"/>
      <c r="F243" s="58"/>
      <c r="G243" s="57"/>
      <c r="H243" s="57"/>
      <c r="I243" s="57"/>
      <c r="J243" s="59" t="str">
        <f aca="false">IF(A243="","",SUMIFS('بنود السندات'!$F$5:$F$3004,'بنود السندات'!$A$5:$A$3004,A243))</f>
        <v/>
      </c>
      <c r="K243" s="59" t="str">
        <f aca="false">IF(A243="","",SUMIFS('بنود السندات'!$G$5:$G$3004,'بنود السندات'!$A$5:$A$3004,A243))</f>
        <v/>
      </c>
      <c r="L243" s="59" t="str">
        <f aca="false">IF(A243="","",ROUND(J243-K243,2))</f>
        <v/>
      </c>
      <c r="M243" s="55" t="str">
        <f aca="false">IF(A243="","",COUNTIF('بنود السندات'!$A$5:$A$3004,A243))</f>
        <v/>
      </c>
      <c r="N243" s="60" t="str">
        <f aca="false">IF(A243="","",IF(M243=0,"بدون بنود ⚠",IF(L243=0,"متوازن ✔","غير متوازن ✘")))</f>
        <v/>
      </c>
      <c r="O243" s="61" t="str">
        <f aca="false">IF(A243="","","فقط "&amp;IF(INT(ROUND(MAX(J243,K243),2))=0,"صفر",MID(IF(INT(INT(ROUND(MAX(J243,K243),2))/1000000)&gt;0," و"&amp;INDEX(تفقيط!$D$2:$D$1001,INT(INT(ROUND(MAX(J243,K243),2))/1000000)+1),"")&amp;IF(INT(MOD(INT(ROUND(MAX(J243,K243),2)),1000000)/1000)&gt;0," و"&amp;INDEX(تفقيط!$C$2:$C$1001,INT(MOD(INT(ROUND(MAX(J243,K243),2)),1000000)/1000)+1),"")&amp;IF(MOD(INT(ROUND(MAX(J243,K243),2)),1000)&gt;0," و"&amp;INDEX(تفقيط!$B$2:$B$1001,MOD(INT(ROUND(MAX(J243,K243),2)),1000)+1),""),3,400))&amp;" "&amp;CUR&amp;IF(ROUND((ROUND(MAX(J243,K243),2)-INT(ROUND(MAX(J243,K243),2)))*100,0)&gt;0," و"&amp;INDEX(تفقيط!$E$2:$E$1001,ROUND((ROUND(MAX(J243,K243),2)-INT(ROUND(MAX(J243,K243),2)))*100,0)+1),"")&amp;" لا غير")</f>
        <v/>
      </c>
    </row>
    <row r="244" customFormat="false" ht="15" hidden="false" customHeight="false" outlineLevel="0" collapsed="false">
      <c r="A244" s="62" t="str">
        <f aca="false">IF(C244="","",START_NO+COUNT(C$5:C244)-1)</f>
        <v/>
      </c>
      <c r="B244" s="63" t="str">
        <f aca="false">IF(A244="","",PREFIX&amp;"-"&amp;TEXT(C244,"yyyy")&amp;"-"&amp;A244)</f>
        <v/>
      </c>
      <c r="C244" s="56"/>
      <c r="D244" s="57"/>
      <c r="E244" s="58"/>
      <c r="F244" s="58"/>
      <c r="G244" s="57"/>
      <c r="H244" s="57"/>
      <c r="I244" s="57"/>
      <c r="J244" s="64" t="str">
        <f aca="false">IF(A244="","",SUMIFS('بنود السندات'!$F$5:$F$3004,'بنود السندات'!$A$5:$A$3004,A244))</f>
        <v/>
      </c>
      <c r="K244" s="64" t="str">
        <f aca="false">IF(A244="","",SUMIFS('بنود السندات'!$G$5:$G$3004,'بنود السندات'!$A$5:$A$3004,A244))</f>
        <v/>
      </c>
      <c r="L244" s="64" t="str">
        <f aca="false">IF(A244="","",ROUND(J244-K244,2))</f>
        <v/>
      </c>
      <c r="M244" s="63" t="str">
        <f aca="false">IF(A244="","",COUNTIF('بنود السندات'!$A$5:$A$3004,A244))</f>
        <v/>
      </c>
      <c r="N244" s="65" t="str">
        <f aca="false">IF(A244="","",IF(M244=0,"بدون بنود ⚠",IF(L244=0,"متوازن ✔","غير متوازن ✘")))</f>
        <v/>
      </c>
      <c r="O244" s="66" t="str">
        <f aca="false">IF(A244="","","فقط "&amp;IF(INT(ROUND(MAX(J244,K244),2))=0,"صفر",MID(IF(INT(INT(ROUND(MAX(J244,K244),2))/1000000)&gt;0," و"&amp;INDEX(تفقيط!$D$2:$D$1001,INT(INT(ROUND(MAX(J244,K244),2))/1000000)+1),"")&amp;IF(INT(MOD(INT(ROUND(MAX(J244,K244),2)),1000000)/1000)&gt;0," و"&amp;INDEX(تفقيط!$C$2:$C$1001,INT(MOD(INT(ROUND(MAX(J244,K244),2)),1000000)/1000)+1),"")&amp;IF(MOD(INT(ROUND(MAX(J244,K244),2)),1000)&gt;0," و"&amp;INDEX(تفقيط!$B$2:$B$1001,MOD(INT(ROUND(MAX(J244,K244),2)),1000)+1),""),3,400))&amp;" "&amp;CUR&amp;IF(ROUND((ROUND(MAX(J244,K244),2)-INT(ROUND(MAX(J244,K244),2)))*100,0)&gt;0," و"&amp;INDEX(تفقيط!$E$2:$E$1001,ROUND((ROUND(MAX(J244,K244),2)-INT(ROUND(MAX(J244,K244),2)))*100,0)+1),"")&amp;" لا غير")</f>
        <v/>
      </c>
    </row>
    <row r="245" customFormat="false" ht="15" hidden="false" customHeight="false" outlineLevel="0" collapsed="false">
      <c r="A245" s="54" t="str">
        <f aca="false">IF(C245="","",START_NO+COUNT(C$5:C245)-1)</f>
        <v/>
      </c>
      <c r="B245" s="55" t="str">
        <f aca="false">IF(A245="","",PREFIX&amp;"-"&amp;TEXT(C245,"yyyy")&amp;"-"&amp;A245)</f>
        <v/>
      </c>
      <c r="C245" s="56"/>
      <c r="D245" s="57"/>
      <c r="E245" s="58"/>
      <c r="F245" s="58"/>
      <c r="G245" s="57"/>
      <c r="H245" s="57"/>
      <c r="I245" s="57"/>
      <c r="J245" s="59" t="str">
        <f aca="false">IF(A245="","",SUMIFS('بنود السندات'!$F$5:$F$3004,'بنود السندات'!$A$5:$A$3004,A245))</f>
        <v/>
      </c>
      <c r="K245" s="59" t="str">
        <f aca="false">IF(A245="","",SUMIFS('بنود السندات'!$G$5:$G$3004,'بنود السندات'!$A$5:$A$3004,A245))</f>
        <v/>
      </c>
      <c r="L245" s="59" t="str">
        <f aca="false">IF(A245="","",ROUND(J245-K245,2))</f>
        <v/>
      </c>
      <c r="M245" s="55" t="str">
        <f aca="false">IF(A245="","",COUNTIF('بنود السندات'!$A$5:$A$3004,A245))</f>
        <v/>
      </c>
      <c r="N245" s="60" t="str">
        <f aca="false">IF(A245="","",IF(M245=0,"بدون بنود ⚠",IF(L245=0,"متوازن ✔","غير متوازن ✘")))</f>
        <v/>
      </c>
      <c r="O245" s="61" t="str">
        <f aca="false">IF(A245="","","فقط "&amp;IF(INT(ROUND(MAX(J245,K245),2))=0,"صفر",MID(IF(INT(INT(ROUND(MAX(J245,K245),2))/1000000)&gt;0," و"&amp;INDEX(تفقيط!$D$2:$D$1001,INT(INT(ROUND(MAX(J245,K245),2))/1000000)+1),"")&amp;IF(INT(MOD(INT(ROUND(MAX(J245,K245),2)),1000000)/1000)&gt;0," و"&amp;INDEX(تفقيط!$C$2:$C$1001,INT(MOD(INT(ROUND(MAX(J245,K245),2)),1000000)/1000)+1),"")&amp;IF(MOD(INT(ROUND(MAX(J245,K245),2)),1000)&gt;0," و"&amp;INDEX(تفقيط!$B$2:$B$1001,MOD(INT(ROUND(MAX(J245,K245),2)),1000)+1),""),3,400))&amp;" "&amp;CUR&amp;IF(ROUND((ROUND(MAX(J245,K245),2)-INT(ROUND(MAX(J245,K245),2)))*100,0)&gt;0," و"&amp;INDEX(تفقيط!$E$2:$E$1001,ROUND((ROUND(MAX(J245,K245),2)-INT(ROUND(MAX(J245,K245),2)))*100,0)+1),"")&amp;" لا غير")</f>
        <v/>
      </c>
    </row>
    <row r="246" customFormat="false" ht="15" hidden="false" customHeight="false" outlineLevel="0" collapsed="false">
      <c r="A246" s="62" t="str">
        <f aca="false">IF(C246="","",START_NO+COUNT(C$5:C246)-1)</f>
        <v/>
      </c>
      <c r="B246" s="63" t="str">
        <f aca="false">IF(A246="","",PREFIX&amp;"-"&amp;TEXT(C246,"yyyy")&amp;"-"&amp;A246)</f>
        <v/>
      </c>
      <c r="C246" s="56"/>
      <c r="D246" s="57"/>
      <c r="E246" s="58"/>
      <c r="F246" s="58"/>
      <c r="G246" s="57"/>
      <c r="H246" s="57"/>
      <c r="I246" s="57"/>
      <c r="J246" s="64" t="str">
        <f aca="false">IF(A246="","",SUMIFS('بنود السندات'!$F$5:$F$3004,'بنود السندات'!$A$5:$A$3004,A246))</f>
        <v/>
      </c>
      <c r="K246" s="64" t="str">
        <f aca="false">IF(A246="","",SUMIFS('بنود السندات'!$G$5:$G$3004,'بنود السندات'!$A$5:$A$3004,A246))</f>
        <v/>
      </c>
      <c r="L246" s="64" t="str">
        <f aca="false">IF(A246="","",ROUND(J246-K246,2))</f>
        <v/>
      </c>
      <c r="M246" s="63" t="str">
        <f aca="false">IF(A246="","",COUNTIF('بنود السندات'!$A$5:$A$3004,A246))</f>
        <v/>
      </c>
      <c r="N246" s="65" t="str">
        <f aca="false">IF(A246="","",IF(M246=0,"بدون بنود ⚠",IF(L246=0,"متوازن ✔","غير متوازن ✘")))</f>
        <v/>
      </c>
      <c r="O246" s="66" t="str">
        <f aca="false">IF(A246="","","فقط "&amp;IF(INT(ROUND(MAX(J246,K246),2))=0,"صفر",MID(IF(INT(INT(ROUND(MAX(J246,K246),2))/1000000)&gt;0," و"&amp;INDEX(تفقيط!$D$2:$D$1001,INT(INT(ROUND(MAX(J246,K246),2))/1000000)+1),"")&amp;IF(INT(MOD(INT(ROUND(MAX(J246,K246),2)),1000000)/1000)&gt;0," و"&amp;INDEX(تفقيط!$C$2:$C$1001,INT(MOD(INT(ROUND(MAX(J246,K246),2)),1000000)/1000)+1),"")&amp;IF(MOD(INT(ROUND(MAX(J246,K246),2)),1000)&gt;0," و"&amp;INDEX(تفقيط!$B$2:$B$1001,MOD(INT(ROUND(MAX(J246,K246),2)),1000)+1),""),3,400))&amp;" "&amp;CUR&amp;IF(ROUND((ROUND(MAX(J246,K246),2)-INT(ROUND(MAX(J246,K246),2)))*100,0)&gt;0," و"&amp;INDEX(تفقيط!$E$2:$E$1001,ROUND((ROUND(MAX(J246,K246),2)-INT(ROUND(MAX(J246,K246),2)))*100,0)+1),"")&amp;" لا غير")</f>
        <v/>
      </c>
    </row>
    <row r="247" customFormat="false" ht="15" hidden="false" customHeight="false" outlineLevel="0" collapsed="false">
      <c r="A247" s="54" t="str">
        <f aca="false">IF(C247="","",START_NO+COUNT(C$5:C247)-1)</f>
        <v/>
      </c>
      <c r="B247" s="55" t="str">
        <f aca="false">IF(A247="","",PREFIX&amp;"-"&amp;TEXT(C247,"yyyy")&amp;"-"&amp;A247)</f>
        <v/>
      </c>
      <c r="C247" s="56"/>
      <c r="D247" s="57"/>
      <c r="E247" s="58"/>
      <c r="F247" s="58"/>
      <c r="G247" s="57"/>
      <c r="H247" s="57"/>
      <c r="I247" s="57"/>
      <c r="J247" s="59" t="str">
        <f aca="false">IF(A247="","",SUMIFS('بنود السندات'!$F$5:$F$3004,'بنود السندات'!$A$5:$A$3004,A247))</f>
        <v/>
      </c>
      <c r="K247" s="59" t="str">
        <f aca="false">IF(A247="","",SUMIFS('بنود السندات'!$G$5:$G$3004,'بنود السندات'!$A$5:$A$3004,A247))</f>
        <v/>
      </c>
      <c r="L247" s="59" t="str">
        <f aca="false">IF(A247="","",ROUND(J247-K247,2))</f>
        <v/>
      </c>
      <c r="M247" s="55" t="str">
        <f aca="false">IF(A247="","",COUNTIF('بنود السندات'!$A$5:$A$3004,A247))</f>
        <v/>
      </c>
      <c r="N247" s="60" t="str">
        <f aca="false">IF(A247="","",IF(M247=0,"بدون بنود ⚠",IF(L247=0,"متوازن ✔","غير متوازن ✘")))</f>
        <v/>
      </c>
      <c r="O247" s="61" t="str">
        <f aca="false">IF(A247="","","فقط "&amp;IF(INT(ROUND(MAX(J247,K247),2))=0,"صفر",MID(IF(INT(INT(ROUND(MAX(J247,K247),2))/1000000)&gt;0," و"&amp;INDEX(تفقيط!$D$2:$D$1001,INT(INT(ROUND(MAX(J247,K247),2))/1000000)+1),"")&amp;IF(INT(MOD(INT(ROUND(MAX(J247,K247),2)),1000000)/1000)&gt;0," و"&amp;INDEX(تفقيط!$C$2:$C$1001,INT(MOD(INT(ROUND(MAX(J247,K247),2)),1000000)/1000)+1),"")&amp;IF(MOD(INT(ROUND(MAX(J247,K247),2)),1000)&gt;0," و"&amp;INDEX(تفقيط!$B$2:$B$1001,MOD(INT(ROUND(MAX(J247,K247),2)),1000)+1),""),3,400))&amp;" "&amp;CUR&amp;IF(ROUND((ROUND(MAX(J247,K247),2)-INT(ROUND(MAX(J247,K247),2)))*100,0)&gt;0," و"&amp;INDEX(تفقيط!$E$2:$E$1001,ROUND((ROUND(MAX(J247,K247),2)-INT(ROUND(MAX(J247,K247),2)))*100,0)+1),"")&amp;" لا غير")</f>
        <v/>
      </c>
    </row>
    <row r="248" customFormat="false" ht="15" hidden="false" customHeight="false" outlineLevel="0" collapsed="false">
      <c r="A248" s="62" t="str">
        <f aca="false">IF(C248="","",START_NO+COUNT(C$5:C248)-1)</f>
        <v/>
      </c>
      <c r="B248" s="63" t="str">
        <f aca="false">IF(A248="","",PREFIX&amp;"-"&amp;TEXT(C248,"yyyy")&amp;"-"&amp;A248)</f>
        <v/>
      </c>
      <c r="C248" s="56"/>
      <c r="D248" s="57"/>
      <c r="E248" s="58"/>
      <c r="F248" s="58"/>
      <c r="G248" s="57"/>
      <c r="H248" s="57"/>
      <c r="I248" s="57"/>
      <c r="J248" s="64" t="str">
        <f aca="false">IF(A248="","",SUMIFS('بنود السندات'!$F$5:$F$3004,'بنود السندات'!$A$5:$A$3004,A248))</f>
        <v/>
      </c>
      <c r="K248" s="64" t="str">
        <f aca="false">IF(A248="","",SUMIFS('بنود السندات'!$G$5:$G$3004,'بنود السندات'!$A$5:$A$3004,A248))</f>
        <v/>
      </c>
      <c r="L248" s="64" t="str">
        <f aca="false">IF(A248="","",ROUND(J248-K248,2))</f>
        <v/>
      </c>
      <c r="M248" s="63" t="str">
        <f aca="false">IF(A248="","",COUNTIF('بنود السندات'!$A$5:$A$3004,A248))</f>
        <v/>
      </c>
      <c r="N248" s="65" t="str">
        <f aca="false">IF(A248="","",IF(M248=0,"بدون بنود ⚠",IF(L248=0,"متوازن ✔","غير متوازن ✘")))</f>
        <v/>
      </c>
      <c r="O248" s="66" t="str">
        <f aca="false">IF(A248="","","فقط "&amp;IF(INT(ROUND(MAX(J248,K248),2))=0,"صفر",MID(IF(INT(INT(ROUND(MAX(J248,K248),2))/1000000)&gt;0," و"&amp;INDEX(تفقيط!$D$2:$D$1001,INT(INT(ROUND(MAX(J248,K248),2))/1000000)+1),"")&amp;IF(INT(MOD(INT(ROUND(MAX(J248,K248),2)),1000000)/1000)&gt;0," و"&amp;INDEX(تفقيط!$C$2:$C$1001,INT(MOD(INT(ROUND(MAX(J248,K248),2)),1000000)/1000)+1),"")&amp;IF(MOD(INT(ROUND(MAX(J248,K248),2)),1000)&gt;0," و"&amp;INDEX(تفقيط!$B$2:$B$1001,MOD(INT(ROUND(MAX(J248,K248),2)),1000)+1),""),3,400))&amp;" "&amp;CUR&amp;IF(ROUND((ROUND(MAX(J248,K248),2)-INT(ROUND(MAX(J248,K248),2)))*100,0)&gt;0," و"&amp;INDEX(تفقيط!$E$2:$E$1001,ROUND((ROUND(MAX(J248,K248),2)-INT(ROUND(MAX(J248,K248),2)))*100,0)+1),"")&amp;" لا غير")</f>
        <v/>
      </c>
    </row>
    <row r="249" customFormat="false" ht="15" hidden="false" customHeight="false" outlineLevel="0" collapsed="false">
      <c r="A249" s="54" t="str">
        <f aca="false">IF(C249="","",START_NO+COUNT(C$5:C249)-1)</f>
        <v/>
      </c>
      <c r="B249" s="55" t="str">
        <f aca="false">IF(A249="","",PREFIX&amp;"-"&amp;TEXT(C249,"yyyy")&amp;"-"&amp;A249)</f>
        <v/>
      </c>
      <c r="C249" s="56"/>
      <c r="D249" s="57"/>
      <c r="E249" s="58"/>
      <c r="F249" s="58"/>
      <c r="G249" s="57"/>
      <c r="H249" s="57"/>
      <c r="I249" s="57"/>
      <c r="J249" s="59" t="str">
        <f aca="false">IF(A249="","",SUMIFS('بنود السندات'!$F$5:$F$3004,'بنود السندات'!$A$5:$A$3004,A249))</f>
        <v/>
      </c>
      <c r="K249" s="59" t="str">
        <f aca="false">IF(A249="","",SUMIFS('بنود السندات'!$G$5:$G$3004,'بنود السندات'!$A$5:$A$3004,A249))</f>
        <v/>
      </c>
      <c r="L249" s="59" t="str">
        <f aca="false">IF(A249="","",ROUND(J249-K249,2))</f>
        <v/>
      </c>
      <c r="M249" s="55" t="str">
        <f aca="false">IF(A249="","",COUNTIF('بنود السندات'!$A$5:$A$3004,A249))</f>
        <v/>
      </c>
      <c r="N249" s="60" t="str">
        <f aca="false">IF(A249="","",IF(M249=0,"بدون بنود ⚠",IF(L249=0,"متوازن ✔","غير متوازن ✘")))</f>
        <v/>
      </c>
      <c r="O249" s="61" t="str">
        <f aca="false">IF(A249="","","فقط "&amp;IF(INT(ROUND(MAX(J249,K249),2))=0,"صفر",MID(IF(INT(INT(ROUND(MAX(J249,K249),2))/1000000)&gt;0," و"&amp;INDEX(تفقيط!$D$2:$D$1001,INT(INT(ROUND(MAX(J249,K249),2))/1000000)+1),"")&amp;IF(INT(MOD(INT(ROUND(MAX(J249,K249),2)),1000000)/1000)&gt;0," و"&amp;INDEX(تفقيط!$C$2:$C$1001,INT(MOD(INT(ROUND(MAX(J249,K249),2)),1000000)/1000)+1),"")&amp;IF(MOD(INT(ROUND(MAX(J249,K249),2)),1000)&gt;0," و"&amp;INDEX(تفقيط!$B$2:$B$1001,MOD(INT(ROUND(MAX(J249,K249),2)),1000)+1),""),3,400))&amp;" "&amp;CUR&amp;IF(ROUND((ROUND(MAX(J249,K249),2)-INT(ROUND(MAX(J249,K249),2)))*100,0)&gt;0," و"&amp;INDEX(تفقيط!$E$2:$E$1001,ROUND((ROUND(MAX(J249,K249),2)-INT(ROUND(MAX(J249,K249),2)))*100,0)+1),"")&amp;" لا غير")</f>
        <v/>
      </c>
    </row>
    <row r="250" customFormat="false" ht="15" hidden="false" customHeight="false" outlineLevel="0" collapsed="false">
      <c r="A250" s="62" t="str">
        <f aca="false">IF(C250="","",START_NO+COUNT(C$5:C250)-1)</f>
        <v/>
      </c>
      <c r="B250" s="63" t="str">
        <f aca="false">IF(A250="","",PREFIX&amp;"-"&amp;TEXT(C250,"yyyy")&amp;"-"&amp;A250)</f>
        <v/>
      </c>
      <c r="C250" s="56"/>
      <c r="D250" s="57"/>
      <c r="E250" s="58"/>
      <c r="F250" s="58"/>
      <c r="G250" s="57"/>
      <c r="H250" s="57"/>
      <c r="I250" s="57"/>
      <c r="J250" s="64" t="str">
        <f aca="false">IF(A250="","",SUMIFS('بنود السندات'!$F$5:$F$3004,'بنود السندات'!$A$5:$A$3004,A250))</f>
        <v/>
      </c>
      <c r="K250" s="64" t="str">
        <f aca="false">IF(A250="","",SUMIFS('بنود السندات'!$G$5:$G$3004,'بنود السندات'!$A$5:$A$3004,A250))</f>
        <v/>
      </c>
      <c r="L250" s="64" t="str">
        <f aca="false">IF(A250="","",ROUND(J250-K250,2))</f>
        <v/>
      </c>
      <c r="M250" s="63" t="str">
        <f aca="false">IF(A250="","",COUNTIF('بنود السندات'!$A$5:$A$3004,A250))</f>
        <v/>
      </c>
      <c r="N250" s="65" t="str">
        <f aca="false">IF(A250="","",IF(M250=0,"بدون بنود ⚠",IF(L250=0,"متوازن ✔","غير متوازن ✘")))</f>
        <v/>
      </c>
      <c r="O250" s="66" t="str">
        <f aca="false">IF(A250="","","فقط "&amp;IF(INT(ROUND(MAX(J250,K250),2))=0,"صفر",MID(IF(INT(INT(ROUND(MAX(J250,K250),2))/1000000)&gt;0," و"&amp;INDEX(تفقيط!$D$2:$D$1001,INT(INT(ROUND(MAX(J250,K250),2))/1000000)+1),"")&amp;IF(INT(MOD(INT(ROUND(MAX(J250,K250),2)),1000000)/1000)&gt;0," و"&amp;INDEX(تفقيط!$C$2:$C$1001,INT(MOD(INT(ROUND(MAX(J250,K250),2)),1000000)/1000)+1),"")&amp;IF(MOD(INT(ROUND(MAX(J250,K250),2)),1000)&gt;0," و"&amp;INDEX(تفقيط!$B$2:$B$1001,MOD(INT(ROUND(MAX(J250,K250),2)),1000)+1),""),3,400))&amp;" "&amp;CUR&amp;IF(ROUND((ROUND(MAX(J250,K250),2)-INT(ROUND(MAX(J250,K250),2)))*100,0)&gt;0," و"&amp;INDEX(تفقيط!$E$2:$E$1001,ROUND((ROUND(MAX(J250,K250),2)-INT(ROUND(MAX(J250,K250),2)))*100,0)+1),"")&amp;" لا غير")</f>
        <v/>
      </c>
    </row>
    <row r="251" customFormat="false" ht="15" hidden="false" customHeight="false" outlineLevel="0" collapsed="false">
      <c r="A251" s="54" t="str">
        <f aca="false">IF(C251="","",START_NO+COUNT(C$5:C251)-1)</f>
        <v/>
      </c>
      <c r="B251" s="55" t="str">
        <f aca="false">IF(A251="","",PREFIX&amp;"-"&amp;TEXT(C251,"yyyy")&amp;"-"&amp;A251)</f>
        <v/>
      </c>
      <c r="C251" s="56"/>
      <c r="D251" s="57"/>
      <c r="E251" s="58"/>
      <c r="F251" s="58"/>
      <c r="G251" s="57"/>
      <c r="H251" s="57"/>
      <c r="I251" s="57"/>
      <c r="J251" s="59" t="str">
        <f aca="false">IF(A251="","",SUMIFS('بنود السندات'!$F$5:$F$3004,'بنود السندات'!$A$5:$A$3004,A251))</f>
        <v/>
      </c>
      <c r="K251" s="59" t="str">
        <f aca="false">IF(A251="","",SUMIFS('بنود السندات'!$G$5:$G$3004,'بنود السندات'!$A$5:$A$3004,A251))</f>
        <v/>
      </c>
      <c r="L251" s="59" t="str">
        <f aca="false">IF(A251="","",ROUND(J251-K251,2))</f>
        <v/>
      </c>
      <c r="M251" s="55" t="str">
        <f aca="false">IF(A251="","",COUNTIF('بنود السندات'!$A$5:$A$3004,A251))</f>
        <v/>
      </c>
      <c r="N251" s="60" t="str">
        <f aca="false">IF(A251="","",IF(M251=0,"بدون بنود ⚠",IF(L251=0,"متوازن ✔","غير متوازن ✘")))</f>
        <v/>
      </c>
      <c r="O251" s="61" t="str">
        <f aca="false">IF(A251="","","فقط "&amp;IF(INT(ROUND(MAX(J251,K251),2))=0,"صفر",MID(IF(INT(INT(ROUND(MAX(J251,K251),2))/1000000)&gt;0," و"&amp;INDEX(تفقيط!$D$2:$D$1001,INT(INT(ROUND(MAX(J251,K251),2))/1000000)+1),"")&amp;IF(INT(MOD(INT(ROUND(MAX(J251,K251),2)),1000000)/1000)&gt;0," و"&amp;INDEX(تفقيط!$C$2:$C$1001,INT(MOD(INT(ROUND(MAX(J251,K251),2)),1000000)/1000)+1),"")&amp;IF(MOD(INT(ROUND(MAX(J251,K251),2)),1000)&gt;0," و"&amp;INDEX(تفقيط!$B$2:$B$1001,MOD(INT(ROUND(MAX(J251,K251),2)),1000)+1),""),3,400))&amp;" "&amp;CUR&amp;IF(ROUND((ROUND(MAX(J251,K251),2)-INT(ROUND(MAX(J251,K251),2)))*100,0)&gt;0," و"&amp;INDEX(تفقيط!$E$2:$E$1001,ROUND((ROUND(MAX(J251,K251),2)-INT(ROUND(MAX(J251,K251),2)))*100,0)+1),"")&amp;" لا غير")</f>
        <v/>
      </c>
    </row>
    <row r="252" customFormat="false" ht="15" hidden="false" customHeight="false" outlineLevel="0" collapsed="false">
      <c r="A252" s="62" t="str">
        <f aca="false">IF(C252="","",START_NO+COUNT(C$5:C252)-1)</f>
        <v/>
      </c>
      <c r="B252" s="63" t="str">
        <f aca="false">IF(A252="","",PREFIX&amp;"-"&amp;TEXT(C252,"yyyy")&amp;"-"&amp;A252)</f>
        <v/>
      </c>
      <c r="C252" s="56"/>
      <c r="D252" s="57"/>
      <c r="E252" s="58"/>
      <c r="F252" s="58"/>
      <c r="G252" s="57"/>
      <c r="H252" s="57"/>
      <c r="I252" s="57"/>
      <c r="J252" s="64" t="str">
        <f aca="false">IF(A252="","",SUMIFS('بنود السندات'!$F$5:$F$3004,'بنود السندات'!$A$5:$A$3004,A252))</f>
        <v/>
      </c>
      <c r="K252" s="64" t="str">
        <f aca="false">IF(A252="","",SUMIFS('بنود السندات'!$G$5:$G$3004,'بنود السندات'!$A$5:$A$3004,A252))</f>
        <v/>
      </c>
      <c r="L252" s="64" t="str">
        <f aca="false">IF(A252="","",ROUND(J252-K252,2))</f>
        <v/>
      </c>
      <c r="M252" s="63" t="str">
        <f aca="false">IF(A252="","",COUNTIF('بنود السندات'!$A$5:$A$3004,A252))</f>
        <v/>
      </c>
      <c r="N252" s="65" t="str">
        <f aca="false">IF(A252="","",IF(M252=0,"بدون بنود ⚠",IF(L252=0,"متوازن ✔","غير متوازن ✘")))</f>
        <v/>
      </c>
      <c r="O252" s="66" t="str">
        <f aca="false">IF(A252="","","فقط "&amp;IF(INT(ROUND(MAX(J252,K252),2))=0,"صفر",MID(IF(INT(INT(ROUND(MAX(J252,K252),2))/1000000)&gt;0," و"&amp;INDEX(تفقيط!$D$2:$D$1001,INT(INT(ROUND(MAX(J252,K252),2))/1000000)+1),"")&amp;IF(INT(MOD(INT(ROUND(MAX(J252,K252),2)),1000000)/1000)&gt;0," و"&amp;INDEX(تفقيط!$C$2:$C$1001,INT(MOD(INT(ROUND(MAX(J252,K252),2)),1000000)/1000)+1),"")&amp;IF(MOD(INT(ROUND(MAX(J252,K252),2)),1000)&gt;0," و"&amp;INDEX(تفقيط!$B$2:$B$1001,MOD(INT(ROUND(MAX(J252,K252),2)),1000)+1),""),3,400))&amp;" "&amp;CUR&amp;IF(ROUND((ROUND(MAX(J252,K252),2)-INT(ROUND(MAX(J252,K252),2)))*100,0)&gt;0," و"&amp;INDEX(تفقيط!$E$2:$E$1001,ROUND((ROUND(MAX(J252,K252),2)-INT(ROUND(MAX(J252,K252),2)))*100,0)+1),"")&amp;" لا غير")</f>
        <v/>
      </c>
    </row>
    <row r="253" customFormat="false" ht="15" hidden="false" customHeight="false" outlineLevel="0" collapsed="false">
      <c r="A253" s="54" t="str">
        <f aca="false">IF(C253="","",START_NO+COUNT(C$5:C253)-1)</f>
        <v/>
      </c>
      <c r="B253" s="55" t="str">
        <f aca="false">IF(A253="","",PREFIX&amp;"-"&amp;TEXT(C253,"yyyy")&amp;"-"&amp;A253)</f>
        <v/>
      </c>
      <c r="C253" s="56"/>
      <c r="D253" s="57"/>
      <c r="E253" s="58"/>
      <c r="F253" s="58"/>
      <c r="G253" s="57"/>
      <c r="H253" s="57"/>
      <c r="I253" s="57"/>
      <c r="J253" s="59" t="str">
        <f aca="false">IF(A253="","",SUMIFS('بنود السندات'!$F$5:$F$3004,'بنود السندات'!$A$5:$A$3004,A253))</f>
        <v/>
      </c>
      <c r="K253" s="59" t="str">
        <f aca="false">IF(A253="","",SUMIFS('بنود السندات'!$G$5:$G$3004,'بنود السندات'!$A$5:$A$3004,A253))</f>
        <v/>
      </c>
      <c r="L253" s="59" t="str">
        <f aca="false">IF(A253="","",ROUND(J253-K253,2))</f>
        <v/>
      </c>
      <c r="M253" s="55" t="str">
        <f aca="false">IF(A253="","",COUNTIF('بنود السندات'!$A$5:$A$3004,A253))</f>
        <v/>
      </c>
      <c r="N253" s="60" t="str">
        <f aca="false">IF(A253="","",IF(M253=0,"بدون بنود ⚠",IF(L253=0,"متوازن ✔","غير متوازن ✘")))</f>
        <v/>
      </c>
      <c r="O253" s="61" t="str">
        <f aca="false">IF(A253="","","فقط "&amp;IF(INT(ROUND(MAX(J253,K253),2))=0,"صفر",MID(IF(INT(INT(ROUND(MAX(J253,K253),2))/1000000)&gt;0," و"&amp;INDEX(تفقيط!$D$2:$D$1001,INT(INT(ROUND(MAX(J253,K253),2))/1000000)+1),"")&amp;IF(INT(MOD(INT(ROUND(MAX(J253,K253),2)),1000000)/1000)&gt;0," و"&amp;INDEX(تفقيط!$C$2:$C$1001,INT(MOD(INT(ROUND(MAX(J253,K253),2)),1000000)/1000)+1),"")&amp;IF(MOD(INT(ROUND(MAX(J253,K253),2)),1000)&gt;0," و"&amp;INDEX(تفقيط!$B$2:$B$1001,MOD(INT(ROUND(MAX(J253,K253),2)),1000)+1),""),3,400))&amp;" "&amp;CUR&amp;IF(ROUND((ROUND(MAX(J253,K253),2)-INT(ROUND(MAX(J253,K253),2)))*100,0)&gt;0," و"&amp;INDEX(تفقيط!$E$2:$E$1001,ROUND((ROUND(MAX(J253,K253),2)-INT(ROUND(MAX(J253,K253),2)))*100,0)+1),"")&amp;" لا غير")</f>
        <v/>
      </c>
    </row>
    <row r="254" customFormat="false" ht="15" hidden="false" customHeight="false" outlineLevel="0" collapsed="false">
      <c r="A254" s="62" t="str">
        <f aca="false">IF(C254="","",START_NO+COUNT(C$5:C254)-1)</f>
        <v/>
      </c>
      <c r="B254" s="63" t="str">
        <f aca="false">IF(A254="","",PREFIX&amp;"-"&amp;TEXT(C254,"yyyy")&amp;"-"&amp;A254)</f>
        <v/>
      </c>
      <c r="C254" s="56"/>
      <c r="D254" s="57"/>
      <c r="E254" s="58"/>
      <c r="F254" s="58"/>
      <c r="G254" s="57"/>
      <c r="H254" s="57"/>
      <c r="I254" s="57"/>
      <c r="J254" s="64" t="str">
        <f aca="false">IF(A254="","",SUMIFS('بنود السندات'!$F$5:$F$3004,'بنود السندات'!$A$5:$A$3004,A254))</f>
        <v/>
      </c>
      <c r="K254" s="64" t="str">
        <f aca="false">IF(A254="","",SUMIFS('بنود السندات'!$G$5:$G$3004,'بنود السندات'!$A$5:$A$3004,A254))</f>
        <v/>
      </c>
      <c r="L254" s="64" t="str">
        <f aca="false">IF(A254="","",ROUND(J254-K254,2))</f>
        <v/>
      </c>
      <c r="M254" s="63" t="str">
        <f aca="false">IF(A254="","",COUNTIF('بنود السندات'!$A$5:$A$3004,A254))</f>
        <v/>
      </c>
      <c r="N254" s="65" t="str">
        <f aca="false">IF(A254="","",IF(M254=0,"بدون بنود ⚠",IF(L254=0,"متوازن ✔","غير متوازن ✘")))</f>
        <v/>
      </c>
      <c r="O254" s="66" t="str">
        <f aca="false">IF(A254="","","فقط "&amp;IF(INT(ROUND(MAX(J254,K254),2))=0,"صفر",MID(IF(INT(INT(ROUND(MAX(J254,K254),2))/1000000)&gt;0," و"&amp;INDEX(تفقيط!$D$2:$D$1001,INT(INT(ROUND(MAX(J254,K254),2))/1000000)+1),"")&amp;IF(INT(MOD(INT(ROUND(MAX(J254,K254),2)),1000000)/1000)&gt;0," و"&amp;INDEX(تفقيط!$C$2:$C$1001,INT(MOD(INT(ROUND(MAX(J254,K254),2)),1000000)/1000)+1),"")&amp;IF(MOD(INT(ROUND(MAX(J254,K254),2)),1000)&gt;0," و"&amp;INDEX(تفقيط!$B$2:$B$1001,MOD(INT(ROUND(MAX(J254,K254),2)),1000)+1),""),3,400))&amp;" "&amp;CUR&amp;IF(ROUND((ROUND(MAX(J254,K254),2)-INT(ROUND(MAX(J254,K254),2)))*100,0)&gt;0," و"&amp;INDEX(تفقيط!$E$2:$E$1001,ROUND((ROUND(MAX(J254,K254),2)-INT(ROUND(MAX(J254,K254),2)))*100,0)+1),"")&amp;" لا غير")</f>
        <v/>
      </c>
    </row>
    <row r="255" customFormat="false" ht="15" hidden="false" customHeight="false" outlineLevel="0" collapsed="false">
      <c r="A255" s="54" t="str">
        <f aca="false">IF(C255="","",START_NO+COUNT(C$5:C255)-1)</f>
        <v/>
      </c>
      <c r="B255" s="55" t="str">
        <f aca="false">IF(A255="","",PREFIX&amp;"-"&amp;TEXT(C255,"yyyy")&amp;"-"&amp;A255)</f>
        <v/>
      </c>
      <c r="C255" s="56"/>
      <c r="D255" s="57"/>
      <c r="E255" s="58"/>
      <c r="F255" s="58"/>
      <c r="G255" s="57"/>
      <c r="H255" s="57"/>
      <c r="I255" s="57"/>
      <c r="J255" s="59" t="str">
        <f aca="false">IF(A255="","",SUMIFS('بنود السندات'!$F$5:$F$3004,'بنود السندات'!$A$5:$A$3004,A255))</f>
        <v/>
      </c>
      <c r="K255" s="59" t="str">
        <f aca="false">IF(A255="","",SUMIFS('بنود السندات'!$G$5:$G$3004,'بنود السندات'!$A$5:$A$3004,A255))</f>
        <v/>
      </c>
      <c r="L255" s="59" t="str">
        <f aca="false">IF(A255="","",ROUND(J255-K255,2))</f>
        <v/>
      </c>
      <c r="M255" s="55" t="str">
        <f aca="false">IF(A255="","",COUNTIF('بنود السندات'!$A$5:$A$3004,A255))</f>
        <v/>
      </c>
      <c r="N255" s="60" t="str">
        <f aca="false">IF(A255="","",IF(M255=0,"بدون بنود ⚠",IF(L255=0,"متوازن ✔","غير متوازن ✘")))</f>
        <v/>
      </c>
      <c r="O255" s="61" t="str">
        <f aca="false">IF(A255="","","فقط "&amp;IF(INT(ROUND(MAX(J255,K255),2))=0,"صفر",MID(IF(INT(INT(ROUND(MAX(J255,K255),2))/1000000)&gt;0," و"&amp;INDEX(تفقيط!$D$2:$D$1001,INT(INT(ROUND(MAX(J255,K255),2))/1000000)+1),"")&amp;IF(INT(MOD(INT(ROUND(MAX(J255,K255),2)),1000000)/1000)&gt;0," و"&amp;INDEX(تفقيط!$C$2:$C$1001,INT(MOD(INT(ROUND(MAX(J255,K255),2)),1000000)/1000)+1),"")&amp;IF(MOD(INT(ROUND(MAX(J255,K255),2)),1000)&gt;0," و"&amp;INDEX(تفقيط!$B$2:$B$1001,MOD(INT(ROUND(MAX(J255,K255),2)),1000)+1),""),3,400))&amp;" "&amp;CUR&amp;IF(ROUND((ROUND(MAX(J255,K255),2)-INT(ROUND(MAX(J255,K255),2)))*100,0)&gt;0," و"&amp;INDEX(تفقيط!$E$2:$E$1001,ROUND((ROUND(MAX(J255,K255),2)-INT(ROUND(MAX(J255,K255),2)))*100,0)+1),"")&amp;" لا غير")</f>
        <v/>
      </c>
    </row>
    <row r="256" customFormat="false" ht="15" hidden="false" customHeight="false" outlineLevel="0" collapsed="false">
      <c r="A256" s="62" t="str">
        <f aca="false">IF(C256="","",START_NO+COUNT(C$5:C256)-1)</f>
        <v/>
      </c>
      <c r="B256" s="63" t="str">
        <f aca="false">IF(A256="","",PREFIX&amp;"-"&amp;TEXT(C256,"yyyy")&amp;"-"&amp;A256)</f>
        <v/>
      </c>
      <c r="C256" s="56"/>
      <c r="D256" s="57"/>
      <c r="E256" s="58"/>
      <c r="F256" s="58"/>
      <c r="G256" s="57"/>
      <c r="H256" s="57"/>
      <c r="I256" s="57"/>
      <c r="J256" s="64" t="str">
        <f aca="false">IF(A256="","",SUMIFS('بنود السندات'!$F$5:$F$3004,'بنود السندات'!$A$5:$A$3004,A256))</f>
        <v/>
      </c>
      <c r="K256" s="64" t="str">
        <f aca="false">IF(A256="","",SUMIFS('بنود السندات'!$G$5:$G$3004,'بنود السندات'!$A$5:$A$3004,A256))</f>
        <v/>
      </c>
      <c r="L256" s="64" t="str">
        <f aca="false">IF(A256="","",ROUND(J256-K256,2))</f>
        <v/>
      </c>
      <c r="M256" s="63" t="str">
        <f aca="false">IF(A256="","",COUNTIF('بنود السندات'!$A$5:$A$3004,A256))</f>
        <v/>
      </c>
      <c r="N256" s="65" t="str">
        <f aca="false">IF(A256="","",IF(M256=0,"بدون بنود ⚠",IF(L256=0,"متوازن ✔","غير متوازن ✘")))</f>
        <v/>
      </c>
      <c r="O256" s="66" t="str">
        <f aca="false">IF(A256="","","فقط "&amp;IF(INT(ROUND(MAX(J256,K256),2))=0,"صفر",MID(IF(INT(INT(ROUND(MAX(J256,K256),2))/1000000)&gt;0," و"&amp;INDEX(تفقيط!$D$2:$D$1001,INT(INT(ROUND(MAX(J256,K256),2))/1000000)+1),"")&amp;IF(INT(MOD(INT(ROUND(MAX(J256,K256),2)),1000000)/1000)&gt;0," و"&amp;INDEX(تفقيط!$C$2:$C$1001,INT(MOD(INT(ROUND(MAX(J256,K256),2)),1000000)/1000)+1),"")&amp;IF(MOD(INT(ROUND(MAX(J256,K256),2)),1000)&gt;0," و"&amp;INDEX(تفقيط!$B$2:$B$1001,MOD(INT(ROUND(MAX(J256,K256),2)),1000)+1),""),3,400))&amp;" "&amp;CUR&amp;IF(ROUND((ROUND(MAX(J256,K256),2)-INT(ROUND(MAX(J256,K256),2)))*100,0)&gt;0," و"&amp;INDEX(تفقيط!$E$2:$E$1001,ROUND((ROUND(MAX(J256,K256),2)-INT(ROUND(MAX(J256,K256),2)))*100,0)+1),"")&amp;" لا غير")</f>
        <v/>
      </c>
    </row>
    <row r="257" customFormat="false" ht="15" hidden="false" customHeight="false" outlineLevel="0" collapsed="false">
      <c r="A257" s="54" t="str">
        <f aca="false">IF(C257="","",START_NO+COUNT(C$5:C257)-1)</f>
        <v/>
      </c>
      <c r="B257" s="55" t="str">
        <f aca="false">IF(A257="","",PREFIX&amp;"-"&amp;TEXT(C257,"yyyy")&amp;"-"&amp;A257)</f>
        <v/>
      </c>
      <c r="C257" s="56"/>
      <c r="D257" s="57"/>
      <c r="E257" s="58"/>
      <c r="F257" s="58"/>
      <c r="G257" s="57"/>
      <c r="H257" s="57"/>
      <c r="I257" s="57"/>
      <c r="J257" s="59" t="str">
        <f aca="false">IF(A257="","",SUMIFS('بنود السندات'!$F$5:$F$3004,'بنود السندات'!$A$5:$A$3004,A257))</f>
        <v/>
      </c>
      <c r="K257" s="59" t="str">
        <f aca="false">IF(A257="","",SUMIFS('بنود السندات'!$G$5:$G$3004,'بنود السندات'!$A$5:$A$3004,A257))</f>
        <v/>
      </c>
      <c r="L257" s="59" t="str">
        <f aca="false">IF(A257="","",ROUND(J257-K257,2))</f>
        <v/>
      </c>
      <c r="M257" s="55" t="str">
        <f aca="false">IF(A257="","",COUNTIF('بنود السندات'!$A$5:$A$3004,A257))</f>
        <v/>
      </c>
      <c r="N257" s="60" t="str">
        <f aca="false">IF(A257="","",IF(M257=0,"بدون بنود ⚠",IF(L257=0,"متوازن ✔","غير متوازن ✘")))</f>
        <v/>
      </c>
      <c r="O257" s="61" t="str">
        <f aca="false">IF(A257="","","فقط "&amp;IF(INT(ROUND(MAX(J257,K257),2))=0,"صفر",MID(IF(INT(INT(ROUND(MAX(J257,K257),2))/1000000)&gt;0," و"&amp;INDEX(تفقيط!$D$2:$D$1001,INT(INT(ROUND(MAX(J257,K257),2))/1000000)+1),"")&amp;IF(INT(MOD(INT(ROUND(MAX(J257,K257),2)),1000000)/1000)&gt;0," و"&amp;INDEX(تفقيط!$C$2:$C$1001,INT(MOD(INT(ROUND(MAX(J257,K257),2)),1000000)/1000)+1),"")&amp;IF(MOD(INT(ROUND(MAX(J257,K257),2)),1000)&gt;0," و"&amp;INDEX(تفقيط!$B$2:$B$1001,MOD(INT(ROUND(MAX(J257,K257),2)),1000)+1),""),3,400))&amp;" "&amp;CUR&amp;IF(ROUND((ROUND(MAX(J257,K257),2)-INT(ROUND(MAX(J257,K257),2)))*100,0)&gt;0," و"&amp;INDEX(تفقيط!$E$2:$E$1001,ROUND((ROUND(MAX(J257,K257),2)-INT(ROUND(MAX(J257,K257),2)))*100,0)+1),"")&amp;" لا غير")</f>
        <v/>
      </c>
    </row>
    <row r="258" customFormat="false" ht="15" hidden="false" customHeight="false" outlineLevel="0" collapsed="false">
      <c r="A258" s="62" t="str">
        <f aca="false">IF(C258="","",START_NO+COUNT(C$5:C258)-1)</f>
        <v/>
      </c>
      <c r="B258" s="63" t="str">
        <f aca="false">IF(A258="","",PREFIX&amp;"-"&amp;TEXT(C258,"yyyy")&amp;"-"&amp;A258)</f>
        <v/>
      </c>
      <c r="C258" s="56"/>
      <c r="D258" s="57"/>
      <c r="E258" s="58"/>
      <c r="F258" s="58"/>
      <c r="G258" s="57"/>
      <c r="H258" s="57"/>
      <c r="I258" s="57"/>
      <c r="J258" s="64" t="str">
        <f aca="false">IF(A258="","",SUMIFS('بنود السندات'!$F$5:$F$3004,'بنود السندات'!$A$5:$A$3004,A258))</f>
        <v/>
      </c>
      <c r="K258" s="64" t="str">
        <f aca="false">IF(A258="","",SUMIFS('بنود السندات'!$G$5:$G$3004,'بنود السندات'!$A$5:$A$3004,A258))</f>
        <v/>
      </c>
      <c r="L258" s="64" t="str">
        <f aca="false">IF(A258="","",ROUND(J258-K258,2))</f>
        <v/>
      </c>
      <c r="M258" s="63" t="str">
        <f aca="false">IF(A258="","",COUNTIF('بنود السندات'!$A$5:$A$3004,A258))</f>
        <v/>
      </c>
      <c r="N258" s="65" t="str">
        <f aca="false">IF(A258="","",IF(M258=0,"بدون بنود ⚠",IF(L258=0,"متوازن ✔","غير متوازن ✘")))</f>
        <v/>
      </c>
      <c r="O258" s="66" t="str">
        <f aca="false">IF(A258="","","فقط "&amp;IF(INT(ROUND(MAX(J258,K258),2))=0,"صفر",MID(IF(INT(INT(ROUND(MAX(J258,K258),2))/1000000)&gt;0," و"&amp;INDEX(تفقيط!$D$2:$D$1001,INT(INT(ROUND(MAX(J258,K258),2))/1000000)+1),"")&amp;IF(INT(MOD(INT(ROUND(MAX(J258,K258),2)),1000000)/1000)&gt;0," و"&amp;INDEX(تفقيط!$C$2:$C$1001,INT(MOD(INT(ROUND(MAX(J258,K258),2)),1000000)/1000)+1),"")&amp;IF(MOD(INT(ROUND(MAX(J258,K258),2)),1000)&gt;0," و"&amp;INDEX(تفقيط!$B$2:$B$1001,MOD(INT(ROUND(MAX(J258,K258),2)),1000)+1),""),3,400))&amp;" "&amp;CUR&amp;IF(ROUND((ROUND(MAX(J258,K258),2)-INT(ROUND(MAX(J258,K258),2)))*100,0)&gt;0," و"&amp;INDEX(تفقيط!$E$2:$E$1001,ROUND((ROUND(MAX(J258,K258),2)-INT(ROUND(MAX(J258,K258),2)))*100,0)+1),"")&amp;" لا غير")</f>
        <v/>
      </c>
    </row>
    <row r="259" customFormat="false" ht="15" hidden="false" customHeight="false" outlineLevel="0" collapsed="false">
      <c r="A259" s="54" t="str">
        <f aca="false">IF(C259="","",START_NO+COUNT(C$5:C259)-1)</f>
        <v/>
      </c>
      <c r="B259" s="55" t="str">
        <f aca="false">IF(A259="","",PREFIX&amp;"-"&amp;TEXT(C259,"yyyy")&amp;"-"&amp;A259)</f>
        <v/>
      </c>
      <c r="C259" s="56"/>
      <c r="D259" s="57"/>
      <c r="E259" s="58"/>
      <c r="F259" s="58"/>
      <c r="G259" s="57"/>
      <c r="H259" s="57"/>
      <c r="I259" s="57"/>
      <c r="J259" s="59" t="str">
        <f aca="false">IF(A259="","",SUMIFS('بنود السندات'!$F$5:$F$3004,'بنود السندات'!$A$5:$A$3004,A259))</f>
        <v/>
      </c>
      <c r="K259" s="59" t="str">
        <f aca="false">IF(A259="","",SUMIFS('بنود السندات'!$G$5:$G$3004,'بنود السندات'!$A$5:$A$3004,A259))</f>
        <v/>
      </c>
      <c r="L259" s="59" t="str">
        <f aca="false">IF(A259="","",ROUND(J259-K259,2))</f>
        <v/>
      </c>
      <c r="M259" s="55" t="str">
        <f aca="false">IF(A259="","",COUNTIF('بنود السندات'!$A$5:$A$3004,A259))</f>
        <v/>
      </c>
      <c r="N259" s="60" t="str">
        <f aca="false">IF(A259="","",IF(M259=0,"بدون بنود ⚠",IF(L259=0,"متوازن ✔","غير متوازن ✘")))</f>
        <v/>
      </c>
      <c r="O259" s="61" t="str">
        <f aca="false">IF(A259="","","فقط "&amp;IF(INT(ROUND(MAX(J259,K259),2))=0,"صفر",MID(IF(INT(INT(ROUND(MAX(J259,K259),2))/1000000)&gt;0," و"&amp;INDEX(تفقيط!$D$2:$D$1001,INT(INT(ROUND(MAX(J259,K259),2))/1000000)+1),"")&amp;IF(INT(MOD(INT(ROUND(MAX(J259,K259),2)),1000000)/1000)&gt;0," و"&amp;INDEX(تفقيط!$C$2:$C$1001,INT(MOD(INT(ROUND(MAX(J259,K259),2)),1000000)/1000)+1),"")&amp;IF(MOD(INT(ROUND(MAX(J259,K259),2)),1000)&gt;0," و"&amp;INDEX(تفقيط!$B$2:$B$1001,MOD(INT(ROUND(MAX(J259,K259),2)),1000)+1),""),3,400))&amp;" "&amp;CUR&amp;IF(ROUND((ROUND(MAX(J259,K259),2)-INT(ROUND(MAX(J259,K259),2)))*100,0)&gt;0," و"&amp;INDEX(تفقيط!$E$2:$E$1001,ROUND((ROUND(MAX(J259,K259),2)-INT(ROUND(MAX(J259,K259),2)))*100,0)+1),"")&amp;" لا غير")</f>
        <v/>
      </c>
    </row>
    <row r="260" customFormat="false" ht="15" hidden="false" customHeight="false" outlineLevel="0" collapsed="false">
      <c r="A260" s="62" t="str">
        <f aca="false">IF(C260="","",START_NO+COUNT(C$5:C260)-1)</f>
        <v/>
      </c>
      <c r="B260" s="63" t="str">
        <f aca="false">IF(A260="","",PREFIX&amp;"-"&amp;TEXT(C260,"yyyy")&amp;"-"&amp;A260)</f>
        <v/>
      </c>
      <c r="C260" s="56"/>
      <c r="D260" s="57"/>
      <c r="E260" s="58"/>
      <c r="F260" s="58"/>
      <c r="G260" s="57"/>
      <c r="H260" s="57"/>
      <c r="I260" s="57"/>
      <c r="J260" s="64" t="str">
        <f aca="false">IF(A260="","",SUMIFS('بنود السندات'!$F$5:$F$3004,'بنود السندات'!$A$5:$A$3004,A260))</f>
        <v/>
      </c>
      <c r="K260" s="64" t="str">
        <f aca="false">IF(A260="","",SUMIFS('بنود السندات'!$G$5:$G$3004,'بنود السندات'!$A$5:$A$3004,A260))</f>
        <v/>
      </c>
      <c r="L260" s="64" t="str">
        <f aca="false">IF(A260="","",ROUND(J260-K260,2))</f>
        <v/>
      </c>
      <c r="M260" s="63" t="str">
        <f aca="false">IF(A260="","",COUNTIF('بنود السندات'!$A$5:$A$3004,A260))</f>
        <v/>
      </c>
      <c r="N260" s="65" t="str">
        <f aca="false">IF(A260="","",IF(M260=0,"بدون بنود ⚠",IF(L260=0,"متوازن ✔","غير متوازن ✘")))</f>
        <v/>
      </c>
      <c r="O260" s="66" t="str">
        <f aca="false">IF(A260="","","فقط "&amp;IF(INT(ROUND(MAX(J260,K260),2))=0,"صفر",MID(IF(INT(INT(ROUND(MAX(J260,K260),2))/1000000)&gt;0," و"&amp;INDEX(تفقيط!$D$2:$D$1001,INT(INT(ROUND(MAX(J260,K260),2))/1000000)+1),"")&amp;IF(INT(MOD(INT(ROUND(MAX(J260,K260),2)),1000000)/1000)&gt;0," و"&amp;INDEX(تفقيط!$C$2:$C$1001,INT(MOD(INT(ROUND(MAX(J260,K260),2)),1000000)/1000)+1),"")&amp;IF(MOD(INT(ROUND(MAX(J260,K260),2)),1000)&gt;0," و"&amp;INDEX(تفقيط!$B$2:$B$1001,MOD(INT(ROUND(MAX(J260,K260),2)),1000)+1),""),3,400))&amp;" "&amp;CUR&amp;IF(ROUND((ROUND(MAX(J260,K260),2)-INT(ROUND(MAX(J260,K260),2)))*100,0)&gt;0," و"&amp;INDEX(تفقيط!$E$2:$E$1001,ROUND((ROUND(MAX(J260,K260),2)-INT(ROUND(MAX(J260,K260),2)))*100,0)+1),"")&amp;" لا غير")</f>
        <v/>
      </c>
    </row>
    <row r="261" customFormat="false" ht="15" hidden="false" customHeight="false" outlineLevel="0" collapsed="false">
      <c r="A261" s="54" t="str">
        <f aca="false">IF(C261="","",START_NO+COUNT(C$5:C261)-1)</f>
        <v/>
      </c>
      <c r="B261" s="55" t="str">
        <f aca="false">IF(A261="","",PREFIX&amp;"-"&amp;TEXT(C261,"yyyy")&amp;"-"&amp;A261)</f>
        <v/>
      </c>
      <c r="C261" s="56"/>
      <c r="D261" s="57"/>
      <c r="E261" s="58"/>
      <c r="F261" s="58"/>
      <c r="G261" s="57"/>
      <c r="H261" s="57"/>
      <c r="I261" s="57"/>
      <c r="J261" s="59" t="str">
        <f aca="false">IF(A261="","",SUMIFS('بنود السندات'!$F$5:$F$3004,'بنود السندات'!$A$5:$A$3004,A261))</f>
        <v/>
      </c>
      <c r="K261" s="59" t="str">
        <f aca="false">IF(A261="","",SUMIFS('بنود السندات'!$G$5:$G$3004,'بنود السندات'!$A$5:$A$3004,A261))</f>
        <v/>
      </c>
      <c r="L261" s="59" t="str">
        <f aca="false">IF(A261="","",ROUND(J261-K261,2))</f>
        <v/>
      </c>
      <c r="M261" s="55" t="str">
        <f aca="false">IF(A261="","",COUNTIF('بنود السندات'!$A$5:$A$3004,A261))</f>
        <v/>
      </c>
      <c r="N261" s="60" t="str">
        <f aca="false">IF(A261="","",IF(M261=0,"بدون بنود ⚠",IF(L261=0,"متوازن ✔","غير متوازن ✘")))</f>
        <v/>
      </c>
      <c r="O261" s="61" t="str">
        <f aca="false">IF(A261="","","فقط "&amp;IF(INT(ROUND(MAX(J261,K261),2))=0,"صفر",MID(IF(INT(INT(ROUND(MAX(J261,K261),2))/1000000)&gt;0," و"&amp;INDEX(تفقيط!$D$2:$D$1001,INT(INT(ROUND(MAX(J261,K261),2))/1000000)+1),"")&amp;IF(INT(MOD(INT(ROUND(MAX(J261,K261),2)),1000000)/1000)&gt;0," و"&amp;INDEX(تفقيط!$C$2:$C$1001,INT(MOD(INT(ROUND(MAX(J261,K261),2)),1000000)/1000)+1),"")&amp;IF(MOD(INT(ROUND(MAX(J261,K261),2)),1000)&gt;0," و"&amp;INDEX(تفقيط!$B$2:$B$1001,MOD(INT(ROUND(MAX(J261,K261),2)),1000)+1),""),3,400))&amp;" "&amp;CUR&amp;IF(ROUND((ROUND(MAX(J261,K261),2)-INT(ROUND(MAX(J261,K261),2)))*100,0)&gt;0," و"&amp;INDEX(تفقيط!$E$2:$E$1001,ROUND((ROUND(MAX(J261,K261),2)-INT(ROUND(MAX(J261,K261),2)))*100,0)+1),"")&amp;" لا غير")</f>
        <v/>
      </c>
    </row>
    <row r="262" customFormat="false" ht="15" hidden="false" customHeight="false" outlineLevel="0" collapsed="false">
      <c r="A262" s="62" t="str">
        <f aca="false">IF(C262="","",START_NO+COUNT(C$5:C262)-1)</f>
        <v/>
      </c>
      <c r="B262" s="63" t="str">
        <f aca="false">IF(A262="","",PREFIX&amp;"-"&amp;TEXT(C262,"yyyy")&amp;"-"&amp;A262)</f>
        <v/>
      </c>
      <c r="C262" s="56"/>
      <c r="D262" s="57"/>
      <c r="E262" s="58"/>
      <c r="F262" s="58"/>
      <c r="G262" s="57"/>
      <c r="H262" s="57"/>
      <c r="I262" s="57"/>
      <c r="J262" s="64" t="str">
        <f aca="false">IF(A262="","",SUMIFS('بنود السندات'!$F$5:$F$3004,'بنود السندات'!$A$5:$A$3004,A262))</f>
        <v/>
      </c>
      <c r="K262" s="64" t="str">
        <f aca="false">IF(A262="","",SUMIFS('بنود السندات'!$G$5:$G$3004,'بنود السندات'!$A$5:$A$3004,A262))</f>
        <v/>
      </c>
      <c r="L262" s="64" t="str">
        <f aca="false">IF(A262="","",ROUND(J262-K262,2))</f>
        <v/>
      </c>
      <c r="M262" s="63" t="str">
        <f aca="false">IF(A262="","",COUNTIF('بنود السندات'!$A$5:$A$3004,A262))</f>
        <v/>
      </c>
      <c r="N262" s="65" t="str">
        <f aca="false">IF(A262="","",IF(M262=0,"بدون بنود ⚠",IF(L262=0,"متوازن ✔","غير متوازن ✘")))</f>
        <v/>
      </c>
      <c r="O262" s="66" t="str">
        <f aca="false">IF(A262="","","فقط "&amp;IF(INT(ROUND(MAX(J262,K262),2))=0,"صفر",MID(IF(INT(INT(ROUND(MAX(J262,K262),2))/1000000)&gt;0," و"&amp;INDEX(تفقيط!$D$2:$D$1001,INT(INT(ROUND(MAX(J262,K262),2))/1000000)+1),"")&amp;IF(INT(MOD(INT(ROUND(MAX(J262,K262),2)),1000000)/1000)&gt;0," و"&amp;INDEX(تفقيط!$C$2:$C$1001,INT(MOD(INT(ROUND(MAX(J262,K262),2)),1000000)/1000)+1),"")&amp;IF(MOD(INT(ROUND(MAX(J262,K262),2)),1000)&gt;0," و"&amp;INDEX(تفقيط!$B$2:$B$1001,MOD(INT(ROUND(MAX(J262,K262),2)),1000)+1),""),3,400))&amp;" "&amp;CUR&amp;IF(ROUND((ROUND(MAX(J262,K262),2)-INT(ROUND(MAX(J262,K262),2)))*100,0)&gt;0," و"&amp;INDEX(تفقيط!$E$2:$E$1001,ROUND((ROUND(MAX(J262,K262),2)-INT(ROUND(MAX(J262,K262),2)))*100,0)+1),"")&amp;" لا غير")</f>
        <v/>
      </c>
    </row>
    <row r="263" customFormat="false" ht="15" hidden="false" customHeight="false" outlineLevel="0" collapsed="false">
      <c r="A263" s="54" t="str">
        <f aca="false">IF(C263="","",START_NO+COUNT(C$5:C263)-1)</f>
        <v/>
      </c>
      <c r="B263" s="55" t="str">
        <f aca="false">IF(A263="","",PREFIX&amp;"-"&amp;TEXT(C263,"yyyy")&amp;"-"&amp;A263)</f>
        <v/>
      </c>
      <c r="C263" s="56"/>
      <c r="D263" s="57"/>
      <c r="E263" s="58"/>
      <c r="F263" s="58"/>
      <c r="G263" s="57"/>
      <c r="H263" s="57"/>
      <c r="I263" s="57"/>
      <c r="J263" s="59" t="str">
        <f aca="false">IF(A263="","",SUMIFS('بنود السندات'!$F$5:$F$3004,'بنود السندات'!$A$5:$A$3004,A263))</f>
        <v/>
      </c>
      <c r="K263" s="59" t="str">
        <f aca="false">IF(A263="","",SUMIFS('بنود السندات'!$G$5:$G$3004,'بنود السندات'!$A$5:$A$3004,A263))</f>
        <v/>
      </c>
      <c r="L263" s="59" t="str">
        <f aca="false">IF(A263="","",ROUND(J263-K263,2))</f>
        <v/>
      </c>
      <c r="M263" s="55" t="str">
        <f aca="false">IF(A263="","",COUNTIF('بنود السندات'!$A$5:$A$3004,A263))</f>
        <v/>
      </c>
      <c r="N263" s="60" t="str">
        <f aca="false">IF(A263="","",IF(M263=0,"بدون بنود ⚠",IF(L263=0,"متوازن ✔","غير متوازن ✘")))</f>
        <v/>
      </c>
      <c r="O263" s="61" t="str">
        <f aca="false">IF(A263="","","فقط "&amp;IF(INT(ROUND(MAX(J263,K263),2))=0,"صفر",MID(IF(INT(INT(ROUND(MAX(J263,K263),2))/1000000)&gt;0," و"&amp;INDEX(تفقيط!$D$2:$D$1001,INT(INT(ROUND(MAX(J263,K263),2))/1000000)+1),"")&amp;IF(INT(MOD(INT(ROUND(MAX(J263,K263),2)),1000000)/1000)&gt;0," و"&amp;INDEX(تفقيط!$C$2:$C$1001,INT(MOD(INT(ROUND(MAX(J263,K263),2)),1000000)/1000)+1),"")&amp;IF(MOD(INT(ROUND(MAX(J263,K263),2)),1000)&gt;0," و"&amp;INDEX(تفقيط!$B$2:$B$1001,MOD(INT(ROUND(MAX(J263,K263),2)),1000)+1),""),3,400))&amp;" "&amp;CUR&amp;IF(ROUND((ROUND(MAX(J263,K263),2)-INT(ROUND(MAX(J263,K263),2)))*100,0)&gt;0," و"&amp;INDEX(تفقيط!$E$2:$E$1001,ROUND((ROUND(MAX(J263,K263),2)-INT(ROUND(MAX(J263,K263),2)))*100,0)+1),"")&amp;" لا غير")</f>
        <v/>
      </c>
    </row>
    <row r="264" customFormat="false" ht="15" hidden="false" customHeight="false" outlineLevel="0" collapsed="false">
      <c r="A264" s="62" t="str">
        <f aca="false">IF(C264="","",START_NO+COUNT(C$5:C264)-1)</f>
        <v/>
      </c>
      <c r="B264" s="63" t="str">
        <f aca="false">IF(A264="","",PREFIX&amp;"-"&amp;TEXT(C264,"yyyy")&amp;"-"&amp;A264)</f>
        <v/>
      </c>
      <c r="C264" s="56"/>
      <c r="D264" s="57"/>
      <c r="E264" s="58"/>
      <c r="F264" s="58"/>
      <c r="G264" s="57"/>
      <c r="H264" s="57"/>
      <c r="I264" s="57"/>
      <c r="J264" s="64" t="str">
        <f aca="false">IF(A264="","",SUMIFS('بنود السندات'!$F$5:$F$3004,'بنود السندات'!$A$5:$A$3004,A264))</f>
        <v/>
      </c>
      <c r="K264" s="64" t="str">
        <f aca="false">IF(A264="","",SUMIFS('بنود السندات'!$G$5:$G$3004,'بنود السندات'!$A$5:$A$3004,A264))</f>
        <v/>
      </c>
      <c r="L264" s="64" t="str">
        <f aca="false">IF(A264="","",ROUND(J264-K264,2))</f>
        <v/>
      </c>
      <c r="M264" s="63" t="str">
        <f aca="false">IF(A264="","",COUNTIF('بنود السندات'!$A$5:$A$3004,A264))</f>
        <v/>
      </c>
      <c r="N264" s="65" t="str">
        <f aca="false">IF(A264="","",IF(M264=0,"بدون بنود ⚠",IF(L264=0,"متوازن ✔","غير متوازن ✘")))</f>
        <v/>
      </c>
      <c r="O264" s="66" t="str">
        <f aca="false">IF(A264="","","فقط "&amp;IF(INT(ROUND(MAX(J264,K264),2))=0,"صفر",MID(IF(INT(INT(ROUND(MAX(J264,K264),2))/1000000)&gt;0," و"&amp;INDEX(تفقيط!$D$2:$D$1001,INT(INT(ROUND(MAX(J264,K264),2))/1000000)+1),"")&amp;IF(INT(MOD(INT(ROUND(MAX(J264,K264),2)),1000000)/1000)&gt;0," و"&amp;INDEX(تفقيط!$C$2:$C$1001,INT(MOD(INT(ROUND(MAX(J264,K264),2)),1000000)/1000)+1),"")&amp;IF(MOD(INT(ROUND(MAX(J264,K264),2)),1000)&gt;0," و"&amp;INDEX(تفقيط!$B$2:$B$1001,MOD(INT(ROUND(MAX(J264,K264),2)),1000)+1),""),3,400))&amp;" "&amp;CUR&amp;IF(ROUND((ROUND(MAX(J264,K264),2)-INT(ROUND(MAX(J264,K264),2)))*100,0)&gt;0," و"&amp;INDEX(تفقيط!$E$2:$E$1001,ROUND((ROUND(MAX(J264,K264),2)-INT(ROUND(MAX(J264,K264),2)))*100,0)+1),"")&amp;" لا غير")</f>
        <v/>
      </c>
    </row>
    <row r="265" customFormat="false" ht="15" hidden="false" customHeight="false" outlineLevel="0" collapsed="false">
      <c r="A265" s="54" t="str">
        <f aca="false">IF(C265="","",START_NO+COUNT(C$5:C265)-1)</f>
        <v/>
      </c>
      <c r="B265" s="55" t="str">
        <f aca="false">IF(A265="","",PREFIX&amp;"-"&amp;TEXT(C265,"yyyy")&amp;"-"&amp;A265)</f>
        <v/>
      </c>
      <c r="C265" s="56"/>
      <c r="D265" s="57"/>
      <c r="E265" s="58"/>
      <c r="F265" s="58"/>
      <c r="G265" s="57"/>
      <c r="H265" s="57"/>
      <c r="I265" s="57"/>
      <c r="J265" s="59" t="str">
        <f aca="false">IF(A265="","",SUMIFS('بنود السندات'!$F$5:$F$3004,'بنود السندات'!$A$5:$A$3004,A265))</f>
        <v/>
      </c>
      <c r="K265" s="59" t="str">
        <f aca="false">IF(A265="","",SUMIFS('بنود السندات'!$G$5:$G$3004,'بنود السندات'!$A$5:$A$3004,A265))</f>
        <v/>
      </c>
      <c r="L265" s="59" t="str">
        <f aca="false">IF(A265="","",ROUND(J265-K265,2))</f>
        <v/>
      </c>
      <c r="M265" s="55" t="str">
        <f aca="false">IF(A265="","",COUNTIF('بنود السندات'!$A$5:$A$3004,A265))</f>
        <v/>
      </c>
      <c r="N265" s="60" t="str">
        <f aca="false">IF(A265="","",IF(M265=0,"بدون بنود ⚠",IF(L265=0,"متوازن ✔","غير متوازن ✘")))</f>
        <v/>
      </c>
      <c r="O265" s="61" t="str">
        <f aca="false">IF(A265="","","فقط "&amp;IF(INT(ROUND(MAX(J265,K265),2))=0,"صفر",MID(IF(INT(INT(ROUND(MAX(J265,K265),2))/1000000)&gt;0," و"&amp;INDEX(تفقيط!$D$2:$D$1001,INT(INT(ROUND(MAX(J265,K265),2))/1000000)+1),"")&amp;IF(INT(MOD(INT(ROUND(MAX(J265,K265),2)),1000000)/1000)&gt;0," و"&amp;INDEX(تفقيط!$C$2:$C$1001,INT(MOD(INT(ROUND(MAX(J265,K265),2)),1000000)/1000)+1),"")&amp;IF(MOD(INT(ROUND(MAX(J265,K265),2)),1000)&gt;0," و"&amp;INDEX(تفقيط!$B$2:$B$1001,MOD(INT(ROUND(MAX(J265,K265),2)),1000)+1),""),3,400))&amp;" "&amp;CUR&amp;IF(ROUND((ROUND(MAX(J265,K265),2)-INT(ROUND(MAX(J265,K265),2)))*100,0)&gt;0," و"&amp;INDEX(تفقيط!$E$2:$E$1001,ROUND((ROUND(MAX(J265,K265),2)-INT(ROUND(MAX(J265,K265),2)))*100,0)+1),"")&amp;" لا غير")</f>
        <v/>
      </c>
    </row>
    <row r="266" customFormat="false" ht="15" hidden="false" customHeight="false" outlineLevel="0" collapsed="false">
      <c r="A266" s="62" t="str">
        <f aca="false">IF(C266="","",START_NO+COUNT(C$5:C266)-1)</f>
        <v/>
      </c>
      <c r="B266" s="63" t="str">
        <f aca="false">IF(A266="","",PREFIX&amp;"-"&amp;TEXT(C266,"yyyy")&amp;"-"&amp;A266)</f>
        <v/>
      </c>
      <c r="C266" s="56"/>
      <c r="D266" s="57"/>
      <c r="E266" s="58"/>
      <c r="F266" s="58"/>
      <c r="G266" s="57"/>
      <c r="H266" s="57"/>
      <c r="I266" s="57"/>
      <c r="J266" s="64" t="str">
        <f aca="false">IF(A266="","",SUMIFS('بنود السندات'!$F$5:$F$3004,'بنود السندات'!$A$5:$A$3004,A266))</f>
        <v/>
      </c>
      <c r="K266" s="64" t="str">
        <f aca="false">IF(A266="","",SUMIFS('بنود السندات'!$G$5:$G$3004,'بنود السندات'!$A$5:$A$3004,A266))</f>
        <v/>
      </c>
      <c r="L266" s="64" t="str">
        <f aca="false">IF(A266="","",ROUND(J266-K266,2))</f>
        <v/>
      </c>
      <c r="M266" s="63" t="str">
        <f aca="false">IF(A266="","",COUNTIF('بنود السندات'!$A$5:$A$3004,A266))</f>
        <v/>
      </c>
      <c r="N266" s="65" t="str">
        <f aca="false">IF(A266="","",IF(M266=0,"بدون بنود ⚠",IF(L266=0,"متوازن ✔","غير متوازن ✘")))</f>
        <v/>
      </c>
      <c r="O266" s="66" t="str">
        <f aca="false">IF(A266="","","فقط "&amp;IF(INT(ROUND(MAX(J266,K266),2))=0,"صفر",MID(IF(INT(INT(ROUND(MAX(J266,K266),2))/1000000)&gt;0," و"&amp;INDEX(تفقيط!$D$2:$D$1001,INT(INT(ROUND(MAX(J266,K266),2))/1000000)+1),"")&amp;IF(INT(MOD(INT(ROUND(MAX(J266,K266),2)),1000000)/1000)&gt;0," و"&amp;INDEX(تفقيط!$C$2:$C$1001,INT(MOD(INT(ROUND(MAX(J266,K266),2)),1000000)/1000)+1),"")&amp;IF(MOD(INT(ROUND(MAX(J266,K266),2)),1000)&gt;0," و"&amp;INDEX(تفقيط!$B$2:$B$1001,MOD(INT(ROUND(MAX(J266,K266),2)),1000)+1),""),3,400))&amp;" "&amp;CUR&amp;IF(ROUND((ROUND(MAX(J266,K266),2)-INT(ROUND(MAX(J266,K266),2)))*100,0)&gt;0," و"&amp;INDEX(تفقيط!$E$2:$E$1001,ROUND((ROUND(MAX(J266,K266),2)-INT(ROUND(MAX(J266,K266),2)))*100,0)+1),"")&amp;" لا غير")</f>
        <v/>
      </c>
    </row>
    <row r="267" customFormat="false" ht="15" hidden="false" customHeight="false" outlineLevel="0" collapsed="false">
      <c r="A267" s="54" t="str">
        <f aca="false">IF(C267="","",START_NO+COUNT(C$5:C267)-1)</f>
        <v/>
      </c>
      <c r="B267" s="55" t="str">
        <f aca="false">IF(A267="","",PREFIX&amp;"-"&amp;TEXT(C267,"yyyy")&amp;"-"&amp;A267)</f>
        <v/>
      </c>
      <c r="C267" s="56"/>
      <c r="D267" s="57"/>
      <c r="E267" s="58"/>
      <c r="F267" s="58"/>
      <c r="G267" s="57"/>
      <c r="H267" s="57"/>
      <c r="I267" s="57"/>
      <c r="J267" s="59" t="str">
        <f aca="false">IF(A267="","",SUMIFS('بنود السندات'!$F$5:$F$3004,'بنود السندات'!$A$5:$A$3004,A267))</f>
        <v/>
      </c>
      <c r="K267" s="59" t="str">
        <f aca="false">IF(A267="","",SUMIFS('بنود السندات'!$G$5:$G$3004,'بنود السندات'!$A$5:$A$3004,A267))</f>
        <v/>
      </c>
      <c r="L267" s="59" t="str">
        <f aca="false">IF(A267="","",ROUND(J267-K267,2))</f>
        <v/>
      </c>
      <c r="M267" s="55" t="str">
        <f aca="false">IF(A267="","",COUNTIF('بنود السندات'!$A$5:$A$3004,A267))</f>
        <v/>
      </c>
      <c r="N267" s="60" t="str">
        <f aca="false">IF(A267="","",IF(M267=0,"بدون بنود ⚠",IF(L267=0,"متوازن ✔","غير متوازن ✘")))</f>
        <v/>
      </c>
      <c r="O267" s="61" t="str">
        <f aca="false">IF(A267="","","فقط "&amp;IF(INT(ROUND(MAX(J267,K267),2))=0,"صفر",MID(IF(INT(INT(ROUND(MAX(J267,K267),2))/1000000)&gt;0," و"&amp;INDEX(تفقيط!$D$2:$D$1001,INT(INT(ROUND(MAX(J267,K267),2))/1000000)+1),"")&amp;IF(INT(MOD(INT(ROUND(MAX(J267,K267),2)),1000000)/1000)&gt;0," و"&amp;INDEX(تفقيط!$C$2:$C$1001,INT(MOD(INT(ROUND(MAX(J267,K267),2)),1000000)/1000)+1),"")&amp;IF(MOD(INT(ROUND(MAX(J267,K267),2)),1000)&gt;0," و"&amp;INDEX(تفقيط!$B$2:$B$1001,MOD(INT(ROUND(MAX(J267,K267),2)),1000)+1),""),3,400))&amp;" "&amp;CUR&amp;IF(ROUND((ROUND(MAX(J267,K267),2)-INT(ROUND(MAX(J267,K267),2)))*100,0)&gt;0," و"&amp;INDEX(تفقيط!$E$2:$E$1001,ROUND((ROUND(MAX(J267,K267),2)-INT(ROUND(MAX(J267,K267),2)))*100,0)+1),"")&amp;" لا غير")</f>
        <v/>
      </c>
    </row>
    <row r="268" customFormat="false" ht="15" hidden="false" customHeight="false" outlineLevel="0" collapsed="false">
      <c r="A268" s="62" t="str">
        <f aca="false">IF(C268="","",START_NO+COUNT(C$5:C268)-1)</f>
        <v/>
      </c>
      <c r="B268" s="63" t="str">
        <f aca="false">IF(A268="","",PREFIX&amp;"-"&amp;TEXT(C268,"yyyy")&amp;"-"&amp;A268)</f>
        <v/>
      </c>
      <c r="C268" s="56"/>
      <c r="D268" s="57"/>
      <c r="E268" s="58"/>
      <c r="F268" s="58"/>
      <c r="G268" s="57"/>
      <c r="H268" s="57"/>
      <c r="I268" s="57"/>
      <c r="J268" s="64" t="str">
        <f aca="false">IF(A268="","",SUMIFS('بنود السندات'!$F$5:$F$3004,'بنود السندات'!$A$5:$A$3004,A268))</f>
        <v/>
      </c>
      <c r="K268" s="64" t="str">
        <f aca="false">IF(A268="","",SUMIFS('بنود السندات'!$G$5:$G$3004,'بنود السندات'!$A$5:$A$3004,A268))</f>
        <v/>
      </c>
      <c r="L268" s="64" t="str">
        <f aca="false">IF(A268="","",ROUND(J268-K268,2))</f>
        <v/>
      </c>
      <c r="M268" s="63" t="str">
        <f aca="false">IF(A268="","",COUNTIF('بنود السندات'!$A$5:$A$3004,A268))</f>
        <v/>
      </c>
      <c r="N268" s="65" t="str">
        <f aca="false">IF(A268="","",IF(M268=0,"بدون بنود ⚠",IF(L268=0,"متوازن ✔","غير متوازن ✘")))</f>
        <v/>
      </c>
      <c r="O268" s="66" t="str">
        <f aca="false">IF(A268="","","فقط "&amp;IF(INT(ROUND(MAX(J268,K268),2))=0,"صفر",MID(IF(INT(INT(ROUND(MAX(J268,K268),2))/1000000)&gt;0," و"&amp;INDEX(تفقيط!$D$2:$D$1001,INT(INT(ROUND(MAX(J268,K268),2))/1000000)+1),"")&amp;IF(INT(MOD(INT(ROUND(MAX(J268,K268),2)),1000000)/1000)&gt;0," و"&amp;INDEX(تفقيط!$C$2:$C$1001,INT(MOD(INT(ROUND(MAX(J268,K268),2)),1000000)/1000)+1),"")&amp;IF(MOD(INT(ROUND(MAX(J268,K268),2)),1000)&gt;0," و"&amp;INDEX(تفقيط!$B$2:$B$1001,MOD(INT(ROUND(MAX(J268,K268),2)),1000)+1),""),3,400))&amp;" "&amp;CUR&amp;IF(ROUND((ROUND(MAX(J268,K268),2)-INT(ROUND(MAX(J268,K268),2)))*100,0)&gt;0," و"&amp;INDEX(تفقيط!$E$2:$E$1001,ROUND((ROUND(MAX(J268,K268),2)-INT(ROUND(MAX(J268,K268),2)))*100,0)+1),"")&amp;" لا غير")</f>
        <v/>
      </c>
    </row>
    <row r="269" customFormat="false" ht="15" hidden="false" customHeight="false" outlineLevel="0" collapsed="false">
      <c r="A269" s="54" t="str">
        <f aca="false">IF(C269="","",START_NO+COUNT(C$5:C269)-1)</f>
        <v/>
      </c>
      <c r="B269" s="55" t="str">
        <f aca="false">IF(A269="","",PREFIX&amp;"-"&amp;TEXT(C269,"yyyy")&amp;"-"&amp;A269)</f>
        <v/>
      </c>
      <c r="C269" s="56"/>
      <c r="D269" s="57"/>
      <c r="E269" s="58"/>
      <c r="F269" s="58"/>
      <c r="G269" s="57"/>
      <c r="H269" s="57"/>
      <c r="I269" s="57"/>
      <c r="J269" s="59" t="str">
        <f aca="false">IF(A269="","",SUMIFS('بنود السندات'!$F$5:$F$3004,'بنود السندات'!$A$5:$A$3004,A269))</f>
        <v/>
      </c>
      <c r="K269" s="59" t="str">
        <f aca="false">IF(A269="","",SUMIFS('بنود السندات'!$G$5:$G$3004,'بنود السندات'!$A$5:$A$3004,A269))</f>
        <v/>
      </c>
      <c r="L269" s="59" t="str">
        <f aca="false">IF(A269="","",ROUND(J269-K269,2))</f>
        <v/>
      </c>
      <c r="M269" s="55" t="str">
        <f aca="false">IF(A269="","",COUNTIF('بنود السندات'!$A$5:$A$3004,A269))</f>
        <v/>
      </c>
      <c r="N269" s="60" t="str">
        <f aca="false">IF(A269="","",IF(M269=0,"بدون بنود ⚠",IF(L269=0,"متوازن ✔","غير متوازن ✘")))</f>
        <v/>
      </c>
      <c r="O269" s="61" t="str">
        <f aca="false">IF(A269="","","فقط "&amp;IF(INT(ROUND(MAX(J269,K269),2))=0,"صفر",MID(IF(INT(INT(ROUND(MAX(J269,K269),2))/1000000)&gt;0," و"&amp;INDEX(تفقيط!$D$2:$D$1001,INT(INT(ROUND(MAX(J269,K269),2))/1000000)+1),"")&amp;IF(INT(MOD(INT(ROUND(MAX(J269,K269),2)),1000000)/1000)&gt;0," و"&amp;INDEX(تفقيط!$C$2:$C$1001,INT(MOD(INT(ROUND(MAX(J269,K269),2)),1000000)/1000)+1),"")&amp;IF(MOD(INT(ROUND(MAX(J269,K269),2)),1000)&gt;0," و"&amp;INDEX(تفقيط!$B$2:$B$1001,MOD(INT(ROUND(MAX(J269,K269),2)),1000)+1),""),3,400))&amp;" "&amp;CUR&amp;IF(ROUND((ROUND(MAX(J269,K269),2)-INT(ROUND(MAX(J269,K269),2)))*100,0)&gt;0," و"&amp;INDEX(تفقيط!$E$2:$E$1001,ROUND((ROUND(MAX(J269,K269),2)-INT(ROUND(MAX(J269,K269),2)))*100,0)+1),"")&amp;" لا غير")</f>
        <v/>
      </c>
    </row>
    <row r="270" customFormat="false" ht="15" hidden="false" customHeight="false" outlineLevel="0" collapsed="false">
      <c r="A270" s="62" t="str">
        <f aca="false">IF(C270="","",START_NO+COUNT(C$5:C270)-1)</f>
        <v/>
      </c>
      <c r="B270" s="63" t="str">
        <f aca="false">IF(A270="","",PREFIX&amp;"-"&amp;TEXT(C270,"yyyy")&amp;"-"&amp;A270)</f>
        <v/>
      </c>
      <c r="C270" s="56"/>
      <c r="D270" s="57"/>
      <c r="E270" s="58"/>
      <c r="F270" s="58"/>
      <c r="G270" s="57"/>
      <c r="H270" s="57"/>
      <c r="I270" s="57"/>
      <c r="J270" s="64" t="str">
        <f aca="false">IF(A270="","",SUMIFS('بنود السندات'!$F$5:$F$3004,'بنود السندات'!$A$5:$A$3004,A270))</f>
        <v/>
      </c>
      <c r="K270" s="64" t="str">
        <f aca="false">IF(A270="","",SUMIFS('بنود السندات'!$G$5:$G$3004,'بنود السندات'!$A$5:$A$3004,A270))</f>
        <v/>
      </c>
      <c r="L270" s="64" t="str">
        <f aca="false">IF(A270="","",ROUND(J270-K270,2))</f>
        <v/>
      </c>
      <c r="M270" s="63" t="str">
        <f aca="false">IF(A270="","",COUNTIF('بنود السندات'!$A$5:$A$3004,A270))</f>
        <v/>
      </c>
      <c r="N270" s="65" t="str">
        <f aca="false">IF(A270="","",IF(M270=0,"بدون بنود ⚠",IF(L270=0,"متوازن ✔","غير متوازن ✘")))</f>
        <v/>
      </c>
      <c r="O270" s="66" t="str">
        <f aca="false">IF(A270="","","فقط "&amp;IF(INT(ROUND(MAX(J270,K270),2))=0,"صفر",MID(IF(INT(INT(ROUND(MAX(J270,K270),2))/1000000)&gt;0," و"&amp;INDEX(تفقيط!$D$2:$D$1001,INT(INT(ROUND(MAX(J270,K270),2))/1000000)+1),"")&amp;IF(INT(MOD(INT(ROUND(MAX(J270,K270),2)),1000000)/1000)&gt;0," و"&amp;INDEX(تفقيط!$C$2:$C$1001,INT(MOD(INT(ROUND(MAX(J270,K270),2)),1000000)/1000)+1),"")&amp;IF(MOD(INT(ROUND(MAX(J270,K270),2)),1000)&gt;0," و"&amp;INDEX(تفقيط!$B$2:$B$1001,MOD(INT(ROUND(MAX(J270,K270),2)),1000)+1),""),3,400))&amp;" "&amp;CUR&amp;IF(ROUND((ROUND(MAX(J270,K270),2)-INT(ROUND(MAX(J270,K270),2)))*100,0)&gt;0," و"&amp;INDEX(تفقيط!$E$2:$E$1001,ROUND((ROUND(MAX(J270,K270),2)-INT(ROUND(MAX(J270,K270),2)))*100,0)+1),"")&amp;" لا غير")</f>
        <v/>
      </c>
    </row>
    <row r="271" customFormat="false" ht="15" hidden="false" customHeight="false" outlineLevel="0" collapsed="false">
      <c r="A271" s="54" t="str">
        <f aca="false">IF(C271="","",START_NO+COUNT(C$5:C271)-1)</f>
        <v/>
      </c>
      <c r="B271" s="55" t="str">
        <f aca="false">IF(A271="","",PREFIX&amp;"-"&amp;TEXT(C271,"yyyy")&amp;"-"&amp;A271)</f>
        <v/>
      </c>
      <c r="C271" s="56"/>
      <c r="D271" s="57"/>
      <c r="E271" s="58"/>
      <c r="F271" s="58"/>
      <c r="G271" s="57"/>
      <c r="H271" s="57"/>
      <c r="I271" s="57"/>
      <c r="J271" s="59" t="str">
        <f aca="false">IF(A271="","",SUMIFS('بنود السندات'!$F$5:$F$3004,'بنود السندات'!$A$5:$A$3004,A271))</f>
        <v/>
      </c>
      <c r="K271" s="59" t="str">
        <f aca="false">IF(A271="","",SUMIFS('بنود السندات'!$G$5:$G$3004,'بنود السندات'!$A$5:$A$3004,A271))</f>
        <v/>
      </c>
      <c r="L271" s="59" t="str">
        <f aca="false">IF(A271="","",ROUND(J271-K271,2))</f>
        <v/>
      </c>
      <c r="M271" s="55" t="str">
        <f aca="false">IF(A271="","",COUNTIF('بنود السندات'!$A$5:$A$3004,A271))</f>
        <v/>
      </c>
      <c r="N271" s="60" t="str">
        <f aca="false">IF(A271="","",IF(M271=0,"بدون بنود ⚠",IF(L271=0,"متوازن ✔","غير متوازن ✘")))</f>
        <v/>
      </c>
      <c r="O271" s="61" t="str">
        <f aca="false">IF(A271="","","فقط "&amp;IF(INT(ROUND(MAX(J271,K271),2))=0,"صفر",MID(IF(INT(INT(ROUND(MAX(J271,K271),2))/1000000)&gt;0," و"&amp;INDEX(تفقيط!$D$2:$D$1001,INT(INT(ROUND(MAX(J271,K271),2))/1000000)+1),"")&amp;IF(INT(MOD(INT(ROUND(MAX(J271,K271),2)),1000000)/1000)&gt;0," و"&amp;INDEX(تفقيط!$C$2:$C$1001,INT(MOD(INT(ROUND(MAX(J271,K271),2)),1000000)/1000)+1),"")&amp;IF(MOD(INT(ROUND(MAX(J271,K271),2)),1000)&gt;0," و"&amp;INDEX(تفقيط!$B$2:$B$1001,MOD(INT(ROUND(MAX(J271,K271),2)),1000)+1),""),3,400))&amp;" "&amp;CUR&amp;IF(ROUND((ROUND(MAX(J271,K271),2)-INT(ROUND(MAX(J271,K271),2)))*100,0)&gt;0," و"&amp;INDEX(تفقيط!$E$2:$E$1001,ROUND((ROUND(MAX(J271,K271),2)-INT(ROUND(MAX(J271,K271),2)))*100,0)+1),"")&amp;" لا غير")</f>
        <v/>
      </c>
    </row>
    <row r="272" customFormat="false" ht="15" hidden="false" customHeight="false" outlineLevel="0" collapsed="false">
      <c r="A272" s="62" t="str">
        <f aca="false">IF(C272="","",START_NO+COUNT(C$5:C272)-1)</f>
        <v/>
      </c>
      <c r="B272" s="63" t="str">
        <f aca="false">IF(A272="","",PREFIX&amp;"-"&amp;TEXT(C272,"yyyy")&amp;"-"&amp;A272)</f>
        <v/>
      </c>
      <c r="C272" s="56"/>
      <c r="D272" s="57"/>
      <c r="E272" s="58"/>
      <c r="F272" s="58"/>
      <c r="G272" s="57"/>
      <c r="H272" s="57"/>
      <c r="I272" s="57"/>
      <c r="J272" s="64" t="str">
        <f aca="false">IF(A272="","",SUMIFS('بنود السندات'!$F$5:$F$3004,'بنود السندات'!$A$5:$A$3004,A272))</f>
        <v/>
      </c>
      <c r="K272" s="64" t="str">
        <f aca="false">IF(A272="","",SUMIFS('بنود السندات'!$G$5:$G$3004,'بنود السندات'!$A$5:$A$3004,A272))</f>
        <v/>
      </c>
      <c r="L272" s="64" t="str">
        <f aca="false">IF(A272="","",ROUND(J272-K272,2))</f>
        <v/>
      </c>
      <c r="M272" s="63" t="str">
        <f aca="false">IF(A272="","",COUNTIF('بنود السندات'!$A$5:$A$3004,A272))</f>
        <v/>
      </c>
      <c r="N272" s="65" t="str">
        <f aca="false">IF(A272="","",IF(M272=0,"بدون بنود ⚠",IF(L272=0,"متوازن ✔","غير متوازن ✘")))</f>
        <v/>
      </c>
      <c r="O272" s="66" t="str">
        <f aca="false">IF(A272="","","فقط "&amp;IF(INT(ROUND(MAX(J272,K272),2))=0,"صفر",MID(IF(INT(INT(ROUND(MAX(J272,K272),2))/1000000)&gt;0," و"&amp;INDEX(تفقيط!$D$2:$D$1001,INT(INT(ROUND(MAX(J272,K272),2))/1000000)+1),"")&amp;IF(INT(MOD(INT(ROUND(MAX(J272,K272),2)),1000000)/1000)&gt;0," و"&amp;INDEX(تفقيط!$C$2:$C$1001,INT(MOD(INT(ROUND(MAX(J272,K272),2)),1000000)/1000)+1),"")&amp;IF(MOD(INT(ROUND(MAX(J272,K272),2)),1000)&gt;0," و"&amp;INDEX(تفقيط!$B$2:$B$1001,MOD(INT(ROUND(MAX(J272,K272),2)),1000)+1),""),3,400))&amp;" "&amp;CUR&amp;IF(ROUND((ROUND(MAX(J272,K272),2)-INT(ROUND(MAX(J272,K272),2)))*100,0)&gt;0," و"&amp;INDEX(تفقيط!$E$2:$E$1001,ROUND((ROUND(MAX(J272,K272),2)-INT(ROUND(MAX(J272,K272),2)))*100,0)+1),"")&amp;" لا غير")</f>
        <v/>
      </c>
    </row>
    <row r="273" customFormat="false" ht="15" hidden="false" customHeight="false" outlineLevel="0" collapsed="false">
      <c r="A273" s="54" t="str">
        <f aca="false">IF(C273="","",START_NO+COUNT(C$5:C273)-1)</f>
        <v/>
      </c>
      <c r="B273" s="55" t="str">
        <f aca="false">IF(A273="","",PREFIX&amp;"-"&amp;TEXT(C273,"yyyy")&amp;"-"&amp;A273)</f>
        <v/>
      </c>
      <c r="C273" s="56"/>
      <c r="D273" s="57"/>
      <c r="E273" s="58"/>
      <c r="F273" s="58"/>
      <c r="G273" s="57"/>
      <c r="H273" s="57"/>
      <c r="I273" s="57"/>
      <c r="J273" s="59" t="str">
        <f aca="false">IF(A273="","",SUMIFS('بنود السندات'!$F$5:$F$3004,'بنود السندات'!$A$5:$A$3004,A273))</f>
        <v/>
      </c>
      <c r="K273" s="59" t="str">
        <f aca="false">IF(A273="","",SUMIFS('بنود السندات'!$G$5:$G$3004,'بنود السندات'!$A$5:$A$3004,A273))</f>
        <v/>
      </c>
      <c r="L273" s="59" t="str">
        <f aca="false">IF(A273="","",ROUND(J273-K273,2))</f>
        <v/>
      </c>
      <c r="M273" s="55" t="str">
        <f aca="false">IF(A273="","",COUNTIF('بنود السندات'!$A$5:$A$3004,A273))</f>
        <v/>
      </c>
      <c r="N273" s="60" t="str">
        <f aca="false">IF(A273="","",IF(M273=0,"بدون بنود ⚠",IF(L273=0,"متوازن ✔","غير متوازن ✘")))</f>
        <v/>
      </c>
      <c r="O273" s="61" t="str">
        <f aca="false">IF(A273="","","فقط "&amp;IF(INT(ROUND(MAX(J273,K273),2))=0,"صفر",MID(IF(INT(INT(ROUND(MAX(J273,K273),2))/1000000)&gt;0," و"&amp;INDEX(تفقيط!$D$2:$D$1001,INT(INT(ROUND(MAX(J273,K273),2))/1000000)+1),"")&amp;IF(INT(MOD(INT(ROUND(MAX(J273,K273),2)),1000000)/1000)&gt;0," و"&amp;INDEX(تفقيط!$C$2:$C$1001,INT(MOD(INT(ROUND(MAX(J273,K273),2)),1000000)/1000)+1),"")&amp;IF(MOD(INT(ROUND(MAX(J273,K273),2)),1000)&gt;0," و"&amp;INDEX(تفقيط!$B$2:$B$1001,MOD(INT(ROUND(MAX(J273,K273),2)),1000)+1),""),3,400))&amp;" "&amp;CUR&amp;IF(ROUND((ROUND(MAX(J273,K273),2)-INT(ROUND(MAX(J273,K273),2)))*100,0)&gt;0," و"&amp;INDEX(تفقيط!$E$2:$E$1001,ROUND((ROUND(MAX(J273,K273),2)-INT(ROUND(MAX(J273,K273),2)))*100,0)+1),"")&amp;" لا غير")</f>
        <v/>
      </c>
    </row>
    <row r="274" customFormat="false" ht="15" hidden="false" customHeight="false" outlineLevel="0" collapsed="false">
      <c r="A274" s="62" t="str">
        <f aca="false">IF(C274="","",START_NO+COUNT(C$5:C274)-1)</f>
        <v/>
      </c>
      <c r="B274" s="63" t="str">
        <f aca="false">IF(A274="","",PREFIX&amp;"-"&amp;TEXT(C274,"yyyy")&amp;"-"&amp;A274)</f>
        <v/>
      </c>
      <c r="C274" s="56"/>
      <c r="D274" s="57"/>
      <c r="E274" s="58"/>
      <c r="F274" s="58"/>
      <c r="G274" s="57"/>
      <c r="H274" s="57"/>
      <c r="I274" s="57"/>
      <c r="J274" s="64" t="str">
        <f aca="false">IF(A274="","",SUMIFS('بنود السندات'!$F$5:$F$3004,'بنود السندات'!$A$5:$A$3004,A274))</f>
        <v/>
      </c>
      <c r="K274" s="64" t="str">
        <f aca="false">IF(A274="","",SUMIFS('بنود السندات'!$G$5:$G$3004,'بنود السندات'!$A$5:$A$3004,A274))</f>
        <v/>
      </c>
      <c r="L274" s="64" t="str">
        <f aca="false">IF(A274="","",ROUND(J274-K274,2))</f>
        <v/>
      </c>
      <c r="M274" s="63" t="str">
        <f aca="false">IF(A274="","",COUNTIF('بنود السندات'!$A$5:$A$3004,A274))</f>
        <v/>
      </c>
      <c r="N274" s="65" t="str">
        <f aca="false">IF(A274="","",IF(M274=0,"بدون بنود ⚠",IF(L274=0,"متوازن ✔","غير متوازن ✘")))</f>
        <v/>
      </c>
      <c r="O274" s="66" t="str">
        <f aca="false">IF(A274="","","فقط "&amp;IF(INT(ROUND(MAX(J274,K274),2))=0,"صفر",MID(IF(INT(INT(ROUND(MAX(J274,K274),2))/1000000)&gt;0," و"&amp;INDEX(تفقيط!$D$2:$D$1001,INT(INT(ROUND(MAX(J274,K274),2))/1000000)+1),"")&amp;IF(INT(MOD(INT(ROUND(MAX(J274,K274),2)),1000000)/1000)&gt;0," و"&amp;INDEX(تفقيط!$C$2:$C$1001,INT(MOD(INT(ROUND(MAX(J274,K274),2)),1000000)/1000)+1),"")&amp;IF(MOD(INT(ROUND(MAX(J274,K274),2)),1000)&gt;0," و"&amp;INDEX(تفقيط!$B$2:$B$1001,MOD(INT(ROUND(MAX(J274,K274),2)),1000)+1),""),3,400))&amp;" "&amp;CUR&amp;IF(ROUND((ROUND(MAX(J274,K274),2)-INT(ROUND(MAX(J274,K274),2)))*100,0)&gt;0," و"&amp;INDEX(تفقيط!$E$2:$E$1001,ROUND((ROUND(MAX(J274,K274),2)-INT(ROUND(MAX(J274,K274),2)))*100,0)+1),"")&amp;" لا غير")</f>
        <v/>
      </c>
    </row>
    <row r="275" customFormat="false" ht="15" hidden="false" customHeight="false" outlineLevel="0" collapsed="false">
      <c r="A275" s="54" t="str">
        <f aca="false">IF(C275="","",START_NO+COUNT(C$5:C275)-1)</f>
        <v/>
      </c>
      <c r="B275" s="55" t="str">
        <f aca="false">IF(A275="","",PREFIX&amp;"-"&amp;TEXT(C275,"yyyy")&amp;"-"&amp;A275)</f>
        <v/>
      </c>
      <c r="C275" s="56"/>
      <c r="D275" s="57"/>
      <c r="E275" s="58"/>
      <c r="F275" s="58"/>
      <c r="G275" s="57"/>
      <c r="H275" s="57"/>
      <c r="I275" s="57"/>
      <c r="J275" s="59" t="str">
        <f aca="false">IF(A275="","",SUMIFS('بنود السندات'!$F$5:$F$3004,'بنود السندات'!$A$5:$A$3004,A275))</f>
        <v/>
      </c>
      <c r="K275" s="59" t="str">
        <f aca="false">IF(A275="","",SUMIFS('بنود السندات'!$G$5:$G$3004,'بنود السندات'!$A$5:$A$3004,A275))</f>
        <v/>
      </c>
      <c r="L275" s="59" t="str">
        <f aca="false">IF(A275="","",ROUND(J275-K275,2))</f>
        <v/>
      </c>
      <c r="M275" s="55" t="str">
        <f aca="false">IF(A275="","",COUNTIF('بنود السندات'!$A$5:$A$3004,A275))</f>
        <v/>
      </c>
      <c r="N275" s="60" t="str">
        <f aca="false">IF(A275="","",IF(M275=0,"بدون بنود ⚠",IF(L275=0,"متوازن ✔","غير متوازن ✘")))</f>
        <v/>
      </c>
      <c r="O275" s="61" t="str">
        <f aca="false">IF(A275="","","فقط "&amp;IF(INT(ROUND(MAX(J275,K275),2))=0,"صفر",MID(IF(INT(INT(ROUND(MAX(J275,K275),2))/1000000)&gt;0," و"&amp;INDEX(تفقيط!$D$2:$D$1001,INT(INT(ROUND(MAX(J275,K275),2))/1000000)+1),"")&amp;IF(INT(MOD(INT(ROUND(MAX(J275,K275),2)),1000000)/1000)&gt;0," و"&amp;INDEX(تفقيط!$C$2:$C$1001,INT(MOD(INT(ROUND(MAX(J275,K275),2)),1000000)/1000)+1),"")&amp;IF(MOD(INT(ROUND(MAX(J275,K275),2)),1000)&gt;0," و"&amp;INDEX(تفقيط!$B$2:$B$1001,MOD(INT(ROUND(MAX(J275,K275),2)),1000)+1),""),3,400))&amp;" "&amp;CUR&amp;IF(ROUND((ROUND(MAX(J275,K275),2)-INT(ROUND(MAX(J275,K275),2)))*100,0)&gt;0," و"&amp;INDEX(تفقيط!$E$2:$E$1001,ROUND((ROUND(MAX(J275,K275),2)-INT(ROUND(MAX(J275,K275),2)))*100,0)+1),"")&amp;" لا غير")</f>
        <v/>
      </c>
    </row>
    <row r="276" customFormat="false" ht="15" hidden="false" customHeight="false" outlineLevel="0" collapsed="false">
      <c r="A276" s="62" t="str">
        <f aca="false">IF(C276="","",START_NO+COUNT(C$5:C276)-1)</f>
        <v/>
      </c>
      <c r="B276" s="63" t="str">
        <f aca="false">IF(A276="","",PREFIX&amp;"-"&amp;TEXT(C276,"yyyy")&amp;"-"&amp;A276)</f>
        <v/>
      </c>
      <c r="C276" s="56"/>
      <c r="D276" s="57"/>
      <c r="E276" s="58"/>
      <c r="F276" s="58"/>
      <c r="G276" s="57"/>
      <c r="H276" s="57"/>
      <c r="I276" s="57"/>
      <c r="J276" s="64" t="str">
        <f aca="false">IF(A276="","",SUMIFS('بنود السندات'!$F$5:$F$3004,'بنود السندات'!$A$5:$A$3004,A276))</f>
        <v/>
      </c>
      <c r="K276" s="64" t="str">
        <f aca="false">IF(A276="","",SUMIFS('بنود السندات'!$G$5:$G$3004,'بنود السندات'!$A$5:$A$3004,A276))</f>
        <v/>
      </c>
      <c r="L276" s="64" t="str">
        <f aca="false">IF(A276="","",ROUND(J276-K276,2))</f>
        <v/>
      </c>
      <c r="M276" s="63" t="str">
        <f aca="false">IF(A276="","",COUNTIF('بنود السندات'!$A$5:$A$3004,A276))</f>
        <v/>
      </c>
      <c r="N276" s="65" t="str">
        <f aca="false">IF(A276="","",IF(M276=0,"بدون بنود ⚠",IF(L276=0,"متوازن ✔","غير متوازن ✘")))</f>
        <v/>
      </c>
      <c r="O276" s="66" t="str">
        <f aca="false">IF(A276="","","فقط "&amp;IF(INT(ROUND(MAX(J276,K276),2))=0,"صفر",MID(IF(INT(INT(ROUND(MAX(J276,K276),2))/1000000)&gt;0," و"&amp;INDEX(تفقيط!$D$2:$D$1001,INT(INT(ROUND(MAX(J276,K276),2))/1000000)+1),"")&amp;IF(INT(MOD(INT(ROUND(MAX(J276,K276),2)),1000000)/1000)&gt;0," و"&amp;INDEX(تفقيط!$C$2:$C$1001,INT(MOD(INT(ROUND(MAX(J276,K276),2)),1000000)/1000)+1),"")&amp;IF(MOD(INT(ROUND(MAX(J276,K276),2)),1000)&gt;0," و"&amp;INDEX(تفقيط!$B$2:$B$1001,MOD(INT(ROUND(MAX(J276,K276),2)),1000)+1),""),3,400))&amp;" "&amp;CUR&amp;IF(ROUND((ROUND(MAX(J276,K276),2)-INT(ROUND(MAX(J276,K276),2)))*100,0)&gt;0," و"&amp;INDEX(تفقيط!$E$2:$E$1001,ROUND((ROUND(MAX(J276,K276),2)-INT(ROUND(MAX(J276,K276),2)))*100,0)+1),"")&amp;" لا غير")</f>
        <v/>
      </c>
    </row>
    <row r="277" customFormat="false" ht="15" hidden="false" customHeight="false" outlineLevel="0" collapsed="false">
      <c r="A277" s="54" t="str">
        <f aca="false">IF(C277="","",START_NO+COUNT(C$5:C277)-1)</f>
        <v/>
      </c>
      <c r="B277" s="55" t="str">
        <f aca="false">IF(A277="","",PREFIX&amp;"-"&amp;TEXT(C277,"yyyy")&amp;"-"&amp;A277)</f>
        <v/>
      </c>
      <c r="C277" s="56"/>
      <c r="D277" s="57"/>
      <c r="E277" s="58"/>
      <c r="F277" s="58"/>
      <c r="G277" s="57"/>
      <c r="H277" s="57"/>
      <c r="I277" s="57"/>
      <c r="J277" s="59" t="str">
        <f aca="false">IF(A277="","",SUMIFS('بنود السندات'!$F$5:$F$3004,'بنود السندات'!$A$5:$A$3004,A277))</f>
        <v/>
      </c>
      <c r="K277" s="59" t="str">
        <f aca="false">IF(A277="","",SUMIFS('بنود السندات'!$G$5:$G$3004,'بنود السندات'!$A$5:$A$3004,A277))</f>
        <v/>
      </c>
      <c r="L277" s="59" t="str">
        <f aca="false">IF(A277="","",ROUND(J277-K277,2))</f>
        <v/>
      </c>
      <c r="M277" s="55" t="str">
        <f aca="false">IF(A277="","",COUNTIF('بنود السندات'!$A$5:$A$3004,A277))</f>
        <v/>
      </c>
      <c r="N277" s="60" t="str">
        <f aca="false">IF(A277="","",IF(M277=0,"بدون بنود ⚠",IF(L277=0,"متوازن ✔","غير متوازن ✘")))</f>
        <v/>
      </c>
      <c r="O277" s="61" t="str">
        <f aca="false">IF(A277="","","فقط "&amp;IF(INT(ROUND(MAX(J277,K277),2))=0,"صفر",MID(IF(INT(INT(ROUND(MAX(J277,K277),2))/1000000)&gt;0," و"&amp;INDEX(تفقيط!$D$2:$D$1001,INT(INT(ROUND(MAX(J277,K277),2))/1000000)+1),"")&amp;IF(INT(MOD(INT(ROUND(MAX(J277,K277),2)),1000000)/1000)&gt;0," و"&amp;INDEX(تفقيط!$C$2:$C$1001,INT(MOD(INT(ROUND(MAX(J277,K277),2)),1000000)/1000)+1),"")&amp;IF(MOD(INT(ROUND(MAX(J277,K277),2)),1000)&gt;0," و"&amp;INDEX(تفقيط!$B$2:$B$1001,MOD(INT(ROUND(MAX(J277,K277),2)),1000)+1),""),3,400))&amp;" "&amp;CUR&amp;IF(ROUND((ROUND(MAX(J277,K277),2)-INT(ROUND(MAX(J277,K277),2)))*100,0)&gt;0," و"&amp;INDEX(تفقيط!$E$2:$E$1001,ROUND((ROUND(MAX(J277,K277),2)-INT(ROUND(MAX(J277,K277),2)))*100,0)+1),"")&amp;" لا غير")</f>
        <v/>
      </c>
    </row>
    <row r="278" customFormat="false" ht="15" hidden="false" customHeight="false" outlineLevel="0" collapsed="false">
      <c r="A278" s="62" t="str">
        <f aca="false">IF(C278="","",START_NO+COUNT(C$5:C278)-1)</f>
        <v/>
      </c>
      <c r="B278" s="63" t="str">
        <f aca="false">IF(A278="","",PREFIX&amp;"-"&amp;TEXT(C278,"yyyy")&amp;"-"&amp;A278)</f>
        <v/>
      </c>
      <c r="C278" s="56"/>
      <c r="D278" s="57"/>
      <c r="E278" s="58"/>
      <c r="F278" s="58"/>
      <c r="G278" s="57"/>
      <c r="H278" s="57"/>
      <c r="I278" s="57"/>
      <c r="J278" s="64" t="str">
        <f aca="false">IF(A278="","",SUMIFS('بنود السندات'!$F$5:$F$3004,'بنود السندات'!$A$5:$A$3004,A278))</f>
        <v/>
      </c>
      <c r="K278" s="64" t="str">
        <f aca="false">IF(A278="","",SUMIFS('بنود السندات'!$G$5:$G$3004,'بنود السندات'!$A$5:$A$3004,A278))</f>
        <v/>
      </c>
      <c r="L278" s="64" t="str">
        <f aca="false">IF(A278="","",ROUND(J278-K278,2))</f>
        <v/>
      </c>
      <c r="M278" s="63" t="str">
        <f aca="false">IF(A278="","",COUNTIF('بنود السندات'!$A$5:$A$3004,A278))</f>
        <v/>
      </c>
      <c r="N278" s="65" t="str">
        <f aca="false">IF(A278="","",IF(M278=0,"بدون بنود ⚠",IF(L278=0,"متوازن ✔","غير متوازن ✘")))</f>
        <v/>
      </c>
      <c r="O278" s="66" t="str">
        <f aca="false">IF(A278="","","فقط "&amp;IF(INT(ROUND(MAX(J278,K278),2))=0,"صفر",MID(IF(INT(INT(ROUND(MAX(J278,K278),2))/1000000)&gt;0," و"&amp;INDEX(تفقيط!$D$2:$D$1001,INT(INT(ROUND(MAX(J278,K278),2))/1000000)+1),"")&amp;IF(INT(MOD(INT(ROUND(MAX(J278,K278),2)),1000000)/1000)&gt;0," و"&amp;INDEX(تفقيط!$C$2:$C$1001,INT(MOD(INT(ROUND(MAX(J278,K278),2)),1000000)/1000)+1),"")&amp;IF(MOD(INT(ROUND(MAX(J278,K278),2)),1000)&gt;0," و"&amp;INDEX(تفقيط!$B$2:$B$1001,MOD(INT(ROUND(MAX(J278,K278),2)),1000)+1),""),3,400))&amp;" "&amp;CUR&amp;IF(ROUND((ROUND(MAX(J278,K278),2)-INT(ROUND(MAX(J278,K278),2)))*100,0)&gt;0," و"&amp;INDEX(تفقيط!$E$2:$E$1001,ROUND((ROUND(MAX(J278,K278),2)-INT(ROUND(MAX(J278,K278),2)))*100,0)+1),"")&amp;" لا غير")</f>
        <v/>
      </c>
    </row>
    <row r="279" customFormat="false" ht="15" hidden="false" customHeight="false" outlineLevel="0" collapsed="false">
      <c r="A279" s="54" t="str">
        <f aca="false">IF(C279="","",START_NO+COUNT(C$5:C279)-1)</f>
        <v/>
      </c>
      <c r="B279" s="55" t="str">
        <f aca="false">IF(A279="","",PREFIX&amp;"-"&amp;TEXT(C279,"yyyy")&amp;"-"&amp;A279)</f>
        <v/>
      </c>
      <c r="C279" s="56"/>
      <c r="D279" s="57"/>
      <c r="E279" s="58"/>
      <c r="F279" s="58"/>
      <c r="G279" s="57"/>
      <c r="H279" s="57"/>
      <c r="I279" s="57"/>
      <c r="J279" s="59" t="str">
        <f aca="false">IF(A279="","",SUMIFS('بنود السندات'!$F$5:$F$3004,'بنود السندات'!$A$5:$A$3004,A279))</f>
        <v/>
      </c>
      <c r="K279" s="59" t="str">
        <f aca="false">IF(A279="","",SUMIFS('بنود السندات'!$G$5:$G$3004,'بنود السندات'!$A$5:$A$3004,A279))</f>
        <v/>
      </c>
      <c r="L279" s="59" t="str">
        <f aca="false">IF(A279="","",ROUND(J279-K279,2))</f>
        <v/>
      </c>
      <c r="M279" s="55" t="str">
        <f aca="false">IF(A279="","",COUNTIF('بنود السندات'!$A$5:$A$3004,A279))</f>
        <v/>
      </c>
      <c r="N279" s="60" t="str">
        <f aca="false">IF(A279="","",IF(M279=0,"بدون بنود ⚠",IF(L279=0,"متوازن ✔","غير متوازن ✘")))</f>
        <v/>
      </c>
      <c r="O279" s="61" t="str">
        <f aca="false">IF(A279="","","فقط "&amp;IF(INT(ROUND(MAX(J279,K279),2))=0,"صفر",MID(IF(INT(INT(ROUND(MAX(J279,K279),2))/1000000)&gt;0," و"&amp;INDEX(تفقيط!$D$2:$D$1001,INT(INT(ROUND(MAX(J279,K279),2))/1000000)+1),"")&amp;IF(INT(MOD(INT(ROUND(MAX(J279,K279),2)),1000000)/1000)&gt;0," و"&amp;INDEX(تفقيط!$C$2:$C$1001,INT(MOD(INT(ROUND(MAX(J279,K279),2)),1000000)/1000)+1),"")&amp;IF(MOD(INT(ROUND(MAX(J279,K279),2)),1000)&gt;0," و"&amp;INDEX(تفقيط!$B$2:$B$1001,MOD(INT(ROUND(MAX(J279,K279),2)),1000)+1),""),3,400))&amp;" "&amp;CUR&amp;IF(ROUND((ROUND(MAX(J279,K279),2)-INT(ROUND(MAX(J279,K279),2)))*100,0)&gt;0," و"&amp;INDEX(تفقيط!$E$2:$E$1001,ROUND((ROUND(MAX(J279,K279),2)-INT(ROUND(MAX(J279,K279),2)))*100,0)+1),"")&amp;" لا غير")</f>
        <v/>
      </c>
    </row>
    <row r="280" customFormat="false" ht="15" hidden="false" customHeight="false" outlineLevel="0" collapsed="false">
      <c r="A280" s="62" t="str">
        <f aca="false">IF(C280="","",START_NO+COUNT(C$5:C280)-1)</f>
        <v/>
      </c>
      <c r="B280" s="63" t="str">
        <f aca="false">IF(A280="","",PREFIX&amp;"-"&amp;TEXT(C280,"yyyy")&amp;"-"&amp;A280)</f>
        <v/>
      </c>
      <c r="C280" s="56"/>
      <c r="D280" s="57"/>
      <c r="E280" s="58"/>
      <c r="F280" s="58"/>
      <c r="G280" s="57"/>
      <c r="H280" s="57"/>
      <c r="I280" s="57"/>
      <c r="J280" s="64" t="str">
        <f aca="false">IF(A280="","",SUMIFS('بنود السندات'!$F$5:$F$3004,'بنود السندات'!$A$5:$A$3004,A280))</f>
        <v/>
      </c>
      <c r="K280" s="64" t="str">
        <f aca="false">IF(A280="","",SUMIFS('بنود السندات'!$G$5:$G$3004,'بنود السندات'!$A$5:$A$3004,A280))</f>
        <v/>
      </c>
      <c r="L280" s="64" t="str">
        <f aca="false">IF(A280="","",ROUND(J280-K280,2))</f>
        <v/>
      </c>
      <c r="M280" s="63" t="str">
        <f aca="false">IF(A280="","",COUNTIF('بنود السندات'!$A$5:$A$3004,A280))</f>
        <v/>
      </c>
      <c r="N280" s="65" t="str">
        <f aca="false">IF(A280="","",IF(M280=0,"بدون بنود ⚠",IF(L280=0,"متوازن ✔","غير متوازن ✘")))</f>
        <v/>
      </c>
      <c r="O280" s="66" t="str">
        <f aca="false">IF(A280="","","فقط "&amp;IF(INT(ROUND(MAX(J280,K280),2))=0,"صفر",MID(IF(INT(INT(ROUND(MAX(J280,K280),2))/1000000)&gt;0," و"&amp;INDEX(تفقيط!$D$2:$D$1001,INT(INT(ROUND(MAX(J280,K280),2))/1000000)+1),"")&amp;IF(INT(MOD(INT(ROUND(MAX(J280,K280),2)),1000000)/1000)&gt;0," و"&amp;INDEX(تفقيط!$C$2:$C$1001,INT(MOD(INT(ROUND(MAX(J280,K280),2)),1000000)/1000)+1),"")&amp;IF(MOD(INT(ROUND(MAX(J280,K280),2)),1000)&gt;0," و"&amp;INDEX(تفقيط!$B$2:$B$1001,MOD(INT(ROUND(MAX(J280,K280),2)),1000)+1),""),3,400))&amp;" "&amp;CUR&amp;IF(ROUND((ROUND(MAX(J280,K280),2)-INT(ROUND(MAX(J280,K280),2)))*100,0)&gt;0," و"&amp;INDEX(تفقيط!$E$2:$E$1001,ROUND((ROUND(MAX(J280,K280),2)-INT(ROUND(MAX(J280,K280),2)))*100,0)+1),"")&amp;" لا غير")</f>
        <v/>
      </c>
    </row>
    <row r="281" customFormat="false" ht="15" hidden="false" customHeight="false" outlineLevel="0" collapsed="false">
      <c r="A281" s="54" t="str">
        <f aca="false">IF(C281="","",START_NO+COUNT(C$5:C281)-1)</f>
        <v/>
      </c>
      <c r="B281" s="55" t="str">
        <f aca="false">IF(A281="","",PREFIX&amp;"-"&amp;TEXT(C281,"yyyy")&amp;"-"&amp;A281)</f>
        <v/>
      </c>
      <c r="C281" s="56"/>
      <c r="D281" s="57"/>
      <c r="E281" s="58"/>
      <c r="F281" s="58"/>
      <c r="G281" s="57"/>
      <c r="H281" s="57"/>
      <c r="I281" s="57"/>
      <c r="J281" s="59" t="str">
        <f aca="false">IF(A281="","",SUMIFS('بنود السندات'!$F$5:$F$3004,'بنود السندات'!$A$5:$A$3004,A281))</f>
        <v/>
      </c>
      <c r="K281" s="59" t="str">
        <f aca="false">IF(A281="","",SUMIFS('بنود السندات'!$G$5:$G$3004,'بنود السندات'!$A$5:$A$3004,A281))</f>
        <v/>
      </c>
      <c r="L281" s="59" t="str">
        <f aca="false">IF(A281="","",ROUND(J281-K281,2))</f>
        <v/>
      </c>
      <c r="M281" s="55" t="str">
        <f aca="false">IF(A281="","",COUNTIF('بنود السندات'!$A$5:$A$3004,A281))</f>
        <v/>
      </c>
      <c r="N281" s="60" t="str">
        <f aca="false">IF(A281="","",IF(M281=0,"بدون بنود ⚠",IF(L281=0,"متوازن ✔","غير متوازن ✘")))</f>
        <v/>
      </c>
      <c r="O281" s="61" t="str">
        <f aca="false">IF(A281="","","فقط "&amp;IF(INT(ROUND(MAX(J281,K281),2))=0,"صفر",MID(IF(INT(INT(ROUND(MAX(J281,K281),2))/1000000)&gt;0," و"&amp;INDEX(تفقيط!$D$2:$D$1001,INT(INT(ROUND(MAX(J281,K281),2))/1000000)+1),"")&amp;IF(INT(MOD(INT(ROUND(MAX(J281,K281),2)),1000000)/1000)&gt;0," و"&amp;INDEX(تفقيط!$C$2:$C$1001,INT(MOD(INT(ROUND(MAX(J281,K281),2)),1000000)/1000)+1),"")&amp;IF(MOD(INT(ROUND(MAX(J281,K281),2)),1000)&gt;0," و"&amp;INDEX(تفقيط!$B$2:$B$1001,MOD(INT(ROUND(MAX(J281,K281),2)),1000)+1),""),3,400))&amp;" "&amp;CUR&amp;IF(ROUND((ROUND(MAX(J281,K281),2)-INT(ROUND(MAX(J281,K281),2)))*100,0)&gt;0," و"&amp;INDEX(تفقيط!$E$2:$E$1001,ROUND((ROUND(MAX(J281,K281),2)-INT(ROUND(MAX(J281,K281),2)))*100,0)+1),"")&amp;" لا غير")</f>
        <v/>
      </c>
    </row>
    <row r="282" customFormat="false" ht="15" hidden="false" customHeight="false" outlineLevel="0" collapsed="false">
      <c r="A282" s="62" t="str">
        <f aca="false">IF(C282="","",START_NO+COUNT(C$5:C282)-1)</f>
        <v/>
      </c>
      <c r="B282" s="63" t="str">
        <f aca="false">IF(A282="","",PREFIX&amp;"-"&amp;TEXT(C282,"yyyy")&amp;"-"&amp;A282)</f>
        <v/>
      </c>
      <c r="C282" s="56"/>
      <c r="D282" s="57"/>
      <c r="E282" s="58"/>
      <c r="F282" s="58"/>
      <c r="G282" s="57"/>
      <c r="H282" s="57"/>
      <c r="I282" s="57"/>
      <c r="J282" s="64" t="str">
        <f aca="false">IF(A282="","",SUMIFS('بنود السندات'!$F$5:$F$3004,'بنود السندات'!$A$5:$A$3004,A282))</f>
        <v/>
      </c>
      <c r="K282" s="64" t="str">
        <f aca="false">IF(A282="","",SUMIFS('بنود السندات'!$G$5:$G$3004,'بنود السندات'!$A$5:$A$3004,A282))</f>
        <v/>
      </c>
      <c r="L282" s="64" t="str">
        <f aca="false">IF(A282="","",ROUND(J282-K282,2))</f>
        <v/>
      </c>
      <c r="M282" s="63" t="str">
        <f aca="false">IF(A282="","",COUNTIF('بنود السندات'!$A$5:$A$3004,A282))</f>
        <v/>
      </c>
      <c r="N282" s="65" t="str">
        <f aca="false">IF(A282="","",IF(M282=0,"بدون بنود ⚠",IF(L282=0,"متوازن ✔","غير متوازن ✘")))</f>
        <v/>
      </c>
      <c r="O282" s="66" t="str">
        <f aca="false">IF(A282="","","فقط "&amp;IF(INT(ROUND(MAX(J282,K282),2))=0,"صفر",MID(IF(INT(INT(ROUND(MAX(J282,K282),2))/1000000)&gt;0," و"&amp;INDEX(تفقيط!$D$2:$D$1001,INT(INT(ROUND(MAX(J282,K282),2))/1000000)+1),"")&amp;IF(INT(MOD(INT(ROUND(MAX(J282,K282),2)),1000000)/1000)&gt;0," و"&amp;INDEX(تفقيط!$C$2:$C$1001,INT(MOD(INT(ROUND(MAX(J282,K282),2)),1000000)/1000)+1),"")&amp;IF(MOD(INT(ROUND(MAX(J282,K282),2)),1000)&gt;0," و"&amp;INDEX(تفقيط!$B$2:$B$1001,MOD(INT(ROUND(MAX(J282,K282),2)),1000)+1),""),3,400))&amp;" "&amp;CUR&amp;IF(ROUND((ROUND(MAX(J282,K282),2)-INT(ROUND(MAX(J282,K282),2)))*100,0)&gt;0," و"&amp;INDEX(تفقيط!$E$2:$E$1001,ROUND((ROUND(MAX(J282,K282),2)-INT(ROUND(MAX(J282,K282),2)))*100,0)+1),"")&amp;" لا غير")</f>
        <v/>
      </c>
    </row>
    <row r="283" customFormat="false" ht="15" hidden="false" customHeight="false" outlineLevel="0" collapsed="false">
      <c r="A283" s="54" t="str">
        <f aca="false">IF(C283="","",START_NO+COUNT(C$5:C283)-1)</f>
        <v/>
      </c>
      <c r="B283" s="55" t="str">
        <f aca="false">IF(A283="","",PREFIX&amp;"-"&amp;TEXT(C283,"yyyy")&amp;"-"&amp;A283)</f>
        <v/>
      </c>
      <c r="C283" s="56"/>
      <c r="D283" s="57"/>
      <c r="E283" s="58"/>
      <c r="F283" s="58"/>
      <c r="G283" s="57"/>
      <c r="H283" s="57"/>
      <c r="I283" s="57"/>
      <c r="J283" s="59" t="str">
        <f aca="false">IF(A283="","",SUMIFS('بنود السندات'!$F$5:$F$3004,'بنود السندات'!$A$5:$A$3004,A283))</f>
        <v/>
      </c>
      <c r="K283" s="59" t="str">
        <f aca="false">IF(A283="","",SUMIFS('بنود السندات'!$G$5:$G$3004,'بنود السندات'!$A$5:$A$3004,A283))</f>
        <v/>
      </c>
      <c r="L283" s="59" t="str">
        <f aca="false">IF(A283="","",ROUND(J283-K283,2))</f>
        <v/>
      </c>
      <c r="M283" s="55" t="str">
        <f aca="false">IF(A283="","",COUNTIF('بنود السندات'!$A$5:$A$3004,A283))</f>
        <v/>
      </c>
      <c r="N283" s="60" t="str">
        <f aca="false">IF(A283="","",IF(M283=0,"بدون بنود ⚠",IF(L283=0,"متوازن ✔","غير متوازن ✘")))</f>
        <v/>
      </c>
      <c r="O283" s="61" t="str">
        <f aca="false">IF(A283="","","فقط "&amp;IF(INT(ROUND(MAX(J283,K283),2))=0,"صفر",MID(IF(INT(INT(ROUND(MAX(J283,K283),2))/1000000)&gt;0," و"&amp;INDEX(تفقيط!$D$2:$D$1001,INT(INT(ROUND(MAX(J283,K283),2))/1000000)+1),"")&amp;IF(INT(MOD(INT(ROUND(MAX(J283,K283),2)),1000000)/1000)&gt;0," و"&amp;INDEX(تفقيط!$C$2:$C$1001,INT(MOD(INT(ROUND(MAX(J283,K283),2)),1000000)/1000)+1),"")&amp;IF(MOD(INT(ROUND(MAX(J283,K283),2)),1000)&gt;0," و"&amp;INDEX(تفقيط!$B$2:$B$1001,MOD(INT(ROUND(MAX(J283,K283),2)),1000)+1),""),3,400))&amp;" "&amp;CUR&amp;IF(ROUND((ROUND(MAX(J283,K283),2)-INT(ROUND(MAX(J283,K283),2)))*100,0)&gt;0," و"&amp;INDEX(تفقيط!$E$2:$E$1001,ROUND((ROUND(MAX(J283,K283),2)-INT(ROUND(MAX(J283,K283),2)))*100,0)+1),"")&amp;" لا غير")</f>
        <v/>
      </c>
    </row>
    <row r="284" customFormat="false" ht="15" hidden="false" customHeight="false" outlineLevel="0" collapsed="false">
      <c r="A284" s="62" t="str">
        <f aca="false">IF(C284="","",START_NO+COUNT(C$5:C284)-1)</f>
        <v/>
      </c>
      <c r="B284" s="63" t="str">
        <f aca="false">IF(A284="","",PREFIX&amp;"-"&amp;TEXT(C284,"yyyy")&amp;"-"&amp;A284)</f>
        <v/>
      </c>
      <c r="C284" s="56"/>
      <c r="D284" s="57"/>
      <c r="E284" s="58"/>
      <c r="F284" s="58"/>
      <c r="G284" s="57"/>
      <c r="H284" s="57"/>
      <c r="I284" s="57"/>
      <c r="J284" s="64" t="str">
        <f aca="false">IF(A284="","",SUMIFS('بنود السندات'!$F$5:$F$3004,'بنود السندات'!$A$5:$A$3004,A284))</f>
        <v/>
      </c>
      <c r="K284" s="64" t="str">
        <f aca="false">IF(A284="","",SUMIFS('بنود السندات'!$G$5:$G$3004,'بنود السندات'!$A$5:$A$3004,A284))</f>
        <v/>
      </c>
      <c r="L284" s="64" t="str">
        <f aca="false">IF(A284="","",ROUND(J284-K284,2))</f>
        <v/>
      </c>
      <c r="M284" s="63" t="str">
        <f aca="false">IF(A284="","",COUNTIF('بنود السندات'!$A$5:$A$3004,A284))</f>
        <v/>
      </c>
      <c r="N284" s="65" t="str">
        <f aca="false">IF(A284="","",IF(M284=0,"بدون بنود ⚠",IF(L284=0,"متوازن ✔","غير متوازن ✘")))</f>
        <v/>
      </c>
      <c r="O284" s="66" t="str">
        <f aca="false">IF(A284="","","فقط "&amp;IF(INT(ROUND(MAX(J284,K284),2))=0,"صفر",MID(IF(INT(INT(ROUND(MAX(J284,K284),2))/1000000)&gt;0," و"&amp;INDEX(تفقيط!$D$2:$D$1001,INT(INT(ROUND(MAX(J284,K284),2))/1000000)+1),"")&amp;IF(INT(MOD(INT(ROUND(MAX(J284,K284),2)),1000000)/1000)&gt;0," و"&amp;INDEX(تفقيط!$C$2:$C$1001,INT(MOD(INT(ROUND(MAX(J284,K284),2)),1000000)/1000)+1),"")&amp;IF(MOD(INT(ROUND(MAX(J284,K284),2)),1000)&gt;0," و"&amp;INDEX(تفقيط!$B$2:$B$1001,MOD(INT(ROUND(MAX(J284,K284),2)),1000)+1),""),3,400))&amp;" "&amp;CUR&amp;IF(ROUND((ROUND(MAX(J284,K284),2)-INT(ROUND(MAX(J284,K284),2)))*100,0)&gt;0," و"&amp;INDEX(تفقيط!$E$2:$E$1001,ROUND((ROUND(MAX(J284,K284),2)-INT(ROUND(MAX(J284,K284),2)))*100,0)+1),"")&amp;" لا غير")</f>
        <v/>
      </c>
    </row>
    <row r="285" customFormat="false" ht="15" hidden="false" customHeight="false" outlineLevel="0" collapsed="false">
      <c r="A285" s="54" t="str">
        <f aca="false">IF(C285="","",START_NO+COUNT(C$5:C285)-1)</f>
        <v/>
      </c>
      <c r="B285" s="55" t="str">
        <f aca="false">IF(A285="","",PREFIX&amp;"-"&amp;TEXT(C285,"yyyy")&amp;"-"&amp;A285)</f>
        <v/>
      </c>
      <c r="C285" s="56"/>
      <c r="D285" s="57"/>
      <c r="E285" s="58"/>
      <c r="F285" s="58"/>
      <c r="G285" s="57"/>
      <c r="H285" s="57"/>
      <c r="I285" s="57"/>
      <c r="J285" s="59" t="str">
        <f aca="false">IF(A285="","",SUMIFS('بنود السندات'!$F$5:$F$3004,'بنود السندات'!$A$5:$A$3004,A285))</f>
        <v/>
      </c>
      <c r="K285" s="59" t="str">
        <f aca="false">IF(A285="","",SUMIFS('بنود السندات'!$G$5:$G$3004,'بنود السندات'!$A$5:$A$3004,A285))</f>
        <v/>
      </c>
      <c r="L285" s="59" t="str">
        <f aca="false">IF(A285="","",ROUND(J285-K285,2))</f>
        <v/>
      </c>
      <c r="M285" s="55" t="str">
        <f aca="false">IF(A285="","",COUNTIF('بنود السندات'!$A$5:$A$3004,A285))</f>
        <v/>
      </c>
      <c r="N285" s="60" t="str">
        <f aca="false">IF(A285="","",IF(M285=0,"بدون بنود ⚠",IF(L285=0,"متوازن ✔","غير متوازن ✘")))</f>
        <v/>
      </c>
      <c r="O285" s="61" t="str">
        <f aca="false">IF(A285="","","فقط "&amp;IF(INT(ROUND(MAX(J285,K285),2))=0,"صفر",MID(IF(INT(INT(ROUND(MAX(J285,K285),2))/1000000)&gt;0," و"&amp;INDEX(تفقيط!$D$2:$D$1001,INT(INT(ROUND(MAX(J285,K285),2))/1000000)+1),"")&amp;IF(INT(MOD(INT(ROUND(MAX(J285,K285),2)),1000000)/1000)&gt;0," و"&amp;INDEX(تفقيط!$C$2:$C$1001,INT(MOD(INT(ROUND(MAX(J285,K285),2)),1000000)/1000)+1),"")&amp;IF(MOD(INT(ROUND(MAX(J285,K285),2)),1000)&gt;0," و"&amp;INDEX(تفقيط!$B$2:$B$1001,MOD(INT(ROUND(MAX(J285,K285),2)),1000)+1),""),3,400))&amp;" "&amp;CUR&amp;IF(ROUND((ROUND(MAX(J285,K285),2)-INT(ROUND(MAX(J285,K285),2)))*100,0)&gt;0," و"&amp;INDEX(تفقيط!$E$2:$E$1001,ROUND((ROUND(MAX(J285,K285),2)-INT(ROUND(MAX(J285,K285),2)))*100,0)+1),"")&amp;" لا غير")</f>
        <v/>
      </c>
    </row>
    <row r="286" customFormat="false" ht="15" hidden="false" customHeight="false" outlineLevel="0" collapsed="false">
      <c r="A286" s="62" t="str">
        <f aca="false">IF(C286="","",START_NO+COUNT(C$5:C286)-1)</f>
        <v/>
      </c>
      <c r="B286" s="63" t="str">
        <f aca="false">IF(A286="","",PREFIX&amp;"-"&amp;TEXT(C286,"yyyy")&amp;"-"&amp;A286)</f>
        <v/>
      </c>
      <c r="C286" s="56"/>
      <c r="D286" s="57"/>
      <c r="E286" s="58"/>
      <c r="F286" s="58"/>
      <c r="G286" s="57"/>
      <c r="H286" s="57"/>
      <c r="I286" s="57"/>
      <c r="J286" s="64" t="str">
        <f aca="false">IF(A286="","",SUMIFS('بنود السندات'!$F$5:$F$3004,'بنود السندات'!$A$5:$A$3004,A286))</f>
        <v/>
      </c>
      <c r="K286" s="64" t="str">
        <f aca="false">IF(A286="","",SUMIFS('بنود السندات'!$G$5:$G$3004,'بنود السندات'!$A$5:$A$3004,A286))</f>
        <v/>
      </c>
      <c r="L286" s="64" t="str">
        <f aca="false">IF(A286="","",ROUND(J286-K286,2))</f>
        <v/>
      </c>
      <c r="M286" s="63" t="str">
        <f aca="false">IF(A286="","",COUNTIF('بنود السندات'!$A$5:$A$3004,A286))</f>
        <v/>
      </c>
      <c r="N286" s="65" t="str">
        <f aca="false">IF(A286="","",IF(M286=0,"بدون بنود ⚠",IF(L286=0,"متوازن ✔","غير متوازن ✘")))</f>
        <v/>
      </c>
      <c r="O286" s="66" t="str">
        <f aca="false">IF(A286="","","فقط "&amp;IF(INT(ROUND(MAX(J286,K286),2))=0,"صفر",MID(IF(INT(INT(ROUND(MAX(J286,K286),2))/1000000)&gt;0," و"&amp;INDEX(تفقيط!$D$2:$D$1001,INT(INT(ROUND(MAX(J286,K286),2))/1000000)+1),"")&amp;IF(INT(MOD(INT(ROUND(MAX(J286,K286),2)),1000000)/1000)&gt;0," و"&amp;INDEX(تفقيط!$C$2:$C$1001,INT(MOD(INT(ROUND(MAX(J286,K286),2)),1000000)/1000)+1),"")&amp;IF(MOD(INT(ROUND(MAX(J286,K286),2)),1000)&gt;0," و"&amp;INDEX(تفقيط!$B$2:$B$1001,MOD(INT(ROUND(MAX(J286,K286),2)),1000)+1),""),3,400))&amp;" "&amp;CUR&amp;IF(ROUND((ROUND(MAX(J286,K286),2)-INT(ROUND(MAX(J286,K286),2)))*100,0)&gt;0," و"&amp;INDEX(تفقيط!$E$2:$E$1001,ROUND((ROUND(MAX(J286,K286),2)-INT(ROUND(MAX(J286,K286),2)))*100,0)+1),"")&amp;" لا غير")</f>
        <v/>
      </c>
    </row>
    <row r="287" customFormat="false" ht="15" hidden="false" customHeight="false" outlineLevel="0" collapsed="false">
      <c r="A287" s="54" t="str">
        <f aca="false">IF(C287="","",START_NO+COUNT(C$5:C287)-1)</f>
        <v/>
      </c>
      <c r="B287" s="55" t="str">
        <f aca="false">IF(A287="","",PREFIX&amp;"-"&amp;TEXT(C287,"yyyy")&amp;"-"&amp;A287)</f>
        <v/>
      </c>
      <c r="C287" s="56"/>
      <c r="D287" s="57"/>
      <c r="E287" s="58"/>
      <c r="F287" s="58"/>
      <c r="G287" s="57"/>
      <c r="H287" s="57"/>
      <c r="I287" s="57"/>
      <c r="J287" s="59" t="str">
        <f aca="false">IF(A287="","",SUMIFS('بنود السندات'!$F$5:$F$3004,'بنود السندات'!$A$5:$A$3004,A287))</f>
        <v/>
      </c>
      <c r="K287" s="59" t="str">
        <f aca="false">IF(A287="","",SUMIFS('بنود السندات'!$G$5:$G$3004,'بنود السندات'!$A$5:$A$3004,A287))</f>
        <v/>
      </c>
      <c r="L287" s="59" t="str">
        <f aca="false">IF(A287="","",ROUND(J287-K287,2))</f>
        <v/>
      </c>
      <c r="M287" s="55" t="str">
        <f aca="false">IF(A287="","",COUNTIF('بنود السندات'!$A$5:$A$3004,A287))</f>
        <v/>
      </c>
      <c r="N287" s="60" t="str">
        <f aca="false">IF(A287="","",IF(M287=0,"بدون بنود ⚠",IF(L287=0,"متوازن ✔","غير متوازن ✘")))</f>
        <v/>
      </c>
      <c r="O287" s="61" t="str">
        <f aca="false">IF(A287="","","فقط "&amp;IF(INT(ROUND(MAX(J287,K287),2))=0,"صفر",MID(IF(INT(INT(ROUND(MAX(J287,K287),2))/1000000)&gt;0," و"&amp;INDEX(تفقيط!$D$2:$D$1001,INT(INT(ROUND(MAX(J287,K287),2))/1000000)+1),"")&amp;IF(INT(MOD(INT(ROUND(MAX(J287,K287),2)),1000000)/1000)&gt;0," و"&amp;INDEX(تفقيط!$C$2:$C$1001,INT(MOD(INT(ROUND(MAX(J287,K287),2)),1000000)/1000)+1),"")&amp;IF(MOD(INT(ROUND(MAX(J287,K287),2)),1000)&gt;0," و"&amp;INDEX(تفقيط!$B$2:$B$1001,MOD(INT(ROUND(MAX(J287,K287),2)),1000)+1),""),3,400))&amp;" "&amp;CUR&amp;IF(ROUND((ROUND(MAX(J287,K287),2)-INT(ROUND(MAX(J287,K287),2)))*100,0)&gt;0," و"&amp;INDEX(تفقيط!$E$2:$E$1001,ROUND((ROUND(MAX(J287,K287),2)-INT(ROUND(MAX(J287,K287),2)))*100,0)+1),"")&amp;" لا غير")</f>
        <v/>
      </c>
    </row>
    <row r="288" customFormat="false" ht="15" hidden="false" customHeight="false" outlineLevel="0" collapsed="false">
      <c r="A288" s="62" t="str">
        <f aca="false">IF(C288="","",START_NO+COUNT(C$5:C288)-1)</f>
        <v/>
      </c>
      <c r="B288" s="63" t="str">
        <f aca="false">IF(A288="","",PREFIX&amp;"-"&amp;TEXT(C288,"yyyy")&amp;"-"&amp;A288)</f>
        <v/>
      </c>
      <c r="C288" s="56"/>
      <c r="D288" s="57"/>
      <c r="E288" s="58"/>
      <c r="F288" s="58"/>
      <c r="G288" s="57"/>
      <c r="H288" s="57"/>
      <c r="I288" s="57"/>
      <c r="J288" s="64" t="str">
        <f aca="false">IF(A288="","",SUMIFS('بنود السندات'!$F$5:$F$3004,'بنود السندات'!$A$5:$A$3004,A288))</f>
        <v/>
      </c>
      <c r="K288" s="64" t="str">
        <f aca="false">IF(A288="","",SUMIFS('بنود السندات'!$G$5:$G$3004,'بنود السندات'!$A$5:$A$3004,A288))</f>
        <v/>
      </c>
      <c r="L288" s="64" t="str">
        <f aca="false">IF(A288="","",ROUND(J288-K288,2))</f>
        <v/>
      </c>
      <c r="M288" s="63" t="str">
        <f aca="false">IF(A288="","",COUNTIF('بنود السندات'!$A$5:$A$3004,A288))</f>
        <v/>
      </c>
      <c r="N288" s="65" t="str">
        <f aca="false">IF(A288="","",IF(M288=0,"بدون بنود ⚠",IF(L288=0,"متوازن ✔","غير متوازن ✘")))</f>
        <v/>
      </c>
      <c r="O288" s="66" t="str">
        <f aca="false">IF(A288="","","فقط "&amp;IF(INT(ROUND(MAX(J288,K288),2))=0,"صفر",MID(IF(INT(INT(ROUND(MAX(J288,K288),2))/1000000)&gt;0," و"&amp;INDEX(تفقيط!$D$2:$D$1001,INT(INT(ROUND(MAX(J288,K288),2))/1000000)+1),"")&amp;IF(INT(MOD(INT(ROUND(MAX(J288,K288),2)),1000000)/1000)&gt;0," و"&amp;INDEX(تفقيط!$C$2:$C$1001,INT(MOD(INT(ROUND(MAX(J288,K288),2)),1000000)/1000)+1),"")&amp;IF(MOD(INT(ROUND(MAX(J288,K288),2)),1000)&gt;0," و"&amp;INDEX(تفقيط!$B$2:$B$1001,MOD(INT(ROUND(MAX(J288,K288),2)),1000)+1),""),3,400))&amp;" "&amp;CUR&amp;IF(ROUND((ROUND(MAX(J288,K288),2)-INT(ROUND(MAX(J288,K288),2)))*100,0)&gt;0," و"&amp;INDEX(تفقيط!$E$2:$E$1001,ROUND((ROUND(MAX(J288,K288),2)-INT(ROUND(MAX(J288,K288),2)))*100,0)+1),"")&amp;" لا غير")</f>
        <v/>
      </c>
    </row>
    <row r="289" customFormat="false" ht="15" hidden="false" customHeight="false" outlineLevel="0" collapsed="false">
      <c r="A289" s="54" t="str">
        <f aca="false">IF(C289="","",START_NO+COUNT(C$5:C289)-1)</f>
        <v/>
      </c>
      <c r="B289" s="55" t="str">
        <f aca="false">IF(A289="","",PREFIX&amp;"-"&amp;TEXT(C289,"yyyy")&amp;"-"&amp;A289)</f>
        <v/>
      </c>
      <c r="C289" s="56"/>
      <c r="D289" s="57"/>
      <c r="E289" s="58"/>
      <c r="F289" s="58"/>
      <c r="G289" s="57"/>
      <c r="H289" s="57"/>
      <c r="I289" s="57"/>
      <c r="J289" s="59" t="str">
        <f aca="false">IF(A289="","",SUMIFS('بنود السندات'!$F$5:$F$3004,'بنود السندات'!$A$5:$A$3004,A289))</f>
        <v/>
      </c>
      <c r="K289" s="59" t="str">
        <f aca="false">IF(A289="","",SUMIFS('بنود السندات'!$G$5:$G$3004,'بنود السندات'!$A$5:$A$3004,A289))</f>
        <v/>
      </c>
      <c r="L289" s="59" t="str">
        <f aca="false">IF(A289="","",ROUND(J289-K289,2))</f>
        <v/>
      </c>
      <c r="M289" s="55" t="str">
        <f aca="false">IF(A289="","",COUNTIF('بنود السندات'!$A$5:$A$3004,A289))</f>
        <v/>
      </c>
      <c r="N289" s="60" t="str">
        <f aca="false">IF(A289="","",IF(M289=0,"بدون بنود ⚠",IF(L289=0,"متوازن ✔","غير متوازن ✘")))</f>
        <v/>
      </c>
      <c r="O289" s="61" t="str">
        <f aca="false">IF(A289="","","فقط "&amp;IF(INT(ROUND(MAX(J289,K289),2))=0,"صفر",MID(IF(INT(INT(ROUND(MAX(J289,K289),2))/1000000)&gt;0," و"&amp;INDEX(تفقيط!$D$2:$D$1001,INT(INT(ROUND(MAX(J289,K289),2))/1000000)+1),"")&amp;IF(INT(MOD(INT(ROUND(MAX(J289,K289),2)),1000000)/1000)&gt;0," و"&amp;INDEX(تفقيط!$C$2:$C$1001,INT(MOD(INT(ROUND(MAX(J289,K289),2)),1000000)/1000)+1),"")&amp;IF(MOD(INT(ROUND(MAX(J289,K289),2)),1000)&gt;0," و"&amp;INDEX(تفقيط!$B$2:$B$1001,MOD(INT(ROUND(MAX(J289,K289),2)),1000)+1),""),3,400))&amp;" "&amp;CUR&amp;IF(ROUND((ROUND(MAX(J289,K289),2)-INT(ROUND(MAX(J289,K289),2)))*100,0)&gt;0," و"&amp;INDEX(تفقيط!$E$2:$E$1001,ROUND((ROUND(MAX(J289,K289),2)-INT(ROUND(MAX(J289,K289),2)))*100,0)+1),"")&amp;" لا غير")</f>
        <v/>
      </c>
    </row>
    <row r="290" customFormat="false" ht="15" hidden="false" customHeight="false" outlineLevel="0" collapsed="false">
      <c r="A290" s="62" t="str">
        <f aca="false">IF(C290="","",START_NO+COUNT(C$5:C290)-1)</f>
        <v/>
      </c>
      <c r="B290" s="63" t="str">
        <f aca="false">IF(A290="","",PREFIX&amp;"-"&amp;TEXT(C290,"yyyy")&amp;"-"&amp;A290)</f>
        <v/>
      </c>
      <c r="C290" s="56"/>
      <c r="D290" s="57"/>
      <c r="E290" s="58"/>
      <c r="F290" s="58"/>
      <c r="G290" s="57"/>
      <c r="H290" s="57"/>
      <c r="I290" s="57"/>
      <c r="J290" s="64" t="str">
        <f aca="false">IF(A290="","",SUMIFS('بنود السندات'!$F$5:$F$3004,'بنود السندات'!$A$5:$A$3004,A290))</f>
        <v/>
      </c>
      <c r="K290" s="64" t="str">
        <f aca="false">IF(A290="","",SUMIFS('بنود السندات'!$G$5:$G$3004,'بنود السندات'!$A$5:$A$3004,A290))</f>
        <v/>
      </c>
      <c r="L290" s="64" t="str">
        <f aca="false">IF(A290="","",ROUND(J290-K290,2))</f>
        <v/>
      </c>
      <c r="M290" s="63" t="str">
        <f aca="false">IF(A290="","",COUNTIF('بنود السندات'!$A$5:$A$3004,A290))</f>
        <v/>
      </c>
      <c r="N290" s="65" t="str">
        <f aca="false">IF(A290="","",IF(M290=0,"بدون بنود ⚠",IF(L290=0,"متوازن ✔","غير متوازن ✘")))</f>
        <v/>
      </c>
      <c r="O290" s="66" t="str">
        <f aca="false">IF(A290="","","فقط "&amp;IF(INT(ROUND(MAX(J290,K290),2))=0,"صفر",MID(IF(INT(INT(ROUND(MAX(J290,K290),2))/1000000)&gt;0," و"&amp;INDEX(تفقيط!$D$2:$D$1001,INT(INT(ROUND(MAX(J290,K290),2))/1000000)+1),"")&amp;IF(INT(MOD(INT(ROUND(MAX(J290,K290),2)),1000000)/1000)&gt;0," و"&amp;INDEX(تفقيط!$C$2:$C$1001,INT(MOD(INT(ROUND(MAX(J290,K290),2)),1000000)/1000)+1),"")&amp;IF(MOD(INT(ROUND(MAX(J290,K290),2)),1000)&gt;0," و"&amp;INDEX(تفقيط!$B$2:$B$1001,MOD(INT(ROUND(MAX(J290,K290),2)),1000)+1),""),3,400))&amp;" "&amp;CUR&amp;IF(ROUND((ROUND(MAX(J290,K290),2)-INT(ROUND(MAX(J290,K290),2)))*100,0)&gt;0," و"&amp;INDEX(تفقيط!$E$2:$E$1001,ROUND((ROUND(MAX(J290,K290),2)-INT(ROUND(MAX(J290,K290),2)))*100,0)+1),"")&amp;" لا غير")</f>
        <v/>
      </c>
    </row>
    <row r="291" customFormat="false" ht="15" hidden="false" customHeight="false" outlineLevel="0" collapsed="false">
      <c r="A291" s="54" t="str">
        <f aca="false">IF(C291="","",START_NO+COUNT(C$5:C291)-1)</f>
        <v/>
      </c>
      <c r="B291" s="55" t="str">
        <f aca="false">IF(A291="","",PREFIX&amp;"-"&amp;TEXT(C291,"yyyy")&amp;"-"&amp;A291)</f>
        <v/>
      </c>
      <c r="C291" s="56"/>
      <c r="D291" s="57"/>
      <c r="E291" s="58"/>
      <c r="F291" s="58"/>
      <c r="G291" s="57"/>
      <c r="H291" s="57"/>
      <c r="I291" s="57"/>
      <c r="J291" s="59" t="str">
        <f aca="false">IF(A291="","",SUMIFS('بنود السندات'!$F$5:$F$3004,'بنود السندات'!$A$5:$A$3004,A291))</f>
        <v/>
      </c>
      <c r="K291" s="59" t="str">
        <f aca="false">IF(A291="","",SUMIFS('بنود السندات'!$G$5:$G$3004,'بنود السندات'!$A$5:$A$3004,A291))</f>
        <v/>
      </c>
      <c r="L291" s="59" t="str">
        <f aca="false">IF(A291="","",ROUND(J291-K291,2))</f>
        <v/>
      </c>
      <c r="M291" s="55" t="str">
        <f aca="false">IF(A291="","",COUNTIF('بنود السندات'!$A$5:$A$3004,A291))</f>
        <v/>
      </c>
      <c r="N291" s="60" t="str">
        <f aca="false">IF(A291="","",IF(M291=0,"بدون بنود ⚠",IF(L291=0,"متوازن ✔","غير متوازن ✘")))</f>
        <v/>
      </c>
      <c r="O291" s="61" t="str">
        <f aca="false">IF(A291="","","فقط "&amp;IF(INT(ROUND(MAX(J291,K291),2))=0,"صفر",MID(IF(INT(INT(ROUND(MAX(J291,K291),2))/1000000)&gt;0," و"&amp;INDEX(تفقيط!$D$2:$D$1001,INT(INT(ROUND(MAX(J291,K291),2))/1000000)+1),"")&amp;IF(INT(MOD(INT(ROUND(MAX(J291,K291),2)),1000000)/1000)&gt;0," و"&amp;INDEX(تفقيط!$C$2:$C$1001,INT(MOD(INT(ROUND(MAX(J291,K291),2)),1000000)/1000)+1),"")&amp;IF(MOD(INT(ROUND(MAX(J291,K291),2)),1000)&gt;0," و"&amp;INDEX(تفقيط!$B$2:$B$1001,MOD(INT(ROUND(MAX(J291,K291),2)),1000)+1),""),3,400))&amp;" "&amp;CUR&amp;IF(ROUND((ROUND(MAX(J291,K291),2)-INT(ROUND(MAX(J291,K291),2)))*100,0)&gt;0," و"&amp;INDEX(تفقيط!$E$2:$E$1001,ROUND((ROUND(MAX(J291,K291),2)-INT(ROUND(MAX(J291,K291),2)))*100,0)+1),"")&amp;" لا غير")</f>
        <v/>
      </c>
    </row>
    <row r="292" customFormat="false" ht="15" hidden="false" customHeight="false" outlineLevel="0" collapsed="false">
      <c r="A292" s="62" t="str">
        <f aca="false">IF(C292="","",START_NO+COUNT(C$5:C292)-1)</f>
        <v/>
      </c>
      <c r="B292" s="63" t="str">
        <f aca="false">IF(A292="","",PREFIX&amp;"-"&amp;TEXT(C292,"yyyy")&amp;"-"&amp;A292)</f>
        <v/>
      </c>
      <c r="C292" s="56"/>
      <c r="D292" s="57"/>
      <c r="E292" s="58"/>
      <c r="F292" s="58"/>
      <c r="G292" s="57"/>
      <c r="H292" s="57"/>
      <c r="I292" s="57"/>
      <c r="J292" s="64" t="str">
        <f aca="false">IF(A292="","",SUMIFS('بنود السندات'!$F$5:$F$3004,'بنود السندات'!$A$5:$A$3004,A292))</f>
        <v/>
      </c>
      <c r="K292" s="64" t="str">
        <f aca="false">IF(A292="","",SUMIFS('بنود السندات'!$G$5:$G$3004,'بنود السندات'!$A$5:$A$3004,A292))</f>
        <v/>
      </c>
      <c r="L292" s="64" t="str">
        <f aca="false">IF(A292="","",ROUND(J292-K292,2))</f>
        <v/>
      </c>
      <c r="M292" s="63" t="str">
        <f aca="false">IF(A292="","",COUNTIF('بنود السندات'!$A$5:$A$3004,A292))</f>
        <v/>
      </c>
      <c r="N292" s="65" t="str">
        <f aca="false">IF(A292="","",IF(M292=0,"بدون بنود ⚠",IF(L292=0,"متوازن ✔","غير متوازن ✘")))</f>
        <v/>
      </c>
      <c r="O292" s="66" t="str">
        <f aca="false">IF(A292="","","فقط "&amp;IF(INT(ROUND(MAX(J292,K292),2))=0,"صفر",MID(IF(INT(INT(ROUND(MAX(J292,K292),2))/1000000)&gt;0," و"&amp;INDEX(تفقيط!$D$2:$D$1001,INT(INT(ROUND(MAX(J292,K292),2))/1000000)+1),"")&amp;IF(INT(MOD(INT(ROUND(MAX(J292,K292),2)),1000000)/1000)&gt;0," و"&amp;INDEX(تفقيط!$C$2:$C$1001,INT(MOD(INT(ROUND(MAX(J292,K292),2)),1000000)/1000)+1),"")&amp;IF(MOD(INT(ROUND(MAX(J292,K292),2)),1000)&gt;0," و"&amp;INDEX(تفقيط!$B$2:$B$1001,MOD(INT(ROUND(MAX(J292,K292),2)),1000)+1),""),3,400))&amp;" "&amp;CUR&amp;IF(ROUND((ROUND(MAX(J292,K292),2)-INT(ROUND(MAX(J292,K292),2)))*100,0)&gt;0," و"&amp;INDEX(تفقيط!$E$2:$E$1001,ROUND((ROUND(MAX(J292,K292),2)-INT(ROUND(MAX(J292,K292),2)))*100,0)+1),"")&amp;" لا غير")</f>
        <v/>
      </c>
    </row>
    <row r="293" customFormat="false" ht="15" hidden="false" customHeight="false" outlineLevel="0" collapsed="false">
      <c r="A293" s="54" t="str">
        <f aca="false">IF(C293="","",START_NO+COUNT(C$5:C293)-1)</f>
        <v/>
      </c>
      <c r="B293" s="55" t="str">
        <f aca="false">IF(A293="","",PREFIX&amp;"-"&amp;TEXT(C293,"yyyy")&amp;"-"&amp;A293)</f>
        <v/>
      </c>
      <c r="C293" s="56"/>
      <c r="D293" s="57"/>
      <c r="E293" s="58"/>
      <c r="F293" s="58"/>
      <c r="G293" s="57"/>
      <c r="H293" s="57"/>
      <c r="I293" s="57"/>
      <c r="J293" s="59" t="str">
        <f aca="false">IF(A293="","",SUMIFS('بنود السندات'!$F$5:$F$3004,'بنود السندات'!$A$5:$A$3004,A293))</f>
        <v/>
      </c>
      <c r="K293" s="59" t="str">
        <f aca="false">IF(A293="","",SUMIFS('بنود السندات'!$G$5:$G$3004,'بنود السندات'!$A$5:$A$3004,A293))</f>
        <v/>
      </c>
      <c r="L293" s="59" t="str">
        <f aca="false">IF(A293="","",ROUND(J293-K293,2))</f>
        <v/>
      </c>
      <c r="M293" s="55" t="str">
        <f aca="false">IF(A293="","",COUNTIF('بنود السندات'!$A$5:$A$3004,A293))</f>
        <v/>
      </c>
      <c r="N293" s="60" t="str">
        <f aca="false">IF(A293="","",IF(M293=0,"بدون بنود ⚠",IF(L293=0,"متوازن ✔","غير متوازن ✘")))</f>
        <v/>
      </c>
      <c r="O293" s="61" t="str">
        <f aca="false">IF(A293="","","فقط "&amp;IF(INT(ROUND(MAX(J293,K293),2))=0,"صفر",MID(IF(INT(INT(ROUND(MAX(J293,K293),2))/1000000)&gt;0," و"&amp;INDEX(تفقيط!$D$2:$D$1001,INT(INT(ROUND(MAX(J293,K293),2))/1000000)+1),"")&amp;IF(INT(MOD(INT(ROUND(MAX(J293,K293),2)),1000000)/1000)&gt;0," و"&amp;INDEX(تفقيط!$C$2:$C$1001,INT(MOD(INT(ROUND(MAX(J293,K293),2)),1000000)/1000)+1),"")&amp;IF(MOD(INT(ROUND(MAX(J293,K293),2)),1000)&gt;0," و"&amp;INDEX(تفقيط!$B$2:$B$1001,MOD(INT(ROUND(MAX(J293,K293),2)),1000)+1),""),3,400))&amp;" "&amp;CUR&amp;IF(ROUND((ROUND(MAX(J293,K293),2)-INT(ROUND(MAX(J293,K293),2)))*100,0)&gt;0," و"&amp;INDEX(تفقيط!$E$2:$E$1001,ROUND((ROUND(MAX(J293,K293),2)-INT(ROUND(MAX(J293,K293),2)))*100,0)+1),"")&amp;" لا غير")</f>
        <v/>
      </c>
    </row>
    <row r="294" customFormat="false" ht="15" hidden="false" customHeight="false" outlineLevel="0" collapsed="false">
      <c r="A294" s="62" t="str">
        <f aca="false">IF(C294="","",START_NO+COUNT(C$5:C294)-1)</f>
        <v/>
      </c>
      <c r="B294" s="63" t="str">
        <f aca="false">IF(A294="","",PREFIX&amp;"-"&amp;TEXT(C294,"yyyy")&amp;"-"&amp;A294)</f>
        <v/>
      </c>
      <c r="C294" s="56"/>
      <c r="D294" s="57"/>
      <c r="E294" s="58"/>
      <c r="F294" s="58"/>
      <c r="G294" s="57"/>
      <c r="H294" s="57"/>
      <c r="I294" s="57"/>
      <c r="J294" s="64" t="str">
        <f aca="false">IF(A294="","",SUMIFS('بنود السندات'!$F$5:$F$3004,'بنود السندات'!$A$5:$A$3004,A294))</f>
        <v/>
      </c>
      <c r="K294" s="64" t="str">
        <f aca="false">IF(A294="","",SUMIFS('بنود السندات'!$G$5:$G$3004,'بنود السندات'!$A$5:$A$3004,A294))</f>
        <v/>
      </c>
      <c r="L294" s="64" t="str">
        <f aca="false">IF(A294="","",ROUND(J294-K294,2))</f>
        <v/>
      </c>
      <c r="M294" s="63" t="str">
        <f aca="false">IF(A294="","",COUNTIF('بنود السندات'!$A$5:$A$3004,A294))</f>
        <v/>
      </c>
      <c r="N294" s="65" t="str">
        <f aca="false">IF(A294="","",IF(M294=0,"بدون بنود ⚠",IF(L294=0,"متوازن ✔","غير متوازن ✘")))</f>
        <v/>
      </c>
      <c r="O294" s="66" t="str">
        <f aca="false">IF(A294="","","فقط "&amp;IF(INT(ROUND(MAX(J294,K294),2))=0,"صفر",MID(IF(INT(INT(ROUND(MAX(J294,K294),2))/1000000)&gt;0," و"&amp;INDEX(تفقيط!$D$2:$D$1001,INT(INT(ROUND(MAX(J294,K294),2))/1000000)+1),"")&amp;IF(INT(MOD(INT(ROUND(MAX(J294,K294),2)),1000000)/1000)&gt;0," و"&amp;INDEX(تفقيط!$C$2:$C$1001,INT(MOD(INT(ROUND(MAX(J294,K294),2)),1000000)/1000)+1),"")&amp;IF(MOD(INT(ROUND(MAX(J294,K294),2)),1000)&gt;0," و"&amp;INDEX(تفقيط!$B$2:$B$1001,MOD(INT(ROUND(MAX(J294,K294),2)),1000)+1),""),3,400))&amp;" "&amp;CUR&amp;IF(ROUND((ROUND(MAX(J294,K294),2)-INT(ROUND(MAX(J294,K294),2)))*100,0)&gt;0," و"&amp;INDEX(تفقيط!$E$2:$E$1001,ROUND((ROUND(MAX(J294,K294),2)-INT(ROUND(MAX(J294,K294),2)))*100,0)+1),"")&amp;" لا غير")</f>
        <v/>
      </c>
    </row>
    <row r="295" customFormat="false" ht="15" hidden="false" customHeight="false" outlineLevel="0" collapsed="false">
      <c r="A295" s="54" t="str">
        <f aca="false">IF(C295="","",START_NO+COUNT(C$5:C295)-1)</f>
        <v/>
      </c>
      <c r="B295" s="55" t="str">
        <f aca="false">IF(A295="","",PREFIX&amp;"-"&amp;TEXT(C295,"yyyy")&amp;"-"&amp;A295)</f>
        <v/>
      </c>
      <c r="C295" s="56"/>
      <c r="D295" s="57"/>
      <c r="E295" s="58"/>
      <c r="F295" s="58"/>
      <c r="G295" s="57"/>
      <c r="H295" s="57"/>
      <c r="I295" s="57"/>
      <c r="J295" s="59" t="str">
        <f aca="false">IF(A295="","",SUMIFS('بنود السندات'!$F$5:$F$3004,'بنود السندات'!$A$5:$A$3004,A295))</f>
        <v/>
      </c>
      <c r="K295" s="59" t="str">
        <f aca="false">IF(A295="","",SUMIFS('بنود السندات'!$G$5:$G$3004,'بنود السندات'!$A$5:$A$3004,A295))</f>
        <v/>
      </c>
      <c r="L295" s="59" t="str">
        <f aca="false">IF(A295="","",ROUND(J295-K295,2))</f>
        <v/>
      </c>
      <c r="M295" s="55" t="str">
        <f aca="false">IF(A295="","",COUNTIF('بنود السندات'!$A$5:$A$3004,A295))</f>
        <v/>
      </c>
      <c r="N295" s="60" t="str">
        <f aca="false">IF(A295="","",IF(M295=0,"بدون بنود ⚠",IF(L295=0,"متوازن ✔","غير متوازن ✘")))</f>
        <v/>
      </c>
      <c r="O295" s="61" t="str">
        <f aca="false">IF(A295="","","فقط "&amp;IF(INT(ROUND(MAX(J295,K295),2))=0,"صفر",MID(IF(INT(INT(ROUND(MAX(J295,K295),2))/1000000)&gt;0," و"&amp;INDEX(تفقيط!$D$2:$D$1001,INT(INT(ROUND(MAX(J295,K295),2))/1000000)+1),"")&amp;IF(INT(MOD(INT(ROUND(MAX(J295,K295),2)),1000000)/1000)&gt;0," و"&amp;INDEX(تفقيط!$C$2:$C$1001,INT(MOD(INT(ROUND(MAX(J295,K295),2)),1000000)/1000)+1),"")&amp;IF(MOD(INT(ROUND(MAX(J295,K295),2)),1000)&gt;0," و"&amp;INDEX(تفقيط!$B$2:$B$1001,MOD(INT(ROUND(MAX(J295,K295),2)),1000)+1),""),3,400))&amp;" "&amp;CUR&amp;IF(ROUND((ROUND(MAX(J295,K295),2)-INT(ROUND(MAX(J295,K295),2)))*100,0)&gt;0," و"&amp;INDEX(تفقيط!$E$2:$E$1001,ROUND((ROUND(MAX(J295,K295),2)-INT(ROUND(MAX(J295,K295),2)))*100,0)+1),"")&amp;" لا غير")</f>
        <v/>
      </c>
    </row>
    <row r="296" customFormat="false" ht="15" hidden="false" customHeight="false" outlineLevel="0" collapsed="false">
      <c r="A296" s="62" t="str">
        <f aca="false">IF(C296="","",START_NO+COUNT(C$5:C296)-1)</f>
        <v/>
      </c>
      <c r="B296" s="63" t="str">
        <f aca="false">IF(A296="","",PREFIX&amp;"-"&amp;TEXT(C296,"yyyy")&amp;"-"&amp;A296)</f>
        <v/>
      </c>
      <c r="C296" s="56"/>
      <c r="D296" s="57"/>
      <c r="E296" s="58"/>
      <c r="F296" s="58"/>
      <c r="G296" s="57"/>
      <c r="H296" s="57"/>
      <c r="I296" s="57"/>
      <c r="J296" s="64" t="str">
        <f aca="false">IF(A296="","",SUMIFS('بنود السندات'!$F$5:$F$3004,'بنود السندات'!$A$5:$A$3004,A296))</f>
        <v/>
      </c>
      <c r="K296" s="64" t="str">
        <f aca="false">IF(A296="","",SUMIFS('بنود السندات'!$G$5:$G$3004,'بنود السندات'!$A$5:$A$3004,A296))</f>
        <v/>
      </c>
      <c r="L296" s="64" t="str">
        <f aca="false">IF(A296="","",ROUND(J296-K296,2))</f>
        <v/>
      </c>
      <c r="M296" s="63" t="str">
        <f aca="false">IF(A296="","",COUNTIF('بنود السندات'!$A$5:$A$3004,A296))</f>
        <v/>
      </c>
      <c r="N296" s="65" t="str">
        <f aca="false">IF(A296="","",IF(M296=0,"بدون بنود ⚠",IF(L296=0,"متوازن ✔","غير متوازن ✘")))</f>
        <v/>
      </c>
      <c r="O296" s="66" t="str">
        <f aca="false">IF(A296="","","فقط "&amp;IF(INT(ROUND(MAX(J296,K296),2))=0,"صفر",MID(IF(INT(INT(ROUND(MAX(J296,K296),2))/1000000)&gt;0," و"&amp;INDEX(تفقيط!$D$2:$D$1001,INT(INT(ROUND(MAX(J296,K296),2))/1000000)+1),"")&amp;IF(INT(MOD(INT(ROUND(MAX(J296,K296),2)),1000000)/1000)&gt;0," و"&amp;INDEX(تفقيط!$C$2:$C$1001,INT(MOD(INT(ROUND(MAX(J296,K296),2)),1000000)/1000)+1),"")&amp;IF(MOD(INT(ROUND(MAX(J296,K296),2)),1000)&gt;0," و"&amp;INDEX(تفقيط!$B$2:$B$1001,MOD(INT(ROUND(MAX(J296,K296),2)),1000)+1),""),3,400))&amp;" "&amp;CUR&amp;IF(ROUND((ROUND(MAX(J296,K296),2)-INT(ROUND(MAX(J296,K296),2)))*100,0)&gt;0," و"&amp;INDEX(تفقيط!$E$2:$E$1001,ROUND((ROUND(MAX(J296,K296),2)-INT(ROUND(MAX(J296,K296),2)))*100,0)+1),"")&amp;" لا غير")</f>
        <v/>
      </c>
    </row>
    <row r="297" customFormat="false" ht="15" hidden="false" customHeight="false" outlineLevel="0" collapsed="false">
      <c r="A297" s="54" t="str">
        <f aca="false">IF(C297="","",START_NO+COUNT(C$5:C297)-1)</f>
        <v/>
      </c>
      <c r="B297" s="55" t="str">
        <f aca="false">IF(A297="","",PREFIX&amp;"-"&amp;TEXT(C297,"yyyy")&amp;"-"&amp;A297)</f>
        <v/>
      </c>
      <c r="C297" s="56"/>
      <c r="D297" s="57"/>
      <c r="E297" s="58"/>
      <c r="F297" s="58"/>
      <c r="G297" s="57"/>
      <c r="H297" s="57"/>
      <c r="I297" s="57"/>
      <c r="J297" s="59" t="str">
        <f aca="false">IF(A297="","",SUMIFS('بنود السندات'!$F$5:$F$3004,'بنود السندات'!$A$5:$A$3004,A297))</f>
        <v/>
      </c>
      <c r="K297" s="59" t="str">
        <f aca="false">IF(A297="","",SUMIFS('بنود السندات'!$G$5:$G$3004,'بنود السندات'!$A$5:$A$3004,A297))</f>
        <v/>
      </c>
      <c r="L297" s="59" t="str">
        <f aca="false">IF(A297="","",ROUND(J297-K297,2))</f>
        <v/>
      </c>
      <c r="M297" s="55" t="str">
        <f aca="false">IF(A297="","",COUNTIF('بنود السندات'!$A$5:$A$3004,A297))</f>
        <v/>
      </c>
      <c r="N297" s="60" t="str">
        <f aca="false">IF(A297="","",IF(M297=0,"بدون بنود ⚠",IF(L297=0,"متوازن ✔","غير متوازن ✘")))</f>
        <v/>
      </c>
      <c r="O297" s="61" t="str">
        <f aca="false">IF(A297="","","فقط "&amp;IF(INT(ROUND(MAX(J297,K297),2))=0,"صفر",MID(IF(INT(INT(ROUND(MAX(J297,K297),2))/1000000)&gt;0," و"&amp;INDEX(تفقيط!$D$2:$D$1001,INT(INT(ROUND(MAX(J297,K297),2))/1000000)+1),"")&amp;IF(INT(MOD(INT(ROUND(MAX(J297,K297),2)),1000000)/1000)&gt;0," و"&amp;INDEX(تفقيط!$C$2:$C$1001,INT(MOD(INT(ROUND(MAX(J297,K297),2)),1000000)/1000)+1),"")&amp;IF(MOD(INT(ROUND(MAX(J297,K297),2)),1000)&gt;0," و"&amp;INDEX(تفقيط!$B$2:$B$1001,MOD(INT(ROUND(MAX(J297,K297),2)),1000)+1),""),3,400))&amp;" "&amp;CUR&amp;IF(ROUND((ROUND(MAX(J297,K297),2)-INT(ROUND(MAX(J297,K297),2)))*100,0)&gt;0," و"&amp;INDEX(تفقيط!$E$2:$E$1001,ROUND((ROUND(MAX(J297,K297),2)-INT(ROUND(MAX(J297,K297),2)))*100,0)+1),"")&amp;" لا غير")</f>
        <v/>
      </c>
    </row>
    <row r="298" customFormat="false" ht="15" hidden="false" customHeight="false" outlineLevel="0" collapsed="false">
      <c r="A298" s="62" t="str">
        <f aca="false">IF(C298="","",START_NO+COUNT(C$5:C298)-1)</f>
        <v/>
      </c>
      <c r="B298" s="63" t="str">
        <f aca="false">IF(A298="","",PREFIX&amp;"-"&amp;TEXT(C298,"yyyy")&amp;"-"&amp;A298)</f>
        <v/>
      </c>
      <c r="C298" s="56"/>
      <c r="D298" s="57"/>
      <c r="E298" s="58"/>
      <c r="F298" s="58"/>
      <c r="G298" s="57"/>
      <c r="H298" s="57"/>
      <c r="I298" s="57"/>
      <c r="J298" s="64" t="str">
        <f aca="false">IF(A298="","",SUMIFS('بنود السندات'!$F$5:$F$3004,'بنود السندات'!$A$5:$A$3004,A298))</f>
        <v/>
      </c>
      <c r="K298" s="64" t="str">
        <f aca="false">IF(A298="","",SUMIFS('بنود السندات'!$G$5:$G$3004,'بنود السندات'!$A$5:$A$3004,A298))</f>
        <v/>
      </c>
      <c r="L298" s="64" t="str">
        <f aca="false">IF(A298="","",ROUND(J298-K298,2))</f>
        <v/>
      </c>
      <c r="M298" s="63" t="str">
        <f aca="false">IF(A298="","",COUNTIF('بنود السندات'!$A$5:$A$3004,A298))</f>
        <v/>
      </c>
      <c r="N298" s="65" t="str">
        <f aca="false">IF(A298="","",IF(M298=0,"بدون بنود ⚠",IF(L298=0,"متوازن ✔","غير متوازن ✘")))</f>
        <v/>
      </c>
      <c r="O298" s="66" t="str">
        <f aca="false">IF(A298="","","فقط "&amp;IF(INT(ROUND(MAX(J298,K298),2))=0,"صفر",MID(IF(INT(INT(ROUND(MAX(J298,K298),2))/1000000)&gt;0," و"&amp;INDEX(تفقيط!$D$2:$D$1001,INT(INT(ROUND(MAX(J298,K298),2))/1000000)+1),"")&amp;IF(INT(MOD(INT(ROUND(MAX(J298,K298),2)),1000000)/1000)&gt;0," و"&amp;INDEX(تفقيط!$C$2:$C$1001,INT(MOD(INT(ROUND(MAX(J298,K298),2)),1000000)/1000)+1),"")&amp;IF(MOD(INT(ROUND(MAX(J298,K298),2)),1000)&gt;0," و"&amp;INDEX(تفقيط!$B$2:$B$1001,MOD(INT(ROUND(MAX(J298,K298),2)),1000)+1),""),3,400))&amp;" "&amp;CUR&amp;IF(ROUND((ROUND(MAX(J298,K298),2)-INT(ROUND(MAX(J298,K298),2)))*100,0)&gt;0," و"&amp;INDEX(تفقيط!$E$2:$E$1001,ROUND((ROUND(MAX(J298,K298),2)-INT(ROUND(MAX(J298,K298),2)))*100,0)+1),"")&amp;" لا غير")</f>
        <v/>
      </c>
    </row>
    <row r="299" customFormat="false" ht="15" hidden="false" customHeight="false" outlineLevel="0" collapsed="false">
      <c r="A299" s="54" t="str">
        <f aca="false">IF(C299="","",START_NO+COUNT(C$5:C299)-1)</f>
        <v/>
      </c>
      <c r="B299" s="55" t="str">
        <f aca="false">IF(A299="","",PREFIX&amp;"-"&amp;TEXT(C299,"yyyy")&amp;"-"&amp;A299)</f>
        <v/>
      </c>
      <c r="C299" s="56"/>
      <c r="D299" s="57"/>
      <c r="E299" s="58"/>
      <c r="F299" s="58"/>
      <c r="G299" s="57"/>
      <c r="H299" s="57"/>
      <c r="I299" s="57"/>
      <c r="J299" s="59" t="str">
        <f aca="false">IF(A299="","",SUMIFS('بنود السندات'!$F$5:$F$3004,'بنود السندات'!$A$5:$A$3004,A299))</f>
        <v/>
      </c>
      <c r="K299" s="59" t="str">
        <f aca="false">IF(A299="","",SUMIFS('بنود السندات'!$G$5:$G$3004,'بنود السندات'!$A$5:$A$3004,A299))</f>
        <v/>
      </c>
      <c r="L299" s="59" t="str">
        <f aca="false">IF(A299="","",ROUND(J299-K299,2))</f>
        <v/>
      </c>
      <c r="M299" s="55" t="str">
        <f aca="false">IF(A299="","",COUNTIF('بنود السندات'!$A$5:$A$3004,A299))</f>
        <v/>
      </c>
      <c r="N299" s="60" t="str">
        <f aca="false">IF(A299="","",IF(M299=0,"بدون بنود ⚠",IF(L299=0,"متوازن ✔","غير متوازن ✘")))</f>
        <v/>
      </c>
      <c r="O299" s="61" t="str">
        <f aca="false">IF(A299="","","فقط "&amp;IF(INT(ROUND(MAX(J299,K299),2))=0,"صفر",MID(IF(INT(INT(ROUND(MAX(J299,K299),2))/1000000)&gt;0," و"&amp;INDEX(تفقيط!$D$2:$D$1001,INT(INT(ROUND(MAX(J299,K299),2))/1000000)+1),"")&amp;IF(INT(MOD(INT(ROUND(MAX(J299,K299),2)),1000000)/1000)&gt;0," و"&amp;INDEX(تفقيط!$C$2:$C$1001,INT(MOD(INT(ROUND(MAX(J299,K299),2)),1000000)/1000)+1),"")&amp;IF(MOD(INT(ROUND(MAX(J299,K299),2)),1000)&gt;0," و"&amp;INDEX(تفقيط!$B$2:$B$1001,MOD(INT(ROUND(MAX(J299,K299),2)),1000)+1),""),3,400))&amp;" "&amp;CUR&amp;IF(ROUND((ROUND(MAX(J299,K299),2)-INT(ROUND(MAX(J299,K299),2)))*100,0)&gt;0," و"&amp;INDEX(تفقيط!$E$2:$E$1001,ROUND((ROUND(MAX(J299,K299),2)-INT(ROUND(MAX(J299,K299),2)))*100,0)+1),"")&amp;" لا غير")</f>
        <v/>
      </c>
    </row>
    <row r="300" customFormat="false" ht="15" hidden="false" customHeight="false" outlineLevel="0" collapsed="false">
      <c r="A300" s="62" t="str">
        <f aca="false">IF(C300="","",START_NO+COUNT(C$5:C300)-1)</f>
        <v/>
      </c>
      <c r="B300" s="63" t="str">
        <f aca="false">IF(A300="","",PREFIX&amp;"-"&amp;TEXT(C300,"yyyy")&amp;"-"&amp;A300)</f>
        <v/>
      </c>
      <c r="C300" s="56"/>
      <c r="D300" s="57"/>
      <c r="E300" s="58"/>
      <c r="F300" s="58"/>
      <c r="G300" s="57"/>
      <c r="H300" s="57"/>
      <c r="I300" s="57"/>
      <c r="J300" s="64" t="str">
        <f aca="false">IF(A300="","",SUMIFS('بنود السندات'!$F$5:$F$3004,'بنود السندات'!$A$5:$A$3004,A300))</f>
        <v/>
      </c>
      <c r="K300" s="64" t="str">
        <f aca="false">IF(A300="","",SUMIFS('بنود السندات'!$G$5:$G$3004,'بنود السندات'!$A$5:$A$3004,A300))</f>
        <v/>
      </c>
      <c r="L300" s="64" t="str">
        <f aca="false">IF(A300="","",ROUND(J300-K300,2))</f>
        <v/>
      </c>
      <c r="M300" s="63" t="str">
        <f aca="false">IF(A300="","",COUNTIF('بنود السندات'!$A$5:$A$3004,A300))</f>
        <v/>
      </c>
      <c r="N300" s="65" t="str">
        <f aca="false">IF(A300="","",IF(M300=0,"بدون بنود ⚠",IF(L300=0,"متوازن ✔","غير متوازن ✘")))</f>
        <v/>
      </c>
      <c r="O300" s="66" t="str">
        <f aca="false">IF(A300="","","فقط "&amp;IF(INT(ROUND(MAX(J300,K300),2))=0,"صفر",MID(IF(INT(INT(ROUND(MAX(J300,K300),2))/1000000)&gt;0," و"&amp;INDEX(تفقيط!$D$2:$D$1001,INT(INT(ROUND(MAX(J300,K300),2))/1000000)+1),"")&amp;IF(INT(MOD(INT(ROUND(MAX(J300,K300),2)),1000000)/1000)&gt;0," و"&amp;INDEX(تفقيط!$C$2:$C$1001,INT(MOD(INT(ROUND(MAX(J300,K300),2)),1000000)/1000)+1),"")&amp;IF(MOD(INT(ROUND(MAX(J300,K300),2)),1000)&gt;0," و"&amp;INDEX(تفقيط!$B$2:$B$1001,MOD(INT(ROUND(MAX(J300,K300),2)),1000)+1),""),3,400))&amp;" "&amp;CUR&amp;IF(ROUND((ROUND(MAX(J300,K300),2)-INT(ROUND(MAX(J300,K300),2)))*100,0)&gt;0," و"&amp;INDEX(تفقيط!$E$2:$E$1001,ROUND((ROUND(MAX(J300,K300),2)-INT(ROUND(MAX(J300,K300),2)))*100,0)+1),"")&amp;" لا غير")</f>
        <v/>
      </c>
    </row>
    <row r="301" customFormat="false" ht="15" hidden="false" customHeight="false" outlineLevel="0" collapsed="false">
      <c r="A301" s="54" t="str">
        <f aca="false">IF(C301="","",START_NO+COUNT(C$5:C301)-1)</f>
        <v/>
      </c>
      <c r="B301" s="55" t="str">
        <f aca="false">IF(A301="","",PREFIX&amp;"-"&amp;TEXT(C301,"yyyy")&amp;"-"&amp;A301)</f>
        <v/>
      </c>
      <c r="C301" s="56"/>
      <c r="D301" s="57"/>
      <c r="E301" s="58"/>
      <c r="F301" s="58"/>
      <c r="G301" s="57"/>
      <c r="H301" s="57"/>
      <c r="I301" s="57"/>
      <c r="J301" s="59" t="str">
        <f aca="false">IF(A301="","",SUMIFS('بنود السندات'!$F$5:$F$3004,'بنود السندات'!$A$5:$A$3004,A301))</f>
        <v/>
      </c>
      <c r="K301" s="59" t="str">
        <f aca="false">IF(A301="","",SUMIFS('بنود السندات'!$G$5:$G$3004,'بنود السندات'!$A$5:$A$3004,A301))</f>
        <v/>
      </c>
      <c r="L301" s="59" t="str">
        <f aca="false">IF(A301="","",ROUND(J301-K301,2))</f>
        <v/>
      </c>
      <c r="M301" s="55" t="str">
        <f aca="false">IF(A301="","",COUNTIF('بنود السندات'!$A$5:$A$3004,A301))</f>
        <v/>
      </c>
      <c r="N301" s="60" t="str">
        <f aca="false">IF(A301="","",IF(M301=0,"بدون بنود ⚠",IF(L301=0,"متوازن ✔","غير متوازن ✘")))</f>
        <v/>
      </c>
      <c r="O301" s="61" t="str">
        <f aca="false">IF(A301="","","فقط "&amp;IF(INT(ROUND(MAX(J301,K301),2))=0,"صفر",MID(IF(INT(INT(ROUND(MAX(J301,K301),2))/1000000)&gt;0," و"&amp;INDEX(تفقيط!$D$2:$D$1001,INT(INT(ROUND(MAX(J301,K301),2))/1000000)+1),"")&amp;IF(INT(MOD(INT(ROUND(MAX(J301,K301),2)),1000000)/1000)&gt;0," و"&amp;INDEX(تفقيط!$C$2:$C$1001,INT(MOD(INT(ROUND(MAX(J301,K301),2)),1000000)/1000)+1),"")&amp;IF(MOD(INT(ROUND(MAX(J301,K301),2)),1000)&gt;0," و"&amp;INDEX(تفقيط!$B$2:$B$1001,MOD(INT(ROUND(MAX(J301,K301),2)),1000)+1),""),3,400))&amp;" "&amp;CUR&amp;IF(ROUND((ROUND(MAX(J301,K301),2)-INT(ROUND(MAX(J301,K301),2)))*100,0)&gt;0," و"&amp;INDEX(تفقيط!$E$2:$E$1001,ROUND((ROUND(MAX(J301,K301),2)-INT(ROUND(MAX(J301,K301),2)))*100,0)+1),"")&amp;" لا غير")</f>
        <v/>
      </c>
    </row>
    <row r="302" customFormat="false" ht="15" hidden="false" customHeight="false" outlineLevel="0" collapsed="false">
      <c r="A302" s="62" t="str">
        <f aca="false">IF(C302="","",START_NO+COUNT(C$5:C302)-1)</f>
        <v/>
      </c>
      <c r="B302" s="63" t="str">
        <f aca="false">IF(A302="","",PREFIX&amp;"-"&amp;TEXT(C302,"yyyy")&amp;"-"&amp;A302)</f>
        <v/>
      </c>
      <c r="C302" s="56"/>
      <c r="D302" s="57"/>
      <c r="E302" s="58"/>
      <c r="F302" s="58"/>
      <c r="G302" s="57"/>
      <c r="H302" s="57"/>
      <c r="I302" s="57"/>
      <c r="J302" s="64" t="str">
        <f aca="false">IF(A302="","",SUMIFS('بنود السندات'!$F$5:$F$3004,'بنود السندات'!$A$5:$A$3004,A302))</f>
        <v/>
      </c>
      <c r="K302" s="64" t="str">
        <f aca="false">IF(A302="","",SUMIFS('بنود السندات'!$G$5:$G$3004,'بنود السندات'!$A$5:$A$3004,A302))</f>
        <v/>
      </c>
      <c r="L302" s="64" t="str">
        <f aca="false">IF(A302="","",ROUND(J302-K302,2))</f>
        <v/>
      </c>
      <c r="M302" s="63" t="str">
        <f aca="false">IF(A302="","",COUNTIF('بنود السندات'!$A$5:$A$3004,A302))</f>
        <v/>
      </c>
      <c r="N302" s="65" t="str">
        <f aca="false">IF(A302="","",IF(M302=0,"بدون بنود ⚠",IF(L302=0,"متوازن ✔","غير متوازن ✘")))</f>
        <v/>
      </c>
      <c r="O302" s="66" t="str">
        <f aca="false">IF(A302="","","فقط "&amp;IF(INT(ROUND(MAX(J302,K302),2))=0,"صفر",MID(IF(INT(INT(ROUND(MAX(J302,K302),2))/1000000)&gt;0," و"&amp;INDEX(تفقيط!$D$2:$D$1001,INT(INT(ROUND(MAX(J302,K302),2))/1000000)+1),"")&amp;IF(INT(MOD(INT(ROUND(MAX(J302,K302),2)),1000000)/1000)&gt;0," و"&amp;INDEX(تفقيط!$C$2:$C$1001,INT(MOD(INT(ROUND(MAX(J302,K302),2)),1000000)/1000)+1),"")&amp;IF(MOD(INT(ROUND(MAX(J302,K302),2)),1000)&gt;0," و"&amp;INDEX(تفقيط!$B$2:$B$1001,MOD(INT(ROUND(MAX(J302,K302),2)),1000)+1),""),3,400))&amp;" "&amp;CUR&amp;IF(ROUND((ROUND(MAX(J302,K302),2)-INT(ROUND(MAX(J302,K302),2)))*100,0)&gt;0," و"&amp;INDEX(تفقيط!$E$2:$E$1001,ROUND((ROUND(MAX(J302,K302),2)-INT(ROUND(MAX(J302,K302),2)))*100,0)+1),"")&amp;" لا غير")</f>
        <v/>
      </c>
    </row>
    <row r="303" customFormat="false" ht="15" hidden="false" customHeight="false" outlineLevel="0" collapsed="false">
      <c r="A303" s="54" t="str">
        <f aca="false">IF(C303="","",START_NO+COUNT(C$5:C303)-1)</f>
        <v/>
      </c>
      <c r="B303" s="55" t="str">
        <f aca="false">IF(A303="","",PREFIX&amp;"-"&amp;TEXT(C303,"yyyy")&amp;"-"&amp;A303)</f>
        <v/>
      </c>
      <c r="C303" s="56"/>
      <c r="D303" s="57"/>
      <c r="E303" s="58"/>
      <c r="F303" s="58"/>
      <c r="G303" s="57"/>
      <c r="H303" s="57"/>
      <c r="I303" s="57"/>
      <c r="J303" s="59" t="str">
        <f aca="false">IF(A303="","",SUMIFS('بنود السندات'!$F$5:$F$3004,'بنود السندات'!$A$5:$A$3004,A303))</f>
        <v/>
      </c>
      <c r="K303" s="59" t="str">
        <f aca="false">IF(A303="","",SUMIFS('بنود السندات'!$G$5:$G$3004,'بنود السندات'!$A$5:$A$3004,A303))</f>
        <v/>
      </c>
      <c r="L303" s="59" t="str">
        <f aca="false">IF(A303="","",ROUND(J303-K303,2))</f>
        <v/>
      </c>
      <c r="M303" s="55" t="str">
        <f aca="false">IF(A303="","",COUNTIF('بنود السندات'!$A$5:$A$3004,A303))</f>
        <v/>
      </c>
      <c r="N303" s="60" t="str">
        <f aca="false">IF(A303="","",IF(M303=0,"بدون بنود ⚠",IF(L303=0,"متوازن ✔","غير متوازن ✘")))</f>
        <v/>
      </c>
      <c r="O303" s="61" t="str">
        <f aca="false">IF(A303="","","فقط "&amp;IF(INT(ROUND(MAX(J303,K303),2))=0,"صفر",MID(IF(INT(INT(ROUND(MAX(J303,K303),2))/1000000)&gt;0," و"&amp;INDEX(تفقيط!$D$2:$D$1001,INT(INT(ROUND(MAX(J303,K303),2))/1000000)+1),"")&amp;IF(INT(MOD(INT(ROUND(MAX(J303,K303),2)),1000000)/1000)&gt;0," و"&amp;INDEX(تفقيط!$C$2:$C$1001,INT(MOD(INT(ROUND(MAX(J303,K303),2)),1000000)/1000)+1),"")&amp;IF(MOD(INT(ROUND(MAX(J303,K303),2)),1000)&gt;0," و"&amp;INDEX(تفقيط!$B$2:$B$1001,MOD(INT(ROUND(MAX(J303,K303),2)),1000)+1),""),3,400))&amp;" "&amp;CUR&amp;IF(ROUND((ROUND(MAX(J303,K303),2)-INT(ROUND(MAX(J303,K303),2)))*100,0)&gt;0," و"&amp;INDEX(تفقيط!$E$2:$E$1001,ROUND((ROUND(MAX(J303,K303),2)-INT(ROUND(MAX(J303,K303),2)))*100,0)+1),"")&amp;" لا غير")</f>
        <v/>
      </c>
    </row>
    <row r="304" customFormat="false" ht="15" hidden="false" customHeight="false" outlineLevel="0" collapsed="false">
      <c r="A304" s="62" t="str">
        <f aca="false">IF(C304="","",START_NO+COUNT(C$5:C304)-1)</f>
        <v/>
      </c>
      <c r="B304" s="63" t="str">
        <f aca="false">IF(A304="","",PREFIX&amp;"-"&amp;TEXT(C304,"yyyy")&amp;"-"&amp;A304)</f>
        <v/>
      </c>
      <c r="C304" s="56"/>
      <c r="D304" s="57"/>
      <c r="E304" s="58"/>
      <c r="F304" s="58"/>
      <c r="G304" s="57"/>
      <c r="H304" s="57"/>
      <c r="I304" s="57"/>
      <c r="J304" s="64" t="str">
        <f aca="false">IF(A304="","",SUMIFS('بنود السندات'!$F$5:$F$3004,'بنود السندات'!$A$5:$A$3004,A304))</f>
        <v/>
      </c>
      <c r="K304" s="64" t="str">
        <f aca="false">IF(A304="","",SUMIFS('بنود السندات'!$G$5:$G$3004,'بنود السندات'!$A$5:$A$3004,A304))</f>
        <v/>
      </c>
      <c r="L304" s="64" t="str">
        <f aca="false">IF(A304="","",ROUND(J304-K304,2))</f>
        <v/>
      </c>
      <c r="M304" s="63" t="str">
        <f aca="false">IF(A304="","",COUNTIF('بنود السندات'!$A$5:$A$3004,A304))</f>
        <v/>
      </c>
      <c r="N304" s="65" t="str">
        <f aca="false">IF(A304="","",IF(M304=0,"بدون بنود ⚠",IF(L304=0,"متوازن ✔","غير متوازن ✘")))</f>
        <v/>
      </c>
      <c r="O304" s="66" t="str">
        <f aca="false">IF(A304="","","فقط "&amp;IF(INT(ROUND(MAX(J304,K304),2))=0,"صفر",MID(IF(INT(INT(ROUND(MAX(J304,K304),2))/1000000)&gt;0," و"&amp;INDEX(تفقيط!$D$2:$D$1001,INT(INT(ROUND(MAX(J304,K304),2))/1000000)+1),"")&amp;IF(INT(MOD(INT(ROUND(MAX(J304,K304),2)),1000000)/1000)&gt;0," و"&amp;INDEX(تفقيط!$C$2:$C$1001,INT(MOD(INT(ROUND(MAX(J304,K304),2)),1000000)/1000)+1),"")&amp;IF(MOD(INT(ROUND(MAX(J304,K304),2)),1000)&gt;0," و"&amp;INDEX(تفقيط!$B$2:$B$1001,MOD(INT(ROUND(MAX(J304,K304),2)),1000)+1),""),3,400))&amp;" "&amp;CUR&amp;IF(ROUND((ROUND(MAX(J304,K304),2)-INT(ROUND(MAX(J304,K304),2)))*100,0)&gt;0," و"&amp;INDEX(تفقيط!$E$2:$E$1001,ROUND((ROUND(MAX(J304,K304),2)-INT(ROUND(MAX(J304,K304),2)))*100,0)+1),"")&amp;" لا غير")</f>
        <v/>
      </c>
    </row>
    <row r="305" customFormat="false" ht="15" hidden="false" customHeight="false" outlineLevel="0" collapsed="false">
      <c r="A305" s="54" t="str">
        <f aca="false">IF(C305="","",START_NO+COUNT(C$5:C305)-1)</f>
        <v/>
      </c>
      <c r="B305" s="55" t="str">
        <f aca="false">IF(A305="","",PREFIX&amp;"-"&amp;TEXT(C305,"yyyy")&amp;"-"&amp;A305)</f>
        <v/>
      </c>
      <c r="C305" s="56"/>
      <c r="D305" s="57"/>
      <c r="E305" s="58"/>
      <c r="F305" s="58"/>
      <c r="G305" s="57"/>
      <c r="H305" s="57"/>
      <c r="I305" s="57"/>
      <c r="J305" s="59" t="str">
        <f aca="false">IF(A305="","",SUMIFS('بنود السندات'!$F$5:$F$3004,'بنود السندات'!$A$5:$A$3004,A305))</f>
        <v/>
      </c>
      <c r="K305" s="59" t="str">
        <f aca="false">IF(A305="","",SUMIFS('بنود السندات'!$G$5:$G$3004,'بنود السندات'!$A$5:$A$3004,A305))</f>
        <v/>
      </c>
      <c r="L305" s="59" t="str">
        <f aca="false">IF(A305="","",ROUND(J305-K305,2))</f>
        <v/>
      </c>
      <c r="M305" s="55" t="str">
        <f aca="false">IF(A305="","",COUNTIF('بنود السندات'!$A$5:$A$3004,A305))</f>
        <v/>
      </c>
      <c r="N305" s="60" t="str">
        <f aca="false">IF(A305="","",IF(M305=0,"بدون بنود ⚠",IF(L305=0,"متوازن ✔","غير متوازن ✘")))</f>
        <v/>
      </c>
      <c r="O305" s="61" t="str">
        <f aca="false">IF(A305="","","فقط "&amp;IF(INT(ROUND(MAX(J305,K305),2))=0,"صفر",MID(IF(INT(INT(ROUND(MAX(J305,K305),2))/1000000)&gt;0," و"&amp;INDEX(تفقيط!$D$2:$D$1001,INT(INT(ROUND(MAX(J305,K305),2))/1000000)+1),"")&amp;IF(INT(MOD(INT(ROUND(MAX(J305,K305),2)),1000000)/1000)&gt;0," و"&amp;INDEX(تفقيط!$C$2:$C$1001,INT(MOD(INT(ROUND(MAX(J305,K305),2)),1000000)/1000)+1),"")&amp;IF(MOD(INT(ROUND(MAX(J305,K305),2)),1000)&gt;0," و"&amp;INDEX(تفقيط!$B$2:$B$1001,MOD(INT(ROUND(MAX(J305,K305),2)),1000)+1),""),3,400))&amp;" "&amp;CUR&amp;IF(ROUND((ROUND(MAX(J305,K305),2)-INT(ROUND(MAX(J305,K305),2)))*100,0)&gt;0," و"&amp;INDEX(تفقيط!$E$2:$E$1001,ROUND((ROUND(MAX(J305,K305),2)-INT(ROUND(MAX(J305,K305),2)))*100,0)+1),"")&amp;" لا غير")</f>
        <v/>
      </c>
    </row>
    <row r="306" customFormat="false" ht="15" hidden="false" customHeight="false" outlineLevel="0" collapsed="false">
      <c r="A306" s="62" t="str">
        <f aca="false">IF(C306="","",START_NO+COUNT(C$5:C306)-1)</f>
        <v/>
      </c>
      <c r="B306" s="63" t="str">
        <f aca="false">IF(A306="","",PREFIX&amp;"-"&amp;TEXT(C306,"yyyy")&amp;"-"&amp;A306)</f>
        <v/>
      </c>
      <c r="C306" s="56"/>
      <c r="D306" s="57"/>
      <c r="E306" s="58"/>
      <c r="F306" s="58"/>
      <c r="G306" s="57"/>
      <c r="H306" s="57"/>
      <c r="I306" s="57"/>
      <c r="J306" s="64" t="str">
        <f aca="false">IF(A306="","",SUMIFS('بنود السندات'!$F$5:$F$3004,'بنود السندات'!$A$5:$A$3004,A306))</f>
        <v/>
      </c>
      <c r="K306" s="64" t="str">
        <f aca="false">IF(A306="","",SUMIFS('بنود السندات'!$G$5:$G$3004,'بنود السندات'!$A$5:$A$3004,A306))</f>
        <v/>
      </c>
      <c r="L306" s="64" t="str">
        <f aca="false">IF(A306="","",ROUND(J306-K306,2))</f>
        <v/>
      </c>
      <c r="M306" s="63" t="str">
        <f aca="false">IF(A306="","",COUNTIF('بنود السندات'!$A$5:$A$3004,A306))</f>
        <v/>
      </c>
      <c r="N306" s="65" t="str">
        <f aca="false">IF(A306="","",IF(M306=0,"بدون بنود ⚠",IF(L306=0,"متوازن ✔","غير متوازن ✘")))</f>
        <v/>
      </c>
      <c r="O306" s="66" t="str">
        <f aca="false">IF(A306="","","فقط "&amp;IF(INT(ROUND(MAX(J306,K306),2))=0,"صفر",MID(IF(INT(INT(ROUND(MAX(J306,K306),2))/1000000)&gt;0," و"&amp;INDEX(تفقيط!$D$2:$D$1001,INT(INT(ROUND(MAX(J306,K306),2))/1000000)+1),"")&amp;IF(INT(MOD(INT(ROUND(MAX(J306,K306),2)),1000000)/1000)&gt;0," و"&amp;INDEX(تفقيط!$C$2:$C$1001,INT(MOD(INT(ROUND(MAX(J306,K306),2)),1000000)/1000)+1),"")&amp;IF(MOD(INT(ROUND(MAX(J306,K306),2)),1000)&gt;0," و"&amp;INDEX(تفقيط!$B$2:$B$1001,MOD(INT(ROUND(MAX(J306,K306),2)),1000)+1),""),3,400))&amp;" "&amp;CUR&amp;IF(ROUND((ROUND(MAX(J306,K306),2)-INT(ROUND(MAX(J306,K306),2)))*100,0)&gt;0," و"&amp;INDEX(تفقيط!$E$2:$E$1001,ROUND((ROUND(MAX(J306,K306),2)-INT(ROUND(MAX(J306,K306),2)))*100,0)+1),"")&amp;" لا غير")</f>
        <v/>
      </c>
    </row>
    <row r="307" customFormat="false" ht="15" hidden="false" customHeight="false" outlineLevel="0" collapsed="false">
      <c r="A307" s="54" t="str">
        <f aca="false">IF(C307="","",START_NO+COUNT(C$5:C307)-1)</f>
        <v/>
      </c>
      <c r="B307" s="55" t="str">
        <f aca="false">IF(A307="","",PREFIX&amp;"-"&amp;TEXT(C307,"yyyy")&amp;"-"&amp;A307)</f>
        <v/>
      </c>
      <c r="C307" s="56"/>
      <c r="D307" s="57"/>
      <c r="E307" s="58"/>
      <c r="F307" s="58"/>
      <c r="G307" s="57"/>
      <c r="H307" s="57"/>
      <c r="I307" s="57"/>
      <c r="J307" s="59" t="str">
        <f aca="false">IF(A307="","",SUMIFS('بنود السندات'!$F$5:$F$3004,'بنود السندات'!$A$5:$A$3004,A307))</f>
        <v/>
      </c>
      <c r="K307" s="59" t="str">
        <f aca="false">IF(A307="","",SUMIFS('بنود السندات'!$G$5:$G$3004,'بنود السندات'!$A$5:$A$3004,A307))</f>
        <v/>
      </c>
      <c r="L307" s="59" t="str">
        <f aca="false">IF(A307="","",ROUND(J307-K307,2))</f>
        <v/>
      </c>
      <c r="M307" s="55" t="str">
        <f aca="false">IF(A307="","",COUNTIF('بنود السندات'!$A$5:$A$3004,A307))</f>
        <v/>
      </c>
      <c r="N307" s="60" t="str">
        <f aca="false">IF(A307="","",IF(M307=0,"بدون بنود ⚠",IF(L307=0,"متوازن ✔","غير متوازن ✘")))</f>
        <v/>
      </c>
      <c r="O307" s="61" t="str">
        <f aca="false">IF(A307="","","فقط "&amp;IF(INT(ROUND(MAX(J307,K307),2))=0,"صفر",MID(IF(INT(INT(ROUND(MAX(J307,K307),2))/1000000)&gt;0," و"&amp;INDEX(تفقيط!$D$2:$D$1001,INT(INT(ROUND(MAX(J307,K307),2))/1000000)+1),"")&amp;IF(INT(MOD(INT(ROUND(MAX(J307,K307),2)),1000000)/1000)&gt;0," و"&amp;INDEX(تفقيط!$C$2:$C$1001,INT(MOD(INT(ROUND(MAX(J307,K307),2)),1000000)/1000)+1),"")&amp;IF(MOD(INT(ROUND(MAX(J307,K307),2)),1000)&gt;0," و"&amp;INDEX(تفقيط!$B$2:$B$1001,MOD(INT(ROUND(MAX(J307,K307),2)),1000)+1),""),3,400))&amp;" "&amp;CUR&amp;IF(ROUND((ROUND(MAX(J307,K307),2)-INT(ROUND(MAX(J307,K307),2)))*100,0)&gt;0," و"&amp;INDEX(تفقيط!$E$2:$E$1001,ROUND((ROUND(MAX(J307,K307),2)-INT(ROUND(MAX(J307,K307),2)))*100,0)+1),"")&amp;" لا غير")</f>
        <v/>
      </c>
    </row>
    <row r="308" customFormat="false" ht="15" hidden="false" customHeight="false" outlineLevel="0" collapsed="false">
      <c r="A308" s="62" t="str">
        <f aca="false">IF(C308="","",START_NO+COUNT(C$5:C308)-1)</f>
        <v/>
      </c>
      <c r="B308" s="63" t="str">
        <f aca="false">IF(A308="","",PREFIX&amp;"-"&amp;TEXT(C308,"yyyy")&amp;"-"&amp;A308)</f>
        <v/>
      </c>
      <c r="C308" s="56"/>
      <c r="D308" s="57"/>
      <c r="E308" s="58"/>
      <c r="F308" s="58"/>
      <c r="G308" s="57"/>
      <c r="H308" s="57"/>
      <c r="I308" s="57"/>
      <c r="J308" s="64" t="str">
        <f aca="false">IF(A308="","",SUMIFS('بنود السندات'!$F$5:$F$3004,'بنود السندات'!$A$5:$A$3004,A308))</f>
        <v/>
      </c>
      <c r="K308" s="64" t="str">
        <f aca="false">IF(A308="","",SUMIFS('بنود السندات'!$G$5:$G$3004,'بنود السندات'!$A$5:$A$3004,A308))</f>
        <v/>
      </c>
      <c r="L308" s="64" t="str">
        <f aca="false">IF(A308="","",ROUND(J308-K308,2))</f>
        <v/>
      </c>
      <c r="M308" s="63" t="str">
        <f aca="false">IF(A308="","",COUNTIF('بنود السندات'!$A$5:$A$3004,A308))</f>
        <v/>
      </c>
      <c r="N308" s="65" t="str">
        <f aca="false">IF(A308="","",IF(M308=0,"بدون بنود ⚠",IF(L308=0,"متوازن ✔","غير متوازن ✘")))</f>
        <v/>
      </c>
      <c r="O308" s="66" t="str">
        <f aca="false">IF(A308="","","فقط "&amp;IF(INT(ROUND(MAX(J308,K308),2))=0,"صفر",MID(IF(INT(INT(ROUND(MAX(J308,K308),2))/1000000)&gt;0," و"&amp;INDEX(تفقيط!$D$2:$D$1001,INT(INT(ROUND(MAX(J308,K308),2))/1000000)+1),"")&amp;IF(INT(MOD(INT(ROUND(MAX(J308,K308),2)),1000000)/1000)&gt;0," و"&amp;INDEX(تفقيط!$C$2:$C$1001,INT(MOD(INT(ROUND(MAX(J308,K308),2)),1000000)/1000)+1),"")&amp;IF(MOD(INT(ROUND(MAX(J308,K308),2)),1000)&gt;0," و"&amp;INDEX(تفقيط!$B$2:$B$1001,MOD(INT(ROUND(MAX(J308,K308),2)),1000)+1),""),3,400))&amp;" "&amp;CUR&amp;IF(ROUND((ROUND(MAX(J308,K308),2)-INT(ROUND(MAX(J308,K308),2)))*100,0)&gt;0," و"&amp;INDEX(تفقيط!$E$2:$E$1001,ROUND((ROUND(MAX(J308,K308),2)-INT(ROUND(MAX(J308,K308),2)))*100,0)+1),"")&amp;" لا غير")</f>
        <v/>
      </c>
    </row>
    <row r="309" customFormat="false" ht="15" hidden="false" customHeight="false" outlineLevel="0" collapsed="false">
      <c r="A309" s="54" t="str">
        <f aca="false">IF(C309="","",START_NO+COUNT(C$5:C309)-1)</f>
        <v/>
      </c>
      <c r="B309" s="55" t="str">
        <f aca="false">IF(A309="","",PREFIX&amp;"-"&amp;TEXT(C309,"yyyy")&amp;"-"&amp;A309)</f>
        <v/>
      </c>
      <c r="C309" s="56"/>
      <c r="D309" s="57"/>
      <c r="E309" s="58"/>
      <c r="F309" s="58"/>
      <c r="G309" s="57"/>
      <c r="H309" s="57"/>
      <c r="I309" s="57"/>
      <c r="J309" s="59" t="str">
        <f aca="false">IF(A309="","",SUMIFS('بنود السندات'!$F$5:$F$3004,'بنود السندات'!$A$5:$A$3004,A309))</f>
        <v/>
      </c>
      <c r="K309" s="59" t="str">
        <f aca="false">IF(A309="","",SUMIFS('بنود السندات'!$G$5:$G$3004,'بنود السندات'!$A$5:$A$3004,A309))</f>
        <v/>
      </c>
      <c r="L309" s="59" t="str">
        <f aca="false">IF(A309="","",ROUND(J309-K309,2))</f>
        <v/>
      </c>
      <c r="M309" s="55" t="str">
        <f aca="false">IF(A309="","",COUNTIF('بنود السندات'!$A$5:$A$3004,A309))</f>
        <v/>
      </c>
      <c r="N309" s="60" t="str">
        <f aca="false">IF(A309="","",IF(M309=0,"بدون بنود ⚠",IF(L309=0,"متوازن ✔","غير متوازن ✘")))</f>
        <v/>
      </c>
      <c r="O309" s="61" t="str">
        <f aca="false">IF(A309="","","فقط "&amp;IF(INT(ROUND(MAX(J309,K309),2))=0,"صفر",MID(IF(INT(INT(ROUND(MAX(J309,K309),2))/1000000)&gt;0," و"&amp;INDEX(تفقيط!$D$2:$D$1001,INT(INT(ROUND(MAX(J309,K309),2))/1000000)+1),"")&amp;IF(INT(MOD(INT(ROUND(MAX(J309,K309),2)),1000000)/1000)&gt;0," و"&amp;INDEX(تفقيط!$C$2:$C$1001,INT(MOD(INT(ROUND(MAX(J309,K309),2)),1000000)/1000)+1),"")&amp;IF(MOD(INT(ROUND(MAX(J309,K309),2)),1000)&gt;0," و"&amp;INDEX(تفقيط!$B$2:$B$1001,MOD(INT(ROUND(MAX(J309,K309),2)),1000)+1),""),3,400))&amp;" "&amp;CUR&amp;IF(ROUND((ROUND(MAX(J309,K309),2)-INT(ROUND(MAX(J309,K309),2)))*100,0)&gt;0," و"&amp;INDEX(تفقيط!$E$2:$E$1001,ROUND((ROUND(MAX(J309,K309),2)-INT(ROUND(MAX(J309,K309),2)))*100,0)+1),"")&amp;" لا غير")</f>
        <v/>
      </c>
    </row>
    <row r="310" customFormat="false" ht="15" hidden="false" customHeight="false" outlineLevel="0" collapsed="false">
      <c r="A310" s="62" t="str">
        <f aca="false">IF(C310="","",START_NO+COUNT(C$5:C310)-1)</f>
        <v/>
      </c>
      <c r="B310" s="63" t="str">
        <f aca="false">IF(A310="","",PREFIX&amp;"-"&amp;TEXT(C310,"yyyy")&amp;"-"&amp;A310)</f>
        <v/>
      </c>
      <c r="C310" s="56"/>
      <c r="D310" s="57"/>
      <c r="E310" s="58"/>
      <c r="F310" s="58"/>
      <c r="G310" s="57"/>
      <c r="H310" s="57"/>
      <c r="I310" s="57"/>
      <c r="J310" s="64" t="str">
        <f aca="false">IF(A310="","",SUMIFS('بنود السندات'!$F$5:$F$3004,'بنود السندات'!$A$5:$A$3004,A310))</f>
        <v/>
      </c>
      <c r="K310" s="64" t="str">
        <f aca="false">IF(A310="","",SUMIFS('بنود السندات'!$G$5:$G$3004,'بنود السندات'!$A$5:$A$3004,A310))</f>
        <v/>
      </c>
      <c r="L310" s="64" t="str">
        <f aca="false">IF(A310="","",ROUND(J310-K310,2))</f>
        <v/>
      </c>
      <c r="M310" s="63" t="str">
        <f aca="false">IF(A310="","",COUNTIF('بنود السندات'!$A$5:$A$3004,A310))</f>
        <v/>
      </c>
      <c r="N310" s="65" t="str">
        <f aca="false">IF(A310="","",IF(M310=0,"بدون بنود ⚠",IF(L310=0,"متوازن ✔","غير متوازن ✘")))</f>
        <v/>
      </c>
      <c r="O310" s="66" t="str">
        <f aca="false">IF(A310="","","فقط "&amp;IF(INT(ROUND(MAX(J310,K310),2))=0,"صفر",MID(IF(INT(INT(ROUND(MAX(J310,K310),2))/1000000)&gt;0," و"&amp;INDEX(تفقيط!$D$2:$D$1001,INT(INT(ROUND(MAX(J310,K310),2))/1000000)+1),"")&amp;IF(INT(MOD(INT(ROUND(MAX(J310,K310),2)),1000000)/1000)&gt;0," و"&amp;INDEX(تفقيط!$C$2:$C$1001,INT(MOD(INT(ROUND(MAX(J310,K310),2)),1000000)/1000)+1),"")&amp;IF(MOD(INT(ROUND(MAX(J310,K310),2)),1000)&gt;0," و"&amp;INDEX(تفقيط!$B$2:$B$1001,MOD(INT(ROUND(MAX(J310,K310),2)),1000)+1),""),3,400))&amp;" "&amp;CUR&amp;IF(ROUND((ROUND(MAX(J310,K310),2)-INT(ROUND(MAX(J310,K310),2)))*100,0)&gt;0," و"&amp;INDEX(تفقيط!$E$2:$E$1001,ROUND((ROUND(MAX(J310,K310),2)-INT(ROUND(MAX(J310,K310),2)))*100,0)+1),"")&amp;" لا غير")</f>
        <v/>
      </c>
    </row>
    <row r="311" customFormat="false" ht="15" hidden="false" customHeight="false" outlineLevel="0" collapsed="false">
      <c r="A311" s="54" t="str">
        <f aca="false">IF(C311="","",START_NO+COUNT(C$5:C311)-1)</f>
        <v/>
      </c>
      <c r="B311" s="55" t="str">
        <f aca="false">IF(A311="","",PREFIX&amp;"-"&amp;TEXT(C311,"yyyy")&amp;"-"&amp;A311)</f>
        <v/>
      </c>
      <c r="C311" s="56"/>
      <c r="D311" s="57"/>
      <c r="E311" s="58"/>
      <c r="F311" s="58"/>
      <c r="G311" s="57"/>
      <c r="H311" s="57"/>
      <c r="I311" s="57"/>
      <c r="J311" s="59" t="str">
        <f aca="false">IF(A311="","",SUMIFS('بنود السندات'!$F$5:$F$3004,'بنود السندات'!$A$5:$A$3004,A311))</f>
        <v/>
      </c>
      <c r="K311" s="59" t="str">
        <f aca="false">IF(A311="","",SUMIFS('بنود السندات'!$G$5:$G$3004,'بنود السندات'!$A$5:$A$3004,A311))</f>
        <v/>
      </c>
      <c r="L311" s="59" t="str">
        <f aca="false">IF(A311="","",ROUND(J311-K311,2))</f>
        <v/>
      </c>
      <c r="M311" s="55" t="str">
        <f aca="false">IF(A311="","",COUNTIF('بنود السندات'!$A$5:$A$3004,A311))</f>
        <v/>
      </c>
      <c r="N311" s="60" t="str">
        <f aca="false">IF(A311="","",IF(M311=0,"بدون بنود ⚠",IF(L311=0,"متوازن ✔","غير متوازن ✘")))</f>
        <v/>
      </c>
      <c r="O311" s="61" t="str">
        <f aca="false">IF(A311="","","فقط "&amp;IF(INT(ROUND(MAX(J311,K311),2))=0,"صفر",MID(IF(INT(INT(ROUND(MAX(J311,K311),2))/1000000)&gt;0," و"&amp;INDEX(تفقيط!$D$2:$D$1001,INT(INT(ROUND(MAX(J311,K311),2))/1000000)+1),"")&amp;IF(INT(MOD(INT(ROUND(MAX(J311,K311),2)),1000000)/1000)&gt;0," و"&amp;INDEX(تفقيط!$C$2:$C$1001,INT(MOD(INT(ROUND(MAX(J311,K311),2)),1000000)/1000)+1),"")&amp;IF(MOD(INT(ROUND(MAX(J311,K311),2)),1000)&gt;0," و"&amp;INDEX(تفقيط!$B$2:$B$1001,MOD(INT(ROUND(MAX(J311,K311),2)),1000)+1),""),3,400))&amp;" "&amp;CUR&amp;IF(ROUND((ROUND(MAX(J311,K311),2)-INT(ROUND(MAX(J311,K311),2)))*100,0)&gt;0," و"&amp;INDEX(تفقيط!$E$2:$E$1001,ROUND((ROUND(MAX(J311,K311),2)-INT(ROUND(MAX(J311,K311),2)))*100,0)+1),"")&amp;" لا غير")</f>
        <v/>
      </c>
    </row>
    <row r="312" customFormat="false" ht="15" hidden="false" customHeight="false" outlineLevel="0" collapsed="false">
      <c r="A312" s="62" t="str">
        <f aca="false">IF(C312="","",START_NO+COUNT(C$5:C312)-1)</f>
        <v/>
      </c>
      <c r="B312" s="63" t="str">
        <f aca="false">IF(A312="","",PREFIX&amp;"-"&amp;TEXT(C312,"yyyy")&amp;"-"&amp;A312)</f>
        <v/>
      </c>
      <c r="C312" s="56"/>
      <c r="D312" s="57"/>
      <c r="E312" s="58"/>
      <c r="F312" s="58"/>
      <c r="G312" s="57"/>
      <c r="H312" s="57"/>
      <c r="I312" s="57"/>
      <c r="J312" s="64" t="str">
        <f aca="false">IF(A312="","",SUMIFS('بنود السندات'!$F$5:$F$3004,'بنود السندات'!$A$5:$A$3004,A312))</f>
        <v/>
      </c>
      <c r="K312" s="64" t="str">
        <f aca="false">IF(A312="","",SUMIFS('بنود السندات'!$G$5:$G$3004,'بنود السندات'!$A$5:$A$3004,A312))</f>
        <v/>
      </c>
      <c r="L312" s="64" t="str">
        <f aca="false">IF(A312="","",ROUND(J312-K312,2))</f>
        <v/>
      </c>
      <c r="M312" s="63" t="str">
        <f aca="false">IF(A312="","",COUNTIF('بنود السندات'!$A$5:$A$3004,A312))</f>
        <v/>
      </c>
      <c r="N312" s="65" t="str">
        <f aca="false">IF(A312="","",IF(M312=0,"بدون بنود ⚠",IF(L312=0,"متوازن ✔","غير متوازن ✘")))</f>
        <v/>
      </c>
      <c r="O312" s="66" t="str">
        <f aca="false">IF(A312="","","فقط "&amp;IF(INT(ROUND(MAX(J312,K312),2))=0,"صفر",MID(IF(INT(INT(ROUND(MAX(J312,K312),2))/1000000)&gt;0," و"&amp;INDEX(تفقيط!$D$2:$D$1001,INT(INT(ROUND(MAX(J312,K312),2))/1000000)+1),"")&amp;IF(INT(MOD(INT(ROUND(MAX(J312,K312),2)),1000000)/1000)&gt;0," و"&amp;INDEX(تفقيط!$C$2:$C$1001,INT(MOD(INT(ROUND(MAX(J312,K312),2)),1000000)/1000)+1),"")&amp;IF(MOD(INT(ROUND(MAX(J312,K312),2)),1000)&gt;0," و"&amp;INDEX(تفقيط!$B$2:$B$1001,MOD(INT(ROUND(MAX(J312,K312),2)),1000)+1),""),3,400))&amp;" "&amp;CUR&amp;IF(ROUND((ROUND(MAX(J312,K312),2)-INT(ROUND(MAX(J312,K312),2)))*100,0)&gt;0," و"&amp;INDEX(تفقيط!$E$2:$E$1001,ROUND((ROUND(MAX(J312,K312),2)-INT(ROUND(MAX(J312,K312),2)))*100,0)+1),"")&amp;" لا غير")</f>
        <v/>
      </c>
    </row>
    <row r="313" customFormat="false" ht="15" hidden="false" customHeight="false" outlineLevel="0" collapsed="false">
      <c r="A313" s="54" t="str">
        <f aca="false">IF(C313="","",START_NO+COUNT(C$5:C313)-1)</f>
        <v/>
      </c>
      <c r="B313" s="55" t="str">
        <f aca="false">IF(A313="","",PREFIX&amp;"-"&amp;TEXT(C313,"yyyy")&amp;"-"&amp;A313)</f>
        <v/>
      </c>
      <c r="C313" s="56"/>
      <c r="D313" s="57"/>
      <c r="E313" s="58"/>
      <c r="F313" s="58"/>
      <c r="G313" s="57"/>
      <c r="H313" s="57"/>
      <c r="I313" s="57"/>
      <c r="J313" s="59" t="str">
        <f aca="false">IF(A313="","",SUMIFS('بنود السندات'!$F$5:$F$3004,'بنود السندات'!$A$5:$A$3004,A313))</f>
        <v/>
      </c>
      <c r="K313" s="59" t="str">
        <f aca="false">IF(A313="","",SUMIFS('بنود السندات'!$G$5:$G$3004,'بنود السندات'!$A$5:$A$3004,A313))</f>
        <v/>
      </c>
      <c r="L313" s="59" t="str">
        <f aca="false">IF(A313="","",ROUND(J313-K313,2))</f>
        <v/>
      </c>
      <c r="M313" s="55" t="str">
        <f aca="false">IF(A313="","",COUNTIF('بنود السندات'!$A$5:$A$3004,A313))</f>
        <v/>
      </c>
      <c r="N313" s="60" t="str">
        <f aca="false">IF(A313="","",IF(M313=0,"بدون بنود ⚠",IF(L313=0,"متوازن ✔","غير متوازن ✘")))</f>
        <v/>
      </c>
      <c r="O313" s="61" t="str">
        <f aca="false">IF(A313="","","فقط "&amp;IF(INT(ROUND(MAX(J313,K313),2))=0,"صفر",MID(IF(INT(INT(ROUND(MAX(J313,K313),2))/1000000)&gt;0," و"&amp;INDEX(تفقيط!$D$2:$D$1001,INT(INT(ROUND(MAX(J313,K313),2))/1000000)+1),"")&amp;IF(INT(MOD(INT(ROUND(MAX(J313,K313),2)),1000000)/1000)&gt;0," و"&amp;INDEX(تفقيط!$C$2:$C$1001,INT(MOD(INT(ROUND(MAX(J313,K313),2)),1000000)/1000)+1),"")&amp;IF(MOD(INT(ROUND(MAX(J313,K313),2)),1000)&gt;0," و"&amp;INDEX(تفقيط!$B$2:$B$1001,MOD(INT(ROUND(MAX(J313,K313),2)),1000)+1),""),3,400))&amp;" "&amp;CUR&amp;IF(ROUND((ROUND(MAX(J313,K313),2)-INT(ROUND(MAX(J313,K313),2)))*100,0)&gt;0," و"&amp;INDEX(تفقيط!$E$2:$E$1001,ROUND((ROUND(MAX(J313,K313),2)-INT(ROUND(MAX(J313,K313),2)))*100,0)+1),"")&amp;" لا غير")</f>
        <v/>
      </c>
    </row>
    <row r="314" customFormat="false" ht="15" hidden="false" customHeight="false" outlineLevel="0" collapsed="false">
      <c r="A314" s="62" t="str">
        <f aca="false">IF(C314="","",START_NO+COUNT(C$5:C314)-1)</f>
        <v/>
      </c>
      <c r="B314" s="63" t="str">
        <f aca="false">IF(A314="","",PREFIX&amp;"-"&amp;TEXT(C314,"yyyy")&amp;"-"&amp;A314)</f>
        <v/>
      </c>
      <c r="C314" s="56"/>
      <c r="D314" s="57"/>
      <c r="E314" s="58"/>
      <c r="F314" s="58"/>
      <c r="G314" s="57"/>
      <c r="H314" s="57"/>
      <c r="I314" s="57"/>
      <c r="J314" s="64" t="str">
        <f aca="false">IF(A314="","",SUMIFS('بنود السندات'!$F$5:$F$3004,'بنود السندات'!$A$5:$A$3004,A314))</f>
        <v/>
      </c>
      <c r="K314" s="64" t="str">
        <f aca="false">IF(A314="","",SUMIFS('بنود السندات'!$G$5:$G$3004,'بنود السندات'!$A$5:$A$3004,A314))</f>
        <v/>
      </c>
      <c r="L314" s="64" t="str">
        <f aca="false">IF(A314="","",ROUND(J314-K314,2))</f>
        <v/>
      </c>
      <c r="M314" s="63" t="str">
        <f aca="false">IF(A314="","",COUNTIF('بنود السندات'!$A$5:$A$3004,A314))</f>
        <v/>
      </c>
      <c r="N314" s="65" t="str">
        <f aca="false">IF(A314="","",IF(M314=0,"بدون بنود ⚠",IF(L314=0,"متوازن ✔","غير متوازن ✘")))</f>
        <v/>
      </c>
      <c r="O314" s="66" t="str">
        <f aca="false">IF(A314="","","فقط "&amp;IF(INT(ROUND(MAX(J314,K314),2))=0,"صفر",MID(IF(INT(INT(ROUND(MAX(J314,K314),2))/1000000)&gt;0," و"&amp;INDEX(تفقيط!$D$2:$D$1001,INT(INT(ROUND(MAX(J314,K314),2))/1000000)+1),"")&amp;IF(INT(MOD(INT(ROUND(MAX(J314,K314),2)),1000000)/1000)&gt;0," و"&amp;INDEX(تفقيط!$C$2:$C$1001,INT(MOD(INT(ROUND(MAX(J314,K314),2)),1000000)/1000)+1),"")&amp;IF(MOD(INT(ROUND(MAX(J314,K314),2)),1000)&gt;0," و"&amp;INDEX(تفقيط!$B$2:$B$1001,MOD(INT(ROUND(MAX(J314,K314),2)),1000)+1),""),3,400))&amp;" "&amp;CUR&amp;IF(ROUND((ROUND(MAX(J314,K314),2)-INT(ROUND(MAX(J314,K314),2)))*100,0)&gt;0," و"&amp;INDEX(تفقيط!$E$2:$E$1001,ROUND((ROUND(MAX(J314,K314),2)-INT(ROUND(MAX(J314,K314),2)))*100,0)+1),"")&amp;" لا غير")</f>
        <v/>
      </c>
    </row>
    <row r="315" customFormat="false" ht="15" hidden="false" customHeight="false" outlineLevel="0" collapsed="false">
      <c r="A315" s="54" t="str">
        <f aca="false">IF(C315="","",START_NO+COUNT(C$5:C315)-1)</f>
        <v/>
      </c>
      <c r="B315" s="55" t="str">
        <f aca="false">IF(A315="","",PREFIX&amp;"-"&amp;TEXT(C315,"yyyy")&amp;"-"&amp;A315)</f>
        <v/>
      </c>
      <c r="C315" s="56"/>
      <c r="D315" s="57"/>
      <c r="E315" s="58"/>
      <c r="F315" s="58"/>
      <c r="G315" s="57"/>
      <c r="H315" s="57"/>
      <c r="I315" s="57"/>
      <c r="J315" s="59" t="str">
        <f aca="false">IF(A315="","",SUMIFS('بنود السندات'!$F$5:$F$3004,'بنود السندات'!$A$5:$A$3004,A315))</f>
        <v/>
      </c>
      <c r="K315" s="59" t="str">
        <f aca="false">IF(A315="","",SUMIFS('بنود السندات'!$G$5:$G$3004,'بنود السندات'!$A$5:$A$3004,A315))</f>
        <v/>
      </c>
      <c r="L315" s="59" t="str">
        <f aca="false">IF(A315="","",ROUND(J315-K315,2))</f>
        <v/>
      </c>
      <c r="M315" s="55" t="str">
        <f aca="false">IF(A315="","",COUNTIF('بنود السندات'!$A$5:$A$3004,A315))</f>
        <v/>
      </c>
      <c r="N315" s="60" t="str">
        <f aca="false">IF(A315="","",IF(M315=0,"بدون بنود ⚠",IF(L315=0,"متوازن ✔","غير متوازن ✘")))</f>
        <v/>
      </c>
      <c r="O315" s="61" t="str">
        <f aca="false">IF(A315="","","فقط "&amp;IF(INT(ROUND(MAX(J315,K315),2))=0,"صفر",MID(IF(INT(INT(ROUND(MAX(J315,K315),2))/1000000)&gt;0," و"&amp;INDEX(تفقيط!$D$2:$D$1001,INT(INT(ROUND(MAX(J315,K315),2))/1000000)+1),"")&amp;IF(INT(MOD(INT(ROUND(MAX(J315,K315),2)),1000000)/1000)&gt;0," و"&amp;INDEX(تفقيط!$C$2:$C$1001,INT(MOD(INT(ROUND(MAX(J315,K315),2)),1000000)/1000)+1),"")&amp;IF(MOD(INT(ROUND(MAX(J315,K315),2)),1000)&gt;0," و"&amp;INDEX(تفقيط!$B$2:$B$1001,MOD(INT(ROUND(MAX(J315,K315),2)),1000)+1),""),3,400))&amp;" "&amp;CUR&amp;IF(ROUND((ROUND(MAX(J315,K315),2)-INT(ROUND(MAX(J315,K315),2)))*100,0)&gt;0," و"&amp;INDEX(تفقيط!$E$2:$E$1001,ROUND((ROUND(MAX(J315,K315),2)-INT(ROUND(MAX(J315,K315),2)))*100,0)+1),"")&amp;" لا غير")</f>
        <v/>
      </c>
    </row>
    <row r="316" customFormat="false" ht="15" hidden="false" customHeight="false" outlineLevel="0" collapsed="false">
      <c r="A316" s="62" t="str">
        <f aca="false">IF(C316="","",START_NO+COUNT(C$5:C316)-1)</f>
        <v/>
      </c>
      <c r="B316" s="63" t="str">
        <f aca="false">IF(A316="","",PREFIX&amp;"-"&amp;TEXT(C316,"yyyy")&amp;"-"&amp;A316)</f>
        <v/>
      </c>
      <c r="C316" s="56"/>
      <c r="D316" s="57"/>
      <c r="E316" s="58"/>
      <c r="F316" s="58"/>
      <c r="G316" s="57"/>
      <c r="H316" s="57"/>
      <c r="I316" s="57"/>
      <c r="J316" s="64" t="str">
        <f aca="false">IF(A316="","",SUMIFS('بنود السندات'!$F$5:$F$3004,'بنود السندات'!$A$5:$A$3004,A316))</f>
        <v/>
      </c>
      <c r="K316" s="64" t="str">
        <f aca="false">IF(A316="","",SUMIFS('بنود السندات'!$G$5:$G$3004,'بنود السندات'!$A$5:$A$3004,A316))</f>
        <v/>
      </c>
      <c r="L316" s="64" t="str">
        <f aca="false">IF(A316="","",ROUND(J316-K316,2))</f>
        <v/>
      </c>
      <c r="M316" s="63" t="str">
        <f aca="false">IF(A316="","",COUNTIF('بنود السندات'!$A$5:$A$3004,A316))</f>
        <v/>
      </c>
      <c r="N316" s="65" t="str">
        <f aca="false">IF(A316="","",IF(M316=0,"بدون بنود ⚠",IF(L316=0,"متوازن ✔","غير متوازن ✘")))</f>
        <v/>
      </c>
      <c r="O316" s="66" t="str">
        <f aca="false">IF(A316="","","فقط "&amp;IF(INT(ROUND(MAX(J316,K316),2))=0,"صفر",MID(IF(INT(INT(ROUND(MAX(J316,K316),2))/1000000)&gt;0," و"&amp;INDEX(تفقيط!$D$2:$D$1001,INT(INT(ROUND(MAX(J316,K316),2))/1000000)+1),"")&amp;IF(INT(MOD(INT(ROUND(MAX(J316,K316),2)),1000000)/1000)&gt;0," و"&amp;INDEX(تفقيط!$C$2:$C$1001,INT(MOD(INT(ROUND(MAX(J316,K316),2)),1000000)/1000)+1),"")&amp;IF(MOD(INT(ROUND(MAX(J316,K316),2)),1000)&gt;0," و"&amp;INDEX(تفقيط!$B$2:$B$1001,MOD(INT(ROUND(MAX(J316,K316),2)),1000)+1),""),3,400))&amp;" "&amp;CUR&amp;IF(ROUND((ROUND(MAX(J316,K316),2)-INT(ROUND(MAX(J316,K316),2)))*100,0)&gt;0," و"&amp;INDEX(تفقيط!$E$2:$E$1001,ROUND((ROUND(MAX(J316,K316),2)-INT(ROUND(MAX(J316,K316),2)))*100,0)+1),"")&amp;" لا غير")</f>
        <v/>
      </c>
    </row>
    <row r="317" customFormat="false" ht="15" hidden="false" customHeight="false" outlineLevel="0" collapsed="false">
      <c r="A317" s="54" t="str">
        <f aca="false">IF(C317="","",START_NO+COUNT(C$5:C317)-1)</f>
        <v/>
      </c>
      <c r="B317" s="55" t="str">
        <f aca="false">IF(A317="","",PREFIX&amp;"-"&amp;TEXT(C317,"yyyy")&amp;"-"&amp;A317)</f>
        <v/>
      </c>
      <c r="C317" s="56"/>
      <c r="D317" s="57"/>
      <c r="E317" s="58"/>
      <c r="F317" s="58"/>
      <c r="G317" s="57"/>
      <c r="H317" s="57"/>
      <c r="I317" s="57"/>
      <c r="J317" s="59" t="str">
        <f aca="false">IF(A317="","",SUMIFS('بنود السندات'!$F$5:$F$3004,'بنود السندات'!$A$5:$A$3004,A317))</f>
        <v/>
      </c>
      <c r="K317" s="59" t="str">
        <f aca="false">IF(A317="","",SUMIFS('بنود السندات'!$G$5:$G$3004,'بنود السندات'!$A$5:$A$3004,A317))</f>
        <v/>
      </c>
      <c r="L317" s="59" t="str">
        <f aca="false">IF(A317="","",ROUND(J317-K317,2))</f>
        <v/>
      </c>
      <c r="M317" s="55" t="str">
        <f aca="false">IF(A317="","",COUNTIF('بنود السندات'!$A$5:$A$3004,A317))</f>
        <v/>
      </c>
      <c r="N317" s="60" t="str">
        <f aca="false">IF(A317="","",IF(M317=0,"بدون بنود ⚠",IF(L317=0,"متوازن ✔","غير متوازن ✘")))</f>
        <v/>
      </c>
      <c r="O317" s="61" t="str">
        <f aca="false">IF(A317="","","فقط "&amp;IF(INT(ROUND(MAX(J317,K317),2))=0,"صفر",MID(IF(INT(INT(ROUND(MAX(J317,K317),2))/1000000)&gt;0," و"&amp;INDEX(تفقيط!$D$2:$D$1001,INT(INT(ROUND(MAX(J317,K317),2))/1000000)+1),"")&amp;IF(INT(MOD(INT(ROUND(MAX(J317,K317),2)),1000000)/1000)&gt;0," و"&amp;INDEX(تفقيط!$C$2:$C$1001,INT(MOD(INT(ROUND(MAX(J317,K317),2)),1000000)/1000)+1),"")&amp;IF(MOD(INT(ROUND(MAX(J317,K317),2)),1000)&gt;0," و"&amp;INDEX(تفقيط!$B$2:$B$1001,MOD(INT(ROUND(MAX(J317,K317),2)),1000)+1),""),3,400))&amp;" "&amp;CUR&amp;IF(ROUND((ROUND(MAX(J317,K317),2)-INT(ROUND(MAX(J317,K317),2)))*100,0)&gt;0," و"&amp;INDEX(تفقيط!$E$2:$E$1001,ROUND((ROUND(MAX(J317,K317),2)-INT(ROUND(MAX(J317,K317),2)))*100,0)+1),"")&amp;" لا غير")</f>
        <v/>
      </c>
    </row>
    <row r="318" customFormat="false" ht="15" hidden="false" customHeight="false" outlineLevel="0" collapsed="false">
      <c r="A318" s="62" t="str">
        <f aca="false">IF(C318="","",START_NO+COUNT(C$5:C318)-1)</f>
        <v/>
      </c>
      <c r="B318" s="63" t="str">
        <f aca="false">IF(A318="","",PREFIX&amp;"-"&amp;TEXT(C318,"yyyy")&amp;"-"&amp;A318)</f>
        <v/>
      </c>
      <c r="C318" s="56"/>
      <c r="D318" s="57"/>
      <c r="E318" s="58"/>
      <c r="F318" s="58"/>
      <c r="G318" s="57"/>
      <c r="H318" s="57"/>
      <c r="I318" s="57"/>
      <c r="J318" s="64" t="str">
        <f aca="false">IF(A318="","",SUMIFS('بنود السندات'!$F$5:$F$3004,'بنود السندات'!$A$5:$A$3004,A318))</f>
        <v/>
      </c>
      <c r="K318" s="64" t="str">
        <f aca="false">IF(A318="","",SUMIFS('بنود السندات'!$G$5:$G$3004,'بنود السندات'!$A$5:$A$3004,A318))</f>
        <v/>
      </c>
      <c r="L318" s="64" t="str">
        <f aca="false">IF(A318="","",ROUND(J318-K318,2))</f>
        <v/>
      </c>
      <c r="M318" s="63" t="str">
        <f aca="false">IF(A318="","",COUNTIF('بنود السندات'!$A$5:$A$3004,A318))</f>
        <v/>
      </c>
      <c r="N318" s="65" t="str">
        <f aca="false">IF(A318="","",IF(M318=0,"بدون بنود ⚠",IF(L318=0,"متوازن ✔","غير متوازن ✘")))</f>
        <v/>
      </c>
      <c r="O318" s="66" t="str">
        <f aca="false">IF(A318="","","فقط "&amp;IF(INT(ROUND(MAX(J318,K318),2))=0,"صفر",MID(IF(INT(INT(ROUND(MAX(J318,K318),2))/1000000)&gt;0," و"&amp;INDEX(تفقيط!$D$2:$D$1001,INT(INT(ROUND(MAX(J318,K318),2))/1000000)+1),"")&amp;IF(INT(MOD(INT(ROUND(MAX(J318,K318),2)),1000000)/1000)&gt;0," و"&amp;INDEX(تفقيط!$C$2:$C$1001,INT(MOD(INT(ROUND(MAX(J318,K318),2)),1000000)/1000)+1),"")&amp;IF(MOD(INT(ROUND(MAX(J318,K318),2)),1000)&gt;0," و"&amp;INDEX(تفقيط!$B$2:$B$1001,MOD(INT(ROUND(MAX(J318,K318),2)),1000)+1),""),3,400))&amp;" "&amp;CUR&amp;IF(ROUND((ROUND(MAX(J318,K318),2)-INT(ROUND(MAX(J318,K318),2)))*100,0)&gt;0," و"&amp;INDEX(تفقيط!$E$2:$E$1001,ROUND((ROUND(MAX(J318,K318),2)-INT(ROUND(MAX(J318,K318),2)))*100,0)+1),"")&amp;" لا غير")</f>
        <v/>
      </c>
    </row>
    <row r="319" customFormat="false" ht="15" hidden="false" customHeight="false" outlineLevel="0" collapsed="false">
      <c r="A319" s="54" t="str">
        <f aca="false">IF(C319="","",START_NO+COUNT(C$5:C319)-1)</f>
        <v/>
      </c>
      <c r="B319" s="55" t="str">
        <f aca="false">IF(A319="","",PREFIX&amp;"-"&amp;TEXT(C319,"yyyy")&amp;"-"&amp;A319)</f>
        <v/>
      </c>
      <c r="C319" s="56"/>
      <c r="D319" s="57"/>
      <c r="E319" s="58"/>
      <c r="F319" s="58"/>
      <c r="G319" s="57"/>
      <c r="H319" s="57"/>
      <c r="I319" s="57"/>
      <c r="J319" s="59" t="str">
        <f aca="false">IF(A319="","",SUMIFS('بنود السندات'!$F$5:$F$3004,'بنود السندات'!$A$5:$A$3004,A319))</f>
        <v/>
      </c>
      <c r="K319" s="59" t="str">
        <f aca="false">IF(A319="","",SUMIFS('بنود السندات'!$G$5:$G$3004,'بنود السندات'!$A$5:$A$3004,A319))</f>
        <v/>
      </c>
      <c r="L319" s="59" t="str">
        <f aca="false">IF(A319="","",ROUND(J319-K319,2))</f>
        <v/>
      </c>
      <c r="M319" s="55" t="str">
        <f aca="false">IF(A319="","",COUNTIF('بنود السندات'!$A$5:$A$3004,A319))</f>
        <v/>
      </c>
      <c r="N319" s="60" t="str">
        <f aca="false">IF(A319="","",IF(M319=0,"بدون بنود ⚠",IF(L319=0,"متوازن ✔","غير متوازن ✘")))</f>
        <v/>
      </c>
      <c r="O319" s="61" t="str">
        <f aca="false">IF(A319="","","فقط "&amp;IF(INT(ROUND(MAX(J319,K319),2))=0,"صفر",MID(IF(INT(INT(ROUND(MAX(J319,K319),2))/1000000)&gt;0," و"&amp;INDEX(تفقيط!$D$2:$D$1001,INT(INT(ROUND(MAX(J319,K319),2))/1000000)+1),"")&amp;IF(INT(MOD(INT(ROUND(MAX(J319,K319),2)),1000000)/1000)&gt;0," و"&amp;INDEX(تفقيط!$C$2:$C$1001,INT(MOD(INT(ROUND(MAX(J319,K319),2)),1000000)/1000)+1),"")&amp;IF(MOD(INT(ROUND(MAX(J319,K319),2)),1000)&gt;0," و"&amp;INDEX(تفقيط!$B$2:$B$1001,MOD(INT(ROUND(MAX(J319,K319),2)),1000)+1),""),3,400))&amp;" "&amp;CUR&amp;IF(ROUND((ROUND(MAX(J319,K319),2)-INT(ROUND(MAX(J319,K319),2)))*100,0)&gt;0," و"&amp;INDEX(تفقيط!$E$2:$E$1001,ROUND((ROUND(MAX(J319,K319),2)-INT(ROUND(MAX(J319,K319),2)))*100,0)+1),"")&amp;" لا غير")</f>
        <v/>
      </c>
    </row>
    <row r="320" customFormat="false" ht="15" hidden="false" customHeight="false" outlineLevel="0" collapsed="false">
      <c r="A320" s="62" t="str">
        <f aca="false">IF(C320="","",START_NO+COUNT(C$5:C320)-1)</f>
        <v/>
      </c>
      <c r="B320" s="63" t="str">
        <f aca="false">IF(A320="","",PREFIX&amp;"-"&amp;TEXT(C320,"yyyy")&amp;"-"&amp;A320)</f>
        <v/>
      </c>
      <c r="C320" s="56"/>
      <c r="D320" s="57"/>
      <c r="E320" s="58"/>
      <c r="F320" s="58"/>
      <c r="G320" s="57"/>
      <c r="H320" s="57"/>
      <c r="I320" s="57"/>
      <c r="J320" s="64" t="str">
        <f aca="false">IF(A320="","",SUMIFS('بنود السندات'!$F$5:$F$3004,'بنود السندات'!$A$5:$A$3004,A320))</f>
        <v/>
      </c>
      <c r="K320" s="64" t="str">
        <f aca="false">IF(A320="","",SUMIFS('بنود السندات'!$G$5:$G$3004,'بنود السندات'!$A$5:$A$3004,A320))</f>
        <v/>
      </c>
      <c r="L320" s="64" t="str">
        <f aca="false">IF(A320="","",ROUND(J320-K320,2))</f>
        <v/>
      </c>
      <c r="M320" s="63" t="str">
        <f aca="false">IF(A320="","",COUNTIF('بنود السندات'!$A$5:$A$3004,A320))</f>
        <v/>
      </c>
      <c r="N320" s="65" t="str">
        <f aca="false">IF(A320="","",IF(M320=0,"بدون بنود ⚠",IF(L320=0,"متوازن ✔","غير متوازن ✘")))</f>
        <v/>
      </c>
      <c r="O320" s="66" t="str">
        <f aca="false">IF(A320="","","فقط "&amp;IF(INT(ROUND(MAX(J320,K320),2))=0,"صفر",MID(IF(INT(INT(ROUND(MAX(J320,K320),2))/1000000)&gt;0," و"&amp;INDEX(تفقيط!$D$2:$D$1001,INT(INT(ROUND(MAX(J320,K320),2))/1000000)+1),"")&amp;IF(INT(MOD(INT(ROUND(MAX(J320,K320),2)),1000000)/1000)&gt;0," و"&amp;INDEX(تفقيط!$C$2:$C$1001,INT(MOD(INT(ROUND(MAX(J320,K320),2)),1000000)/1000)+1),"")&amp;IF(MOD(INT(ROUND(MAX(J320,K320),2)),1000)&gt;0," و"&amp;INDEX(تفقيط!$B$2:$B$1001,MOD(INT(ROUND(MAX(J320,K320),2)),1000)+1),""),3,400))&amp;" "&amp;CUR&amp;IF(ROUND((ROUND(MAX(J320,K320),2)-INT(ROUND(MAX(J320,K320),2)))*100,0)&gt;0," و"&amp;INDEX(تفقيط!$E$2:$E$1001,ROUND((ROUND(MAX(J320,K320),2)-INT(ROUND(MAX(J320,K320),2)))*100,0)+1),"")&amp;" لا غير")</f>
        <v/>
      </c>
    </row>
    <row r="321" customFormat="false" ht="15" hidden="false" customHeight="false" outlineLevel="0" collapsed="false">
      <c r="A321" s="54" t="str">
        <f aca="false">IF(C321="","",START_NO+COUNT(C$5:C321)-1)</f>
        <v/>
      </c>
      <c r="B321" s="55" t="str">
        <f aca="false">IF(A321="","",PREFIX&amp;"-"&amp;TEXT(C321,"yyyy")&amp;"-"&amp;A321)</f>
        <v/>
      </c>
      <c r="C321" s="56"/>
      <c r="D321" s="57"/>
      <c r="E321" s="58"/>
      <c r="F321" s="58"/>
      <c r="G321" s="57"/>
      <c r="H321" s="57"/>
      <c r="I321" s="57"/>
      <c r="J321" s="59" t="str">
        <f aca="false">IF(A321="","",SUMIFS('بنود السندات'!$F$5:$F$3004,'بنود السندات'!$A$5:$A$3004,A321))</f>
        <v/>
      </c>
      <c r="K321" s="59" t="str">
        <f aca="false">IF(A321="","",SUMIFS('بنود السندات'!$G$5:$G$3004,'بنود السندات'!$A$5:$A$3004,A321))</f>
        <v/>
      </c>
      <c r="L321" s="59" t="str">
        <f aca="false">IF(A321="","",ROUND(J321-K321,2))</f>
        <v/>
      </c>
      <c r="M321" s="55" t="str">
        <f aca="false">IF(A321="","",COUNTIF('بنود السندات'!$A$5:$A$3004,A321))</f>
        <v/>
      </c>
      <c r="N321" s="60" t="str">
        <f aca="false">IF(A321="","",IF(M321=0,"بدون بنود ⚠",IF(L321=0,"متوازن ✔","غير متوازن ✘")))</f>
        <v/>
      </c>
      <c r="O321" s="61" t="str">
        <f aca="false">IF(A321="","","فقط "&amp;IF(INT(ROUND(MAX(J321,K321),2))=0,"صفر",MID(IF(INT(INT(ROUND(MAX(J321,K321),2))/1000000)&gt;0," و"&amp;INDEX(تفقيط!$D$2:$D$1001,INT(INT(ROUND(MAX(J321,K321),2))/1000000)+1),"")&amp;IF(INT(MOD(INT(ROUND(MAX(J321,K321),2)),1000000)/1000)&gt;0," و"&amp;INDEX(تفقيط!$C$2:$C$1001,INT(MOD(INT(ROUND(MAX(J321,K321),2)),1000000)/1000)+1),"")&amp;IF(MOD(INT(ROUND(MAX(J321,K321),2)),1000)&gt;0," و"&amp;INDEX(تفقيط!$B$2:$B$1001,MOD(INT(ROUND(MAX(J321,K321),2)),1000)+1),""),3,400))&amp;" "&amp;CUR&amp;IF(ROUND((ROUND(MAX(J321,K321),2)-INT(ROUND(MAX(J321,K321),2)))*100,0)&gt;0," و"&amp;INDEX(تفقيط!$E$2:$E$1001,ROUND((ROUND(MAX(J321,K321),2)-INT(ROUND(MAX(J321,K321),2)))*100,0)+1),"")&amp;" لا غير")</f>
        <v/>
      </c>
    </row>
    <row r="322" customFormat="false" ht="15" hidden="false" customHeight="false" outlineLevel="0" collapsed="false">
      <c r="A322" s="62" t="str">
        <f aca="false">IF(C322="","",START_NO+COUNT(C$5:C322)-1)</f>
        <v/>
      </c>
      <c r="B322" s="63" t="str">
        <f aca="false">IF(A322="","",PREFIX&amp;"-"&amp;TEXT(C322,"yyyy")&amp;"-"&amp;A322)</f>
        <v/>
      </c>
      <c r="C322" s="56"/>
      <c r="D322" s="57"/>
      <c r="E322" s="58"/>
      <c r="F322" s="58"/>
      <c r="G322" s="57"/>
      <c r="H322" s="57"/>
      <c r="I322" s="57"/>
      <c r="J322" s="64" t="str">
        <f aca="false">IF(A322="","",SUMIFS('بنود السندات'!$F$5:$F$3004,'بنود السندات'!$A$5:$A$3004,A322))</f>
        <v/>
      </c>
      <c r="K322" s="64" t="str">
        <f aca="false">IF(A322="","",SUMIFS('بنود السندات'!$G$5:$G$3004,'بنود السندات'!$A$5:$A$3004,A322))</f>
        <v/>
      </c>
      <c r="L322" s="64" t="str">
        <f aca="false">IF(A322="","",ROUND(J322-K322,2))</f>
        <v/>
      </c>
      <c r="M322" s="63" t="str">
        <f aca="false">IF(A322="","",COUNTIF('بنود السندات'!$A$5:$A$3004,A322))</f>
        <v/>
      </c>
      <c r="N322" s="65" t="str">
        <f aca="false">IF(A322="","",IF(M322=0,"بدون بنود ⚠",IF(L322=0,"متوازن ✔","غير متوازن ✘")))</f>
        <v/>
      </c>
      <c r="O322" s="66" t="str">
        <f aca="false">IF(A322="","","فقط "&amp;IF(INT(ROUND(MAX(J322,K322),2))=0,"صفر",MID(IF(INT(INT(ROUND(MAX(J322,K322),2))/1000000)&gt;0," و"&amp;INDEX(تفقيط!$D$2:$D$1001,INT(INT(ROUND(MAX(J322,K322),2))/1000000)+1),"")&amp;IF(INT(MOD(INT(ROUND(MAX(J322,K322),2)),1000000)/1000)&gt;0," و"&amp;INDEX(تفقيط!$C$2:$C$1001,INT(MOD(INT(ROUND(MAX(J322,K322),2)),1000000)/1000)+1),"")&amp;IF(MOD(INT(ROUND(MAX(J322,K322),2)),1000)&gt;0," و"&amp;INDEX(تفقيط!$B$2:$B$1001,MOD(INT(ROUND(MAX(J322,K322),2)),1000)+1),""),3,400))&amp;" "&amp;CUR&amp;IF(ROUND((ROUND(MAX(J322,K322),2)-INT(ROUND(MAX(J322,K322),2)))*100,0)&gt;0," و"&amp;INDEX(تفقيط!$E$2:$E$1001,ROUND((ROUND(MAX(J322,K322),2)-INT(ROUND(MAX(J322,K322),2)))*100,0)+1),"")&amp;" لا غير")</f>
        <v/>
      </c>
    </row>
    <row r="323" customFormat="false" ht="15" hidden="false" customHeight="false" outlineLevel="0" collapsed="false">
      <c r="A323" s="54" t="str">
        <f aca="false">IF(C323="","",START_NO+COUNT(C$5:C323)-1)</f>
        <v/>
      </c>
      <c r="B323" s="55" t="str">
        <f aca="false">IF(A323="","",PREFIX&amp;"-"&amp;TEXT(C323,"yyyy")&amp;"-"&amp;A323)</f>
        <v/>
      </c>
      <c r="C323" s="56"/>
      <c r="D323" s="57"/>
      <c r="E323" s="58"/>
      <c r="F323" s="58"/>
      <c r="G323" s="57"/>
      <c r="H323" s="57"/>
      <c r="I323" s="57"/>
      <c r="J323" s="59" t="str">
        <f aca="false">IF(A323="","",SUMIFS('بنود السندات'!$F$5:$F$3004,'بنود السندات'!$A$5:$A$3004,A323))</f>
        <v/>
      </c>
      <c r="K323" s="59" t="str">
        <f aca="false">IF(A323="","",SUMIFS('بنود السندات'!$G$5:$G$3004,'بنود السندات'!$A$5:$A$3004,A323))</f>
        <v/>
      </c>
      <c r="L323" s="59" t="str">
        <f aca="false">IF(A323="","",ROUND(J323-K323,2))</f>
        <v/>
      </c>
      <c r="M323" s="55" t="str">
        <f aca="false">IF(A323="","",COUNTIF('بنود السندات'!$A$5:$A$3004,A323))</f>
        <v/>
      </c>
      <c r="N323" s="60" t="str">
        <f aca="false">IF(A323="","",IF(M323=0,"بدون بنود ⚠",IF(L323=0,"متوازن ✔","غير متوازن ✘")))</f>
        <v/>
      </c>
      <c r="O323" s="61" t="str">
        <f aca="false">IF(A323="","","فقط "&amp;IF(INT(ROUND(MAX(J323,K323),2))=0,"صفر",MID(IF(INT(INT(ROUND(MAX(J323,K323),2))/1000000)&gt;0," و"&amp;INDEX(تفقيط!$D$2:$D$1001,INT(INT(ROUND(MAX(J323,K323),2))/1000000)+1),"")&amp;IF(INT(MOD(INT(ROUND(MAX(J323,K323),2)),1000000)/1000)&gt;0," و"&amp;INDEX(تفقيط!$C$2:$C$1001,INT(MOD(INT(ROUND(MAX(J323,K323),2)),1000000)/1000)+1),"")&amp;IF(MOD(INT(ROUND(MAX(J323,K323),2)),1000)&gt;0," و"&amp;INDEX(تفقيط!$B$2:$B$1001,MOD(INT(ROUND(MAX(J323,K323),2)),1000)+1),""),3,400))&amp;" "&amp;CUR&amp;IF(ROUND((ROUND(MAX(J323,K323),2)-INT(ROUND(MAX(J323,K323),2)))*100,0)&gt;0," و"&amp;INDEX(تفقيط!$E$2:$E$1001,ROUND((ROUND(MAX(J323,K323),2)-INT(ROUND(MAX(J323,K323),2)))*100,0)+1),"")&amp;" لا غير")</f>
        <v/>
      </c>
    </row>
    <row r="324" customFormat="false" ht="15" hidden="false" customHeight="false" outlineLevel="0" collapsed="false">
      <c r="A324" s="62" t="str">
        <f aca="false">IF(C324="","",START_NO+COUNT(C$5:C324)-1)</f>
        <v/>
      </c>
      <c r="B324" s="63" t="str">
        <f aca="false">IF(A324="","",PREFIX&amp;"-"&amp;TEXT(C324,"yyyy")&amp;"-"&amp;A324)</f>
        <v/>
      </c>
      <c r="C324" s="56"/>
      <c r="D324" s="57"/>
      <c r="E324" s="58"/>
      <c r="F324" s="58"/>
      <c r="G324" s="57"/>
      <c r="H324" s="57"/>
      <c r="I324" s="57"/>
      <c r="J324" s="64" t="str">
        <f aca="false">IF(A324="","",SUMIFS('بنود السندات'!$F$5:$F$3004,'بنود السندات'!$A$5:$A$3004,A324))</f>
        <v/>
      </c>
      <c r="K324" s="64" t="str">
        <f aca="false">IF(A324="","",SUMIFS('بنود السندات'!$G$5:$G$3004,'بنود السندات'!$A$5:$A$3004,A324))</f>
        <v/>
      </c>
      <c r="L324" s="64" t="str">
        <f aca="false">IF(A324="","",ROUND(J324-K324,2))</f>
        <v/>
      </c>
      <c r="M324" s="63" t="str">
        <f aca="false">IF(A324="","",COUNTIF('بنود السندات'!$A$5:$A$3004,A324))</f>
        <v/>
      </c>
      <c r="N324" s="65" t="str">
        <f aca="false">IF(A324="","",IF(M324=0,"بدون بنود ⚠",IF(L324=0,"متوازن ✔","غير متوازن ✘")))</f>
        <v/>
      </c>
      <c r="O324" s="66" t="str">
        <f aca="false">IF(A324="","","فقط "&amp;IF(INT(ROUND(MAX(J324,K324),2))=0,"صفر",MID(IF(INT(INT(ROUND(MAX(J324,K324),2))/1000000)&gt;0," و"&amp;INDEX(تفقيط!$D$2:$D$1001,INT(INT(ROUND(MAX(J324,K324),2))/1000000)+1),"")&amp;IF(INT(MOD(INT(ROUND(MAX(J324,K324),2)),1000000)/1000)&gt;0," و"&amp;INDEX(تفقيط!$C$2:$C$1001,INT(MOD(INT(ROUND(MAX(J324,K324),2)),1000000)/1000)+1),"")&amp;IF(MOD(INT(ROUND(MAX(J324,K324),2)),1000)&gt;0," و"&amp;INDEX(تفقيط!$B$2:$B$1001,MOD(INT(ROUND(MAX(J324,K324),2)),1000)+1),""),3,400))&amp;" "&amp;CUR&amp;IF(ROUND((ROUND(MAX(J324,K324),2)-INT(ROUND(MAX(J324,K324),2)))*100,0)&gt;0," و"&amp;INDEX(تفقيط!$E$2:$E$1001,ROUND((ROUND(MAX(J324,K324),2)-INT(ROUND(MAX(J324,K324),2)))*100,0)+1),"")&amp;" لا غير")</f>
        <v/>
      </c>
    </row>
    <row r="325" customFormat="false" ht="15" hidden="false" customHeight="false" outlineLevel="0" collapsed="false">
      <c r="A325" s="54" t="str">
        <f aca="false">IF(C325="","",START_NO+COUNT(C$5:C325)-1)</f>
        <v/>
      </c>
      <c r="B325" s="55" t="str">
        <f aca="false">IF(A325="","",PREFIX&amp;"-"&amp;TEXT(C325,"yyyy")&amp;"-"&amp;A325)</f>
        <v/>
      </c>
      <c r="C325" s="56"/>
      <c r="D325" s="57"/>
      <c r="E325" s="58"/>
      <c r="F325" s="58"/>
      <c r="G325" s="57"/>
      <c r="H325" s="57"/>
      <c r="I325" s="57"/>
      <c r="J325" s="59" t="str">
        <f aca="false">IF(A325="","",SUMIFS('بنود السندات'!$F$5:$F$3004,'بنود السندات'!$A$5:$A$3004,A325))</f>
        <v/>
      </c>
      <c r="K325" s="59" t="str">
        <f aca="false">IF(A325="","",SUMIFS('بنود السندات'!$G$5:$G$3004,'بنود السندات'!$A$5:$A$3004,A325))</f>
        <v/>
      </c>
      <c r="L325" s="59" t="str">
        <f aca="false">IF(A325="","",ROUND(J325-K325,2))</f>
        <v/>
      </c>
      <c r="M325" s="55" t="str">
        <f aca="false">IF(A325="","",COUNTIF('بنود السندات'!$A$5:$A$3004,A325))</f>
        <v/>
      </c>
      <c r="N325" s="60" t="str">
        <f aca="false">IF(A325="","",IF(M325=0,"بدون بنود ⚠",IF(L325=0,"متوازن ✔","غير متوازن ✘")))</f>
        <v/>
      </c>
      <c r="O325" s="61" t="str">
        <f aca="false">IF(A325="","","فقط "&amp;IF(INT(ROUND(MAX(J325,K325),2))=0,"صفر",MID(IF(INT(INT(ROUND(MAX(J325,K325),2))/1000000)&gt;0," و"&amp;INDEX(تفقيط!$D$2:$D$1001,INT(INT(ROUND(MAX(J325,K325),2))/1000000)+1),"")&amp;IF(INT(MOD(INT(ROUND(MAX(J325,K325),2)),1000000)/1000)&gt;0," و"&amp;INDEX(تفقيط!$C$2:$C$1001,INT(MOD(INT(ROUND(MAX(J325,K325),2)),1000000)/1000)+1),"")&amp;IF(MOD(INT(ROUND(MAX(J325,K325),2)),1000)&gt;0," و"&amp;INDEX(تفقيط!$B$2:$B$1001,MOD(INT(ROUND(MAX(J325,K325),2)),1000)+1),""),3,400))&amp;" "&amp;CUR&amp;IF(ROUND((ROUND(MAX(J325,K325),2)-INT(ROUND(MAX(J325,K325),2)))*100,0)&gt;0," و"&amp;INDEX(تفقيط!$E$2:$E$1001,ROUND((ROUND(MAX(J325,K325),2)-INT(ROUND(MAX(J325,K325),2)))*100,0)+1),"")&amp;" لا غير")</f>
        <v/>
      </c>
    </row>
    <row r="326" customFormat="false" ht="15" hidden="false" customHeight="false" outlineLevel="0" collapsed="false">
      <c r="A326" s="62" t="str">
        <f aca="false">IF(C326="","",START_NO+COUNT(C$5:C326)-1)</f>
        <v/>
      </c>
      <c r="B326" s="63" t="str">
        <f aca="false">IF(A326="","",PREFIX&amp;"-"&amp;TEXT(C326,"yyyy")&amp;"-"&amp;A326)</f>
        <v/>
      </c>
      <c r="C326" s="56"/>
      <c r="D326" s="57"/>
      <c r="E326" s="58"/>
      <c r="F326" s="58"/>
      <c r="G326" s="57"/>
      <c r="H326" s="57"/>
      <c r="I326" s="57"/>
      <c r="J326" s="64" t="str">
        <f aca="false">IF(A326="","",SUMIFS('بنود السندات'!$F$5:$F$3004,'بنود السندات'!$A$5:$A$3004,A326))</f>
        <v/>
      </c>
      <c r="K326" s="64" t="str">
        <f aca="false">IF(A326="","",SUMIFS('بنود السندات'!$G$5:$G$3004,'بنود السندات'!$A$5:$A$3004,A326))</f>
        <v/>
      </c>
      <c r="L326" s="64" t="str">
        <f aca="false">IF(A326="","",ROUND(J326-K326,2))</f>
        <v/>
      </c>
      <c r="M326" s="63" t="str">
        <f aca="false">IF(A326="","",COUNTIF('بنود السندات'!$A$5:$A$3004,A326))</f>
        <v/>
      </c>
      <c r="N326" s="65" t="str">
        <f aca="false">IF(A326="","",IF(M326=0,"بدون بنود ⚠",IF(L326=0,"متوازن ✔","غير متوازن ✘")))</f>
        <v/>
      </c>
      <c r="O326" s="66" t="str">
        <f aca="false">IF(A326="","","فقط "&amp;IF(INT(ROUND(MAX(J326,K326),2))=0,"صفر",MID(IF(INT(INT(ROUND(MAX(J326,K326),2))/1000000)&gt;0," و"&amp;INDEX(تفقيط!$D$2:$D$1001,INT(INT(ROUND(MAX(J326,K326),2))/1000000)+1),"")&amp;IF(INT(MOD(INT(ROUND(MAX(J326,K326),2)),1000000)/1000)&gt;0," و"&amp;INDEX(تفقيط!$C$2:$C$1001,INT(MOD(INT(ROUND(MAX(J326,K326),2)),1000000)/1000)+1),"")&amp;IF(MOD(INT(ROUND(MAX(J326,K326),2)),1000)&gt;0," و"&amp;INDEX(تفقيط!$B$2:$B$1001,MOD(INT(ROUND(MAX(J326,K326),2)),1000)+1),""),3,400))&amp;" "&amp;CUR&amp;IF(ROUND((ROUND(MAX(J326,K326),2)-INT(ROUND(MAX(J326,K326),2)))*100,0)&gt;0," و"&amp;INDEX(تفقيط!$E$2:$E$1001,ROUND((ROUND(MAX(J326,K326),2)-INT(ROUND(MAX(J326,K326),2)))*100,0)+1),"")&amp;" لا غير")</f>
        <v/>
      </c>
    </row>
    <row r="327" customFormat="false" ht="15" hidden="false" customHeight="false" outlineLevel="0" collapsed="false">
      <c r="A327" s="54" t="str">
        <f aca="false">IF(C327="","",START_NO+COUNT(C$5:C327)-1)</f>
        <v/>
      </c>
      <c r="B327" s="55" t="str">
        <f aca="false">IF(A327="","",PREFIX&amp;"-"&amp;TEXT(C327,"yyyy")&amp;"-"&amp;A327)</f>
        <v/>
      </c>
      <c r="C327" s="56"/>
      <c r="D327" s="57"/>
      <c r="E327" s="58"/>
      <c r="F327" s="58"/>
      <c r="G327" s="57"/>
      <c r="H327" s="57"/>
      <c r="I327" s="57"/>
      <c r="J327" s="59" t="str">
        <f aca="false">IF(A327="","",SUMIFS('بنود السندات'!$F$5:$F$3004,'بنود السندات'!$A$5:$A$3004,A327))</f>
        <v/>
      </c>
      <c r="K327" s="59" t="str">
        <f aca="false">IF(A327="","",SUMIFS('بنود السندات'!$G$5:$G$3004,'بنود السندات'!$A$5:$A$3004,A327))</f>
        <v/>
      </c>
      <c r="L327" s="59" t="str">
        <f aca="false">IF(A327="","",ROUND(J327-K327,2))</f>
        <v/>
      </c>
      <c r="M327" s="55" t="str">
        <f aca="false">IF(A327="","",COUNTIF('بنود السندات'!$A$5:$A$3004,A327))</f>
        <v/>
      </c>
      <c r="N327" s="60" t="str">
        <f aca="false">IF(A327="","",IF(M327=0,"بدون بنود ⚠",IF(L327=0,"متوازن ✔","غير متوازن ✘")))</f>
        <v/>
      </c>
      <c r="O327" s="61" t="str">
        <f aca="false">IF(A327="","","فقط "&amp;IF(INT(ROUND(MAX(J327,K327),2))=0,"صفر",MID(IF(INT(INT(ROUND(MAX(J327,K327),2))/1000000)&gt;0," و"&amp;INDEX(تفقيط!$D$2:$D$1001,INT(INT(ROUND(MAX(J327,K327),2))/1000000)+1),"")&amp;IF(INT(MOD(INT(ROUND(MAX(J327,K327),2)),1000000)/1000)&gt;0," و"&amp;INDEX(تفقيط!$C$2:$C$1001,INT(MOD(INT(ROUND(MAX(J327,K327),2)),1000000)/1000)+1),"")&amp;IF(MOD(INT(ROUND(MAX(J327,K327),2)),1000)&gt;0," و"&amp;INDEX(تفقيط!$B$2:$B$1001,MOD(INT(ROUND(MAX(J327,K327),2)),1000)+1),""),3,400))&amp;" "&amp;CUR&amp;IF(ROUND((ROUND(MAX(J327,K327),2)-INT(ROUND(MAX(J327,K327),2)))*100,0)&gt;0," و"&amp;INDEX(تفقيط!$E$2:$E$1001,ROUND((ROUND(MAX(J327,K327),2)-INT(ROUND(MAX(J327,K327),2)))*100,0)+1),"")&amp;" لا غير")</f>
        <v/>
      </c>
    </row>
    <row r="328" customFormat="false" ht="15" hidden="false" customHeight="false" outlineLevel="0" collapsed="false">
      <c r="A328" s="62" t="str">
        <f aca="false">IF(C328="","",START_NO+COUNT(C$5:C328)-1)</f>
        <v/>
      </c>
      <c r="B328" s="63" t="str">
        <f aca="false">IF(A328="","",PREFIX&amp;"-"&amp;TEXT(C328,"yyyy")&amp;"-"&amp;A328)</f>
        <v/>
      </c>
      <c r="C328" s="56"/>
      <c r="D328" s="57"/>
      <c r="E328" s="58"/>
      <c r="F328" s="58"/>
      <c r="G328" s="57"/>
      <c r="H328" s="57"/>
      <c r="I328" s="57"/>
      <c r="J328" s="64" t="str">
        <f aca="false">IF(A328="","",SUMIFS('بنود السندات'!$F$5:$F$3004,'بنود السندات'!$A$5:$A$3004,A328))</f>
        <v/>
      </c>
      <c r="K328" s="64" t="str">
        <f aca="false">IF(A328="","",SUMIFS('بنود السندات'!$G$5:$G$3004,'بنود السندات'!$A$5:$A$3004,A328))</f>
        <v/>
      </c>
      <c r="L328" s="64" t="str">
        <f aca="false">IF(A328="","",ROUND(J328-K328,2))</f>
        <v/>
      </c>
      <c r="M328" s="63" t="str">
        <f aca="false">IF(A328="","",COUNTIF('بنود السندات'!$A$5:$A$3004,A328))</f>
        <v/>
      </c>
      <c r="N328" s="65" t="str">
        <f aca="false">IF(A328="","",IF(M328=0,"بدون بنود ⚠",IF(L328=0,"متوازن ✔","غير متوازن ✘")))</f>
        <v/>
      </c>
      <c r="O328" s="66" t="str">
        <f aca="false">IF(A328="","","فقط "&amp;IF(INT(ROUND(MAX(J328,K328),2))=0,"صفر",MID(IF(INT(INT(ROUND(MAX(J328,K328),2))/1000000)&gt;0," و"&amp;INDEX(تفقيط!$D$2:$D$1001,INT(INT(ROUND(MAX(J328,K328),2))/1000000)+1),"")&amp;IF(INT(MOD(INT(ROUND(MAX(J328,K328),2)),1000000)/1000)&gt;0," و"&amp;INDEX(تفقيط!$C$2:$C$1001,INT(MOD(INT(ROUND(MAX(J328,K328),2)),1000000)/1000)+1),"")&amp;IF(MOD(INT(ROUND(MAX(J328,K328),2)),1000)&gt;0," و"&amp;INDEX(تفقيط!$B$2:$B$1001,MOD(INT(ROUND(MAX(J328,K328),2)),1000)+1),""),3,400))&amp;" "&amp;CUR&amp;IF(ROUND((ROUND(MAX(J328,K328),2)-INT(ROUND(MAX(J328,K328),2)))*100,0)&gt;0," و"&amp;INDEX(تفقيط!$E$2:$E$1001,ROUND((ROUND(MAX(J328,K328),2)-INT(ROUND(MAX(J328,K328),2)))*100,0)+1),"")&amp;" لا غير")</f>
        <v/>
      </c>
    </row>
    <row r="329" customFormat="false" ht="15" hidden="false" customHeight="false" outlineLevel="0" collapsed="false">
      <c r="A329" s="54" t="str">
        <f aca="false">IF(C329="","",START_NO+COUNT(C$5:C329)-1)</f>
        <v/>
      </c>
      <c r="B329" s="55" t="str">
        <f aca="false">IF(A329="","",PREFIX&amp;"-"&amp;TEXT(C329,"yyyy")&amp;"-"&amp;A329)</f>
        <v/>
      </c>
      <c r="C329" s="56"/>
      <c r="D329" s="57"/>
      <c r="E329" s="58"/>
      <c r="F329" s="58"/>
      <c r="G329" s="57"/>
      <c r="H329" s="57"/>
      <c r="I329" s="57"/>
      <c r="J329" s="59" t="str">
        <f aca="false">IF(A329="","",SUMIFS('بنود السندات'!$F$5:$F$3004,'بنود السندات'!$A$5:$A$3004,A329))</f>
        <v/>
      </c>
      <c r="K329" s="59" t="str">
        <f aca="false">IF(A329="","",SUMIFS('بنود السندات'!$G$5:$G$3004,'بنود السندات'!$A$5:$A$3004,A329))</f>
        <v/>
      </c>
      <c r="L329" s="59" t="str">
        <f aca="false">IF(A329="","",ROUND(J329-K329,2))</f>
        <v/>
      </c>
      <c r="M329" s="55" t="str">
        <f aca="false">IF(A329="","",COUNTIF('بنود السندات'!$A$5:$A$3004,A329))</f>
        <v/>
      </c>
      <c r="N329" s="60" t="str">
        <f aca="false">IF(A329="","",IF(M329=0,"بدون بنود ⚠",IF(L329=0,"متوازن ✔","غير متوازن ✘")))</f>
        <v/>
      </c>
      <c r="O329" s="61" t="str">
        <f aca="false">IF(A329="","","فقط "&amp;IF(INT(ROUND(MAX(J329,K329),2))=0,"صفر",MID(IF(INT(INT(ROUND(MAX(J329,K329),2))/1000000)&gt;0," و"&amp;INDEX(تفقيط!$D$2:$D$1001,INT(INT(ROUND(MAX(J329,K329),2))/1000000)+1),"")&amp;IF(INT(MOD(INT(ROUND(MAX(J329,K329),2)),1000000)/1000)&gt;0," و"&amp;INDEX(تفقيط!$C$2:$C$1001,INT(MOD(INT(ROUND(MAX(J329,K329),2)),1000000)/1000)+1),"")&amp;IF(MOD(INT(ROUND(MAX(J329,K329),2)),1000)&gt;0," و"&amp;INDEX(تفقيط!$B$2:$B$1001,MOD(INT(ROUND(MAX(J329,K329),2)),1000)+1),""),3,400))&amp;" "&amp;CUR&amp;IF(ROUND((ROUND(MAX(J329,K329),2)-INT(ROUND(MAX(J329,K329),2)))*100,0)&gt;0," و"&amp;INDEX(تفقيط!$E$2:$E$1001,ROUND((ROUND(MAX(J329,K329),2)-INT(ROUND(MAX(J329,K329),2)))*100,0)+1),"")&amp;" لا غير")</f>
        <v/>
      </c>
    </row>
    <row r="330" customFormat="false" ht="15" hidden="false" customHeight="false" outlineLevel="0" collapsed="false">
      <c r="A330" s="62" t="str">
        <f aca="false">IF(C330="","",START_NO+COUNT(C$5:C330)-1)</f>
        <v/>
      </c>
      <c r="B330" s="63" t="str">
        <f aca="false">IF(A330="","",PREFIX&amp;"-"&amp;TEXT(C330,"yyyy")&amp;"-"&amp;A330)</f>
        <v/>
      </c>
      <c r="C330" s="56"/>
      <c r="D330" s="57"/>
      <c r="E330" s="58"/>
      <c r="F330" s="58"/>
      <c r="G330" s="57"/>
      <c r="H330" s="57"/>
      <c r="I330" s="57"/>
      <c r="J330" s="64" t="str">
        <f aca="false">IF(A330="","",SUMIFS('بنود السندات'!$F$5:$F$3004,'بنود السندات'!$A$5:$A$3004,A330))</f>
        <v/>
      </c>
      <c r="K330" s="64" t="str">
        <f aca="false">IF(A330="","",SUMIFS('بنود السندات'!$G$5:$G$3004,'بنود السندات'!$A$5:$A$3004,A330))</f>
        <v/>
      </c>
      <c r="L330" s="64" t="str">
        <f aca="false">IF(A330="","",ROUND(J330-K330,2))</f>
        <v/>
      </c>
      <c r="M330" s="63" t="str">
        <f aca="false">IF(A330="","",COUNTIF('بنود السندات'!$A$5:$A$3004,A330))</f>
        <v/>
      </c>
      <c r="N330" s="65" t="str">
        <f aca="false">IF(A330="","",IF(M330=0,"بدون بنود ⚠",IF(L330=0,"متوازن ✔","غير متوازن ✘")))</f>
        <v/>
      </c>
      <c r="O330" s="66" t="str">
        <f aca="false">IF(A330="","","فقط "&amp;IF(INT(ROUND(MAX(J330,K330),2))=0,"صفر",MID(IF(INT(INT(ROUND(MAX(J330,K330),2))/1000000)&gt;0," و"&amp;INDEX(تفقيط!$D$2:$D$1001,INT(INT(ROUND(MAX(J330,K330),2))/1000000)+1),"")&amp;IF(INT(MOD(INT(ROUND(MAX(J330,K330),2)),1000000)/1000)&gt;0," و"&amp;INDEX(تفقيط!$C$2:$C$1001,INT(MOD(INT(ROUND(MAX(J330,K330),2)),1000000)/1000)+1),"")&amp;IF(MOD(INT(ROUND(MAX(J330,K330),2)),1000)&gt;0," و"&amp;INDEX(تفقيط!$B$2:$B$1001,MOD(INT(ROUND(MAX(J330,K330),2)),1000)+1),""),3,400))&amp;" "&amp;CUR&amp;IF(ROUND((ROUND(MAX(J330,K330),2)-INT(ROUND(MAX(J330,K330),2)))*100,0)&gt;0," و"&amp;INDEX(تفقيط!$E$2:$E$1001,ROUND((ROUND(MAX(J330,K330),2)-INT(ROUND(MAX(J330,K330),2)))*100,0)+1),"")&amp;" لا غير")</f>
        <v/>
      </c>
    </row>
    <row r="331" customFormat="false" ht="15" hidden="false" customHeight="false" outlineLevel="0" collapsed="false">
      <c r="A331" s="54" t="str">
        <f aca="false">IF(C331="","",START_NO+COUNT(C$5:C331)-1)</f>
        <v/>
      </c>
      <c r="B331" s="55" t="str">
        <f aca="false">IF(A331="","",PREFIX&amp;"-"&amp;TEXT(C331,"yyyy")&amp;"-"&amp;A331)</f>
        <v/>
      </c>
      <c r="C331" s="56"/>
      <c r="D331" s="57"/>
      <c r="E331" s="58"/>
      <c r="F331" s="58"/>
      <c r="G331" s="57"/>
      <c r="H331" s="57"/>
      <c r="I331" s="57"/>
      <c r="J331" s="59" t="str">
        <f aca="false">IF(A331="","",SUMIFS('بنود السندات'!$F$5:$F$3004,'بنود السندات'!$A$5:$A$3004,A331))</f>
        <v/>
      </c>
      <c r="K331" s="59" t="str">
        <f aca="false">IF(A331="","",SUMIFS('بنود السندات'!$G$5:$G$3004,'بنود السندات'!$A$5:$A$3004,A331))</f>
        <v/>
      </c>
      <c r="L331" s="59" t="str">
        <f aca="false">IF(A331="","",ROUND(J331-K331,2))</f>
        <v/>
      </c>
      <c r="M331" s="55" t="str">
        <f aca="false">IF(A331="","",COUNTIF('بنود السندات'!$A$5:$A$3004,A331))</f>
        <v/>
      </c>
      <c r="N331" s="60" t="str">
        <f aca="false">IF(A331="","",IF(M331=0,"بدون بنود ⚠",IF(L331=0,"متوازن ✔","غير متوازن ✘")))</f>
        <v/>
      </c>
      <c r="O331" s="61" t="str">
        <f aca="false">IF(A331="","","فقط "&amp;IF(INT(ROUND(MAX(J331,K331),2))=0,"صفر",MID(IF(INT(INT(ROUND(MAX(J331,K331),2))/1000000)&gt;0," و"&amp;INDEX(تفقيط!$D$2:$D$1001,INT(INT(ROUND(MAX(J331,K331),2))/1000000)+1),"")&amp;IF(INT(MOD(INT(ROUND(MAX(J331,K331),2)),1000000)/1000)&gt;0," و"&amp;INDEX(تفقيط!$C$2:$C$1001,INT(MOD(INT(ROUND(MAX(J331,K331),2)),1000000)/1000)+1),"")&amp;IF(MOD(INT(ROUND(MAX(J331,K331),2)),1000)&gt;0," و"&amp;INDEX(تفقيط!$B$2:$B$1001,MOD(INT(ROUND(MAX(J331,K331),2)),1000)+1),""),3,400))&amp;" "&amp;CUR&amp;IF(ROUND((ROUND(MAX(J331,K331),2)-INT(ROUND(MAX(J331,K331),2)))*100,0)&gt;0," و"&amp;INDEX(تفقيط!$E$2:$E$1001,ROUND((ROUND(MAX(J331,K331),2)-INT(ROUND(MAX(J331,K331),2)))*100,0)+1),"")&amp;" لا غير")</f>
        <v/>
      </c>
    </row>
    <row r="332" customFormat="false" ht="15" hidden="false" customHeight="false" outlineLevel="0" collapsed="false">
      <c r="A332" s="62" t="str">
        <f aca="false">IF(C332="","",START_NO+COUNT(C$5:C332)-1)</f>
        <v/>
      </c>
      <c r="B332" s="63" t="str">
        <f aca="false">IF(A332="","",PREFIX&amp;"-"&amp;TEXT(C332,"yyyy")&amp;"-"&amp;A332)</f>
        <v/>
      </c>
      <c r="C332" s="56"/>
      <c r="D332" s="57"/>
      <c r="E332" s="58"/>
      <c r="F332" s="58"/>
      <c r="G332" s="57"/>
      <c r="H332" s="57"/>
      <c r="I332" s="57"/>
      <c r="J332" s="64" t="str">
        <f aca="false">IF(A332="","",SUMIFS('بنود السندات'!$F$5:$F$3004,'بنود السندات'!$A$5:$A$3004,A332))</f>
        <v/>
      </c>
      <c r="K332" s="64" t="str">
        <f aca="false">IF(A332="","",SUMIFS('بنود السندات'!$G$5:$G$3004,'بنود السندات'!$A$5:$A$3004,A332))</f>
        <v/>
      </c>
      <c r="L332" s="64" t="str">
        <f aca="false">IF(A332="","",ROUND(J332-K332,2))</f>
        <v/>
      </c>
      <c r="M332" s="63" t="str">
        <f aca="false">IF(A332="","",COUNTIF('بنود السندات'!$A$5:$A$3004,A332))</f>
        <v/>
      </c>
      <c r="N332" s="65" t="str">
        <f aca="false">IF(A332="","",IF(M332=0,"بدون بنود ⚠",IF(L332=0,"متوازن ✔","غير متوازن ✘")))</f>
        <v/>
      </c>
      <c r="O332" s="66" t="str">
        <f aca="false">IF(A332="","","فقط "&amp;IF(INT(ROUND(MAX(J332,K332),2))=0,"صفر",MID(IF(INT(INT(ROUND(MAX(J332,K332),2))/1000000)&gt;0," و"&amp;INDEX(تفقيط!$D$2:$D$1001,INT(INT(ROUND(MAX(J332,K332),2))/1000000)+1),"")&amp;IF(INT(MOD(INT(ROUND(MAX(J332,K332),2)),1000000)/1000)&gt;0," و"&amp;INDEX(تفقيط!$C$2:$C$1001,INT(MOD(INT(ROUND(MAX(J332,K332),2)),1000000)/1000)+1),"")&amp;IF(MOD(INT(ROUND(MAX(J332,K332),2)),1000)&gt;0," و"&amp;INDEX(تفقيط!$B$2:$B$1001,MOD(INT(ROUND(MAX(J332,K332),2)),1000)+1),""),3,400))&amp;" "&amp;CUR&amp;IF(ROUND((ROUND(MAX(J332,K332),2)-INT(ROUND(MAX(J332,K332),2)))*100,0)&gt;0," و"&amp;INDEX(تفقيط!$E$2:$E$1001,ROUND((ROUND(MAX(J332,K332),2)-INT(ROUND(MAX(J332,K332),2)))*100,0)+1),"")&amp;" لا غير")</f>
        <v/>
      </c>
    </row>
    <row r="333" customFormat="false" ht="15" hidden="false" customHeight="false" outlineLevel="0" collapsed="false">
      <c r="A333" s="54" t="str">
        <f aca="false">IF(C333="","",START_NO+COUNT(C$5:C333)-1)</f>
        <v/>
      </c>
      <c r="B333" s="55" t="str">
        <f aca="false">IF(A333="","",PREFIX&amp;"-"&amp;TEXT(C333,"yyyy")&amp;"-"&amp;A333)</f>
        <v/>
      </c>
      <c r="C333" s="56"/>
      <c r="D333" s="57"/>
      <c r="E333" s="58"/>
      <c r="F333" s="58"/>
      <c r="G333" s="57"/>
      <c r="H333" s="57"/>
      <c r="I333" s="57"/>
      <c r="J333" s="59" t="str">
        <f aca="false">IF(A333="","",SUMIFS('بنود السندات'!$F$5:$F$3004,'بنود السندات'!$A$5:$A$3004,A333))</f>
        <v/>
      </c>
      <c r="K333" s="59" t="str">
        <f aca="false">IF(A333="","",SUMIFS('بنود السندات'!$G$5:$G$3004,'بنود السندات'!$A$5:$A$3004,A333))</f>
        <v/>
      </c>
      <c r="L333" s="59" t="str">
        <f aca="false">IF(A333="","",ROUND(J333-K333,2))</f>
        <v/>
      </c>
      <c r="M333" s="55" t="str">
        <f aca="false">IF(A333="","",COUNTIF('بنود السندات'!$A$5:$A$3004,A333))</f>
        <v/>
      </c>
      <c r="N333" s="60" t="str">
        <f aca="false">IF(A333="","",IF(M333=0,"بدون بنود ⚠",IF(L333=0,"متوازن ✔","غير متوازن ✘")))</f>
        <v/>
      </c>
      <c r="O333" s="61" t="str">
        <f aca="false">IF(A333="","","فقط "&amp;IF(INT(ROUND(MAX(J333,K333),2))=0,"صفر",MID(IF(INT(INT(ROUND(MAX(J333,K333),2))/1000000)&gt;0," و"&amp;INDEX(تفقيط!$D$2:$D$1001,INT(INT(ROUND(MAX(J333,K333),2))/1000000)+1),"")&amp;IF(INT(MOD(INT(ROUND(MAX(J333,K333),2)),1000000)/1000)&gt;0," و"&amp;INDEX(تفقيط!$C$2:$C$1001,INT(MOD(INT(ROUND(MAX(J333,K333),2)),1000000)/1000)+1),"")&amp;IF(MOD(INT(ROUND(MAX(J333,K333),2)),1000)&gt;0," و"&amp;INDEX(تفقيط!$B$2:$B$1001,MOD(INT(ROUND(MAX(J333,K333),2)),1000)+1),""),3,400))&amp;" "&amp;CUR&amp;IF(ROUND((ROUND(MAX(J333,K333),2)-INT(ROUND(MAX(J333,K333),2)))*100,0)&gt;0," و"&amp;INDEX(تفقيط!$E$2:$E$1001,ROUND((ROUND(MAX(J333,K333),2)-INT(ROUND(MAX(J333,K333),2)))*100,0)+1),"")&amp;" لا غير")</f>
        <v/>
      </c>
    </row>
    <row r="334" customFormat="false" ht="15" hidden="false" customHeight="false" outlineLevel="0" collapsed="false">
      <c r="A334" s="62" t="str">
        <f aca="false">IF(C334="","",START_NO+COUNT(C$5:C334)-1)</f>
        <v/>
      </c>
      <c r="B334" s="63" t="str">
        <f aca="false">IF(A334="","",PREFIX&amp;"-"&amp;TEXT(C334,"yyyy")&amp;"-"&amp;A334)</f>
        <v/>
      </c>
      <c r="C334" s="56"/>
      <c r="D334" s="57"/>
      <c r="E334" s="58"/>
      <c r="F334" s="58"/>
      <c r="G334" s="57"/>
      <c r="H334" s="57"/>
      <c r="I334" s="57"/>
      <c r="J334" s="64" t="str">
        <f aca="false">IF(A334="","",SUMIFS('بنود السندات'!$F$5:$F$3004,'بنود السندات'!$A$5:$A$3004,A334))</f>
        <v/>
      </c>
      <c r="K334" s="64" t="str">
        <f aca="false">IF(A334="","",SUMIFS('بنود السندات'!$G$5:$G$3004,'بنود السندات'!$A$5:$A$3004,A334))</f>
        <v/>
      </c>
      <c r="L334" s="64" t="str">
        <f aca="false">IF(A334="","",ROUND(J334-K334,2))</f>
        <v/>
      </c>
      <c r="M334" s="63" t="str">
        <f aca="false">IF(A334="","",COUNTIF('بنود السندات'!$A$5:$A$3004,A334))</f>
        <v/>
      </c>
      <c r="N334" s="65" t="str">
        <f aca="false">IF(A334="","",IF(M334=0,"بدون بنود ⚠",IF(L334=0,"متوازن ✔","غير متوازن ✘")))</f>
        <v/>
      </c>
      <c r="O334" s="66" t="str">
        <f aca="false">IF(A334="","","فقط "&amp;IF(INT(ROUND(MAX(J334,K334),2))=0,"صفر",MID(IF(INT(INT(ROUND(MAX(J334,K334),2))/1000000)&gt;0," و"&amp;INDEX(تفقيط!$D$2:$D$1001,INT(INT(ROUND(MAX(J334,K334),2))/1000000)+1),"")&amp;IF(INT(MOD(INT(ROUND(MAX(J334,K334),2)),1000000)/1000)&gt;0," و"&amp;INDEX(تفقيط!$C$2:$C$1001,INT(MOD(INT(ROUND(MAX(J334,K334),2)),1000000)/1000)+1),"")&amp;IF(MOD(INT(ROUND(MAX(J334,K334),2)),1000)&gt;0," و"&amp;INDEX(تفقيط!$B$2:$B$1001,MOD(INT(ROUND(MAX(J334,K334),2)),1000)+1),""),3,400))&amp;" "&amp;CUR&amp;IF(ROUND((ROUND(MAX(J334,K334),2)-INT(ROUND(MAX(J334,K334),2)))*100,0)&gt;0," و"&amp;INDEX(تفقيط!$E$2:$E$1001,ROUND((ROUND(MAX(J334,K334),2)-INT(ROUND(MAX(J334,K334),2)))*100,0)+1),"")&amp;" لا غير")</f>
        <v/>
      </c>
    </row>
    <row r="335" customFormat="false" ht="15" hidden="false" customHeight="false" outlineLevel="0" collapsed="false">
      <c r="A335" s="54" t="str">
        <f aca="false">IF(C335="","",START_NO+COUNT(C$5:C335)-1)</f>
        <v/>
      </c>
      <c r="B335" s="55" t="str">
        <f aca="false">IF(A335="","",PREFIX&amp;"-"&amp;TEXT(C335,"yyyy")&amp;"-"&amp;A335)</f>
        <v/>
      </c>
      <c r="C335" s="56"/>
      <c r="D335" s="57"/>
      <c r="E335" s="58"/>
      <c r="F335" s="58"/>
      <c r="G335" s="57"/>
      <c r="H335" s="57"/>
      <c r="I335" s="57"/>
      <c r="J335" s="59" t="str">
        <f aca="false">IF(A335="","",SUMIFS('بنود السندات'!$F$5:$F$3004,'بنود السندات'!$A$5:$A$3004,A335))</f>
        <v/>
      </c>
      <c r="K335" s="59" t="str">
        <f aca="false">IF(A335="","",SUMIFS('بنود السندات'!$G$5:$G$3004,'بنود السندات'!$A$5:$A$3004,A335))</f>
        <v/>
      </c>
      <c r="L335" s="59" t="str">
        <f aca="false">IF(A335="","",ROUND(J335-K335,2))</f>
        <v/>
      </c>
      <c r="M335" s="55" t="str">
        <f aca="false">IF(A335="","",COUNTIF('بنود السندات'!$A$5:$A$3004,A335))</f>
        <v/>
      </c>
      <c r="N335" s="60" t="str">
        <f aca="false">IF(A335="","",IF(M335=0,"بدون بنود ⚠",IF(L335=0,"متوازن ✔","غير متوازن ✘")))</f>
        <v/>
      </c>
      <c r="O335" s="61" t="str">
        <f aca="false">IF(A335="","","فقط "&amp;IF(INT(ROUND(MAX(J335,K335),2))=0,"صفر",MID(IF(INT(INT(ROUND(MAX(J335,K335),2))/1000000)&gt;0," و"&amp;INDEX(تفقيط!$D$2:$D$1001,INT(INT(ROUND(MAX(J335,K335),2))/1000000)+1),"")&amp;IF(INT(MOD(INT(ROUND(MAX(J335,K335),2)),1000000)/1000)&gt;0," و"&amp;INDEX(تفقيط!$C$2:$C$1001,INT(MOD(INT(ROUND(MAX(J335,K335),2)),1000000)/1000)+1),"")&amp;IF(MOD(INT(ROUND(MAX(J335,K335),2)),1000)&gt;0," و"&amp;INDEX(تفقيط!$B$2:$B$1001,MOD(INT(ROUND(MAX(J335,K335),2)),1000)+1),""),3,400))&amp;" "&amp;CUR&amp;IF(ROUND((ROUND(MAX(J335,K335),2)-INT(ROUND(MAX(J335,K335),2)))*100,0)&gt;0," و"&amp;INDEX(تفقيط!$E$2:$E$1001,ROUND((ROUND(MAX(J335,K335),2)-INT(ROUND(MAX(J335,K335),2)))*100,0)+1),"")&amp;" لا غير")</f>
        <v/>
      </c>
    </row>
    <row r="336" customFormat="false" ht="15" hidden="false" customHeight="false" outlineLevel="0" collapsed="false">
      <c r="A336" s="62" t="str">
        <f aca="false">IF(C336="","",START_NO+COUNT(C$5:C336)-1)</f>
        <v/>
      </c>
      <c r="B336" s="63" t="str">
        <f aca="false">IF(A336="","",PREFIX&amp;"-"&amp;TEXT(C336,"yyyy")&amp;"-"&amp;A336)</f>
        <v/>
      </c>
      <c r="C336" s="56"/>
      <c r="D336" s="57"/>
      <c r="E336" s="58"/>
      <c r="F336" s="58"/>
      <c r="G336" s="57"/>
      <c r="H336" s="57"/>
      <c r="I336" s="57"/>
      <c r="J336" s="64" t="str">
        <f aca="false">IF(A336="","",SUMIFS('بنود السندات'!$F$5:$F$3004,'بنود السندات'!$A$5:$A$3004,A336))</f>
        <v/>
      </c>
      <c r="K336" s="64" t="str">
        <f aca="false">IF(A336="","",SUMIFS('بنود السندات'!$G$5:$G$3004,'بنود السندات'!$A$5:$A$3004,A336))</f>
        <v/>
      </c>
      <c r="L336" s="64" t="str">
        <f aca="false">IF(A336="","",ROUND(J336-K336,2))</f>
        <v/>
      </c>
      <c r="M336" s="63" t="str">
        <f aca="false">IF(A336="","",COUNTIF('بنود السندات'!$A$5:$A$3004,A336))</f>
        <v/>
      </c>
      <c r="N336" s="65" t="str">
        <f aca="false">IF(A336="","",IF(M336=0,"بدون بنود ⚠",IF(L336=0,"متوازن ✔","غير متوازن ✘")))</f>
        <v/>
      </c>
      <c r="O336" s="66" t="str">
        <f aca="false">IF(A336="","","فقط "&amp;IF(INT(ROUND(MAX(J336,K336),2))=0,"صفر",MID(IF(INT(INT(ROUND(MAX(J336,K336),2))/1000000)&gt;0," و"&amp;INDEX(تفقيط!$D$2:$D$1001,INT(INT(ROUND(MAX(J336,K336),2))/1000000)+1),"")&amp;IF(INT(MOD(INT(ROUND(MAX(J336,K336),2)),1000000)/1000)&gt;0," و"&amp;INDEX(تفقيط!$C$2:$C$1001,INT(MOD(INT(ROUND(MAX(J336,K336),2)),1000000)/1000)+1),"")&amp;IF(MOD(INT(ROUND(MAX(J336,K336),2)),1000)&gt;0," و"&amp;INDEX(تفقيط!$B$2:$B$1001,MOD(INT(ROUND(MAX(J336,K336),2)),1000)+1),""),3,400))&amp;" "&amp;CUR&amp;IF(ROUND((ROUND(MAX(J336,K336),2)-INT(ROUND(MAX(J336,K336),2)))*100,0)&gt;0," و"&amp;INDEX(تفقيط!$E$2:$E$1001,ROUND((ROUND(MAX(J336,K336),2)-INT(ROUND(MAX(J336,K336),2)))*100,0)+1),"")&amp;" لا غير")</f>
        <v/>
      </c>
    </row>
    <row r="337" customFormat="false" ht="15" hidden="false" customHeight="false" outlineLevel="0" collapsed="false">
      <c r="A337" s="54" t="str">
        <f aca="false">IF(C337="","",START_NO+COUNT(C$5:C337)-1)</f>
        <v/>
      </c>
      <c r="B337" s="55" t="str">
        <f aca="false">IF(A337="","",PREFIX&amp;"-"&amp;TEXT(C337,"yyyy")&amp;"-"&amp;A337)</f>
        <v/>
      </c>
      <c r="C337" s="56"/>
      <c r="D337" s="57"/>
      <c r="E337" s="58"/>
      <c r="F337" s="58"/>
      <c r="G337" s="57"/>
      <c r="H337" s="57"/>
      <c r="I337" s="57"/>
      <c r="J337" s="59" t="str">
        <f aca="false">IF(A337="","",SUMIFS('بنود السندات'!$F$5:$F$3004,'بنود السندات'!$A$5:$A$3004,A337))</f>
        <v/>
      </c>
      <c r="K337" s="59" t="str">
        <f aca="false">IF(A337="","",SUMIFS('بنود السندات'!$G$5:$G$3004,'بنود السندات'!$A$5:$A$3004,A337))</f>
        <v/>
      </c>
      <c r="L337" s="59" t="str">
        <f aca="false">IF(A337="","",ROUND(J337-K337,2))</f>
        <v/>
      </c>
      <c r="M337" s="55" t="str">
        <f aca="false">IF(A337="","",COUNTIF('بنود السندات'!$A$5:$A$3004,A337))</f>
        <v/>
      </c>
      <c r="N337" s="60" t="str">
        <f aca="false">IF(A337="","",IF(M337=0,"بدون بنود ⚠",IF(L337=0,"متوازن ✔","غير متوازن ✘")))</f>
        <v/>
      </c>
      <c r="O337" s="61" t="str">
        <f aca="false">IF(A337="","","فقط "&amp;IF(INT(ROUND(MAX(J337,K337),2))=0,"صفر",MID(IF(INT(INT(ROUND(MAX(J337,K337),2))/1000000)&gt;0," و"&amp;INDEX(تفقيط!$D$2:$D$1001,INT(INT(ROUND(MAX(J337,K337),2))/1000000)+1),"")&amp;IF(INT(MOD(INT(ROUND(MAX(J337,K337),2)),1000000)/1000)&gt;0," و"&amp;INDEX(تفقيط!$C$2:$C$1001,INT(MOD(INT(ROUND(MAX(J337,K337),2)),1000000)/1000)+1),"")&amp;IF(MOD(INT(ROUND(MAX(J337,K337),2)),1000)&gt;0," و"&amp;INDEX(تفقيط!$B$2:$B$1001,MOD(INT(ROUND(MAX(J337,K337),2)),1000)+1),""),3,400))&amp;" "&amp;CUR&amp;IF(ROUND((ROUND(MAX(J337,K337),2)-INT(ROUND(MAX(J337,K337),2)))*100,0)&gt;0," و"&amp;INDEX(تفقيط!$E$2:$E$1001,ROUND((ROUND(MAX(J337,K337),2)-INT(ROUND(MAX(J337,K337),2)))*100,0)+1),"")&amp;" لا غير")</f>
        <v/>
      </c>
    </row>
    <row r="338" customFormat="false" ht="15" hidden="false" customHeight="false" outlineLevel="0" collapsed="false">
      <c r="A338" s="62" t="str">
        <f aca="false">IF(C338="","",START_NO+COUNT(C$5:C338)-1)</f>
        <v/>
      </c>
      <c r="B338" s="63" t="str">
        <f aca="false">IF(A338="","",PREFIX&amp;"-"&amp;TEXT(C338,"yyyy")&amp;"-"&amp;A338)</f>
        <v/>
      </c>
      <c r="C338" s="56"/>
      <c r="D338" s="57"/>
      <c r="E338" s="58"/>
      <c r="F338" s="58"/>
      <c r="G338" s="57"/>
      <c r="H338" s="57"/>
      <c r="I338" s="57"/>
      <c r="J338" s="64" t="str">
        <f aca="false">IF(A338="","",SUMIFS('بنود السندات'!$F$5:$F$3004,'بنود السندات'!$A$5:$A$3004,A338))</f>
        <v/>
      </c>
      <c r="K338" s="64" t="str">
        <f aca="false">IF(A338="","",SUMIFS('بنود السندات'!$G$5:$G$3004,'بنود السندات'!$A$5:$A$3004,A338))</f>
        <v/>
      </c>
      <c r="L338" s="64" t="str">
        <f aca="false">IF(A338="","",ROUND(J338-K338,2))</f>
        <v/>
      </c>
      <c r="M338" s="63" t="str">
        <f aca="false">IF(A338="","",COUNTIF('بنود السندات'!$A$5:$A$3004,A338))</f>
        <v/>
      </c>
      <c r="N338" s="65" t="str">
        <f aca="false">IF(A338="","",IF(M338=0,"بدون بنود ⚠",IF(L338=0,"متوازن ✔","غير متوازن ✘")))</f>
        <v/>
      </c>
      <c r="O338" s="66" t="str">
        <f aca="false">IF(A338="","","فقط "&amp;IF(INT(ROUND(MAX(J338,K338),2))=0,"صفر",MID(IF(INT(INT(ROUND(MAX(J338,K338),2))/1000000)&gt;0," و"&amp;INDEX(تفقيط!$D$2:$D$1001,INT(INT(ROUND(MAX(J338,K338),2))/1000000)+1),"")&amp;IF(INT(MOD(INT(ROUND(MAX(J338,K338),2)),1000000)/1000)&gt;0," و"&amp;INDEX(تفقيط!$C$2:$C$1001,INT(MOD(INT(ROUND(MAX(J338,K338),2)),1000000)/1000)+1),"")&amp;IF(MOD(INT(ROUND(MAX(J338,K338),2)),1000)&gt;0," و"&amp;INDEX(تفقيط!$B$2:$B$1001,MOD(INT(ROUND(MAX(J338,K338),2)),1000)+1),""),3,400))&amp;" "&amp;CUR&amp;IF(ROUND((ROUND(MAX(J338,K338),2)-INT(ROUND(MAX(J338,K338),2)))*100,0)&gt;0," و"&amp;INDEX(تفقيط!$E$2:$E$1001,ROUND((ROUND(MAX(J338,K338),2)-INT(ROUND(MAX(J338,K338),2)))*100,0)+1),"")&amp;" لا غير")</f>
        <v/>
      </c>
    </row>
    <row r="339" customFormat="false" ht="15" hidden="false" customHeight="false" outlineLevel="0" collapsed="false">
      <c r="A339" s="54" t="str">
        <f aca="false">IF(C339="","",START_NO+COUNT(C$5:C339)-1)</f>
        <v/>
      </c>
      <c r="B339" s="55" t="str">
        <f aca="false">IF(A339="","",PREFIX&amp;"-"&amp;TEXT(C339,"yyyy")&amp;"-"&amp;A339)</f>
        <v/>
      </c>
      <c r="C339" s="56"/>
      <c r="D339" s="57"/>
      <c r="E339" s="58"/>
      <c r="F339" s="58"/>
      <c r="G339" s="57"/>
      <c r="H339" s="57"/>
      <c r="I339" s="57"/>
      <c r="J339" s="59" t="str">
        <f aca="false">IF(A339="","",SUMIFS('بنود السندات'!$F$5:$F$3004,'بنود السندات'!$A$5:$A$3004,A339))</f>
        <v/>
      </c>
      <c r="K339" s="59" t="str">
        <f aca="false">IF(A339="","",SUMIFS('بنود السندات'!$G$5:$G$3004,'بنود السندات'!$A$5:$A$3004,A339))</f>
        <v/>
      </c>
      <c r="L339" s="59" t="str">
        <f aca="false">IF(A339="","",ROUND(J339-K339,2))</f>
        <v/>
      </c>
      <c r="M339" s="55" t="str">
        <f aca="false">IF(A339="","",COUNTIF('بنود السندات'!$A$5:$A$3004,A339))</f>
        <v/>
      </c>
      <c r="N339" s="60" t="str">
        <f aca="false">IF(A339="","",IF(M339=0,"بدون بنود ⚠",IF(L339=0,"متوازن ✔","غير متوازن ✘")))</f>
        <v/>
      </c>
      <c r="O339" s="61" t="str">
        <f aca="false">IF(A339="","","فقط "&amp;IF(INT(ROUND(MAX(J339,K339),2))=0,"صفر",MID(IF(INT(INT(ROUND(MAX(J339,K339),2))/1000000)&gt;0," و"&amp;INDEX(تفقيط!$D$2:$D$1001,INT(INT(ROUND(MAX(J339,K339),2))/1000000)+1),"")&amp;IF(INT(MOD(INT(ROUND(MAX(J339,K339),2)),1000000)/1000)&gt;0," و"&amp;INDEX(تفقيط!$C$2:$C$1001,INT(MOD(INT(ROUND(MAX(J339,K339),2)),1000000)/1000)+1),"")&amp;IF(MOD(INT(ROUND(MAX(J339,K339),2)),1000)&gt;0," و"&amp;INDEX(تفقيط!$B$2:$B$1001,MOD(INT(ROUND(MAX(J339,K339),2)),1000)+1),""),3,400))&amp;" "&amp;CUR&amp;IF(ROUND((ROUND(MAX(J339,K339),2)-INT(ROUND(MAX(J339,K339),2)))*100,0)&gt;0," و"&amp;INDEX(تفقيط!$E$2:$E$1001,ROUND((ROUND(MAX(J339,K339),2)-INT(ROUND(MAX(J339,K339),2)))*100,0)+1),"")&amp;" لا غير")</f>
        <v/>
      </c>
    </row>
    <row r="340" customFormat="false" ht="15" hidden="false" customHeight="false" outlineLevel="0" collapsed="false">
      <c r="A340" s="62" t="str">
        <f aca="false">IF(C340="","",START_NO+COUNT(C$5:C340)-1)</f>
        <v/>
      </c>
      <c r="B340" s="63" t="str">
        <f aca="false">IF(A340="","",PREFIX&amp;"-"&amp;TEXT(C340,"yyyy")&amp;"-"&amp;A340)</f>
        <v/>
      </c>
      <c r="C340" s="56"/>
      <c r="D340" s="57"/>
      <c r="E340" s="58"/>
      <c r="F340" s="58"/>
      <c r="G340" s="57"/>
      <c r="H340" s="57"/>
      <c r="I340" s="57"/>
      <c r="J340" s="64" t="str">
        <f aca="false">IF(A340="","",SUMIFS('بنود السندات'!$F$5:$F$3004,'بنود السندات'!$A$5:$A$3004,A340))</f>
        <v/>
      </c>
      <c r="K340" s="64" t="str">
        <f aca="false">IF(A340="","",SUMIFS('بنود السندات'!$G$5:$G$3004,'بنود السندات'!$A$5:$A$3004,A340))</f>
        <v/>
      </c>
      <c r="L340" s="64" t="str">
        <f aca="false">IF(A340="","",ROUND(J340-K340,2))</f>
        <v/>
      </c>
      <c r="M340" s="63" t="str">
        <f aca="false">IF(A340="","",COUNTIF('بنود السندات'!$A$5:$A$3004,A340))</f>
        <v/>
      </c>
      <c r="N340" s="65" t="str">
        <f aca="false">IF(A340="","",IF(M340=0,"بدون بنود ⚠",IF(L340=0,"متوازن ✔","غير متوازن ✘")))</f>
        <v/>
      </c>
      <c r="O340" s="66" t="str">
        <f aca="false">IF(A340="","","فقط "&amp;IF(INT(ROUND(MAX(J340,K340),2))=0,"صفر",MID(IF(INT(INT(ROUND(MAX(J340,K340),2))/1000000)&gt;0," و"&amp;INDEX(تفقيط!$D$2:$D$1001,INT(INT(ROUND(MAX(J340,K340),2))/1000000)+1),"")&amp;IF(INT(MOD(INT(ROUND(MAX(J340,K340),2)),1000000)/1000)&gt;0," و"&amp;INDEX(تفقيط!$C$2:$C$1001,INT(MOD(INT(ROUND(MAX(J340,K340),2)),1000000)/1000)+1),"")&amp;IF(MOD(INT(ROUND(MAX(J340,K340),2)),1000)&gt;0," و"&amp;INDEX(تفقيط!$B$2:$B$1001,MOD(INT(ROUND(MAX(J340,K340),2)),1000)+1),""),3,400))&amp;" "&amp;CUR&amp;IF(ROUND((ROUND(MAX(J340,K340),2)-INT(ROUND(MAX(J340,K340),2)))*100,0)&gt;0," و"&amp;INDEX(تفقيط!$E$2:$E$1001,ROUND((ROUND(MAX(J340,K340),2)-INT(ROUND(MAX(J340,K340),2)))*100,0)+1),"")&amp;" لا غير")</f>
        <v/>
      </c>
    </row>
    <row r="341" customFormat="false" ht="15" hidden="false" customHeight="false" outlineLevel="0" collapsed="false">
      <c r="A341" s="54" t="str">
        <f aca="false">IF(C341="","",START_NO+COUNT(C$5:C341)-1)</f>
        <v/>
      </c>
      <c r="B341" s="55" t="str">
        <f aca="false">IF(A341="","",PREFIX&amp;"-"&amp;TEXT(C341,"yyyy")&amp;"-"&amp;A341)</f>
        <v/>
      </c>
      <c r="C341" s="56"/>
      <c r="D341" s="57"/>
      <c r="E341" s="58"/>
      <c r="F341" s="58"/>
      <c r="G341" s="57"/>
      <c r="H341" s="57"/>
      <c r="I341" s="57"/>
      <c r="J341" s="59" t="str">
        <f aca="false">IF(A341="","",SUMIFS('بنود السندات'!$F$5:$F$3004,'بنود السندات'!$A$5:$A$3004,A341))</f>
        <v/>
      </c>
      <c r="K341" s="59" t="str">
        <f aca="false">IF(A341="","",SUMIFS('بنود السندات'!$G$5:$G$3004,'بنود السندات'!$A$5:$A$3004,A341))</f>
        <v/>
      </c>
      <c r="L341" s="59" t="str">
        <f aca="false">IF(A341="","",ROUND(J341-K341,2))</f>
        <v/>
      </c>
      <c r="M341" s="55" t="str">
        <f aca="false">IF(A341="","",COUNTIF('بنود السندات'!$A$5:$A$3004,A341))</f>
        <v/>
      </c>
      <c r="N341" s="60" t="str">
        <f aca="false">IF(A341="","",IF(M341=0,"بدون بنود ⚠",IF(L341=0,"متوازن ✔","غير متوازن ✘")))</f>
        <v/>
      </c>
      <c r="O341" s="61" t="str">
        <f aca="false">IF(A341="","","فقط "&amp;IF(INT(ROUND(MAX(J341,K341),2))=0,"صفر",MID(IF(INT(INT(ROUND(MAX(J341,K341),2))/1000000)&gt;0," و"&amp;INDEX(تفقيط!$D$2:$D$1001,INT(INT(ROUND(MAX(J341,K341),2))/1000000)+1),"")&amp;IF(INT(MOD(INT(ROUND(MAX(J341,K341),2)),1000000)/1000)&gt;0," و"&amp;INDEX(تفقيط!$C$2:$C$1001,INT(MOD(INT(ROUND(MAX(J341,K341),2)),1000000)/1000)+1),"")&amp;IF(MOD(INT(ROUND(MAX(J341,K341),2)),1000)&gt;0," و"&amp;INDEX(تفقيط!$B$2:$B$1001,MOD(INT(ROUND(MAX(J341,K341),2)),1000)+1),""),3,400))&amp;" "&amp;CUR&amp;IF(ROUND((ROUND(MAX(J341,K341),2)-INT(ROUND(MAX(J341,K341),2)))*100,0)&gt;0," و"&amp;INDEX(تفقيط!$E$2:$E$1001,ROUND((ROUND(MAX(J341,K341),2)-INT(ROUND(MAX(J341,K341),2)))*100,0)+1),"")&amp;" لا غير")</f>
        <v/>
      </c>
    </row>
    <row r="342" customFormat="false" ht="15" hidden="false" customHeight="false" outlineLevel="0" collapsed="false">
      <c r="A342" s="62" t="str">
        <f aca="false">IF(C342="","",START_NO+COUNT(C$5:C342)-1)</f>
        <v/>
      </c>
      <c r="B342" s="63" t="str">
        <f aca="false">IF(A342="","",PREFIX&amp;"-"&amp;TEXT(C342,"yyyy")&amp;"-"&amp;A342)</f>
        <v/>
      </c>
      <c r="C342" s="56"/>
      <c r="D342" s="57"/>
      <c r="E342" s="58"/>
      <c r="F342" s="58"/>
      <c r="G342" s="57"/>
      <c r="H342" s="57"/>
      <c r="I342" s="57"/>
      <c r="J342" s="64" t="str">
        <f aca="false">IF(A342="","",SUMIFS('بنود السندات'!$F$5:$F$3004,'بنود السندات'!$A$5:$A$3004,A342))</f>
        <v/>
      </c>
      <c r="K342" s="64" t="str">
        <f aca="false">IF(A342="","",SUMIFS('بنود السندات'!$G$5:$G$3004,'بنود السندات'!$A$5:$A$3004,A342))</f>
        <v/>
      </c>
      <c r="L342" s="64" t="str">
        <f aca="false">IF(A342="","",ROUND(J342-K342,2))</f>
        <v/>
      </c>
      <c r="M342" s="63" t="str">
        <f aca="false">IF(A342="","",COUNTIF('بنود السندات'!$A$5:$A$3004,A342))</f>
        <v/>
      </c>
      <c r="N342" s="65" t="str">
        <f aca="false">IF(A342="","",IF(M342=0,"بدون بنود ⚠",IF(L342=0,"متوازن ✔","غير متوازن ✘")))</f>
        <v/>
      </c>
      <c r="O342" s="66" t="str">
        <f aca="false">IF(A342="","","فقط "&amp;IF(INT(ROUND(MAX(J342,K342),2))=0,"صفر",MID(IF(INT(INT(ROUND(MAX(J342,K342),2))/1000000)&gt;0," و"&amp;INDEX(تفقيط!$D$2:$D$1001,INT(INT(ROUND(MAX(J342,K342),2))/1000000)+1),"")&amp;IF(INT(MOD(INT(ROUND(MAX(J342,K342),2)),1000000)/1000)&gt;0," و"&amp;INDEX(تفقيط!$C$2:$C$1001,INT(MOD(INT(ROUND(MAX(J342,K342),2)),1000000)/1000)+1),"")&amp;IF(MOD(INT(ROUND(MAX(J342,K342),2)),1000)&gt;0," و"&amp;INDEX(تفقيط!$B$2:$B$1001,MOD(INT(ROUND(MAX(J342,K342),2)),1000)+1),""),3,400))&amp;" "&amp;CUR&amp;IF(ROUND((ROUND(MAX(J342,K342),2)-INT(ROUND(MAX(J342,K342),2)))*100,0)&gt;0," و"&amp;INDEX(تفقيط!$E$2:$E$1001,ROUND((ROUND(MAX(J342,K342),2)-INT(ROUND(MAX(J342,K342),2)))*100,0)+1),"")&amp;" لا غير")</f>
        <v/>
      </c>
    </row>
    <row r="343" customFormat="false" ht="15" hidden="false" customHeight="false" outlineLevel="0" collapsed="false">
      <c r="A343" s="54" t="str">
        <f aca="false">IF(C343="","",START_NO+COUNT(C$5:C343)-1)</f>
        <v/>
      </c>
      <c r="B343" s="55" t="str">
        <f aca="false">IF(A343="","",PREFIX&amp;"-"&amp;TEXT(C343,"yyyy")&amp;"-"&amp;A343)</f>
        <v/>
      </c>
      <c r="C343" s="56"/>
      <c r="D343" s="57"/>
      <c r="E343" s="58"/>
      <c r="F343" s="58"/>
      <c r="G343" s="57"/>
      <c r="H343" s="57"/>
      <c r="I343" s="57"/>
      <c r="J343" s="59" t="str">
        <f aca="false">IF(A343="","",SUMIFS('بنود السندات'!$F$5:$F$3004,'بنود السندات'!$A$5:$A$3004,A343))</f>
        <v/>
      </c>
      <c r="K343" s="59" t="str">
        <f aca="false">IF(A343="","",SUMIFS('بنود السندات'!$G$5:$G$3004,'بنود السندات'!$A$5:$A$3004,A343))</f>
        <v/>
      </c>
      <c r="L343" s="59" t="str">
        <f aca="false">IF(A343="","",ROUND(J343-K343,2))</f>
        <v/>
      </c>
      <c r="M343" s="55" t="str">
        <f aca="false">IF(A343="","",COUNTIF('بنود السندات'!$A$5:$A$3004,A343))</f>
        <v/>
      </c>
      <c r="N343" s="60" t="str">
        <f aca="false">IF(A343="","",IF(M343=0,"بدون بنود ⚠",IF(L343=0,"متوازن ✔","غير متوازن ✘")))</f>
        <v/>
      </c>
      <c r="O343" s="61" t="str">
        <f aca="false">IF(A343="","","فقط "&amp;IF(INT(ROUND(MAX(J343,K343),2))=0,"صفر",MID(IF(INT(INT(ROUND(MAX(J343,K343),2))/1000000)&gt;0," و"&amp;INDEX(تفقيط!$D$2:$D$1001,INT(INT(ROUND(MAX(J343,K343),2))/1000000)+1),"")&amp;IF(INT(MOD(INT(ROUND(MAX(J343,K343),2)),1000000)/1000)&gt;0," و"&amp;INDEX(تفقيط!$C$2:$C$1001,INT(MOD(INT(ROUND(MAX(J343,K343),2)),1000000)/1000)+1),"")&amp;IF(MOD(INT(ROUND(MAX(J343,K343),2)),1000)&gt;0," و"&amp;INDEX(تفقيط!$B$2:$B$1001,MOD(INT(ROUND(MAX(J343,K343),2)),1000)+1),""),3,400))&amp;" "&amp;CUR&amp;IF(ROUND((ROUND(MAX(J343,K343),2)-INT(ROUND(MAX(J343,K343),2)))*100,0)&gt;0," و"&amp;INDEX(تفقيط!$E$2:$E$1001,ROUND((ROUND(MAX(J343,K343),2)-INT(ROUND(MAX(J343,K343),2)))*100,0)+1),"")&amp;" لا غير")</f>
        <v/>
      </c>
    </row>
    <row r="344" customFormat="false" ht="15" hidden="false" customHeight="false" outlineLevel="0" collapsed="false">
      <c r="A344" s="62" t="str">
        <f aca="false">IF(C344="","",START_NO+COUNT(C$5:C344)-1)</f>
        <v/>
      </c>
      <c r="B344" s="63" t="str">
        <f aca="false">IF(A344="","",PREFIX&amp;"-"&amp;TEXT(C344,"yyyy")&amp;"-"&amp;A344)</f>
        <v/>
      </c>
      <c r="C344" s="56"/>
      <c r="D344" s="57"/>
      <c r="E344" s="58"/>
      <c r="F344" s="58"/>
      <c r="G344" s="57"/>
      <c r="H344" s="57"/>
      <c r="I344" s="57"/>
      <c r="J344" s="64" t="str">
        <f aca="false">IF(A344="","",SUMIFS('بنود السندات'!$F$5:$F$3004,'بنود السندات'!$A$5:$A$3004,A344))</f>
        <v/>
      </c>
      <c r="K344" s="64" t="str">
        <f aca="false">IF(A344="","",SUMIFS('بنود السندات'!$G$5:$G$3004,'بنود السندات'!$A$5:$A$3004,A344))</f>
        <v/>
      </c>
      <c r="L344" s="64" t="str">
        <f aca="false">IF(A344="","",ROUND(J344-K344,2))</f>
        <v/>
      </c>
      <c r="M344" s="63" t="str">
        <f aca="false">IF(A344="","",COUNTIF('بنود السندات'!$A$5:$A$3004,A344))</f>
        <v/>
      </c>
      <c r="N344" s="65" t="str">
        <f aca="false">IF(A344="","",IF(M344=0,"بدون بنود ⚠",IF(L344=0,"متوازن ✔","غير متوازن ✘")))</f>
        <v/>
      </c>
      <c r="O344" s="66" t="str">
        <f aca="false">IF(A344="","","فقط "&amp;IF(INT(ROUND(MAX(J344,K344),2))=0,"صفر",MID(IF(INT(INT(ROUND(MAX(J344,K344),2))/1000000)&gt;0," و"&amp;INDEX(تفقيط!$D$2:$D$1001,INT(INT(ROUND(MAX(J344,K344),2))/1000000)+1),"")&amp;IF(INT(MOD(INT(ROUND(MAX(J344,K344),2)),1000000)/1000)&gt;0," و"&amp;INDEX(تفقيط!$C$2:$C$1001,INT(MOD(INT(ROUND(MAX(J344,K344),2)),1000000)/1000)+1),"")&amp;IF(MOD(INT(ROUND(MAX(J344,K344),2)),1000)&gt;0," و"&amp;INDEX(تفقيط!$B$2:$B$1001,MOD(INT(ROUND(MAX(J344,K344),2)),1000)+1),""),3,400))&amp;" "&amp;CUR&amp;IF(ROUND((ROUND(MAX(J344,K344),2)-INT(ROUND(MAX(J344,K344),2)))*100,0)&gt;0," و"&amp;INDEX(تفقيط!$E$2:$E$1001,ROUND((ROUND(MAX(J344,K344),2)-INT(ROUND(MAX(J344,K344),2)))*100,0)+1),"")&amp;" لا غير")</f>
        <v/>
      </c>
    </row>
    <row r="345" customFormat="false" ht="15" hidden="false" customHeight="false" outlineLevel="0" collapsed="false">
      <c r="A345" s="54" t="str">
        <f aca="false">IF(C345="","",START_NO+COUNT(C$5:C345)-1)</f>
        <v/>
      </c>
      <c r="B345" s="55" t="str">
        <f aca="false">IF(A345="","",PREFIX&amp;"-"&amp;TEXT(C345,"yyyy")&amp;"-"&amp;A345)</f>
        <v/>
      </c>
      <c r="C345" s="56"/>
      <c r="D345" s="57"/>
      <c r="E345" s="58"/>
      <c r="F345" s="58"/>
      <c r="G345" s="57"/>
      <c r="H345" s="57"/>
      <c r="I345" s="57"/>
      <c r="J345" s="59" t="str">
        <f aca="false">IF(A345="","",SUMIFS('بنود السندات'!$F$5:$F$3004,'بنود السندات'!$A$5:$A$3004,A345))</f>
        <v/>
      </c>
      <c r="K345" s="59" t="str">
        <f aca="false">IF(A345="","",SUMIFS('بنود السندات'!$G$5:$G$3004,'بنود السندات'!$A$5:$A$3004,A345))</f>
        <v/>
      </c>
      <c r="L345" s="59" t="str">
        <f aca="false">IF(A345="","",ROUND(J345-K345,2))</f>
        <v/>
      </c>
      <c r="M345" s="55" t="str">
        <f aca="false">IF(A345="","",COUNTIF('بنود السندات'!$A$5:$A$3004,A345))</f>
        <v/>
      </c>
      <c r="N345" s="60" t="str">
        <f aca="false">IF(A345="","",IF(M345=0,"بدون بنود ⚠",IF(L345=0,"متوازن ✔","غير متوازن ✘")))</f>
        <v/>
      </c>
      <c r="O345" s="61" t="str">
        <f aca="false">IF(A345="","","فقط "&amp;IF(INT(ROUND(MAX(J345,K345),2))=0,"صفر",MID(IF(INT(INT(ROUND(MAX(J345,K345),2))/1000000)&gt;0," و"&amp;INDEX(تفقيط!$D$2:$D$1001,INT(INT(ROUND(MAX(J345,K345),2))/1000000)+1),"")&amp;IF(INT(MOD(INT(ROUND(MAX(J345,K345),2)),1000000)/1000)&gt;0," و"&amp;INDEX(تفقيط!$C$2:$C$1001,INT(MOD(INT(ROUND(MAX(J345,K345),2)),1000000)/1000)+1),"")&amp;IF(MOD(INT(ROUND(MAX(J345,K345),2)),1000)&gt;0," و"&amp;INDEX(تفقيط!$B$2:$B$1001,MOD(INT(ROUND(MAX(J345,K345),2)),1000)+1),""),3,400))&amp;" "&amp;CUR&amp;IF(ROUND((ROUND(MAX(J345,K345),2)-INT(ROUND(MAX(J345,K345),2)))*100,0)&gt;0," و"&amp;INDEX(تفقيط!$E$2:$E$1001,ROUND((ROUND(MAX(J345,K345),2)-INT(ROUND(MAX(J345,K345),2)))*100,0)+1),"")&amp;" لا غير")</f>
        <v/>
      </c>
    </row>
    <row r="346" customFormat="false" ht="15" hidden="false" customHeight="false" outlineLevel="0" collapsed="false">
      <c r="A346" s="62" t="str">
        <f aca="false">IF(C346="","",START_NO+COUNT(C$5:C346)-1)</f>
        <v/>
      </c>
      <c r="B346" s="63" t="str">
        <f aca="false">IF(A346="","",PREFIX&amp;"-"&amp;TEXT(C346,"yyyy")&amp;"-"&amp;A346)</f>
        <v/>
      </c>
      <c r="C346" s="56"/>
      <c r="D346" s="57"/>
      <c r="E346" s="58"/>
      <c r="F346" s="58"/>
      <c r="G346" s="57"/>
      <c r="H346" s="57"/>
      <c r="I346" s="57"/>
      <c r="J346" s="64" t="str">
        <f aca="false">IF(A346="","",SUMIFS('بنود السندات'!$F$5:$F$3004,'بنود السندات'!$A$5:$A$3004,A346))</f>
        <v/>
      </c>
      <c r="K346" s="64" t="str">
        <f aca="false">IF(A346="","",SUMIFS('بنود السندات'!$G$5:$G$3004,'بنود السندات'!$A$5:$A$3004,A346))</f>
        <v/>
      </c>
      <c r="L346" s="64" t="str">
        <f aca="false">IF(A346="","",ROUND(J346-K346,2))</f>
        <v/>
      </c>
      <c r="M346" s="63" t="str">
        <f aca="false">IF(A346="","",COUNTIF('بنود السندات'!$A$5:$A$3004,A346))</f>
        <v/>
      </c>
      <c r="N346" s="65" t="str">
        <f aca="false">IF(A346="","",IF(M346=0,"بدون بنود ⚠",IF(L346=0,"متوازن ✔","غير متوازن ✘")))</f>
        <v/>
      </c>
      <c r="O346" s="66" t="str">
        <f aca="false">IF(A346="","","فقط "&amp;IF(INT(ROUND(MAX(J346,K346),2))=0,"صفر",MID(IF(INT(INT(ROUND(MAX(J346,K346),2))/1000000)&gt;0," و"&amp;INDEX(تفقيط!$D$2:$D$1001,INT(INT(ROUND(MAX(J346,K346),2))/1000000)+1),"")&amp;IF(INT(MOD(INT(ROUND(MAX(J346,K346),2)),1000000)/1000)&gt;0," و"&amp;INDEX(تفقيط!$C$2:$C$1001,INT(MOD(INT(ROUND(MAX(J346,K346),2)),1000000)/1000)+1),"")&amp;IF(MOD(INT(ROUND(MAX(J346,K346),2)),1000)&gt;0," و"&amp;INDEX(تفقيط!$B$2:$B$1001,MOD(INT(ROUND(MAX(J346,K346),2)),1000)+1),""),3,400))&amp;" "&amp;CUR&amp;IF(ROUND((ROUND(MAX(J346,K346),2)-INT(ROUND(MAX(J346,K346),2)))*100,0)&gt;0," و"&amp;INDEX(تفقيط!$E$2:$E$1001,ROUND((ROUND(MAX(J346,K346),2)-INT(ROUND(MAX(J346,K346),2)))*100,0)+1),"")&amp;" لا غير")</f>
        <v/>
      </c>
    </row>
    <row r="347" customFormat="false" ht="15" hidden="false" customHeight="false" outlineLevel="0" collapsed="false">
      <c r="A347" s="54" t="str">
        <f aca="false">IF(C347="","",START_NO+COUNT(C$5:C347)-1)</f>
        <v/>
      </c>
      <c r="B347" s="55" t="str">
        <f aca="false">IF(A347="","",PREFIX&amp;"-"&amp;TEXT(C347,"yyyy")&amp;"-"&amp;A347)</f>
        <v/>
      </c>
      <c r="C347" s="56"/>
      <c r="D347" s="57"/>
      <c r="E347" s="58"/>
      <c r="F347" s="58"/>
      <c r="G347" s="57"/>
      <c r="H347" s="57"/>
      <c r="I347" s="57"/>
      <c r="J347" s="59" t="str">
        <f aca="false">IF(A347="","",SUMIFS('بنود السندات'!$F$5:$F$3004,'بنود السندات'!$A$5:$A$3004,A347))</f>
        <v/>
      </c>
      <c r="K347" s="59" t="str">
        <f aca="false">IF(A347="","",SUMIFS('بنود السندات'!$G$5:$G$3004,'بنود السندات'!$A$5:$A$3004,A347))</f>
        <v/>
      </c>
      <c r="L347" s="59" t="str">
        <f aca="false">IF(A347="","",ROUND(J347-K347,2))</f>
        <v/>
      </c>
      <c r="M347" s="55" t="str">
        <f aca="false">IF(A347="","",COUNTIF('بنود السندات'!$A$5:$A$3004,A347))</f>
        <v/>
      </c>
      <c r="N347" s="60" t="str">
        <f aca="false">IF(A347="","",IF(M347=0,"بدون بنود ⚠",IF(L347=0,"متوازن ✔","غير متوازن ✘")))</f>
        <v/>
      </c>
      <c r="O347" s="61" t="str">
        <f aca="false">IF(A347="","","فقط "&amp;IF(INT(ROUND(MAX(J347,K347),2))=0,"صفر",MID(IF(INT(INT(ROUND(MAX(J347,K347),2))/1000000)&gt;0," و"&amp;INDEX(تفقيط!$D$2:$D$1001,INT(INT(ROUND(MAX(J347,K347),2))/1000000)+1),"")&amp;IF(INT(MOD(INT(ROUND(MAX(J347,K347),2)),1000000)/1000)&gt;0," و"&amp;INDEX(تفقيط!$C$2:$C$1001,INT(MOD(INT(ROUND(MAX(J347,K347),2)),1000000)/1000)+1),"")&amp;IF(MOD(INT(ROUND(MAX(J347,K347),2)),1000)&gt;0," و"&amp;INDEX(تفقيط!$B$2:$B$1001,MOD(INT(ROUND(MAX(J347,K347),2)),1000)+1),""),3,400))&amp;" "&amp;CUR&amp;IF(ROUND((ROUND(MAX(J347,K347),2)-INT(ROUND(MAX(J347,K347),2)))*100,0)&gt;0," و"&amp;INDEX(تفقيط!$E$2:$E$1001,ROUND((ROUND(MAX(J347,K347),2)-INT(ROUND(MAX(J347,K347),2)))*100,0)+1),"")&amp;" لا غير")</f>
        <v/>
      </c>
    </row>
    <row r="348" customFormat="false" ht="15" hidden="false" customHeight="false" outlineLevel="0" collapsed="false">
      <c r="A348" s="62" t="str">
        <f aca="false">IF(C348="","",START_NO+COUNT(C$5:C348)-1)</f>
        <v/>
      </c>
      <c r="B348" s="63" t="str">
        <f aca="false">IF(A348="","",PREFIX&amp;"-"&amp;TEXT(C348,"yyyy")&amp;"-"&amp;A348)</f>
        <v/>
      </c>
      <c r="C348" s="56"/>
      <c r="D348" s="57"/>
      <c r="E348" s="58"/>
      <c r="F348" s="58"/>
      <c r="G348" s="57"/>
      <c r="H348" s="57"/>
      <c r="I348" s="57"/>
      <c r="J348" s="64" t="str">
        <f aca="false">IF(A348="","",SUMIFS('بنود السندات'!$F$5:$F$3004,'بنود السندات'!$A$5:$A$3004,A348))</f>
        <v/>
      </c>
      <c r="K348" s="64" t="str">
        <f aca="false">IF(A348="","",SUMIFS('بنود السندات'!$G$5:$G$3004,'بنود السندات'!$A$5:$A$3004,A348))</f>
        <v/>
      </c>
      <c r="L348" s="64" t="str">
        <f aca="false">IF(A348="","",ROUND(J348-K348,2))</f>
        <v/>
      </c>
      <c r="M348" s="63" t="str">
        <f aca="false">IF(A348="","",COUNTIF('بنود السندات'!$A$5:$A$3004,A348))</f>
        <v/>
      </c>
      <c r="N348" s="65" t="str">
        <f aca="false">IF(A348="","",IF(M348=0,"بدون بنود ⚠",IF(L348=0,"متوازن ✔","غير متوازن ✘")))</f>
        <v/>
      </c>
      <c r="O348" s="66" t="str">
        <f aca="false">IF(A348="","","فقط "&amp;IF(INT(ROUND(MAX(J348,K348),2))=0,"صفر",MID(IF(INT(INT(ROUND(MAX(J348,K348),2))/1000000)&gt;0," و"&amp;INDEX(تفقيط!$D$2:$D$1001,INT(INT(ROUND(MAX(J348,K348),2))/1000000)+1),"")&amp;IF(INT(MOD(INT(ROUND(MAX(J348,K348),2)),1000000)/1000)&gt;0," و"&amp;INDEX(تفقيط!$C$2:$C$1001,INT(MOD(INT(ROUND(MAX(J348,K348),2)),1000000)/1000)+1),"")&amp;IF(MOD(INT(ROUND(MAX(J348,K348),2)),1000)&gt;0," و"&amp;INDEX(تفقيط!$B$2:$B$1001,MOD(INT(ROUND(MAX(J348,K348),2)),1000)+1),""),3,400))&amp;" "&amp;CUR&amp;IF(ROUND((ROUND(MAX(J348,K348),2)-INT(ROUND(MAX(J348,K348),2)))*100,0)&gt;0," و"&amp;INDEX(تفقيط!$E$2:$E$1001,ROUND((ROUND(MAX(J348,K348),2)-INT(ROUND(MAX(J348,K348),2)))*100,0)+1),"")&amp;" لا غير")</f>
        <v/>
      </c>
    </row>
    <row r="349" customFormat="false" ht="15" hidden="false" customHeight="false" outlineLevel="0" collapsed="false">
      <c r="A349" s="54" t="str">
        <f aca="false">IF(C349="","",START_NO+COUNT(C$5:C349)-1)</f>
        <v/>
      </c>
      <c r="B349" s="55" t="str">
        <f aca="false">IF(A349="","",PREFIX&amp;"-"&amp;TEXT(C349,"yyyy")&amp;"-"&amp;A349)</f>
        <v/>
      </c>
      <c r="C349" s="56"/>
      <c r="D349" s="57"/>
      <c r="E349" s="58"/>
      <c r="F349" s="58"/>
      <c r="G349" s="57"/>
      <c r="H349" s="57"/>
      <c r="I349" s="57"/>
      <c r="J349" s="59" t="str">
        <f aca="false">IF(A349="","",SUMIFS('بنود السندات'!$F$5:$F$3004,'بنود السندات'!$A$5:$A$3004,A349))</f>
        <v/>
      </c>
      <c r="K349" s="59" t="str">
        <f aca="false">IF(A349="","",SUMIFS('بنود السندات'!$G$5:$G$3004,'بنود السندات'!$A$5:$A$3004,A349))</f>
        <v/>
      </c>
      <c r="L349" s="59" t="str">
        <f aca="false">IF(A349="","",ROUND(J349-K349,2))</f>
        <v/>
      </c>
      <c r="M349" s="55" t="str">
        <f aca="false">IF(A349="","",COUNTIF('بنود السندات'!$A$5:$A$3004,A349))</f>
        <v/>
      </c>
      <c r="N349" s="60" t="str">
        <f aca="false">IF(A349="","",IF(M349=0,"بدون بنود ⚠",IF(L349=0,"متوازن ✔","غير متوازن ✘")))</f>
        <v/>
      </c>
      <c r="O349" s="61" t="str">
        <f aca="false">IF(A349="","","فقط "&amp;IF(INT(ROUND(MAX(J349,K349),2))=0,"صفر",MID(IF(INT(INT(ROUND(MAX(J349,K349),2))/1000000)&gt;0," و"&amp;INDEX(تفقيط!$D$2:$D$1001,INT(INT(ROUND(MAX(J349,K349),2))/1000000)+1),"")&amp;IF(INT(MOD(INT(ROUND(MAX(J349,K349),2)),1000000)/1000)&gt;0," و"&amp;INDEX(تفقيط!$C$2:$C$1001,INT(MOD(INT(ROUND(MAX(J349,K349),2)),1000000)/1000)+1),"")&amp;IF(MOD(INT(ROUND(MAX(J349,K349),2)),1000)&gt;0," و"&amp;INDEX(تفقيط!$B$2:$B$1001,MOD(INT(ROUND(MAX(J349,K349),2)),1000)+1),""),3,400))&amp;" "&amp;CUR&amp;IF(ROUND((ROUND(MAX(J349,K349),2)-INT(ROUND(MAX(J349,K349),2)))*100,0)&gt;0," و"&amp;INDEX(تفقيط!$E$2:$E$1001,ROUND((ROUND(MAX(J349,K349),2)-INT(ROUND(MAX(J349,K349),2)))*100,0)+1),"")&amp;" لا غير")</f>
        <v/>
      </c>
    </row>
    <row r="350" customFormat="false" ht="15" hidden="false" customHeight="false" outlineLevel="0" collapsed="false">
      <c r="A350" s="62" t="str">
        <f aca="false">IF(C350="","",START_NO+COUNT(C$5:C350)-1)</f>
        <v/>
      </c>
      <c r="B350" s="63" t="str">
        <f aca="false">IF(A350="","",PREFIX&amp;"-"&amp;TEXT(C350,"yyyy")&amp;"-"&amp;A350)</f>
        <v/>
      </c>
      <c r="C350" s="56"/>
      <c r="D350" s="57"/>
      <c r="E350" s="58"/>
      <c r="F350" s="58"/>
      <c r="G350" s="57"/>
      <c r="H350" s="57"/>
      <c r="I350" s="57"/>
      <c r="J350" s="64" t="str">
        <f aca="false">IF(A350="","",SUMIFS('بنود السندات'!$F$5:$F$3004,'بنود السندات'!$A$5:$A$3004,A350))</f>
        <v/>
      </c>
      <c r="K350" s="64" t="str">
        <f aca="false">IF(A350="","",SUMIFS('بنود السندات'!$G$5:$G$3004,'بنود السندات'!$A$5:$A$3004,A350))</f>
        <v/>
      </c>
      <c r="L350" s="64" t="str">
        <f aca="false">IF(A350="","",ROUND(J350-K350,2))</f>
        <v/>
      </c>
      <c r="M350" s="63" t="str">
        <f aca="false">IF(A350="","",COUNTIF('بنود السندات'!$A$5:$A$3004,A350))</f>
        <v/>
      </c>
      <c r="N350" s="65" t="str">
        <f aca="false">IF(A350="","",IF(M350=0,"بدون بنود ⚠",IF(L350=0,"متوازن ✔","غير متوازن ✘")))</f>
        <v/>
      </c>
      <c r="O350" s="66" t="str">
        <f aca="false">IF(A350="","","فقط "&amp;IF(INT(ROUND(MAX(J350,K350),2))=0,"صفر",MID(IF(INT(INT(ROUND(MAX(J350,K350),2))/1000000)&gt;0," و"&amp;INDEX(تفقيط!$D$2:$D$1001,INT(INT(ROUND(MAX(J350,K350),2))/1000000)+1),"")&amp;IF(INT(MOD(INT(ROUND(MAX(J350,K350),2)),1000000)/1000)&gt;0," و"&amp;INDEX(تفقيط!$C$2:$C$1001,INT(MOD(INT(ROUND(MAX(J350,K350),2)),1000000)/1000)+1),"")&amp;IF(MOD(INT(ROUND(MAX(J350,K350),2)),1000)&gt;0," و"&amp;INDEX(تفقيط!$B$2:$B$1001,MOD(INT(ROUND(MAX(J350,K350),2)),1000)+1),""),3,400))&amp;" "&amp;CUR&amp;IF(ROUND((ROUND(MAX(J350,K350),2)-INT(ROUND(MAX(J350,K350),2)))*100,0)&gt;0," و"&amp;INDEX(تفقيط!$E$2:$E$1001,ROUND((ROUND(MAX(J350,K350),2)-INT(ROUND(MAX(J350,K350),2)))*100,0)+1),"")&amp;" لا غير")</f>
        <v/>
      </c>
    </row>
    <row r="351" customFormat="false" ht="15" hidden="false" customHeight="false" outlineLevel="0" collapsed="false">
      <c r="A351" s="54" t="str">
        <f aca="false">IF(C351="","",START_NO+COUNT(C$5:C351)-1)</f>
        <v/>
      </c>
      <c r="B351" s="55" t="str">
        <f aca="false">IF(A351="","",PREFIX&amp;"-"&amp;TEXT(C351,"yyyy")&amp;"-"&amp;A351)</f>
        <v/>
      </c>
      <c r="C351" s="56"/>
      <c r="D351" s="57"/>
      <c r="E351" s="58"/>
      <c r="F351" s="58"/>
      <c r="G351" s="57"/>
      <c r="H351" s="57"/>
      <c r="I351" s="57"/>
      <c r="J351" s="59" t="str">
        <f aca="false">IF(A351="","",SUMIFS('بنود السندات'!$F$5:$F$3004,'بنود السندات'!$A$5:$A$3004,A351))</f>
        <v/>
      </c>
      <c r="K351" s="59" t="str">
        <f aca="false">IF(A351="","",SUMIFS('بنود السندات'!$G$5:$G$3004,'بنود السندات'!$A$5:$A$3004,A351))</f>
        <v/>
      </c>
      <c r="L351" s="59" t="str">
        <f aca="false">IF(A351="","",ROUND(J351-K351,2))</f>
        <v/>
      </c>
      <c r="M351" s="55" t="str">
        <f aca="false">IF(A351="","",COUNTIF('بنود السندات'!$A$5:$A$3004,A351))</f>
        <v/>
      </c>
      <c r="N351" s="60" t="str">
        <f aca="false">IF(A351="","",IF(M351=0,"بدون بنود ⚠",IF(L351=0,"متوازن ✔","غير متوازن ✘")))</f>
        <v/>
      </c>
      <c r="O351" s="61" t="str">
        <f aca="false">IF(A351="","","فقط "&amp;IF(INT(ROUND(MAX(J351,K351),2))=0,"صفر",MID(IF(INT(INT(ROUND(MAX(J351,K351),2))/1000000)&gt;0," و"&amp;INDEX(تفقيط!$D$2:$D$1001,INT(INT(ROUND(MAX(J351,K351),2))/1000000)+1),"")&amp;IF(INT(MOD(INT(ROUND(MAX(J351,K351),2)),1000000)/1000)&gt;0," و"&amp;INDEX(تفقيط!$C$2:$C$1001,INT(MOD(INT(ROUND(MAX(J351,K351),2)),1000000)/1000)+1),"")&amp;IF(MOD(INT(ROUND(MAX(J351,K351),2)),1000)&gt;0," و"&amp;INDEX(تفقيط!$B$2:$B$1001,MOD(INT(ROUND(MAX(J351,K351),2)),1000)+1),""),3,400))&amp;" "&amp;CUR&amp;IF(ROUND((ROUND(MAX(J351,K351),2)-INT(ROUND(MAX(J351,K351),2)))*100,0)&gt;0," و"&amp;INDEX(تفقيط!$E$2:$E$1001,ROUND((ROUND(MAX(J351,K351),2)-INT(ROUND(MAX(J351,K351),2)))*100,0)+1),"")&amp;" لا غير")</f>
        <v/>
      </c>
    </row>
    <row r="352" customFormat="false" ht="15" hidden="false" customHeight="false" outlineLevel="0" collapsed="false">
      <c r="A352" s="62" t="str">
        <f aca="false">IF(C352="","",START_NO+COUNT(C$5:C352)-1)</f>
        <v/>
      </c>
      <c r="B352" s="63" t="str">
        <f aca="false">IF(A352="","",PREFIX&amp;"-"&amp;TEXT(C352,"yyyy")&amp;"-"&amp;A352)</f>
        <v/>
      </c>
      <c r="C352" s="56"/>
      <c r="D352" s="57"/>
      <c r="E352" s="58"/>
      <c r="F352" s="58"/>
      <c r="G352" s="57"/>
      <c r="H352" s="57"/>
      <c r="I352" s="57"/>
      <c r="J352" s="64" t="str">
        <f aca="false">IF(A352="","",SUMIFS('بنود السندات'!$F$5:$F$3004,'بنود السندات'!$A$5:$A$3004,A352))</f>
        <v/>
      </c>
      <c r="K352" s="64" t="str">
        <f aca="false">IF(A352="","",SUMIFS('بنود السندات'!$G$5:$G$3004,'بنود السندات'!$A$5:$A$3004,A352))</f>
        <v/>
      </c>
      <c r="L352" s="64" t="str">
        <f aca="false">IF(A352="","",ROUND(J352-K352,2))</f>
        <v/>
      </c>
      <c r="M352" s="63" t="str">
        <f aca="false">IF(A352="","",COUNTIF('بنود السندات'!$A$5:$A$3004,A352))</f>
        <v/>
      </c>
      <c r="N352" s="65" t="str">
        <f aca="false">IF(A352="","",IF(M352=0,"بدون بنود ⚠",IF(L352=0,"متوازن ✔","غير متوازن ✘")))</f>
        <v/>
      </c>
      <c r="O352" s="66" t="str">
        <f aca="false">IF(A352="","","فقط "&amp;IF(INT(ROUND(MAX(J352,K352),2))=0,"صفر",MID(IF(INT(INT(ROUND(MAX(J352,K352),2))/1000000)&gt;0," و"&amp;INDEX(تفقيط!$D$2:$D$1001,INT(INT(ROUND(MAX(J352,K352),2))/1000000)+1),"")&amp;IF(INT(MOD(INT(ROUND(MAX(J352,K352),2)),1000000)/1000)&gt;0," و"&amp;INDEX(تفقيط!$C$2:$C$1001,INT(MOD(INT(ROUND(MAX(J352,K352),2)),1000000)/1000)+1),"")&amp;IF(MOD(INT(ROUND(MAX(J352,K352),2)),1000)&gt;0," و"&amp;INDEX(تفقيط!$B$2:$B$1001,MOD(INT(ROUND(MAX(J352,K352),2)),1000)+1),""),3,400))&amp;" "&amp;CUR&amp;IF(ROUND((ROUND(MAX(J352,K352),2)-INT(ROUND(MAX(J352,K352),2)))*100,0)&gt;0," و"&amp;INDEX(تفقيط!$E$2:$E$1001,ROUND((ROUND(MAX(J352,K352),2)-INT(ROUND(MAX(J352,K352),2)))*100,0)+1),"")&amp;" لا غير")</f>
        <v/>
      </c>
    </row>
    <row r="353" customFormat="false" ht="15" hidden="false" customHeight="false" outlineLevel="0" collapsed="false">
      <c r="A353" s="54" t="str">
        <f aca="false">IF(C353="","",START_NO+COUNT(C$5:C353)-1)</f>
        <v/>
      </c>
      <c r="B353" s="55" t="str">
        <f aca="false">IF(A353="","",PREFIX&amp;"-"&amp;TEXT(C353,"yyyy")&amp;"-"&amp;A353)</f>
        <v/>
      </c>
      <c r="C353" s="56"/>
      <c r="D353" s="57"/>
      <c r="E353" s="58"/>
      <c r="F353" s="58"/>
      <c r="G353" s="57"/>
      <c r="H353" s="57"/>
      <c r="I353" s="57"/>
      <c r="J353" s="59" t="str">
        <f aca="false">IF(A353="","",SUMIFS('بنود السندات'!$F$5:$F$3004,'بنود السندات'!$A$5:$A$3004,A353))</f>
        <v/>
      </c>
      <c r="K353" s="59" t="str">
        <f aca="false">IF(A353="","",SUMIFS('بنود السندات'!$G$5:$G$3004,'بنود السندات'!$A$5:$A$3004,A353))</f>
        <v/>
      </c>
      <c r="L353" s="59" t="str">
        <f aca="false">IF(A353="","",ROUND(J353-K353,2))</f>
        <v/>
      </c>
      <c r="M353" s="55" t="str">
        <f aca="false">IF(A353="","",COUNTIF('بنود السندات'!$A$5:$A$3004,A353))</f>
        <v/>
      </c>
      <c r="N353" s="60" t="str">
        <f aca="false">IF(A353="","",IF(M353=0,"بدون بنود ⚠",IF(L353=0,"متوازن ✔","غير متوازن ✘")))</f>
        <v/>
      </c>
      <c r="O353" s="61" t="str">
        <f aca="false">IF(A353="","","فقط "&amp;IF(INT(ROUND(MAX(J353,K353),2))=0,"صفر",MID(IF(INT(INT(ROUND(MAX(J353,K353),2))/1000000)&gt;0," و"&amp;INDEX(تفقيط!$D$2:$D$1001,INT(INT(ROUND(MAX(J353,K353),2))/1000000)+1),"")&amp;IF(INT(MOD(INT(ROUND(MAX(J353,K353),2)),1000000)/1000)&gt;0," و"&amp;INDEX(تفقيط!$C$2:$C$1001,INT(MOD(INT(ROUND(MAX(J353,K353),2)),1000000)/1000)+1),"")&amp;IF(MOD(INT(ROUND(MAX(J353,K353),2)),1000)&gt;0," و"&amp;INDEX(تفقيط!$B$2:$B$1001,MOD(INT(ROUND(MAX(J353,K353),2)),1000)+1),""),3,400))&amp;" "&amp;CUR&amp;IF(ROUND((ROUND(MAX(J353,K353),2)-INT(ROUND(MAX(J353,K353),2)))*100,0)&gt;0," و"&amp;INDEX(تفقيط!$E$2:$E$1001,ROUND((ROUND(MAX(J353,K353),2)-INT(ROUND(MAX(J353,K353),2)))*100,0)+1),"")&amp;" لا غير")</f>
        <v/>
      </c>
    </row>
    <row r="354" customFormat="false" ht="15" hidden="false" customHeight="false" outlineLevel="0" collapsed="false">
      <c r="A354" s="62" t="str">
        <f aca="false">IF(C354="","",START_NO+COUNT(C$5:C354)-1)</f>
        <v/>
      </c>
      <c r="B354" s="63" t="str">
        <f aca="false">IF(A354="","",PREFIX&amp;"-"&amp;TEXT(C354,"yyyy")&amp;"-"&amp;A354)</f>
        <v/>
      </c>
      <c r="C354" s="56"/>
      <c r="D354" s="57"/>
      <c r="E354" s="58"/>
      <c r="F354" s="58"/>
      <c r="G354" s="57"/>
      <c r="H354" s="57"/>
      <c r="I354" s="57"/>
      <c r="J354" s="64" t="str">
        <f aca="false">IF(A354="","",SUMIFS('بنود السندات'!$F$5:$F$3004,'بنود السندات'!$A$5:$A$3004,A354))</f>
        <v/>
      </c>
      <c r="K354" s="64" t="str">
        <f aca="false">IF(A354="","",SUMIFS('بنود السندات'!$G$5:$G$3004,'بنود السندات'!$A$5:$A$3004,A354))</f>
        <v/>
      </c>
      <c r="L354" s="64" t="str">
        <f aca="false">IF(A354="","",ROUND(J354-K354,2))</f>
        <v/>
      </c>
      <c r="M354" s="63" t="str">
        <f aca="false">IF(A354="","",COUNTIF('بنود السندات'!$A$5:$A$3004,A354))</f>
        <v/>
      </c>
      <c r="N354" s="65" t="str">
        <f aca="false">IF(A354="","",IF(M354=0,"بدون بنود ⚠",IF(L354=0,"متوازن ✔","غير متوازن ✘")))</f>
        <v/>
      </c>
      <c r="O354" s="66" t="str">
        <f aca="false">IF(A354="","","فقط "&amp;IF(INT(ROUND(MAX(J354,K354),2))=0,"صفر",MID(IF(INT(INT(ROUND(MAX(J354,K354),2))/1000000)&gt;0," و"&amp;INDEX(تفقيط!$D$2:$D$1001,INT(INT(ROUND(MAX(J354,K354),2))/1000000)+1),"")&amp;IF(INT(MOD(INT(ROUND(MAX(J354,K354),2)),1000000)/1000)&gt;0," و"&amp;INDEX(تفقيط!$C$2:$C$1001,INT(MOD(INT(ROUND(MAX(J354,K354),2)),1000000)/1000)+1),"")&amp;IF(MOD(INT(ROUND(MAX(J354,K354),2)),1000)&gt;0," و"&amp;INDEX(تفقيط!$B$2:$B$1001,MOD(INT(ROUND(MAX(J354,K354),2)),1000)+1),""),3,400))&amp;" "&amp;CUR&amp;IF(ROUND((ROUND(MAX(J354,K354),2)-INT(ROUND(MAX(J354,K354),2)))*100,0)&gt;0," و"&amp;INDEX(تفقيط!$E$2:$E$1001,ROUND((ROUND(MAX(J354,K354),2)-INT(ROUND(MAX(J354,K354),2)))*100,0)+1),"")&amp;" لا غير")</f>
        <v/>
      </c>
    </row>
    <row r="355" customFormat="false" ht="15" hidden="false" customHeight="false" outlineLevel="0" collapsed="false">
      <c r="A355" s="54" t="str">
        <f aca="false">IF(C355="","",START_NO+COUNT(C$5:C355)-1)</f>
        <v/>
      </c>
      <c r="B355" s="55" t="str">
        <f aca="false">IF(A355="","",PREFIX&amp;"-"&amp;TEXT(C355,"yyyy")&amp;"-"&amp;A355)</f>
        <v/>
      </c>
      <c r="C355" s="56"/>
      <c r="D355" s="57"/>
      <c r="E355" s="58"/>
      <c r="F355" s="58"/>
      <c r="G355" s="57"/>
      <c r="H355" s="57"/>
      <c r="I355" s="57"/>
      <c r="J355" s="59" t="str">
        <f aca="false">IF(A355="","",SUMIFS('بنود السندات'!$F$5:$F$3004,'بنود السندات'!$A$5:$A$3004,A355))</f>
        <v/>
      </c>
      <c r="K355" s="59" t="str">
        <f aca="false">IF(A355="","",SUMIFS('بنود السندات'!$G$5:$G$3004,'بنود السندات'!$A$5:$A$3004,A355))</f>
        <v/>
      </c>
      <c r="L355" s="59" t="str">
        <f aca="false">IF(A355="","",ROUND(J355-K355,2))</f>
        <v/>
      </c>
      <c r="M355" s="55" t="str">
        <f aca="false">IF(A355="","",COUNTIF('بنود السندات'!$A$5:$A$3004,A355))</f>
        <v/>
      </c>
      <c r="N355" s="60" t="str">
        <f aca="false">IF(A355="","",IF(M355=0,"بدون بنود ⚠",IF(L355=0,"متوازن ✔","غير متوازن ✘")))</f>
        <v/>
      </c>
      <c r="O355" s="61" t="str">
        <f aca="false">IF(A355="","","فقط "&amp;IF(INT(ROUND(MAX(J355,K355),2))=0,"صفر",MID(IF(INT(INT(ROUND(MAX(J355,K355),2))/1000000)&gt;0," و"&amp;INDEX(تفقيط!$D$2:$D$1001,INT(INT(ROUND(MAX(J355,K355),2))/1000000)+1),"")&amp;IF(INT(MOD(INT(ROUND(MAX(J355,K355),2)),1000000)/1000)&gt;0," و"&amp;INDEX(تفقيط!$C$2:$C$1001,INT(MOD(INT(ROUND(MAX(J355,K355),2)),1000000)/1000)+1),"")&amp;IF(MOD(INT(ROUND(MAX(J355,K355),2)),1000)&gt;0," و"&amp;INDEX(تفقيط!$B$2:$B$1001,MOD(INT(ROUND(MAX(J355,K355),2)),1000)+1),""),3,400))&amp;" "&amp;CUR&amp;IF(ROUND((ROUND(MAX(J355,K355),2)-INT(ROUND(MAX(J355,K355),2)))*100,0)&gt;0," و"&amp;INDEX(تفقيط!$E$2:$E$1001,ROUND((ROUND(MAX(J355,K355),2)-INT(ROUND(MAX(J355,K355),2)))*100,0)+1),"")&amp;" لا غير")</f>
        <v/>
      </c>
    </row>
    <row r="356" customFormat="false" ht="15" hidden="false" customHeight="false" outlineLevel="0" collapsed="false">
      <c r="A356" s="62" t="str">
        <f aca="false">IF(C356="","",START_NO+COUNT(C$5:C356)-1)</f>
        <v/>
      </c>
      <c r="B356" s="63" t="str">
        <f aca="false">IF(A356="","",PREFIX&amp;"-"&amp;TEXT(C356,"yyyy")&amp;"-"&amp;A356)</f>
        <v/>
      </c>
      <c r="C356" s="56"/>
      <c r="D356" s="57"/>
      <c r="E356" s="58"/>
      <c r="F356" s="58"/>
      <c r="G356" s="57"/>
      <c r="H356" s="57"/>
      <c r="I356" s="57"/>
      <c r="J356" s="64" t="str">
        <f aca="false">IF(A356="","",SUMIFS('بنود السندات'!$F$5:$F$3004,'بنود السندات'!$A$5:$A$3004,A356))</f>
        <v/>
      </c>
      <c r="K356" s="64" t="str">
        <f aca="false">IF(A356="","",SUMIFS('بنود السندات'!$G$5:$G$3004,'بنود السندات'!$A$5:$A$3004,A356))</f>
        <v/>
      </c>
      <c r="L356" s="64" t="str">
        <f aca="false">IF(A356="","",ROUND(J356-K356,2))</f>
        <v/>
      </c>
      <c r="M356" s="63" t="str">
        <f aca="false">IF(A356="","",COUNTIF('بنود السندات'!$A$5:$A$3004,A356))</f>
        <v/>
      </c>
      <c r="N356" s="65" t="str">
        <f aca="false">IF(A356="","",IF(M356=0,"بدون بنود ⚠",IF(L356=0,"متوازن ✔","غير متوازن ✘")))</f>
        <v/>
      </c>
      <c r="O356" s="66" t="str">
        <f aca="false">IF(A356="","","فقط "&amp;IF(INT(ROUND(MAX(J356,K356),2))=0,"صفر",MID(IF(INT(INT(ROUND(MAX(J356,K356),2))/1000000)&gt;0," و"&amp;INDEX(تفقيط!$D$2:$D$1001,INT(INT(ROUND(MAX(J356,K356),2))/1000000)+1),"")&amp;IF(INT(MOD(INT(ROUND(MAX(J356,K356),2)),1000000)/1000)&gt;0," و"&amp;INDEX(تفقيط!$C$2:$C$1001,INT(MOD(INT(ROUND(MAX(J356,K356),2)),1000000)/1000)+1),"")&amp;IF(MOD(INT(ROUND(MAX(J356,K356),2)),1000)&gt;0," و"&amp;INDEX(تفقيط!$B$2:$B$1001,MOD(INT(ROUND(MAX(J356,K356),2)),1000)+1),""),3,400))&amp;" "&amp;CUR&amp;IF(ROUND((ROUND(MAX(J356,K356),2)-INT(ROUND(MAX(J356,K356),2)))*100,0)&gt;0," و"&amp;INDEX(تفقيط!$E$2:$E$1001,ROUND((ROUND(MAX(J356,K356),2)-INT(ROUND(MAX(J356,K356),2)))*100,0)+1),"")&amp;" لا غير")</f>
        <v/>
      </c>
    </row>
    <row r="357" customFormat="false" ht="15" hidden="false" customHeight="false" outlineLevel="0" collapsed="false">
      <c r="A357" s="54" t="str">
        <f aca="false">IF(C357="","",START_NO+COUNT(C$5:C357)-1)</f>
        <v/>
      </c>
      <c r="B357" s="55" t="str">
        <f aca="false">IF(A357="","",PREFIX&amp;"-"&amp;TEXT(C357,"yyyy")&amp;"-"&amp;A357)</f>
        <v/>
      </c>
      <c r="C357" s="56"/>
      <c r="D357" s="57"/>
      <c r="E357" s="58"/>
      <c r="F357" s="58"/>
      <c r="G357" s="57"/>
      <c r="H357" s="57"/>
      <c r="I357" s="57"/>
      <c r="J357" s="59" t="str">
        <f aca="false">IF(A357="","",SUMIFS('بنود السندات'!$F$5:$F$3004,'بنود السندات'!$A$5:$A$3004,A357))</f>
        <v/>
      </c>
      <c r="K357" s="59" t="str">
        <f aca="false">IF(A357="","",SUMIFS('بنود السندات'!$G$5:$G$3004,'بنود السندات'!$A$5:$A$3004,A357))</f>
        <v/>
      </c>
      <c r="L357" s="59" t="str">
        <f aca="false">IF(A357="","",ROUND(J357-K357,2))</f>
        <v/>
      </c>
      <c r="M357" s="55" t="str">
        <f aca="false">IF(A357="","",COUNTIF('بنود السندات'!$A$5:$A$3004,A357))</f>
        <v/>
      </c>
      <c r="N357" s="60" t="str">
        <f aca="false">IF(A357="","",IF(M357=0,"بدون بنود ⚠",IF(L357=0,"متوازن ✔","غير متوازن ✘")))</f>
        <v/>
      </c>
      <c r="O357" s="61" t="str">
        <f aca="false">IF(A357="","","فقط "&amp;IF(INT(ROUND(MAX(J357,K357),2))=0,"صفر",MID(IF(INT(INT(ROUND(MAX(J357,K357),2))/1000000)&gt;0," و"&amp;INDEX(تفقيط!$D$2:$D$1001,INT(INT(ROUND(MAX(J357,K357),2))/1000000)+1),"")&amp;IF(INT(MOD(INT(ROUND(MAX(J357,K357),2)),1000000)/1000)&gt;0," و"&amp;INDEX(تفقيط!$C$2:$C$1001,INT(MOD(INT(ROUND(MAX(J357,K357),2)),1000000)/1000)+1),"")&amp;IF(MOD(INT(ROUND(MAX(J357,K357),2)),1000)&gt;0," و"&amp;INDEX(تفقيط!$B$2:$B$1001,MOD(INT(ROUND(MAX(J357,K357),2)),1000)+1),""),3,400))&amp;" "&amp;CUR&amp;IF(ROUND((ROUND(MAX(J357,K357),2)-INT(ROUND(MAX(J357,K357),2)))*100,0)&gt;0," و"&amp;INDEX(تفقيط!$E$2:$E$1001,ROUND((ROUND(MAX(J357,K357),2)-INT(ROUND(MAX(J357,K357),2)))*100,0)+1),"")&amp;" لا غير")</f>
        <v/>
      </c>
    </row>
    <row r="358" customFormat="false" ht="15" hidden="false" customHeight="false" outlineLevel="0" collapsed="false">
      <c r="A358" s="62" t="str">
        <f aca="false">IF(C358="","",START_NO+COUNT(C$5:C358)-1)</f>
        <v/>
      </c>
      <c r="B358" s="63" t="str">
        <f aca="false">IF(A358="","",PREFIX&amp;"-"&amp;TEXT(C358,"yyyy")&amp;"-"&amp;A358)</f>
        <v/>
      </c>
      <c r="C358" s="56"/>
      <c r="D358" s="57"/>
      <c r="E358" s="58"/>
      <c r="F358" s="58"/>
      <c r="G358" s="57"/>
      <c r="H358" s="57"/>
      <c r="I358" s="57"/>
      <c r="J358" s="64" t="str">
        <f aca="false">IF(A358="","",SUMIFS('بنود السندات'!$F$5:$F$3004,'بنود السندات'!$A$5:$A$3004,A358))</f>
        <v/>
      </c>
      <c r="K358" s="64" t="str">
        <f aca="false">IF(A358="","",SUMIFS('بنود السندات'!$G$5:$G$3004,'بنود السندات'!$A$5:$A$3004,A358))</f>
        <v/>
      </c>
      <c r="L358" s="64" t="str">
        <f aca="false">IF(A358="","",ROUND(J358-K358,2))</f>
        <v/>
      </c>
      <c r="M358" s="63" t="str">
        <f aca="false">IF(A358="","",COUNTIF('بنود السندات'!$A$5:$A$3004,A358))</f>
        <v/>
      </c>
      <c r="N358" s="65" t="str">
        <f aca="false">IF(A358="","",IF(M358=0,"بدون بنود ⚠",IF(L358=0,"متوازن ✔","غير متوازن ✘")))</f>
        <v/>
      </c>
      <c r="O358" s="66" t="str">
        <f aca="false">IF(A358="","","فقط "&amp;IF(INT(ROUND(MAX(J358,K358),2))=0,"صفر",MID(IF(INT(INT(ROUND(MAX(J358,K358),2))/1000000)&gt;0," و"&amp;INDEX(تفقيط!$D$2:$D$1001,INT(INT(ROUND(MAX(J358,K358),2))/1000000)+1),"")&amp;IF(INT(MOD(INT(ROUND(MAX(J358,K358),2)),1000000)/1000)&gt;0," و"&amp;INDEX(تفقيط!$C$2:$C$1001,INT(MOD(INT(ROUND(MAX(J358,K358),2)),1000000)/1000)+1),"")&amp;IF(MOD(INT(ROUND(MAX(J358,K358),2)),1000)&gt;0," و"&amp;INDEX(تفقيط!$B$2:$B$1001,MOD(INT(ROUND(MAX(J358,K358),2)),1000)+1),""),3,400))&amp;" "&amp;CUR&amp;IF(ROUND((ROUND(MAX(J358,K358),2)-INT(ROUND(MAX(J358,K358),2)))*100,0)&gt;0," و"&amp;INDEX(تفقيط!$E$2:$E$1001,ROUND((ROUND(MAX(J358,K358),2)-INT(ROUND(MAX(J358,K358),2)))*100,0)+1),"")&amp;" لا غير")</f>
        <v/>
      </c>
    </row>
    <row r="359" customFormat="false" ht="15" hidden="false" customHeight="false" outlineLevel="0" collapsed="false">
      <c r="A359" s="54" t="str">
        <f aca="false">IF(C359="","",START_NO+COUNT(C$5:C359)-1)</f>
        <v/>
      </c>
      <c r="B359" s="55" t="str">
        <f aca="false">IF(A359="","",PREFIX&amp;"-"&amp;TEXT(C359,"yyyy")&amp;"-"&amp;A359)</f>
        <v/>
      </c>
      <c r="C359" s="56"/>
      <c r="D359" s="57"/>
      <c r="E359" s="58"/>
      <c r="F359" s="58"/>
      <c r="G359" s="57"/>
      <c r="H359" s="57"/>
      <c r="I359" s="57"/>
      <c r="J359" s="59" t="str">
        <f aca="false">IF(A359="","",SUMIFS('بنود السندات'!$F$5:$F$3004,'بنود السندات'!$A$5:$A$3004,A359))</f>
        <v/>
      </c>
      <c r="K359" s="59" t="str">
        <f aca="false">IF(A359="","",SUMIFS('بنود السندات'!$G$5:$G$3004,'بنود السندات'!$A$5:$A$3004,A359))</f>
        <v/>
      </c>
      <c r="L359" s="59" t="str">
        <f aca="false">IF(A359="","",ROUND(J359-K359,2))</f>
        <v/>
      </c>
      <c r="M359" s="55" t="str">
        <f aca="false">IF(A359="","",COUNTIF('بنود السندات'!$A$5:$A$3004,A359))</f>
        <v/>
      </c>
      <c r="N359" s="60" t="str">
        <f aca="false">IF(A359="","",IF(M359=0,"بدون بنود ⚠",IF(L359=0,"متوازن ✔","غير متوازن ✘")))</f>
        <v/>
      </c>
      <c r="O359" s="61" t="str">
        <f aca="false">IF(A359="","","فقط "&amp;IF(INT(ROUND(MAX(J359,K359),2))=0,"صفر",MID(IF(INT(INT(ROUND(MAX(J359,K359),2))/1000000)&gt;0," و"&amp;INDEX(تفقيط!$D$2:$D$1001,INT(INT(ROUND(MAX(J359,K359),2))/1000000)+1),"")&amp;IF(INT(MOD(INT(ROUND(MAX(J359,K359),2)),1000000)/1000)&gt;0," و"&amp;INDEX(تفقيط!$C$2:$C$1001,INT(MOD(INT(ROUND(MAX(J359,K359),2)),1000000)/1000)+1),"")&amp;IF(MOD(INT(ROUND(MAX(J359,K359),2)),1000)&gt;0," و"&amp;INDEX(تفقيط!$B$2:$B$1001,MOD(INT(ROUND(MAX(J359,K359),2)),1000)+1),""),3,400))&amp;" "&amp;CUR&amp;IF(ROUND((ROUND(MAX(J359,K359),2)-INT(ROUND(MAX(J359,K359),2)))*100,0)&gt;0," و"&amp;INDEX(تفقيط!$E$2:$E$1001,ROUND((ROUND(MAX(J359,K359),2)-INT(ROUND(MAX(J359,K359),2)))*100,0)+1),"")&amp;" لا غير")</f>
        <v/>
      </c>
    </row>
    <row r="360" customFormat="false" ht="15" hidden="false" customHeight="false" outlineLevel="0" collapsed="false">
      <c r="A360" s="62" t="str">
        <f aca="false">IF(C360="","",START_NO+COUNT(C$5:C360)-1)</f>
        <v/>
      </c>
      <c r="B360" s="63" t="str">
        <f aca="false">IF(A360="","",PREFIX&amp;"-"&amp;TEXT(C360,"yyyy")&amp;"-"&amp;A360)</f>
        <v/>
      </c>
      <c r="C360" s="56"/>
      <c r="D360" s="57"/>
      <c r="E360" s="58"/>
      <c r="F360" s="58"/>
      <c r="G360" s="57"/>
      <c r="H360" s="57"/>
      <c r="I360" s="57"/>
      <c r="J360" s="64" t="str">
        <f aca="false">IF(A360="","",SUMIFS('بنود السندات'!$F$5:$F$3004,'بنود السندات'!$A$5:$A$3004,A360))</f>
        <v/>
      </c>
      <c r="K360" s="64" t="str">
        <f aca="false">IF(A360="","",SUMIFS('بنود السندات'!$G$5:$G$3004,'بنود السندات'!$A$5:$A$3004,A360))</f>
        <v/>
      </c>
      <c r="L360" s="64" t="str">
        <f aca="false">IF(A360="","",ROUND(J360-K360,2))</f>
        <v/>
      </c>
      <c r="M360" s="63" t="str">
        <f aca="false">IF(A360="","",COUNTIF('بنود السندات'!$A$5:$A$3004,A360))</f>
        <v/>
      </c>
      <c r="N360" s="65" t="str">
        <f aca="false">IF(A360="","",IF(M360=0,"بدون بنود ⚠",IF(L360=0,"متوازن ✔","غير متوازن ✘")))</f>
        <v/>
      </c>
      <c r="O360" s="66" t="str">
        <f aca="false">IF(A360="","","فقط "&amp;IF(INT(ROUND(MAX(J360,K360),2))=0,"صفر",MID(IF(INT(INT(ROUND(MAX(J360,K360),2))/1000000)&gt;0," و"&amp;INDEX(تفقيط!$D$2:$D$1001,INT(INT(ROUND(MAX(J360,K360),2))/1000000)+1),"")&amp;IF(INT(MOD(INT(ROUND(MAX(J360,K360),2)),1000000)/1000)&gt;0," و"&amp;INDEX(تفقيط!$C$2:$C$1001,INT(MOD(INT(ROUND(MAX(J360,K360),2)),1000000)/1000)+1),"")&amp;IF(MOD(INT(ROUND(MAX(J360,K360),2)),1000)&gt;0," و"&amp;INDEX(تفقيط!$B$2:$B$1001,MOD(INT(ROUND(MAX(J360,K360),2)),1000)+1),""),3,400))&amp;" "&amp;CUR&amp;IF(ROUND((ROUND(MAX(J360,K360),2)-INT(ROUND(MAX(J360,K360),2)))*100,0)&gt;0," و"&amp;INDEX(تفقيط!$E$2:$E$1001,ROUND((ROUND(MAX(J360,K360),2)-INT(ROUND(MAX(J360,K360),2)))*100,0)+1),"")&amp;" لا غير")</f>
        <v/>
      </c>
    </row>
    <row r="361" customFormat="false" ht="15" hidden="false" customHeight="false" outlineLevel="0" collapsed="false">
      <c r="A361" s="54" t="str">
        <f aca="false">IF(C361="","",START_NO+COUNT(C$5:C361)-1)</f>
        <v/>
      </c>
      <c r="B361" s="55" t="str">
        <f aca="false">IF(A361="","",PREFIX&amp;"-"&amp;TEXT(C361,"yyyy")&amp;"-"&amp;A361)</f>
        <v/>
      </c>
      <c r="C361" s="56"/>
      <c r="D361" s="57"/>
      <c r="E361" s="58"/>
      <c r="F361" s="58"/>
      <c r="G361" s="57"/>
      <c r="H361" s="57"/>
      <c r="I361" s="57"/>
      <c r="J361" s="59" t="str">
        <f aca="false">IF(A361="","",SUMIFS('بنود السندات'!$F$5:$F$3004,'بنود السندات'!$A$5:$A$3004,A361))</f>
        <v/>
      </c>
      <c r="K361" s="59" t="str">
        <f aca="false">IF(A361="","",SUMIFS('بنود السندات'!$G$5:$G$3004,'بنود السندات'!$A$5:$A$3004,A361))</f>
        <v/>
      </c>
      <c r="L361" s="59" t="str">
        <f aca="false">IF(A361="","",ROUND(J361-K361,2))</f>
        <v/>
      </c>
      <c r="M361" s="55" t="str">
        <f aca="false">IF(A361="","",COUNTIF('بنود السندات'!$A$5:$A$3004,A361))</f>
        <v/>
      </c>
      <c r="N361" s="60" t="str">
        <f aca="false">IF(A361="","",IF(M361=0,"بدون بنود ⚠",IF(L361=0,"متوازن ✔","غير متوازن ✘")))</f>
        <v/>
      </c>
      <c r="O361" s="61" t="str">
        <f aca="false">IF(A361="","","فقط "&amp;IF(INT(ROUND(MAX(J361,K361),2))=0,"صفر",MID(IF(INT(INT(ROUND(MAX(J361,K361),2))/1000000)&gt;0," و"&amp;INDEX(تفقيط!$D$2:$D$1001,INT(INT(ROUND(MAX(J361,K361),2))/1000000)+1),"")&amp;IF(INT(MOD(INT(ROUND(MAX(J361,K361),2)),1000000)/1000)&gt;0," و"&amp;INDEX(تفقيط!$C$2:$C$1001,INT(MOD(INT(ROUND(MAX(J361,K361),2)),1000000)/1000)+1),"")&amp;IF(MOD(INT(ROUND(MAX(J361,K361),2)),1000)&gt;0," و"&amp;INDEX(تفقيط!$B$2:$B$1001,MOD(INT(ROUND(MAX(J361,K361),2)),1000)+1),""),3,400))&amp;" "&amp;CUR&amp;IF(ROUND((ROUND(MAX(J361,K361),2)-INT(ROUND(MAX(J361,K361),2)))*100,0)&gt;0," و"&amp;INDEX(تفقيط!$E$2:$E$1001,ROUND((ROUND(MAX(J361,K361),2)-INT(ROUND(MAX(J361,K361),2)))*100,0)+1),"")&amp;" لا غير")</f>
        <v/>
      </c>
    </row>
    <row r="362" customFormat="false" ht="15" hidden="false" customHeight="false" outlineLevel="0" collapsed="false">
      <c r="A362" s="62" t="str">
        <f aca="false">IF(C362="","",START_NO+COUNT(C$5:C362)-1)</f>
        <v/>
      </c>
      <c r="B362" s="63" t="str">
        <f aca="false">IF(A362="","",PREFIX&amp;"-"&amp;TEXT(C362,"yyyy")&amp;"-"&amp;A362)</f>
        <v/>
      </c>
      <c r="C362" s="56"/>
      <c r="D362" s="57"/>
      <c r="E362" s="58"/>
      <c r="F362" s="58"/>
      <c r="G362" s="57"/>
      <c r="H362" s="57"/>
      <c r="I362" s="57"/>
      <c r="J362" s="64" t="str">
        <f aca="false">IF(A362="","",SUMIFS('بنود السندات'!$F$5:$F$3004,'بنود السندات'!$A$5:$A$3004,A362))</f>
        <v/>
      </c>
      <c r="K362" s="64" t="str">
        <f aca="false">IF(A362="","",SUMIFS('بنود السندات'!$G$5:$G$3004,'بنود السندات'!$A$5:$A$3004,A362))</f>
        <v/>
      </c>
      <c r="L362" s="64" t="str">
        <f aca="false">IF(A362="","",ROUND(J362-K362,2))</f>
        <v/>
      </c>
      <c r="M362" s="63" t="str">
        <f aca="false">IF(A362="","",COUNTIF('بنود السندات'!$A$5:$A$3004,A362))</f>
        <v/>
      </c>
      <c r="N362" s="65" t="str">
        <f aca="false">IF(A362="","",IF(M362=0,"بدون بنود ⚠",IF(L362=0,"متوازن ✔","غير متوازن ✘")))</f>
        <v/>
      </c>
      <c r="O362" s="66" t="str">
        <f aca="false">IF(A362="","","فقط "&amp;IF(INT(ROUND(MAX(J362,K362),2))=0,"صفر",MID(IF(INT(INT(ROUND(MAX(J362,K362),2))/1000000)&gt;0," و"&amp;INDEX(تفقيط!$D$2:$D$1001,INT(INT(ROUND(MAX(J362,K362),2))/1000000)+1),"")&amp;IF(INT(MOD(INT(ROUND(MAX(J362,K362),2)),1000000)/1000)&gt;0," و"&amp;INDEX(تفقيط!$C$2:$C$1001,INT(MOD(INT(ROUND(MAX(J362,K362),2)),1000000)/1000)+1),"")&amp;IF(MOD(INT(ROUND(MAX(J362,K362),2)),1000)&gt;0," و"&amp;INDEX(تفقيط!$B$2:$B$1001,MOD(INT(ROUND(MAX(J362,K362),2)),1000)+1),""),3,400))&amp;" "&amp;CUR&amp;IF(ROUND((ROUND(MAX(J362,K362),2)-INT(ROUND(MAX(J362,K362),2)))*100,0)&gt;0," و"&amp;INDEX(تفقيط!$E$2:$E$1001,ROUND((ROUND(MAX(J362,K362),2)-INT(ROUND(MAX(J362,K362),2)))*100,0)+1),"")&amp;" لا غير")</f>
        <v/>
      </c>
    </row>
    <row r="363" customFormat="false" ht="15" hidden="false" customHeight="false" outlineLevel="0" collapsed="false">
      <c r="A363" s="54" t="str">
        <f aca="false">IF(C363="","",START_NO+COUNT(C$5:C363)-1)</f>
        <v/>
      </c>
      <c r="B363" s="55" t="str">
        <f aca="false">IF(A363="","",PREFIX&amp;"-"&amp;TEXT(C363,"yyyy")&amp;"-"&amp;A363)</f>
        <v/>
      </c>
      <c r="C363" s="56"/>
      <c r="D363" s="57"/>
      <c r="E363" s="58"/>
      <c r="F363" s="58"/>
      <c r="G363" s="57"/>
      <c r="H363" s="57"/>
      <c r="I363" s="57"/>
      <c r="J363" s="59" t="str">
        <f aca="false">IF(A363="","",SUMIFS('بنود السندات'!$F$5:$F$3004,'بنود السندات'!$A$5:$A$3004,A363))</f>
        <v/>
      </c>
      <c r="K363" s="59" t="str">
        <f aca="false">IF(A363="","",SUMIFS('بنود السندات'!$G$5:$G$3004,'بنود السندات'!$A$5:$A$3004,A363))</f>
        <v/>
      </c>
      <c r="L363" s="59" t="str">
        <f aca="false">IF(A363="","",ROUND(J363-K363,2))</f>
        <v/>
      </c>
      <c r="M363" s="55" t="str">
        <f aca="false">IF(A363="","",COUNTIF('بنود السندات'!$A$5:$A$3004,A363))</f>
        <v/>
      </c>
      <c r="N363" s="60" t="str">
        <f aca="false">IF(A363="","",IF(M363=0,"بدون بنود ⚠",IF(L363=0,"متوازن ✔","غير متوازن ✘")))</f>
        <v/>
      </c>
      <c r="O363" s="61" t="str">
        <f aca="false">IF(A363="","","فقط "&amp;IF(INT(ROUND(MAX(J363,K363),2))=0,"صفر",MID(IF(INT(INT(ROUND(MAX(J363,K363),2))/1000000)&gt;0," و"&amp;INDEX(تفقيط!$D$2:$D$1001,INT(INT(ROUND(MAX(J363,K363),2))/1000000)+1),"")&amp;IF(INT(MOD(INT(ROUND(MAX(J363,K363),2)),1000000)/1000)&gt;0," و"&amp;INDEX(تفقيط!$C$2:$C$1001,INT(MOD(INT(ROUND(MAX(J363,K363),2)),1000000)/1000)+1),"")&amp;IF(MOD(INT(ROUND(MAX(J363,K363),2)),1000)&gt;0," و"&amp;INDEX(تفقيط!$B$2:$B$1001,MOD(INT(ROUND(MAX(J363,K363),2)),1000)+1),""),3,400))&amp;" "&amp;CUR&amp;IF(ROUND((ROUND(MAX(J363,K363),2)-INT(ROUND(MAX(J363,K363),2)))*100,0)&gt;0," و"&amp;INDEX(تفقيط!$E$2:$E$1001,ROUND((ROUND(MAX(J363,K363),2)-INT(ROUND(MAX(J363,K363),2)))*100,0)+1),"")&amp;" لا غير")</f>
        <v/>
      </c>
    </row>
    <row r="364" customFormat="false" ht="15" hidden="false" customHeight="false" outlineLevel="0" collapsed="false">
      <c r="A364" s="62" t="str">
        <f aca="false">IF(C364="","",START_NO+COUNT(C$5:C364)-1)</f>
        <v/>
      </c>
      <c r="B364" s="63" t="str">
        <f aca="false">IF(A364="","",PREFIX&amp;"-"&amp;TEXT(C364,"yyyy")&amp;"-"&amp;A364)</f>
        <v/>
      </c>
      <c r="C364" s="56"/>
      <c r="D364" s="57"/>
      <c r="E364" s="58"/>
      <c r="F364" s="58"/>
      <c r="G364" s="57"/>
      <c r="H364" s="57"/>
      <c r="I364" s="57"/>
      <c r="J364" s="64" t="str">
        <f aca="false">IF(A364="","",SUMIFS('بنود السندات'!$F$5:$F$3004,'بنود السندات'!$A$5:$A$3004,A364))</f>
        <v/>
      </c>
      <c r="K364" s="64" t="str">
        <f aca="false">IF(A364="","",SUMIFS('بنود السندات'!$G$5:$G$3004,'بنود السندات'!$A$5:$A$3004,A364))</f>
        <v/>
      </c>
      <c r="L364" s="64" t="str">
        <f aca="false">IF(A364="","",ROUND(J364-K364,2))</f>
        <v/>
      </c>
      <c r="M364" s="63" t="str">
        <f aca="false">IF(A364="","",COUNTIF('بنود السندات'!$A$5:$A$3004,A364))</f>
        <v/>
      </c>
      <c r="N364" s="65" t="str">
        <f aca="false">IF(A364="","",IF(M364=0,"بدون بنود ⚠",IF(L364=0,"متوازن ✔","غير متوازن ✘")))</f>
        <v/>
      </c>
      <c r="O364" s="66" t="str">
        <f aca="false">IF(A364="","","فقط "&amp;IF(INT(ROUND(MAX(J364,K364),2))=0,"صفر",MID(IF(INT(INT(ROUND(MAX(J364,K364),2))/1000000)&gt;0," و"&amp;INDEX(تفقيط!$D$2:$D$1001,INT(INT(ROUND(MAX(J364,K364),2))/1000000)+1),"")&amp;IF(INT(MOD(INT(ROUND(MAX(J364,K364),2)),1000000)/1000)&gt;0," و"&amp;INDEX(تفقيط!$C$2:$C$1001,INT(MOD(INT(ROUND(MAX(J364,K364),2)),1000000)/1000)+1),"")&amp;IF(MOD(INT(ROUND(MAX(J364,K364),2)),1000)&gt;0," و"&amp;INDEX(تفقيط!$B$2:$B$1001,MOD(INT(ROUND(MAX(J364,K364),2)),1000)+1),""),3,400))&amp;" "&amp;CUR&amp;IF(ROUND((ROUND(MAX(J364,K364),2)-INT(ROUND(MAX(J364,K364),2)))*100,0)&gt;0," و"&amp;INDEX(تفقيط!$E$2:$E$1001,ROUND((ROUND(MAX(J364,K364),2)-INT(ROUND(MAX(J364,K364),2)))*100,0)+1),"")&amp;" لا غير")</f>
        <v/>
      </c>
    </row>
    <row r="365" customFormat="false" ht="15" hidden="false" customHeight="false" outlineLevel="0" collapsed="false">
      <c r="A365" s="54" t="str">
        <f aca="false">IF(C365="","",START_NO+COUNT(C$5:C365)-1)</f>
        <v/>
      </c>
      <c r="B365" s="55" t="str">
        <f aca="false">IF(A365="","",PREFIX&amp;"-"&amp;TEXT(C365,"yyyy")&amp;"-"&amp;A365)</f>
        <v/>
      </c>
      <c r="C365" s="56"/>
      <c r="D365" s="57"/>
      <c r="E365" s="58"/>
      <c r="F365" s="58"/>
      <c r="G365" s="57"/>
      <c r="H365" s="57"/>
      <c r="I365" s="57"/>
      <c r="J365" s="59" t="str">
        <f aca="false">IF(A365="","",SUMIFS('بنود السندات'!$F$5:$F$3004,'بنود السندات'!$A$5:$A$3004,A365))</f>
        <v/>
      </c>
      <c r="K365" s="59" t="str">
        <f aca="false">IF(A365="","",SUMIFS('بنود السندات'!$G$5:$G$3004,'بنود السندات'!$A$5:$A$3004,A365))</f>
        <v/>
      </c>
      <c r="L365" s="59" t="str">
        <f aca="false">IF(A365="","",ROUND(J365-K365,2))</f>
        <v/>
      </c>
      <c r="M365" s="55" t="str">
        <f aca="false">IF(A365="","",COUNTIF('بنود السندات'!$A$5:$A$3004,A365))</f>
        <v/>
      </c>
      <c r="N365" s="60" t="str">
        <f aca="false">IF(A365="","",IF(M365=0,"بدون بنود ⚠",IF(L365=0,"متوازن ✔","غير متوازن ✘")))</f>
        <v/>
      </c>
      <c r="O365" s="61" t="str">
        <f aca="false">IF(A365="","","فقط "&amp;IF(INT(ROUND(MAX(J365,K365),2))=0,"صفر",MID(IF(INT(INT(ROUND(MAX(J365,K365),2))/1000000)&gt;0," و"&amp;INDEX(تفقيط!$D$2:$D$1001,INT(INT(ROUND(MAX(J365,K365),2))/1000000)+1),"")&amp;IF(INT(MOD(INT(ROUND(MAX(J365,K365),2)),1000000)/1000)&gt;0," و"&amp;INDEX(تفقيط!$C$2:$C$1001,INT(MOD(INT(ROUND(MAX(J365,K365),2)),1000000)/1000)+1),"")&amp;IF(MOD(INT(ROUND(MAX(J365,K365),2)),1000)&gt;0," و"&amp;INDEX(تفقيط!$B$2:$B$1001,MOD(INT(ROUND(MAX(J365,K365),2)),1000)+1),""),3,400))&amp;" "&amp;CUR&amp;IF(ROUND((ROUND(MAX(J365,K365),2)-INT(ROUND(MAX(J365,K365),2)))*100,0)&gt;0," و"&amp;INDEX(تفقيط!$E$2:$E$1001,ROUND((ROUND(MAX(J365,K365),2)-INT(ROUND(MAX(J365,K365),2)))*100,0)+1),"")&amp;" لا غير")</f>
        <v/>
      </c>
    </row>
    <row r="366" customFormat="false" ht="15" hidden="false" customHeight="false" outlineLevel="0" collapsed="false">
      <c r="A366" s="62" t="str">
        <f aca="false">IF(C366="","",START_NO+COUNT(C$5:C366)-1)</f>
        <v/>
      </c>
      <c r="B366" s="63" t="str">
        <f aca="false">IF(A366="","",PREFIX&amp;"-"&amp;TEXT(C366,"yyyy")&amp;"-"&amp;A366)</f>
        <v/>
      </c>
      <c r="C366" s="56"/>
      <c r="D366" s="57"/>
      <c r="E366" s="58"/>
      <c r="F366" s="58"/>
      <c r="G366" s="57"/>
      <c r="H366" s="57"/>
      <c r="I366" s="57"/>
      <c r="J366" s="64" t="str">
        <f aca="false">IF(A366="","",SUMIFS('بنود السندات'!$F$5:$F$3004,'بنود السندات'!$A$5:$A$3004,A366))</f>
        <v/>
      </c>
      <c r="K366" s="64" t="str">
        <f aca="false">IF(A366="","",SUMIFS('بنود السندات'!$G$5:$G$3004,'بنود السندات'!$A$5:$A$3004,A366))</f>
        <v/>
      </c>
      <c r="L366" s="64" t="str">
        <f aca="false">IF(A366="","",ROUND(J366-K366,2))</f>
        <v/>
      </c>
      <c r="M366" s="63" t="str">
        <f aca="false">IF(A366="","",COUNTIF('بنود السندات'!$A$5:$A$3004,A366))</f>
        <v/>
      </c>
      <c r="N366" s="65" t="str">
        <f aca="false">IF(A366="","",IF(M366=0,"بدون بنود ⚠",IF(L366=0,"متوازن ✔","غير متوازن ✘")))</f>
        <v/>
      </c>
      <c r="O366" s="66" t="str">
        <f aca="false">IF(A366="","","فقط "&amp;IF(INT(ROUND(MAX(J366,K366),2))=0,"صفر",MID(IF(INT(INT(ROUND(MAX(J366,K366),2))/1000000)&gt;0," و"&amp;INDEX(تفقيط!$D$2:$D$1001,INT(INT(ROUND(MAX(J366,K366),2))/1000000)+1),"")&amp;IF(INT(MOD(INT(ROUND(MAX(J366,K366),2)),1000000)/1000)&gt;0," و"&amp;INDEX(تفقيط!$C$2:$C$1001,INT(MOD(INT(ROUND(MAX(J366,K366),2)),1000000)/1000)+1),"")&amp;IF(MOD(INT(ROUND(MAX(J366,K366),2)),1000)&gt;0," و"&amp;INDEX(تفقيط!$B$2:$B$1001,MOD(INT(ROUND(MAX(J366,K366),2)),1000)+1),""),3,400))&amp;" "&amp;CUR&amp;IF(ROUND((ROUND(MAX(J366,K366),2)-INT(ROUND(MAX(J366,K366),2)))*100,0)&gt;0," و"&amp;INDEX(تفقيط!$E$2:$E$1001,ROUND((ROUND(MAX(J366,K366),2)-INT(ROUND(MAX(J366,K366),2)))*100,0)+1),"")&amp;" لا غير")</f>
        <v/>
      </c>
    </row>
    <row r="367" customFormat="false" ht="15" hidden="false" customHeight="false" outlineLevel="0" collapsed="false">
      <c r="A367" s="54" t="str">
        <f aca="false">IF(C367="","",START_NO+COUNT(C$5:C367)-1)</f>
        <v/>
      </c>
      <c r="B367" s="55" t="str">
        <f aca="false">IF(A367="","",PREFIX&amp;"-"&amp;TEXT(C367,"yyyy")&amp;"-"&amp;A367)</f>
        <v/>
      </c>
      <c r="C367" s="56"/>
      <c r="D367" s="57"/>
      <c r="E367" s="58"/>
      <c r="F367" s="58"/>
      <c r="G367" s="57"/>
      <c r="H367" s="57"/>
      <c r="I367" s="57"/>
      <c r="J367" s="59" t="str">
        <f aca="false">IF(A367="","",SUMIFS('بنود السندات'!$F$5:$F$3004,'بنود السندات'!$A$5:$A$3004,A367))</f>
        <v/>
      </c>
      <c r="K367" s="59" t="str">
        <f aca="false">IF(A367="","",SUMIFS('بنود السندات'!$G$5:$G$3004,'بنود السندات'!$A$5:$A$3004,A367))</f>
        <v/>
      </c>
      <c r="L367" s="59" t="str">
        <f aca="false">IF(A367="","",ROUND(J367-K367,2))</f>
        <v/>
      </c>
      <c r="M367" s="55" t="str">
        <f aca="false">IF(A367="","",COUNTIF('بنود السندات'!$A$5:$A$3004,A367))</f>
        <v/>
      </c>
      <c r="N367" s="60" t="str">
        <f aca="false">IF(A367="","",IF(M367=0,"بدون بنود ⚠",IF(L367=0,"متوازن ✔","غير متوازن ✘")))</f>
        <v/>
      </c>
      <c r="O367" s="61" t="str">
        <f aca="false">IF(A367="","","فقط "&amp;IF(INT(ROUND(MAX(J367,K367),2))=0,"صفر",MID(IF(INT(INT(ROUND(MAX(J367,K367),2))/1000000)&gt;0," و"&amp;INDEX(تفقيط!$D$2:$D$1001,INT(INT(ROUND(MAX(J367,K367),2))/1000000)+1),"")&amp;IF(INT(MOD(INT(ROUND(MAX(J367,K367),2)),1000000)/1000)&gt;0," و"&amp;INDEX(تفقيط!$C$2:$C$1001,INT(MOD(INT(ROUND(MAX(J367,K367),2)),1000000)/1000)+1),"")&amp;IF(MOD(INT(ROUND(MAX(J367,K367),2)),1000)&gt;0," و"&amp;INDEX(تفقيط!$B$2:$B$1001,MOD(INT(ROUND(MAX(J367,K367),2)),1000)+1),""),3,400))&amp;" "&amp;CUR&amp;IF(ROUND((ROUND(MAX(J367,K367),2)-INT(ROUND(MAX(J367,K367),2)))*100,0)&gt;0," و"&amp;INDEX(تفقيط!$E$2:$E$1001,ROUND((ROUND(MAX(J367,K367),2)-INT(ROUND(MAX(J367,K367),2)))*100,0)+1),"")&amp;" لا غير")</f>
        <v/>
      </c>
    </row>
    <row r="368" customFormat="false" ht="15" hidden="false" customHeight="false" outlineLevel="0" collapsed="false">
      <c r="A368" s="62" t="str">
        <f aca="false">IF(C368="","",START_NO+COUNT(C$5:C368)-1)</f>
        <v/>
      </c>
      <c r="B368" s="63" t="str">
        <f aca="false">IF(A368="","",PREFIX&amp;"-"&amp;TEXT(C368,"yyyy")&amp;"-"&amp;A368)</f>
        <v/>
      </c>
      <c r="C368" s="56"/>
      <c r="D368" s="57"/>
      <c r="E368" s="58"/>
      <c r="F368" s="58"/>
      <c r="G368" s="57"/>
      <c r="H368" s="57"/>
      <c r="I368" s="57"/>
      <c r="J368" s="64" t="str">
        <f aca="false">IF(A368="","",SUMIFS('بنود السندات'!$F$5:$F$3004,'بنود السندات'!$A$5:$A$3004,A368))</f>
        <v/>
      </c>
      <c r="K368" s="64" t="str">
        <f aca="false">IF(A368="","",SUMIFS('بنود السندات'!$G$5:$G$3004,'بنود السندات'!$A$5:$A$3004,A368))</f>
        <v/>
      </c>
      <c r="L368" s="64" t="str">
        <f aca="false">IF(A368="","",ROUND(J368-K368,2))</f>
        <v/>
      </c>
      <c r="M368" s="63" t="str">
        <f aca="false">IF(A368="","",COUNTIF('بنود السندات'!$A$5:$A$3004,A368))</f>
        <v/>
      </c>
      <c r="N368" s="65" t="str">
        <f aca="false">IF(A368="","",IF(M368=0,"بدون بنود ⚠",IF(L368=0,"متوازن ✔","غير متوازن ✘")))</f>
        <v/>
      </c>
      <c r="O368" s="66" t="str">
        <f aca="false">IF(A368="","","فقط "&amp;IF(INT(ROUND(MAX(J368,K368),2))=0,"صفر",MID(IF(INT(INT(ROUND(MAX(J368,K368),2))/1000000)&gt;0," و"&amp;INDEX(تفقيط!$D$2:$D$1001,INT(INT(ROUND(MAX(J368,K368),2))/1000000)+1),"")&amp;IF(INT(MOD(INT(ROUND(MAX(J368,K368),2)),1000000)/1000)&gt;0," و"&amp;INDEX(تفقيط!$C$2:$C$1001,INT(MOD(INT(ROUND(MAX(J368,K368),2)),1000000)/1000)+1),"")&amp;IF(MOD(INT(ROUND(MAX(J368,K368),2)),1000)&gt;0," و"&amp;INDEX(تفقيط!$B$2:$B$1001,MOD(INT(ROUND(MAX(J368,K368),2)),1000)+1),""),3,400))&amp;" "&amp;CUR&amp;IF(ROUND((ROUND(MAX(J368,K368),2)-INT(ROUND(MAX(J368,K368),2)))*100,0)&gt;0," و"&amp;INDEX(تفقيط!$E$2:$E$1001,ROUND((ROUND(MAX(J368,K368),2)-INT(ROUND(MAX(J368,K368),2)))*100,0)+1),"")&amp;" لا غير")</f>
        <v/>
      </c>
    </row>
    <row r="369" customFormat="false" ht="15" hidden="false" customHeight="false" outlineLevel="0" collapsed="false">
      <c r="A369" s="54" t="str">
        <f aca="false">IF(C369="","",START_NO+COUNT(C$5:C369)-1)</f>
        <v/>
      </c>
      <c r="B369" s="55" t="str">
        <f aca="false">IF(A369="","",PREFIX&amp;"-"&amp;TEXT(C369,"yyyy")&amp;"-"&amp;A369)</f>
        <v/>
      </c>
      <c r="C369" s="56"/>
      <c r="D369" s="57"/>
      <c r="E369" s="58"/>
      <c r="F369" s="58"/>
      <c r="G369" s="57"/>
      <c r="H369" s="57"/>
      <c r="I369" s="57"/>
      <c r="J369" s="59" t="str">
        <f aca="false">IF(A369="","",SUMIFS('بنود السندات'!$F$5:$F$3004,'بنود السندات'!$A$5:$A$3004,A369))</f>
        <v/>
      </c>
      <c r="K369" s="59" t="str">
        <f aca="false">IF(A369="","",SUMIFS('بنود السندات'!$G$5:$G$3004,'بنود السندات'!$A$5:$A$3004,A369))</f>
        <v/>
      </c>
      <c r="L369" s="59" t="str">
        <f aca="false">IF(A369="","",ROUND(J369-K369,2))</f>
        <v/>
      </c>
      <c r="M369" s="55" t="str">
        <f aca="false">IF(A369="","",COUNTIF('بنود السندات'!$A$5:$A$3004,A369))</f>
        <v/>
      </c>
      <c r="N369" s="60" t="str">
        <f aca="false">IF(A369="","",IF(M369=0,"بدون بنود ⚠",IF(L369=0,"متوازن ✔","غير متوازن ✘")))</f>
        <v/>
      </c>
      <c r="O369" s="61" t="str">
        <f aca="false">IF(A369="","","فقط "&amp;IF(INT(ROUND(MAX(J369,K369),2))=0,"صفر",MID(IF(INT(INT(ROUND(MAX(J369,K369),2))/1000000)&gt;0," و"&amp;INDEX(تفقيط!$D$2:$D$1001,INT(INT(ROUND(MAX(J369,K369),2))/1000000)+1),"")&amp;IF(INT(MOD(INT(ROUND(MAX(J369,K369),2)),1000000)/1000)&gt;0," و"&amp;INDEX(تفقيط!$C$2:$C$1001,INT(MOD(INT(ROUND(MAX(J369,K369),2)),1000000)/1000)+1),"")&amp;IF(MOD(INT(ROUND(MAX(J369,K369),2)),1000)&gt;0," و"&amp;INDEX(تفقيط!$B$2:$B$1001,MOD(INT(ROUND(MAX(J369,K369),2)),1000)+1),""),3,400))&amp;" "&amp;CUR&amp;IF(ROUND((ROUND(MAX(J369,K369),2)-INT(ROUND(MAX(J369,K369),2)))*100,0)&gt;0," و"&amp;INDEX(تفقيط!$E$2:$E$1001,ROUND((ROUND(MAX(J369,K369),2)-INT(ROUND(MAX(J369,K369),2)))*100,0)+1),"")&amp;" لا غير")</f>
        <v/>
      </c>
    </row>
    <row r="370" customFormat="false" ht="15" hidden="false" customHeight="false" outlineLevel="0" collapsed="false">
      <c r="A370" s="62" t="str">
        <f aca="false">IF(C370="","",START_NO+COUNT(C$5:C370)-1)</f>
        <v/>
      </c>
      <c r="B370" s="63" t="str">
        <f aca="false">IF(A370="","",PREFIX&amp;"-"&amp;TEXT(C370,"yyyy")&amp;"-"&amp;A370)</f>
        <v/>
      </c>
      <c r="C370" s="56"/>
      <c r="D370" s="57"/>
      <c r="E370" s="58"/>
      <c r="F370" s="58"/>
      <c r="G370" s="57"/>
      <c r="H370" s="57"/>
      <c r="I370" s="57"/>
      <c r="J370" s="64" t="str">
        <f aca="false">IF(A370="","",SUMIFS('بنود السندات'!$F$5:$F$3004,'بنود السندات'!$A$5:$A$3004,A370))</f>
        <v/>
      </c>
      <c r="K370" s="64" t="str">
        <f aca="false">IF(A370="","",SUMIFS('بنود السندات'!$G$5:$G$3004,'بنود السندات'!$A$5:$A$3004,A370))</f>
        <v/>
      </c>
      <c r="L370" s="64" t="str">
        <f aca="false">IF(A370="","",ROUND(J370-K370,2))</f>
        <v/>
      </c>
      <c r="M370" s="63" t="str">
        <f aca="false">IF(A370="","",COUNTIF('بنود السندات'!$A$5:$A$3004,A370))</f>
        <v/>
      </c>
      <c r="N370" s="65" t="str">
        <f aca="false">IF(A370="","",IF(M370=0,"بدون بنود ⚠",IF(L370=0,"متوازن ✔","غير متوازن ✘")))</f>
        <v/>
      </c>
      <c r="O370" s="66" t="str">
        <f aca="false">IF(A370="","","فقط "&amp;IF(INT(ROUND(MAX(J370,K370),2))=0,"صفر",MID(IF(INT(INT(ROUND(MAX(J370,K370),2))/1000000)&gt;0," و"&amp;INDEX(تفقيط!$D$2:$D$1001,INT(INT(ROUND(MAX(J370,K370),2))/1000000)+1),"")&amp;IF(INT(MOD(INT(ROUND(MAX(J370,K370),2)),1000000)/1000)&gt;0," و"&amp;INDEX(تفقيط!$C$2:$C$1001,INT(MOD(INT(ROUND(MAX(J370,K370),2)),1000000)/1000)+1),"")&amp;IF(MOD(INT(ROUND(MAX(J370,K370),2)),1000)&gt;0," و"&amp;INDEX(تفقيط!$B$2:$B$1001,MOD(INT(ROUND(MAX(J370,K370),2)),1000)+1),""),3,400))&amp;" "&amp;CUR&amp;IF(ROUND((ROUND(MAX(J370,K370),2)-INT(ROUND(MAX(J370,K370),2)))*100,0)&gt;0," و"&amp;INDEX(تفقيط!$E$2:$E$1001,ROUND((ROUND(MAX(J370,K370),2)-INT(ROUND(MAX(J370,K370),2)))*100,0)+1),"")&amp;" لا غير")</f>
        <v/>
      </c>
    </row>
    <row r="371" customFormat="false" ht="15" hidden="false" customHeight="false" outlineLevel="0" collapsed="false">
      <c r="A371" s="54" t="str">
        <f aca="false">IF(C371="","",START_NO+COUNT(C$5:C371)-1)</f>
        <v/>
      </c>
      <c r="B371" s="55" t="str">
        <f aca="false">IF(A371="","",PREFIX&amp;"-"&amp;TEXT(C371,"yyyy")&amp;"-"&amp;A371)</f>
        <v/>
      </c>
      <c r="C371" s="56"/>
      <c r="D371" s="57"/>
      <c r="E371" s="58"/>
      <c r="F371" s="58"/>
      <c r="G371" s="57"/>
      <c r="H371" s="57"/>
      <c r="I371" s="57"/>
      <c r="J371" s="59" t="str">
        <f aca="false">IF(A371="","",SUMIFS('بنود السندات'!$F$5:$F$3004,'بنود السندات'!$A$5:$A$3004,A371))</f>
        <v/>
      </c>
      <c r="K371" s="59" t="str">
        <f aca="false">IF(A371="","",SUMIFS('بنود السندات'!$G$5:$G$3004,'بنود السندات'!$A$5:$A$3004,A371))</f>
        <v/>
      </c>
      <c r="L371" s="59" t="str">
        <f aca="false">IF(A371="","",ROUND(J371-K371,2))</f>
        <v/>
      </c>
      <c r="M371" s="55" t="str">
        <f aca="false">IF(A371="","",COUNTIF('بنود السندات'!$A$5:$A$3004,A371))</f>
        <v/>
      </c>
      <c r="N371" s="60" t="str">
        <f aca="false">IF(A371="","",IF(M371=0,"بدون بنود ⚠",IF(L371=0,"متوازن ✔","غير متوازن ✘")))</f>
        <v/>
      </c>
      <c r="O371" s="61" t="str">
        <f aca="false">IF(A371="","","فقط "&amp;IF(INT(ROUND(MAX(J371,K371),2))=0,"صفر",MID(IF(INT(INT(ROUND(MAX(J371,K371),2))/1000000)&gt;0," و"&amp;INDEX(تفقيط!$D$2:$D$1001,INT(INT(ROUND(MAX(J371,K371),2))/1000000)+1),"")&amp;IF(INT(MOD(INT(ROUND(MAX(J371,K371),2)),1000000)/1000)&gt;0," و"&amp;INDEX(تفقيط!$C$2:$C$1001,INT(MOD(INT(ROUND(MAX(J371,K371),2)),1000000)/1000)+1),"")&amp;IF(MOD(INT(ROUND(MAX(J371,K371),2)),1000)&gt;0," و"&amp;INDEX(تفقيط!$B$2:$B$1001,MOD(INT(ROUND(MAX(J371,K371),2)),1000)+1),""),3,400))&amp;" "&amp;CUR&amp;IF(ROUND((ROUND(MAX(J371,K371),2)-INT(ROUND(MAX(J371,K371),2)))*100,0)&gt;0," و"&amp;INDEX(تفقيط!$E$2:$E$1001,ROUND((ROUND(MAX(J371,K371),2)-INT(ROUND(MAX(J371,K371),2)))*100,0)+1),"")&amp;" لا غير")</f>
        <v/>
      </c>
    </row>
    <row r="372" customFormat="false" ht="15" hidden="false" customHeight="false" outlineLevel="0" collapsed="false">
      <c r="A372" s="62" t="str">
        <f aca="false">IF(C372="","",START_NO+COUNT(C$5:C372)-1)</f>
        <v/>
      </c>
      <c r="B372" s="63" t="str">
        <f aca="false">IF(A372="","",PREFIX&amp;"-"&amp;TEXT(C372,"yyyy")&amp;"-"&amp;A372)</f>
        <v/>
      </c>
      <c r="C372" s="56"/>
      <c r="D372" s="57"/>
      <c r="E372" s="58"/>
      <c r="F372" s="58"/>
      <c r="G372" s="57"/>
      <c r="H372" s="57"/>
      <c r="I372" s="57"/>
      <c r="J372" s="64" t="str">
        <f aca="false">IF(A372="","",SUMIFS('بنود السندات'!$F$5:$F$3004,'بنود السندات'!$A$5:$A$3004,A372))</f>
        <v/>
      </c>
      <c r="K372" s="64" t="str">
        <f aca="false">IF(A372="","",SUMIFS('بنود السندات'!$G$5:$G$3004,'بنود السندات'!$A$5:$A$3004,A372))</f>
        <v/>
      </c>
      <c r="L372" s="64" t="str">
        <f aca="false">IF(A372="","",ROUND(J372-K372,2))</f>
        <v/>
      </c>
      <c r="M372" s="63" t="str">
        <f aca="false">IF(A372="","",COUNTIF('بنود السندات'!$A$5:$A$3004,A372))</f>
        <v/>
      </c>
      <c r="N372" s="65" t="str">
        <f aca="false">IF(A372="","",IF(M372=0,"بدون بنود ⚠",IF(L372=0,"متوازن ✔","غير متوازن ✘")))</f>
        <v/>
      </c>
      <c r="O372" s="66" t="str">
        <f aca="false">IF(A372="","","فقط "&amp;IF(INT(ROUND(MAX(J372,K372),2))=0,"صفر",MID(IF(INT(INT(ROUND(MAX(J372,K372),2))/1000000)&gt;0," و"&amp;INDEX(تفقيط!$D$2:$D$1001,INT(INT(ROUND(MAX(J372,K372),2))/1000000)+1),"")&amp;IF(INT(MOD(INT(ROUND(MAX(J372,K372),2)),1000000)/1000)&gt;0," و"&amp;INDEX(تفقيط!$C$2:$C$1001,INT(MOD(INT(ROUND(MAX(J372,K372),2)),1000000)/1000)+1),"")&amp;IF(MOD(INT(ROUND(MAX(J372,K372),2)),1000)&gt;0," و"&amp;INDEX(تفقيط!$B$2:$B$1001,MOD(INT(ROUND(MAX(J372,K372),2)),1000)+1),""),3,400))&amp;" "&amp;CUR&amp;IF(ROUND((ROUND(MAX(J372,K372),2)-INT(ROUND(MAX(J372,K372),2)))*100,0)&gt;0," و"&amp;INDEX(تفقيط!$E$2:$E$1001,ROUND((ROUND(MAX(J372,K372),2)-INT(ROUND(MAX(J372,K372),2)))*100,0)+1),"")&amp;" لا غير")</f>
        <v/>
      </c>
    </row>
    <row r="373" customFormat="false" ht="15" hidden="false" customHeight="false" outlineLevel="0" collapsed="false">
      <c r="A373" s="54" t="str">
        <f aca="false">IF(C373="","",START_NO+COUNT(C$5:C373)-1)</f>
        <v/>
      </c>
      <c r="B373" s="55" t="str">
        <f aca="false">IF(A373="","",PREFIX&amp;"-"&amp;TEXT(C373,"yyyy")&amp;"-"&amp;A373)</f>
        <v/>
      </c>
      <c r="C373" s="56"/>
      <c r="D373" s="57"/>
      <c r="E373" s="58"/>
      <c r="F373" s="58"/>
      <c r="G373" s="57"/>
      <c r="H373" s="57"/>
      <c r="I373" s="57"/>
      <c r="J373" s="59" t="str">
        <f aca="false">IF(A373="","",SUMIFS('بنود السندات'!$F$5:$F$3004,'بنود السندات'!$A$5:$A$3004,A373))</f>
        <v/>
      </c>
      <c r="K373" s="59" t="str">
        <f aca="false">IF(A373="","",SUMIFS('بنود السندات'!$G$5:$G$3004,'بنود السندات'!$A$5:$A$3004,A373))</f>
        <v/>
      </c>
      <c r="L373" s="59" t="str">
        <f aca="false">IF(A373="","",ROUND(J373-K373,2))</f>
        <v/>
      </c>
      <c r="M373" s="55" t="str">
        <f aca="false">IF(A373="","",COUNTIF('بنود السندات'!$A$5:$A$3004,A373))</f>
        <v/>
      </c>
      <c r="N373" s="60" t="str">
        <f aca="false">IF(A373="","",IF(M373=0,"بدون بنود ⚠",IF(L373=0,"متوازن ✔","غير متوازن ✘")))</f>
        <v/>
      </c>
      <c r="O373" s="61" t="str">
        <f aca="false">IF(A373="","","فقط "&amp;IF(INT(ROUND(MAX(J373,K373),2))=0,"صفر",MID(IF(INT(INT(ROUND(MAX(J373,K373),2))/1000000)&gt;0," و"&amp;INDEX(تفقيط!$D$2:$D$1001,INT(INT(ROUND(MAX(J373,K373),2))/1000000)+1),"")&amp;IF(INT(MOD(INT(ROUND(MAX(J373,K373),2)),1000000)/1000)&gt;0," و"&amp;INDEX(تفقيط!$C$2:$C$1001,INT(MOD(INT(ROUND(MAX(J373,K373),2)),1000000)/1000)+1),"")&amp;IF(MOD(INT(ROUND(MAX(J373,K373),2)),1000)&gt;0," و"&amp;INDEX(تفقيط!$B$2:$B$1001,MOD(INT(ROUND(MAX(J373,K373),2)),1000)+1),""),3,400))&amp;" "&amp;CUR&amp;IF(ROUND((ROUND(MAX(J373,K373),2)-INT(ROUND(MAX(J373,K373),2)))*100,0)&gt;0," و"&amp;INDEX(تفقيط!$E$2:$E$1001,ROUND((ROUND(MAX(J373,K373),2)-INT(ROUND(MAX(J373,K373),2)))*100,0)+1),"")&amp;" لا غير")</f>
        <v/>
      </c>
    </row>
    <row r="374" customFormat="false" ht="15" hidden="false" customHeight="false" outlineLevel="0" collapsed="false">
      <c r="A374" s="62" t="str">
        <f aca="false">IF(C374="","",START_NO+COUNT(C$5:C374)-1)</f>
        <v/>
      </c>
      <c r="B374" s="63" t="str">
        <f aca="false">IF(A374="","",PREFIX&amp;"-"&amp;TEXT(C374,"yyyy")&amp;"-"&amp;A374)</f>
        <v/>
      </c>
      <c r="C374" s="56"/>
      <c r="D374" s="57"/>
      <c r="E374" s="58"/>
      <c r="F374" s="58"/>
      <c r="G374" s="57"/>
      <c r="H374" s="57"/>
      <c r="I374" s="57"/>
      <c r="J374" s="64" t="str">
        <f aca="false">IF(A374="","",SUMIFS('بنود السندات'!$F$5:$F$3004,'بنود السندات'!$A$5:$A$3004,A374))</f>
        <v/>
      </c>
      <c r="K374" s="64" t="str">
        <f aca="false">IF(A374="","",SUMIFS('بنود السندات'!$G$5:$G$3004,'بنود السندات'!$A$5:$A$3004,A374))</f>
        <v/>
      </c>
      <c r="L374" s="64" t="str">
        <f aca="false">IF(A374="","",ROUND(J374-K374,2))</f>
        <v/>
      </c>
      <c r="M374" s="63" t="str">
        <f aca="false">IF(A374="","",COUNTIF('بنود السندات'!$A$5:$A$3004,A374))</f>
        <v/>
      </c>
      <c r="N374" s="65" t="str">
        <f aca="false">IF(A374="","",IF(M374=0,"بدون بنود ⚠",IF(L374=0,"متوازن ✔","غير متوازن ✘")))</f>
        <v/>
      </c>
      <c r="O374" s="66" t="str">
        <f aca="false">IF(A374="","","فقط "&amp;IF(INT(ROUND(MAX(J374,K374),2))=0,"صفر",MID(IF(INT(INT(ROUND(MAX(J374,K374),2))/1000000)&gt;0," و"&amp;INDEX(تفقيط!$D$2:$D$1001,INT(INT(ROUND(MAX(J374,K374),2))/1000000)+1),"")&amp;IF(INT(MOD(INT(ROUND(MAX(J374,K374),2)),1000000)/1000)&gt;0," و"&amp;INDEX(تفقيط!$C$2:$C$1001,INT(MOD(INT(ROUND(MAX(J374,K374),2)),1000000)/1000)+1),"")&amp;IF(MOD(INT(ROUND(MAX(J374,K374),2)),1000)&gt;0," و"&amp;INDEX(تفقيط!$B$2:$B$1001,MOD(INT(ROUND(MAX(J374,K374),2)),1000)+1),""),3,400))&amp;" "&amp;CUR&amp;IF(ROUND((ROUND(MAX(J374,K374),2)-INT(ROUND(MAX(J374,K374),2)))*100,0)&gt;0," و"&amp;INDEX(تفقيط!$E$2:$E$1001,ROUND((ROUND(MAX(J374,K374),2)-INT(ROUND(MAX(J374,K374),2)))*100,0)+1),"")&amp;" لا غير")</f>
        <v/>
      </c>
    </row>
    <row r="375" customFormat="false" ht="15" hidden="false" customHeight="false" outlineLevel="0" collapsed="false">
      <c r="A375" s="54" t="str">
        <f aca="false">IF(C375="","",START_NO+COUNT(C$5:C375)-1)</f>
        <v/>
      </c>
      <c r="B375" s="55" t="str">
        <f aca="false">IF(A375="","",PREFIX&amp;"-"&amp;TEXT(C375,"yyyy")&amp;"-"&amp;A375)</f>
        <v/>
      </c>
      <c r="C375" s="56"/>
      <c r="D375" s="57"/>
      <c r="E375" s="58"/>
      <c r="F375" s="58"/>
      <c r="G375" s="57"/>
      <c r="H375" s="57"/>
      <c r="I375" s="57"/>
      <c r="J375" s="59" t="str">
        <f aca="false">IF(A375="","",SUMIFS('بنود السندات'!$F$5:$F$3004,'بنود السندات'!$A$5:$A$3004,A375))</f>
        <v/>
      </c>
      <c r="K375" s="59" t="str">
        <f aca="false">IF(A375="","",SUMIFS('بنود السندات'!$G$5:$G$3004,'بنود السندات'!$A$5:$A$3004,A375))</f>
        <v/>
      </c>
      <c r="L375" s="59" t="str">
        <f aca="false">IF(A375="","",ROUND(J375-K375,2))</f>
        <v/>
      </c>
      <c r="M375" s="55" t="str">
        <f aca="false">IF(A375="","",COUNTIF('بنود السندات'!$A$5:$A$3004,A375))</f>
        <v/>
      </c>
      <c r="N375" s="60" t="str">
        <f aca="false">IF(A375="","",IF(M375=0,"بدون بنود ⚠",IF(L375=0,"متوازن ✔","غير متوازن ✘")))</f>
        <v/>
      </c>
      <c r="O375" s="61" t="str">
        <f aca="false">IF(A375="","","فقط "&amp;IF(INT(ROUND(MAX(J375,K375),2))=0,"صفر",MID(IF(INT(INT(ROUND(MAX(J375,K375),2))/1000000)&gt;0," و"&amp;INDEX(تفقيط!$D$2:$D$1001,INT(INT(ROUND(MAX(J375,K375),2))/1000000)+1),"")&amp;IF(INT(MOD(INT(ROUND(MAX(J375,K375),2)),1000000)/1000)&gt;0," و"&amp;INDEX(تفقيط!$C$2:$C$1001,INT(MOD(INT(ROUND(MAX(J375,K375),2)),1000000)/1000)+1),"")&amp;IF(MOD(INT(ROUND(MAX(J375,K375),2)),1000)&gt;0," و"&amp;INDEX(تفقيط!$B$2:$B$1001,MOD(INT(ROUND(MAX(J375,K375),2)),1000)+1),""),3,400))&amp;" "&amp;CUR&amp;IF(ROUND((ROUND(MAX(J375,K375),2)-INT(ROUND(MAX(J375,K375),2)))*100,0)&gt;0," و"&amp;INDEX(تفقيط!$E$2:$E$1001,ROUND((ROUND(MAX(J375,K375),2)-INT(ROUND(MAX(J375,K375),2)))*100,0)+1),"")&amp;" لا غير")</f>
        <v/>
      </c>
    </row>
    <row r="376" customFormat="false" ht="15" hidden="false" customHeight="false" outlineLevel="0" collapsed="false">
      <c r="A376" s="62" t="str">
        <f aca="false">IF(C376="","",START_NO+COUNT(C$5:C376)-1)</f>
        <v/>
      </c>
      <c r="B376" s="63" t="str">
        <f aca="false">IF(A376="","",PREFIX&amp;"-"&amp;TEXT(C376,"yyyy")&amp;"-"&amp;A376)</f>
        <v/>
      </c>
      <c r="C376" s="56"/>
      <c r="D376" s="57"/>
      <c r="E376" s="58"/>
      <c r="F376" s="58"/>
      <c r="G376" s="57"/>
      <c r="H376" s="57"/>
      <c r="I376" s="57"/>
      <c r="J376" s="64" t="str">
        <f aca="false">IF(A376="","",SUMIFS('بنود السندات'!$F$5:$F$3004,'بنود السندات'!$A$5:$A$3004,A376))</f>
        <v/>
      </c>
      <c r="K376" s="64" t="str">
        <f aca="false">IF(A376="","",SUMIFS('بنود السندات'!$G$5:$G$3004,'بنود السندات'!$A$5:$A$3004,A376))</f>
        <v/>
      </c>
      <c r="L376" s="64" t="str">
        <f aca="false">IF(A376="","",ROUND(J376-K376,2))</f>
        <v/>
      </c>
      <c r="M376" s="63" t="str">
        <f aca="false">IF(A376="","",COUNTIF('بنود السندات'!$A$5:$A$3004,A376))</f>
        <v/>
      </c>
      <c r="N376" s="65" t="str">
        <f aca="false">IF(A376="","",IF(M376=0,"بدون بنود ⚠",IF(L376=0,"متوازن ✔","غير متوازن ✘")))</f>
        <v/>
      </c>
      <c r="O376" s="66" t="str">
        <f aca="false">IF(A376="","","فقط "&amp;IF(INT(ROUND(MAX(J376,K376),2))=0,"صفر",MID(IF(INT(INT(ROUND(MAX(J376,K376),2))/1000000)&gt;0," و"&amp;INDEX(تفقيط!$D$2:$D$1001,INT(INT(ROUND(MAX(J376,K376),2))/1000000)+1),"")&amp;IF(INT(MOD(INT(ROUND(MAX(J376,K376),2)),1000000)/1000)&gt;0," و"&amp;INDEX(تفقيط!$C$2:$C$1001,INT(MOD(INT(ROUND(MAX(J376,K376),2)),1000000)/1000)+1),"")&amp;IF(MOD(INT(ROUND(MAX(J376,K376),2)),1000)&gt;0," و"&amp;INDEX(تفقيط!$B$2:$B$1001,MOD(INT(ROUND(MAX(J376,K376),2)),1000)+1),""),3,400))&amp;" "&amp;CUR&amp;IF(ROUND((ROUND(MAX(J376,K376),2)-INT(ROUND(MAX(J376,K376),2)))*100,0)&gt;0," و"&amp;INDEX(تفقيط!$E$2:$E$1001,ROUND((ROUND(MAX(J376,K376),2)-INT(ROUND(MAX(J376,K376),2)))*100,0)+1),"")&amp;" لا غير")</f>
        <v/>
      </c>
    </row>
    <row r="377" customFormat="false" ht="15" hidden="false" customHeight="false" outlineLevel="0" collapsed="false">
      <c r="A377" s="54" t="str">
        <f aca="false">IF(C377="","",START_NO+COUNT(C$5:C377)-1)</f>
        <v/>
      </c>
      <c r="B377" s="55" t="str">
        <f aca="false">IF(A377="","",PREFIX&amp;"-"&amp;TEXT(C377,"yyyy")&amp;"-"&amp;A377)</f>
        <v/>
      </c>
      <c r="C377" s="56"/>
      <c r="D377" s="57"/>
      <c r="E377" s="58"/>
      <c r="F377" s="58"/>
      <c r="G377" s="57"/>
      <c r="H377" s="57"/>
      <c r="I377" s="57"/>
      <c r="J377" s="59" t="str">
        <f aca="false">IF(A377="","",SUMIFS('بنود السندات'!$F$5:$F$3004,'بنود السندات'!$A$5:$A$3004,A377))</f>
        <v/>
      </c>
      <c r="K377" s="59" t="str">
        <f aca="false">IF(A377="","",SUMIFS('بنود السندات'!$G$5:$G$3004,'بنود السندات'!$A$5:$A$3004,A377))</f>
        <v/>
      </c>
      <c r="L377" s="59" t="str">
        <f aca="false">IF(A377="","",ROUND(J377-K377,2))</f>
        <v/>
      </c>
      <c r="M377" s="55" t="str">
        <f aca="false">IF(A377="","",COUNTIF('بنود السندات'!$A$5:$A$3004,A377))</f>
        <v/>
      </c>
      <c r="N377" s="60" t="str">
        <f aca="false">IF(A377="","",IF(M377=0,"بدون بنود ⚠",IF(L377=0,"متوازن ✔","غير متوازن ✘")))</f>
        <v/>
      </c>
      <c r="O377" s="61" t="str">
        <f aca="false">IF(A377="","","فقط "&amp;IF(INT(ROUND(MAX(J377,K377),2))=0,"صفر",MID(IF(INT(INT(ROUND(MAX(J377,K377),2))/1000000)&gt;0," و"&amp;INDEX(تفقيط!$D$2:$D$1001,INT(INT(ROUND(MAX(J377,K377),2))/1000000)+1),"")&amp;IF(INT(MOD(INT(ROUND(MAX(J377,K377),2)),1000000)/1000)&gt;0," و"&amp;INDEX(تفقيط!$C$2:$C$1001,INT(MOD(INT(ROUND(MAX(J377,K377),2)),1000000)/1000)+1),"")&amp;IF(MOD(INT(ROUND(MAX(J377,K377),2)),1000)&gt;0," و"&amp;INDEX(تفقيط!$B$2:$B$1001,MOD(INT(ROUND(MAX(J377,K377),2)),1000)+1),""),3,400))&amp;" "&amp;CUR&amp;IF(ROUND((ROUND(MAX(J377,K377),2)-INT(ROUND(MAX(J377,K377),2)))*100,0)&gt;0," و"&amp;INDEX(تفقيط!$E$2:$E$1001,ROUND((ROUND(MAX(J377,K377),2)-INT(ROUND(MAX(J377,K377),2)))*100,0)+1),"")&amp;" لا غير")</f>
        <v/>
      </c>
    </row>
    <row r="378" customFormat="false" ht="15" hidden="false" customHeight="false" outlineLevel="0" collapsed="false">
      <c r="A378" s="62" t="str">
        <f aca="false">IF(C378="","",START_NO+COUNT(C$5:C378)-1)</f>
        <v/>
      </c>
      <c r="B378" s="63" t="str">
        <f aca="false">IF(A378="","",PREFIX&amp;"-"&amp;TEXT(C378,"yyyy")&amp;"-"&amp;A378)</f>
        <v/>
      </c>
      <c r="C378" s="56"/>
      <c r="D378" s="57"/>
      <c r="E378" s="58"/>
      <c r="F378" s="58"/>
      <c r="G378" s="57"/>
      <c r="H378" s="57"/>
      <c r="I378" s="57"/>
      <c r="J378" s="64" t="str">
        <f aca="false">IF(A378="","",SUMIFS('بنود السندات'!$F$5:$F$3004,'بنود السندات'!$A$5:$A$3004,A378))</f>
        <v/>
      </c>
      <c r="K378" s="64" t="str">
        <f aca="false">IF(A378="","",SUMIFS('بنود السندات'!$G$5:$G$3004,'بنود السندات'!$A$5:$A$3004,A378))</f>
        <v/>
      </c>
      <c r="L378" s="64" t="str">
        <f aca="false">IF(A378="","",ROUND(J378-K378,2))</f>
        <v/>
      </c>
      <c r="M378" s="63" t="str">
        <f aca="false">IF(A378="","",COUNTIF('بنود السندات'!$A$5:$A$3004,A378))</f>
        <v/>
      </c>
      <c r="N378" s="65" t="str">
        <f aca="false">IF(A378="","",IF(M378=0,"بدون بنود ⚠",IF(L378=0,"متوازن ✔","غير متوازن ✘")))</f>
        <v/>
      </c>
      <c r="O378" s="66" t="str">
        <f aca="false">IF(A378="","","فقط "&amp;IF(INT(ROUND(MAX(J378,K378),2))=0,"صفر",MID(IF(INT(INT(ROUND(MAX(J378,K378),2))/1000000)&gt;0," و"&amp;INDEX(تفقيط!$D$2:$D$1001,INT(INT(ROUND(MAX(J378,K378),2))/1000000)+1),"")&amp;IF(INT(MOD(INT(ROUND(MAX(J378,K378),2)),1000000)/1000)&gt;0," و"&amp;INDEX(تفقيط!$C$2:$C$1001,INT(MOD(INT(ROUND(MAX(J378,K378),2)),1000000)/1000)+1),"")&amp;IF(MOD(INT(ROUND(MAX(J378,K378),2)),1000)&gt;0," و"&amp;INDEX(تفقيط!$B$2:$B$1001,MOD(INT(ROUND(MAX(J378,K378),2)),1000)+1),""),3,400))&amp;" "&amp;CUR&amp;IF(ROUND((ROUND(MAX(J378,K378),2)-INT(ROUND(MAX(J378,K378),2)))*100,0)&gt;0," و"&amp;INDEX(تفقيط!$E$2:$E$1001,ROUND((ROUND(MAX(J378,K378),2)-INT(ROUND(MAX(J378,K378),2)))*100,0)+1),"")&amp;" لا غير")</f>
        <v/>
      </c>
    </row>
    <row r="379" customFormat="false" ht="15" hidden="false" customHeight="false" outlineLevel="0" collapsed="false">
      <c r="A379" s="54" t="str">
        <f aca="false">IF(C379="","",START_NO+COUNT(C$5:C379)-1)</f>
        <v/>
      </c>
      <c r="B379" s="55" t="str">
        <f aca="false">IF(A379="","",PREFIX&amp;"-"&amp;TEXT(C379,"yyyy")&amp;"-"&amp;A379)</f>
        <v/>
      </c>
      <c r="C379" s="56"/>
      <c r="D379" s="57"/>
      <c r="E379" s="58"/>
      <c r="F379" s="58"/>
      <c r="G379" s="57"/>
      <c r="H379" s="57"/>
      <c r="I379" s="57"/>
      <c r="J379" s="59" t="str">
        <f aca="false">IF(A379="","",SUMIFS('بنود السندات'!$F$5:$F$3004,'بنود السندات'!$A$5:$A$3004,A379))</f>
        <v/>
      </c>
      <c r="K379" s="59" t="str">
        <f aca="false">IF(A379="","",SUMIFS('بنود السندات'!$G$5:$G$3004,'بنود السندات'!$A$5:$A$3004,A379))</f>
        <v/>
      </c>
      <c r="L379" s="59" t="str">
        <f aca="false">IF(A379="","",ROUND(J379-K379,2))</f>
        <v/>
      </c>
      <c r="M379" s="55" t="str">
        <f aca="false">IF(A379="","",COUNTIF('بنود السندات'!$A$5:$A$3004,A379))</f>
        <v/>
      </c>
      <c r="N379" s="60" t="str">
        <f aca="false">IF(A379="","",IF(M379=0,"بدون بنود ⚠",IF(L379=0,"متوازن ✔","غير متوازن ✘")))</f>
        <v/>
      </c>
      <c r="O379" s="61" t="str">
        <f aca="false">IF(A379="","","فقط "&amp;IF(INT(ROUND(MAX(J379,K379),2))=0,"صفر",MID(IF(INT(INT(ROUND(MAX(J379,K379),2))/1000000)&gt;0," و"&amp;INDEX(تفقيط!$D$2:$D$1001,INT(INT(ROUND(MAX(J379,K379),2))/1000000)+1),"")&amp;IF(INT(MOD(INT(ROUND(MAX(J379,K379),2)),1000000)/1000)&gt;0," و"&amp;INDEX(تفقيط!$C$2:$C$1001,INT(MOD(INT(ROUND(MAX(J379,K379),2)),1000000)/1000)+1),"")&amp;IF(MOD(INT(ROUND(MAX(J379,K379),2)),1000)&gt;0," و"&amp;INDEX(تفقيط!$B$2:$B$1001,MOD(INT(ROUND(MAX(J379,K379),2)),1000)+1),""),3,400))&amp;" "&amp;CUR&amp;IF(ROUND((ROUND(MAX(J379,K379),2)-INT(ROUND(MAX(J379,K379),2)))*100,0)&gt;0," و"&amp;INDEX(تفقيط!$E$2:$E$1001,ROUND((ROUND(MAX(J379,K379),2)-INT(ROUND(MAX(J379,K379),2)))*100,0)+1),"")&amp;" لا غير")</f>
        <v/>
      </c>
    </row>
    <row r="380" customFormat="false" ht="15" hidden="false" customHeight="false" outlineLevel="0" collapsed="false">
      <c r="A380" s="62" t="str">
        <f aca="false">IF(C380="","",START_NO+COUNT(C$5:C380)-1)</f>
        <v/>
      </c>
      <c r="B380" s="63" t="str">
        <f aca="false">IF(A380="","",PREFIX&amp;"-"&amp;TEXT(C380,"yyyy")&amp;"-"&amp;A380)</f>
        <v/>
      </c>
      <c r="C380" s="56"/>
      <c r="D380" s="57"/>
      <c r="E380" s="58"/>
      <c r="F380" s="58"/>
      <c r="G380" s="57"/>
      <c r="H380" s="57"/>
      <c r="I380" s="57"/>
      <c r="J380" s="64" t="str">
        <f aca="false">IF(A380="","",SUMIFS('بنود السندات'!$F$5:$F$3004,'بنود السندات'!$A$5:$A$3004,A380))</f>
        <v/>
      </c>
      <c r="K380" s="64" t="str">
        <f aca="false">IF(A380="","",SUMIFS('بنود السندات'!$G$5:$G$3004,'بنود السندات'!$A$5:$A$3004,A380))</f>
        <v/>
      </c>
      <c r="L380" s="64" t="str">
        <f aca="false">IF(A380="","",ROUND(J380-K380,2))</f>
        <v/>
      </c>
      <c r="M380" s="63" t="str">
        <f aca="false">IF(A380="","",COUNTIF('بنود السندات'!$A$5:$A$3004,A380))</f>
        <v/>
      </c>
      <c r="N380" s="65" t="str">
        <f aca="false">IF(A380="","",IF(M380=0,"بدون بنود ⚠",IF(L380=0,"متوازن ✔","غير متوازن ✘")))</f>
        <v/>
      </c>
      <c r="O380" s="66" t="str">
        <f aca="false">IF(A380="","","فقط "&amp;IF(INT(ROUND(MAX(J380,K380),2))=0,"صفر",MID(IF(INT(INT(ROUND(MAX(J380,K380),2))/1000000)&gt;0," و"&amp;INDEX(تفقيط!$D$2:$D$1001,INT(INT(ROUND(MAX(J380,K380),2))/1000000)+1),"")&amp;IF(INT(MOD(INT(ROUND(MAX(J380,K380),2)),1000000)/1000)&gt;0," و"&amp;INDEX(تفقيط!$C$2:$C$1001,INT(MOD(INT(ROUND(MAX(J380,K380),2)),1000000)/1000)+1),"")&amp;IF(MOD(INT(ROUND(MAX(J380,K380),2)),1000)&gt;0," و"&amp;INDEX(تفقيط!$B$2:$B$1001,MOD(INT(ROUND(MAX(J380,K380),2)),1000)+1),""),3,400))&amp;" "&amp;CUR&amp;IF(ROUND((ROUND(MAX(J380,K380),2)-INT(ROUND(MAX(J380,K380),2)))*100,0)&gt;0," و"&amp;INDEX(تفقيط!$E$2:$E$1001,ROUND((ROUND(MAX(J380,K380),2)-INT(ROUND(MAX(J380,K380),2)))*100,0)+1),"")&amp;" لا غير")</f>
        <v/>
      </c>
    </row>
    <row r="381" customFormat="false" ht="15" hidden="false" customHeight="false" outlineLevel="0" collapsed="false">
      <c r="A381" s="54" t="str">
        <f aca="false">IF(C381="","",START_NO+COUNT(C$5:C381)-1)</f>
        <v/>
      </c>
      <c r="B381" s="55" t="str">
        <f aca="false">IF(A381="","",PREFIX&amp;"-"&amp;TEXT(C381,"yyyy")&amp;"-"&amp;A381)</f>
        <v/>
      </c>
      <c r="C381" s="56"/>
      <c r="D381" s="57"/>
      <c r="E381" s="58"/>
      <c r="F381" s="58"/>
      <c r="G381" s="57"/>
      <c r="H381" s="57"/>
      <c r="I381" s="57"/>
      <c r="J381" s="59" t="str">
        <f aca="false">IF(A381="","",SUMIFS('بنود السندات'!$F$5:$F$3004,'بنود السندات'!$A$5:$A$3004,A381))</f>
        <v/>
      </c>
      <c r="K381" s="59" t="str">
        <f aca="false">IF(A381="","",SUMIFS('بنود السندات'!$G$5:$G$3004,'بنود السندات'!$A$5:$A$3004,A381))</f>
        <v/>
      </c>
      <c r="L381" s="59" t="str">
        <f aca="false">IF(A381="","",ROUND(J381-K381,2))</f>
        <v/>
      </c>
      <c r="M381" s="55" t="str">
        <f aca="false">IF(A381="","",COUNTIF('بنود السندات'!$A$5:$A$3004,A381))</f>
        <v/>
      </c>
      <c r="N381" s="60" t="str">
        <f aca="false">IF(A381="","",IF(M381=0,"بدون بنود ⚠",IF(L381=0,"متوازن ✔","غير متوازن ✘")))</f>
        <v/>
      </c>
      <c r="O381" s="61" t="str">
        <f aca="false">IF(A381="","","فقط "&amp;IF(INT(ROUND(MAX(J381,K381),2))=0,"صفر",MID(IF(INT(INT(ROUND(MAX(J381,K381),2))/1000000)&gt;0," و"&amp;INDEX(تفقيط!$D$2:$D$1001,INT(INT(ROUND(MAX(J381,K381),2))/1000000)+1),"")&amp;IF(INT(MOD(INT(ROUND(MAX(J381,K381),2)),1000000)/1000)&gt;0," و"&amp;INDEX(تفقيط!$C$2:$C$1001,INT(MOD(INT(ROUND(MAX(J381,K381),2)),1000000)/1000)+1),"")&amp;IF(MOD(INT(ROUND(MAX(J381,K381),2)),1000)&gt;0," و"&amp;INDEX(تفقيط!$B$2:$B$1001,MOD(INT(ROUND(MAX(J381,K381),2)),1000)+1),""),3,400))&amp;" "&amp;CUR&amp;IF(ROUND((ROUND(MAX(J381,K381),2)-INT(ROUND(MAX(J381,K381),2)))*100,0)&gt;0," و"&amp;INDEX(تفقيط!$E$2:$E$1001,ROUND((ROUND(MAX(J381,K381),2)-INT(ROUND(MAX(J381,K381),2)))*100,0)+1),"")&amp;" لا غير")</f>
        <v/>
      </c>
    </row>
    <row r="382" customFormat="false" ht="15" hidden="false" customHeight="false" outlineLevel="0" collapsed="false">
      <c r="A382" s="62" t="str">
        <f aca="false">IF(C382="","",START_NO+COUNT(C$5:C382)-1)</f>
        <v/>
      </c>
      <c r="B382" s="63" t="str">
        <f aca="false">IF(A382="","",PREFIX&amp;"-"&amp;TEXT(C382,"yyyy")&amp;"-"&amp;A382)</f>
        <v/>
      </c>
      <c r="C382" s="56"/>
      <c r="D382" s="57"/>
      <c r="E382" s="58"/>
      <c r="F382" s="58"/>
      <c r="G382" s="57"/>
      <c r="H382" s="57"/>
      <c r="I382" s="57"/>
      <c r="J382" s="64" t="str">
        <f aca="false">IF(A382="","",SUMIFS('بنود السندات'!$F$5:$F$3004,'بنود السندات'!$A$5:$A$3004,A382))</f>
        <v/>
      </c>
      <c r="K382" s="64" t="str">
        <f aca="false">IF(A382="","",SUMIFS('بنود السندات'!$G$5:$G$3004,'بنود السندات'!$A$5:$A$3004,A382))</f>
        <v/>
      </c>
      <c r="L382" s="64" t="str">
        <f aca="false">IF(A382="","",ROUND(J382-K382,2))</f>
        <v/>
      </c>
      <c r="M382" s="63" t="str">
        <f aca="false">IF(A382="","",COUNTIF('بنود السندات'!$A$5:$A$3004,A382))</f>
        <v/>
      </c>
      <c r="N382" s="65" t="str">
        <f aca="false">IF(A382="","",IF(M382=0,"بدون بنود ⚠",IF(L382=0,"متوازن ✔","غير متوازن ✘")))</f>
        <v/>
      </c>
      <c r="O382" s="66" t="str">
        <f aca="false">IF(A382="","","فقط "&amp;IF(INT(ROUND(MAX(J382,K382),2))=0,"صفر",MID(IF(INT(INT(ROUND(MAX(J382,K382),2))/1000000)&gt;0," و"&amp;INDEX(تفقيط!$D$2:$D$1001,INT(INT(ROUND(MAX(J382,K382),2))/1000000)+1),"")&amp;IF(INT(MOD(INT(ROUND(MAX(J382,K382),2)),1000000)/1000)&gt;0," و"&amp;INDEX(تفقيط!$C$2:$C$1001,INT(MOD(INT(ROUND(MAX(J382,K382),2)),1000000)/1000)+1),"")&amp;IF(MOD(INT(ROUND(MAX(J382,K382),2)),1000)&gt;0," و"&amp;INDEX(تفقيط!$B$2:$B$1001,MOD(INT(ROUND(MAX(J382,K382),2)),1000)+1),""),3,400))&amp;" "&amp;CUR&amp;IF(ROUND((ROUND(MAX(J382,K382),2)-INT(ROUND(MAX(J382,K382),2)))*100,0)&gt;0," و"&amp;INDEX(تفقيط!$E$2:$E$1001,ROUND((ROUND(MAX(J382,K382),2)-INT(ROUND(MAX(J382,K382),2)))*100,0)+1),"")&amp;" لا غير")</f>
        <v/>
      </c>
    </row>
    <row r="383" customFormat="false" ht="15" hidden="false" customHeight="false" outlineLevel="0" collapsed="false">
      <c r="A383" s="54" t="str">
        <f aca="false">IF(C383="","",START_NO+COUNT(C$5:C383)-1)</f>
        <v/>
      </c>
      <c r="B383" s="55" t="str">
        <f aca="false">IF(A383="","",PREFIX&amp;"-"&amp;TEXT(C383,"yyyy")&amp;"-"&amp;A383)</f>
        <v/>
      </c>
      <c r="C383" s="56"/>
      <c r="D383" s="57"/>
      <c r="E383" s="58"/>
      <c r="F383" s="58"/>
      <c r="G383" s="57"/>
      <c r="H383" s="57"/>
      <c r="I383" s="57"/>
      <c r="J383" s="59" t="str">
        <f aca="false">IF(A383="","",SUMIFS('بنود السندات'!$F$5:$F$3004,'بنود السندات'!$A$5:$A$3004,A383))</f>
        <v/>
      </c>
      <c r="K383" s="59" t="str">
        <f aca="false">IF(A383="","",SUMIFS('بنود السندات'!$G$5:$G$3004,'بنود السندات'!$A$5:$A$3004,A383))</f>
        <v/>
      </c>
      <c r="L383" s="59" t="str">
        <f aca="false">IF(A383="","",ROUND(J383-K383,2))</f>
        <v/>
      </c>
      <c r="M383" s="55" t="str">
        <f aca="false">IF(A383="","",COUNTIF('بنود السندات'!$A$5:$A$3004,A383))</f>
        <v/>
      </c>
      <c r="N383" s="60" t="str">
        <f aca="false">IF(A383="","",IF(M383=0,"بدون بنود ⚠",IF(L383=0,"متوازن ✔","غير متوازن ✘")))</f>
        <v/>
      </c>
      <c r="O383" s="61" t="str">
        <f aca="false">IF(A383="","","فقط "&amp;IF(INT(ROUND(MAX(J383,K383),2))=0,"صفر",MID(IF(INT(INT(ROUND(MAX(J383,K383),2))/1000000)&gt;0," و"&amp;INDEX(تفقيط!$D$2:$D$1001,INT(INT(ROUND(MAX(J383,K383),2))/1000000)+1),"")&amp;IF(INT(MOD(INT(ROUND(MAX(J383,K383),2)),1000000)/1000)&gt;0," و"&amp;INDEX(تفقيط!$C$2:$C$1001,INT(MOD(INT(ROUND(MAX(J383,K383),2)),1000000)/1000)+1),"")&amp;IF(MOD(INT(ROUND(MAX(J383,K383),2)),1000)&gt;0," و"&amp;INDEX(تفقيط!$B$2:$B$1001,MOD(INT(ROUND(MAX(J383,K383),2)),1000)+1),""),3,400))&amp;" "&amp;CUR&amp;IF(ROUND((ROUND(MAX(J383,K383),2)-INT(ROUND(MAX(J383,K383),2)))*100,0)&gt;0," و"&amp;INDEX(تفقيط!$E$2:$E$1001,ROUND((ROUND(MAX(J383,K383),2)-INT(ROUND(MAX(J383,K383),2)))*100,0)+1),"")&amp;" لا غير")</f>
        <v/>
      </c>
    </row>
    <row r="384" customFormat="false" ht="15" hidden="false" customHeight="false" outlineLevel="0" collapsed="false">
      <c r="A384" s="62" t="str">
        <f aca="false">IF(C384="","",START_NO+COUNT(C$5:C384)-1)</f>
        <v/>
      </c>
      <c r="B384" s="63" t="str">
        <f aca="false">IF(A384="","",PREFIX&amp;"-"&amp;TEXT(C384,"yyyy")&amp;"-"&amp;A384)</f>
        <v/>
      </c>
      <c r="C384" s="56"/>
      <c r="D384" s="57"/>
      <c r="E384" s="58"/>
      <c r="F384" s="58"/>
      <c r="G384" s="57"/>
      <c r="H384" s="57"/>
      <c r="I384" s="57"/>
      <c r="J384" s="64" t="str">
        <f aca="false">IF(A384="","",SUMIFS('بنود السندات'!$F$5:$F$3004,'بنود السندات'!$A$5:$A$3004,A384))</f>
        <v/>
      </c>
      <c r="K384" s="64" t="str">
        <f aca="false">IF(A384="","",SUMIFS('بنود السندات'!$G$5:$G$3004,'بنود السندات'!$A$5:$A$3004,A384))</f>
        <v/>
      </c>
      <c r="L384" s="64" t="str">
        <f aca="false">IF(A384="","",ROUND(J384-K384,2))</f>
        <v/>
      </c>
      <c r="M384" s="63" t="str">
        <f aca="false">IF(A384="","",COUNTIF('بنود السندات'!$A$5:$A$3004,A384))</f>
        <v/>
      </c>
      <c r="N384" s="65" t="str">
        <f aca="false">IF(A384="","",IF(M384=0,"بدون بنود ⚠",IF(L384=0,"متوازن ✔","غير متوازن ✘")))</f>
        <v/>
      </c>
      <c r="O384" s="66" t="str">
        <f aca="false">IF(A384="","","فقط "&amp;IF(INT(ROUND(MAX(J384,K384),2))=0,"صفر",MID(IF(INT(INT(ROUND(MAX(J384,K384),2))/1000000)&gt;0," و"&amp;INDEX(تفقيط!$D$2:$D$1001,INT(INT(ROUND(MAX(J384,K384),2))/1000000)+1),"")&amp;IF(INT(MOD(INT(ROUND(MAX(J384,K384),2)),1000000)/1000)&gt;0," و"&amp;INDEX(تفقيط!$C$2:$C$1001,INT(MOD(INT(ROUND(MAX(J384,K384),2)),1000000)/1000)+1),"")&amp;IF(MOD(INT(ROUND(MAX(J384,K384),2)),1000)&gt;0," و"&amp;INDEX(تفقيط!$B$2:$B$1001,MOD(INT(ROUND(MAX(J384,K384),2)),1000)+1),""),3,400))&amp;" "&amp;CUR&amp;IF(ROUND((ROUND(MAX(J384,K384),2)-INT(ROUND(MAX(J384,K384),2)))*100,0)&gt;0," و"&amp;INDEX(تفقيط!$E$2:$E$1001,ROUND((ROUND(MAX(J384,K384),2)-INT(ROUND(MAX(J384,K384),2)))*100,0)+1),"")&amp;" لا غير")</f>
        <v/>
      </c>
    </row>
    <row r="385" customFormat="false" ht="15" hidden="false" customHeight="false" outlineLevel="0" collapsed="false">
      <c r="A385" s="54" t="str">
        <f aca="false">IF(C385="","",START_NO+COUNT(C$5:C385)-1)</f>
        <v/>
      </c>
      <c r="B385" s="55" t="str">
        <f aca="false">IF(A385="","",PREFIX&amp;"-"&amp;TEXT(C385,"yyyy")&amp;"-"&amp;A385)</f>
        <v/>
      </c>
      <c r="C385" s="56"/>
      <c r="D385" s="57"/>
      <c r="E385" s="58"/>
      <c r="F385" s="58"/>
      <c r="G385" s="57"/>
      <c r="H385" s="57"/>
      <c r="I385" s="57"/>
      <c r="J385" s="59" t="str">
        <f aca="false">IF(A385="","",SUMIFS('بنود السندات'!$F$5:$F$3004,'بنود السندات'!$A$5:$A$3004,A385))</f>
        <v/>
      </c>
      <c r="K385" s="59" t="str">
        <f aca="false">IF(A385="","",SUMIFS('بنود السندات'!$G$5:$G$3004,'بنود السندات'!$A$5:$A$3004,A385))</f>
        <v/>
      </c>
      <c r="L385" s="59" t="str">
        <f aca="false">IF(A385="","",ROUND(J385-K385,2))</f>
        <v/>
      </c>
      <c r="M385" s="55" t="str">
        <f aca="false">IF(A385="","",COUNTIF('بنود السندات'!$A$5:$A$3004,A385))</f>
        <v/>
      </c>
      <c r="N385" s="60" t="str">
        <f aca="false">IF(A385="","",IF(M385=0,"بدون بنود ⚠",IF(L385=0,"متوازن ✔","غير متوازن ✘")))</f>
        <v/>
      </c>
      <c r="O385" s="61" t="str">
        <f aca="false">IF(A385="","","فقط "&amp;IF(INT(ROUND(MAX(J385,K385),2))=0,"صفر",MID(IF(INT(INT(ROUND(MAX(J385,K385),2))/1000000)&gt;0," و"&amp;INDEX(تفقيط!$D$2:$D$1001,INT(INT(ROUND(MAX(J385,K385),2))/1000000)+1),"")&amp;IF(INT(MOD(INT(ROUND(MAX(J385,K385),2)),1000000)/1000)&gt;0," و"&amp;INDEX(تفقيط!$C$2:$C$1001,INT(MOD(INT(ROUND(MAX(J385,K385),2)),1000000)/1000)+1),"")&amp;IF(MOD(INT(ROUND(MAX(J385,K385),2)),1000)&gt;0," و"&amp;INDEX(تفقيط!$B$2:$B$1001,MOD(INT(ROUND(MAX(J385,K385),2)),1000)+1),""),3,400))&amp;" "&amp;CUR&amp;IF(ROUND((ROUND(MAX(J385,K385),2)-INT(ROUND(MAX(J385,K385),2)))*100,0)&gt;0," و"&amp;INDEX(تفقيط!$E$2:$E$1001,ROUND((ROUND(MAX(J385,K385),2)-INT(ROUND(MAX(J385,K385),2)))*100,0)+1),"")&amp;" لا غير")</f>
        <v/>
      </c>
    </row>
    <row r="386" customFormat="false" ht="15" hidden="false" customHeight="false" outlineLevel="0" collapsed="false">
      <c r="A386" s="62" t="str">
        <f aca="false">IF(C386="","",START_NO+COUNT(C$5:C386)-1)</f>
        <v/>
      </c>
      <c r="B386" s="63" t="str">
        <f aca="false">IF(A386="","",PREFIX&amp;"-"&amp;TEXT(C386,"yyyy")&amp;"-"&amp;A386)</f>
        <v/>
      </c>
      <c r="C386" s="56"/>
      <c r="D386" s="57"/>
      <c r="E386" s="58"/>
      <c r="F386" s="58"/>
      <c r="G386" s="57"/>
      <c r="H386" s="57"/>
      <c r="I386" s="57"/>
      <c r="J386" s="64" t="str">
        <f aca="false">IF(A386="","",SUMIFS('بنود السندات'!$F$5:$F$3004,'بنود السندات'!$A$5:$A$3004,A386))</f>
        <v/>
      </c>
      <c r="K386" s="64" t="str">
        <f aca="false">IF(A386="","",SUMIFS('بنود السندات'!$G$5:$G$3004,'بنود السندات'!$A$5:$A$3004,A386))</f>
        <v/>
      </c>
      <c r="L386" s="64" t="str">
        <f aca="false">IF(A386="","",ROUND(J386-K386,2))</f>
        <v/>
      </c>
      <c r="M386" s="63" t="str">
        <f aca="false">IF(A386="","",COUNTIF('بنود السندات'!$A$5:$A$3004,A386))</f>
        <v/>
      </c>
      <c r="N386" s="65" t="str">
        <f aca="false">IF(A386="","",IF(M386=0,"بدون بنود ⚠",IF(L386=0,"متوازن ✔","غير متوازن ✘")))</f>
        <v/>
      </c>
      <c r="O386" s="66" t="str">
        <f aca="false">IF(A386="","","فقط "&amp;IF(INT(ROUND(MAX(J386,K386),2))=0,"صفر",MID(IF(INT(INT(ROUND(MAX(J386,K386),2))/1000000)&gt;0," و"&amp;INDEX(تفقيط!$D$2:$D$1001,INT(INT(ROUND(MAX(J386,K386),2))/1000000)+1),"")&amp;IF(INT(MOD(INT(ROUND(MAX(J386,K386),2)),1000000)/1000)&gt;0," و"&amp;INDEX(تفقيط!$C$2:$C$1001,INT(MOD(INT(ROUND(MAX(J386,K386),2)),1000000)/1000)+1),"")&amp;IF(MOD(INT(ROUND(MAX(J386,K386),2)),1000)&gt;0," و"&amp;INDEX(تفقيط!$B$2:$B$1001,MOD(INT(ROUND(MAX(J386,K386),2)),1000)+1),""),3,400))&amp;" "&amp;CUR&amp;IF(ROUND((ROUND(MAX(J386,K386),2)-INT(ROUND(MAX(J386,K386),2)))*100,0)&gt;0," و"&amp;INDEX(تفقيط!$E$2:$E$1001,ROUND((ROUND(MAX(J386,K386),2)-INT(ROUND(MAX(J386,K386),2)))*100,0)+1),"")&amp;" لا غير")</f>
        <v/>
      </c>
    </row>
    <row r="387" customFormat="false" ht="15" hidden="false" customHeight="false" outlineLevel="0" collapsed="false">
      <c r="A387" s="54" t="str">
        <f aca="false">IF(C387="","",START_NO+COUNT(C$5:C387)-1)</f>
        <v/>
      </c>
      <c r="B387" s="55" t="str">
        <f aca="false">IF(A387="","",PREFIX&amp;"-"&amp;TEXT(C387,"yyyy")&amp;"-"&amp;A387)</f>
        <v/>
      </c>
      <c r="C387" s="56"/>
      <c r="D387" s="57"/>
      <c r="E387" s="58"/>
      <c r="F387" s="58"/>
      <c r="G387" s="57"/>
      <c r="H387" s="57"/>
      <c r="I387" s="57"/>
      <c r="J387" s="59" t="str">
        <f aca="false">IF(A387="","",SUMIFS('بنود السندات'!$F$5:$F$3004,'بنود السندات'!$A$5:$A$3004,A387))</f>
        <v/>
      </c>
      <c r="K387" s="59" t="str">
        <f aca="false">IF(A387="","",SUMIFS('بنود السندات'!$G$5:$G$3004,'بنود السندات'!$A$5:$A$3004,A387))</f>
        <v/>
      </c>
      <c r="L387" s="59" t="str">
        <f aca="false">IF(A387="","",ROUND(J387-K387,2))</f>
        <v/>
      </c>
      <c r="M387" s="55" t="str">
        <f aca="false">IF(A387="","",COUNTIF('بنود السندات'!$A$5:$A$3004,A387))</f>
        <v/>
      </c>
      <c r="N387" s="60" t="str">
        <f aca="false">IF(A387="","",IF(M387=0,"بدون بنود ⚠",IF(L387=0,"متوازن ✔","غير متوازن ✘")))</f>
        <v/>
      </c>
      <c r="O387" s="61" t="str">
        <f aca="false">IF(A387="","","فقط "&amp;IF(INT(ROUND(MAX(J387,K387),2))=0,"صفر",MID(IF(INT(INT(ROUND(MAX(J387,K387),2))/1000000)&gt;0," و"&amp;INDEX(تفقيط!$D$2:$D$1001,INT(INT(ROUND(MAX(J387,K387),2))/1000000)+1),"")&amp;IF(INT(MOD(INT(ROUND(MAX(J387,K387),2)),1000000)/1000)&gt;0," و"&amp;INDEX(تفقيط!$C$2:$C$1001,INT(MOD(INT(ROUND(MAX(J387,K387),2)),1000000)/1000)+1),"")&amp;IF(MOD(INT(ROUND(MAX(J387,K387),2)),1000)&gt;0," و"&amp;INDEX(تفقيط!$B$2:$B$1001,MOD(INT(ROUND(MAX(J387,K387),2)),1000)+1),""),3,400))&amp;" "&amp;CUR&amp;IF(ROUND((ROUND(MAX(J387,K387),2)-INT(ROUND(MAX(J387,K387),2)))*100,0)&gt;0," و"&amp;INDEX(تفقيط!$E$2:$E$1001,ROUND((ROUND(MAX(J387,K387),2)-INT(ROUND(MAX(J387,K387),2)))*100,0)+1),"")&amp;" لا غير")</f>
        <v/>
      </c>
    </row>
    <row r="388" customFormat="false" ht="15" hidden="false" customHeight="false" outlineLevel="0" collapsed="false">
      <c r="A388" s="62" t="str">
        <f aca="false">IF(C388="","",START_NO+COUNT(C$5:C388)-1)</f>
        <v/>
      </c>
      <c r="B388" s="63" t="str">
        <f aca="false">IF(A388="","",PREFIX&amp;"-"&amp;TEXT(C388,"yyyy")&amp;"-"&amp;A388)</f>
        <v/>
      </c>
      <c r="C388" s="56"/>
      <c r="D388" s="57"/>
      <c r="E388" s="58"/>
      <c r="F388" s="58"/>
      <c r="G388" s="57"/>
      <c r="H388" s="57"/>
      <c r="I388" s="57"/>
      <c r="J388" s="64" t="str">
        <f aca="false">IF(A388="","",SUMIFS('بنود السندات'!$F$5:$F$3004,'بنود السندات'!$A$5:$A$3004,A388))</f>
        <v/>
      </c>
      <c r="K388" s="64" t="str">
        <f aca="false">IF(A388="","",SUMIFS('بنود السندات'!$G$5:$G$3004,'بنود السندات'!$A$5:$A$3004,A388))</f>
        <v/>
      </c>
      <c r="L388" s="64" t="str">
        <f aca="false">IF(A388="","",ROUND(J388-K388,2))</f>
        <v/>
      </c>
      <c r="M388" s="63" t="str">
        <f aca="false">IF(A388="","",COUNTIF('بنود السندات'!$A$5:$A$3004,A388))</f>
        <v/>
      </c>
      <c r="N388" s="65" t="str">
        <f aca="false">IF(A388="","",IF(M388=0,"بدون بنود ⚠",IF(L388=0,"متوازن ✔","غير متوازن ✘")))</f>
        <v/>
      </c>
      <c r="O388" s="66" t="str">
        <f aca="false">IF(A388="","","فقط "&amp;IF(INT(ROUND(MAX(J388,K388),2))=0,"صفر",MID(IF(INT(INT(ROUND(MAX(J388,K388),2))/1000000)&gt;0," و"&amp;INDEX(تفقيط!$D$2:$D$1001,INT(INT(ROUND(MAX(J388,K388),2))/1000000)+1),"")&amp;IF(INT(MOD(INT(ROUND(MAX(J388,K388),2)),1000000)/1000)&gt;0," و"&amp;INDEX(تفقيط!$C$2:$C$1001,INT(MOD(INT(ROUND(MAX(J388,K388),2)),1000000)/1000)+1),"")&amp;IF(MOD(INT(ROUND(MAX(J388,K388),2)),1000)&gt;0," و"&amp;INDEX(تفقيط!$B$2:$B$1001,MOD(INT(ROUND(MAX(J388,K388),2)),1000)+1),""),3,400))&amp;" "&amp;CUR&amp;IF(ROUND((ROUND(MAX(J388,K388),2)-INT(ROUND(MAX(J388,K388),2)))*100,0)&gt;0," و"&amp;INDEX(تفقيط!$E$2:$E$1001,ROUND((ROUND(MAX(J388,K388),2)-INT(ROUND(MAX(J388,K388),2)))*100,0)+1),"")&amp;" لا غير")</f>
        <v/>
      </c>
    </row>
    <row r="389" customFormat="false" ht="15" hidden="false" customHeight="false" outlineLevel="0" collapsed="false">
      <c r="A389" s="54" t="str">
        <f aca="false">IF(C389="","",START_NO+COUNT(C$5:C389)-1)</f>
        <v/>
      </c>
      <c r="B389" s="55" t="str">
        <f aca="false">IF(A389="","",PREFIX&amp;"-"&amp;TEXT(C389,"yyyy")&amp;"-"&amp;A389)</f>
        <v/>
      </c>
      <c r="C389" s="56"/>
      <c r="D389" s="57"/>
      <c r="E389" s="58"/>
      <c r="F389" s="58"/>
      <c r="G389" s="57"/>
      <c r="H389" s="57"/>
      <c r="I389" s="57"/>
      <c r="J389" s="59" t="str">
        <f aca="false">IF(A389="","",SUMIFS('بنود السندات'!$F$5:$F$3004,'بنود السندات'!$A$5:$A$3004,A389))</f>
        <v/>
      </c>
      <c r="K389" s="59" t="str">
        <f aca="false">IF(A389="","",SUMIFS('بنود السندات'!$G$5:$G$3004,'بنود السندات'!$A$5:$A$3004,A389))</f>
        <v/>
      </c>
      <c r="L389" s="59" t="str">
        <f aca="false">IF(A389="","",ROUND(J389-K389,2))</f>
        <v/>
      </c>
      <c r="M389" s="55" t="str">
        <f aca="false">IF(A389="","",COUNTIF('بنود السندات'!$A$5:$A$3004,A389))</f>
        <v/>
      </c>
      <c r="N389" s="60" t="str">
        <f aca="false">IF(A389="","",IF(M389=0,"بدون بنود ⚠",IF(L389=0,"متوازن ✔","غير متوازن ✘")))</f>
        <v/>
      </c>
      <c r="O389" s="61" t="str">
        <f aca="false">IF(A389="","","فقط "&amp;IF(INT(ROUND(MAX(J389,K389),2))=0,"صفر",MID(IF(INT(INT(ROUND(MAX(J389,K389),2))/1000000)&gt;0," و"&amp;INDEX(تفقيط!$D$2:$D$1001,INT(INT(ROUND(MAX(J389,K389),2))/1000000)+1),"")&amp;IF(INT(MOD(INT(ROUND(MAX(J389,K389),2)),1000000)/1000)&gt;0," و"&amp;INDEX(تفقيط!$C$2:$C$1001,INT(MOD(INT(ROUND(MAX(J389,K389),2)),1000000)/1000)+1),"")&amp;IF(MOD(INT(ROUND(MAX(J389,K389),2)),1000)&gt;0," و"&amp;INDEX(تفقيط!$B$2:$B$1001,MOD(INT(ROUND(MAX(J389,K389),2)),1000)+1),""),3,400))&amp;" "&amp;CUR&amp;IF(ROUND((ROUND(MAX(J389,K389),2)-INT(ROUND(MAX(J389,K389),2)))*100,0)&gt;0," و"&amp;INDEX(تفقيط!$E$2:$E$1001,ROUND((ROUND(MAX(J389,K389),2)-INT(ROUND(MAX(J389,K389),2)))*100,0)+1),"")&amp;" لا غير")</f>
        <v/>
      </c>
    </row>
    <row r="390" customFormat="false" ht="15" hidden="false" customHeight="false" outlineLevel="0" collapsed="false">
      <c r="A390" s="62" t="str">
        <f aca="false">IF(C390="","",START_NO+COUNT(C$5:C390)-1)</f>
        <v/>
      </c>
      <c r="B390" s="63" t="str">
        <f aca="false">IF(A390="","",PREFIX&amp;"-"&amp;TEXT(C390,"yyyy")&amp;"-"&amp;A390)</f>
        <v/>
      </c>
      <c r="C390" s="56"/>
      <c r="D390" s="57"/>
      <c r="E390" s="58"/>
      <c r="F390" s="58"/>
      <c r="G390" s="57"/>
      <c r="H390" s="57"/>
      <c r="I390" s="57"/>
      <c r="J390" s="64" t="str">
        <f aca="false">IF(A390="","",SUMIFS('بنود السندات'!$F$5:$F$3004,'بنود السندات'!$A$5:$A$3004,A390))</f>
        <v/>
      </c>
      <c r="K390" s="64" t="str">
        <f aca="false">IF(A390="","",SUMIFS('بنود السندات'!$G$5:$G$3004,'بنود السندات'!$A$5:$A$3004,A390))</f>
        <v/>
      </c>
      <c r="L390" s="64" t="str">
        <f aca="false">IF(A390="","",ROUND(J390-K390,2))</f>
        <v/>
      </c>
      <c r="M390" s="63" t="str">
        <f aca="false">IF(A390="","",COUNTIF('بنود السندات'!$A$5:$A$3004,A390))</f>
        <v/>
      </c>
      <c r="N390" s="65" t="str">
        <f aca="false">IF(A390="","",IF(M390=0,"بدون بنود ⚠",IF(L390=0,"متوازن ✔","غير متوازن ✘")))</f>
        <v/>
      </c>
      <c r="O390" s="66" t="str">
        <f aca="false">IF(A390="","","فقط "&amp;IF(INT(ROUND(MAX(J390,K390),2))=0,"صفر",MID(IF(INT(INT(ROUND(MAX(J390,K390),2))/1000000)&gt;0," و"&amp;INDEX(تفقيط!$D$2:$D$1001,INT(INT(ROUND(MAX(J390,K390),2))/1000000)+1),"")&amp;IF(INT(MOD(INT(ROUND(MAX(J390,K390),2)),1000000)/1000)&gt;0," و"&amp;INDEX(تفقيط!$C$2:$C$1001,INT(MOD(INT(ROUND(MAX(J390,K390),2)),1000000)/1000)+1),"")&amp;IF(MOD(INT(ROUND(MAX(J390,K390),2)),1000)&gt;0," و"&amp;INDEX(تفقيط!$B$2:$B$1001,MOD(INT(ROUND(MAX(J390,K390),2)),1000)+1),""),3,400))&amp;" "&amp;CUR&amp;IF(ROUND((ROUND(MAX(J390,K390),2)-INT(ROUND(MAX(J390,K390),2)))*100,0)&gt;0," و"&amp;INDEX(تفقيط!$E$2:$E$1001,ROUND((ROUND(MAX(J390,K390),2)-INT(ROUND(MAX(J390,K390),2)))*100,0)+1),"")&amp;" لا غير")</f>
        <v/>
      </c>
    </row>
    <row r="391" customFormat="false" ht="15" hidden="false" customHeight="false" outlineLevel="0" collapsed="false">
      <c r="A391" s="54" t="str">
        <f aca="false">IF(C391="","",START_NO+COUNT(C$5:C391)-1)</f>
        <v/>
      </c>
      <c r="B391" s="55" t="str">
        <f aca="false">IF(A391="","",PREFIX&amp;"-"&amp;TEXT(C391,"yyyy")&amp;"-"&amp;A391)</f>
        <v/>
      </c>
      <c r="C391" s="56"/>
      <c r="D391" s="57"/>
      <c r="E391" s="58"/>
      <c r="F391" s="58"/>
      <c r="G391" s="57"/>
      <c r="H391" s="57"/>
      <c r="I391" s="57"/>
      <c r="J391" s="59" t="str">
        <f aca="false">IF(A391="","",SUMIFS('بنود السندات'!$F$5:$F$3004,'بنود السندات'!$A$5:$A$3004,A391))</f>
        <v/>
      </c>
      <c r="K391" s="59" t="str">
        <f aca="false">IF(A391="","",SUMIFS('بنود السندات'!$G$5:$G$3004,'بنود السندات'!$A$5:$A$3004,A391))</f>
        <v/>
      </c>
      <c r="L391" s="59" t="str">
        <f aca="false">IF(A391="","",ROUND(J391-K391,2))</f>
        <v/>
      </c>
      <c r="M391" s="55" t="str">
        <f aca="false">IF(A391="","",COUNTIF('بنود السندات'!$A$5:$A$3004,A391))</f>
        <v/>
      </c>
      <c r="N391" s="60" t="str">
        <f aca="false">IF(A391="","",IF(M391=0,"بدون بنود ⚠",IF(L391=0,"متوازن ✔","غير متوازن ✘")))</f>
        <v/>
      </c>
      <c r="O391" s="61" t="str">
        <f aca="false">IF(A391="","","فقط "&amp;IF(INT(ROUND(MAX(J391,K391),2))=0,"صفر",MID(IF(INT(INT(ROUND(MAX(J391,K391),2))/1000000)&gt;0," و"&amp;INDEX(تفقيط!$D$2:$D$1001,INT(INT(ROUND(MAX(J391,K391),2))/1000000)+1),"")&amp;IF(INT(MOD(INT(ROUND(MAX(J391,K391),2)),1000000)/1000)&gt;0," و"&amp;INDEX(تفقيط!$C$2:$C$1001,INT(MOD(INT(ROUND(MAX(J391,K391),2)),1000000)/1000)+1),"")&amp;IF(MOD(INT(ROUND(MAX(J391,K391),2)),1000)&gt;0," و"&amp;INDEX(تفقيط!$B$2:$B$1001,MOD(INT(ROUND(MAX(J391,K391),2)),1000)+1),""),3,400))&amp;" "&amp;CUR&amp;IF(ROUND((ROUND(MAX(J391,K391),2)-INT(ROUND(MAX(J391,K391),2)))*100,0)&gt;0," و"&amp;INDEX(تفقيط!$E$2:$E$1001,ROUND((ROUND(MAX(J391,K391),2)-INT(ROUND(MAX(J391,K391),2)))*100,0)+1),"")&amp;" لا غير")</f>
        <v/>
      </c>
    </row>
    <row r="392" customFormat="false" ht="15" hidden="false" customHeight="false" outlineLevel="0" collapsed="false">
      <c r="A392" s="62" t="str">
        <f aca="false">IF(C392="","",START_NO+COUNT(C$5:C392)-1)</f>
        <v/>
      </c>
      <c r="B392" s="63" t="str">
        <f aca="false">IF(A392="","",PREFIX&amp;"-"&amp;TEXT(C392,"yyyy")&amp;"-"&amp;A392)</f>
        <v/>
      </c>
      <c r="C392" s="56"/>
      <c r="D392" s="57"/>
      <c r="E392" s="58"/>
      <c r="F392" s="58"/>
      <c r="G392" s="57"/>
      <c r="H392" s="57"/>
      <c r="I392" s="57"/>
      <c r="J392" s="64" t="str">
        <f aca="false">IF(A392="","",SUMIFS('بنود السندات'!$F$5:$F$3004,'بنود السندات'!$A$5:$A$3004,A392))</f>
        <v/>
      </c>
      <c r="K392" s="64" t="str">
        <f aca="false">IF(A392="","",SUMIFS('بنود السندات'!$G$5:$G$3004,'بنود السندات'!$A$5:$A$3004,A392))</f>
        <v/>
      </c>
      <c r="L392" s="64" t="str">
        <f aca="false">IF(A392="","",ROUND(J392-K392,2))</f>
        <v/>
      </c>
      <c r="M392" s="63" t="str">
        <f aca="false">IF(A392="","",COUNTIF('بنود السندات'!$A$5:$A$3004,A392))</f>
        <v/>
      </c>
      <c r="N392" s="65" t="str">
        <f aca="false">IF(A392="","",IF(M392=0,"بدون بنود ⚠",IF(L392=0,"متوازن ✔","غير متوازن ✘")))</f>
        <v/>
      </c>
      <c r="O392" s="66" t="str">
        <f aca="false">IF(A392="","","فقط "&amp;IF(INT(ROUND(MAX(J392,K392),2))=0,"صفر",MID(IF(INT(INT(ROUND(MAX(J392,K392),2))/1000000)&gt;0," و"&amp;INDEX(تفقيط!$D$2:$D$1001,INT(INT(ROUND(MAX(J392,K392),2))/1000000)+1),"")&amp;IF(INT(MOD(INT(ROUND(MAX(J392,K392),2)),1000000)/1000)&gt;0," و"&amp;INDEX(تفقيط!$C$2:$C$1001,INT(MOD(INT(ROUND(MAX(J392,K392),2)),1000000)/1000)+1),"")&amp;IF(MOD(INT(ROUND(MAX(J392,K392),2)),1000)&gt;0," و"&amp;INDEX(تفقيط!$B$2:$B$1001,MOD(INT(ROUND(MAX(J392,K392),2)),1000)+1),""),3,400))&amp;" "&amp;CUR&amp;IF(ROUND((ROUND(MAX(J392,K392),2)-INT(ROUND(MAX(J392,K392),2)))*100,0)&gt;0," و"&amp;INDEX(تفقيط!$E$2:$E$1001,ROUND((ROUND(MAX(J392,K392),2)-INT(ROUND(MAX(J392,K392),2)))*100,0)+1),"")&amp;" لا غير")</f>
        <v/>
      </c>
    </row>
    <row r="393" customFormat="false" ht="15" hidden="false" customHeight="false" outlineLevel="0" collapsed="false">
      <c r="A393" s="54" t="str">
        <f aca="false">IF(C393="","",START_NO+COUNT(C$5:C393)-1)</f>
        <v/>
      </c>
      <c r="B393" s="55" t="str">
        <f aca="false">IF(A393="","",PREFIX&amp;"-"&amp;TEXT(C393,"yyyy")&amp;"-"&amp;A393)</f>
        <v/>
      </c>
      <c r="C393" s="56"/>
      <c r="D393" s="57"/>
      <c r="E393" s="58"/>
      <c r="F393" s="58"/>
      <c r="G393" s="57"/>
      <c r="H393" s="57"/>
      <c r="I393" s="57"/>
      <c r="J393" s="59" t="str">
        <f aca="false">IF(A393="","",SUMIFS('بنود السندات'!$F$5:$F$3004,'بنود السندات'!$A$5:$A$3004,A393))</f>
        <v/>
      </c>
      <c r="K393" s="59" t="str">
        <f aca="false">IF(A393="","",SUMIFS('بنود السندات'!$G$5:$G$3004,'بنود السندات'!$A$5:$A$3004,A393))</f>
        <v/>
      </c>
      <c r="L393" s="59" t="str">
        <f aca="false">IF(A393="","",ROUND(J393-K393,2))</f>
        <v/>
      </c>
      <c r="M393" s="55" t="str">
        <f aca="false">IF(A393="","",COUNTIF('بنود السندات'!$A$5:$A$3004,A393))</f>
        <v/>
      </c>
      <c r="N393" s="60" t="str">
        <f aca="false">IF(A393="","",IF(M393=0,"بدون بنود ⚠",IF(L393=0,"متوازن ✔","غير متوازن ✘")))</f>
        <v/>
      </c>
      <c r="O393" s="61" t="str">
        <f aca="false">IF(A393="","","فقط "&amp;IF(INT(ROUND(MAX(J393,K393),2))=0,"صفر",MID(IF(INT(INT(ROUND(MAX(J393,K393),2))/1000000)&gt;0," و"&amp;INDEX(تفقيط!$D$2:$D$1001,INT(INT(ROUND(MAX(J393,K393),2))/1000000)+1),"")&amp;IF(INT(MOD(INT(ROUND(MAX(J393,K393),2)),1000000)/1000)&gt;0," و"&amp;INDEX(تفقيط!$C$2:$C$1001,INT(MOD(INT(ROUND(MAX(J393,K393),2)),1000000)/1000)+1),"")&amp;IF(MOD(INT(ROUND(MAX(J393,K393),2)),1000)&gt;0," و"&amp;INDEX(تفقيط!$B$2:$B$1001,MOD(INT(ROUND(MAX(J393,K393),2)),1000)+1),""),3,400))&amp;" "&amp;CUR&amp;IF(ROUND((ROUND(MAX(J393,K393),2)-INT(ROUND(MAX(J393,K393),2)))*100,0)&gt;0," و"&amp;INDEX(تفقيط!$E$2:$E$1001,ROUND((ROUND(MAX(J393,K393),2)-INT(ROUND(MAX(J393,K393),2)))*100,0)+1),"")&amp;" لا غير")</f>
        <v/>
      </c>
    </row>
    <row r="394" customFormat="false" ht="15" hidden="false" customHeight="false" outlineLevel="0" collapsed="false">
      <c r="A394" s="62" t="str">
        <f aca="false">IF(C394="","",START_NO+COUNT(C$5:C394)-1)</f>
        <v/>
      </c>
      <c r="B394" s="63" t="str">
        <f aca="false">IF(A394="","",PREFIX&amp;"-"&amp;TEXT(C394,"yyyy")&amp;"-"&amp;A394)</f>
        <v/>
      </c>
      <c r="C394" s="56"/>
      <c r="D394" s="57"/>
      <c r="E394" s="58"/>
      <c r="F394" s="58"/>
      <c r="G394" s="57"/>
      <c r="H394" s="57"/>
      <c r="I394" s="57"/>
      <c r="J394" s="64" t="str">
        <f aca="false">IF(A394="","",SUMIFS('بنود السندات'!$F$5:$F$3004,'بنود السندات'!$A$5:$A$3004,A394))</f>
        <v/>
      </c>
      <c r="K394" s="64" t="str">
        <f aca="false">IF(A394="","",SUMIFS('بنود السندات'!$G$5:$G$3004,'بنود السندات'!$A$5:$A$3004,A394))</f>
        <v/>
      </c>
      <c r="L394" s="64" t="str">
        <f aca="false">IF(A394="","",ROUND(J394-K394,2))</f>
        <v/>
      </c>
      <c r="M394" s="63" t="str">
        <f aca="false">IF(A394="","",COUNTIF('بنود السندات'!$A$5:$A$3004,A394))</f>
        <v/>
      </c>
      <c r="N394" s="65" t="str">
        <f aca="false">IF(A394="","",IF(M394=0,"بدون بنود ⚠",IF(L394=0,"متوازن ✔","غير متوازن ✘")))</f>
        <v/>
      </c>
      <c r="O394" s="66" t="str">
        <f aca="false">IF(A394="","","فقط "&amp;IF(INT(ROUND(MAX(J394,K394),2))=0,"صفر",MID(IF(INT(INT(ROUND(MAX(J394,K394),2))/1000000)&gt;0," و"&amp;INDEX(تفقيط!$D$2:$D$1001,INT(INT(ROUND(MAX(J394,K394),2))/1000000)+1),"")&amp;IF(INT(MOD(INT(ROUND(MAX(J394,K394),2)),1000000)/1000)&gt;0," و"&amp;INDEX(تفقيط!$C$2:$C$1001,INT(MOD(INT(ROUND(MAX(J394,K394),2)),1000000)/1000)+1),"")&amp;IF(MOD(INT(ROUND(MAX(J394,K394),2)),1000)&gt;0," و"&amp;INDEX(تفقيط!$B$2:$B$1001,MOD(INT(ROUND(MAX(J394,K394),2)),1000)+1),""),3,400))&amp;" "&amp;CUR&amp;IF(ROUND((ROUND(MAX(J394,K394),2)-INT(ROUND(MAX(J394,K394),2)))*100,0)&gt;0," و"&amp;INDEX(تفقيط!$E$2:$E$1001,ROUND((ROUND(MAX(J394,K394),2)-INT(ROUND(MAX(J394,K394),2)))*100,0)+1),"")&amp;" لا غير")</f>
        <v/>
      </c>
    </row>
    <row r="395" customFormat="false" ht="15" hidden="false" customHeight="false" outlineLevel="0" collapsed="false">
      <c r="A395" s="54" t="str">
        <f aca="false">IF(C395="","",START_NO+COUNT(C$5:C395)-1)</f>
        <v/>
      </c>
      <c r="B395" s="55" t="str">
        <f aca="false">IF(A395="","",PREFIX&amp;"-"&amp;TEXT(C395,"yyyy")&amp;"-"&amp;A395)</f>
        <v/>
      </c>
      <c r="C395" s="56"/>
      <c r="D395" s="57"/>
      <c r="E395" s="58"/>
      <c r="F395" s="58"/>
      <c r="G395" s="57"/>
      <c r="H395" s="57"/>
      <c r="I395" s="57"/>
      <c r="J395" s="59" t="str">
        <f aca="false">IF(A395="","",SUMIFS('بنود السندات'!$F$5:$F$3004,'بنود السندات'!$A$5:$A$3004,A395))</f>
        <v/>
      </c>
      <c r="K395" s="59" t="str">
        <f aca="false">IF(A395="","",SUMIFS('بنود السندات'!$G$5:$G$3004,'بنود السندات'!$A$5:$A$3004,A395))</f>
        <v/>
      </c>
      <c r="L395" s="59" t="str">
        <f aca="false">IF(A395="","",ROUND(J395-K395,2))</f>
        <v/>
      </c>
      <c r="M395" s="55" t="str">
        <f aca="false">IF(A395="","",COUNTIF('بنود السندات'!$A$5:$A$3004,A395))</f>
        <v/>
      </c>
      <c r="N395" s="60" t="str">
        <f aca="false">IF(A395="","",IF(M395=0,"بدون بنود ⚠",IF(L395=0,"متوازن ✔","غير متوازن ✘")))</f>
        <v/>
      </c>
      <c r="O395" s="61" t="str">
        <f aca="false">IF(A395="","","فقط "&amp;IF(INT(ROUND(MAX(J395,K395),2))=0,"صفر",MID(IF(INT(INT(ROUND(MAX(J395,K395),2))/1000000)&gt;0," و"&amp;INDEX(تفقيط!$D$2:$D$1001,INT(INT(ROUND(MAX(J395,K395),2))/1000000)+1),"")&amp;IF(INT(MOD(INT(ROUND(MAX(J395,K395),2)),1000000)/1000)&gt;0," و"&amp;INDEX(تفقيط!$C$2:$C$1001,INT(MOD(INT(ROUND(MAX(J395,K395),2)),1000000)/1000)+1),"")&amp;IF(MOD(INT(ROUND(MAX(J395,K395),2)),1000)&gt;0," و"&amp;INDEX(تفقيط!$B$2:$B$1001,MOD(INT(ROUND(MAX(J395,K395),2)),1000)+1),""),3,400))&amp;" "&amp;CUR&amp;IF(ROUND((ROUND(MAX(J395,K395),2)-INT(ROUND(MAX(J395,K395),2)))*100,0)&gt;0," و"&amp;INDEX(تفقيط!$E$2:$E$1001,ROUND((ROUND(MAX(J395,K395),2)-INT(ROUND(MAX(J395,K395),2)))*100,0)+1),"")&amp;" لا غير")</f>
        <v/>
      </c>
    </row>
    <row r="396" customFormat="false" ht="15" hidden="false" customHeight="false" outlineLevel="0" collapsed="false">
      <c r="A396" s="62" t="str">
        <f aca="false">IF(C396="","",START_NO+COUNT(C$5:C396)-1)</f>
        <v/>
      </c>
      <c r="B396" s="63" t="str">
        <f aca="false">IF(A396="","",PREFIX&amp;"-"&amp;TEXT(C396,"yyyy")&amp;"-"&amp;A396)</f>
        <v/>
      </c>
      <c r="C396" s="56"/>
      <c r="D396" s="57"/>
      <c r="E396" s="58"/>
      <c r="F396" s="58"/>
      <c r="G396" s="57"/>
      <c r="H396" s="57"/>
      <c r="I396" s="57"/>
      <c r="J396" s="64" t="str">
        <f aca="false">IF(A396="","",SUMIFS('بنود السندات'!$F$5:$F$3004,'بنود السندات'!$A$5:$A$3004,A396))</f>
        <v/>
      </c>
      <c r="K396" s="64" t="str">
        <f aca="false">IF(A396="","",SUMIFS('بنود السندات'!$G$5:$G$3004,'بنود السندات'!$A$5:$A$3004,A396))</f>
        <v/>
      </c>
      <c r="L396" s="64" t="str">
        <f aca="false">IF(A396="","",ROUND(J396-K396,2))</f>
        <v/>
      </c>
      <c r="M396" s="63" t="str">
        <f aca="false">IF(A396="","",COUNTIF('بنود السندات'!$A$5:$A$3004,A396))</f>
        <v/>
      </c>
      <c r="N396" s="65" t="str">
        <f aca="false">IF(A396="","",IF(M396=0,"بدون بنود ⚠",IF(L396=0,"متوازن ✔","غير متوازن ✘")))</f>
        <v/>
      </c>
      <c r="O396" s="66" t="str">
        <f aca="false">IF(A396="","","فقط "&amp;IF(INT(ROUND(MAX(J396,K396),2))=0,"صفر",MID(IF(INT(INT(ROUND(MAX(J396,K396),2))/1000000)&gt;0," و"&amp;INDEX(تفقيط!$D$2:$D$1001,INT(INT(ROUND(MAX(J396,K396),2))/1000000)+1),"")&amp;IF(INT(MOD(INT(ROUND(MAX(J396,K396),2)),1000000)/1000)&gt;0," و"&amp;INDEX(تفقيط!$C$2:$C$1001,INT(MOD(INT(ROUND(MAX(J396,K396),2)),1000000)/1000)+1),"")&amp;IF(MOD(INT(ROUND(MAX(J396,K396),2)),1000)&gt;0," و"&amp;INDEX(تفقيط!$B$2:$B$1001,MOD(INT(ROUND(MAX(J396,K396),2)),1000)+1),""),3,400))&amp;" "&amp;CUR&amp;IF(ROUND((ROUND(MAX(J396,K396),2)-INT(ROUND(MAX(J396,K396),2)))*100,0)&gt;0," و"&amp;INDEX(تفقيط!$E$2:$E$1001,ROUND((ROUND(MAX(J396,K396),2)-INT(ROUND(MAX(J396,K396),2)))*100,0)+1),"")&amp;" لا غير")</f>
        <v/>
      </c>
    </row>
    <row r="397" customFormat="false" ht="15" hidden="false" customHeight="false" outlineLevel="0" collapsed="false">
      <c r="A397" s="54" t="str">
        <f aca="false">IF(C397="","",START_NO+COUNT(C$5:C397)-1)</f>
        <v/>
      </c>
      <c r="B397" s="55" t="str">
        <f aca="false">IF(A397="","",PREFIX&amp;"-"&amp;TEXT(C397,"yyyy")&amp;"-"&amp;A397)</f>
        <v/>
      </c>
      <c r="C397" s="56"/>
      <c r="D397" s="57"/>
      <c r="E397" s="58"/>
      <c r="F397" s="58"/>
      <c r="G397" s="57"/>
      <c r="H397" s="57"/>
      <c r="I397" s="57"/>
      <c r="J397" s="59" t="str">
        <f aca="false">IF(A397="","",SUMIFS('بنود السندات'!$F$5:$F$3004,'بنود السندات'!$A$5:$A$3004,A397))</f>
        <v/>
      </c>
      <c r="K397" s="59" t="str">
        <f aca="false">IF(A397="","",SUMIFS('بنود السندات'!$G$5:$G$3004,'بنود السندات'!$A$5:$A$3004,A397))</f>
        <v/>
      </c>
      <c r="L397" s="59" t="str">
        <f aca="false">IF(A397="","",ROUND(J397-K397,2))</f>
        <v/>
      </c>
      <c r="M397" s="55" t="str">
        <f aca="false">IF(A397="","",COUNTIF('بنود السندات'!$A$5:$A$3004,A397))</f>
        <v/>
      </c>
      <c r="N397" s="60" t="str">
        <f aca="false">IF(A397="","",IF(M397=0,"بدون بنود ⚠",IF(L397=0,"متوازن ✔","غير متوازن ✘")))</f>
        <v/>
      </c>
      <c r="O397" s="61" t="str">
        <f aca="false">IF(A397="","","فقط "&amp;IF(INT(ROUND(MAX(J397,K397),2))=0,"صفر",MID(IF(INT(INT(ROUND(MAX(J397,K397),2))/1000000)&gt;0," و"&amp;INDEX(تفقيط!$D$2:$D$1001,INT(INT(ROUND(MAX(J397,K397),2))/1000000)+1),"")&amp;IF(INT(MOD(INT(ROUND(MAX(J397,K397),2)),1000000)/1000)&gt;0," و"&amp;INDEX(تفقيط!$C$2:$C$1001,INT(MOD(INT(ROUND(MAX(J397,K397),2)),1000000)/1000)+1),"")&amp;IF(MOD(INT(ROUND(MAX(J397,K397),2)),1000)&gt;0," و"&amp;INDEX(تفقيط!$B$2:$B$1001,MOD(INT(ROUND(MAX(J397,K397),2)),1000)+1),""),3,400))&amp;" "&amp;CUR&amp;IF(ROUND((ROUND(MAX(J397,K397),2)-INT(ROUND(MAX(J397,K397),2)))*100,0)&gt;0," و"&amp;INDEX(تفقيط!$E$2:$E$1001,ROUND((ROUND(MAX(J397,K397),2)-INT(ROUND(MAX(J397,K397),2)))*100,0)+1),"")&amp;" لا غير")</f>
        <v/>
      </c>
    </row>
    <row r="398" customFormat="false" ht="15" hidden="false" customHeight="false" outlineLevel="0" collapsed="false">
      <c r="A398" s="62" t="str">
        <f aca="false">IF(C398="","",START_NO+COUNT(C$5:C398)-1)</f>
        <v/>
      </c>
      <c r="B398" s="63" t="str">
        <f aca="false">IF(A398="","",PREFIX&amp;"-"&amp;TEXT(C398,"yyyy")&amp;"-"&amp;A398)</f>
        <v/>
      </c>
      <c r="C398" s="56"/>
      <c r="D398" s="57"/>
      <c r="E398" s="58"/>
      <c r="F398" s="58"/>
      <c r="G398" s="57"/>
      <c r="H398" s="57"/>
      <c r="I398" s="57"/>
      <c r="J398" s="64" t="str">
        <f aca="false">IF(A398="","",SUMIFS('بنود السندات'!$F$5:$F$3004,'بنود السندات'!$A$5:$A$3004,A398))</f>
        <v/>
      </c>
      <c r="K398" s="64" t="str">
        <f aca="false">IF(A398="","",SUMIFS('بنود السندات'!$G$5:$G$3004,'بنود السندات'!$A$5:$A$3004,A398))</f>
        <v/>
      </c>
      <c r="L398" s="64" t="str">
        <f aca="false">IF(A398="","",ROUND(J398-K398,2))</f>
        <v/>
      </c>
      <c r="M398" s="63" t="str">
        <f aca="false">IF(A398="","",COUNTIF('بنود السندات'!$A$5:$A$3004,A398))</f>
        <v/>
      </c>
      <c r="N398" s="65" t="str">
        <f aca="false">IF(A398="","",IF(M398=0,"بدون بنود ⚠",IF(L398=0,"متوازن ✔","غير متوازن ✘")))</f>
        <v/>
      </c>
      <c r="O398" s="66" t="str">
        <f aca="false">IF(A398="","","فقط "&amp;IF(INT(ROUND(MAX(J398,K398),2))=0,"صفر",MID(IF(INT(INT(ROUND(MAX(J398,K398),2))/1000000)&gt;0," و"&amp;INDEX(تفقيط!$D$2:$D$1001,INT(INT(ROUND(MAX(J398,K398),2))/1000000)+1),"")&amp;IF(INT(MOD(INT(ROUND(MAX(J398,K398),2)),1000000)/1000)&gt;0," و"&amp;INDEX(تفقيط!$C$2:$C$1001,INT(MOD(INT(ROUND(MAX(J398,K398),2)),1000000)/1000)+1),"")&amp;IF(MOD(INT(ROUND(MAX(J398,K398),2)),1000)&gt;0," و"&amp;INDEX(تفقيط!$B$2:$B$1001,MOD(INT(ROUND(MAX(J398,K398),2)),1000)+1),""),3,400))&amp;" "&amp;CUR&amp;IF(ROUND((ROUND(MAX(J398,K398),2)-INT(ROUND(MAX(J398,K398),2)))*100,0)&gt;0," و"&amp;INDEX(تفقيط!$E$2:$E$1001,ROUND((ROUND(MAX(J398,K398),2)-INT(ROUND(MAX(J398,K398),2)))*100,0)+1),"")&amp;" لا غير")</f>
        <v/>
      </c>
    </row>
    <row r="399" customFormat="false" ht="15" hidden="false" customHeight="false" outlineLevel="0" collapsed="false">
      <c r="A399" s="54" t="str">
        <f aca="false">IF(C399="","",START_NO+COUNT(C$5:C399)-1)</f>
        <v/>
      </c>
      <c r="B399" s="55" t="str">
        <f aca="false">IF(A399="","",PREFIX&amp;"-"&amp;TEXT(C399,"yyyy")&amp;"-"&amp;A399)</f>
        <v/>
      </c>
      <c r="C399" s="56"/>
      <c r="D399" s="57"/>
      <c r="E399" s="58"/>
      <c r="F399" s="58"/>
      <c r="G399" s="57"/>
      <c r="H399" s="57"/>
      <c r="I399" s="57"/>
      <c r="J399" s="59" t="str">
        <f aca="false">IF(A399="","",SUMIFS('بنود السندات'!$F$5:$F$3004,'بنود السندات'!$A$5:$A$3004,A399))</f>
        <v/>
      </c>
      <c r="K399" s="59" t="str">
        <f aca="false">IF(A399="","",SUMIFS('بنود السندات'!$G$5:$G$3004,'بنود السندات'!$A$5:$A$3004,A399))</f>
        <v/>
      </c>
      <c r="L399" s="59" t="str">
        <f aca="false">IF(A399="","",ROUND(J399-K399,2))</f>
        <v/>
      </c>
      <c r="M399" s="55" t="str">
        <f aca="false">IF(A399="","",COUNTIF('بنود السندات'!$A$5:$A$3004,A399))</f>
        <v/>
      </c>
      <c r="N399" s="60" t="str">
        <f aca="false">IF(A399="","",IF(M399=0,"بدون بنود ⚠",IF(L399=0,"متوازن ✔","غير متوازن ✘")))</f>
        <v/>
      </c>
      <c r="O399" s="61" t="str">
        <f aca="false">IF(A399="","","فقط "&amp;IF(INT(ROUND(MAX(J399,K399),2))=0,"صفر",MID(IF(INT(INT(ROUND(MAX(J399,K399),2))/1000000)&gt;0," و"&amp;INDEX(تفقيط!$D$2:$D$1001,INT(INT(ROUND(MAX(J399,K399),2))/1000000)+1),"")&amp;IF(INT(MOD(INT(ROUND(MAX(J399,K399),2)),1000000)/1000)&gt;0," و"&amp;INDEX(تفقيط!$C$2:$C$1001,INT(MOD(INT(ROUND(MAX(J399,K399),2)),1000000)/1000)+1),"")&amp;IF(MOD(INT(ROUND(MAX(J399,K399),2)),1000)&gt;0," و"&amp;INDEX(تفقيط!$B$2:$B$1001,MOD(INT(ROUND(MAX(J399,K399),2)),1000)+1),""),3,400))&amp;" "&amp;CUR&amp;IF(ROUND((ROUND(MAX(J399,K399),2)-INT(ROUND(MAX(J399,K399),2)))*100,0)&gt;0," و"&amp;INDEX(تفقيط!$E$2:$E$1001,ROUND((ROUND(MAX(J399,K399),2)-INT(ROUND(MAX(J399,K399),2)))*100,0)+1),"")&amp;" لا غير")</f>
        <v/>
      </c>
    </row>
    <row r="400" customFormat="false" ht="15" hidden="false" customHeight="false" outlineLevel="0" collapsed="false">
      <c r="A400" s="62" t="str">
        <f aca="false">IF(C400="","",START_NO+COUNT(C$5:C400)-1)</f>
        <v/>
      </c>
      <c r="B400" s="63" t="str">
        <f aca="false">IF(A400="","",PREFIX&amp;"-"&amp;TEXT(C400,"yyyy")&amp;"-"&amp;A400)</f>
        <v/>
      </c>
      <c r="C400" s="56"/>
      <c r="D400" s="57"/>
      <c r="E400" s="58"/>
      <c r="F400" s="58"/>
      <c r="G400" s="57"/>
      <c r="H400" s="57"/>
      <c r="I400" s="57"/>
      <c r="J400" s="64" t="str">
        <f aca="false">IF(A400="","",SUMIFS('بنود السندات'!$F$5:$F$3004,'بنود السندات'!$A$5:$A$3004,A400))</f>
        <v/>
      </c>
      <c r="K400" s="64" t="str">
        <f aca="false">IF(A400="","",SUMIFS('بنود السندات'!$G$5:$G$3004,'بنود السندات'!$A$5:$A$3004,A400))</f>
        <v/>
      </c>
      <c r="L400" s="64" t="str">
        <f aca="false">IF(A400="","",ROUND(J400-K400,2))</f>
        <v/>
      </c>
      <c r="M400" s="63" t="str">
        <f aca="false">IF(A400="","",COUNTIF('بنود السندات'!$A$5:$A$3004,A400))</f>
        <v/>
      </c>
      <c r="N400" s="65" t="str">
        <f aca="false">IF(A400="","",IF(M400=0,"بدون بنود ⚠",IF(L400=0,"متوازن ✔","غير متوازن ✘")))</f>
        <v/>
      </c>
      <c r="O400" s="66" t="str">
        <f aca="false">IF(A400="","","فقط "&amp;IF(INT(ROUND(MAX(J400,K400),2))=0,"صفر",MID(IF(INT(INT(ROUND(MAX(J400,K400),2))/1000000)&gt;0," و"&amp;INDEX(تفقيط!$D$2:$D$1001,INT(INT(ROUND(MAX(J400,K400),2))/1000000)+1),"")&amp;IF(INT(MOD(INT(ROUND(MAX(J400,K400),2)),1000000)/1000)&gt;0," و"&amp;INDEX(تفقيط!$C$2:$C$1001,INT(MOD(INT(ROUND(MAX(J400,K400),2)),1000000)/1000)+1),"")&amp;IF(MOD(INT(ROUND(MAX(J400,K400),2)),1000)&gt;0," و"&amp;INDEX(تفقيط!$B$2:$B$1001,MOD(INT(ROUND(MAX(J400,K400),2)),1000)+1),""),3,400))&amp;" "&amp;CUR&amp;IF(ROUND((ROUND(MAX(J400,K400),2)-INT(ROUND(MAX(J400,K400),2)))*100,0)&gt;0," و"&amp;INDEX(تفقيط!$E$2:$E$1001,ROUND((ROUND(MAX(J400,K400),2)-INT(ROUND(MAX(J400,K400),2)))*100,0)+1),"")&amp;" لا غير")</f>
        <v/>
      </c>
    </row>
    <row r="401" customFormat="false" ht="15" hidden="false" customHeight="false" outlineLevel="0" collapsed="false">
      <c r="A401" s="54" t="str">
        <f aca="false">IF(C401="","",START_NO+COUNT(C$5:C401)-1)</f>
        <v/>
      </c>
      <c r="B401" s="55" t="str">
        <f aca="false">IF(A401="","",PREFIX&amp;"-"&amp;TEXT(C401,"yyyy")&amp;"-"&amp;A401)</f>
        <v/>
      </c>
      <c r="C401" s="56"/>
      <c r="D401" s="57"/>
      <c r="E401" s="58"/>
      <c r="F401" s="58"/>
      <c r="G401" s="57"/>
      <c r="H401" s="57"/>
      <c r="I401" s="57"/>
      <c r="J401" s="59" t="str">
        <f aca="false">IF(A401="","",SUMIFS('بنود السندات'!$F$5:$F$3004,'بنود السندات'!$A$5:$A$3004,A401))</f>
        <v/>
      </c>
      <c r="K401" s="59" t="str">
        <f aca="false">IF(A401="","",SUMIFS('بنود السندات'!$G$5:$G$3004,'بنود السندات'!$A$5:$A$3004,A401))</f>
        <v/>
      </c>
      <c r="L401" s="59" t="str">
        <f aca="false">IF(A401="","",ROUND(J401-K401,2))</f>
        <v/>
      </c>
      <c r="M401" s="55" t="str">
        <f aca="false">IF(A401="","",COUNTIF('بنود السندات'!$A$5:$A$3004,A401))</f>
        <v/>
      </c>
      <c r="N401" s="60" t="str">
        <f aca="false">IF(A401="","",IF(M401=0,"بدون بنود ⚠",IF(L401=0,"متوازن ✔","غير متوازن ✘")))</f>
        <v/>
      </c>
      <c r="O401" s="61" t="str">
        <f aca="false">IF(A401="","","فقط "&amp;IF(INT(ROUND(MAX(J401,K401),2))=0,"صفر",MID(IF(INT(INT(ROUND(MAX(J401,K401),2))/1000000)&gt;0," و"&amp;INDEX(تفقيط!$D$2:$D$1001,INT(INT(ROUND(MAX(J401,K401),2))/1000000)+1),"")&amp;IF(INT(MOD(INT(ROUND(MAX(J401,K401),2)),1000000)/1000)&gt;0," و"&amp;INDEX(تفقيط!$C$2:$C$1001,INT(MOD(INT(ROUND(MAX(J401,K401),2)),1000000)/1000)+1),"")&amp;IF(MOD(INT(ROUND(MAX(J401,K401),2)),1000)&gt;0," و"&amp;INDEX(تفقيط!$B$2:$B$1001,MOD(INT(ROUND(MAX(J401,K401),2)),1000)+1),""),3,400))&amp;" "&amp;CUR&amp;IF(ROUND((ROUND(MAX(J401,K401),2)-INT(ROUND(MAX(J401,K401),2)))*100,0)&gt;0," و"&amp;INDEX(تفقيط!$E$2:$E$1001,ROUND((ROUND(MAX(J401,K401),2)-INT(ROUND(MAX(J401,K401),2)))*100,0)+1),"")&amp;" لا غير")</f>
        <v/>
      </c>
    </row>
    <row r="402" customFormat="false" ht="15" hidden="false" customHeight="false" outlineLevel="0" collapsed="false">
      <c r="A402" s="62" t="str">
        <f aca="false">IF(C402="","",START_NO+COUNT(C$5:C402)-1)</f>
        <v/>
      </c>
      <c r="B402" s="63" t="str">
        <f aca="false">IF(A402="","",PREFIX&amp;"-"&amp;TEXT(C402,"yyyy")&amp;"-"&amp;A402)</f>
        <v/>
      </c>
      <c r="C402" s="56"/>
      <c r="D402" s="57"/>
      <c r="E402" s="58"/>
      <c r="F402" s="58"/>
      <c r="G402" s="57"/>
      <c r="H402" s="57"/>
      <c r="I402" s="57"/>
      <c r="J402" s="64" t="str">
        <f aca="false">IF(A402="","",SUMIFS('بنود السندات'!$F$5:$F$3004,'بنود السندات'!$A$5:$A$3004,A402))</f>
        <v/>
      </c>
      <c r="K402" s="64" t="str">
        <f aca="false">IF(A402="","",SUMIFS('بنود السندات'!$G$5:$G$3004,'بنود السندات'!$A$5:$A$3004,A402))</f>
        <v/>
      </c>
      <c r="L402" s="64" t="str">
        <f aca="false">IF(A402="","",ROUND(J402-K402,2))</f>
        <v/>
      </c>
      <c r="M402" s="63" t="str">
        <f aca="false">IF(A402="","",COUNTIF('بنود السندات'!$A$5:$A$3004,A402))</f>
        <v/>
      </c>
      <c r="N402" s="65" t="str">
        <f aca="false">IF(A402="","",IF(M402=0,"بدون بنود ⚠",IF(L402=0,"متوازن ✔","غير متوازن ✘")))</f>
        <v/>
      </c>
      <c r="O402" s="66" t="str">
        <f aca="false">IF(A402="","","فقط "&amp;IF(INT(ROUND(MAX(J402,K402),2))=0,"صفر",MID(IF(INT(INT(ROUND(MAX(J402,K402),2))/1000000)&gt;0," و"&amp;INDEX(تفقيط!$D$2:$D$1001,INT(INT(ROUND(MAX(J402,K402),2))/1000000)+1),"")&amp;IF(INT(MOD(INT(ROUND(MAX(J402,K402),2)),1000000)/1000)&gt;0," و"&amp;INDEX(تفقيط!$C$2:$C$1001,INT(MOD(INT(ROUND(MAX(J402,K402),2)),1000000)/1000)+1),"")&amp;IF(MOD(INT(ROUND(MAX(J402,K402),2)),1000)&gt;0," و"&amp;INDEX(تفقيط!$B$2:$B$1001,MOD(INT(ROUND(MAX(J402,K402),2)),1000)+1),""),3,400))&amp;" "&amp;CUR&amp;IF(ROUND((ROUND(MAX(J402,K402),2)-INT(ROUND(MAX(J402,K402),2)))*100,0)&gt;0," و"&amp;INDEX(تفقيط!$E$2:$E$1001,ROUND((ROUND(MAX(J402,K402),2)-INT(ROUND(MAX(J402,K402),2)))*100,0)+1),"")&amp;" لا غير")</f>
        <v/>
      </c>
    </row>
    <row r="403" customFormat="false" ht="15" hidden="false" customHeight="false" outlineLevel="0" collapsed="false">
      <c r="A403" s="54" t="str">
        <f aca="false">IF(C403="","",START_NO+COUNT(C$5:C403)-1)</f>
        <v/>
      </c>
      <c r="B403" s="55" t="str">
        <f aca="false">IF(A403="","",PREFIX&amp;"-"&amp;TEXT(C403,"yyyy")&amp;"-"&amp;A403)</f>
        <v/>
      </c>
      <c r="C403" s="56"/>
      <c r="D403" s="57"/>
      <c r="E403" s="58"/>
      <c r="F403" s="58"/>
      <c r="G403" s="57"/>
      <c r="H403" s="57"/>
      <c r="I403" s="57"/>
      <c r="J403" s="59" t="str">
        <f aca="false">IF(A403="","",SUMIFS('بنود السندات'!$F$5:$F$3004,'بنود السندات'!$A$5:$A$3004,A403))</f>
        <v/>
      </c>
      <c r="K403" s="59" t="str">
        <f aca="false">IF(A403="","",SUMIFS('بنود السندات'!$G$5:$G$3004,'بنود السندات'!$A$5:$A$3004,A403))</f>
        <v/>
      </c>
      <c r="L403" s="59" t="str">
        <f aca="false">IF(A403="","",ROUND(J403-K403,2))</f>
        <v/>
      </c>
      <c r="M403" s="55" t="str">
        <f aca="false">IF(A403="","",COUNTIF('بنود السندات'!$A$5:$A$3004,A403))</f>
        <v/>
      </c>
      <c r="N403" s="60" t="str">
        <f aca="false">IF(A403="","",IF(M403=0,"بدون بنود ⚠",IF(L403=0,"متوازن ✔","غير متوازن ✘")))</f>
        <v/>
      </c>
      <c r="O403" s="61" t="str">
        <f aca="false">IF(A403="","","فقط "&amp;IF(INT(ROUND(MAX(J403,K403),2))=0,"صفر",MID(IF(INT(INT(ROUND(MAX(J403,K403),2))/1000000)&gt;0," و"&amp;INDEX(تفقيط!$D$2:$D$1001,INT(INT(ROUND(MAX(J403,K403),2))/1000000)+1),"")&amp;IF(INT(MOD(INT(ROUND(MAX(J403,K403),2)),1000000)/1000)&gt;0," و"&amp;INDEX(تفقيط!$C$2:$C$1001,INT(MOD(INT(ROUND(MAX(J403,K403),2)),1000000)/1000)+1),"")&amp;IF(MOD(INT(ROUND(MAX(J403,K403),2)),1000)&gt;0," و"&amp;INDEX(تفقيط!$B$2:$B$1001,MOD(INT(ROUND(MAX(J403,K403),2)),1000)+1),""),3,400))&amp;" "&amp;CUR&amp;IF(ROUND((ROUND(MAX(J403,K403),2)-INT(ROUND(MAX(J403,K403),2)))*100,0)&gt;0," و"&amp;INDEX(تفقيط!$E$2:$E$1001,ROUND((ROUND(MAX(J403,K403),2)-INT(ROUND(MAX(J403,K403),2)))*100,0)+1),"")&amp;" لا غير")</f>
        <v/>
      </c>
    </row>
    <row r="404" customFormat="false" ht="15" hidden="false" customHeight="false" outlineLevel="0" collapsed="false">
      <c r="A404" s="62" t="str">
        <f aca="false">IF(C404="","",START_NO+COUNT(C$5:C404)-1)</f>
        <v/>
      </c>
      <c r="B404" s="63" t="str">
        <f aca="false">IF(A404="","",PREFIX&amp;"-"&amp;TEXT(C404,"yyyy")&amp;"-"&amp;A404)</f>
        <v/>
      </c>
      <c r="C404" s="56"/>
      <c r="D404" s="57"/>
      <c r="E404" s="58"/>
      <c r="F404" s="58"/>
      <c r="G404" s="57"/>
      <c r="H404" s="57"/>
      <c r="I404" s="57"/>
      <c r="J404" s="64" t="str">
        <f aca="false">IF(A404="","",SUMIFS('بنود السندات'!$F$5:$F$3004,'بنود السندات'!$A$5:$A$3004,A404))</f>
        <v/>
      </c>
      <c r="K404" s="64" t="str">
        <f aca="false">IF(A404="","",SUMIFS('بنود السندات'!$G$5:$G$3004,'بنود السندات'!$A$5:$A$3004,A404))</f>
        <v/>
      </c>
      <c r="L404" s="64" t="str">
        <f aca="false">IF(A404="","",ROUND(J404-K404,2))</f>
        <v/>
      </c>
      <c r="M404" s="63" t="str">
        <f aca="false">IF(A404="","",COUNTIF('بنود السندات'!$A$5:$A$3004,A404))</f>
        <v/>
      </c>
      <c r="N404" s="65" t="str">
        <f aca="false">IF(A404="","",IF(M404=0,"بدون بنود ⚠",IF(L404=0,"متوازن ✔","غير متوازن ✘")))</f>
        <v/>
      </c>
      <c r="O404" s="66" t="str">
        <f aca="false">IF(A404="","","فقط "&amp;IF(INT(ROUND(MAX(J404,K404),2))=0,"صفر",MID(IF(INT(INT(ROUND(MAX(J404,K404),2))/1000000)&gt;0," و"&amp;INDEX(تفقيط!$D$2:$D$1001,INT(INT(ROUND(MAX(J404,K404),2))/1000000)+1),"")&amp;IF(INT(MOD(INT(ROUND(MAX(J404,K404),2)),1000000)/1000)&gt;0," و"&amp;INDEX(تفقيط!$C$2:$C$1001,INT(MOD(INT(ROUND(MAX(J404,K404),2)),1000000)/1000)+1),"")&amp;IF(MOD(INT(ROUND(MAX(J404,K404),2)),1000)&gt;0," و"&amp;INDEX(تفقيط!$B$2:$B$1001,MOD(INT(ROUND(MAX(J404,K404),2)),1000)+1),""),3,400))&amp;" "&amp;CUR&amp;IF(ROUND((ROUND(MAX(J404,K404),2)-INT(ROUND(MAX(J404,K404),2)))*100,0)&gt;0," و"&amp;INDEX(تفقيط!$E$2:$E$1001,ROUND((ROUND(MAX(J404,K404),2)-INT(ROUND(MAX(J404,K404),2)))*100,0)+1),"")&amp;" لا غير")</f>
        <v/>
      </c>
    </row>
    <row r="405" customFormat="false" ht="15" hidden="false" customHeight="false" outlineLevel="0" collapsed="false">
      <c r="A405" s="54" t="str">
        <f aca="false">IF(C405="","",START_NO+COUNT(C$5:C405)-1)</f>
        <v/>
      </c>
      <c r="B405" s="55" t="str">
        <f aca="false">IF(A405="","",PREFIX&amp;"-"&amp;TEXT(C405,"yyyy")&amp;"-"&amp;A405)</f>
        <v/>
      </c>
      <c r="C405" s="56"/>
      <c r="D405" s="57"/>
      <c r="E405" s="58"/>
      <c r="F405" s="58"/>
      <c r="G405" s="57"/>
      <c r="H405" s="57"/>
      <c r="I405" s="57"/>
      <c r="J405" s="59" t="str">
        <f aca="false">IF(A405="","",SUMIFS('بنود السندات'!$F$5:$F$3004,'بنود السندات'!$A$5:$A$3004,A405))</f>
        <v/>
      </c>
      <c r="K405" s="59" t="str">
        <f aca="false">IF(A405="","",SUMIFS('بنود السندات'!$G$5:$G$3004,'بنود السندات'!$A$5:$A$3004,A405))</f>
        <v/>
      </c>
      <c r="L405" s="59" t="str">
        <f aca="false">IF(A405="","",ROUND(J405-K405,2))</f>
        <v/>
      </c>
      <c r="M405" s="55" t="str">
        <f aca="false">IF(A405="","",COUNTIF('بنود السندات'!$A$5:$A$3004,A405))</f>
        <v/>
      </c>
      <c r="N405" s="60" t="str">
        <f aca="false">IF(A405="","",IF(M405=0,"بدون بنود ⚠",IF(L405=0,"متوازن ✔","غير متوازن ✘")))</f>
        <v/>
      </c>
      <c r="O405" s="61" t="str">
        <f aca="false">IF(A405="","","فقط "&amp;IF(INT(ROUND(MAX(J405,K405),2))=0,"صفر",MID(IF(INT(INT(ROUND(MAX(J405,K405),2))/1000000)&gt;0," و"&amp;INDEX(تفقيط!$D$2:$D$1001,INT(INT(ROUND(MAX(J405,K405),2))/1000000)+1),"")&amp;IF(INT(MOD(INT(ROUND(MAX(J405,K405),2)),1000000)/1000)&gt;0," و"&amp;INDEX(تفقيط!$C$2:$C$1001,INT(MOD(INT(ROUND(MAX(J405,K405),2)),1000000)/1000)+1),"")&amp;IF(MOD(INT(ROUND(MAX(J405,K405),2)),1000)&gt;0," و"&amp;INDEX(تفقيط!$B$2:$B$1001,MOD(INT(ROUND(MAX(J405,K405),2)),1000)+1),""),3,400))&amp;" "&amp;CUR&amp;IF(ROUND((ROUND(MAX(J405,K405),2)-INT(ROUND(MAX(J405,K405),2)))*100,0)&gt;0," و"&amp;INDEX(تفقيط!$E$2:$E$1001,ROUND((ROUND(MAX(J405,K405),2)-INT(ROUND(MAX(J405,K405),2)))*100,0)+1),"")&amp;" لا غير")</f>
        <v/>
      </c>
    </row>
    <row r="406" customFormat="false" ht="15" hidden="false" customHeight="false" outlineLevel="0" collapsed="false">
      <c r="A406" s="62" t="str">
        <f aca="false">IF(C406="","",START_NO+COUNT(C$5:C406)-1)</f>
        <v/>
      </c>
      <c r="B406" s="63" t="str">
        <f aca="false">IF(A406="","",PREFIX&amp;"-"&amp;TEXT(C406,"yyyy")&amp;"-"&amp;A406)</f>
        <v/>
      </c>
      <c r="C406" s="56"/>
      <c r="D406" s="57"/>
      <c r="E406" s="58"/>
      <c r="F406" s="58"/>
      <c r="G406" s="57"/>
      <c r="H406" s="57"/>
      <c r="I406" s="57"/>
      <c r="J406" s="64" t="str">
        <f aca="false">IF(A406="","",SUMIFS('بنود السندات'!$F$5:$F$3004,'بنود السندات'!$A$5:$A$3004,A406))</f>
        <v/>
      </c>
      <c r="K406" s="64" t="str">
        <f aca="false">IF(A406="","",SUMIFS('بنود السندات'!$G$5:$G$3004,'بنود السندات'!$A$5:$A$3004,A406))</f>
        <v/>
      </c>
      <c r="L406" s="64" t="str">
        <f aca="false">IF(A406="","",ROUND(J406-K406,2))</f>
        <v/>
      </c>
      <c r="M406" s="63" t="str">
        <f aca="false">IF(A406="","",COUNTIF('بنود السندات'!$A$5:$A$3004,A406))</f>
        <v/>
      </c>
      <c r="N406" s="65" t="str">
        <f aca="false">IF(A406="","",IF(M406=0,"بدون بنود ⚠",IF(L406=0,"متوازن ✔","غير متوازن ✘")))</f>
        <v/>
      </c>
      <c r="O406" s="66" t="str">
        <f aca="false">IF(A406="","","فقط "&amp;IF(INT(ROUND(MAX(J406,K406),2))=0,"صفر",MID(IF(INT(INT(ROUND(MAX(J406,K406),2))/1000000)&gt;0," و"&amp;INDEX(تفقيط!$D$2:$D$1001,INT(INT(ROUND(MAX(J406,K406),2))/1000000)+1),"")&amp;IF(INT(MOD(INT(ROUND(MAX(J406,K406),2)),1000000)/1000)&gt;0," و"&amp;INDEX(تفقيط!$C$2:$C$1001,INT(MOD(INT(ROUND(MAX(J406,K406),2)),1000000)/1000)+1),"")&amp;IF(MOD(INT(ROUND(MAX(J406,K406),2)),1000)&gt;0," و"&amp;INDEX(تفقيط!$B$2:$B$1001,MOD(INT(ROUND(MAX(J406,K406),2)),1000)+1),""),3,400))&amp;" "&amp;CUR&amp;IF(ROUND((ROUND(MAX(J406,K406),2)-INT(ROUND(MAX(J406,K406),2)))*100,0)&gt;0," و"&amp;INDEX(تفقيط!$E$2:$E$1001,ROUND((ROUND(MAX(J406,K406),2)-INT(ROUND(MAX(J406,K406),2)))*100,0)+1),"")&amp;" لا غير")</f>
        <v/>
      </c>
    </row>
    <row r="407" customFormat="false" ht="15" hidden="false" customHeight="false" outlineLevel="0" collapsed="false">
      <c r="A407" s="54" t="str">
        <f aca="false">IF(C407="","",START_NO+COUNT(C$5:C407)-1)</f>
        <v/>
      </c>
      <c r="B407" s="55" t="str">
        <f aca="false">IF(A407="","",PREFIX&amp;"-"&amp;TEXT(C407,"yyyy")&amp;"-"&amp;A407)</f>
        <v/>
      </c>
      <c r="C407" s="56"/>
      <c r="D407" s="57"/>
      <c r="E407" s="58"/>
      <c r="F407" s="58"/>
      <c r="G407" s="57"/>
      <c r="H407" s="57"/>
      <c r="I407" s="57"/>
      <c r="J407" s="59" t="str">
        <f aca="false">IF(A407="","",SUMIFS('بنود السندات'!$F$5:$F$3004,'بنود السندات'!$A$5:$A$3004,A407))</f>
        <v/>
      </c>
      <c r="K407" s="59" t="str">
        <f aca="false">IF(A407="","",SUMIFS('بنود السندات'!$G$5:$G$3004,'بنود السندات'!$A$5:$A$3004,A407))</f>
        <v/>
      </c>
      <c r="L407" s="59" t="str">
        <f aca="false">IF(A407="","",ROUND(J407-K407,2))</f>
        <v/>
      </c>
      <c r="M407" s="55" t="str">
        <f aca="false">IF(A407="","",COUNTIF('بنود السندات'!$A$5:$A$3004,A407))</f>
        <v/>
      </c>
      <c r="N407" s="60" t="str">
        <f aca="false">IF(A407="","",IF(M407=0,"بدون بنود ⚠",IF(L407=0,"متوازن ✔","غير متوازن ✘")))</f>
        <v/>
      </c>
      <c r="O407" s="61" t="str">
        <f aca="false">IF(A407="","","فقط "&amp;IF(INT(ROUND(MAX(J407,K407),2))=0,"صفر",MID(IF(INT(INT(ROUND(MAX(J407,K407),2))/1000000)&gt;0," و"&amp;INDEX(تفقيط!$D$2:$D$1001,INT(INT(ROUND(MAX(J407,K407),2))/1000000)+1),"")&amp;IF(INT(MOD(INT(ROUND(MAX(J407,K407),2)),1000000)/1000)&gt;0," و"&amp;INDEX(تفقيط!$C$2:$C$1001,INT(MOD(INT(ROUND(MAX(J407,K407),2)),1000000)/1000)+1),"")&amp;IF(MOD(INT(ROUND(MAX(J407,K407),2)),1000)&gt;0," و"&amp;INDEX(تفقيط!$B$2:$B$1001,MOD(INT(ROUND(MAX(J407,K407),2)),1000)+1),""),3,400))&amp;" "&amp;CUR&amp;IF(ROUND((ROUND(MAX(J407,K407),2)-INT(ROUND(MAX(J407,K407),2)))*100,0)&gt;0," و"&amp;INDEX(تفقيط!$E$2:$E$1001,ROUND((ROUND(MAX(J407,K407),2)-INT(ROUND(MAX(J407,K407),2)))*100,0)+1),"")&amp;" لا غير")</f>
        <v/>
      </c>
    </row>
    <row r="408" customFormat="false" ht="15" hidden="false" customHeight="false" outlineLevel="0" collapsed="false">
      <c r="A408" s="62" t="str">
        <f aca="false">IF(C408="","",START_NO+COUNT(C$5:C408)-1)</f>
        <v/>
      </c>
      <c r="B408" s="63" t="str">
        <f aca="false">IF(A408="","",PREFIX&amp;"-"&amp;TEXT(C408,"yyyy")&amp;"-"&amp;A408)</f>
        <v/>
      </c>
      <c r="C408" s="56"/>
      <c r="D408" s="57"/>
      <c r="E408" s="58"/>
      <c r="F408" s="58"/>
      <c r="G408" s="57"/>
      <c r="H408" s="57"/>
      <c r="I408" s="57"/>
      <c r="J408" s="64" t="str">
        <f aca="false">IF(A408="","",SUMIFS('بنود السندات'!$F$5:$F$3004,'بنود السندات'!$A$5:$A$3004,A408))</f>
        <v/>
      </c>
      <c r="K408" s="64" t="str">
        <f aca="false">IF(A408="","",SUMIFS('بنود السندات'!$G$5:$G$3004,'بنود السندات'!$A$5:$A$3004,A408))</f>
        <v/>
      </c>
      <c r="L408" s="64" t="str">
        <f aca="false">IF(A408="","",ROUND(J408-K408,2))</f>
        <v/>
      </c>
      <c r="M408" s="63" t="str">
        <f aca="false">IF(A408="","",COUNTIF('بنود السندات'!$A$5:$A$3004,A408))</f>
        <v/>
      </c>
      <c r="N408" s="65" t="str">
        <f aca="false">IF(A408="","",IF(M408=0,"بدون بنود ⚠",IF(L408=0,"متوازن ✔","غير متوازن ✘")))</f>
        <v/>
      </c>
      <c r="O408" s="66" t="str">
        <f aca="false">IF(A408="","","فقط "&amp;IF(INT(ROUND(MAX(J408,K408),2))=0,"صفر",MID(IF(INT(INT(ROUND(MAX(J408,K408),2))/1000000)&gt;0," و"&amp;INDEX(تفقيط!$D$2:$D$1001,INT(INT(ROUND(MAX(J408,K408),2))/1000000)+1),"")&amp;IF(INT(MOD(INT(ROUND(MAX(J408,K408),2)),1000000)/1000)&gt;0," و"&amp;INDEX(تفقيط!$C$2:$C$1001,INT(MOD(INT(ROUND(MAX(J408,K408),2)),1000000)/1000)+1),"")&amp;IF(MOD(INT(ROUND(MAX(J408,K408),2)),1000)&gt;0," و"&amp;INDEX(تفقيط!$B$2:$B$1001,MOD(INT(ROUND(MAX(J408,K408),2)),1000)+1),""),3,400))&amp;" "&amp;CUR&amp;IF(ROUND((ROUND(MAX(J408,K408),2)-INT(ROUND(MAX(J408,K408),2)))*100,0)&gt;0," و"&amp;INDEX(تفقيط!$E$2:$E$1001,ROUND((ROUND(MAX(J408,K408),2)-INT(ROUND(MAX(J408,K408),2)))*100,0)+1),"")&amp;" لا غير")</f>
        <v/>
      </c>
    </row>
    <row r="409" customFormat="false" ht="15" hidden="false" customHeight="false" outlineLevel="0" collapsed="false">
      <c r="A409" s="54" t="str">
        <f aca="false">IF(C409="","",START_NO+COUNT(C$5:C409)-1)</f>
        <v/>
      </c>
      <c r="B409" s="55" t="str">
        <f aca="false">IF(A409="","",PREFIX&amp;"-"&amp;TEXT(C409,"yyyy")&amp;"-"&amp;A409)</f>
        <v/>
      </c>
      <c r="C409" s="56"/>
      <c r="D409" s="57"/>
      <c r="E409" s="58"/>
      <c r="F409" s="58"/>
      <c r="G409" s="57"/>
      <c r="H409" s="57"/>
      <c r="I409" s="57"/>
      <c r="J409" s="59" t="str">
        <f aca="false">IF(A409="","",SUMIFS('بنود السندات'!$F$5:$F$3004,'بنود السندات'!$A$5:$A$3004,A409))</f>
        <v/>
      </c>
      <c r="K409" s="59" t="str">
        <f aca="false">IF(A409="","",SUMIFS('بنود السندات'!$G$5:$G$3004,'بنود السندات'!$A$5:$A$3004,A409))</f>
        <v/>
      </c>
      <c r="L409" s="59" t="str">
        <f aca="false">IF(A409="","",ROUND(J409-K409,2))</f>
        <v/>
      </c>
      <c r="M409" s="55" t="str">
        <f aca="false">IF(A409="","",COUNTIF('بنود السندات'!$A$5:$A$3004,A409))</f>
        <v/>
      </c>
      <c r="N409" s="60" t="str">
        <f aca="false">IF(A409="","",IF(M409=0,"بدون بنود ⚠",IF(L409=0,"متوازن ✔","غير متوازن ✘")))</f>
        <v/>
      </c>
      <c r="O409" s="61" t="str">
        <f aca="false">IF(A409="","","فقط "&amp;IF(INT(ROUND(MAX(J409,K409),2))=0,"صفر",MID(IF(INT(INT(ROUND(MAX(J409,K409),2))/1000000)&gt;0," و"&amp;INDEX(تفقيط!$D$2:$D$1001,INT(INT(ROUND(MAX(J409,K409),2))/1000000)+1),"")&amp;IF(INT(MOD(INT(ROUND(MAX(J409,K409),2)),1000000)/1000)&gt;0," و"&amp;INDEX(تفقيط!$C$2:$C$1001,INT(MOD(INT(ROUND(MAX(J409,K409),2)),1000000)/1000)+1),"")&amp;IF(MOD(INT(ROUND(MAX(J409,K409),2)),1000)&gt;0," و"&amp;INDEX(تفقيط!$B$2:$B$1001,MOD(INT(ROUND(MAX(J409,K409),2)),1000)+1),""),3,400))&amp;" "&amp;CUR&amp;IF(ROUND((ROUND(MAX(J409,K409),2)-INT(ROUND(MAX(J409,K409),2)))*100,0)&gt;0," و"&amp;INDEX(تفقيط!$E$2:$E$1001,ROUND((ROUND(MAX(J409,K409),2)-INT(ROUND(MAX(J409,K409),2)))*100,0)+1),"")&amp;" لا غير")</f>
        <v/>
      </c>
    </row>
    <row r="410" customFormat="false" ht="15" hidden="false" customHeight="false" outlineLevel="0" collapsed="false">
      <c r="A410" s="62" t="str">
        <f aca="false">IF(C410="","",START_NO+COUNT(C$5:C410)-1)</f>
        <v/>
      </c>
      <c r="B410" s="63" t="str">
        <f aca="false">IF(A410="","",PREFIX&amp;"-"&amp;TEXT(C410,"yyyy")&amp;"-"&amp;A410)</f>
        <v/>
      </c>
      <c r="C410" s="56"/>
      <c r="D410" s="57"/>
      <c r="E410" s="58"/>
      <c r="F410" s="58"/>
      <c r="G410" s="57"/>
      <c r="H410" s="57"/>
      <c r="I410" s="57"/>
      <c r="J410" s="64" t="str">
        <f aca="false">IF(A410="","",SUMIFS('بنود السندات'!$F$5:$F$3004,'بنود السندات'!$A$5:$A$3004,A410))</f>
        <v/>
      </c>
      <c r="K410" s="64" t="str">
        <f aca="false">IF(A410="","",SUMIFS('بنود السندات'!$G$5:$G$3004,'بنود السندات'!$A$5:$A$3004,A410))</f>
        <v/>
      </c>
      <c r="L410" s="64" t="str">
        <f aca="false">IF(A410="","",ROUND(J410-K410,2))</f>
        <v/>
      </c>
      <c r="M410" s="63" t="str">
        <f aca="false">IF(A410="","",COUNTIF('بنود السندات'!$A$5:$A$3004,A410))</f>
        <v/>
      </c>
      <c r="N410" s="65" t="str">
        <f aca="false">IF(A410="","",IF(M410=0,"بدون بنود ⚠",IF(L410=0,"متوازن ✔","غير متوازن ✘")))</f>
        <v/>
      </c>
      <c r="O410" s="66" t="str">
        <f aca="false">IF(A410="","","فقط "&amp;IF(INT(ROUND(MAX(J410,K410),2))=0,"صفر",MID(IF(INT(INT(ROUND(MAX(J410,K410),2))/1000000)&gt;0," و"&amp;INDEX(تفقيط!$D$2:$D$1001,INT(INT(ROUND(MAX(J410,K410),2))/1000000)+1),"")&amp;IF(INT(MOD(INT(ROUND(MAX(J410,K410),2)),1000000)/1000)&gt;0," و"&amp;INDEX(تفقيط!$C$2:$C$1001,INT(MOD(INT(ROUND(MAX(J410,K410),2)),1000000)/1000)+1),"")&amp;IF(MOD(INT(ROUND(MAX(J410,K410),2)),1000)&gt;0," و"&amp;INDEX(تفقيط!$B$2:$B$1001,MOD(INT(ROUND(MAX(J410,K410),2)),1000)+1),""),3,400))&amp;" "&amp;CUR&amp;IF(ROUND((ROUND(MAX(J410,K410),2)-INT(ROUND(MAX(J410,K410),2)))*100,0)&gt;0," و"&amp;INDEX(تفقيط!$E$2:$E$1001,ROUND((ROUND(MAX(J410,K410),2)-INT(ROUND(MAX(J410,K410),2)))*100,0)+1),"")&amp;" لا غير")</f>
        <v/>
      </c>
    </row>
    <row r="411" customFormat="false" ht="15" hidden="false" customHeight="false" outlineLevel="0" collapsed="false">
      <c r="A411" s="54" t="str">
        <f aca="false">IF(C411="","",START_NO+COUNT(C$5:C411)-1)</f>
        <v/>
      </c>
      <c r="B411" s="55" t="str">
        <f aca="false">IF(A411="","",PREFIX&amp;"-"&amp;TEXT(C411,"yyyy")&amp;"-"&amp;A411)</f>
        <v/>
      </c>
      <c r="C411" s="56"/>
      <c r="D411" s="57"/>
      <c r="E411" s="58"/>
      <c r="F411" s="58"/>
      <c r="G411" s="57"/>
      <c r="H411" s="57"/>
      <c r="I411" s="57"/>
      <c r="J411" s="59" t="str">
        <f aca="false">IF(A411="","",SUMIFS('بنود السندات'!$F$5:$F$3004,'بنود السندات'!$A$5:$A$3004,A411))</f>
        <v/>
      </c>
      <c r="K411" s="59" t="str">
        <f aca="false">IF(A411="","",SUMIFS('بنود السندات'!$G$5:$G$3004,'بنود السندات'!$A$5:$A$3004,A411))</f>
        <v/>
      </c>
      <c r="L411" s="59" t="str">
        <f aca="false">IF(A411="","",ROUND(J411-K411,2))</f>
        <v/>
      </c>
      <c r="M411" s="55" t="str">
        <f aca="false">IF(A411="","",COUNTIF('بنود السندات'!$A$5:$A$3004,A411))</f>
        <v/>
      </c>
      <c r="N411" s="60" t="str">
        <f aca="false">IF(A411="","",IF(M411=0,"بدون بنود ⚠",IF(L411=0,"متوازن ✔","غير متوازن ✘")))</f>
        <v/>
      </c>
      <c r="O411" s="61" t="str">
        <f aca="false">IF(A411="","","فقط "&amp;IF(INT(ROUND(MAX(J411,K411),2))=0,"صفر",MID(IF(INT(INT(ROUND(MAX(J411,K411),2))/1000000)&gt;0," و"&amp;INDEX(تفقيط!$D$2:$D$1001,INT(INT(ROUND(MAX(J411,K411),2))/1000000)+1),"")&amp;IF(INT(MOD(INT(ROUND(MAX(J411,K411),2)),1000000)/1000)&gt;0," و"&amp;INDEX(تفقيط!$C$2:$C$1001,INT(MOD(INT(ROUND(MAX(J411,K411),2)),1000000)/1000)+1),"")&amp;IF(MOD(INT(ROUND(MAX(J411,K411),2)),1000)&gt;0," و"&amp;INDEX(تفقيط!$B$2:$B$1001,MOD(INT(ROUND(MAX(J411,K411),2)),1000)+1),""),3,400))&amp;" "&amp;CUR&amp;IF(ROUND((ROUND(MAX(J411,K411),2)-INT(ROUND(MAX(J411,K411),2)))*100,0)&gt;0," و"&amp;INDEX(تفقيط!$E$2:$E$1001,ROUND((ROUND(MAX(J411,K411),2)-INT(ROUND(MAX(J411,K411),2)))*100,0)+1),"")&amp;" لا غير")</f>
        <v/>
      </c>
    </row>
    <row r="412" customFormat="false" ht="15" hidden="false" customHeight="false" outlineLevel="0" collapsed="false">
      <c r="A412" s="62" t="str">
        <f aca="false">IF(C412="","",START_NO+COUNT(C$5:C412)-1)</f>
        <v/>
      </c>
      <c r="B412" s="63" t="str">
        <f aca="false">IF(A412="","",PREFIX&amp;"-"&amp;TEXT(C412,"yyyy")&amp;"-"&amp;A412)</f>
        <v/>
      </c>
      <c r="C412" s="56"/>
      <c r="D412" s="57"/>
      <c r="E412" s="58"/>
      <c r="F412" s="58"/>
      <c r="G412" s="57"/>
      <c r="H412" s="57"/>
      <c r="I412" s="57"/>
      <c r="J412" s="64" t="str">
        <f aca="false">IF(A412="","",SUMIFS('بنود السندات'!$F$5:$F$3004,'بنود السندات'!$A$5:$A$3004,A412))</f>
        <v/>
      </c>
      <c r="K412" s="64" t="str">
        <f aca="false">IF(A412="","",SUMIFS('بنود السندات'!$G$5:$G$3004,'بنود السندات'!$A$5:$A$3004,A412))</f>
        <v/>
      </c>
      <c r="L412" s="64" t="str">
        <f aca="false">IF(A412="","",ROUND(J412-K412,2))</f>
        <v/>
      </c>
      <c r="M412" s="63" t="str">
        <f aca="false">IF(A412="","",COUNTIF('بنود السندات'!$A$5:$A$3004,A412))</f>
        <v/>
      </c>
      <c r="N412" s="65" t="str">
        <f aca="false">IF(A412="","",IF(M412=0,"بدون بنود ⚠",IF(L412=0,"متوازن ✔","غير متوازن ✘")))</f>
        <v/>
      </c>
      <c r="O412" s="66" t="str">
        <f aca="false">IF(A412="","","فقط "&amp;IF(INT(ROUND(MAX(J412,K412),2))=0,"صفر",MID(IF(INT(INT(ROUND(MAX(J412,K412),2))/1000000)&gt;0," و"&amp;INDEX(تفقيط!$D$2:$D$1001,INT(INT(ROUND(MAX(J412,K412),2))/1000000)+1),"")&amp;IF(INT(MOD(INT(ROUND(MAX(J412,K412),2)),1000000)/1000)&gt;0," و"&amp;INDEX(تفقيط!$C$2:$C$1001,INT(MOD(INT(ROUND(MAX(J412,K412),2)),1000000)/1000)+1),"")&amp;IF(MOD(INT(ROUND(MAX(J412,K412),2)),1000)&gt;0," و"&amp;INDEX(تفقيط!$B$2:$B$1001,MOD(INT(ROUND(MAX(J412,K412),2)),1000)+1),""),3,400))&amp;" "&amp;CUR&amp;IF(ROUND((ROUND(MAX(J412,K412),2)-INT(ROUND(MAX(J412,K412),2)))*100,0)&gt;0," و"&amp;INDEX(تفقيط!$E$2:$E$1001,ROUND((ROUND(MAX(J412,K412),2)-INT(ROUND(MAX(J412,K412),2)))*100,0)+1),"")&amp;" لا غير")</f>
        <v/>
      </c>
    </row>
    <row r="413" customFormat="false" ht="15" hidden="false" customHeight="false" outlineLevel="0" collapsed="false">
      <c r="A413" s="54" t="str">
        <f aca="false">IF(C413="","",START_NO+COUNT(C$5:C413)-1)</f>
        <v/>
      </c>
      <c r="B413" s="55" t="str">
        <f aca="false">IF(A413="","",PREFIX&amp;"-"&amp;TEXT(C413,"yyyy")&amp;"-"&amp;A413)</f>
        <v/>
      </c>
      <c r="C413" s="56"/>
      <c r="D413" s="57"/>
      <c r="E413" s="58"/>
      <c r="F413" s="58"/>
      <c r="G413" s="57"/>
      <c r="H413" s="57"/>
      <c r="I413" s="57"/>
      <c r="J413" s="59" t="str">
        <f aca="false">IF(A413="","",SUMIFS('بنود السندات'!$F$5:$F$3004,'بنود السندات'!$A$5:$A$3004,A413))</f>
        <v/>
      </c>
      <c r="K413" s="59" t="str">
        <f aca="false">IF(A413="","",SUMIFS('بنود السندات'!$G$5:$G$3004,'بنود السندات'!$A$5:$A$3004,A413))</f>
        <v/>
      </c>
      <c r="L413" s="59" t="str">
        <f aca="false">IF(A413="","",ROUND(J413-K413,2))</f>
        <v/>
      </c>
      <c r="M413" s="55" t="str">
        <f aca="false">IF(A413="","",COUNTIF('بنود السندات'!$A$5:$A$3004,A413))</f>
        <v/>
      </c>
      <c r="N413" s="60" t="str">
        <f aca="false">IF(A413="","",IF(M413=0,"بدون بنود ⚠",IF(L413=0,"متوازن ✔","غير متوازن ✘")))</f>
        <v/>
      </c>
      <c r="O413" s="61" t="str">
        <f aca="false">IF(A413="","","فقط "&amp;IF(INT(ROUND(MAX(J413,K413),2))=0,"صفر",MID(IF(INT(INT(ROUND(MAX(J413,K413),2))/1000000)&gt;0," و"&amp;INDEX(تفقيط!$D$2:$D$1001,INT(INT(ROUND(MAX(J413,K413),2))/1000000)+1),"")&amp;IF(INT(MOD(INT(ROUND(MAX(J413,K413),2)),1000000)/1000)&gt;0," و"&amp;INDEX(تفقيط!$C$2:$C$1001,INT(MOD(INT(ROUND(MAX(J413,K413),2)),1000000)/1000)+1),"")&amp;IF(MOD(INT(ROUND(MAX(J413,K413),2)),1000)&gt;0," و"&amp;INDEX(تفقيط!$B$2:$B$1001,MOD(INT(ROUND(MAX(J413,K413),2)),1000)+1),""),3,400))&amp;" "&amp;CUR&amp;IF(ROUND((ROUND(MAX(J413,K413),2)-INT(ROUND(MAX(J413,K413),2)))*100,0)&gt;0," و"&amp;INDEX(تفقيط!$E$2:$E$1001,ROUND((ROUND(MAX(J413,K413),2)-INT(ROUND(MAX(J413,K413),2)))*100,0)+1),"")&amp;" لا غير")</f>
        <v/>
      </c>
    </row>
    <row r="414" customFormat="false" ht="15" hidden="false" customHeight="false" outlineLevel="0" collapsed="false">
      <c r="A414" s="62" t="str">
        <f aca="false">IF(C414="","",START_NO+COUNT(C$5:C414)-1)</f>
        <v/>
      </c>
      <c r="B414" s="63" t="str">
        <f aca="false">IF(A414="","",PREFIX&amp;"-"&amp;TEXT(C414,"yyyy")&amp;"-"&amp;A414)</f>
        <v/>
      </c>
      <c r="C414" s="56"/>
      <c r="D414" s="57"/>
      <c r="E414" s="58"/>
      <c r="F414" s="58"/>
      <c r="G414" s="57"/>
      <c r="H414" s="57"/>
      <c r="I414" s="57"/>
      <c r="J414" s="64" t="str">
        <f aca="false">IF(A414="","",SUMIFS('بنود السندات'!$F$5:$F$3004,'بنود السندات'!$A$5:$A$3004,A414))</f>
        <v/>
      </c>
      <c r="K414" s="64" t="str">
        <f aca="false">IF(A414="","",SUMIFS('بنود السندات'!$G$5:$G$3004,'بنود السندات'!$A$5:$A$3004,A414))</f>
        <v/>
      </c>
      <c r="L414" s="64" t="str">
        <f aca="false">IF(A414="","",ROUND(J414-K414,2))</f>
        <v/>
      </c>
      <c r="M414" s="63" t="str">
        <f aca="false">IF(A414="","",COUNTIF('بنود السندات'!$A$5:$A$3004,A414))</f>
        <v/>
      </c>
      <c r="N414" s="65" t="str">
        <f aca="false">IF(A414="","",IF(M414=0,"بدون بنود ⚠",IF(L414=0,"متوازن ✔","غير متوازن ✘")))</f>
        <v/>
      </c>
      <c r="O414" s="66" t="str">
        <f aca="false">IF(A414="","","فقط "&amp;IF(INT(ROUND(MAX(J414,K414),2))=0,"صفر",MID(IF(INT(INT(ROUND(MAX(J414,K414),2))/1000000)&gt;0," و"&amp;INDEX(تفقيط!$D$2:$D$1001,INT(INT(ROUND(MAX(J414,K414),2))/1000000)+1),"")&amp;IF(INT(MOD(INT(ROUND(MAX(J414,K414),2)),1000000)/1000)&gt;0," و"&amp;INDEX(تفقيط!$C$2:$C$1001,INT(MOD(INT(ROUND(MAX(J414,K414),2)),1000000)/1000)+1),"")&amp;IF(MOD(INT(ROUND(MAX(J414,K414),2)),1000)&gt;0," و"&amp;INDEX(تفقيط!$B$2:$B$1001,MOD(INT(ROUND(MAX(J414,K414),2)),1000)+1),""),3,400))&amp;" "&amp;CUR&amp;IF(ROUND((ROUND(MAX(J414,K414),2)-INT(ROUND(MAX(J414,K414),2)))*100,0)&gt;0," و"&amp;INDEX(تفقيط!$E$2:$E$1001,ROUND((ROUND(MAX(J414,K414),2)-INT(ROUND(MAX(J414,K414),2)))*100,0)+1),"")&amp;" لا غير")</f>
        <v/>
      </c>
    </row>
    <row r="415" customFormat="false" ht="15" hidden="false" customHeight="false" outlineLevel="0" collapsed="false">
      <c r="A415" s="54" t="str">
        <f aca="false">IF(C415="","",START_NO+COUNT(C$5:C415)-1)</f>
        <v/>
      </c>
      <c r="B415" s="55" t="str">
        <f aca="false">IF(A415="","",PREFIX&amp;"-"&amp;TEXT(C415,"yyyy")&amp;"-"&amp;A415)</f>
        <v/>
      </c>
      <c r="C415" s="56"/>
      <c r="D415" s="57"/>
      <c r="E415" s="58"/>
      <c r="F415" s="58"/>
      <c r="G415" s="57"/>
      <c r="H415" s="57"/>
      <c r="I415" s="57"/>
      <c r="J415" s="59" t="str">
        <f aca="false">IF(A415="","",SUMIFS('بنود السندات'!$F$5:$F$3004,'بنود السندات'!$A$5:$A$3004,A415))</f>
        <v/>
      </c>
      <c r="K415" s="59" t="str">
        <f aca="false">IF(A415="","",SUMIFS('بنود السندات'!$G$5:$G$3004,'بنود السندات'!$A$5:$A$3004,A415))</f>
        <v/>
      </c>
      <c r="L415" s="59" t="str">
        <f aca="false">IF(A415="","",ROUND(J415-K415,2))</f>
        <v/>
      </c>
      <c r="M415" s="55" t="str">
        <f aca="false">IF(A415="","",COUNTIF('بنود السندات'!$A$5:$A$3004,A415))</f>
        <v/>
      </c>
      <c r="N415" s="60" t="str">
        <f aca="false">IF(A415="","",IF(M415=0,"بدون بنود ⚠",IF(L415=0,"متوازن ✔","غير متوازن ✘")))</f>
        <v/>
      </c>
      <c r="O415" s="61" t="str">
        <f aca="false">IF(A415="","","فقط "&amp;IF(INT(ROUND(MAX(J415,K415),2))=0,"صفر",MID(IF(INT(INT(ROUND(MAX(J415,K415),2))/1000000)&gt;0," و"&amp;INDEX(تفقيط!$D$2:$D$1001,INT(INT(ROUND(MAX(J415,K415),2))/1000000)+1),"")&amp;IF(INT(MOD(INT(ROUND(MAX(J415,K415),2)),1000000)/1000)&gt;0," و"&amp;INDEX(تفقيط!$C$2:$C$1001,INT(MOD(INT(ROUND(MAX(J415,K415),2)),1000000)/1000)+1),"")&amp;IF(MOD(INT(ROUND(MAX(J415,K415),2)),1000)&gt;0," و"&amp;INDEX(تفقيط!$B$2:$B$1001,MOD(INT(ROUND(MAX(J415,K415),2)),1000)+1),""),3,400))&amp;" "&amp;CUR&amp;IF(ROUND((ROUND(MAX(J415,K415),2)-INT(ROUND(MAX(J415,K415),2)))*100,0)&gt;0," و"&amp;INDEX(تفقيط!$E$2:$E$1001,ROUND((ROUND(MAX(J415,K415),2)-INT(ROUND(MAX(J415,K415),2)))*100,0)+1),"")&amp;" لا غير")</f>
        <v/>
      </c>
    </row>
    <row r="416" customFormat="false" ht="15" hidden="false" customHeight="false" outlineLevel="0" collapsed="false">
      <c r="A416" s="62" t="str">
        <f aca="false">IF(C416="","",START_NO+COUNT(C$5:C416)-1)</f>
        <v/>
      </c>
      <c r="B416" s="63" t="str">
        <f aca="false">IF(A416="","",PREFIX&amp;"-"&amp;TEXT(C416,"yyyy")&amp;"-"&amp;A416)</f>
        <v/>
      </c>
      <c r="C416" s="56"/>
      <c r="D416" s="57"/>
      <c r="E416" s="58"/>
      <c r="F416" s="58"/>
      <c r="G416" s="57"/>
      <c r="H416" s="57"/>
      <c r="I416" s="57"/>
      <c r="J416" s="64" t="str">
        <f aca="false">IF(A416="","",SUMIFS('بنود السندات'!$F$5:$F$3004,'بنود السندات'!$A$5:$A$3004,A416))</f>
        <v/>
      </c>
      <c r="K416" s="64" t="str">
        <f aca="false">IF(A416="","",SUMIFS('بنود السندات'!$G$5:$G$3004,'بنود السندات'!$A$5:$A$3004,A416))</f>
        <v/>
      </c>
      <c r="L416" s="64" t="str">
        <f aca="false">IF(A416="","",ROUND(J416-K416,2))</f>
        <v/>
      </c>
      <c r="M416" s="63" t="str">
        <f aca="false">IF(A416="","",COUNTIF('بنود السندات'!$A$5:$A$3004,A416))</f>
        <v/>
      </c>
      <c r="N416" s="65" t="str">
        <f aca="false">IF(A416="","",IF(M416=0,"بدون بنود ⚠",IF(L416=0,"متوازن ✔","غير متوازن ✘")))</f>
        <v/>
      </c>
      <c r="O416" s="66" t="str">
        <f aca="false">IF(A416="","","فقط "&amp;IF(INT(ROUND(MAX(J416,K416),2))=0,"صفر",MID(IF(INT(INT(ROUND(MAX(J416,K416),2))/1000000)&gt;0," و"&amp;INDEX(تفقيط!$D$2:$D$1001,INT(INT(ROUND(MAX(J416,K416),2))/1000000)+1),"")&amp;IF(INT(MOD(INT(ROUND(MAX(J416,K416),2)),1000000)/1000)&gt;0," و"&amp;INDEX(تفقيط!$C$2:$C$1001,INT(MOD(INT(ROUND(MAX(J416,K416),2)),1000000)/1000)+1),"")&amp;IF(MOD(INT(ROUND(MAX(J416,K416),2)),1000)&gt;0," و"&amp;INDEX(تفقيط!$B$2:$B$1001,MOD(INT(ROUND(MAX(J416,K416),2)),1000)+1),""),3,400))&amp;" "&amp;CUR&amp;IF(ROUND((ROUND(MAX(J416,K416),2)-INT(ROUND(MAX(J416,K416),2)))*100,0)&gt;0," و"&amp;INDEX(تفقيط!$E$2:$E$1001,ROUND((ROUND(MAX(J416,K416),2)-INT(ROUND(MAX(J416,K416),2)))*100,0)+1),"")&amp;" لا غير")</f>
        <v/>
      </c>
    </row>
    <row r="417" customFormat="false" ht="15" hidden="false" customHeight="false" outlineLevel="0" collapsed="false">
      <c r="A417" s="54" t="str">
        <f aca="false">IF(C417="","",START_NO+COUNT(C$5:C417)-1)</f>
        <v/>
      </c>
      <c r="B417" s="55" t="str">
        <f aca="false">IF(A417="","",PREFIX&amp;"-"&amp;TEXT(C417,"yyyy")&amp;"-"&amp;A417)</f>
        <v/>
      </c>
      <c r="C417" s="56"/>
      <c r="D417" s="57"/>
      <c r="E417" s="58"/>
      <c r="F417" s="58"/>
      <c r="G417" s="57"/>
      <c r="H417" s="57"/>
      <c r="I417" s="57"/>
      <c r="J417" s="59" t="str">
        <f aca="false">IF(A417="","",SUMIFS('بنود السندات'!$F$5:$F$3004,'بنود السندات'!$A$5:$A$3004,A417))</f>
        <v/>
      </c>
      <c r="K417" s="59" t="str">
        <f aca="false">IF(A417="","",SUMIFS('بنود السندات'!$G$5:$G$3004,'بنود السندات'!$A$5:$A$3004,A417))</f>
        <v/>
      </c>
      <c r="L417" s="59" t="str">
        <f aca="false">IF(A417="","",ROUND(J417-K417,2))</f>
        <v/>
      </c>
      <c r="M417" s="55" t="str">
        <f aca="false">IF(A417="","",COUNTIF('بنود السندات'!$A$5:$A$3004,A417))</f>
        <v/>
      </c>
      <c r="N417" s="60" t="str">
        <f aca="false">IF(A417="","",IF(M417=0,"بدون بنود ⚠",IF(L417=0,"متوازن ✔","غير متوازن ✘")))</f>
        <v/>
      </c>
      <c r="O417" s="61" t="str">
        <f aca="false">IF(A417="","","فقط "&amp;IF(INT(ROUND(MAX(J417,K417),2))=0,"صفر",MID(IF(INT(INT(ROUND(MAX(J417,K417),2))/1000000)&gt;0," و"&amp;INDEX(تفقيط!$D$2:$D$1001,INT(INT(ROUND(MAX(J417,K417),2))/1000000)+1),"")&amp;IF(INT(MOD(INT(ROUND(MAX(J417,K417),2)),1000000)/1000)&gt;0," و"&amp;INDEX(تفقيط!$C$2:$C$1001,INT(MOD(INT(ROUND(MAX(J417,K417),2)),1000000)/1000)+1),"")&amp;IF(MOD(INT(ROUND(MAX(J417,K417),2)),1000)&gt;0," و"&amp;INDEX(تفقيط!$B$2:$B$1001,MOD(INT(ROUND(MAX(J417,K417),2)),1000)+1),""),3,400))&amp;" "&amp;CUR&amp;IF(ROUND((ROUND(MAX(J417,K417),2)-INT(ROUND(MAX(J417,K417),2)))*100,0)&gt;0," و"&amp;INDEX(تفقيط!$E$2:$E$1001,ROUND((ROUND(MAX(J417,K417),2)-INT(ROUND(MAX(J417,K417),2)))*100,0)+1),"")&amp;" لا غير")</f>
        <v/>
      </c>
    </row>
    <row r="418" customFormat="false" ht="15" hidden="false" customHeight="false" outlineLevel="0" collapsed="false">
      <c r="A418" s="62" t="str">
        <f aca="false">IF(C418="","",START_NO+COUNT(C$5:C418)-1)</f>
        <v/>
      </c>
      <c r="B418" s="63" t="str">
        <f aca="false">IF(A418="","",PREFIX&amp;"-"&amp;TEXT(C418,"yyyy")&amp;"-"&amp;A418)</f>
        <v/>
      </c>
      <c r="C418" s="56"/>
      <c r="D418" s="57"/>
      <c r="E418" s="58"/>
      <c r="F418" s="58"/>
      <c r="G418" s="57"/>
      <c r="H418" s="57"/>
      <c r="I418" s="57"/>
      <c r="J418" s="64" t="str">
        <f aca="false">IF(A418="","",SUMIFS('بنود السندات'!$F$5:$F$3004,'بنود السندات'!$A$5:$A$3004,A418))</f>
        <v/>
      </c>
      <c r="K418" s="64" t="str">
        <f aca="false">IF(A418="","",SUMIFS('بنود السندات'!$G$5:$G$3004,'بنود السندات'!$A$5:$A$3004,A418))</f>
        <v/>
      </c>
      <c r="L418" s="64" t="str">
        <f aca="false">IF(A418="","",ROUND(J418-K418,2))</f>
        <v/>
      </c>
      <c r="M418" s="63" t="str">
        <f aca="false">IF(A418="","",COUNTIF('بنود السندات'!$A$5:$A$3004,A418))</f>
        <v/>
      </c>
      <c r="N418" s="65" t="str">
        <f aca="false">IF(A418="","",IF(M418=0,"بدون بنود ⚠",IF(L418=0,"متوازن ✔","غير متوازن ✘")))</f>
        <v/>
      </c>
      <c r="O418" s="66" t="str">
        <f aca="false">IF(A418="","","فقط "&amp;IF(INT(ROUND(MAX(J418,K418),2))=0,"صفر",MID(IF(INT(INT(ROUND(MAX(J418,K418),2))/1000000)&gt;0," و"&amp;INDEX(تفقيط!$D$2:$D$1001,INT(INT(ROUND(MAX(J418,K418),2))/1000000)+1),"")&amp;IF(INT(MOD(INT(ROUND(MAX(J418,K418),2)),1000000)/1000)&gt;0," و"&amp;INDEX(تفقيط!$C$2:$C$1001,INT(MOD(INT(ROUND(MAX(J418,K418),2)),1000000)/1000)+1),"")&amp;IF(MOD(INT(ROUND(MAX(J418,K418),2)),1000)&gt;0," و"&amp;INDEX(تفقيط!$B$2:$B$1001,MOD(INT(ROUND(MAX(J418,K418),2)),1000)+1),""),3,400))&amp;" "&amp;CUR&amp;IF(ROUND((ROUND(MAX(J418,K418),2)-INT(ROUND(MAX(J418,K418),2)))*100,0)&gt;0," و"&amp;INDEX(تفقيط!$E$2:$E$1001,ROUND((ROUND(MAX(J418,K418),2)-INT(ROUND(MAX(J418,K418),2)))*100,0)+1),"")&amp;" لا غير")</f>
        <v/>
      </c>
    </row>
    <row r="419" customFormat="false" ht="15" hidden="false" customHeight="false" outlineLevel="0" collapsed="false">
      <c r="A419" s="54" t="str">
        <f aca="false">IF(C419="","",START_NO+COUNT(C$5:C419)-1)</f>
        <v/>
      </c>
      <c r="B419" s="55" t="str">
        <f aca="false">IF(A419="","",PREFIX&amp;"-"&amp;TEXT(C419,"yyyy")&amp;"-"&amp;A419)</f>
        <v/>
      </c>
      <c r="C419" s="56"/>
      <c r="D419" s="57"/>
      <c r="E419" s="58"/>
      <c r="F419" s="58"/>
      <c r="G419" s="57"/>
      <c r="H419" s="57"/>
      <c r="I419" s="57"/>
      <c r="J419" s="59" t="str">
        <f aca="false">IF(A419="","",SUMIFS('بنود السندات'!$F$5:$F$3004,'بنود السندات'!$A$5:$A$3004,A419))</f>
        <v/>
      </c>
      <c r="K419" s="59" t="str">
        <f aca="false">IF(A419="","",SUMIFS('بنود السندات'!$G$5:$G$3004,'بنود السندات'!$A$5:$A$3004,A419))</f>
        <v/>
      </c>
      <c r="L419" s="59" t="str">
        <f aca="false">IF(A419="","",ROUND(J419-K419,2))</f>
        <v/>
      </c>
      <c r="M419" s="55" t="str">
        <f aca="false">IF(A419="","",COUNTIF('بنود السندات'!$A$5:$A$3004,A419))</f>
        <v/>
      </c>
      <c r="N419" s="60" t="str">
        <f aca="false">IF(A419="","",IF(M419=0,"بدون بنود ⚠",IF(L419=0,"متوازن ✔","غير متوازن ✘")))</f>
        <v/>
      </c>
      <c r="O419" s="61" t="str">
        <f aca="false">IF(A419="","","فقط "&amp;IF(INT(ROUND(MAX(J419,K419),2))=0,"صفر",MID(IF(INT(INT(ROUND(MAX(J419,K419),2))/1000000)&gt;0," و"&amp;INDEX(تفقيط!$D$2:$D$1001,INT(INT(ROUND(MAX(J419,K419),2))/1000000)+1),"")&amp;IF(INT(MOD(INT(ROUND(MAX(J419,K419),2)),1000000)/1000)&gt;0," و"&amp;INDEX(تفقيط!$C$2:$C$1001,INT(MOD(INT(ROUND(MAX(J419,K419),2)),1000000)/1000)+1),"")&amp;IF(MOD(INT(ROUND(MAX(J419,K419),2)),1000)&gt;0," و"&amp;INDEX(تفقيط!$B$2:$B$1001,MOD(INT(ROUND(MAX(J419,K419),2)),1000)+1),""),3,400))&amp;" "&amp;CUR&amp;IF(ROUND((ROUND(MAX(J419,K419),2)-INT(ROUND(MAX(J419,K419),2)))*100,0)&gt;0," و"&amp;INDEX(تفقيط!$E$2:$E$1001,ROUND((ROUND(MAX(J419,K419),2)-INT(ROUND(MAX(J419,K419),2)))*100,0)+1),"")&amp;" لا غير")</f>
        <v/>
      </c>
    </row>
    <row r="420" customFormat="false" ht="15" hidden="false" customHeight="false" outlineLevel="0" collapsed="false">
      <c r="A420" s="62" t="str">
        <f aca="false">IF(C420="","",START_NO+COUNT(C$5:C420)-1)</f>
        <v/>
      </c>
      <c r="B420" s="63" t="str">
        <f aca="false">IF(A420="","",PREFIX&amp;"-"&amp;TEXT(C420,"yyyy")&amp;"-"&amp;A420)</f>
        <v/>
      </c>
      <c r="C420" s="56"/>
      <c r="D420" s="57"/>
      <c r="E420" s="58"/>
      <c r="F420" s="58"/>
      <c r="G420" s="57"/>
      <c r="H420" s="57"/>
      <c r="I420" s="57"/>
      <c r="J420" s="64" t="str">
        <f aca="false">IF(A420="","",SUMIFS('بنود السندات'!$F$5:$F$3004,'بنود السندات'!$A$5:$A$3004,A420))</f>
        <v/>
      </c>
      <c r="K420" s="64" t="str">
        <f aca="false">IF(A420="","",SUMIFS('بنود السندات'!$G$5:$G$3004,'بنود السندات'!$A$5:$A$3004,A420))</f>
        <v/>
      </c>
      <c r="L420" s="64" t="str">
        <f aca="false">IF(A420="","",ROUND(J420-K420,2))</f>
        <v/>
      </c>
      <c r="M420" s="63" t="str">
        <f aca="false">IF(A420="","",COUNTIF('بنود السندات'!$A$5:$A$3004,A420))</f>
        <v/>
      </c>
      <c r="N420" s="65" t="str">
        <f aca="false">IF(A420="","",IF(M420=0,"بدون بنود ⚠",IF(L420=0,"متوازن ✔","غير متوازن ✘")))</f>
        <v/>
      </c>
      <c r="O420" s="66" t="str">
        <f aca="false">IF(A420="","","فقط "&amp;IF(INT(ROUND(MAX(J420,K420),2))=0,"صفر",MID(IF(INT(INT(ROUND(MAX(J420,K420),2))/1000000)&gt;0," و"&amp;INDEX(تفقيط!$D$2:$D$1001,INT(INT(ROUND(MAX(J420,K420),2))/1000000)+1),"")&amp;IF(INT(MOD(INT(ROUND(MAX(J420,K420),2)),1000000)/1000)&gt;0," و"&amp;INDEX(تفقيط!$C$2:$C$1001,INT(MOD(INT(ROUND(MAX(J420,K420),2)),1000000)/1000)+1),"")&amp;IF(MOD(INT(ROUND(MAX(J420,K420),2)),1000)&gt;0," و"&amp;INDEX(تفقيط!$B$2:$B$1001,MOD(INT(ROUND(MAX(J420,K420),2)),1000)+1),""),3,400))&amp;" "&amp;CUR&amp;IF(ROUND((ROUND(MAX(J420,K420),2)-INT(ROUND(MAX(J420,K420),2)))*100,0)&gt;0," و"&amp;INDEX(تفقيط!$E$2:$E$1001,ROUND((ROUND(MAX(J420,K420),2)-INT(ROUND(MAX(J420,K420),2)))*100,0)+1),"")&amp;" لا غير")</f>
        <v/>
      </c>
    </row>
    <row r="421" customFormat="false" ht="15" hidden="false" customHeight="false" outlineLevel="0" collapsed="false">
      <c r="A421" s="54" t="str">
        <f aca="false">IF(C421="","",START_NO+COUNT(C$5:C421)-1)</f>
        <v/>
      </c>
      <c r="B421" s="55" t="str">
        <f aca="false">IF(A421="","",PREFIX&amp;"-"&amp;TEXT(C421,"yyyy")&amp;"-"&amp;A421)</f>
        <v/>
      </c>
      <c r="C421" s="56"/>
      <c r="D421" s="57"/>
      <c r="E421" s="58"/>
      <c r="F421" s="58"/>
      <c r="G421" s="57"/>
      <c r="H421" s="57"/>
      <c r="I421" s="57"/>
      <c r="J421" s="59" t="str">
        <f aca="false">IF(A421="","",SUMIFS('بنود السندات'!$F$5:$F$3004,'بنود السندات'!$A$5:$A$3004,A421))</f>
        <v/>
      </c>
      <c r="K421" s="59" t="str">
        <f aca="false">IF(A421="","",SUMIFS('بنود السندات'!$G$5:$G$3004,'بنود السندات'!$A$5:$A$3004,A421))</f>
        <v/>
      </c>
      <c r="L421" s="59" t="str">
        <f aca="false">IF(A421="","",ROUND(J421-K421,2))</f>
        <v/>
      </c>
      <c r="M421" s="55" t="str">
        <f aca="false">IF(A421="","",COUNTIF('بنود السندات'!$A$5:$A$3004,A421))</f>
        <v/>
      </c>
      <c r="N421" s="60" t="str">
        <f aca="false">IF(A421="","",IF(M421=0,"بدون بنود ⚠",IF(L421=0,"متوازن ✔","غير متوازن ✘")))</f>
        <v/>
      </c>
      <c r="O421" s="61" t="str">
        <f aca="false">IF(A421="","","فقط "&amp;IF(INT(ROUND(MAX(J421,K421),2))=0,"صفر",MID(IF(INT(INT(ROUND(MAX(J421,K421),2))/1000000)&gt;0," و"&amp;INDEX(تفقيط!$D$2:$D$1001,INT(INT(ROUND(MAX(J421,K421),2))/1000000)+1),"")&amp;IF(INT(MOD(INT(ROUND(MAX(J421,K421),2)),1000000)/1000)&gt;0," و"&amp;INDEX(تفقيط!$C$2:$C$1001,INT(MOD(INT(ROUND(MAX(J421,K421),2)),1000000)/1000)+1),"")&amp;IF(MOD(INT(ROUND(MAX(J421,K421),2)),1000)&gt;0," و"&amp;INDEX(تفقيط!$B$2:$B$1001,MOD(INT(ROUND(MAX(J421,K421),2)),1000)+1),""),3,400))&amp;" "&amp;CUR&amp;IF(ROUND((ROUND(MAX(J421,K421),2)-INT(ROUND(MAX(J421,K421),2)))*100,0)&gt;0," و"&amp;INDEX(تفقيط!$E$2:$E$1001,ROUND((ROUND(MAX(J421,K421),2)-INT(ROUND(MAX(J421,K421),2)))*100,0)+1),"")&amp;" لا غير")</f>
        <v/>
      </c>
    </row>
    <row r="422" customFormat="false" ht="15" hidden="false" customHeight="false" outlineLevel="0" collapsed="false">
      <c r="A422" s="62" t="str">
        <f aca="false">IF(C422="","",START_NO+COUNT(C$5:C422)-1)</f>
        <v/>
      </c>
      <c r="B422" s="63" t="str">
        <f aca="false">IF(A422="","",PREFIX&amp;"-"&amp;TEXT(C422,"yyyy")&amp;"-"&amp;A422)</f>
        <v/>
      </c>
      <c r="C422" s="56"/>
      <c r="D422" s="57"/>
      <c r="E422" s="58"/>
      <c r="F422" s="58"/>
      <c r="G422" s="57"/>
      <c r="H422" s="57"/>
      <c r="I422" s="57"/>
      <c r="J422" s="64" t="str">
        <f aca="false">IF(A422="","",SUMIFS('بنود السندات'!$F$5:$F$3004,'بنود السندات'!$A$5:$A$3004,A422))</f>
        <v/>
      </c>
      <c r="K422" s="64" t="str">
        <f aca="false">IF(A422="","",SUMIFS('بنود السندات'!$G$5:$G$3004,'بنود السندات'!$A$5:$A$3004,A422))</f>
        <v/>
      </c>
      <c r="L422" s="64" t="str">
        <f aca="false">IF(A422="","",ROUND(J422-K422,2))</f>
        <v/>
      </c>
      <c r="M422" s="63" t="str">
        <f aca="false">IF(A422="","",COUNTIF('بنود السندات'!$A$5:$A$3004,A422))</f>
        <v/>
      </c>
      <c r="N422" s="65" t="str">
        <f aca="false">IF(A422="","",IF(M422=0,"بدون بنود ⚠",IF(L422=0,"متوازن ✔","غير متوازن ✘")))</f>
        <v/>
      </c>
      <c r="O422" s="66" t="str">
        <f aca="false">IF(A422="","","فقط "&amp;IF(INT(ROUND(MAX(J422,K422),2))=0,"صفر",MID(IF(INT(INT(ROUND(MAX(J422,K422),2))/1000000)&gt;0," و"&amp;INDEX(تفقيط!$D$2:$D$1001,INT(INT(ROUND(MAX(J422,K422),2))/1000000)+1),"")&amp;IF(INT(MOD(INT(ROUND(MAX(J422,K422),2)),1000000)/1000)&gt;0," و"&amp;INDEX(تفقيط!$C$2:$C$1001,INT(MOD(INT(ROUND(MAX(J422,K422),2)),1000000)/1000)+1),"")&amp;IF(MOD(INT(ROUND(MAX(J422,K422),2)),1000)&gt;0," و"&amp;INDEX(تفقيط!$B$2:$B$1001,MOD(INT(ROUND(MAX(J422,K422),2)),1000)+1),""),3,400))&amp;" "&amp;CUR&amp;IF(ROUND((ROUND(MAX(J422,K422),2)-INT(ROUND(MAX(J422,K422),2)))*100,0)&gt;0," و"&amp;INDEX(تفقيط!$E$2:$E$1001,ROUND((ROUND(MAX(J422,K422),2)-INT(ROUND(MAX(J422,K422),2)))*100,0)+1),"")&amp;" لا غير")</f>
        <v/>
      </c>
    </row>
    <row r="423" customFormat="false" ht="15" hidden="false" customHeight="false" outlineLevel="0" collapsed="false">
      <c r="A423" s="54" t="str">
        <f aca="false">IF(C423="","",START_NO+COUNT(C$5:C423)-1)</f>
        <v/>
      </c>
      <c r="B423" s="55" t="str">
        <f aca="false">IF(A423="","",PREFIX&amp;"-"&amp;TEXT(C423,"yyyy")&amp;"-"&amp;A423)</f>
        <v/>
      </c>
      <c r="C423" s="56"/>
      <c r="D423" s="57"/>
      <c r="E423" s="58"/>
      <c r="F423" s="58"/>
      <c r="G423" s="57"/>
      <c r="H423" s="57"/>
      <c r="I423" s="57"/>
      <c r="J423" s="59" t="str">
        <f aca="false">IF(A423="","",SUMIFS('بنود السندات'!$F$5:$F$3004,'بنود السندات'!$A$5:$A$3004,A423))</f>
        <v/>
      </c>
      <c r="K423" s="59" t="str">
        <f aca="false">IF(A423="","",SUMIFS('بنود السندات'!$G$5:$G$3004,'بنود السندات'!$A$5:$A$3004,A423))</f>
        <v/>
      </c>
      <c r="L423" s="59" t="str">
        <f aca="false">IF(A423="","",ROUND(J423-K423,2))</f>
        <v/>
      </c>
      <c r="M423" s="55" t="str">
        <f aca="false">IF(A423="","",COUNTIF('بنود السندات'!$A$5:$A$3004,A423))</f>
        <v/>
      </c>
      <c r="N423" s="60" t="str">
        <f aca="false">IF(A423="","",IF(M423=0,"بدون بنود ⚠",IF(L423=0,"متوازن ✔","غير متوازن ✘")))</f>
        <v/>
      </c>
      <c r="O423" s="61" t="str">
        <f aca="false">IF(A423="","","فقط "&amp;IF(INT(ROUND(MAX(J423,K423),2))=0,"صفر",MID(IF(INT(INT(ROUND(MAX(J423,K423),2))/1000000)&gt;0," و"&amp;INDEX(تفقيط!$D$2:$D$1001,INT(INT(ROUND(MAX(J423,K423),2))/1000000)+1),"")&amp;IF(INT(MOD(INT(ROUND(MAX(J423,K423),2)),1000000)/1000)&gt;0," و"&amp;INDEX(تفقيط!$C$2:$C$1001,INT(MOD(INT(ROUND(MAX(J423,K423),2)),1000000)/1000)+1),"")&amp;IF(MOD(INT(ROUND(MAX(J423,K423),2)),1000)&gt;0," و"&amp;INDEX(تفقيط!$B$2:$B$1001,MOD(INT(ROUND(MAX(J423,K423),2)),1000)+1),""),3,400))&amp;" "&amp;CUR&amp;IF(ROUND((ROUND(MAX(J423,K423),2)-INT(ROUND(MAX(J423,K423),2)))*100,0)&gt;0," و"&amp;INDEX(تفقيط!$E$2:$E$1001,ROUND((ROUND(MAX(J423,K423),2)-INT(ROUND(MAX(J423,K423),2)))*100,0)+1),"")&amp;" لا غير")</f>
        <v/>
      </c>
    </row>
    <row r="424" customFormat="false" ht="15" hidden="false" customHeight="false" outlineLevel="0" collapsed="false">
      <c r="A424" s="62" t="str">
        <f aca="false">IF(C424="","",START_NO+COUNT(C$5:C424)-1)</f>
        <v/>
      </c>
      <c r="B424" s="63" t="str">
        <f aca="false">IF(A424="","",PREFIX&amp;"-"&amp;TEXT(C424,"yyyy")&amp;"-"&amp;A424)</f>
        <v/>
      </c>
      <c r="C424" s="56"/>
      <c r="D424" s="57"/>
      <c r="E424" s="58"/>
      <c r="F424" s="58"/>
      <c r="G424" s="57"/>
      <c r="H424" s="57"/>
      <c r="I424" s="57"/>
      <c r="J424" s="64" t="str">
        <f aca="false">IF(A424="","",SUMIFS('بنود السندات'!$F$5:$F$3004,'بنود السندات'!$A$5:$A$3004,A424))</f>
        <v/>
      </c>
      <c r="K424" s="64" t="str">
        <f aca="false">IF(A424="","",SUMIFS('بنود السندات'!$G$5:$G$3004,'بنود السندات'!$A$5:$A$3004,A424))</f>
        <v/>
      </c>
      <c r="L424" s="64" t="str">
        <f aca="false">IF(A424="","",ROUND(J424-K424,2))</f>
        <v/>
      </c>
      <c r="M424" s="63" t="str">
        <f aca="false">IF(A424="","",COUNTIF('بنود السندات'!$A$5:$A$3004,A424))</f>
        <v/>
      </c>
      <c r="N424" s="65" t="str">
        <f aca="false">IF(A424="","",IF(M424=0,"بدون بنود ⚠",IF(L424=0,"متوازن ✔","غير متوازن ✘")))</f>
        <v/>
      </c>
      <c r="O424" s="66" t="str">
        <f aca="false">IF(A424="","","فقط "&amp;IF(INT(ROUND(MAX(J424,K424),2))=0,"صفر",MID(IF(INT(INT(ROUND(MAX(J424,K424),2))/1000000)&gt;0," و"&amp;INDEX(تفقيط!$D$2:$D$1001,INT(INT(ROUND(MAX(J424,K424),2))/1000000)+1),"")&amp;IF(INT(MOD(INT(ROUND(MAX(J424,K424),2)),1000000)/1000)&gt;0," و"&amp;INDEX(تفقيط!$C$2:$C$1001,INT(MOD(INT(ROUND(MAX(J424,K424),2)),1000000)/1000)+1),"")&amp;IF(MOD(INT(ROUND(MAX(J424,K424),2)),1000)&gt;0," و"&amp;INDEX(تفقيط!$B$2:$B$1001,MOD(INT(ROUND(MAX(J424,K424),2)),1000)+1),""),3,400))&amp;" "&amp;CUR&amp;IF(ROUND((ROUND(MAX(J424,K424),2)-INT(ROUND(MAX(J424,K424),2)))*100,0)&gt;0," و"&amp;INDEX(تفقيط!$E$2:$E$1001,ROUND((ROUND(MAX(J424,K424),2)-INT(ROUND(MAX(J424,K424),2)))*100,0)+1),"")&amp;" لا غير")</f>
        <v/>
      </c>
    </row>
    <row r="425" customFormat="false" ht="15" hidden="false" customHeight="false" outlineLevel="0" collapsed="false">
      <c r="A425" s="54" t="str">
        <f aca="false">IF(C425="","",START_NO+COUNT(C$5:C425)-1)</f>
        <v/>
      </c>
      <c r="B425" s="55" t="str">
        <f aca="false">IF(A425="","",PREFIX&amp;"-"&amp;TEXT(C425,"yyyy")&amp;"-"&amp;A425)</f>
        <v/>
      </c>
      <c r="C425" s="56"/>
      <c r="D425" s="57"/>
      <c r="E425" s="58"/>
      <c r="F425" s="58"/>
      <c r="G425" s="57"/>
      <c r="H425" s="57"/>
      <c r="I425" s="57"/>
      <c r="J425" s="59" t="str">
        <f aca="false">IF(A425="","",SUMIFS('بنود السندات'!$F$5:$F$3004,'بنود السندات'!$A$5:$A$3004,A425))</f>
        <v/>
      </c>
      <c r="K425" s="59" t="str">
        <f aca="false">IF(A425="","",SUMIFS('بنود السندات'!$G$5:$G$3004,'بنود السندات'!$A$5:$A$3004,A425))</f>
        <v/>
      </c>
      <c r="L425" s="59" t="str">
        <f aca="false">IF(A425="","",ROUND(J425-K425,2))</f>
        <v/>
      </c>
      <c r="M425" s="55" t="str">
        <f aca="false">IF(A425="","",COUNTIF('بنود السندات'!$A$5:$A$3004,A425))</f>
        <v/>
      </c>
      <c r="N425" s="60" t="str">
        <f aca="false">IF(A425="","",IF(M425=0,"بدون بنود ⚠",IF(L425=0,"متوازن ✔","غير متوازن ✘")))</f>
        <v/>
      </c>
      <c r="O425" s="61" t="str">
        <f aca="false">IF(A425="","","فقط "&amp;IF(INT(ROUND(MAX(J425,K425),2))=0,"صفر",MID(IF(INT(INT(ROUND(MAX(J425,K425),2))/1000000)&gt;0," و"&amp;INDEX(تفقيط!$D$2:$D$1001,INT(INT(ROUND(MAX(J425,K425),2))/1000000)+1),"")&amp;IF(INT(MOD(INT(ROUND(MAX(J425,K425),2)),1000000)/1000)&gt;0," و"&amp;INDEX(تفقيط!$C$2:$C$1001,INT(MOD(INT(ROUND(MAX(J425,K425),2)),1000000)/1000)+1),"")&amp;IF(MOD(INT(ROUND(MAX(J425,K425),2)),1000)&gt;0," و"&amp;INDEX(تفقيط!$B$2:$B$1001,MOD(INT(ROUND(MAX(J425,K425),2)),1000)+1),""),3,400))&amp;" "&amp;CUR&amp;IF(ROUND((ROUND(MAX(J425,K425),2)-INT(ROUND(MAX(J425,K425),2)))*100,0)&gt;0," و"&amp;INDEX(تفقيط!$E$2:$E$1001,ROUND((ROUND(MAX(J425,K425),2)-INT(ROUND(MAX(J425,K425),2)))*100,0)+1),"")&amp;" لا غير")</f>
        <v/>
      </c>
    </row>
    <row r="426" customFormat="false" ht="15" hidden="false" customHeight="false" outlineLevel="0" collapsed="false">
      <c r="A426" s="62" t="str">
        <f aca="false">IF(C426="","",START_NO+COUNT(C$5:C426)-1)</f>
        <v/>
      </c>
      <c r="B426" s="63" t="str">
        <f aca="false">IF(A426="","",PREFIX&amp;"-"&amp;TEXT(C426,"yyyy")&amp;"-"&amp;A426)</f>
        <v/>
      </c>
      <c r="C426" s="56"/>
      <c r="D426" s="57"/>
      <c r="E426" s="58"/>
      <c r="F426" s="58"/>
      <c r="G426" s="57"/>
      <c r="H426" s="57"/>
      <c r="I426" s="57"/>
      <c r="J426" s="64" t="str">
        <f aca="false">IF(A426="","",SUMIFS('بنود السندات'!$F$5:$F$3004,'بنود السندات'!$A$5:$A$3004,A426))</f>
        <v/>
      </c>
      <c r="K426" s="64" t="str">
        <f aca="false">IF(A426="","",SUMIFS('بنود السندات'!$G$5:$G$3004,'بنود السندات'!$A$5:$A$3004,A426))</f>
        <v/>
      </c>
      <c r="L426" s="64" t="str">
        <f aca="false">IF(A426="","",ROUND(J426-K426,2))</f>
        <v/>
      </c>
      <c r="M426" s="63" t="str">
        <f aca="false">IF(A426="","",COUNTIF('بنود السندات'!$A$5:$A$3004,A426))</f>
        <v/>
      </c>
      <c r="N426" s="65" t="str">
        <f aca="false">IF(A426="","",IF(M426=0,"بدون بنود ⚠",IF(L426=0,"متوازن ✔","غير متوازن ✘")))</f>
        <v/>
      </c>
      <c r="O426" s="66" t="str">
        <f aca="false">IF(A426="","","فقط "&amp;IF(INT(ROUND(MAX(J426,K426),2))=0,"صفر",MID(IF(INT(INT(ROUND(MAX(J426,K426),2))/1000000)&gt;0," و"&amp;INDEX(تفقيط!$D$2:$D$1001,INT(INT(ROUND(MAX(J426,K426),2))/1000000)+1),"")&amp;IF(INT(MOD(INT(ROUND(MAX(J426,K426),2)),1000000)/1000)&gt;0," و"&amp;INDEX(تفقيط!$C$2:$C$1001,INT(MOD(INT(ROUND(MAX(J426,K426),2)),1000000)/1000)+1),"")&amp;IF(MOD(INT(ROUND(MAX(J426,K426),2)),1000)&gt;0," و"&amp;INDEX(تفقيط!$B$2:$B$1001,MOD(INT(ROUND(MAX(J426,K426),2)),1000)+1),""),3,400))&amp;" "&amp;CUR&amp;IF(ROUND((ROUND(MAX(J426,K426),2)-INT(ROUND(MAX(J426,K426),2)))*100,0)&gt;0," و"&amp;INDEX(تفقيط!$E$2:$E$1001,ROUND((ROUND(MAX(J426,K426),2)-INT(ROUND(MAX(J426,K426),2)))*100,0)+1),"")&amp;" لا غير")</f>
        <v/>
      </c>
    </row>
    <row r="427" customFormat="false" ht="15" hidden="false" customHeight="false" outlineLevel="0" collapsed="false">
      <c r="A427" s="54" t="str">
        <f aca="false">IF(C427="","",START_NO+COUNT(C$5:C427)-1)</f>
        <v/>
      </c>
      <c r="B427" s="55" t="str">
        <f aca="false">IF(A427="","",PREFIX&amp;"-"&amp;TEXT(C427,"yyyy")&amp;"-"&amp;A427)</f>
        <v/>
      </c>
      <c r="C427" s="56"/>
      <c r="D427" s="57"/>
      <c r="E427" s="58"/>
      <c r="F427" s="58"/>
      <c r="G427" s="57"/>
      <c r="H427" s="57"/>
      <c r="I427" s="57"/>
      <c r="J427" s="59" t="str">
        <f aca="false">IF(A427="","",SUMIFS('بنود السندات'!$F$5:$F$3004,'بنود السندات'!$A$5:$A$3004,A427))</f>
        <v/>
      </c>
      <c r="K427" s="59" t="str">
        <f aca="false">IF(A427="","",SUMIFS('بنود السندات'!$G$5:$G$3004,'بنود السندات'!$A$5:$A$3004,A427))</f>
        <v/>
      </c>
      <c r="L427" s="59" t="str">
        <f aca="false">IF(A427="","",ROUND(J427-K427,2))</f>
        <v/>
      </c>
      <c r="M427" s="55" t="str">
        <f aca="false">IF(A427="","",COUNTIF('بنود السندات'!$A$5:$A$3004,A427))</f>
        <v/>
      </c>
      <c r="N427" s="60" t="str">
        <f aca="false">IF(A427="","",IF(M427=0,"بدون بنود ⚠",IF(L427=0,"متوازن ✔","غير متوازن ✘")))</f>
        <v/>
      </c>
      <c r="O427" s="61" t="str">
        <f aca="false">IF(A427="","","فقط "&amp;IF(INT(ROUND(MAX(J427,K427),2))=0,"صفر",MID(IF(INT(INT(ROUND(MAX(J427,K427),2))/1000000)&gt;0," و"&amp;INDEX(تفقيط!$D$2:$D$1001,INT(INT(ROUND(MAX(J427,K427),2))/1000000)+1),"")&amp;IF(INT(MOD(INT(ROUND(MAX(J427,K427),2)),1000000)/1000)&gt;0," و"&amp;INDEX(تفقيط!$C$2:$C$1001,INT(MOD(INT(ROUND(MAX(J427,K427),2)),1000000)/1000)+1),"")&amp;IF(MOD(INT(ROUND(MAX(J427,K427),2)),1000)&gt;0," و"&amp;INDEX(تفقيط!$B$2:$B$1001,MOD(INT(ROUND(MAX(J427,K427),2)),1000)+1),""),3,400))&amp;" "&amp;CUR&amp;IF(ROUND((ROUND(MAX(J427,K427),2)-INT(ROUND(MAX(J427,K427),2)))*100,0)&gt;0," و"&amp;INDEX(تفقيط!$E$2:$E$1001,ROUND((ROUND(MAX(J427,K427),2)-INT(ROUND(MAX(J427,K427),2)))*100,0)+1),"")&amp;" لا غير")</f>
        <v/>
      </c>
    </row>
    <row r="428" customFormat="false" ht="15" hidden="false" customHeight="false" outlineLevel="0" collapsed="false">
      <c r="A428" s="62" t="str">
        <f aca="false">IF(C428="","",START_NO+COUNT(C$5:C428)-1)</f>
        <v/>
      </c>
      <c r="B428" s="63" t="str">
        <f aca="false">IF(A428="","",PREFIX&amp;"-"&amp;TEXT(C428,"yyyy")&amp;"-"&amp;A428)</f>
        <v/>
      </c>
      <c r="C428" s="56"/>
      <c r="D428" s="57"/>
      <c r="E428" s="58"/>
      <c r="F428" s="58"/>
      <c r="G428" s="57"/>
      <c r="H428" s="57"/>
      <c r="I428" s="57"/>
      <c r="J428" s="64" t="str">
        <f aca="false">IF(A428="","",SUMIFS('بنود السندات'!$F$5:$F$3004,'بنود السندات'!$A$5:$A$3004,A428))</f>
        <v/>
      </c>
      <c r="K428" s="64" t="str">
        <f aca="false">IF(A428="","",SUMIFS('بنود السندات'!$G$5:$G$3004,'بنود السندات'!$A$5:$A$3004,A428))</f>
        <v/>
      </c>
      <c r="L428" s="64" t="str">
        <f aca="false">IF(A428="","",ROUND(J428-K428,2))</f>
        <v/>
      </c>
      <c r="M428" s="63" t="str">
        <f aca="false">IF(A428="","",COUNTIF('بنود السندات'!$A$5:$A$3004,A428))</f>
        <v/>
      </c>
      <c r="N428" s="65" t="str">
        <f aca="false">IF(A428="","",IF(M428=0,"بدون بنود ⚠",IF(L428=0,"متوازن ✔","غير متوازن ✘")))</f>
        <v/>
      </c>
      <c r="O428" s="66" t="str">
        <f aca="false">IF(A428="","","فقط "&amp;IF(INT(ROUND(MAX(J428,K428),2))=0,"صفر",MID(IF(INT(INT(ROUND(MAX(J428,K428),2))/1000000)&gt;0," و"&amp;INDEX(تفقيط!$D$2:$D$1001,INT(INT(ROUND(MAX(J428,K428),2))/1000000)+1),"")&amp;IF(INT(MOD(INT(ROUND(MAX(J428,K428),2)),1000000)/1000)&gt;0," و"&amp;INDEX(تفقيط!$C$2:$C$1001,INT(MOD(INT(ROUND(MAX(J428,K428),2)),1000000)/1000)+1),"")&amp;IF(MOD(INT(ROUND(MAX(J428,K428),2)),1000)&gt;0," و"&amp;INDEX(تفقيط!$B$2:$B$1001,MOD(INT(ROUND(MAX(J428,K428),2)),1000)+1),""),3,400))&amp;" "&amp;CUR&amp;IF(ROUND((ROUND(MAX(J428,K428),2)-INT(ROUND(MAX(J428,K428),2)))*100,0)&gt;0," و"&amp;INDEX(تفقيط!$E$2:$E$1001,ROUND((ROUND(MAX(J428,K428),2)-INT(ROUND(MAX(J428,K428),2)))*100,0)+1),"")&amp;" لا غير")</f>
        <v/>
      </c>
    </row>
    <row r="429" customFormat="false" ht="15" hidden="false" customHeight="false" outlineLevel="0" collapsed="false">
      <c r="A429" s="54" t="str">
        <f aca="false">IF(C429="","",START_NO+COUNT(C$5:C429)-1)</f>
        <v/>
      </c>
      <c r="B429" s="55" t="str">
        <f aca="false">IF(A429="","",PREFIX&amp;"-"&amp;TEXT(C429,"yyyy")&amp;"-"&amp;A429)</f>
        <v/>
      </c>
      <c r="C429" s="56"/>
      <c r="D429" s="57"/>
      <c r="E429" s="58"/>
      <c r="F429" s="58"/>
      <c r="G429" s="57"/>
      <c r="H429" s="57"/>
      <c r="I429" s="57"/>
      <c r="J429" s="59" t="str">
        <f aca="false">IF(A429="","",SUMIFS('بنود السندات'!$F$5:$F$3004,'بنود السندات'!$A$5:$A$3004,A429))</f>
        <v/>
      </c>
      <c r="K429" s="59" t="str">
        <f aca="false">IF(A429="","",SUMIFS('بنود السندات'!$G$5:$G$3004,'بنود السندات'!$A$5:$A$3004,A429))</f>
        <v/>
      </c>
      <c r="L429" s="59" t="str">
        <f aca="false">IF(A429="","",ROUND(J429-K429,2))</f>
        <v/>
      </c>
      <c r="M429" s="55" t="str">
        <f aca="false">IF(A429="","",COUNTIF('بنود السندات'!$A$5:$A$3004,A429))</f>
        <v/>
      </c>
      <c r="N429" s="60" t="str">
        <f aca="false">IF(A429="","",IF(M429=0,"بدون بنود ⚠",IF(L429=0,"متوازن ✔","غير متوازن ✘")))</f>
        <v/>
      </c>
      <c r="O429" s="61" t="str">
        <f aca="false">IF(A429="","","فقط "&amp;IF(INT(ROUND(MAX(J429,K429),2))=0,"صفر",MID(IF(INT(INT(ROUND(MAX(J429,K429),2))/1000000)&gt;0," و"&amp;INDEX(تفقيط!$D$2:$D$1001,INT(INT(ROUND(MAX(J429,K429),2))/1000000)+1),"")&amp;IF(INT(MOD(INT(ROUND(MAX(J429,K429),2)),1000000)/1000)&gt;0," و"&amp;INDEX(تفقيط!$C$2:$C$1001,INT(MOD(INT(ROUND(MAX(J429,K429),2)),1000000)/1000)+1),"")&amp;IF(MOD(INT(ROUND(MAX(J429,K429),2)),1000)&gt;0," و"&amp;INDEX(تفقيط!$B$2:$B$1001,MOD(INT(ROUND(MAX(J429,K429),2)),1000)+1),""),3,400))&amp;" "&amp;CUR&amp;IF(ROUND((ROUND(MAX(J429,K429),2)-INT(ROUND(MAX(J429,K429),2)))*100,0)&gt;0," و"&amp;INDEX(تفقيط!$E$2:$E$1001,ROUND((ROUND(MAX(J429,K429),2)-INT(ROUND(MAX(J429,K429),2)))*100,0)+1),"")&amp;" لا غير")</f>
        <v/>
      </c>
    </row>
    <row r="430" customFormat="false" ht="15" hidden="false" customHeight="false" outlineLevel="0" collapsed="false">
      <c r="A430" s="62" t="str">
        <f aca="false">IF(C430="","",START_NO+COUNT(C$5:C430)-1)</f>
        <v/>
      </c>
      <c r="B430" s="63" t="str">
        <f aca="false">IF(A430="","",PREFIX&amp;"-"&amp;TEXT(C430,"yyyy")&amp;"-"&amp;A430)</f>
        <v/>
      </c>
      <c r="C430" s="56"/>
      <c r="D430" s="57"/>
      <c r="E430" s="58"/>
      <c r="F430" s="58"/>
      <c r="G430" s="57"/>
      <c r="H430" s="57"/>
      <c r="I430" s="57"/>
      <c r="J430" s="64" t="str">
        <f aca="false">IF(A430="","",SUMIFS('بنود السندات'!$F$5:$F$3004,'بنود السندات'!$A$5:$A$3004,A430))</f>
        <v/>
      </c>
      <c r="K430" s="64" t="str">
        <f aca="false">IF(A430="","",SUMIFS('بنود السندات'!$G$5:$G$3004,'بنود السندات'!$A$5:$A$3004,A430))</f>
        <v/>
      </c>
      <c r="L430" s="64" t="str">
        <f aca="false">IF(A430="","",ROUND(J430-K430,2))</f>
        <v/>
      </c>
      <c r="M430" s="63" t="str">
        <f aca="false">IF(A430="","",COUNTIF('بنود السندات'!$A$5:$A$3004,A430))</f>
        <v/>
      </c>
      <c r="N430" s="65" t="str">
        <f aca="false">IF(A430="","",IF(M430=0,"بدون بنود ⚠",IF(L430=0,"متوازن ✔","غير متوازن ✘")))</f>
        <v/>
      </c>
      <c r="O430" s="66" t="str">
        <f aca="false">IF(A430="","","فقط "&amp;IF(INT(ROUND(MAX(J430,K430),2))=0,"صفر",MID(IF(INT(INT(ROUND(MAX(J430,K430),2))/1000000)&gt;0," و"&amp;INDEX(تفقيط!$D$2:$D$1001,INT(INT(ROUND(MAX(J430,K430),2))/1000000)+1),"")&amp;IF(INT(MOD(INT(ROUND(MAX(J430,K430),2)),1000000)/1000)&gt;0," و"&amp;INDEX(تفقيط!$C$2:$C$1001,INT(MOD(INT(ROUND(MAX(J430,K430),2)),1000000)/1000)+1),"")&amp;IF(MOD(INT(ROUND(MAX(J430,K430),2)),1000)&gt;0," و"&amp;INDEX(تفقيط!$B$2:$B$1001,MOD(INT(ROUND(MAX(J430,K430),2)),1000)+1),""),3,400))&amp;" "&amp;CUR&amp;IF(ROUND((ROUND(MAX(J430,K430),2)-INT(ROUND(MAX(J430,K430),2)))*100,0)&gt;0," و"&amp;INDEX(تفقيط!$E$2:$E$1001,ROUND((ROUND(MAX(J430,K430),2)-INT(ROUND(MAX(J430,K430),2)))*100,0)+1),"")&amp;" لا غير")</f>
        <v/>
      </c>
    </row>
    <row r="431" customFormat="false" ht="15" hidden="false" customHeight="false" outlineLevel="0" collapsed="false">
      <c r="A431" s="54" t="str">
        <f aca="false">IF(C431="","",START_NO+COUNT(C$5:C431)-1)</f>
        <v/>
      </c>
      <c r="B431" s="55" t="str">
        <f aca="false">IF(A431="","",PREFIX&amp;"-"&amp;TEXT(C431,"yyyy")&amp;"-"&amp;A431)</f>
        <v/>
      </c>
      <c r="C431" s="56"/>
      <c r="D431" s="57"/>
      <c r="E431" s="58"/>
      <c r="F431" s="58"/>
      <c r="G431" s="57"/>
      <c r="H431" s="57"/>
      <c r="I431" s="57"/>
      <c r="J431" s="59" t="str">
        <f aca="false">IF(A431="","",SUMIFS('بنود السندات'!$F$5:$F$3004,'بنود السندات'!$A$5:$A$3004,A431))</f>
        <v/>
      </c>
      <c r="K431" s="59" t="str">
        <f aca="false">IF(A431="","",SUMIFS('بنود السندات'!$G$5:$G$3004,'بنود السندات'!$A$5:$A$3004,A431))</f>
        <v/>
      </c>
      <c r="L431" s="59" t="str">
        <f aca="false">IF(A431="","",ROUND(J431-K431,2))</f>
        <v/>
      </c>
      <c r="M431" s="55" t="str">
        <f aca="false">IF(A431="","",COUNTIF('بنود السندات'!$A$5:$A$3004,A431))</f>
        <v/>
      </c>
      <c r="N431" s="60" t="str">
        <f aca="false">IF(A431="","",IF(M431=0,"بدون بنود ⚠",IF(L431=0,"متوازن ✔","غير متوازن ✘")))</f>
        <v/>
      </c>
      <c r="O431" s="61" t="str">
        <f aca="false">IF(A431="","","فقط "&amp;IF(INT(ROUND(MAX(J431,K431),2))=0,"صفر",MID(IF(INT(INT(ROUND(MAX(J431,K431),2))/1000000)&gt;0," و"&amp;INDEX(تفقيط!$D$2:$D$1001,INT(INT(ROUND(MAX(J431,K431),2))/1000000)+1),"")&amp;IF(INT(MOD(INT(ROUND(MAX(J431,K431),2)),1000000)/1000)&gt;0," و"&amp;INDEX(تفقيط!$C$2:$C$1001,INT(MOD(INT(ROUND(MAX(J431,K431),2)),1000000)/1000)+1),"")&amp;IF(MOD(INT(ROUND(MAX(J431,K431),2)),1000)&gt;0," و"&amp;INDEX(تفقيط!$B$2:$B$1001,MOD(INT(ROUND(MAX(J431,K431),2)),1000)+1),""),3,400))&amp;" "&amp;CUR&amp;IF(ROUND((ROUND(MAX(J431,K431),2)-INT(ROUND(MAX(J431,K431),2)))*100,0)&gt;0," و"&amp;INDEX(تفقيط!$E$2:$E$1001,ROUND((ROUND(MAX(J431,K431),2)-INT(ROUND(MAX(J431,K431),2)))*100,0)+1),"")&amp;" لا غير")</f>
        <v/>
      </c>
    </row>
    <row r="432" customFormat="false" ht="15" hidden="false" customHeight="false" outlineLevel="0" collapsed="false">
      <c r="A432" s="62" t="str">
        <f aca="false">IF(C432="","",START_NO+COUNT(C$5:C432)-1)</f>
        <v/>
      </c>
      <c r="B432" s="63" t="str">
        <f aca="false">IF(A432="","",PREFIX&amp;"-"&amp;TEXT(C432,"yyyy")&amp;"-"&amp;A432)</f>
        <v/>
      </c>
      <c r="C432" s="56"/>
      <c r="D432" s="57"/>
      <c r="E432" s="58"/>
      <c r="F432" s="58"/>
      <c r="G432" s="57"/>
      <c r="H432" s="57"/>
      <c r="I432" s="57"/>
      <c r="J432" s="64" t="str">
        <f aca="false">IF(A432="","",SUMIFS('بنود السندات'!$F$5:$F$3004,'بنود السندات'!$A$5:$A$3004,A432))</f>
        <v/>
      </c>
      <c r="K432" s="64" t="str">
        <f aca="false">IF(A432="","",SUMIFS('بنود السندات'!$G$5:$G$3004,'بنود السندات'!$A$5:$A$3004,A432))</f>
        <v/>
      </c>
      <c r="L432" s="64" t="str">
        <f aca="false">IF(A432="","",ROUND(J432-K432,2))</f>
        <v/>
      </c>
      <c r="M432" s="63" t="str">
        <f aca="false">IF(A432="","",COUNTIF('بنود السندات'!$A$5:$A$3004,A432))</f>
        <v/>
      </c>
      <c r="N432" s="65" t="str">
        <f aca="false">IF(A432="","",IF(M432=0,"بدون بنود ⚠",IF(L432=0,"متوازن ✔","غير متوازن ✘")))</f>
        <v/>
      </c>
      <c r="O432" s="66" t="str">
        <f aca="false">IF(A432="","","فقط "&amp;IF(INT(ROUND(MAX(J432,K432),2))=0,"صفر",MID(IF(INT(INT(ROUND(MAX(J432,K432),2))/1000000)&gt;0," و"&amp;INDEX(تفقيط!$D$2:$D$1001,INT(INT(ROUND(MAX(J432,K432),2))/1000000)+1),"")&amp;IF(INT(MOD(INT(ROUND(MAX(J432,K432),2)),1000000)/1000)&gt;0," و"&amp;INDEX(تفقيط!$C$2:$C$1001,INT(MOD(INT(ROUND(MAX(J432,K432),2)),1000000)/1000)+1),"")&amp;IF(MOD(INT(ROUND(MAX(J432,K432),2)),1000)&gt;0," و"&amp;INDEX(تفقيط!$B$2:$B$1001,MOD(INT(ROUND(MAX(J432,K432),2)),1000)+1),""),3,400))&amp;" "&amp;CUR&amp;IF(ROUND((ROUND(MAX(J432,K432),2)-INT(ROUND(MAX(J432,K432),2)))*100,0)&gt;0," و"&amp;INDEX(تفقيط!$E$2:$E$1001,ROUND((ROUND(MAX(J432,K432),2)-INT(ROUND(MAX(J432,K432),2)))*100,0)+1),"")&amp;" لا غير")</f>
        <v/>
      </c>
    </row>
    <row r="433" customFormat="false" ht="15" hidden="false" customHeight="false" outlineLevel="0" collapsed="false">
      <c r="A433" s="54" t="str">
        <f aca="false">IF(C433="","",START_NO+COUNT(C$5:C433)-1)</f>
        <v/>
      </c>
      <c r="B433" s="55" t="str">
        <f aca="false">IF(A433="","",PREFIX&amp;"-"&amp;TEXT(C433,"yyyy")&amp;"-"&amp;A433)</f>
        <v/>
      </c>
      <c r="C433" s="56"/>
      <c r="D433" s="57"/>
      <c r="E433" s="58"/>
      <c r="F433" s="58"/>
      <c r="G433" s="57"/>
      <c r="H433" s="57"/>
      <c r="I433" s="57"/>
      <c r="J433" s="59" t="str">
        <f aca="false">IF(A433="","",SUMIFS('بنود السندات'!$F$5:$F$3004,'بنود السندات'!$A$5:$A$3004,A433))</f>
        <v/>
      </c>
      <c r="K433" s="59" t="str">
        <f aca="false">IF(A433="","",SUMIFS('بنود السندات'!$G$5:$G$3004,'بنود السندات'!$A$5:$A$3004,A433))</f>
        <v/>
      </c>
      <c r="L433" s="59" t="str">
        <f aca="false">IF(A433="","",ROUND(J433-K433,2))</f>
        <v/>
      </c>
      <c r="M433" s="55" t="str">
        <f aca="false">IF(A433="","",COUNTIF('بنود السندات'!$A$5:$A$3004,A433))</f>
        <v/>
      </c>
      <c r="N433" s="60" t="str">
        <f aca="false">IF(A433="","",IF(M433=0,"بدون بنود ⚠",IF(L433=0,"متوازن ✔","غير متوازن ✘")))</f>
        <v/>
      </c>
      <c r="O433" s="61" t="str">
        <f aca="false">IF(A433="","","فقط "&amp;IF(INT(ROUND(MAX(J433,K433),2))=0,"صفر",MID(IF(INT(INT(ROUND(MAX(J433,K433),2))/1000000)&gt;0," و"&amp;INDEX(تفقيط!$D$2:$D$1001,INT(INT(ROUND(MAX(J433,K433),2))/1000000)+1),"")&amp;IF(INT(MOD(INT(ROUND(MAX(J433,K433),2)),1000000)/1000)&gt;0," و"&amp;INDEX(تفقيط!$C$2:$C$1001,INT(MOD(INT(ROUND(MAX(J433,K433),2)),1000000)/1000)+1),"")&amp;IF(MOD(INT(ROUND(MAX(J433,K433),2)),1000)&gt;0," و"&amp;INDEX(تفقيط!$B$2:$B$1001,MOD(INT(ROUND(MAX(J433,K433),2)),1000)+1),""),3,400))&amp;" "&amp;CUR&amp;IF(ROUND((ROUND(MAX(J433,K433),2)-INT(ROUND(MAX(J433,K433),2)))*100,0)&gt;0," و"&amp;INDEX(تفقيط!$E$2:$E$1001,ROUND((ROUND(MAX(J433,K433),2)-INT(ROUND(MAX(J433,K433),2)))*100,0)+1),"")&amp;" لا غير")</f>
        <v/>
      </c>
    </row>
    <row r="434" customFormat="false" ht="15" hidden="false" customHeight="false" outlineLevel="0" collapsed="false">
      <c r="A434" s="62" t="str">
        <f aca="false">IF(C434="","",START_NO+COUNT(C$5:C434)-1)</f>
        <v/>
      </c>
      <c r="B434" s="63" t="str">
        <f aca="false">IF(A434="","",PREFIX&amp;"-"&amp;TEXT(C434,"yyyy")&amp;"-"&amp;A434)</f>
        <v/>
      </c>
      <c r="C434" s="56"/>
      <c r="D434" s="57"/>
      <c r="E434" s="58"/>
      <c r="F434" s="58"/>
      <c r="G434" s="57"/>
      <c r="H434" s="57"/>
      <c r="I434" s="57"/>
      <c r="J434" s="64" t="str">
        <f aca="false">IF(A434="","",SUMIFS('بنود السندات'!$F$5:$F$3004,'بنود السندات'!$A$5:$A$3004,A434))</f>
        <v/>
      </c>
      <c r="K434" s="64" t="str">
        <f aca="false">IF(A434="","",SUMIFS('بنود السندات'!$G$5:$G$3004,'بنود السندات'!$A$5:$A$3004,A434))</f>
        <v/>
      </c>
      <c r="L434" s="64" t="str">
        <f aca="false">IF(A434="","",ROUND(J434-K434,2))</f>
        <v/>
      </c>
      <c r="M434" s="63" t="str">
        <f aca="false">IF(A434="","",COUNTIF('بنود السندات'!$A$5:$A$3004,A434))</f>
        <v/>
      </c>
      <c r="N434" s="65" t="str">
        <f aca="false">IF(A434="","",IF(M434=0,"بدون بنود ⚠",IF(L434=0,"متوازن ✔","غير متوازن ✘")))</f>
        <v/>
      </c>
      <c r="O434" s="66" t="str">
        <f aca="false">IF(A434="","","فقط "&amp;IF(INT(ROUND(MAX(J434,K434),2))=0,"صفر",MID(IF(INT(INT(ROUND(MAX(J434,K434),2))/1000000)&gt;0," و"&amp;INDEX(تفقيط!$D$2:$D$1001,INT(INT(ROUND(MAX(J434,K434),2))/1000000)+1),"")&amp;IF(INT(MOD(INT(ROUND(MAX(J434,K434),2)),1000000)/1000)&gt;0," و"&amp;INDEX(تفقيط!$C$2:$C$1001,INT(MOD(INT(ROUND(MAX(J434,K434),2)),1000000)/1000)+1),"")&amp;IF(MOD(INT(ROUND(MAX(J434,K434),2)),1000)&gt;0," و"&amp;INDEX(تفقيط!$B$2:$B$1001,MOD(INT(ROUND(MAX(J434,K434),2)),1000)+1),""),3,400))&amp;" "&amp;CUR&amp;IF(ROUND((ROUND(MAX(J434,K434),2)-INT(ROUND(MAX(J434,K434),2)))*100,0)&gt;0," و"&amp;INDEX(تفقيط!$E$2:$E$1001,ROUND((ROUND(MAX(J434,K434),2)-INT(ROUND(MAX(J434,K434),2)))*100,0)+1),"")&amp;" لا غير")</f>
        <v/>
      </c>
    </row>
    <row r="435" customFormat="false" ht="15" hidden="false" customHeight="false" outlineLevel="0" collapsed="false">
      <c r="A435" s="54" t="str">
        <f aca="false">IF(C435="","",START_NO+COUNT(C$5:C435)-1)</f>
        <v/>
      </c>
      <c r="B435" s="55" t="str">
        <f aca="false">IF(A435="","",PREFIX&amp;"-"&amp;TEXT(C435,"yyyy")&amp;"-"&amp;A435)</f>
        <v/>
      </c>
      <c r="C435" s="56"/>
      <c r="D435" s="57"/>
      <c r="E435" s="58"/>
      <c r="F435" s="58"/>
      <c r="G435" s="57"/>
      <c r="H435" s="57"/>
      <c r="I435" s="57"/>
      <c r="J435" s="59" t="str">
        <f aca="false">IF(A435="","",SUMIFS('بنود السندات'!$F$5:$F$3004,'بنود السندات'!$A$5:$A$3004,A435))</f>
        <v/>
      </c>
      <c r="K435" s="59" t="str">
        <f aca="false">IF(A435="","",SUMIFS('بنود السندات'!$G$5:$G$3004,'بنود السندات'!$A$5:$A$3004,A435))</f>
        <v/>
      </c>
      <c r="L435" s="59" t="str">
        <f aca="false">IF(A435="","",ROUND(J435-K435,2))</f>
        <v/>
      </c>
      <c r="M435" s="55" t="str">
        <f aca="false">IF(A435="","",COUNTIF('بنود السندات'!$A$5:$A$3004,A435))</f>
        <v/>
      </c>
      <c r="N435" s="60" t="str">
        <f aca="false">IF(A435="","",IF(M435=0,"بدون بنود ⚠",IF(L435=0,"متوازن ✔","غير متوازن ✘")))</f>
        <v/>
      </c>
      <c r="O435" s="61" t="str">
        <f aca="false">IF(A435="","","فقط "&amp;IF(INT(ROUND(MAX(J435,K435),2))=0,"صفر",MID(IF(INT(INT(ROUND(MAX(J435,K435),2))/1000000)&gt;0," و"&amp;INDEX(تفقيط!$D$2:$D$1001,INT(INT(ROUND(MAX(J435,K435),2))/1000000)+1),"")&amp;IF(INT(MOD(INT(ROUND(MAX(J435,K435),2)),1000000)/1000)&gt;0," و"&amp;INDEX(تفقيط!$C$2:$C$1001,INT(MOD(INT(ROUND(MAX(J435,K435),2)),1000000)/1000)+1),"")&amp;IF(MOD(INT(ROUND(MAX(J435,K435),2)),1000)&gt;0," و"&amp;INDEX(تفقيط!$B$2:$B$1001,MOD(INT(ROUND(MAX(J435,K435),2)),1000)+1),""),3,400))&amp;" "&amp;CUR&amp;IF(ROUND((ROUND(MAX(J435,K435),2)-INT(ROUND(MAX(J435,K435),2)))*100,0)&gt;0," و"&amp;INDEX(تفقيط!$E$2:$E$1001,ROUND((ROUND(MAX(J435,K435),2)-INT(ROUND(MAX(J435,K435),2)))*100,0)+1),"")&amp;" لا غير")</f>
        <v/>
      </c>
    </row>
    <row r="436" customFormat="false" ht="15" hidden="false" customHeight="false" outlineLevel="0" collapsed="false">
      <c r="A436" s="62" t="str">
        <f aca="false">IF(C436="","",START_NO+COUNT(C$5:C436)-1)</f>
        <v/>
      </c>
      <c r="B436" s="63" t="str">
        <f aca="false">IF(A436="","",PREFIX&amp;"-"&amp;TEXT(C436,"yyyy")&amp;"-"&amp;A436)</f>
        <v/>
      </c>
      <c r="C436" s="56"/>
      <c r="D436" s="57"/>
      <c r="E436" s="58"/>
      <c r="F436" s="58"/>
      <c r="G436" s="57"/>
      <c r="H436" s="57"/>
      <c r="I436" s="57"/>
      <c r="J436" s="64" t="str">
        <f aca="false">IF(A436="","",SUMIFS('بنود السندات'!$F$5:$F$3004,'بنود السندات'!$A$5:$A$3004,A436))</f>
        <v/>
      </c>
      <c r="K436" s="64" t="str">
        <f aca="false">IF(A436="","",SUMIFS('بنود السندات'!$G$5:$G$3004,'بنود السندات'!$A$5:$A$3004,A436))</f>
        <v/>
      </c>
      <c r="L436" s="64" t="str">
        <f aca="false">IF(A436="","",ROUND(J436-K436,2))</f>
        <v/>
      </c>
      <c r="M436" s="63" t="str">
        <f aca="false">IF(A436="","",COUNTIF('بنود السندات'!$A$5:$A$3004,A436))</f>
        <v/>
      </c>
      <c r="N436" s="65" t="str">
        <f aca="false">IF(A436="","",IF(M436=0,"بدون بنود ⚠",IF(L436=0,"متوازن ✔","غير متوازن ✘")))</f>
        <v/>
      </c>
      <c r="O436" s="66" t="str">
        <f aca="false">IF(A436="","","فقط "&amp;IF(INT(ROUND(MAX(J436,K436),2))=0,"صفر",MID(IF(INT(INT(ROUND(MAX(J436,K436),2))/1000000)&gt;0," و"&amp;INDEX(تفقيط!$D$2:$D$1001,INT(INT(ROUND(MAX(J436,K436),2))/1000000)+1),"")&amp;IF(INT(MOD(INT(ROUND(MAX(J436,K436),2)),1000000)/1000)&gt;0," و"&amp;INDEX(تفقيط!$C$2:$C$1001,INT(MOD(INT(ROUND(MAX(J436,K436),2)),1000000)/1000)+1),"")&amp;IF(MOD(INT(ROUND(MAX(J436,K436),2)),1000)&gt;0," و"&amp;INDEX(تفقيط!$B$2:$B$1001,MOD(INT(ROUND(MAX(J436,K436),2)),1000)+1),""),3,400))&amp;" "&amp;CUR&amp;IF(ROUND((ROUND(MAX(J436,K436),2)-INT(ROUND(MAX(J436,K436),2)))*100,0)&gt;0," و"&amp;INDEX(تفقيط!$E$2:$E$1001,ROUND((ROUND(MAX(J436,K436),2)-INT(ROUND(MAX(J436,K436),2)))*100,0)+1),"")&amp;" لا غير")</f>
        <v/>
      </c>
    </row>
    <row r="437" customFormat="false" ht="15" hidden="false" customHeight="false" outlineLevel="0" collapsed="false">
      <c r="A437" s="54" t="str">
        <f aca="false">IF(C437="","",START_NO+COUNT(C$5:C437)-1)</f>
        <v/>
      </c>
      <c r="B437" s="55" t="str">
        <f aca="false">IF(A437="","",PREFIX&amp;"-"&amp;TEXT(C437,"yyyy")&amp;"-"&amp;A437)</f>
        <v/>
      </c>
      <c r="C437" s="56"/>
      <c r="D437" s="57"/>
      <c r="E437" s="58"/>
      <c r="F437" s="58"/>
      <c r="G437" s="57"/>
      <c r="H437" s="57"/>
      <c r="I437" s="57"/>
      <c r="J437" s="59" t="str">
        <f aca="false">IF(A437="","",SUMIFS('بنود السندات'!$F$5:$F$3004,'بنود السندات'!$A$5:$A$3004,A437))</f>
        <v/>
      </c>
      <c r="K437" s="59" t="str">
        <f aca="false">IF(A437="","",SUMIFS('بنود السندات'!$G$5:$G$3004,'بنود السندات'!$A$5:$A$3004,A437))</f>
        <v/>
      </c>
      <c r="L437" s="59" t="str">
        <f aca="false">IF(A437="","",ROUND(J437-K437,2))</f>
        <v/>
      </c>
      <c r="M437" s="55" t="str">
        <f aca="false">IF(A437="","",COUNTIF('بنود السندات'!$A$5:$A$3004,A437))</f>
        <v/>
      </c>
      <c r="N437" s="60" t="str">
        <f aca="false">IF(A437="","",IF(M437=0,"بدون بنود ⚠",IF(L437=0,"متوازن ✔","غير متوازن ✘")))</f>
        <v/>
      </c>
      <c r="O437" s="61" t="str">
        <f aca="false">IF(A437="","","فقط "&amp;IF(INT(ROUND(MAX(J437,K437),2))=0,"صفر",MID(IF(INT(INT(ROUND(MAX(J437,K437),2))/1000000)&gt;0," و"&amp;INDEX(تفقيط!$D$2:$D$1001,INT(INT(ROUND(MAX(J437,K437),2))/1000000)+1),"")&amp;IF(INT(MOD(INT(ROUND(MAX(J437,K437),2)),1000000)/1000)&gt;0," و"&amp;INDEX(تفقيط!$C$2:$C$1001,INT(MOD(INT(ROUND(MAX(J437,K437),2)),1000000)/1000)+1),"")&amp;IF(MOD(INT(ROUND(MAX(J437,K437),2)),1000)&gt;0," و"&amp;INDEX(تفقيط!$B$2:$B$1001,MOD(INT(ROUND(MAX(J437,K437),2)),1000)+1),""),3,400))&amp;" "&amp;CUR&amp;IF(ROUND((ROUND(MAX(J437,K437),2)-INT(ROUND(MAX(J437,K437),2)))*100,0)&gt;0," و"&amp;INDEX(تفقيط!$E$2:$E$1001,ROUND((ROUND(MAX(J437,K437),2)-INT(ROUND(MAX(J437,K437),2)))*100,0)+1),"")&amp;" لا غير")</f>
        <v/>
      </c>
    </row>
    <row r="438" customFormat="false" ht="15" hidden="false" customHeight="false" outlineLevel="0" collapsed="false">
      <c r="A438" s="62" t="str">
        <f aca="false">IF(C438="","",START_NO+COUNT(C$5:C438)-1)</f>
        <v/>
      </c>
      <c r="B438" s="63" t="str">
        <f aca="false">IF(A438="","",PREFIX&amp;"-"&amp;TEXT(C438,"yyyy")&amp;"-"&amp;A438)</f>
        <v/>
      </c>
      <c r="C438" s="56"/>
      <c r="D438" s="57"/>
      <c r="E438" s="58"/>
      <c r="F438" s="58"/>
      <c r="G438" s="57"/>
      <c r="H438" s="57"/>
      <c r="I438" s="57"/>
      <c r="J438" s="64" t="str">
        <f aca="false">IF(A438="","",SUMIFS('بنود السندات'!$F$5:$F$3004,'بنود السندات'!$A$5:$A$3004,A438))</f>
        <v/>
      </c>
      <c r="K438" s="64" t="str">
        <f aca="false">IF(A438="","",SUMIFS('بنود السندات'!$G$5:$G$3004,'بنود السندات'!$A$5:$A$3004,A438))</f>
        <v/>
      </c>
      <c r="L438" s="64" t="str">
        <f aca="false">IF(A438="","",ROUND(J438-K438,2))</f>
        <v/>
      </c>
      <c r="M438" s="63" t="str">
        <f aca="false">IF(A438="","",COUNTIF('بنود السندات'!$A$5:$A$3004,A438))</f>
        <v/>
      </c>
      <c r="N438" s="65" t="str">
        <f aca="false">IF(A438="","",IF(M438=0,"بدون بنود ⚠",IF(L438=0,"متوازن ✔","غير متوازن ✘")))</f>
        <v/>
      </c>
      <c r="O438" s="66" t="str">
        <f aca="false">IF(A438="","","فقط "&amp;IF(INT(ROUND(MAX(J438,K438),2))=0,"صفر",MID(IF(INT(INT(ROUND(MAX(J438,K438),2))/1000000)&gt;0," و"&amp;INDEX(تفقيط!$D$2:$D$1001,INT(INT(ROUND(MAX(J438,K438),2))/1000000)+1),"")&amp;IF(INT(MOD(INT(ROUND(MAX(J438,K438),2)),1000000)/1000)&gt;0," و"&amp;INDEX(تفقيط!$C$2:$C$1001,INT(MOD(INT(ROUND(MAX(J438,K438),2)),1000000)/1000)+1),"")&amp;IF(MOD(INT(ROUND(MAX(J438,K438),2)),1000)&gt;0," و"&amp;INDEX(تفقيط!$B$2:$B$1001,MOD(INT(ROUND(MAX(J438,K438),2)),1000)+1),""),3,400))&amp;" "&amp;CUR&amp;IF(ROUND((ROUND(MAX(J438,K438),2)-INT(ROUND(MAX(J438,K438),2)))*100,0)&gt;0," و"&amp;INDEX(تفقيط!$E$2:$E$1001,ROUND((ROUND(MAX(J438,K438),2)-INT(ROUND(MAX(J438,K438),2)))*100,0)+1),"")&amp;" لا غير")</f>
        <v/>
      </c>
    </row>
    <row r="439" customFormat="false" ht="15" hidden="false" customHeight="false" outlineLevel="0" collapsed="false">
      <c r="A439" s="54" t="str">
        <f aca="false">IF(C439="","",START_NO+COUNT(C$5:C439)-1)</f>
        <v/>
      </c>
      <c r="B439" s="55" t="str">
        <f aca="false">IF(A439="","",PREFIX&amp;"-"&amp;TEXT(C439,"yyyy")&amp;"-"&amp;A439)</f>
        <v/>
      </c>
      <c r="C439" s="56"/>
      <c r="D439" s="57"/>
      <c r="E439" s="58"/>
      <c r="F439" s="58"/>
      <c r="G439" s="57"/>
      <c r="H439" s="57"/>
      <c r="I439" s="57"/>
      <c r="J439" s="59" t="str">
        <f aca="false">IF(A439="","",SUMIFS('بنود السندات'!$F$5:$F$3004,'بنود السندات'!$A$5:$A$3004,A439))</f>
        <v/>
      </c>
      <c r="K439" s="59" t="str">
        <f aca="false">IF(A439="","",SUMIFS('بنود السندات'!$G$5:$G$3004,'بنود السندات'!$A$5:$A$3004,A439))</f>
        <v/>
      </c>
      <c r="L439" s="59" t="str">
        <f aca="false">IF(A439="","",ROUND(J439-K439,2))</f>
        <v/>
      </c>
      <c r="M439" s="55" t="str">
        <f aca="false">IF(A439="","",COUNTIF('بنود السندات'!$A$5:$A$3004,A439))</f>
        <v/>
      </c>
      <c r="N439" s="60" t="str">
        <f aca="false">IF(A439="","",IF(M439=0,"بدون بنود ⚠",IF(L439=0,"متوازن ✔","غير متوازن ✘")))</f>
        <v/>
      </c>
      <c r="O439" s="61" t="str">
        <f aca="false">IF(A439="","","فقط "&amp;IF(INT(ROUND(MAX(J439,K439),2))=0,"صفر",MID(IF(INT(INT(ROUND(MAX(J439,K439),2))/1000000)&gt;0," و"&amp;INDEX(تفقيط!$D$2:$D$1001,INT(INT(ROUND(MAX(J439,K439),2))/1000000)+1),"")&amp;IF(INT(MOD(INT(ROUND(MAX(J439,K439),2)),1000000)/1000)&gt;0," و"&amp;INDEX(تفقيط!$C$2:$C$1001,INT(MOD(INT(ROUND(MAX(J439,K439),2)),1000000)/1000)+1),"")&amp;IF(MOD(INT(ROUND(MAX(J439,K439),2)),1000)&gt;0," و"&amp;INDEX(تفقيط!$B$2:$B$1001,MOD(INT(ROUND(MAX(J439,K439),2)),1000)+1),""),3,400))&amp;" "&amp;CUR&amp;IF(ROUND((ROUND(MAX(J439,K439),2)-INT(ROUND(MAX(J439,K439),2)))*100,0)&gt;0," و"&amp;INDEX(تفقيط!$E$2:$E$1001,ROUND((ROUND(MAX(J439,K439),2)-INT(ROUND(MAX(J439,K439),2)))*100,0)+1),"")&amp;" لا غير")</f>
        <v/>
      </c>
    </row>
    <row r="440" customFormat="false" ht="15" hidden="false" customHeight="false" outlineLevel="0" collapsed="false">
      <c r="A440" s="62" t="str">
        <f aca="false">IF(C440="","",START_NO+COUNT(C$5:C440)-1)</f>
        <v/>
      </c>
      <c r="B440" s="63" t="str">
        <f aca="false">IF(A440="","",PREFIX&amp;"-"&amp;TEXT(C440,"yyyy")&amp;"-"&amp;A440)</f>
        <v/>
      </c>
      <c r="C440" s="56"/>
      <c r="D440" s="57"/>
      <c r="E440" s="58"/>
      <c r="F440" s="58"/>
      <c r="G440" s="57"/>
      <c r="H440" s="57"/>
      <c r="I440" s="57"/>
      <c r="J440" s="64" t="str">
        <f aca="false">IF(A440="","",SUMIFS('بنود السندات'!$F$5:$F$3004,'بنود السندات'!$A$5:$A$3004,A440))</f>
        <v/>
      </c>
      <c r="K440" s="64" t="str">
        <f aca="false">IF(A440="","",SUMIFS('بنود السندات'!$G$5:$G$3004,'بنود السندات'!$A$5:$A$3004,A440))</f>
        <v/>
      </c>
      <c r="L440" s="64" t="str">
        <f aca="false">IF(A440="","",ROUND(J440-K440,2))</f>
        <v/>
      </c>
      <c r="M440" s="63" t="str">
        <f aca="false">IF(A440="","",COUNTIF('بنود السندات'!$A$5:$A$3004,A440))</f>
        <v/>
      </c>
      <c r="N440" s="65" t="str">
        <f aca="false">IF(A440="","",IF(M440=0,"بدون بنود ⚠",IF(L440=0,"متوازن ✔","غير متوازن ✘")))</f>
        <v/>
      </c>
      <c r="O440" s="66" t="str">
        <f aca="false">IF(A440="","","فقط "&amp;IF(INT(ROUND(MAX(J440,K440),2))=0,"صفر",MID(IF(INT(INT(ROUND(MAX(J440,K440),2))/1000000)&gt;0," و"&amp;INDEX(تفقيط!$D$2:$D$1001,INT(INT(ROUND(MAX(J440,K440),2))/1000000)+1),"")&amp;IF(INT(MOD(INT(ROUND(MAX(J440,K440),2)),1000000)/1000)&gt;0," و"&amp;INDEX(تفقيط!$C$2:$C$1001,INT(MOD(INT(ROUND(MAX(J440,K440),2)),1000000)/1000)+1),"")&amp;IF(MOD(INT(ROUND(MAX(J440,K440),2)),1000)&gt;0," و"&amp;INDEX(تفقيط!$B$2:$B$1001,MOD(INT(ROUND(MAX(J440,K440),2)),1000)+1),""),3,400))&amp;" "&amp;CUR&amp;IF(ROUND((ROUND(MAX(J440,K440),2)-INT(ROUND(MAX(J440,K440),2)))*100,0)&gt;0," و"&amp;INDEX(تفقيط!$E$2:$E$1001,ROUND((ROUND(MAX(J440,K440),2)-INT(ROUND(MAX(J440,K440),2)))*100,0)+1),"")&amp;" لا غير")</f>
        <v/>
      </c>
    </row>
    <row r="441" customFormat="false" ht="15" hidden="false" customHeight="false" outlineLevel="0" collapsed="false">
      <c r="A441" s="54" t="str">
        <f aca="false">IF(C441="","",START_NO+COUNT(C$5:C441)-1)</f>
        <v/>
      </c>
      <c r="B441" s="55" t="str">
        <f aca="false">IF(A441="","",PREFIX&amp;"-"&amp;TEXT(C441,"yyyy")&amp;"-"&amp;A441)</f>
        <v/>
      </c>
      <c r="C441" s="56"/>
      <c r="D441" s="57"/>
      <c r="E441" s="58"/>
      <c r="F441" s="58"/>
      <c r="G441" s="57"/>
      <c r="H441" s="57"/>
      <c r="I441" s="57"/>
      <c r="J441" s="59" t="str">
        <f aca="false">IF(A441="","",SUMIFS('بنود السندات'!$F$5:$F$3004,'بنود السندات'!$A$5:$A$3004,A441))</f>
        <v/>
      </c>
      <c r="K441" s="59" t="str">
        <f aca="false">IF(A441="","",SUMIFS('بنود السندات'!$G$5:$G$3004,'بنود السندات'!$A$5:$A$3004,A441))</f>
        <v/>
      </c>
      <c r="L441" s="59" t="str">
        <f aca="false">IF(A441="","",ROUND(J441-K441,2))</f>
        <v/>
      </c>
      <c r="M441" s="55" t="str">
        <f aca="false">IF(A441="","",COUNTIF('بنود السندات'!$A$5:$A$3004,A441))</f>
        <v/>
      </c>
      <c r="N441" s="60" t="str">
        <f aca="false">IF(A441="","",IF(M441=0,"بدون بنود ⚠",IF(L441=0,"متوازن ✔","غير متوازن ✘")))</f>
        <v/>
      </c>
      <c r="O441" s="61" t="str">
        <f aca="false">IF(A441="","","فقط "&amp;IF(INT(ROUND(MAX(J441,K441),2))=0,"صفر",MID(IF(INT(INT(ROUND(MAX(J441,K441),2))/1000000)&gt;0," و"&amp;INDEX(تفقيط!$D$2:$D$1001,INT(INT(ROUND(MAX(J441,K441),2))/1000000)+1),"")&amp;IF(INT(MOD(INT(ROUND(MAX(J441,K441),2)),1000000)/1000)&gt;0," و"&amp;INDEX(تفقيط!$C$2:$C$1001,INT(MOD(INT(ROUND(MAX(J441,K441),2)),1000000)/1000)+1),"")&amp;IF(MOD(INT(ROUND(MAX(J441,K441),2)),1000)&gt;0," و"&amp;INDEX(تفقيط!$B$2:$B$1001,MOD(INT(ROUND(MAX(J441,K441),2)),1000)+1),""),3,400))&amp;" "&amp;CUR&amp;IF(ROUND((ROUND(MAX(J441,K441),2)-INT(ROUND(MAX(J441,K441),2)))*100,0)&gt;0," و"&amp;INDEX(تفقيط!$E$2:$E$1001,ROUND((ROUND(MAX(J441,K441),2)-INT(ROUND(MAX(J441,K441),2)))*100,0)+1),"")&amp;" لا غير")</f>
        <v/>
      </c>
    </row>
    <row r="442" customFormat="false" ht="15" hidden="false" customHeight="false" outlineLevel="0" collapsed="false">
      <c r="A442" s="62" t="str">
        <f aca="false">IF(C442="","",START_NO+COUNT(C$5:C442)-1)</f>
        <v/>
      </c>
      <c r="B442" s="63" t="str">
        <f aca="false">IF(A442="","",PREFIX&amp;"-"&amp;TEXT(C442,"yyyy")&amp;"-"&amp;A442)</f>
        <v/>
      </c>
      <c r="C442" s="56"/>
      <c r="D442" s="57"/>
      <c r="E442" s="58"/>
      <c r="F442" s="58"/>
      <c r="G442" s="57"/>
      <c r="H442" s="57"/>
      <c r="I442" s="57"/>
      <c r="J442" s="64" t="str">
        <f aca="false">IF(A442="","",SUMIFS('بنود السندات'!$F$5:$F$3004,'بنود السندات'!$A$5:$A$3004,A442))</f>
        <v/>
      </c>
      <c r="K442" s="64" t="str">
        <f aca="false">IF(A442="","",SUMIFS('بنود السندات'!$G$5:$G$3004,'بنود السندات'!$A$5:$A$3004,A442))</f>
        <v/>
      </c>
      <c r="L442" s="64" t="str">
        <f aca="false">IF(A442="","",ROUND(J442-K442,2))</f>
        <v/>
      </c>
      <c r="M442" s="63" t="str">
        <f aca="false">IF(A442="","",COUNTIF('بنود السندات'!$A$5:$A$3004,A442))</f>
        <v/>
      </c>
      <c r="N442" s="65" t="str">
        <f aca="false">IF(A442="","",IF(M442=0,"بدون بنود ⚠",IF(L442=0,"متوازن ✔","غير متوازن ✘")))</f>
        <v/>
      </c>
      <c r="O442" s="66" t="str">
        <f aca="false">IF(A442="","","فقط "&amp;IF(INT(ROUND(MAX(J442,K442),2))=0,"صفر",MID(IF(INT(INT(ROUND(MAX(J442,K442),2))/1000000)&gt;0," و"&amp;INDEX(تفقيط!$D$2:$D$1001,INT(INT(ROUND(MAX(J442,K442),2))/1000000)+1),"")&amp;IF(INT(MOD(INT(ROUND(MAX(J442,K442),2)),1000000)/1000)&gt;0," و"&amp;INDEX(تفقيط!$C$2:$C$1001,INT(MOD(INT(ROUND(MAX(J442,K442),2)),1000000)/1000)+1),"")&amp;IF(MOD(INT(ROUND(MAX(J442,K442),2)),1000)&gt;0," و"&amp;INDEX(تفقيط!$B$2:$B$1001,MOD(INT(ROUND(MAX(J442,K442),2)),1000)+1),""),3,400))&amp;" "&amp;CUR&amp;IF(ROUND((ROUND(MAX(J442,K442),2)-INT(ROUND(MAX(J442,K442),2)))*100,0)&gt;0," و"&amp;INDEX(تفقيط!$E$2:$E$1001,ROUND((ROUND(MAX(J442,K442),2)-INT(ROUND(MAX(J442,K442),2)))*100,0)+1),"")&amp;" لا غير")</f>
        <v/>
      </c>
    </row>
    <row r="443" customFormat="false" ht="15" hidden="false" customHeight="false" outlineLevel="0" collapsed="false">
      <c r="A443" s="54" t="str">
        <f aca="false">IF(C443="","",START_NO+COUNT(C$5:C443)-1)</f>
        <v/>
      </c>
      <c r="B443" s="55" t="str">
        <f aca="false">IF(A443="","",PREFIX&amp;"-"&amp;TEXT(C443,"yyyy")&amp;"-"&amp;A443)</f>
        <v/>
      </c>
      <c r="C443" s="56"/>
      <c r="D443" s="57"/>
      <c r="E443" s="58"/>
      <c r="F443" s="58"/>
      <c r="G443" s="57"/>
      <c r="H443" s="57"/>
      <c r="I443" s="57"/>
      <c r="J443" s="59" t="str">
        <f aca="false">IF(A443="","",SUMIFS('بنود السندات'!$F$5:$F$3004,'بنود السندات'!$A$5:$A$3004,A443))</f>
        <v/>
      </c>
      <c r="K443" s="59" t="str">
        <f aca="false">IF(A443="","",SUMIFS('بنود السندات'!$G$5:$G$3004,'بنود السندات'!$A$5:$A$3004,A443))</f>
        <v/>
      </c>
      <c r="L443" s="59" t="str">
        <f aca="false">IF(A443="","",ROUND(J443-K443,2))</f>
        <v/>
      </c>
      <c r="M443" s="55" t="str">
        <f aca="false">IF(A443="","",COUNTIF('بنود السندات'!$A$5:$A$3004,A443))</f>
        <v/>
      </c>
      <c r="N443" s="60" t="str">
        <f aca="false">IF(A443="","",IF(M443=0,"بدون بنود ⚠",IF(L443=0,"متوازن ✔","غير متوازن ✘")))</f>
        <v/>
      </c>
      <c r="O443" s="61" t="str">
        <f aca="false">IF(A443="","","فقط "&amp;IF(INT(ROUND(MAX(J443,K443),2))=0,"صفر",MID(IF(INT(INT(ROUND(MAX(J443,K443),2))/1000000)&gt;0," و"&amp;INDEX(تفقيط!$D$2:$D$1001,INT(INT(ROUND(MAX(J443,K443),2))/1000000)+1),"")&amp;IF(INT(MOD(INT(ROUND(MAX(J443,K443),2)),1000000)/1000)&gt;0," و"&amp;INDEX(تفقيط!$C$2:$C$1001,INT(MOD(INT(ROUND(MAX(J443,K443),2)),1000000)/1000)+1),"")&amp;IF(MOD(INT(ROUND(MAX(J443,K443),2)),1000)&gt;0," و"&amp;INDEX(تفقيط!$B$2:$B$1001,MOD(INT(ROUND(MAX(J443,K443),2)),1000)+1),""),3,400))&amp;" "&amp;CUR&amp;IF(ROUND((ROUND(MAX(J443,K443),2)-INT(ROUND(MAX(J443,K443),2)))*100,0)&gt;0," و"&amp;INDEX(تفقيط!$E$2:$E$1001,ROUND((ROUND(MAX(J443,K443),2)-INT(ROUND(MAX(J443,K443),2)))*100,0)+1),"")&amp;" لا غير")</f>
        <v/>
      </c>
    </row>
    <row r="444" customFormat="false" ht="15" hidden="false" customHeight="false" outlineLevel="0" collapsed="false">
      <c r="A444" s="62" t="str">
        <f aca="false">IF(C444="","",START_NO+COUNT(C$5:C444)-1)</f>
        <v/>
      </c>
      <c r="B444" s="63" t="str">
        <f aca="false">IF(A444="","",PREFIX&amp;"-"&amp;TEXT(C444,"yyyy")&amp;"-"&amp;A444)</f>
        <v/>
      </c>
      <c r="C444" s="56"/>
      <c r="D444" s="57"/>
      <c r="E444" s="58"/>
      <c r="F444" s="58"/>
      <c r="G444" s="57"/>
      <c r="H444" s="57"/>
      <c r="I444" s="57"/>
      <c r="J444" s="64" t="str">
        <f aca="false">IF(A444="","",SUMIFS('بنود السندات'!$F$5:$F$3004,'بنود السندات'!$A$5:$A$3004,A444))</f>
        <v/>
      </c>
      <c r="K444" s="64" t="str">
        <f aca="false">IF(A444="","",SUMIFS('بنود السندات'!$G$5:$G$3004,'بنود السندات'!$A$5:$A$3004,A444))</f>
        <v/>
      </c>
      <c r="L444" s="64" t="str">
        <f aca="false">IF(A444="","",ROUND(J444-K444,2))</f>
        <v/>
      </c>
      <c r="M444" s="63" t="str">
        <f aca="false">IF(A444="","",COUNTIF('بنود السندات'!$A$5:$A$3004,A444))</f>
        <v/>
      </c>
      <c r="N444" s="65" t="str">
        <f aca="false">IF(A444="","",IF(M444=0,"بدون بنود ⚠",IF(L444=0,"متوازن ✔","غير متوازن ✘")))</f>
        <v/>
      </c>
      <c r="O444" s="66" t="str">
        <f aca="false">IF(A444="","","فقط "&amp;IF(INT(ROUND(MAX(J444,K444),2))=0,"صفر",MID(IF(INT(INT(ROUND(MAX(J444,K444),2))/1000000)&gt;0," و"&amp;INDEX(تفقيط!$D$2:$D$1001,INT(INT(ROUND(MAX(J444,K444),2))/1000000)+1),"")&amp;IF(INT(MOD(INT(ROUND(MAX(J444,K444),2)),1000000)/1000)&gt;0," و"&amp;INDEX(تفقيط!$C$2:$C$1001,INT(MOD(INT(ROUND(MAX(J444,K444),2)),1000000)/1000)+1),"")&amp;IF(MOD(INT(ROUND(MAX(J444,K444),2)),1000)&gt;0," و"&amp;INDEX(تفقيط!$B$2:$B$1001,MOD(INT(ROUND(MAX(J444,K444),2)),1000)+1),""),3,400))&amp;" "&amp;CUR&amp;IF(ROUND((ROUND(MAX(J444,K444),2)-INT(ROUND(MAX(J444,K444),2)))*100,0)&gt;0," و"&amp;INDEX(تفقيط!$E$2:$E$1001,ROUND((ROUND(MAX(J444,K444),2)-INT(ROUND(MAX(J444,K444),2)))*100,0)+1),"")&amp;" لا غير")</f>
        <v/>
      </c>
    </row>
    <row r="445" customFormat="false" ht="15" hidden="false" customHeight="false" outlineLevel="0" collapsed="false">
      <c r="A445" s="54" t="str">
        <f aca="false">IF(C445="","",START_NO+COUNT(C$5:C445)-1)</f>
        <v/>
      </c>
      <c r="B445" s="55" t="str">
        <f aca="false">IF(A445="","",PREFIX&amp;"-"&amp;TEXT(C445,"yyyy")&amp;"-"&amp;A445)</f>
        <v/>
      </c>
      <c r="C445" s="56"/>
      <c r="D445" s="57"/>
      <c r="E445" s="58"/>
      <c r="F445" s="58"/>
      <c r="G445" s="57"/>
      <c r="H445" s="57"/>
      <c r="I445" s="57"/>
      <c r="J445" s="59" t="str">
        <f aca="false">IF(A445="","",SUMIFS('بنود السندات'!$F$5:$F$3004,'بنود السندات'!$A$5:$A$3004,A445))</f>
        <v/>
      </c>
      <c r="K445" s="59" t="str">
        <f aca="false">IF(A445="","",SUMIFS('بنود السندات'!$G$5:$G$3004,'بنود السندات'!$A$5:$A$3004,A445))</f>
        <v/>
      </c>
      <c r="L445" s="59" t="str">
        <f aca="false">IF(A445="","",ROUND(J445-K445,2))</f>
        <v/>
      </c>
      <c r="M445" s="55" t="str">
        <f aca="false">IF(A445="","",COUNTIF('بنود السندات'!$A$5:$A$3004,A445))</f>
        <v/>
      </c>
      <c r="N445" s="60" t="str">
        <f aca="false">IF(A445="","",IF(M445=0,"بدون بنود ⚠",IF(L445=0,"متوازن ✔","غير متوازن ✘")))</f>
        <v/>
      </c>
      <c r="O445" s="61" t="str">
        <f aca="false">IF(A445="","","فقط "&amp;IF(INT(ROUND(MAX(J445,K445),2))=0,"صفر",MID(IF(INT(INT(ROUND(MAX(J445,K445),2))/1000000)&gt;0," و"&amp;INDEX(تفقيط!$D$2:$D$1001,INT(INT(ROUND(MAX(J445,K445),2))/1000000)+1),"")&amp;IF(INT(MOD(INT(ROUND(MAX(J445,K445),2)),1000000)/1000)&gt;0," و"&amp;INDEX(تفقيط!$C$2:$C$1001,INT(MOD(INT(ROUND(MAX(J445,K445),2)),1000000)/1000)+1),"")&amp;IF(MOD(INT(ROUND(MAX(J445,K445),2)),1000)&gt;0," و"&amp;INDEX(تفقيط!$B$2:$B$1001,MOD(INT(ROUND(MAX(J445,K445),2)),1000)+1),""),3,400))&amp;" "&amp;CUR&amp;IF(ROUND((ROUND(MAX(J445,K445),2)-INT(ROUND(MAX(J445,K445),2)))*100,0)&gt;0," و"&amp;INDEX(تفقيط!$E$2:$E$1001,ROUND((ROUND(MAX(J445,K445),2)-INT(ROUND(MAX(J445,K445),2)))*100,0)+1),"")&amp;" لا غير")</f>
        <v/>
      </c>
    </row>
    <row r="446" customFormat="false" ht="15" hidden="false" customHeight="false" outlineLevel="0" collapsed="false">
      <c r="A446" s="62" t="str">
        <f aca="false">IF(C446="","",START_NO+COUNT(C$5:C446)-1)</f>
        <v/>
      </c>
      <c r="B446" s="63" t="str">
        <f aca="false">IF(A446="","",PREFIX&amp;"-"&amp;TEXT(C446,"yyyy")&amp;"-"&amp;A446)</f>
        <v/>
      </c>
      <c r="C446" s="56"/>
      <c r="D446" s="57"/>
      <c r="E446" s="58"/>
      <c r="F446" s="58"/>
      <c r="G446" s="57"/>
      <c r="H446" s="57"/>
      <c r="I446" s="57"/>
      <c r="J446" s="64" t="str">
        <f aca="false">IF(A446="","",SUMIFS('بنود السندات'!$F$5:$F$3004,'بنود السندات'!$A$5:$A$3004,A446))</f>
        <v/>
      </c>
      <c r="K446" s="64" t="str">
        <f aca="false">IF(A446="","",SUMIFS('بنود السندات'!$G$5:$G$3004,'بنود السندات'!$A$5:$A$3004,A446))</f>
        <v/>
      </c>
      <c r="L446" s="64" t="str">
        <f aca="false">IF(A446="","",ROUND(J446-K446,2))</f>
        <v/>
      </c>
      <c r="M446" s="63" t="str">
        <f aca="false">IF(A446="","",COUNTIF('بنود السندات'!$A$5:$A$3004,A446))</f>
        <v/>
      </c>
      <c r="N446" s="65" t="str">
        <f aca="false">IF(A446="","",IF(M446=0,"بدون بنود ⚠",IF(L446=0,"متوازن ✔","غير متوازن ✘")))</f>
        <v/>
      </c>
      <c r="O446" s="66" t="str">
        <f aca="false">IF(A446="","","فقط "&amp;IF(INT(ROUND(MAX(J446,K446),2))=0,"صفر",MID(IF(INT(INT(ROUND(MAX(J446,K446),2))/1000000)&gt;0," و"&amp;INDEX(تفقيط!$D$2:$D$1001,INT(INT(ROUND(MAX(J446,K446),2))/1000000)+1),"")&amp;IF(INT(MOD(INT(ROUND(MAX(J446,K446),2)),1000000)/1000)&gt;0," و"&amp;INDEX(تفقيط!$C$2:$C$1001,INT(MOD(INT(ROUND(MAX(J446,K446),2)),1000000)/1000)+1),"")&amp;IF(MOD(INT(ROUND(MAX(J446,K446),2)),1000)&gt;0," و"&amp;INDEX(تفقيط!$B$2:$B$1001,MOD(INT(ROUND(MAX(J446,K446),2)),1000)+1),""),3,400))&amp;" "&amp;CUR&amp;IF(ROUND((ROUND(MAX(J446,K446),2)-INT(ROUND(MAX(J446,K446),2)))*100,0)&gt;0," و"&amp;INDEX(تفقيط!$E$2:$E$1001,ROUND((ROUND(MAX(J446,K446),2)-INT(ROUND(MAX(J446,K446),2)))*100,0)+1),"")&amp;" لا غير")</f>
        <v/>
      </c>
    </row>
    <row r="447" customFormat="false" ht="15" hidden="false" customHeight="false" outlineLevel="0" collapsed="false">
      <c r="A447" s="54" t="str">
        <f aca="false">IF(C447="","",START_NO+COUNT(C$5:C447)-1)</f>
        <v/>
      </c>
      <c r="B447" s="55" t="str">
        <f aca="false">IF(A447="","",PREFIX&amp;"-"&amp;TEXT(C447,"yyyy")&amp;"-"&amp;A447)</f>
        <v/>
      </c>
      <c r="C447" s="56"/>
      <c r="D447" s="57"/>
      <c r="E447" s="58"/>
      <c r="F447" s="58"/>
      <c r="G447" s="57"/>
      <c r="H447" s="57"/>
      <c r="I447" s="57"/>
      <c r="J447" s="59" t="str">
        <f aca="false">IF(A447="","",SUMIFS('بنود السندات'!$F$5:$F$3004,'بنود السندات'!$A$5:$A$3004,A447))</f>
        <v/>
      </c>
      <c r="K447" s="59" t="str">
        <f aca="false">IF(A447="","",SUMIFS('بنود السندات'!$G$5:$G$3004,'بنود السندات'!$A$5:$A$3004,A447))</f>
        <v/>
      </c>
      <c r="L447" s="59" t="str">
        <f aca="false">IF(A447="","",ROUND(J447-K447,2))</f>
        <v/>
      </c>
      <c r="M447" s="55" t="str">
        <f aca="false">IF(A447="","",COUNTIF('بنود السندات'!$A$5:$A$3004,A447))</f>
        <v/>
      </c>
      <c r="N447" s="60" t="str">
        <f aca="false">IF(A447="","",IF(M447=0,"بدون بنود ⚠",IF(L447=0,"متوازن ✔","غير متوازن ✘")))</f>
        <v/>
      </c>
      <c r="O447" s="61" t="str">
        <f aca="false">IF(A447="","","فقط "&amp;IF(INT(ROUND(MAX(J447,K447),2))=0,"صفر",MID(IF(INT(INT(ROUND(MAX(J447,K447),2))/1000000)&gt;0," و"&amp;INDEX(تفقيط!$D$2:$D$1001,INT(INT(ROUND(MAX(J447,K447),2))/1000000)+1),"")&amp;IF(INT(MOD(INT(ROUND(MAX(J447,K447),2)),1000000)/1000)&gt;0," و"&amp;INDEX(تفقيط!$C$2:$C$1001,INT(MOD(INT(ROUND(MAX(J447,K447),2)),1000000)/1000)+1),"")&amp;IF(MOD(INT(ROUND(MAX(J447,K447),2)),1000)&gt;0," و"&amp;INDEX(تفقيط!$B$2:$B$1001,MOD(INT(ROUND(MAX(J447,K447),2)),1000)+1),""),3,400))&amp;" "&amp;CUR&amp;IF(ROUND((ROUND(MAX(J447,K447),2)-INT(ROUND(MAX(J447,K447),2)))*100,0)&gt;0," و"&amp;INDEX(تفقيط!$E$2:$E$1001,ROUND((ROUND(MAX(J447,K447),2)-INT(ROUND(MAX(J447,K447),2)))*100,0)+1),"")&amp;" لا غير")</f>
        <v/>
      </c>
    </row>
    <row r="448" customFormat="false" ht="15" hidden="false" customHeight="false" outlineLevel="0" collapsed="false">
      <c r="A448" s="62" t="str">
        <f aca="false">IF(C448="","",START_NO+COUNT(C$5:C448)-1)</f>
        <v/>
      </c>
      <c r="B448" s="63" t="str">
        <f aca="false">IF(A448="","",PREFIX&amp;"-"&amp;TEXT(C448,"yyyy")&amp;"-"&amp;A448)</f>
        <v/>
      </c>
      <c r="C448" s="56"/>
      <c r="D448" s="57"/>
      <c r="E448" s="58"/>
      <c r="F448" s="58"/>
      <c r="G448" s="57"/>
      <c r="H448" s="57"/>
      <c r="I448" s="57"/>
      <c r="J448" s="64" t="str">
        <f aca="false">IF(A448="","",SUMIFS('بنود السندات'!$F$5:$F$3004,'بنود السندات'!$A$5:$A$3004,A448))</f>
        <v/>
      </c>
      <c r="K448" s="64" t="str">
        <f aca="false">IF(A448="","",SUMIFS('بنود السندات'!$G$5:$G$3004,'بنود السندات'!$A$5:$A$3004,A448))</f>
        <v/>
      </c>
      <c r="L448" s="64" t="str">
        <f aca="false">IF(A448="","",ROUND(J448-K448,2))</f>
        <v/>
      </c>
      <c r="M448" s="63" t="str">
        <f aca="false">IF(A448="","",COUNTIF('بنود السندات'!$A$5:$A$3004,A448))</f>
        <v/>
      </c>
      <c r="N448" s="65" t="str">
        <f aca="false">IF(A448="","",IF(M448=0,"بدون بنود ⚠",IF(L448=0,"متوازن ✔","غير متوازن ✘")))</f>
        <v/>
      </c>
      <c r="O448" s="66" t="str">
        <f aca="false">IF(A448="","","فقط "&amp;IF(INT(ROUND(MAX(J448,K448),2))=0,"صفر",MID(IF(INT(INT(ROUND(MAX(J448,K448),2))/1000000)&gt;0," و"&amp;INDEX(تفقيط!$D$2:$D$1001,INT(INT(ROUND(MAX(J448,K448),2))/1000000)+1),"")&amp;IF(INT(MOD(INT(ROUND(MAX(J448,K448),2)),1000000)/1000)&gt;0," و"&amp;INDEX(تفقيط!$C$2:$C$1001,INT(MOD(INT(ROUND(MAX(J448,K448),2)),1000000)/1000)+1),"")&amp;IF(MOD(INT(ROUND(MAX(J448,K448),2)),1000)&gt;0," و"&amp;INDEX(تفقيط!$B$2:$B$1001,MOD(INT(ROUND(MAX(J448,K448),2)),1000)+1),""),3,400))&amp;" "&amp;CUR&amp;IF(ROUND((ROUND(MAX(J448,K448),2)-INT(ROUND(MAX(J448,K448),2)))*100,0)&gt;0," و"&amp;INDEX(تفقيط!$E$2:$E$1001,ROUND((ROUND(MAX(J448,K448),2)-INT(ROUND(MAX(J448,K448),2)))*100,0)+1),"")&amp;" لا غير")</f>
        <v/>
      </c>
    </row>
    <row r="449" customFormat="false" ht="15" hidden="false" customHeight="false" outlineLevel="0" collapsed="false">
      <c r="A449" s="54" t="str">
        <f aca="false">IF(C449="","",START_NO+COUNT(C$5:C449)-1)</f>
        <v/>
      </c>
      <c r="B449" s="55" t="str">
        <f aca="false">IF(A449="","",PREFIX&amp;"-"&amp;TEXT(C449,"yyyy")&amp;"-"&amp;A449)</f>
        <v/>
      </c>
      <c r="C449" s="56"/>
      <c r="D449" s="57"/>
      <c r="E449" s="58"/>
      <c r="F449" s="58"/>
      <c r="G449" s="57"/>
      <c r="H449" s="57"/>
      <c r="I449" s="57"/>
      <c r="J449" s="59" t="str">
        <f aca="false">IF(A449="","",SUMIFS('بنود السندات'!$F$5:$F$3004,'بنود السندات'!$A$5:$A$3004,A449))</f>
        <v/>
      </c>
      <c r="K449" s="59" t="str">
        <f aca="false">IF(A449="","",SUMIFS('بنود السندات'!$G$5:$G$3004,'بنود السندات'!$A$5:$A$3004,A449))</f>
        <v/>
      </c>
      <c r="L449" s="59" t="str">
        <f aca="false">IF(A449="","",ROUND(J449-K449,2))</f>
        <v/>
      </c>
      <c r="M449" s="55" t="str">
        <f aca="false">IF(A449="","",COUNTIF('بنود السندات'!$A$5:$A$3004,A449))</f>
        <v/>
      </c>
      <c r="N449" s="60" t="str">
        <f aca="false">IF(A449="","",IF(M449=0,"بدون بنود ⚠",IF(L449=0,"متوازن ✔","غير متوازن ✘")))</f>
        <v/>
      </c>
      <c r="O449" s="61" t="str">
        <f aca="false">IF(A449="","","فقط "&amp;IF(INT(ROUND(MAX(J449,K449),2))=0,"صفر",MID(IF(INT(INT(ROUND(MAX(J449,K449),2))/1000000)&gt;0," و"&amp;INDEX(تفقيط!$D$2:$D$1001,INT(INT(ROUND(MAX(J449,K449),2))/1000000)+1),"")&amp;IF(INT(MOD(INT(ROUND(MAX(J449,K449),2)),1000000)/1000)&gt;0," و"&amp;INDEX(تفقيط!$C$2:$C$1001,INT(MOD(INT(ROUND(MAX(J449,K449),2)),1000000)/1000)+1),"")&amp;IF(MOD(INT(ROUND(MAX(J449,K449),2)),1000)&gt;0," و"&amp;INDEX(تفقيط!$B$2:$B$1001,MOD(INT(ROUND(MAX(J449,K449),2)),1000)+1),""),3,400))&amp;" "&amp;CUR&amp;IF(ROUND((ROUND(MAX(J449,K449),2)-INT(ROUND(MAX(J449,K449),2)))*100,0)&gt;0," و"&amp;INDEX(تفقيط!$E$2:$E$1001,ROUND((ROUND(MAX(J449,K449),2)-INT(ROUND(MAX(J449,K449),2)))*100,0)+1),"")&amp;" لا غير")</f>
        <v/>
      </c>
    </row>
    <row r="450" customFormat="false" ht="15" hidden="false" customHeight="false" outlineLevel="0" collapsed="false">
      <c r="A450" s="62" t="str">
        <f aca="false">IF(C450="","",START_NO+COUNT(C$5:C450)-1)</f>
        <v/>
      </c>
      <c r="B450" s="63" t="str">
        <f aca="false">IF(A450="","",PREFIX&amp;"-"&amp;TEXT(C450,"yyyy")&amp;"-"&amp;A450)</f>
        <v/>
      </c>
      <c r="C450" s="56"/>
      <c r="D450" s="57"/>
      <c r="E450" s="58"/>
      <c r="F450" s="58"/>
      <c r="G450" s="57"/>
      <c r="H450" s="57"/>
      <c r="I450" s="57"/>
      <c r="J450" s="64" t="str">
        <f aca="false">IF(A450="","",SUMIFS('بنود السندات'!$F$5:$F$3004,'بنود السندات'!$A$5:$A$3004,A450))</f>
        <v/>
      </c>
      <c r="K450" s="64" t="str">
        <f aca="false">IF(A450="","",SUMIFS('بنود السندات'!$G$5:$G$3004,'بنود السندات'!$A$5:$A$3004,A450))</f>
        <v/>
      </c>
      <c r="L450" s="64" t="str">
        <f aca="false">IF(A450="","",ROUND(J450-K450,2))</f>
        <v/>
      </c>
      <c r="M450" s="63" t="str">
        <f aca="false">IF(A450="","",COUNTIF('بنود السندات'!$A$5:$A$3004,A450))</f>
        <v/>
      </c>
      <c r="N450" s="65" t="str">
        <f aca="false">IF(A450="","",IF(M450=0,"بدون بنود ⚠",IF(L450=0,"متوازن ✔","غير متوازن ✘")))</f>
        <v/>
      </c>
      <c r="O450" s="66" t="str">
        <f aca="false">IF(A450="","","فقط "&amp;IF(INT(ROUND(MAX(J450,K450),2))=0,"صفر",MID(IF(INT(INT(ROUND(MAX(J450,K450),2))/1000000)&gt;0," و"&amp;INDEX(تفقيط!$D$2:$D$1001,INT(INT(ROUND(MAX(J450,K450),2))/1000000)+1),"")&amp;IF(INT(MOD(INT(ROUND(MAX(J450,K450),2)),1000000)/1000)&gt;0," و"&amp;INDEX(تفقيط!$C$2:$C$1001,INT(MOD(INT(ROUND(MAX(J450,K450),2)),1000000)/1000)+1),"")&amp;IF(MOD(INT(ROUND(MAX(J450,K450),2)),1000)&gt;0," و"&amp;INDEX(تفقيط!$B$2:$B$1001,MOD(INT(ROUND(MAX(J450,K450),2)),1000)+1),""),3,400))&amp;" "&amp;CUR&amp;IF(ROUND((ROUND(MAX(J450,K450),2)-INT(ROUND(MAX(J450,K450),2)))*100,0)&gt;0," و"&amp;INDEX(تفقيط!$E$2:$E$1001,ROUND((ROUND(MAX(J450,K450),2)-INT(ROUND(MAX(J450,K450),2)))*100,0)+1),"")&amp;" لا غير")</f>
        <v/>
      </c>
    </row>
    <row r="451" customFormat="false" ht="15" hidden="false" customHeight="false" outlineLevel="0" collapsed="false">
      <c r="A451" s="54" t="str">
        <f aca="false">IF(C451="","",START_NO+COUNT(C$5:C451)-1)</f>
        <v/>
      </c>
      <c r="B451" s="55" t="str">
        <f aca="false">IF(A451="","",PREFIX&amp;"-"&amp;TEXT(C451,"yyyy")&amp;"-"&amp;A451)</f>
        <v/>
      </c>
      <c r="C451" s="56"/>
      <c r="D451" s="57"/>
      <c r="E451" s="58"/>
      <c r="F451" s="58"/>
      <c r="G451" s="57"/>
      <c r="H451" s="57"/>
      <c r="I451" s="57"/>
      <c r="J451" s="59" t="str">
        <f aca="false">IF(A451="","",SUMIFS('بنود السندات'!$F$5:$F$3004,'بنود السندات'!$A$5:$A$3004,A451))</f>
        <v/>
      </c>
      <c r="K451" s="59" t="str">
        <f aca="false">IF(A451="","",SUMIFS('بنود السندات'!$G$5:$G$3004,'بنود السندات'!$A$5:$A$3004,A451))</f>
        <v/>
      </c>
      <c r="L451" s="59" t="str">
        <f aca="false">IF(A451="","",ROUND(J451-K451,2))</f>
        <v/>
      </c>
      <c r="M451" s="55" t="str">
        <f aca="false">IF(A451="","",COUNTIF('بنود السندات'!$A$5:$A$3004,A451))</f>
        <v/>
      </c>
      <c r="N451" s="60" t="str">
        <f aca="false">IF(A451="","",IF(M451=0,"بدون بنود ⚠",IF(L451=0,"متوازن ✔","غير متوازن ✘")))</f>
        <v/>
      </c>
      <c r="O451" s="61" t="str">
        <f aca="false">IF(A451="","","فقط "&amp;IF(INT(ROUND(MAX(J451,K451),2))=0,"صفر",MID(IF(INT(INT(ROUND(MAX(J451,K451),2))/1000000)&gt;0," و"&amp;INDEX(تفقيط!$D$2:$D$1001,INT(INT(ROUND(MAX(J451,K451),2))/1000000)+1),"")&amp;IF(INT(MOD(INT(ROUND(MAX(J451,K451),2)),1000000)/1000)&gt;0," و"&amp;INDEX(تفقيط!$C$2:$C$1001,INT(MOD(INT(ROUND(MAX(J451,K451),2)),1000000)/1000)+1),"")&amp;IF(MOD(INT(ROUND(MAX(J451,K451),2)),1000)&gt;0," و"&amp;INDEX(تفقيط!$B$2:$B$1001,MOD(INT(ROUND(MAX(J451,K451),2)),1000)+1),""),3,400))&amp;" "&amp;CUR&amp;IF(ROUND((ROUND(MAX(J451,K451),2)-INT(ROUND(MAX(J451,K451),2)))*100,0)&gt;0," و"&amp;INDEX(تفقيط!$E$2:$E$1001,ROUND((ROUND(MAX(J451,K451),2)-INT(ROUND(MAX(J451,K451),2)))*100,0)+1),"")&amp;" لا غير")</f>
        <v/>
      </c>
    </row>
    <row r="452" customFormat="false" ht="15" hidden="false" customHeight="false" outlineLevel="0" collapsed="false">
      <c r="A452" s="62" t="str">
        <f aca="false">IF(C452="","",START_NO+COUNT(C$5:C452)-1)</f>
        <v/>
      </c>
      <c r="B452" s="63" t="str">
        <f aca="false">IF(A452="","",PREFIX&amp;"-"&amp;TEXT(C452,"yyyy")&amp;"-"&amp;A452)</f>
        <v/>
      </c>
      <c r="C452" s="56"/>
      <c r="D452" s="57"/>
      <c r="E452" s="58"/>
      <c r="F452" s="58"/>
      <c r="G452" s="57"/>
      <c r="H452" s="57"/>
      <c r="I452" s="57"/>
      <c r="J452" s="64" t="str">
        <f aca="false">IF(A452="","",SUMIFS('بنود السندات'!$F$5:$F$3004,'بنود السندات'!$A$5:$A$3004,A452))</f>
        <v/>
      </c>
      <c r="K452" s="64" t="str">
        <f aca="false">IF(A452="","",SUMIFS('بنود السندات'!$G$5:$G$3004,'بنود السندات'!$A$5:$A$3004,A452))</f>
        <v/>
      </c>
      <c r="L452" s="64" t="str">
        <f aca="false">IF(A452="","",ROUND(J452-K452,2))</f>
        <v/>
      </c>
      <c r="M452" s="63" t="str">
        <f aca="false">IF(A452="","",COUNTIF('بنود السندات'!$A$5:$A$3004,A452))</f>
        <v/>
      </c>
      <c r="N452" s="65" t="str">
        <f aca="false">IF(A452="","",IF(M452=0,"بدون بنود ⚠",IF(L452=0,"متوازن ✔","غير متوازن ✘")))</f>
        <v/>
      </c>
      <c r="O452" s="66" t="str">
        <f aca="false">IF(A452="","","فقط "&amp;IF(INT(ROUND(MAX(J452,K452),2))=0,"صفر",MID(IF(INT(INT(ROUND(MAX(J452,K452),2))/1000000)&gt;0," و"&amp;INDEX(تفقيط!$D$2:$D$1001,INT(INT(ROUND(MAX(J452,K452),2))/1000000)+1),"")&amp;IF(INT(MOD(INT(ROUND(MAX(J452,K452),2)),1000000)/1000)&gt;0," و"&amp;INDEX(تفقيط!$C$2:$C$1001,INT(MOD(INT(ROUND(MAX(J452,K452),2)),1000000)/1000)+1),"")&amp;IF(MOD(INT(ROUND(MAX(J452,K452),2)),1000)&gt;0," و"&amp;INDEX(تفقيط!$B$2:$B$1001,MOD(INT(ROUND(MAX(J452,K452),2)),1000)+1),""),3,400))&amp;" "&amp;CUR&amp;IF(ROUND((ROUND(MAX(J452,K452),2)-INT(ROUND(MAX(J452,K452),2)))*100,0)&gt;0," و"&amp;INDEX(تفقيط!$E$2:$E$1001,ROUND((ROUND(MAX(J452,K452),2)-INT(ROUND(MAX(J452,K452),2)))*100,0)+1),"")&amp;" لا غير")</f>
        <v/>
      </c>
    </row>
    <row r="453" customFormat="false" ht="15" hidden="false" customHeight="false" outlineLevel="0" collapsed="false">
      <c r="A453" s="54" t="str">
        <f aca="false">IF(C453="","",START_NO+COUNT(C$5:C453)-1)</f>
        <v/>
      </c>
      <c r="B453" s="55" t="str">
        <f aca="false">IF(A453="","",PREFIX&amp;"-"&amp;TEXT(C453,"yyyy")&amp;"-"&amp;A453)</f>
        <v/>
      </c>
      <c r="C453" s="56"/>
      <c r="D453" s="57"/>
      <c r="E453" s="58"/>
      <c r="F453" s="58"/>
      <c r="G453" s="57"/>
      <c r="H453" s="57"/>
      <c r="I453" s="57"/>
      <c r="J453" s="59" t="str">
        <f aca="false">IF(A453="","",SUMIFS('بنود السندات'!$F$5:$F$3004,'بنود السندات'!$A$5:$A$3004,A453))</f>
        <v/>
      </c>
      <c r="K453" s="59" t="str">
        <f aca="false">IF(A453="","",SUMIFS('بنود السندات'!$G$5:$G$3004,'بنود السندات'!$A$5:$A$3004,A453))</f>
        <v/>
      </c>
      <c r="L453" s="59" t="str">
        <f aca="false">IF(A453="","",ROUND(J453-K453,2))</f>
        <v/>
      </c>
      <c r="M453" s="55" t="str">
        <f aca="false">IF(A453="","",COUNTIF('بنود السندات'!$A$5:$A$3004,A453))</f>
        <v/>
      </c>
      <c r="N453" s="60" t="str">
        <f aca="false">IF(A453="","",IF(M453=0,"بدون بنود ⚠",IF(L453=0,"متوازن ✔","غير متوازن ✘")))</f>
        <v/>
      </c>
      <c r="O453" s="61" t="str">
        <f aca="false">IF(A453="","","فقط "&amp;IF(INT(ROUND(MAX(J453,K453),2))=0,"صفر",MID(IF(INT(INT(ROUND(MAX(J453,K453),2))/1000000)&gt;0," و"&amp;INDEX(تفقيط!$D$2:$D$1001,INT(INT(ROUND(MAX(J453,K453),2))/1000000)+1),"")&amp;IF(INT(MOD(INT(ROUND(MAX(J453,K453),2)),1000000)/1000)&gt;0," و"&amp;INDEX(تفقيط!$C$2:$C$1001,INT(MOD(INT(ROUND(MAX(J453,K453),2)),1000000)/1000)+1),"")&amp;IF(MOD(INT(ROUND(MAX(J453,K453),2)),1000)&gt;0," و"&amp;INDEX(تفقيط!$B$2:$B$1001,MOD(INT(ROUND(MAX(J453,K453),2)),1000)+1),""),3,400))&amp;" "&amp;CUR&amp;IF(ROUND((ROUND(MAX(J453,K453),2)-INT(ROUND(MAX(J453,K453),2)))*100,0)&gt;0," و"&amp;INDEX(تفقيط!$E$2:$E$1001,ROUND((ROUND(MAX(J453,K453),2)-INT(ROUND(MAX(J453,K453),2)))*100,0)+1),"")&amp;" لا غير")</f>
        <v/>
      </c>
    </row>
    <row r="454" customFormat="false" ht="15" hidden="false" customHeight="false" outlineLevel="0" collapsed="false">
      <c r="A454" s="62" t="str">
        <f aca="false">IF(C454="","",START_NO+COUNT(C$5:C454)-1)</f>
        <v/>
      </c>
      <c r="B454" s="63" t="str">
        <f aca="false">IF(A454="","",PREFIX&amp;"-"&amp;TEXT(C454,"yyyy")&amp;"-"&amp;A454)</f>
        <v/>
      </c>
      <c r="C454" s="56"/>
      <c r="D454" s="57"/>
      <c r="E454" s="58"/>
      <c r="F454" s="58"/>
      <c r="G454" s="57"/>
      <c r="H454" s="57"/>
      <c r="I454" s="57"/>
      <c r="J454" s="64" t="str">
        <f aca="false">IF(A454="","",SUMIFS('بنود السندات'!$F$5:$F$3004,'بنود السندات'!$A$5:$A$3004,A454))</f>
        <v/>
      </c>
      <c r="K454" s="64" t="str">
        <f aca="false">IF(A454="","",SUMIFS('بنود السندات'!$G$5:$G$3004,'بنود السندات'!$A$5:$A$3004,A454))</f>
        <v/>
      </c>
      <c r="L454" s="64" t="str">
        <f aca="false">IF(A454="","",ROUND(J454-K454,2))</f>
        <v/>
      </c>
      <c r="M454" s="63" t="str">
        <f aca="false">IF(A454="","",COUNTIF('بنود السندات'!$A$5:$A$3004,A454))</f>
        <v/>
      </c>
      <c r="N454" s="65" t="str">
        <f aca="false">IF(A454="","",IF(M454=0,"بدون بنود ⚠",IF(L454=0,"متوازن ✔","غير متوازن ✘")))</f>
        <v/>
      </c>
      <c r="O454" s="66" t="str">
        <f aca="false">IF(A454="","","فقط "&amp;IF(INT(ROUND(MAX(J454,K454),2))=0,"صفر",MID(IF(INT(INT(ROUND(MAX(J454,K454),2))/1000000)&gt;0," و"&amp;INDEX(تفقيط!$D$2:$D$1001,INT(INT(ROUND(MAX(J454,K454),2))/1000000)+1),"")&amp;IF(INT(MOD(INT(ROUND(MAX(J454,K454),2)),1000000)/1000)&gt;0," و"&amp;INDEX(تفقيط!$C$2:$C$1001,INT(MOD(INT(ROUND(MAX(J454,K454),2)),1000000)/1000)+1),"")&amp;IF(MOD(INT(ROUND(MAX(J454,K454),2)),1000)&gt;0," و"&amp;INDEX(تفقيط!$B$2:$B$1001,MOD(INT(ROUND(MAX(J454,K454),2)),1000)+1),""),3,400))&amp;" "&amp;CUR&amp;IF(ROUND((ROUND(MAX(J454,K454),2)-INT(ROUND(MAX(J454,K454),2)))*100,0)&gt;0," و"&amp;INDEX(تفقيط!$E$2:$E$1001,ROUND((ROUND(MAX(J454,K454),2)-INT(ROUND(MAX(J454,K454),2)))*100,0)+1),"")&amp;" لا غير")</f>
        <v/>
      </c>
    </row>
    <row r="455" customFormat="false" ht="15" hidden="false" customHeight="false" outlineLevel="0" collapsed="false">
      <c r="A455" s="54" t="str">
        <f aca="false">IF(C455="","",START_NO+COUNT(C$5:C455)-1)</f>
        <v/>
      </c>
      <c r="B455" s="55" t="str">
        <f aca="false">IF(A455="","",PREFIX&amp;"-"&amp;TEXT(C455,"yyyy")&amp;"-"&amp;A455)</f>
        <v/>
      </c>
      <c r="C455" s="56"/>
      <c r="D455" s="57"/>
      <c r="E455" s="58"/>
      <c r="F455" s="58"/>
      <c r="G455" s="57"/>
      <c r="H455" s="57"/>
      <c r="I455" s="57"/>
      <c r="J455" s="59" t="str">
        <f aca="false">IF(A455="","",SUMIFS('بنود السندات'!$F$5:$F$3004,'بنود السندات'!$A$5:$A$3004,A455))</f>
        <v/>
      </c>
      <c r="K455" s="59" t="str">
        <f aca="false">IF(A455="","",SUMIFS('بنود السندات'!$G$5:$G$3004,'بنود السندات'!$A$5:$A$3004,A455))</f>
        <v/>
      </c>
      <c r="L455" s="59" t="str">
        <f aca="false">IF(A455="","",ROUND(J455-K455,2))</f>
        <v/>
      </c>
      <c r="M455" s="55" t="str">
        <f aca="false">IF(A455="","",COUNTIF('بنود السندات'!$A$5:$A$3004,A455))</f>
        <v/>
      </c>
      <c r="N455" s="60" t="str">
        <f aca="false">IF(A455="","",IF(M455=0,"بدون بنود ⚠",IF(L455=0,"متوازن ✔","غير متوازن ✘")))</f>
        <v/>
      </c>
      <c r="O455" s="61" t="str">
        <f aca="false">IF(A455="","","فقط "&amp;IF(INT(ROUND(MAX(J455,K455),2))=0,"صفر",MID(IF(INT(INT(ROUND(MAX(J455,K455),2))/1000000)&gt;0," و"&amp;INDEX(تفقيط!$D$2:$D$1001,INT(INT(ROUND(MAX(J455,K455),2))/1000000)+1),"")&amp;IF(INT(MOD(INT(ROUND(MAX(J455,K455),2)),1000000)/1000)&gt;0," و"&amp;INDEX(تفقيط!$C$2:$C$1001,INT(MOD(INT(ROUND(MAX(J455,K455),2)),1000000)/1000)+1),"")&amp;IF(MOD(INT(ROUND(MAX(J455,K455),2)),1000)&gt;0," و"&amp;INDEX(تفقيط!$B$2:$B$1001,MOD(INT(ROUND(MAX(J455,K455),2)),1000)+1),""),3,400))&amp;" "&amp;CUR&amp;IF(ROUND((ROUND(MAX(J455,K455),2)-INT(ROUND(MAX(J455,K455),2)))*100,0)&gt;0," و"&amp;INDEX(تفقيط!$E$2:$E$1001,ROUND((ROUND(MAX(J455,K455),2)-INT(ROUND(MAX(J455,K455),2)))*100,0)+1),"")&amp;" لا غير")</f>
        <v/>
      </c>
    </row>
    <row r="456" customFormat="false" ht="15" hidden="false" customHeight="false" outlineLevel="0" collapsed="false">
      <c r="A456" s="62" t="str">
        <f aca="false">IF(C456="","",START_NO+COUNT(C$5:C456)-1)</f>
        <v/>
      </c>
      <c r="B456" s="63" t="str">
        <f aca="false">IF(A456="","",PREFIX&amp;"-"&amp;TEXT(C456,"yyyy")&amp;"-"&amp;A456)</f>
        <v/>
      </c>
      <c r="C456" s="56"/>
      <c r="D456" s="57"/>
      <c r="E456" s="58"/>
      <c r="F456" s="58"/>
      <c r="G456" s="57"/>
      <c r="H456" s="57"/>
      <c r="I456" s="57"/>
      <c r="J456" s="64" t="str">
        <f aca="false">IF(A456="","",SUMIFS('بنود السندات'!$F$5:$F$3004,'بنود السندات'!$A$5:$A$3004,A456))</f>
        <v/>
      </c>
      <c r="K456" s="64" t="str">
        <f aca="false">IF(A456="","",SUMIFS('بنود السندات'!$G$5:$G$3004,'بنود السندات'!$A$5:$A$3004,A456))</f>
        <v/>
      </c>
      <c r="L456" s="64" t="str">
        <f aca="false">IF(A456="","",ROUND(J456-K456,2))</f>
        <v/>
      </c>
      <c r="M456" s="63" t="str">
        <f aca="false">IF(A456="","",COUNTIF('بنود السندات'!$A$5:$A$3004,A456))</f>
        <v/>
      </c>
      <c r="N456" s="65" t="str">
        <f aca="false">IF(A456="","",IF(M456=0,"بدون بنود ⚠",IF(L456=0,"متوازن ✔","غير متوازن ✘")))</f>
        <v/>
      </c>
      <c r="O456" s="66" t="str">
        <f aca="false">IF(A456="","","فقط "&amp;IF(INT(ROUND(MAX(J456,K456),2))=0,"صفر",MID(IF(INT(INT(ROUND(MAX(J456,K456),2))/1000000)&gt;0," و"&amp;INDEX(تفقيط!$D$2:$D$1001,INT(INT(ROUND(MAX(J456,K456),2))/1000000)+1),"")&amp;IF(INT(MOD(INT(ROUND(MAX(J456,K456),2)),1000000)/1000)&gt;0," و"&amp;INDEX(تفقيط!$C$2:$C$1001,INT(MOD(INT(ROUND(MAX(J456,K456),2)),1000000)/1000)+1),"")&amp;IF(MOD(INT(ROUND(MAX(J456,K456),2)),1000)&gt;0," و"&amp;INDEX(تفقيط!$B$2:$B$1001,MOD(INT(ROUND(MAX(J456,K456),2)),1000)+1),""),3,400))&amp;" "&amp;CUR&amp;IF(ROUND((ROUND(MAX(J456,K456),2)-INT(ROUND(MAX(J456,K456),2)))*100,0)&gt;0," و"&amp;INDEX(تفقيط!$E$2:$E$1001,ROUND((ROUND(MAX(J456,K456),2)-INT(ROUND(MAX(J456,K456),2)))*100,0)+1),"")&amp;" لا غير")</f>
        <v/>
      </c>
    </row>
    <row r="457" customFormat="false" ht="15" hidden="false" customHeight="false" outlineLevel="0" collapsed="false">
      <c r="A457" s="54" t="str">
        <f aca="false">IF(C457="","",START_NO+COUNT(C$5:C457)-1)</f>
        <v/>
      </c>
      <c r="B457" s="55" t="str">
        <f aca="false">IF(A457="","",PREFIX&amp;"-"&amp;TEXT(C457,"yyyy")&amp;"-"&amp;A457)</f>
        <v/>
      </c>
      <c r="C457" s="56"/>
      <c r="D457" s="57"/>
      <c r="E457" s="58"/>
      <c r="F457" s="58"/>
      <c r="G457" s="57"/>
      <c r="H457" s="57"/>
      <c r="I457" s="57"/>
      <c r="J457" s="59" t="str">
        <f aca="false">IF(A457="","",SUMIFS('بنود السندات'!$F$5:$F$3004,'بنود السندات'!$A$5:$A$3004,A457))</f>
        <v/>
      </c>
      <c r="K457" s="59" t="str">
        <f aca="false">IF(A457="","",SUMIFS('بنود السندات'!$G$5:$G$3004,'بنود السندات'!$A$5:$A$3004,A457))</f>
        <v/>
      </c>
      <c r="L457" s="59" t="str">
        <f aca="false">IF(A457="","",ROUND(J457-K457,2))</f>
        <v/>
      </c>
      <c r="M457" s="55" t="str">
        <f aca="false">IF(A457="","",COUNTIF('بنود السندات'!$A$5:$A$3004,A457))</f>
        <v/>
      </c>
      <c r="N457" s="60" t="str">
        <f aca="false">IF(A457="","",IF(M457=0,"بدون بنود ⚠",IF(L457=0,"متوازن ✔","غير متوازن ✘")))</f>
        <v/>
      </c>
      <c r="O457" s="61" t="str">
        <f aca="false">IF(A457="","","فقط "&amp;IF(INT(ROUND(MAX(J457,K457),2))=0,"صفر",MID(IF(INT(INT(ROUND(MAX(J457,K457),2))/1000000)&gt;0," و"&amp;INDEX(تفقيط!$D$2:$D$1001,INT(INT(ROUND(MAX(J457,K457),2))/1000000)+1),"")&amp;IF(INT(MOD(INT(ROUND(MAX(J457,K457),2)),1000000)/1000)&gt;0," و"&amp;INDEX(تفقيط!$C$2:$C$1001,INT(MOD(INT(ROUND(MAX(J457,K457),2)),1000000)/1000)+1),"")&amp;IF(MOD(INT(ROUND(MAX(J457,K457),2)),1000)&gt;0," و"&amp;INDEX(تفقيط!$B$2:$B$1001,MOD(INT(ROUND(MAX(J457,K457),2)),1000)+1),""),3,400))&amp;" "&amp;CUR&amp;IF(ROUND((ROUND(MAX(J457,K457),2)-INT(ROUND(MAX(J457,K457),2)))*100,0)&gt;0," و"&amp;INDEX(تفقيط!$E$2:$E$1001,ROUND((ROUND(MAX(J457,K457),2)-INT(ROUND(MAX(J457,K457),2)))*100,0)+1),"")&amp;" لا غير")</f>
        <v/>
      </c>
    </row>
    <row r="458" customFormat="false" ht="15" hidden="false" customHeight="false" outlineLevel="0" collapsed="false">
      <c r="A458" s="62" t="str">
        <f aca="false">IF(C458="","",START_NO+COUNT(C$5:C458)-1)</f>
        <v/>
      </c>
      <c r="B458" s="63" t="str">
        <f aca="false">IF(A458="","",PREFIX&amp;"-"&amp;TEXT(C458,"yyyy")&amp;"-"&amp;A458)</f>
        <v/>
      </c>
      <c r="C458" s="56"/>
      <c r="D458" s="57"/>
      <c r="E458" s="58"/>
      <c r="F458" s="58"/>
      <c r="G458" s="57"/>
      <c r="H458" s="57"/>
      <c r="I458" s="57"/>
      <c r="J458" s="64" t="str">
        <f aca="false">IF(A458="","",SUMIFS('بنود السندات'!$F$5:$F$3004,'بنود السندات'!$A$5:$A$3004,A458))</f>
        <v/>
      </c>
      <c r="K458" s="64" t="str">
        <f aca="false">IF(A458="","",SUMIFS('بنود السندات'!$G$5:$G$3004,'بنود السندات'!$A$5:$A$3004,A458))</f>
        <v/>
      </c>
      <c r="L458" s="64" t="str">
        <f aca="false">IF(A458="","",ROUND(J458-K458,2))</f>
        <v/>
      </c>
      <c r="M458" s="63" t="str">
        <f aca="false">IF(A458="","",COUNTIF('بنود السندات'!$A$5:$A$3004,A458))</f>
        <v/>
      </c>
      <c r="N458" s="65" t="str">
        <f aca="false">IF(A458="","",IF(M458=0,"بدون بنود ⚠",IF(L458=0,"متوازن ✔","غير متوازن ✘")))</f>
        <v/>
      </c>
      <c r="O458" s="66" t="str">
        <f aca="false">IF(A458="","","فقط "&amp;IF(INT(ROUND(MAX(J458,K458),2))=0,"صفر",MID(IF(INT(INT(ROUND(MAX(J458,K458),2))/1000000)&gt;0," و"&amp;INDEX(تفقيط!$D$2:$D$1001,INT(INT(ROUND(MAX(J458,K458),2))/1000000)+1),"")&amp;IF(INT(MOD(INT(ROUND(MAX(J458,K458),2)),1000000)/1000)&gt;0," و"&amp;INDEX(تفقيط!$C$2:$C$1001,INT(MOD(INT(ROUND(MAX(J458,K458),2)),1000000)/1000)+1),"")&amp;IF(MOD(INT(ROUND(MAX(J458,K458),2)),1000)&gt;0," و"&amp;INDEX(تفقيط!$B$2:$B$1001,MOD(INT(ROUND(MAX(J458,K458),2)),1000)+1),""),3,400))&amp;" "&amp;CUR&amp;IF(ROUND((ROUND(MAX(J458,K458),2)-INT(ROUND(MAX(J458,K458),2)))*100,0)&gt;0," و"&amp;INDEX(تفقيط!$E$2:$E$1001,ROUND((ROUND(MAX(J458,K458),2)-INT(ROUND(MAX(J458,K458),2)))*100,0)+1),"")&amp;" لا غير")</f>
        <v/>
      </c>
    </row>
    <row r="459" customFormat="false" ht="15" hidden="false" customHeight="false" outlineLevel="0" collapsed="false">
      <c r="A459" s="54" t="str">
        <f aca="false">IF(C459="","",START_NO+COUNT(C$5:C459)-1)</f>
        <v/>
      </c>
      <c r="B459" s="55" t="str">
        <f aca="false">IF(A459="","",PREFIX&amp;"-"&amp;TEXT(C459,"yyyy")&amp;"-"&amp;A459)</f>
        <v/>
      </c>
      <c r="C459" s="56"/>
      <c r="D459" s="57"/>
      <c r="E459" s="58"/>
      <c r="F459" s="58"/>
      <c r="G459" s="57"/>
      <c r="H459" s="57"/>
      <c r="I459" s="57"/>
      <c r="J459" s="59" t="str">
        <f aca="false">IF(A459="","",SUMIFS('بنود السندات'!$F$5:$F$3004,'بنود السندات'!$A$5:$A$3004,A459))</f>
        <v/>
      </c>
      <c r="K459" s="59" t="str">
        <f aca="false">IF(A459="","",SUMIFS('بنود السندات'!$G$5:$G$3004,'بنود السندات'!$A$5:$A$3004,A459))</f>
        <v/>
      </c>
      <c r="L459" s="59" t="str">
        <f aca="false">IF(A459="","",ROUND(J459-K459,2))</f>
        <v/>
      </c>
      <c r="M459" s="55" t="str">
        <f aca="false">IF(A459="","",COUNTIF('بنود السندات'!$A$5:$A$3004,A459))</f>
        <v/>
      </c>
      <c r="N459" s="60" t="str">
        <f aca="false">IF(A459="","",IF(M459=0,"بدون بنود ⚠",IF(L459=0,"متوازن ✔","غير متوازن ✘")))</f>
        <v/>
      </c>
      <c r="O459" s="61" t="str">
        <f aca="false">IF(A459="","","فقط "&amp;IF(INT(ROUND(MAX(J459,K459),2))=0,"صفر",MID(IF(INT(INT(ROUND(MAX(J459,K459),2))/1000000)&gt;0," و"&amp;INDEX(تفقيط!$D$2:$D$1001,INT(INT(ROUND(MAX(J459,K459),2))/1000000)+1),"")&amp;IF(INT(MOD(INT(ROUND(MAX(J459,K459),2)),1000000)/1000)&gt;0," و"&amp;INDEX(تفقيط!$C$2:$C$1001,INT(MOD(INT(ROUND(MAX(J459,K459),2)),1000000)/1000)+1),"")&amp;IF(MOD(INT(ROUND(MAX(J459,K459),2)),1000)&gt;0," و"&amp;INDEX(تفقيط!$B$2:$B$1001,MOD(INT(ROUND(MAX(J459,K459),2)),1000)+1),""),3,400))&amp;" "&amp;CUR&amp;IF(ROUND((ROUND(MAX(J459,K459),2)-INT(ROUND(MAX(J459,K459),2)))*100,0)&gt;0," و"&amp;INDEX(تفقيط!$E$2:$E$1001,ROUND((ROUND(MAX(J459,K459),2)-INT(ROUND(MAX(J459,K459),2)))*100,0)+1),"")&amp;" لا غير")</f>
        <v/>
      </c>
    </row>
    <row r="460" customFormat="false" ht="15" hidden="false" customHeight="false" outlineLevel="0" collapsed="false">
      <c r="A460" s="62" t="str">
        <f aca="false">IF(C460="","",START_NO+COUNT(C$5:C460)-1)</f>
        <v/>
      </c>
      <c r="B460" s="63" t="str">
        <f aca="false">IF(A460="","",PREFIX&amp;"-"&amp;TEXT(C460,"yyyy")&amp;"-"&amp;A460)</f>
        <v/>
      </c>
      <c r="C460" s="56"/>
      <c r="D460" s="57"/>
      <c r="E460" s="58"/>
      <c r="F460" s="58"/>
      <c r="G460" s="57"/>
      <c r="H460" s="57"/>
      <c r="I460" s="57"/>
      <c r="J460" s="64" t="str">
        <f aca="false">IF(A460="","",SUMIFS('بنود السندات'!$F$5:$F$3004,'بنود السندات'!$A$5:$A$3004,A460))</f>
        <v/>
      </c>
      <c r="K460" s="64" t="str">
        <f aca="false">IF(A460="","",SUMIFS('بنود السندات'!$G$5:$G$3004,'بنود السندات'!$A$5:$A$3004,A460))</f>
        <v/>
      </c>
      <c r="L460" s="64" t="str">
        <f aca="false">IF(A460="","",ROUND(J460-K460,2))</f>
        <v/>
      </c>
      <c r="M460" s="63" t="str">
        <f aca="false">IF(A460="","",COUNTIF('بنود السندات'!$A$5:$A$3004,A460))</f>
        <v/>
      </c>
      <c r="N460" s="65" t="str">
        <f aca="false">IF(A460="","",IF(M460=0,"بدون بنود ⚠",IF(L460=0,"متوازن ✔","غير متوازن ✘")))</f>
        <v/>
      </c>
      <c r="O460" s="66" t="str">
        <f aca="false">IF(A460="","","فقط "&amp;IF(INT(ROUND(MAX(J460,K460),2))=0,"صفر",MID(IF(INT(INT(ROUND(MAX(J460,K460),2))/1000000)&gt;0," و"&amp;INDEX(تفقيط!$D$2:$D$1001,INT(INT(ROUND(MAX(J460,K460),2))/1000000)+1),"")&amp;IF(INT(MOD(INT(ROUND(MAX(J460,K460),2)),1000000)/1000)&gt;0," و"&amp;INDEX(تفقيط!$C$2:$C$1001,INT(MOD(INT(ROUND(MAX(J460,K460),2)),1000000)/1000)+1),"")&amp;IF(MOD(INT(ROUND(MAX(J460,K460),2)),1000)&gt;0," و"&amp;INDEX(تفقيط!$B$2:$B$1001,MOD(INT(ROUND(MAX(J460,K460),2)),1000)+1),""),3,400))&amp;" "&amp;CUR&amp;IF(ROUND((ROUND(MAX(J460,K460),2)-INT(ROUND(MAX(J460,K460),2)))*100,0)&gt;0," و"&amp;INDEX(تفقيط!$E$2:$E$1001,ROUND((ROUND(MAX(J460,K460),2)-INT(ROUND(MAX(J460,K460),2)))*100,0)+1),"")&amp;" لا غير")</f>
        <v/>
      </c>
    </row>
    <row r="461" customFormat="false" ht="15" hidden="false" customHeight="false" outlineLevel="0" collapsed="false">
      <c r="A461" s="54" t="str">
        <f aca="false">IF(C461="","",START_NO+COUNT(C$5:C461)-1)</f>
        <v/>
      </c>
      <c r="B461" s="55" t="str">
        <f aca="false">IF(A461="","",PREFIX&amp;"-"&amp;TEXT(C461,"yyyy")&amp;"-"&amp;A461)</f>
        <v/>
      </c>
      <c r="C461" s="56"/>
      <c r="D461" s="57"/>
      <c r="E461" s="58"/>
      <c r="F461" s="58"/>
      <c r="G461" s="57"/>
      <c r="H461" s="57"/>
      <c r="I461" s="57"/>
      <c r="J461" s="59" t="str">
        <f aca="false">IF(A461="","",SUMIFS('بنود السندات'!$F$5:$F$3004,'بنود السندات'!$A$5:$A$3004,A461))</f>
        <v/>
      </c>
      <c r="K461" s="59" t="str">
        <f aca="false">IF(A461="","",SUMIFS('بنود السندات'!$G$5:$G$3004,'بنود السندات'!$A$5:$A$3004,A461))</f>
        <v/>
      </c>
      <c r="L461" s="59" t="str">
        <f aca="false">IF(A461="","",ROUND(J461-K461,2))</f>
        <v/>
      </c>
      <c r="M461" s="55" t="str">
        <f aca="false">IF(A461="","",COUNTIF('بنود السندات'!$A$5:$A$3004,A461))</f>
        <v/>
      </c>
      <c r="N461" s="60" t="str">
        <f aca="false">IF(A461="","",IF(M461=0,"بدون بنود ⚠",IF(L461=0,"متوازن ✔","غير متوازن ✘")))</f>
        <v/>
      </c>
      <c r="O461" s="61" t="str">
        <f aca="false">IF(A461="","","فقط "&amp;IF(INT(ROUND(MAX(J461,K461),2))=0,"صفر",MID(IF(INT(INT(ROUND(MAX(J461,K461),2))/1000000)&gt;0," و"&amp;INDEX(تفقيط!$D$2:$D$1001,INT(INT(ROUND(MAX(J461,K461),2))/1000000)+1),"")&amp;IF(INT(MOD(INT(ROUND(MAX(J461,K461),2)),1000000)/1000)&gt;0," و"&amp;INDEX(تفقيط!$C$2:$C$1001,INT(MOD(INT(ROUND(MAX(J461,K461),2)),1000000)/1000)+1),"")&amp;IF(MOD(INT(ROUND(MAX(J461,K461),2)),1000)&gt;0," و"&amp;INDEX(تفقيط!$B$2:$B$1001,MOD(INT(ROUND(MAX(J461,K461),2)),1000)+1),""),3,400))&amp;" "&amp;CUR&amp;IF(ROUND((ROUND(MAX(J461,K461),2)-INT(ROUND(MAX(J461,K461),2)))*100,0)&gt;0," و"&amp;INDEX(تفقيط!$E$2:$E$1001,ROUND((ROUND(MAX(J461,K461),2)-INT(ROUND(MAX(J461,K461),2)))*100,0)+1),"")&amp;" لا غير")</f>
        <v/>
      </c>
    </row>
    <row r="462" customFormat="false" ht="15" hidden="false" customHeight="false" outlineLevel="0" collapsed="false">
      <c r="A462" s="62" t="str">
        <f aca="false">IF(C462="","",START_NO+COUNT(C$5:C462)-1)</f>
        <v/>
      </c>
      <c r="B462" s="63" t="str">
        <f aca="false">IF(A462="","",PREFIX&amp;"-"&amp;TEXT(C462,"yyyy")&amp;"-"&amp;A462)</f>
        <v/>
      </c>
      <c r="C462" s="56"/>
      <c r="D462" s="57"/>
      <c r="E462" s="58"/>
      <c r="F462" s="58"/>
      <c r="G462" s="57"/>
      <c r="H462" s="57"/>
      <c r="I462" s="57"/>
      <c r="J462" s="64" t="str">
        <f aca="false">IF(A462="","",SUMIFS('بنود السندات'!$F$5:$F$3004,'بنود السندات'!$A$5:$A$3004,A462))</f>
        <v/>
      </c>
      <c r="K462" s="64" t="str">
        <f aca="false">IF(A462="","",SUMIFS('بنود السندات'!$G$5:$G$3004,'بنود السندات'!$A$5:$A$3004,A462))</f>
        <v/>
      </c>
      <c r="L462" s="64" t="str">
        <f aca="false">IF(A462="","",ROUND(J462-K462,2))</f>
        <v/>
      </c>
      <c r="M462" s="63" t="str">
        <f aca="false">IF(A462="","",COUNTIF('بنود السندات'!$A$5:$A$3004,A462))</f>
        <v/>
      </c>
      <c r="N462" s="65" t="str">
        <f aca="false">IF(A462="","",IF(M462=0,"بدون بنود ⚠",IF(L462=0,"متوازن ✔","غير متوازن ✘")))</f>
        <v/>
      </c>
      <c r="O462" s="66" t="str">
        <f aca="false">IF(A462="","","فقط "&amp;IF(INT(ROUND(MAX(J462,K462),2))=0,"صفر",MID(IF(INT(INT(ROUND(MAX(J462,K462),2))/1000000)&gt;0," و"&amp;INDEX(تفقيط!$D$2:$D$1001,INT(INT(ROUND(MAX(J462,K462),2))/1000000)+1),"")&amp;IF(INT(MOD(INT(ROUND(MAX(J462,K462),2)),1000000)/1000)&gt;0," و"&amp;INDEX(تفقيط!$C$2:$C$1001,INT(MOD(INT(ROUND(MAX(J462,K462),2)),1000000)/1000)+1),"")&amp;IF(MOD(INT(ROUND(MAX(J462,K462),2)),1000)&gt;0," و"&amp;INDEX(تفقيط!$B$2:$B$1001,MOD(INT(ROUND(MAX(J462,K462),2)),1000)+1),""),3,400))&amp;" "&amp;CUR&amp;IF(ROUND((ROUND(MAX(J462,K462),2)-INT(ROUND(MAX(J462,K462),2)))*100,0)&gt;0," و"&amp;INDEX(تفقيط!$E$2:$E$1001,ROUND((ROUND(MAX(J462,K462),2)-INT(ROUND(MAX(J462,K462),2)))*100,0)+1),"")&amp;" لا غير")</f>
        <v/>
      </c>
    </row>
    <row r="463" customFormat="false" ht="15" hidden="false" customHeight="false" outlineLevel="0" collapsed="false">
      <c r="A463" s="54" t="str">
        <f aca="false">IF(C463="","",START_NO+COUNT(C$5:C463)-1)</f>
        <v/>
      </c>
      <c r="B463" s="55" t="str">
        <f aca="false">IF(A463="","",PREFIX&amp;"-"&amp;TEXT(C463,"yyyy")&amp;"-"&amp;A463)</f>
        <v/>
      </c>
      <c r="C463" s="56"/>
      <c r="D463" s="57"/>
      <c r="E463" s="58"/>
      <c r="F463" s="58"/>
      <c r="G463" s="57"/>
      <c r="H463" s="57"/>
      <c r="I463" s="57"/>
      <c r="J463" s="59" t="str">
        <f aca="false">IF(A463="","",SUMIFS('بنود السندات'!$F$5:$F$3004,'بنود السندات'!$A$5:$A$3004,A463))</f>
        <v/>
      </c>
      <c r="K463" s="59" t="str">
        <f aca="false">IF(A463="","",SUMIFS('بنود السندات'!$G$5:$G$3004,'بنود السندات'!$A$5:$A$3004,A463))</f>
        <v/>
      </c>
      <c r="L463" s="59" t="str">
        <f aca="false">IF(A463="","",ROUND(J463-K463,2))</f>
        <v/>
      </c>
      <c r="M463" s="55" t="str">
        <f aca="false">IF(A463="","",COUNTIF('بنود السندات'!$A$5:$A$3004,A463))</f>
        <v/>
      </c>
      <c r="N463" s="60" t="str">
        <f aca="false">IF(A463="","",IF(M463=0,"بدون بنود ⚠",IF(L463=0,"متوازن ✔","غير متوازن ✘")))</f>
        <v/>
      </c>
      <c r="O463" s="61" t="str">
        <f aca="false">IF(A463="","","فقط "&amp;IF(INT(ROUND(MAX(J463,K463),2))=0,"صفر",MID(IF(INT(INT(ROUND(MAX(J463,K463),2))/1000000)&gt;0," و"&amp;INDEX(تفقيط!$D$2:$D$1001,INT(INT(ROUND(MAX(J463,K463),2))/1000000)+1),"")&amp;IF(INT(MOD(INT(ROUND(MAX(J463,K463),2)),1000000)/1000)&gt;0," و"&amp;INDEX(تفقيط!$C$2:$C$1001,INT(MOD(INT(ROUND(MAX(J463,K463),2)),1000000)/1000)+1),"")&amp;IF(MOD(INT(ROUND(MAX(J463,K463),2)),1000)&gt;0," و"&amp;INDEX(تفقيط!$B$2:$B$1001,MOD(INT(ROUND(MAX(J463,K463),2)),1000)+1),""),3,400))&amp;" "&amp;CUR&amp;IF(ROUND((ROUND(MAX(J463,K463),2)-INT(ROUND(MAX(J463,K463),2)))*100,0)&gt;0," و"&amp;INDEX(تفقيط!$E$2:$E$1001,ROUND((ROUND(MAX(J463,K463),2)-INT(ROUND(MAX(J463,K463),2)))*100,0)+1),"")&amp;" لا غير")</f>
        <v/>
      </c>
    </row>
    <row r="464" customFormat="false" ht="15" hidden="false" customHeight="false" outlineLevel="0" collapsed="false">
      <c r="A464" s="62" t="str">
        <f aca="false">IF(C464="","",START_NO+COUNT(C$5:C464)-1)</f>
        <v/>
      </c>
      <c r="B464" s="63" t="str">
        <f aca="false">IF(A464="","",PREFIX&amp;"-"&amp;TEXT(C464,"yyyy")&amp;"-"&amp;A464)</f>
        <v/>
      </c>
      <c r="C464" s="56"/>
      <c r="D464" s="57"/>
      <c r="E464" s="58"/>
      <c r="F464" s="58"/>
      <c r="G464" s="57"/>
      <c r="H464" s="57"/>
      <c r="I464" s="57"/>
      <c r="J464" s="64" t="str">
        <f aca="false">IF(A464="","",SUMIFS('بنود السندات'!$F$5:$F$3004,'بنود السندات'!$A$5:$A$3004,A464))</f>
        <v/>
      </c>
      <c r="K464" s="64" t="str">
        <f aca="false">IF(A464="","",SUMIFS('بنود السندات'!$G$5:$G$3004,'بنود السندات'!$A$5:$A$3004,A464))</f>
        <v/>
      </c>
      <c r="L464" s="64" t="str">
        <f aca="false">IF(A464="","",ROUND(J464-K464,2))</f>
        <v/>
      </c>
      <c r="M464" s="63" t="str">
        <f aca="false">IF(A464="","",COUNTIF('بنود السندات'!$A$5:$A$3004,A464))</f>
        <v/>
      </c>
      <c r="N464" s="65" t="str">
        <f aca="false">IF(A464="","",IF(M464=0,"بدون بنود ⚠",IF(L464=0,"متوازن ✔","غير متوازن ✘")))</f>
        <v/>
      </c>
      <c r="O464" s="66" t="str">
        <f aca="false">IF(A464="","","فقط "&amp;IF(INT(ROUND(MAX(J464,K464),2))=0,"صفر",MID(IF(INT(INT(ROUND(MAX(J464,K464),2))/1000000)&gt;0," و"&amp;INDEX(تفقيط!$D$2:$D$1001,INT(INT(ROUND(MAX(J464,K464),2))/1000000)+1),"")&amp;IF(INT(MOD(INT(ROUND(MAX(J464,K464),2)),1000000)/1000)&gt;0," و"&amp;INDEX(تفقيط!$C$2:$C$1001,INT(MOD(INT(ROUND(MAX(J464,K464),2)),1000000)/1000)+1),"")&amp;IF(MOD(INT(ROUND(MAX(J464,K464),2)),1000)&gt;0," و"&amp;INDEX(تفقيط!$B$2:$B$1001,MOD(INT(ROUND(MAX(J464,K464),2)),1000)+1),""),3,400))&amp;" "&amp;CUR&amp;IF(ROUND((ROUND(MAX(J464,K464),2)-INT(ROUND(MAX(J464,K464),2)))*100,0)&gt;0," و"&amp;INDEX(تفقيط!$E$2:$E$1001,ROUND((ROUND(MAX(J464,K464),2)-INT(ROUND(MAX(J464,K464),2)))*100,0)+1),"")&amp;" لا غير")</f>
        <v/>
      </c>
    </row>
    <row r="465" customFormat="false" ht="15" hidden="false" customHeight="false" outlineLevel="0" collapsed="false">
      <c r="A465" s="54" t="str">
        <f aca="false">IF(C465="","",START_NO+COUNT(C$5:C465)-1)</f>
        <v/>
      </c>
      <c r="B465" s="55" t="str">
        <f aca="false">IF(A465="","",PREFIX&amp;"-"&amp;TEXT(C465,"yyyy")&amp;"-"&amp;A465)</f>
        <v/>
      </c>
      <c r="C465" s="56"/>
      <c r="D465" s="57"/>
      <c r="E465" s="58"/>
      <c r="F465" s="58"/>
      <c r="G465" s="57"/>
      <c r="H465" s="57"/>
      <c r="I465" s="57"/>
      <c r="J465" s="59" t="str">
        <f aca="false">IF(A465="","",SUMIFS('بنود السندات'!$F$5:$F$3004,'بنود السندات'!$A$5:$A$3004,A465))</f>
        <v/>
      </c>
      <c r="K465" s="59" t="str">
        <f aca="false">IF(A465="","",SUMIFS('بنود السندات'!$G$5:$G$3004,'بنود السندات'!$A$5:$A$3004,A465))</f>
        <v/>
      </c>
      <c r="L465" s="59" t="str">
        <f aca="false">IF(A465="","",ROUND(J465-K465,2))</f>
        <v/>
      </c>
      <c r="M465" s="55" t="str">
        <f aca="false">IF(A465="","",COUNTIF('بنود السندات'!$A$5:$A$3004,A465))</f>
        <v/>
      </c>
      <c r="N465" s="60" t="str">
        <f aca="false">IF(A465="","",IF(M465=0,"بدون بنود ⚠",IF(L465=0,"متوازن ✔","غير متوازن ✘")))</f>
        <v/>
      </c>
      <c r="O465" s="61" t="str">
        <f aca="false">IF(A465="","","فقط "&amp;IF(INT(ROUND(MAX(J465,K465),2))=0,"صفر",MID(IF(INT(INT(ROUND(MAX(J465,K465),2))/1000000)&gt;0," و"&amp;INDEX(تفقيط!$D$2:$D$1001,INT(INT(ROUND(MAX(J465,K465),2))/1000000)+1),"")&amp;IF(INT(MOD(INT(ROUND(MAX(J465,K465),2)),1000000)/1000)&gt;0," و"&amp;INDEX(تفقيط!$C$2:$C$1001,INT(MOD(INT(ROUND(MAX(J465,K465),2)),1000000)/1000)+1),"")&amp;IF(MOD(INT(ROUND(MAX(J465,K465),2)),1000)&gt;0," و"&amp;INDEX(تفقيط!$B$2:$B$1001,MOD(INT(ROUND(MAX(J465,K465),2)),1000)+1),""),3,400))&amp;" "&amp;CUR&amp;IF(ROUND((ROUND(MAX(J465,K465),2)-INT(ROUND(MAX(J465,K465),2)))*100,0)&gt;0," و"&amp;INDEX(تفقيط!$E$2:$E$1001,ROUND((ROUND(MAX(J465,K465),2)-INT(ROUND(MAX(J465,K465),2)))*100,0)+1),"")&amp;" لا غير")</f>
        <v/>
      </c>
    </row>
    <row r="466" customFormat="false" ht="15" hidden="false" customHeight="false" outlineLevel="0" collapsed="false">
      <c r="A466" s="62" t="str">
        <f aca="false">IF(C466="","",START_NO+COUNT(C$5:C466)-1)</f>
        <v/>
      </c>
      <c r="B466" s="63" t="str">
        <f aca="false">IF(A466="","",PREFIX&amp;"-"&amp;TEXT(C466,"yyyy")&amp;"-"&amp;A466)</f>
        <v/>
      </c>
      <c r="C466" s="56"/>
      <c r="D466" s="57"/>
      <c r="E466" s="58"/>
      <c r="F466" s="58"/>
      <c r="G466" s="57"/>
      <c r="H466" s="57"/>
      <c r="I466" s="57"/>
      <c r="J466" s="64" t="str">
        <f aca="false">IF(A466="","",SUMIFS('بنود السندات'!$F$5:$F$3004,'بنود السندات'!$A$5:$A$3004,A466))</f>
        <v/>
      </c>
      <c r="K466" s="64" t="str">
        <f aca="false">IF(A466="","",SUMIFS('بنود السندات'!$G$5:$G$3004,'بنود السندات'!$A$5:$A$3004,A466))</f>
        <v/>
      </c>
      <c r="L466" s="64" t="str">
        <f aca="false">IF(A466="","",ROUND(J466-K466,2))</f>
        <v/>
      </c>
      <c r="M466" s="63" t="str">
        <f aca="false">IF(A466="","",COUNTIF('بنود السندات'!$A$5:$A$3004,A466))</f>
        <v/>
      </c>
      <c r="N466" s="65" t="str">
        <f aca="false">IF(A466="","",IF(M466=0,"بدون بنود ⚠",IF(L466=0,"متوازن ✔","غير متوازن ✘")))</f>
        <v/>
      </c>
      <c r="O466" s="66" t="str">
        <f aca="false">IF(A466="","","فقط "&amp;IF(INT(ROUND(MAX(J466,K466),2))=0,"صفر",MID(IF(INT(INT(ROUND(MAX(J466,K466),2))/1000000)&gt;0," و"&amp;INDEX(تفقيط!$D$2:$D$1001,INT(INT(ROUND(MAX(J466,K466),2))/1000000)+1),"")&amp;IF(INT(MOD(INT(ROUND(MAX(J466,K466),2)),1000000)/1000)&gt;0," و"&amp;INDEX(تفقيط!$C$2:$C$1001,INT(MOD(INT(ROUND(MAX(J466,K466),2)),1000000)/1000)+1),"")&amp;IF(MOD(INT(ROUND(MAX(J466,K466),2)),1000)&gt;0," و"&amp;INDEX(تفقيط!$B$2:$B$1001,MOD(INT(ROUND(MAX(J466,K466),2)),1000)+1),""),3,400))&amp;" "&amp;CUR&amp;IF(ROUND((ROUND(MAX(J466,K466),2)-INT(ROUND(MAX(J466,K466),2)))*100,0)&gt;0," و"&amp;INDEX(تفقيط!$E$2:$E$1001,ROUND((ROUND(MAX(J466,K466),2)-INT(ROUND(MAX(J466,K466),2)))*100,0)+1),"")&amp;" لا غير")</f>
        <v/>
      </c>
    </row>
    <row r="467" customFormat="false" ht="15" hidden="false" customHeight="false" outlineLevel="0" collapsed="false">
      <c r="A467" s="54" t="str">
        <f aca="false">IF(C467="","",START_NO+COUNT(C$5:C467)-1)</f>
        <v/>
      </c>
      <c r="B467" s="55" t="str">
        <f aca="false">IF(A467="","",PREFIX&amp;"-"&amp;TEXT(C467,"yyyy")&amp;"-"&amp;A467)</f>
        <v/>
      </c>
      <c r="C467" s="56"/>
      <c r="D467" s="57"/>
      <c r="E467" s="58"/>
      <c r="F467" s="58"/>
      <c r="G467" s="57"/>
      <c r="H467" s="57"/>
      <c r="I467" s="57"/>
      <c r="J467" s="59" t="str">
        <f aca="false">IF(A467="","",SUMIFS('بنود السندات'!$F$5:$F$3004,'بنود السندات'!$A$5:$A$3004,A467))</f>
        <v/>
      </c>
      <c r="K467" s="59" t="str">
        <f aca="false">IF(A467="","",SUMIFS('بنود السندات'!$G$5:$G$3004,'بنود السندات'!$A$5:$A$3004,A467))</f>
        <v/>
      </c>
      <c r="L467" s="59" t="str">
        <f aca="false">IF(A467="","",ROUND(J467-K467,2))</f>
        <v/>
      </c>
      <c r="M467" s="55" t="str">
        <f aca="false">IF(A467="","",COUNTIF('بنود السندات'!$A$5:$A$3004,A467))</f>
        <v/>
      </c>
      <c r="N467" s="60" t="str">
        <f aca="false">IF(A467="","",IF(M467=0,"بدون بنود ⚠",IF(L467=0,"متوازن ✔","غير متوازن ✘")))</f>
        <v/>
      </c>
      <c r="O467" s="61" t="str">
        <f aca="false">IF(A467="","","فقط "&amp;IF(INT(ROUND(MAX(J467,K467),2))=0,"صفر",MID(IF(INT(INT(ROUND(MAX(J467,K467),2))/1000000)&gt;0," و"&amp;INDEX(تفقيط!$D$2:$D$1001,INT(INT(ROUND(MAX(J467,K467),2))/1000000)+1),"")&amp;IF(INT(MOD(INT(ROUND(MAX(J467,K467),2)),1000000)/1000)&gt;0," و"&amp;INDEX(تفقيط!$C$2:$C$1001,INT(MOD(INT(ROUND(MAX(J467,K467),2)),1000000)/1000)+1),"")&amp;IF(MOD(INT(ROUND(MAX(J467,K467),2)),1000)&gt;0," و"&amp;INDEX(تفقيط!$B$2:$B$1001,MOD(INT(ROUND(MAX(J467,K467),2)),1000)+1),""),3,400))&amp;" "&amp;CUR&amp;IF(ROUND((ROUND(MAX(J467,K467),2)-INT(ROUND(MAX(J467,K467),2)))*100,0)&gt;0," و"&amp;INDEX(تفقيط!$E$2:$E$1001,ROUND((ROUND(MAX(J467,K467),2)-INT(ROUND(MAX(J467,K467),2)))*100,0)+1),"")&amp;" لا غير")</f>
        <v/>
      </c>
    </row>
    <row r="468" customFormat="false" ht="15" hidden="false" customHeight="false" outlineLevel="0" collapsed="false">
      <c r="A468" s="62" t="str">
        <f aca="false">IF(C468="","",START_NO+COUNT(C$5:C468)-1)</f>
        <v/>
      </c>
      <c r="B468" s="63" t="str">
        <f aca="false">IF(A468="","",PREFIX&amp;"-"&amp;TEXT(C468,"yyyy")&amp;"-"&amp;A468)</f>
        <v/>
      </c>
      <c r="C468" s="56"/>
      <c r="D468" s="57"/>
      <c r="E468" s="58"/>
      <c r="F468" s="58"/>
      <c r="G468" s="57"/>
      <c r="H468" s="57"/>
      <c r="I468" s="57"/>
      <c r="J468" s="64" t="str">
        <f aca="false">IF(A468="","",SUMIFS('بنود السندات'!$F$5:$F$3004,'بنود السندات'!$A$5:$A$3004,A468))</f>
        <v/>
      </c>
      <c r="K468" s="64" t="str">
        <f aca="false">IF(A468="","",SUMIFS('بنود السندات'!$G$5:$G$3004,'بنود السندات'!$A$5:$A$3004,A468))</f>
        <v/>
      </c>
      <c r="L468" s="64" t="str">
        <f aca="false">IF(A468="","",ROUND(J468-K468,2))</f>
        <v/>
      </c>
      <c r="M468" s="63" t="str">
        <f aca="false">IF(A468="","",COUNTIF('بنود السندات'!$A$5:$A$3004,A468))</f>
        <v/>
      </c>
      <c r="N468" s="65" t="str">
        <f aca="false">IF(A468="","",IF(M468=0,"بدون بنود ⚠",IF(L468=0,"متوازن ✔","غير متوازن ✘")))</f>
        <v/>
      </c>
      <c r="O468" s="66" t="str">
        <f aca="false">IF(A468="","","فقط "&amp;IF(INT(ROUND(MAX(J468,K468),2))=0,"صفر",MID(IF(INT(INT(ROUND(MAX(J468,K468),2))/1000000)&gt;0," و"&amp;INDEX(تفقيط!$D$2:$D$1001,INT(INT(ROUND(MAX(J468,K468),2))/1000000)+1),"")&amp;IF(INT(MOD(INT(ROUND(MAX(J468,K468),2)),1000000)/1000)&gt;0," و"&amp;INDEX(تفقيط!$C$2:$C$1001,INT(MOD(INT(ROUND(MAX(J468,K468),2)),1000000)/1000)+1),"")&amp;IF(MOD(INT(ROUND(MAX(J468,K468),2)),1000)&gt;0," و"&amp;INDEX(تفقيط!$B$2:$B$1001,MOD(INT(ROUND(MAX(J468,K468),2)),1000)+1),""),3,400))&amp;" "&amp;CUR&amp;IF(ROUND((ROUND(MAX(J468,K468),2)-INT(ROUND(MAX(J468,K468),2)))*100,0)&gt;0," و"&amp;INDEX(تفقيط!$E$2:$E$1001,ROUND((ROUND(MAX(J468,K468),2)-INT(ROUND(MAX(J468,K468),2)))*100,0)+1),"")&amp;" لا غير")</f>
        <v/>
      </c>
    </row>
    <row r="469" customFormat="false" ht="15" hidden="false" customHeight="false" outlineLevel="0" collapsed="false">
      <c r="A469" s="54" t="str">
        <f aca="false">IF(C469="","",START_NO+COUNT(C$5:C469)-1)</f>
        <v/>
      </c>
      <c r="B469" s="55" t="str">
        <f aca="false">IF(A469="","",PREFIX&amp;"-"&amp;TEXT(C469,"yyyy")&amp;"-"&amp;A469)</f>
        <v/>
      </c>
      <c r="C469" s="56"/>
      <c r="D469" s="57"/>
      <c r="E469" s="58"/>
      <c r="F469" s="58"/>
      <c r="G469" s="57"/>
      <c r="H469" s="57"/>
      <c r="I469" s="57"/>
      <c r="J469" s="59" t="str">
        <f aca="false">IF(A469="","",SUMIFS('بنود السندات'!$F$5:$F$3004,'بنود السندات'!$A$5:$A$3004,A469))</f>
        <v/>
      </c>
      <c r="K469" s="59" t="str">
        <f aca="false">IF(A469="","",SUMIFS('بنود السندات'!$G$5:$G$3004,'بنود السندات'!$A$5:$A$3004,A469))</f>
        <v/>
      </c>
      <c r="L469" s="59" t="str">
        <f aca="false">IF(A469="","",ROUND(J469-K469,2))</f>
        <v/>
      </c>
      <c r="M469" s="55" t="str">
        <f aca="false">IF(A469="","",COUNTIF('بنود السندات'!$A$5:$A$3004,A469))</f>
        <v/>
      </c>
      <c r="N469" s="60" t="str">
        <f aca="false">IF(A469="","",IF(M469=0,"بدون بنود ⚠",IF(L469=0,"متوازن ✔","غير متوازن ✘")))</f>
        <v/>
      </c>
      <c r="O469" s="61" t="str">
        <f aca="false">IF(A469="","","فقط "&amp;IF(INT(ROUND(MAX(J469,K469),2))=0,"صفر",MID(IF(INT(INT(ROUND(MAX(J469,K469),2))/1000000)&gt;0," و"&amp;INDEX(تفقيط!$D$2:$D$1001,INT(INT(ROUND(MAX(J469,K469),2))/1000000)+1),"")&amp;IF(INT(MOD(INT(ROUND(MAX(J469,K469),2)),1000000)/1000)&gt;0," و"&amp;INDEX(تفقيط!$C$2:$C$1001,INT(MOD(INT(ROUND(MAX(J469,K469),2)),1000000)/1000)+1),"")&amp;IF(MOD(INT(ROUND(MAX(J469,K469),2)),1000)&gt;0," و"&amp;INDEX(تفقيط!$B$2:$B$1001,MOD(INT(ROUND(MAX(J469,K469),2)),1000)+1),""),3,400))&amp;" "&amp;CUR&amp;IF(ROUND((ROUND(MAX(J469,K469),2)-INT(ROUND(MAX(J469,K469),2)))*100,0)&gt;0," و"&amp;INDEX(تفقيط!$E$2:$E$1001,ROUND((ROUND(MAX(J469,K469),2)-INT(ROUND(MAX(J469,K469),2)))*100,0)+1),"")&amp;" لا غير")</f>
        <v/>
      </c>
    </row>
    <row r="470" customFormat="false" ht="15" hidden="false" customHeight="false" outlineLevel="0" collapsed="false">
      <c r="A470" s="62" t="str">
        <f aca="false">IF(C470="","",START_NO+COUNT(C$5:C470)-1)</f>
        <v/>
      </c>
      <c r="B470" s="63" t="str">
        <f aca="false">IF(A470="","",PREFIX&amp;"-"&amp;TEXT(C470,"yyyy")&amp;"-"&amp;A470)</f>
        <v/>
      </c>
      <c r="C470" s="56"/>
      <c r="D470" s="57"/>
      <c r="E470" s="58"/>
      <c r="F470" s="58"/>
      <c r="G470" s="57"/>
      <c r="H470" s="57"/>
      <c r="I470" s="57"/>
      <c r="J470" s="64" t="str">
        <f aca="false">IF(A470="","",SUMIFS('بنود السندات'!$F$5:$F$3004,'بنود السندات'!$A$5:$A$3004,A470))</f>
        <v/>
      </c>
      <c r="K470" s="64" t="str">
        <f aca="false">IF(A470="","",SUMIFS('بنود السندات'!$G$5:$G$3004,'بنود السندات'!$A$5:$A$3004,A470))</f>
        <v/>
      </c>
      <c r="L470" s="64" t="str">
        <f aca="false">IF(A470="","",ROUND(J470-K470,2))</f>
        <v/>
      </c>
      <c r="M470" s="63" t="str">
        <f aca="false">IF(A470="","",COUNTIF('بنود السندات'!$A$5:$A$3004,A470))</f>
        <v/>
      </c>
      <c r="N470" s="65" t="str">
        <f aca="false">IF(A470="","",IF(M470=0,"بدون بنود ⚠",IF(L470=0,"متوازن ✔","غير متوازن ✘")))</f>
        <v/>
      </c>
      <c r="O470" s="66" t="str">
        <f aca="false">IF(A470="","","فقط "&amp;IF(INT(ROUND(MAX(J470,K470),2))=0,"صفر",MID(IF(INT(INT(ROUND(MAX(J470,K470),2))/1000000)&gt;0," و"&amp;INDEX(تفقيط!$D$2:$D$1001,INT(INT(ROUND(MAX(J470,K470),2))/1000000)+1),"")&amp;IF(INT(MOD(INT(ROUND(MAX(J470,K470),2)),1000000)/1000)&gt;0," و"&amp;INDEX(تفقيط!$C$2:$C$1001,INT(MOD(INT(ROUND(MAX(J470,K470),2)),1000000)/1000)+1),"")&amp;IF(MOD(INT(ROUND(MAX(J470,K470),2)),1000)&gt;0," و"&amp;INDEX(تفقيط!$B$2:$B$1001,MOD(INT(ROUND(MAX(J470,K470),2)),1000)+1),""),3,400))&amp;" "&amp;CUR&amp;IF(ROUND((ROUND(MAX(J470,K470),2)-INT(ROUND(MAX(J470,K470),2)))*100,0)&gt;0," و"&amp;INDEX(تفقيط!$E$2:$E$1001,ROUND((ROUND(MAX(J470,K470),2)-INT(ROUND(MAX(J470,K470),2)))*100,0)+1),"")&amp;" لا غير")</f>
        <v/>
      </c>
    </row>
    <row r="471" customFormat="false" ht="15" hidden="false" customHeight="false" outlineLevel="0" collapsed="false">
      <c r="A471" s="54" t="str">
        <f aca="false">IF(C471="","",START_NO+COUNT(C$5:C471)-1)</f>
        <v/>
      </c>
      <c r="B471" s="55" t="str">
        <f aca="false">IF(A471="","",PREFIX&amp;"-"&amp;TEXT(C471,"yyyy")&amp;"-"&amp;A471)</f>
        <v/>
      </c>
      <c r="C471" s="56"/>
      <c r="D471" s="57"/>
      <c r="E471" s="58"/>
      <c r="F471" s="58"/>
      <c r="G471" s="57"/>
      <c r="H471" s="57"/>
      <c r="I471" s="57"/>
      <c r="J471" s="59" t="str">
        <f aca="false">IF(A471="","",SUMIFS('بنود السندات'!$F$5:$F$3004,'بنود السندات'!$A$5:$A$3004,A471))</f>
        <v/>
      </c>
      <c r="K471" s="59" t="str">
        <f aca="false">IF(A471="","",SUMIFS('بنود السندات'!$G$5:$G$3004,'بنود السندات'!$A$5:$A$3004,A471))</f>
        <v/>
      </c>
      <c r="L471" s="59" t="str">
        <f aca="false">IF(A471="","",ROUND(J471-K471,2))</f>
        <v/>
      </c>
      <c r="M471" s="55" t="str">
        <f aca="false">IF(A471="","",COUNTIF('بنود السندات'!$A$5:$A$3004,A471))</f>
        <v/>
      </c>
      <c r="N471" s="60" t="str">
        <f aca="false">IF(A471="","",IF(M471=0,"بدون بنود ⚠",IF(L471=0,"متوازن ✔","غير متوازن ✘")))</f>
        <v/>
      </c>
      <c r="O471" s="61" t="str">
        <f aca="false">IF(A471="","","فقط "&amp;IF(INT(ROUND(MAX(J471,K471),2))=0,"صفر",MID(IF(INT(INT(ROUND(MAX(J471,K471),2))/1000000)&gt;0," و"&amp;INDEX(تفقيط!$D$2:$D$1001,INT(INT(ROUND(MAX(J471,K471),2))/1000000)+1),"")&amp;IF(INT(MOD(INT(ROUND(MAX(J471,K471),2)),1000000)/1000)&gt;0," و"&amp;INDEX(تفقيط!$C$2:$C$1001,INT(MOD(INT(ROUND(MAX(J471,K471),2)),1000000)/1000)+1),"")&amp;IF(MOD(INT(ROUND(MAX(J471,K471),2)),1000)&gt;0," و"&amp;INDEX(تفقيط!$B$2:$B$1001,MOD(INT(ROUND(MAX(J471,K471),2)),1000)+1),""),3,400))&amp;" "&amp;CUR&amp;IF(ROUND((ROUND(MAX(J471,K471),2)-INT(ROUND(MAX(J471,K471),2)))*100,0)&gt;0," و"&amp;INDEX(تفقيط!$E$2:$E$1001,ROUND((ROUND(MAX(J471,K471),2)-INT(ROUND(MAX(J471,K471),2)))*100,0)+1),"")&amp;" لا غير")</f>
        <v/>
      </c>
    </row>
    <row r="472" customFormat="false" ht="15" hidden="false" customHeight="false" outlineLevel="0" collapsed="false">
      <c r="A472" s="62" t="str">
        <f aca="false">IF(C472="","",START_NO+COUNT(C$5:C472)-1)</f>
        <v/>
      </c>
      <c r="B472" s="63" t="str">
        <f aca="false">IF(A472="","",PREFIX&amp;"-"&amp;TEXT(C472,"yyyy")&amp;"-"&amp;A472)</f>
        <v/>
      </c>
      <c r="C472" s="56"/>
      <c r="D472" s="57"/>
      <c r="E472" s="58"/>
      <c r="F472" s="58"/>
      <c r="G472" s="57"/>
      <c r="H472" s="57"/>
      <c r="I472" s="57"/>
      <c r="J472" s="64" t="str">
        <f aca="false">IF(A472="","",SUMIFS('بنود السندات'!$F$5:$F$3004,'بنود السندات'!$A$5:$A$3004,A472))</f>
        <v/>
      </c>
      <c r="K472" s="64" t="str">
        <f aca="false">IF(A472="","",SUMIFS('بنود السندات'!$G$5:$G$3004,'بنود السندات'!$A$5:$A$3004,A472))</f>
        <v/>
      </c>
      <c r="L472" s="64" t="str">
        <f aca="false">IF(A472="","",ROUND(J472-K472,2))</f>
        <v/>
      </c>
      <c r="M472" s="63" t="str">
        <f aca="false">IF(A472="","",COUNTIF('بنود السندات'!$A$5:$A$3004,A472))</f>
        <v/>
      </c>
      <c r="N472" s="65" t="str">
        <f aca="false">IF(A472="","",IF(M472=0,"بدون بنود ⚠",IF(L472=0,"متوازن ✔","غير متوازن ✘")))</f>
        <v/>
      </c>
      <c r="O472" s="66" t="str">
        <f aca="false">IF(A472="","","فقط "&amp;IF(INT(ROUND(MAX(J472,K472),2))=0,"صفر",MID(IF(INT(INT(ROUND(MAX(J472,K472),2))/1000000)&gt;0," و"&amp;INDEX(تفقيط!$D$2:$D$1001,INT(INT(ROUND(MAX(J472,K472),2))/1000000)+1),"")&amp;IF(INT(MOD(INT(ROUND(MAX(J472,K472),2)),1000000)/1000)&gt;0," و"&amp;INDEX(تفقيط!$C$2:$C$1001,INT(MOD(INT(ROUND(MAX(J472,K472),2)),1000000)/1000)+1),"")&amp;IF(MOD(INT(ROUND(MAX(J472,K472),2)),1000)&gt;0," و"&amp;INDEX(تفقيط!$B$2:$B$1001,MOD(INT(ROUND(MAX(J472,K472),2)),1000)+1),""),3,400))&amp;" "&amp;CUR&amp;IF(ROUND((ROUND(MAX(J472,K472),2)-INT(ROUND(MAX(J472,K472),2)))*100,0)&gt;0," و"&amp;INDEX(تفقيط!$E$2:$E$1001,ROUND((ROUND(MAX(J472,K472),2)-INT(ROUND(MAX(J472,K472),2)))*100,0)+1),"")&amp;" لا غير")</f>
        <v/>
      </c>
    </row>
    <row r="473" customFormat="false" ht="15" hidden="false" customHeight="false" outlineLevel="0" collapsed="false">
      <c r="A473" s="54" t="str">
        <f aca="false">IF(C473="","",START_NO+COUNT(C$5:C473)-1)</f>
        <v/>
      </c>
      <c r="B473" s="55" t="str">
        <f aca="false">IF(A473="","",PREFIX&amp;"-"&amp;TEXT(C473,"yyyy")&amp;"-"&amp;A473)</f>
        <v/>
      </c>
      <c r="C473" s="56"/>
      <c r="D473" s="57"/>
      <c r="E473" s="58"/>
      <c r="F473" s="58"/>
      <c r="G473" s="57"/>
      <c r="H473" s="57"/>
      <c r="I473" s="57"/>
      <c r="J473" s="59" t="str">
        <f aca="false">IF(A473="","",SUMIFS('بنود السندات'!$F$5:$F$3004,'بنود السندات'!$A$5:$A$3004,A473))</f>
        <v/>
      </c>
      <c r="K473" s="59" t="str">
        <f aca="false">IF(A473="","",SUMIFS('بنود السندات'!$G$5:$G$3004,'بنود السندات'!$A$5:$A$3004,A473))</f>
        <v/>
      </c>
      <c r="L473" s="59" t="str">
        <f aca="false">IF(A473="","",ROUND(J473-K473,2))</f>
        <v/>
      </c>
      <c r="M473" s="55" t="str">
        <f aca="false">IF(A473="","",COUNTIF('بنود السندات'!$A$5:$A$3004,A473))</f>
        <v/>
      </c>
      <c r="N473" s="60" t="str">
        <f aca="false">IF(A473="","",IF(M473=0,"بدون بنود ⚠",IF(L473=0,"متوازن ✔","غير متوازن ✘")))</f>
        <v/>
      </c>
      <c r="O473" s="61" t="str">
        <f aca="false">IF(A473="","","فقط "&amp;IF(INT(ROUND(MAX(J473,K473),2))=0,"صفر",MID(IF(INT(INT(ROUND(MAX(J473,K473),2))/1000000)&gt;0," و"&amp;INDEX(تفقيط!$D$2:$D$1001,INT(INT(ROUND(MAX(J473,K473),2))/1000000)+1),"")&amp;IF(INT(MOD(INT(ROUND(MAX(J473,K473),2)),1000000)/1000)&gt;0," و"&amp;INDEX(تفقيط!$C$2:$C$1001,INT(MOD(INT(ROUND(MAX(J473,K473),2)),1000000)/1000)+1),"")&amp;IF(MOD(INT(ROUND(MAX(J473,K473),2)),1000)&gt;0," و"&amp;INDEX(تفقيط!$B$2:$B$1001,MOD(INT(ROUND(MAX(J473,K473),2)),1000)+1),""),3,400))&amp;" "&amp;CUR&amp;IF(ROUND((ROUND(MAX(J473,K473),2)-INT(ROUND(MAX(J473,K473),2)))*100,0)&gt;0," و"&amp;INDEX(تفقيط!$E$2:$E$1001,ROUND((ROUND(MAX(J473,K473),2)-INT(ROUND(MAX(J473,K473),2)))*100,0)+1),"")&amp;" لا غير")</f>
        <v/>
      </c>
    </row>
    <row r="474" customFormat="false" ht="15" hidden="false" customHeight="false" outlineLevel="0" collapsed="false">
      <c r="A474" s="62" t="str">
        <f aca="false">IF(C474="","",START_NO+COUNT(C$5:C474)-1)</f>
        <v/>
      </c>
      <c r="B474" s="63" t="str">
        <f aca="false">IF(A474="","",PREFIX&amp;"-"&amp;TEXT(C474,"yyyy")&amp;"-"&amp;A474)</f>
        <v/>
      </c>
      <c r="C474" s="56"/>
      <c r="D474" s="57"/>
      <c r="E474" s="58"/>
      <c r="F474" s="58"/>
      <c r="G474" s="57"/>
      <c r="H474" s="57"/>
      <c r="I474" s="57"/>
      <c r="J474" s="64" t="str">
        <f aca="false">IF(A474="","",SUMIFS('بنود السندات'!$F$5:$F$3004,'بنود السندات'!$A$5:$A$3004,A474))</f>
        <v/>
      </c>
      <c r="K474" s="64" t="str">
        <f aca="false">IF(A474="","",SUMIFS('بنود السندات'!$G$5:$G$3004,'بنود السندات'!$A$5:$A$3004,A474))</f>
        <v/>
      </c>
      <c r="L474" s="64" t="str">
        <f aca="false">IF(A474="","",ROUND(J474-K474,2))</f>
        <v/>
      </c>
      <c r="M474" s="63" t="str">
        <f aca="false">IF(A474="","",COUNTIF('بنود السندات'!$A$5:$A$3004,A474))</f>
        <v/>
      </c>
      <c r="N474" s="65" t="str">
        <f aca="false">IF(A474="","",IF(M474=0,"بدون بنود ⚠",IF(L474=0,"متوازن ✔","غير متوازن ✘")))</f>
        <v/>
      </c>
      <c r="O474" s="66" t="str">
        <f aca="false">IF(A474="","","فقط "&amp;IF(INT(ROUND(MAX(J474,K474),2))=0,"صفر",MID(IF(INT(INT(ROUND(MAX(J474,K474),2))/1000000)&gt;0," و"&amp;INDEX(تفقيط!$D$2:$D$1001,INT(INT(ROUND(MAX(J474,K474),2))/1000000)+1),"")&amp;IF(INT(MOD(INT(ROUND(MAX(J474,K474),2)),1000000)/1000)&gt;0," و"&amp;INDEX(تفقيط!$C$2:$C$1001,INT(MOD(INT(ROUND(MAX(J474,K474),2)),1000000)/1000)+1),"")&amp;IF(MOD(INT(ROUND(MAX(J474,K474),2)),1000)&gt;0," و"&amp;INDEX(تفقيط!$B$2:$B$1001,MOD(INT(ROUND(MAX(J474,K474),2)),1000)+1),""),3,400))&amp;" "&amp;CUR&amp;IF(ROUND((ROUND(MAX(J474,K474),2)-INT(ROUND(MAX(J474,K474),2)))*100,0)&gt;0," و"&amp;INDEX(تفقيط!$E$2:$E$1001,ROUND((ROUND(MAX(J474,K474),2)-INT(ROUND(MAX(J474,K474),2)))*100,0)+1),"")&amp;" لا غير")</f>
        <v/>
      </c>
    </row>
    <row r="475" customFormat="false" ht="15" hidden="false" customHeight="false" outlineLevel="0" collapsed="false">
      <c r="A475" s="54" t="str">
        <f aca="false">IF(C475="","",START_NO+COUNT(C$5:C475)-1)</f>
        <v/>
      </c>
      <c r="B475" s="55" t="str">
        <f aca="false">IF(A475="","",PREFIX&amp;"-"&amp;TEXT(C475,"yyyy")&amp;"-"&amp;A475)</f>
        <v/>
      </c>
      <c r="C475" s="56"/>
      <c r="D475" s="57"/>
      <c r="E475" s="58"/>
      <c r="F475" s="58"/>
      <c r="G475" s="57"/>
      <c r="H475" s="57"/>
      <c r="I475" s="57"/>
      <c r="J475" s="59" t="str">
        <f aca="false">IF(A475="","",SUMIFS('بنود السندات'!$F$5:$F$3004,'بنود السندات'!$A$5:$A$3004,A475))</f>
        <v/>
      </c>
      <c r="K475" s="59" t="str">
        <f aca="false">IF(A475="","",SUMIFS('بنود السندات'!$G$5:$G$3004,'بنود السندات'!$A$5:$A$3004,A475))</f>
        <v/>
      </c>
      <c r="L475" s="59" t="str">
        <f aca="false">IF(A475="","",ROUND(J475-K475,2))</f>
        <v/>
      </c>
      <c r="M475" s="55" t="str">
        <f aca="false">IF(A475="","",COUNTIF('بنود السندات'!$A$5:$A$3004,A475))</f>
        <v/>
      </c>
      <c r="N475" s="60" t="str">
        <f aca="false">IF(A475="","",IF(M475=0,"بدون بنود ⚠",IF(L475=0,"متوازن ✔","غير متوازن ✘")))</f>
        <v/>
      </c>
      <c r="O475" s="61" t="str">
        <f aca="false">IF(A475="","","فقط "&amp;IF(INT(ROUND(MAX(J475,K475),2))=0,"صفر",MID(IF(INT(INT(ROUND(MAX(J475,K475),2))/1000000)&gt;0," و"&amp;INDEX(تفقيط!$D$2:$D$1001,INT(INT(ROUND(MAX(J475,K475),2))/1000000)+1),"")&amp;IF(INT(MOD(INT(ROUND(MAX(J475,K475),2)),1000000)/1000)&gt;0," و"&amp;INDEX(تفقيط!$C$2:$C$1001,INT(MOD(INT(ROUND(MAX(J475,K475),2)),1000000)/1000)+1),"")&amp;IF(MOD(INT(ROUND(MAX(J475,K475),2)),1000)&gt;0," و"&amp;INDEX(تفقيط!$B$2:$B$1001,MOD(INT(ROUND(MAX(J475,K475),2)),1000)+1),""),3,400))&amp;" "&amp;CUR&amp;IF(ROUND((ROUND(MAX(J475,K475),2)-INT(ROUND(MAX(J475,K475),2)))*100,0)&gt;0," و"&amp;INDEX(تفقيط!$E$2:$E$1001,ROUND((ROUND(MAX(J475,K475),2)-INT(ROUND(MAX(J475,K475),2)))*100,0)+1),"")&amp;" لا غير")</f>
        <v/>
      </c>
    </row>
    <row r="476" customFormat="false" ht="15" hidden="false" customHeight="false" outlineLevel="0" collapsed="false">
      <c r="A476" s="62" t="str">
        <f aca="false">IF(C476="","",START_NO+COUNT(C$5:C476)-1)</f>
        <v/>
      </c>
      <c r="B476" s="63" t="str">
        <f aca="false">IF(A476="","",PREFIX&amp;"-"&amp;TEXT(C476,"yyyy")&amp;"-"&amp;A476)</f>
        <v/>
      </c>
      <c r="C476" s="56"/>
      <c r="D476" s="57"/>
      <c r="E476" s="58"/>
      <c r="F476" s="58"/>
      <c r="G476" s="57"/>
      <c r="H476" s="57"/>
      <c r="I476" s="57"/>
      <c r="J476" s="64" t="str">
        <f aca="false">IF(A476="","",SUMIFS('بنود السندات'!$F$5:$F$3004,'بنود السندات'!$A$5:$A$3004,A476))</f>
        <v/>
      </c>
      <c r="K476" s="64" t="str">
        <f aca="false">IF(A476="","",SUMIFS('بنود السندات'!$G$5:$G$3004,'بنود السندات'!$A$5:$A$3004,A476))</f>
        <v/>
      </c>
      <c r="L476" s="64" t="str">
        <f aca="false">IF(A476="","",ROUND(J476-K476,2))</f>
        <v/>
      </c>
      <c r="M476" s="63" t="str">
        <f aca="false">IF(A476="","",COUNTIF('بنود السندات'!$A$5:$A$3004,A476))</f>
        <v/>
      </c>
      <c r="N476" s="65" t="str">
        <f aca="false">IF(A476="","",IF(M476=0,"بدون بنود ⚠",IF(L476=0,"متوازن ✔","غير متوازن ✘")))</f>
        <v/>
      </c>
      <c r="O476" s="66" t="str">
        <f aca="false">IF(A476="","","فقط "&amp;IF(INT(ROUND(MAX(J476,K476),2))=0,"صفر",MID(IF(INT(INT(ROUND(MAX(J476,K476),2))/1000000)&gt;0," و"&amp;INDEX(تفقيط!$D$2:$D$1001,INT(INT(ROUND(MAX(J476,K476),2))/1000000)+1),"")&amp;IF(INT(MOD(INT(ROUND(MAX(J476,K476),2)),1000000)/1000)&gt;0," و"&amp;INDEX(تفقيط!$C$2:$C$1001,INT(MOD(INT(ROUND(MAX(J476,K476),2)),1000000)/1000)+1),"")&amp;IF(MOD(INT(ROUND(MAX(J476,K476),2)),1000)&gt;0," و"&amp;INDEX(تفقيط!$B$2:$B$1001,MOD(INT(ROUND(MAX(J476,K476),2)),1000)+1),""),3,400))&amp;" "&amp;CUR&amp;IF(ROUND((ROUND(MAX(J476,K476),2)-INT(ROUND(MAX(J476,K476),2)))*100,0)&gt;0," و"&amp;INDEX(تفقيط!$E$2:$E$1001,ROUND((ROUND(MAX(J476,K476),2)-INT(ROUND(MAX(J476,K476),2)))*100,0)+1),"")&amp;" لا غير")</f>
        <v/>
      </c>
    </row>
    <row r="477" customFormat="false" ht="15" hidden="false" customHeight="false" outlineLevel="0" collapsed="false">
      <c r="A477" s="54" t="str">
        <f aca="false">IF(C477="","",START_NO+COUNT(C$5:C477)-1)</f>
        <v/>
      </c>
      <c r="B477" s="55" t="str">
        <f aca="false">IF(A477="","",PREFIX&amp;"-"&amp;TEXT(C477,"yyyy")&amp;"-"&amp;A477)</f>
        <v/>
      </c>
      <c r="C477" s="56"/>
      <c r="D477" s="57"/>
      <c r="E477" s="58"/>
      <c r="F477" s="58"/>
      <c r="G477" s="57"/>
      <c r="H477" s="57"/>
      <c r="I477" s="57"/>
      <c r="J477" s="59" t="str">
        <f aca="false">IF(A477="","",SUMIFS('بنود السندات'!$F$5:$F$3004,'بنود السندات'!$A$5:$A$3004,A477))</f>
        <v/>
      </c>
      <c r="K477" s="59" t="str">
        <f aca="false">IF(A477="","",SUMIFS('بنود السندات'!$G$5:$G$3004,'بنود السندات'!$A$5:$A$3004,A477))</f>
        <v/>
      </c>
      <c r="L477" s="59" t="str">
        <f aca="false">IF(A477="","",ROUND(J477-K477,2))</f>
        <v/>
      </c>
      <c r="M477" s="55" t="str">
        <f aca="false">IF(A477="","",COUNTIF('بنود السندات'!$A$5:$A$3004,A477))</f>
        <v/>
      </c>
      <c r="N477" s="60" t="str">
        <f aca="false">IF(A477="","",IF(M477=0,"بدون بنود ⚠",IF(L477=0,"متوازن ✔","غير متوازن ✘")))</f>
        <v/>
      </c>
      <c r="O477" s="61" t="str">
        <f aca="false">IF(A477="","","فقط "&amp;IF(INT(ROUND(MAX(J477,K477),2))=0,"صفر",MID(IF(INT(INT(ROUND(MAX(J477,K477),2))/1000000)&gt;0," و"&amp;INDEX(تفقيط!$D$2:$D$1001,INT(INT(ROUND(MAX(J477,K477),2))/1000000)+1),"")&amp;IF(INT(MOD(INT(ROUND(MAX(J477,K477),2)),1000000)/1000)&gt;0," و"&amp;INDEX(تفقيط!$C$2:$C$1001,INT(MOD(INT(ROUND(MAX(J477,K477),2)),1000000)/1000)+1),"")&amp;IF(MOD(INT(ROUND(MAX(J477,K477),2)),1000)&gt;0," و"&amp;INDEX(تفقيط!$B$2:$B$1001,MOD(INT(ROUND(MAX(J477,K477),2)),1000)+1),""),3,400))&amp;" "&amp;CUR&amp;IF(ROUND((ROUND(MAX(J477,K477),2)-INT(ROUND(MAX(J477,K477),2)))*100,0)&gt;0," و"&amp;INDEX(تفقيط!$E$2:$E$1001,ROUND((ROUND(MAX(J477,K477),2)-INT(ROUND(MAX(J477,K477),2)))*100,0)+1),"")&amp;" لا غير")</f>
        <v/>
      </c>
    </row>
    <row r="478" customFormat="false" ht="15" hidden="false" customHeight="false" outlineLevel="0" collapsed="false">
      <c r="A478" s="62" t="str">
        <f aca="false">IF(C478="","",START_NO+COUNT(C$5:C478)-1)</f>
        <v/>
      </c>
      <c r="B478" s="63" t="str">
        <f aca="false">IF(A478="","",PREFIX&amp;"-"&amp;TEXT(C478,"yyyy")&amp;"-"&amp;A478)</f>
        <v/>
      </c>
      <c r="C478" s="56"/>
      <c r="D478" s="57"/>
      <c r="E478" s="58"/>
      <c r="F478" s="58"/>
      <c r="G478" s="57"/>
      <c r="H478" s="57"/>
      <c r="I478" s="57"/>
      <c r="J478" s="64" t="str">
        <f aca="false">IF(A478="","",SUMIFS('بنود السندات'!$F$5:$F$3004,'بنود السندات'!$A$5:$A$3004,A478))</f>
        <v/>
      </c>
      <c r="K478" s="64" t="str">
        <f aca="false">IF(A478="","",SUMIFS('بنود السندات'!$G$5:$G$3004,'بنود السندات'!$A$5:$A$3004,A478))</f>
        <v/>
      </c>
      <c r="L478" s="64" t="str">
        <f aca="false">IF(A478="","",ROUND(J478-K478,2))</f>
        <v/>
      </c>
      <c r="M478" s="63" t="str">
        <f aca="false">IF(A478="","",COUNTIF('بنود السندات'!$A$5:$A$3004,A478))</f>
        <v/>
      </c>
      <c r="N478" s="65" t="str">
        <f aca="false">IF(A478="","",IF(M478=0,"بدون بنود ⚠",IF(L478=0,"متوازن ✔","غير متوازن ✘")))</f>
        <v/>
      </c>
      <c r="O478" s="66" t="str">
        <f aca="false">IF(A478="","","فقط "&amp;IF(INT(ROUND(MAX(J478,K478),2))=0,"صفر",MID(IF(INT(INT(ROUND(MAX(J478,K478),2))/1000000)&gt;0," و"&amp;INDEX(تفقيط!$D$2:$D$1001,INT(INT(ROUND(MAX(J478,K478),2))/1000000)+1),"")&amp;IF(INT(MOD(INT(ROUND(MAX(J478,K478),2)),1000000)/1000)&gt;0," و"&amp;INDEX(تفقيط!$C$2:$C$1001,INT(MOD(INT(ROUND(MAX(J478,K478),2)),1000000)/1000)+1),"")&amp;IF(MOD(INT(ROUND(MAX(J478,K478),2)),1000)&gt;0," و"&amp;INDEX(تفقيط!$B$2:$B$1001,MOD(INT(ROUND(MAX(J478,K478),2)),1000)+1),""),3,400))&amp;" "&amp;CUR&amp;IF(ROUND((ROUND(MAX(J478,K478),2)-INT(ROUND(MAX(J478,K478),2)))*100,0)&gt;0," و"&amp;INDEX(تفقيط!$E$2:$E$1001,ROUND((ROUND(MAX(J478,K478),2)-INT(ROUND(MAX(J478,K478),2)))*100,0)+1),"")&amp;" لا غير")</f>
        <v/>
      </c>
    </row>
    <row r="479" customFormat="false" ht="15" hidden="false" customHeight="false" outlineLevel="0" collapsed="false">
      <c r="A479" s="54" t="str">
        <f aca="false">IF(C479="","",START_NO+COUNT(C$5:C479)-1)</f>
        <v/>
      </c>
      <c r="B479" s="55" t="str">
        <f aca="false">IF(A479="","",PREFIX&amp;"-"&amp;TEXT(C479,"yyyy")&amp;"-"&amp;A479)</f>
        <v/>
      </c>
      <c r="C479" s="56"/>
      <c r="D479" s="57"/>
      <c r="E479" s="58"/>
      <c r="F479" s="58"/>
      <c r="G479" s="57"/>
      <c r="H479" s="57"/>
      <c r="I479" s="57"/>
      <c r="J479" s="59" t="str">
        <f aca="false">IF(A479="","",SUMIFS('بنود السندات'!$F$5:$F$3004,'بنود السندات'!$A$5:$A$3004,A479))</f>
        <v/>
      </c>
      <c r="K479" s="59" t="str">
        <f aca="false">IF(A479="","",SUMIFS('بنود السندات'!$G$5:$G$3004,'بنود السندات'!$A$5:$A$3004,A479))</f>
        <v/>
      </c>
      <c r="L479" s="59" t="str">
        <f aca="false">IF(A479="","",ROUND(J479-K479,2))</f>
        <v/>
      </c>
      <c r="M479" s="55" t="str">
        <f aca="false">IF(A479="","",COUNTIF('بنود السندات'!$A$5:$A$3004,A479))</f>
        <v/>
      </c>
      <c r="N479" s="60" t="str">
        <f aca="false">IF(A479="","",IF(M479=0,"بدون بنود ⚠",IF(L479=0,"متوازن ✔","غير متوازن ✘")))</f>
        <v/>
      </c>
      <c r="O479" s="61" t="str">
        <f aca="false">IF(A479="","","فقط "&amp;IF(INT(ROUND(MAX(J479,K479),2))=0,"صفر",MID(IF(INT(INT(ROUND(MAX(J479,K479),2))/1000000)&gt;0," و"&amp;INDEX(تفقيط!$D$2:$D$1001,INT(INT(ROUND(MAX(J479,K479),2))/1000000)+1),"")&amp;IF(INT(MOD(INT(ROUND(MAX(J479,K479),2)),1000000)/1000)&gt;0," و"&amp;INDEX(تفقيط!$C$2:$C$1001,INT(MOD(INT(ROUND(MAX(J479,K479),2)),1000000)/1000)+1),"")&amp;IF(MOD(INT(ROUND(MAX(J479,K479),2)),1000)&gt;0," و"&amp;INDEX(تفقيط!$B$2:$B$1001,MOD(INT(ROUND(MAX(J479,K479),2)),1000)+1),""),3,400))&amp;" "&amp;CUR&amp;IF(ROUND((ROUND(MAX(J479,K479),2)-INT(ROUND(MAX(J479,K479),2)))*100,0)&gt;0," و"&amp;INDEX(تفقيط!$E$2:$E$1001,ROUND((ROUND(MAX(J479,K479),2)-INT(ROUND(MAX(J479,K479),2)))*100,0)+1),"")&amp;" لا غير")</f>
        <v/>
      </c>
    </row>
    <row r="480" customFormat="false" ht="15" hidden="false" customHeight="false" outlineLevel="0" collapsed="false">
      <c r="A480" s="62" t="str">
        <f aca="false">IF(C480="","",START_NO+COUNT(C$5:C480)-1)</f>
        <v/>
      </c>
      <c r="B480" s="63" t="str">
        <f aca="false">IF(A480="","",PREFIX&amp;"-"&amp;TEXT(C480,"yyyy")&amp;"-"&amp;A480)</f>
        <v/>
      </c>
      <c r="C480" s="56"/>
      <c r="D480" s="57"/>
      <c r="E480" s="58"/>
      <c r="F480" s="58"/>
      <c r="G480" s="57"/>
      <c r="H480" s="57"/>
      <c r="I480" s="57"/>
      <c r="J480" s="64" t="str">
        <f aca="false">IF(A480="","",SUMIFS('بنود السندات'!$F$5:$F$3004,'بنود السندات'!$A$5:$A$3004,A480))</f>
        <v/>
      </c>
      <c r="K480" s="64" t="str">
        <f aca="false">IF(A480="","",SUMIFS('بنود السندات'!$G$5:$G$3004,'بنود السندات'!$A$5:$A$3004,A480))</f>
        <v/>
      </c>
      <c r="L480" s="64" t="str">
        <f aca="false">IF(A480="","",ROUND(J480-K480,2))</f>
        <v/>
      </c>
      <c r="M480" s="63" t="str">
        <f aca="false">IF(A480="","",COUNTIF('بنود السندات'!$A$5:$A$3004,A480))</f>
        <v/>
      </c>
      <c r="N480" s="65" t="str">
        <f aca="false">IF(A480="","",IF(M480=0,"بدون بنود ⚠",IF(L480=0,"متوازن ✔","غير متوازن ✘")))</f>
        <v/>
      </c>
      <c r="O480" s="66" t="str">
        <f aca="false">IF(A480="","","فقط "&amp;IF(INT(ROUND(MAX(J480,K480),2))=0,"صفر",MID(IF(INT(INT(ROUND(MAX(J480,K480),2))/1000000)&gt;0," و"&amp;INDEX(تفقيط!$D$2:$D$1001,INT(INT(ROUND(MAX(J480,K480),2))/1000000)+1),"")&amp;IF(INT(MOD(INT(ROUND(MAX(J480,K480),2)),1000000)/1000)&gt;0," و"&amp;INDEX(تفقيط!$C$2:$C$1001,INT(MOD(INT(ROUND(MAX(J480,K480),2)),1000000)/1000)+1),"")&amp;IF(MOD(INT(ROUND(MAX(J480,K480),2)),1000)&gt;0," و"&amp;INDEX(تفقيط!$B$2:$B$1001,MOD(INT(ROUND(MAX(J480,K480),2)),1000)+1),""),3,400))&amp;" "&amp;CUR&amp;IF(ROUND((ROUND(MAX(J480,K480),2)-INT(ROUND(MAX(J480,K480),2)))*100,0)&gt;0," و"&amp;INDEX(تفقيط!$E$2:$E$1001,ROUND((ROUND(MAX(J480,K480),2)-INT(ROUND(MAX(J480,K480),2)))*100,0)+1),"")&amp;" لا غير")</f>
        <v/>
      </c>
    </row>
    <row r="481" customFormat="false" ht="15" hidden="false" customHeight="false" outlineLevel="0" collapsed="false">
      <c r="A481" s="54" t="str">
        <f aca="false">IF(C481="","",START_NO+COUNT(C$5:C481)-1)</f>
        <v/>
      </c>
      <c r="B481" s="55" t="str">
        <f aca="false">IF(A481="","",PREFIX&amp;"-"&amp;TEXT(C481,"yyyy")&amp;"-"&amp;A481)</f>
        <v/>
      </c>
      <c r="C481" s="56"/>
      <c r="D481" s="57"/>
      <c r="E481" s="58"/>
      <c r="F481" s="58"/>
      <c r="G481" s="57"/>
      <c r="H481" s="57"/>
      <c r="I481" s="57"/>
      <c r="J481" s="59" t="str">
        <f aca="false">IF(A481="","",SUMIFS('بنود السندات'!$F$5:$F$3004,'بنود السندات'!$A$5:$A$3004,A481))</f>
        <v/>
      </c>
      <c r="K481" s="59" t="str">
        <f aca="false">IF(A481="","",SUMIFS('بنود السندات'!$G$5:$G$3004,'بنود السندات'!$A$5:$A$3004,A481))</f>
        <v/>
      </c>
      <c r="L481" s="59" t="str">
        <f aca="false">IF(A481="","",ROUND(J481-K481,2))</f>
        <v/>
      </c>
      <c r="M481" s="55" t="str">
        <f aca="false">IF(A481="","",COUNTIF('بنود السندات'!$A$5:$A$3004,A481))</f>
        <v/>
      </c>
      <c r="N481" s="60" t="str">
        <f aca="false">IF(A481="","",IF(M481=0,"بدون بنود ⚠",IF(L481=0,"متوازن ✔","غير متوازن ✘")))</f>
        <v/>
      </c>
      <c r="O481" s="61" t="str">
        <f aca="false">IF(A481="","","فقط "&amp;IF(INT(ROUND(MAX(J481,K481),2))=0,"صفر",MID(IF(INT(INT(ROUND(MAX(J481,K481),2))/1000000)&gt;0," و"&amp;INDEX(تفقيط!$D$2:$D$1001,INT(INT(ROUND(MAX(J481,K481),2))/1000000)+1),"")&amp;IF(INT(MOD(INT(ROUND(MAX(J481,K481),2)),1000000)/1000)&gt;0," و"&amp;INDEX(تفقيط!$C$2:$C$1001,INT(MOD(INT(ROUND(MAX(J481,K481),2)),1000000)/1000)+1),"")&amp;IF(MOD(INT(ROUND(MAX(J481,K481),2)),1000)&gt;0," و"&amp;INDEX(تفقيط!$B$2:$B$1001,MOD(INT(ROUND(MAX(J481,K481),2)),1000)+1),""),3,400))&amp;" "&amp;CUR&amp;IF(ROUND((ROUND(MAX(J481,K481),2)-INT(ROUND(MAX(J481,K481),2)))*100,0)&gt;0," و"&amp;INDEX(تفقيط!$E$2:$E$1001,ROUND((ROUND(MAX(J481,K481),2)-INT(ROUND(MAX(J481,K481),2)))*100,0)+1),"")&amp;" لا غير")</f>
        <v/>
      </c>
    </row>
    <row r="482" customFormat="false" ht="15" hidden="false" customHeight="false" outlineLevel="0" collapsed="false">
      <c r="A482" s="62" t="str">
        <f aca="false">IF(C482="","",START_NO+COUNT(C$5:C482)-1)</f>
        <v/>
      </c>
      <c r="B482" s="63" t="str">
        <f aca="false">IF(A482="","",PREFIX&amp;"-"&amp;TEXT(C482,"yyyy")&amp;"-"&amp;A482)</f>
        <v/>
      </c>
      <c r="C482" s="56"/>
      <c r="D482" s="57"/>
      <c r="E482" s="58"/>
      <c r="F482" s="58"/>
      <c r="G482" s="57"/>
      <c r="H482" s="57"/>
      <c r="I482" s="57"/>
      <c r="J482" s="64" t="str">
        <f aca="false">IF(A482="","",SUMIFS('بنود السندات'!$F$5:$F$3004,'بنود السندات'!$A$5:$A$3004,A482))</f>
        <v/>
      </c>
      <c r="K482" s="64" t="str">
        <f aca="false">IF(A482="","",SUMIFS('بنود السندات'!$G$5:$G$3004,'بنود السندات'!$A$5:$A$3004,A482))</f>
        <v/>
      </c>
      <c r="L482" s="64" t="str">
        <f aca="false">IF(A482="","",ROUND(J482-K482,2))</f>
        <v/>
      </c>
      <c r="M482" s="63" t="str">
        <f aca="false">IF(A482="","",COUNTIF('بنود السندات'!$A$5:$A$3004,A482))</f>
        <v/>
      </c>
      <c r="N482" s="65" t="str">
        <f aca="false">IF(A482="","",IF(M482=0,"بدون بنود ⚠",IF(L482=0,"متوازن ✔","غير متوازن ✘")))</f>
        <v/>
      </c>
      <c r="O482" s="66" t="str">
        <f aca="false">IF(A482="","","فقط "&amp;IF(INT(ROUND(MAX(J482,K482),2))=0,"صفر",MID(IF(INT(INT(ROUND(MAX(J482,K482),2))/1000000)&gt;0," و"&amp;INDEX(تفقيط!$D$2:$D$1001,INT(INT(ROUND(MAX(J482,K482),2))/1000000)+1),"")&amp;IF(INT(MOD(INT(ROUND(MAX(J482,K482),2)),1000000)/1000)&gt;0," و"&amp;INDEX(تفقيط!$C$2:$C$1001,INT(MOD(INT(ROUND(MAX(J482,K482),2)),1000000)/1000)+1),"")&amp;IF(MOD(INT(ROUND(MAX(J482,K482),2)),1000)&gt;0," و"&amp;INDEX(تفقيط!$B$2:$B$1001,MOD(INT(ROUND(MAX(J482,K482),2)),1000)+1),""),3,400))&amp;" "&amp;CUR&amp;IF(ROUND((ROUND(MAX(J482,K482),2)-INT(ROUND(MAX(J482,K482),2)))*100,0)&gt;0," و"&amp;INDEX(تفقيط!$E$2:$E$1001,ROUND((ROUND(MAX(J482,K482),2)-INT(ROUND(MAX(J482,K482),2)))*100,0)+1),"")&amp;" لا غير")</f>
        <v/>
      </c>
    </row>
    <row r="483" customFormat="false" ht="15" hidden="false" customHeight="false" outlineLevel="0" collapsed="false">
      <c r="A483" s="54" t="str">
        <f aca="false">IF(C483="","",START_NO+COUNT(C$5:C483)-1)</f>
        <v/>
      </c>
      <c r="B483" s="55" t="str">
        <f aca="false">IF(A483="","",PREFIX&amp;"-"&amp;TEXT(C483,"yyyy")&amp;"-"&amp;A483)</f>
        <v/>
      </c>
      <c r="C483" s="56"/>
      <c r="D483" s="57"/>
      <c r="E483" s="58"/>
      <c r="F483" s="58"/>
      <c r="G483" s="57"/>
      <c r="H483" s="57"/>
      <c r="I483" s="57"/>
      <c r="J483" s="59" t="str">
        <f aca="false">IF(A483="","",SUMIFS('بنود السندات'!$F$5:$F$3004,'بنود السندات'!$A$5:$A$3004,A483))</f>
        <v/>
      </c>
      <c r="K483" s="59" t="str">
        <f aca="false">IF(A483="","",SUMIFS('بنود السندات'!$G$5:$G$3004,'بنود السندات'!$A$5:$A$3004,A483))</f>
        <v/>
      </c>
      <c r="L483" s="59" t="str">
        <f aca="false">IF(A483="","",ROUND(J483-K483,2))</f>
        <v/>
      </c>
      <c r="M483" s="55" t="str">
        <f aca="false">IF(A483="","",COUNTIF('بنود السندات'!$A$5:$A$3004,A483))</f>
        <v/>
      </c>
      <c r="N483" s="60" t="str">
        <f aca="false">IF(A483="","",IF(M483=0,"بدون بنود ⚠",IF(L483=0,"متوازن ✔","غير متوازن ✘")))</f>
        <v/>
      </c>
      <c r="O483" s="61" t="str">
        <f aca="false">IF(A483="","","فقط "&amp;IF(INT(ROUND(MAX(J483,K483),2))=0,"صفر",MID(IF(INT(INT(ROUND(MAX(J483,K483),2))/1000000)&gt;0," و"&amp;INDEX(تفقيط!$D$2:$D$1001,INT(INT(ROUND(MAX(J483,K483),2))/1000000)+1),"")&amp;IF(INT(MOD(INT(ROUND(MAX(J483,K483),2)),1000000)/1000)&gt;0," و"&amp;INDEX(تفقيط!$C$2:$C$1001,INT(MOD(INT(ROUND(MAX(J483,K483),2)),1000000)/1000)+1),"")&amp;IF(MOD(INT(ROUND(MAX(J483,K483),2)),1000)&gt;0," و"&amp;INDEX(تفقيط!$B$2:$B$1001,MOD(INT(ROUND(MAX(J483,K483),2)),1000)+1),""),3,400))&amp;" "&amp;CUR&amp;IF(ROUND((ROUND(MAX(J483,K483),2)-INT(ROUND(MAX(J483,K483),2)))*100,0)&gt;0," و"&amp;INDEX(تفقيط!$E$2:$E$1001,ROUND((ROUND(MAX(J483,K483),2)-INT(ROUND(MAX(J483,K483),2)))*100,0)+1),"")&amp;" لا غير")</f>
        <v/>
      </c>
    </row>
    <row r="484" customFormat="false" ht="15" hidden="false" customHeight="false" outlineLevel="0" collapsed="false">
      <c r="A484" s="62" t="str">
        <f aca="false">IF(C484="","",START_NO+COUNT(C$5:C484)-1)</f>
        <v/>
      </c>
      <c r="B484" s="63" t="str">
        <f aca="false">IF(A484="","",PREFIX&amp;"-"&amp;TEXT(C484,"yyyy")&amp;"-"&amp;A484)</f>
        <v/>
      </c>
      <c r="C484" s="56"/>
      <c r="D484" s="57"/>
      <c r="E484" s="58"/>
      <c r="F484" s="58"/>
      <c r="G484" s="57"/>
      <c r="H484" s="57"/>
      <c r="I484" s="57"/>
      <c r="J484" s="64" t="str">
        <f aca="false">IF(A484="","",SUMIFS('بنود السندات'!$F$5:$F$3004,'بنود السندات'!$A$5:$A$3004,A484))</f>
        <v/>
      </c>
      <c r="K484" s="64" t="str">
        <f aca="false">IF(A484="","",SUMIFS('بنود السندات'!$G$5:$G$3004,'بنود السندات'!$A$5:$A$3004,A484))</f>
        <v/>
      </c>
      <c r="L484" s="64" t="str">
        <f aca="false">IF(A484="","",ROUND(J484-K484,2))</f>
        <v/>
      </c>
      <c r="M484" s="63" t="str">
        <f aca="false">IF(A484="","",COUNTIF('بنود السندات'!$A$5:$A$3004,A484))</f>
        <v/>
      </c>
      <c r="N484" s="65" t="str">
        <f aca="false">IF(A484="","",IF(M484=0,"بدون بنود ⚠",IF(L484=0,"متوازن ✔","غير متوازن ✘")))</f>
        <v/>
      </c>
      <c r="O484" s="66" t="str">
        <f aca="false">IF(A484="","","فقط "&amp;IF(INT(ROUND(MAX(J484,K484),2))=0,"صفر",MID(IF(INT(INT(ROUND(MAX(J484,K484),2))/1000000)&gt;0," و"&amp;INDEX(تفقيط!$D$2:$D$1001,INT(INT(ROUND(MAX(J484,K484),2))/1000000)+1),"")&amp;IF(INT(MOD(INT(ROUND(MAX(J484,K484),2)),1000000)/1000)&gt;0," و"&amp;INDEX(تفقيط!$C$2:$C$1001,INT(MOD(INT(ROUND(MAX(J484,K484),2)),1000000)/1000)+1),"")&amp;IF(MOD(INT(ROUND(MAX(J484,K484),2)),1000)&gt;0," و"&amp;INDEX(تفقيط!$B$2:$B$1001,MOD(INT(ROUND(MAX(J484,K484),2)),1000)+1),""),3,400))&amp;" "&amp;CUR&amp;IF(ROUND((ROUND(MAX(J484,K484),2)-INT(ROUND(MAX(J484,K484),2)))*100,0)&gt;0," و"&amp;INDEX(تفقيط!$E$2:$E$1001,ROUND((ROUND(MAX(J484,K484),2)-INT(ROUND(MAX(J484,K484),2)))*100,0)+1),"")&amp;" لا غير")</f>
        <v/>
      </c>
    </row>
    <row r="485" customFormat="false" ht="15" hidden="false" customHeight="false" outlineLevel="0" collapsed="false">
      <c r="A485" s="54" t="str">
        <f aca="false">IF(C485="","",START_NO+COUNT(C$5:C485)-1)</f>
        <v/>
      </c>
      <c r="B485" s="55" t="str">
        <f aca="false">IF(A485="","",PREFIX&amp;"-"&amp;TEXT(C485,"yyyy")&amp;"-"&amp;A485)</f>
        <v/>
      </c>
      <c r="C485" s="56"/>
      <c r="D485" s="57"/>
      <c r="E485" s="58"/>
      <c r="F485" s="58"/>
      <c r="G485" s="57"/>
      <c r="H485" s="57"/>
      <c r="I485" s="57"/>
      <c r="J485" s="59" t="str">
        <f aca="false">IF(A485="","",SUMIFS('بنود السندات'!$F$5:$F$3004,'بنود السندات'!$A$5:$A$3004,A485))</f>
        <v/>
      </c>
      <c r="K485" s="59" t="str">
        <f aca="false">IF(A485="","",SUMIFS('بنود السندات'!$G$5:$G$3004,'بنود السندات'!$A$5:$A$3004,A485))</f>
        <v/>
      </c>
      <c r="L485" s="59" t="str">
        <f aca="false">IF(A485="","",ROUND(J485-K485,2))</f>
        <v/>
      </c>
      <c r="M485" s="55" t="str">
        <f aca="false">IF(A485="","",COUNTIF('بنود السندات'!$A$5:$A$3004,A485))</f>
        <v/>
      </c>
      <c r="N485" s="60" t="str">
        <f aca="false">IF(A485="","",IF(M485=0,"بدون بنود ⚠",IF(L485=0,"متوازن ✔","غير متوازن ✘")))</f>
        <v/>
      </c>
      <c r="O485" s="61" t="str">
        <f aca="false">IF(A485="","","فقط "&amp;IF(INT(ROUND(MAX(J485,K485),2))=0,"صفر",MID(IF(INT(INT(ROUND(MAX(J485,K485),2))/1000000)&gt;0," و"&amp;INDEX(تفقيط!$D$2:$D$1001,INT(INT(ROUND(MAX(J485,K485),2))/1000000)+1),"")&amp;IF(INT(MOD(INT(ROUND(MAX(J485,K485),2)),1000000)/1000)&gt;0," و"&amp;INDEX(تفقيط!$C$2:$C$1001,INT(MOD(INT(ROUND(MAX(J485,K485),2)),1000000)/1000)+1),"")&amp;IF(MOD(INT(ROUND(MAX(J485,K485),2)),1000)&gt;0," و"&amp;INDEX(تفقيط!$B$2:$B$1001,MOD(INT(ROUND(MAX(J485,K485),2)),1000)+1),""),3,400))&amp;" "&amp;CUR&amp;IF(ROUND((ROUND(MAX(J485,K485),2)-INT(ROUND(MAX(J485,K485),2)))*100,0)&gt;0," و"&amp;INDEX(تفقيط!$E$2:$E$1001,ROUND((ROUND(MAX(J485,K485),2)-INT(ROUND(MAX(J485,K485),2)))*100,0)+1),"")&amp;" لا غير")</f>
        <v/>
      </c>
    </row>
    <row r="486" customFormat="false" ht="15" hidden="false" customHeight="false" outlineLevel="0" collapsed="false">
      <c r="A486" s="62" t="str">
        <f aca="false">IF(C486="","",START_NO+COUNT(C$5:C486)-1)</f>
        <v/>
      </c>
      <c r="B486" s="63" t="str">
        <f aca="false">IF(A486="","",PREFIX&amp;"-"&amp;TEXT(C486,"yyyy")&amp;"-"&amp;A486)</f>
        <v/>
      </c>
      <c r="C486" s="56"/>
      <c r="D486" s="57"/>
      <c r="E486" s="58"/>
      <c r="F486" s="58"/>
      <c r="G486" s="57"/>
      <c r="H486" s="57"/>
      <c r="I486" s="57"/>
      <c r="J486" s="64" t="str">
        <f aca="false">IF(A486="","",SUMIFS('بنود السندات'!$F$5:$F$3004,'بنود السندات'!$A$5:$A$3004,A486))</f>
        <v/>
      </c>
      <c r="K486" s="64" t="str">
        <f aca="false">IF(A486="","",SUMIFS('بنود السندات'!$G$5:$G$3004,'بنود السندات'!$A$5:$A$3004,A486))</f>
        <v/>
      </c>
      <c r="L486" s="64" t="str">
        <f aca="false">IF(A486="","",ROUND(J486-K486,2))</f>
        <v/>
      </c>
      <c r="M486" s="63" t="str">
        <f aca="false">IF(A486="","",COUNTIF('بنود السندات'!$A$5:$A$3004,A486))</f>
        <v/>
      </c>
      <c r="N486" s="65" t="str">
        <f aca="false">IF(A486="","",IF(M486=0,"بدون بنود ⚠",IF(L486=0,"متوازن ✔","غير متوازن ✘")))</f>
        <v/>
      </c>
      <c r="O486" s="66" t="str">
        <f aca="false">IF(A486="","","فقط "&amp;IF(INT(ROUND(MAX(J486,K486),2))=0,"صفر",MID(IF(INT(INT(ROUND(MAX(J486,K486),2))/1000000)&gt;0," و"&amp;INDEX(تفقيط!$D$2:$D$1001,INT(INT(ROUND(MAX(J486,K486),2))/1000000)+1),"")&amp;IF(INT(MOD(INT(ROUND(MAX(J486,K486),2)),1000000)/1000)&gt;0," و"&amp;INDEX(تفقيط!$C$2:$C$1001,INT(MOD(INT(ROUND(MAX(J486,K486),2)),1000000)/1000)+1),"")&amp;IF(MOD(INT(ROUND(MAX(J486,K486),2)),1000)&gt;0," و"&amp;INDEX(تفقيط!$B$2:$B$1001,MOD(INT(ROUND(MAX(J486,K486),2)),1000)+1),""),3,400))&amp;" "&amp;CUR&amp;IF(ROUND((ROUND(MAX(J486,K486),2)-INT(ROUND(MAX(J486,K486),2)))*100,0)&gt;0," و"&amp;INDEX(تفقيط!$E$2:$E$1001,ROUND((ROUND(MAX(J486,K486),2)-INT(ROUND(MAX(J486,K486),2)))*100,0)+1),"")&amp;" لا غير")</f>
        <v/>
      </c>
    </row>
    <row r="487" customFormat="false" ht="15" hidden="false" customHeight="false" outlineLevel="0" collapsed="false">
      <c r="A487" s="54" t="str">
        <f aca="false">IF(C487="","",START_NO+COUNT(C$5:C487)-1)</f>
        <v/>
      </c>
      <c r="B487" s="55" t="str">
        <f aca="false">IF(A487="","",PREFIX&amp;"-"&amp;TEXT(C487,"yyyy")&amp;"-"&amp;A487)</f>
        <v/>
      </c>
      <c r="C487" s="56"/>
      <c r="D487" s="57"/>
      <c r="E487" s="58"/>
      <c r="F487" s="58"/>
      <c r="G487" s="57"/>
      <c r="H487" s="57"/>
      <c r="I487" s="57"/>
      <c r="J487" s="59" t="str">
        <f aca="false">IF(A487="","",SUMIFS('بنود السندات'!$F$5:$F$3004,'بنود السندات'!$A$5:$A$3004,A487))</f>
        <v/>
      </c>
      <c r="K487" s="59" t="str">
        <f aca="false">IF(A487="","",SUMIFS('بنود السندات'!$G$5:$G$3004,'بنود السندات'!$A$5:$A$3004,A487))</f>
        <v/>
      </c>
      <c r="L487" s="59" t="str">
        <f aca="false">IF(A487="","",ROUND(J487-K487,2))</f>
        <v/>
      </c>
      <c r="M487" s="55" t="str">
        <f aca="false">IF(A487="","",COUNTIF('بنود السندات'!$A$5:$A$3004,A487))</f>
        <v/>
      </c>
      <c r="N487" s="60" t="str">
        <f aca="false">IF(A487="","",IF(M487=0,"بدون بنود ⚠",IF(L487=0,"متوازن ✔","غير متوازن ✘")))</f>
        <v/>
      </c>
      <c r="O487" s="61" t="str">
        <f aca="false">IF(A487="","","فقط "&amp;IF(INT(ROUND(MAX(J487,K487),2))=0,"صفر",MID(IF(INT(INT(ROUND(MAX(J487,K487),2))/1000000)&gt;0," و"&amp;INDEX(تفقيط!$D$2:$D$1001,INT(INT(ROUND(MAX(J487,K487),2))/1000000)+1),"")&amp;IF(INT(MOD(INT(ROUND(MAX(J487,K487),2)),1000000)/1000)&gt;0," و"&amp;INDEX(تفقيط!$C$2:$C$1001,INT(MOD(INT(ROUND(MAX(J487,K487),2)),1000000)/1000)+1),"")&amp;IF(MOD(INT(ROUND(MAX(J487,K487),2)),1000)&gt;0," و"&amp;INDEX(تفقيط!$B$2:$B$1001,MOD(INT(ROUND(MAX(J487,K487),2)),1000)+1),""),3,400))&amp;" "&amp;CUR&amp;IF(ROUND((ROUND(MAX(J487,K487),2)-INT(ROUND(MAX(J487,K487),2)))*100,0)&gt;0," و"&amp;INDEX(تفقيط!$E$2:$E$1001,ROUND((ROUND(MAX(J487,K487),2)-INT(ROUND(MAX(J487,K487),2)))*100,0)+1),"")&amp;" لا غير")</f>
        <v/>
      </c>
    </row>
    <row r="488" customFormat="false" ht="15" hidden="false" customHeight="false" outlineLevel="0" collapsed="false">
      <c r="A488" s="62" t="str">
        <f aca="false">IF(C488="","",START_NO+COUNT(C$5:C488)-1)</f>
        <v/>
      </c>
      <c r="B488" s="63" t="str">
        <f aca="false">IF(A488="","",PREFIX&amp;"-"&amp;TEXT(C488,"yyyy")&amp;"-"&amp;A488)</f>
        <v/>
      </c>
      <c r="C488" s="56"/>
      <c r="D488" s="57"/>
      <c r="E488" s="58"/>
      <c r="F488" s="58"/>
      <c r="G488" s="57"/>
      <c r="H488" s="57"/>
      <c r="I488" s="57"/>
      <c r="J488" s="64" t="str">
        <f aca="false">IF(A488="","",SUMIFS('بنود السندات'!$F$5:$F$3004,'بنود السندات'!$A$5:$A$3004,A488))</f>
        <v/>
      </c>
      <c r="K488" s="64" t="str">
        <f aca="false">IF(A488="","",SUMIFS('بنود السندات'!$G$5:$G$3004,'بنود السندات'!$A$5:$A$3004,A488))</f>
        <v/>
      </c>
      <c r="L488" s="64" t="str">
        <f aca="false">IF(A488="","",ROUND(J488-K488,2))</f>
        <v/>
      </c>
      <c r="M488" s="63" t="str">
        <f aca="false">IF(A488="","",COUNTIF('بنود السندات'!$A$5:$A$3004,A488))</f>
        <v/>
      </c>
      <c r="N488" s="65" t="str">
        <f aca="false">IF(A488="","",IF(M488=0,"بدون بنود ⚠",IF(L488=0,"متوازن ✔","غير متوازن ✘")))</f>
        <v/>
      </c>
      <c r="O488" s="66" t="str">
        <f aca="false">IF(A488="","","فقط "&amp;IF(INT(ROUND(MAX(J488,K488),2))=0,"صفر",MID(IF(INT(INT(ROUND(MAX(J488,K488),2))/1000000)&gt;0," و"&amp;INDEX(تفقيط!$D$2:$D$1001,INT(INT(ROUND(MAX(J488,K488),2))/1000000)+1),"")&amp;IF(INT(MOD(INT(ROUND(MAX(J488,K488),2)),1000000)/1000)&gt;0," و"&amp;INDEX(تفقيط!$C$2:$C$1001,INT(MOD(INT(ROUND(MAX(J488,K488),2)),1000000)/1000)+1),"")&amp;IF(MOD(INT(ROUND(MAX(J488,K488),2)),1000)&gt;0," و"&amp;INDEX(تفقيط!$B$2:$B$1001,MOD(INT(ROUND(MAX(J488,K488),2)),1000)+1),""),3,400))&amp;" "&amp;CUR&amp;IF(ROUND((ROUND(MAX(J488,K488),2)-INT(ROUND(MAX(J488,K488),2)))*100,0)&gt;0," و"&amp;INDEX(تفقيط!$E$2:$E$1001,ROUND((ROUND(MAX(J488,K488),2)-INT(ROUND(MAX(J488,K488),2)))*100,0)+1),"")&amp;" لا غير")</f>
        <v/>
      </c>
    </row>
    <row r="489" customFormat="false" ht="15" hidden="false" customHeight="false" outlineLevel="0" collapsed="false">
      <c r="A489" s="54" t="str">
        <f aca="false">IF(C489="","",START_NO+COUNT(C$5:C489)-1)</f>
        <v/>
      </c>
      <c r="B489" s="55" t="str">
        <f aca="false">IF(A489="","",PREFIX&amp;"-"&amp;TEXT(C489,"yyyy")&amp;"-"&amp;A489)</f>
        <v/>
      </c>
      <c r="C489" s="56"/>
      <c r="D489" s="57"/>
      <c r="E489" s="58"/>
      <c r="F489" s="58"/>
      <c r="G489" s="57"/>
      <c r="H489" s="57"/>
      <c r="I489" s="57"/>
      <c r="J489" s="59" t="str">
        <f aca="false">IF(A489="","",SUMIFS('بنود السندات'!$F$5:$F$3004,'بنود السندات'!$A$5:$A$3004,A489))</f>
        <v/>
      </c>
      <c r="K489" s="59" t="str">
        <f aca="false">IF(A489="","",SUMIFS('بنود السندات'!$G$5:$G$3004,'بنود السندات'!$A$5:$A$3004,A489))</f>
        <v/>
      </c>
      <c r="L489" s="59" t="str">
        <f aca="false">IF(A489="","",ROUND(J489-K489,2))</f>
        <v/>
      </c>
      <c r="M489" s="55" t="str">
        <f aca="false">IF(A489="","",COUNTIF('بنود السندات'!$A$5:$A$3004,A489))</f>
        <v/>
      </c>
      <c r="N489" s="60" t="str">
        <f aca="false">IF(A489="","",IF(M489=0,"بدون بنود ⚠",IF(L489=0,"متوازن ✔","غير متوازن ✘")))</f>
        <v/>
      </c>
      <c r="O489" s="61" t="str">
        <f aca="false">IF(A489="","","فقط "&amp;IF(INT(ROUND(MAX(J489,K489),2))=0,"صفر",MID(IF(INT(INT(ROUND(MAX(J489,K489),2))/1000000)&gt;0," و"&amp;INDEX(تفقيط!$D$2:$D$1001,INT(INT(ROUND(MAX(J489,K489),2))/1000000)+1),"")&amp;IF(INT(MOD(INT(ROUND(MAX(J489,K489),2)),1000000)/1000)&gt;0," و"&amp;INDEX(تفقيط!$C$2:$C$1001,INT(MOD(INT(ROUND(MAX(J489,K489),2)),1000000)/1000)+1),"")&amp;IF(MOD(INT(ROUND(MAX(J489,K489),2)),1000)&gt;0," و"&amp;INDEX(تفقيط!$B$2:$B$1001,MOD(INT(ROUND(MAX(J489,K489),2)),1000)+1),""),3,400))&amp;" "&amp;CUR&amp;IF(ROUND((ROUND(MAX(J489,K489),2)-INT(ROUND(MAX(J489,K489),2)))*100,0)&gt;0," و"&amp;INDEX(تفقيط!$E$2:$E$1001,ROUND((ROUND(MAX(J489,K489),2)-INT(ROUND(MAX(J489,K489),2)))*100,0)+1),"")&amp;" لا غير")</f>
        <v/>
      </c>
    </row>
    <row r="490" customFormat="false" ht="15" hidden="false" customHeight="false" outlineLevel="0" collapsed="false">
      <c r="A490" s="62" t="str">
        <f aca="false">IF(C490="","",START_NO+COUNT(C$5:C490)-1)</f>
        <v/>
      </c>
      <c r="B490" s="63" t="str">
        <f aca="false">IF(A490="","",PREFIX&amp;"-"&amp;TEXT(C490,"yyyy")&amp;"-"&amp;A490)</f>
        <v/>
      </c>
      <c r="C490" s="56"/>
      <c r="D490" s="57"/>
      <c r="E490" s="58"/>
      <c r="F490" s="58"/>
      <c r="G490" s="57"/>
      <c r="H490" s="57"/>
      <c r="I490" s="57"/>
      <c r="J490" s="64" t="str">
        <f aca="false">IF(A490="","",SUMIFS('بنود السندات'!$F$5:$F$3004,'بنود السندات'!$A$5:$A$3004,A490))</f>
        <v/>
      </c>
      <c r="K490" s="64" t="str">
        <f aca="false">IF(A490="","",SUMIFS('بنود السندات'!$G$5:$G$3004,'بنود السندات'!$A$5:$A$3004,A490))</f>
        <v/>
      </c>
      <c r="L490" s="64" t="str">
        <f aca="false">IF(A490="","",ROUND(J490-K490,2))</f>
        <v/>
      </c>
      <c r="M490" s="63" t="str">
        <f aca="false">IF(A490="","",COUNTIF('بنود السندات'!$A$5:$A$3004,A490))</f>
        <v/>
      </c>
      <c r="N490" s="65" t="str">
        <f aca="false">IF(A490="","",IF(M490=0,"بدون بنود ⚠",IF(L490=0,"متوازن ✔","غير متوازن ✘")))</f>
        <v/>
      </c>
      <c r="O490" s="66" t="str">
        <f aca="false">IF(A490="","","فقط "&amp;IF(INT(ROUND(MAX(J490,K490),2))=0,"صفر",MID(IF(INT(INT(ROUND(MAX(J490,K490),2))/1000000)&gt;0," و"&amp;INDEX(تفقيط!$D$2:$D$1001,INT(INT(ROUND(MAX(J490,K490),2))/1000000)+1),"")&amp;IF(INT(MOD(INT(ROUND(MAX(J490,K490),2)),1000000)/1000)&gt;0," و"&amp;INDEX(تفقيط!$C$2:$C$1001,INT(MOD(INT(ROUND(MAX(J490,K490),2)),1000000)/1000)+1),"")&amp;IF(MOD(INT(ROUND(MAX(J490,K490),2)),1000)&gt;0," و"&amp;INDEX(تفقيط!$B$2:$B$1001,MOD(INT(ROUND(MAX(J490,K490),2)),1000)+1),""),3,400))&amp;" "&amp;CUR&amp;IF(ROUND((ROUND(MAX(J490,K490),2)-INT(ROUND(MAX(J490,K490),2)))*100,0)&gt;0," و"&amp;INDEX(تفقيط!$E$2:$E$1001,ROUND((ROUND(MAX(J490,K490),2)-INT(ROUND(MAX(J490,K490),2)))*100,0)+1),"")&amp;" لا غير")</f>
        <v/>
      </c>
    </row>
    <row r="491" customFormat="false" ht="15" hidden="false" customHeight="false" outlineLevel="0" collapsed="false">
      <c r="A491" s="54" t="str">
        <f aca="false">IF(C491="","",START_NO+COUNT(C$5:C491)-1)</f>
        <v/>
      </c>
      <c r="B491" s="55" t="str">
        <f aca="false">IF(A491="","",PREFIX&amp;"-"&amp;TEXT(C491,"yyyy")&amp;"-"&amp;A491)</f>
        <v/>
      </c>
      <c r="C491" s="56"/>
      <c r="D491" s="57"/>
      <c r="E491" s="58"/>
      <c r="F491" s="58"/>
      <c r="G491" s="57"/>
      <c r="H491" s="57"/>
      <c r="I491" s="57"/>
      <c r="J491" s="59" t="str">
        <f aca="false">IF(A491="","",SUMIFS('بنود السندات'!$F$5:$F$3004,'بنود السندات'!$A$5:$A$3004,A491))</f>
        <v/>
      </c>
      <c r="K491" s="59" t="str">
        <f aca="false">IF(A491="","",SUMIFS('بنود السندات'!$G$5:$G$3004,'بنود السندات'!$A$5:$A$3004,A491))</f>
        <v/>
      </c>
      <c r="L491" s="59" t="str">
        <f aca="false">IF(A491="","",ROUND(J491-K491,2))</f>
        <v/>
      </c>
      <c r="M491" s="55" t="str">
        <f aca="false">IF(A491="","",COUNTIF('بنود السندات'!$A$5:$A$3004,A491))</f>
        <v/>
      </c>
      <c r="N491" s="60" t="str">
        <f aca="false">IF(A491="","",IF(M491=0,"بدون بنود ⚠",IF(L491=0,"متوازن ✔","غير متوازن ✘")))</f>
        <v/>
      </c>
      <c r="O491" s="61" t="str">
        <f aca="false">IF(A491="","","فقط "&amp;IF(INT(ROUND(MAX(J491,K491),2))=0,"صفر",MID(IF(INT(INT(ROUND(MAX(J491,K491),2))/1000000)&gt;0," و"&amp;INDEX(تفقيط!$D$2:$D$1001,INT(INT(ROUND(MAX(J491,K491),2))/1000000)+1),"")&amp;IF(INT(MOD(INT(ROUND(MAX(J491,K491),2)),1000000)/1000)&gt;0," و"&amp;INDEX(تفقيط!$C$2:$C$1001,INT(MOD(INT(ROUND(MAX(J491,K491),2)),1000000)/1000)+1),"")&amp;IF(MOD(INT(ROUND(MAX(J491,K491),2)),1000)&gt;0," و"&amp;INDEX(تفقيط!$B$2:$B$1001,MOD(INT(ROUND(MAX(J491,K491),2)),1000)+1),""),3,400))&amp;" "&amp;CUR&amp;IF(ROUND((ROUND(MAX(J491,K491),2)-INT(ROUND(MAX(J491,K491),2)))*100,0)&gt;0," و"&amp;INDEX(تفقيط!$E$2:$E$1001,ROUND((ROUND(MAX(J491,K491),2)-INT(ROUND(MAX(J491,K491),2)))*100,0)+1),"")&amp;" لا غير")</f>
        <v/>
      </c>
    </row>
    <row r="492" customFormat="false" ht="15" hidden="false" customHeight="false" outlineLevel="0" collapsed="false">
      <c r="A492" s="62" t="str">
        <f aca="false">IF(C492="","",START_NO+COUNT(C$5:C492)-1)</f>
        <v/>
      </c>
      <c r="B492" s="63" t="str">
        <f aca="false">IF(A492="","",PREFIX&amp;"-"&amp;TEXT(C492,"yyyy")&amp;"-"&amp;A492)</f>
        <v/>
      </c>
      <c r="C492" s="56"/>
      <c r="D492" s="57"/>
      <c r="E492" s="58"/>
      <c r="F492" s="58"/>
      <c r="G492" s="57"/>
      <c r="H492" s="57"/>
      <c r="I492" s="57"/>
      <c r="J492" s="64" t="str">
        <f aca="false">IF(A492="","",SUMIFS('بنود السندات'!$F$5:$F$3004,'بنود السندات'!$A$5:$A$3004,A492))</f>
        <v/>
      </c>
      <c r="K492" s="64" t="str">
        <f aca="false">IF(A492="","",SUMIFS('بنود السندات'!$G$5:$G$3004,'بنود السندات'!$A$5:$A$3004,A492))</f>
        <v/>
      </c>
      <c r="L492" s="64" t="str">
        <f aca="false">IF(A492="","",ROUND(J492-K492,2))</f>
        <v/>
      </c>
      <c r="M492" s="63" t="str">
        <f aca="false">IF(A492="","",COUNTIF('بنود السندات'!$A$5:$A$3004,A492))</f>
        <v/>
      </c>
      <c r="N492" s="65" t="str">
        <f aca="false">IF(A492="","",IF(M492=0,"بدون بنود ⚠",IF(L492=0,"متوازن ✔","غير متوازن ✘")))</f>
        <v/>
      </c>
      <c r="O492" s="66" t="str">
        <f aca="false">IF(A492="","","فقط "&amp;IF(INT(ROUND(MAX(J492,K492),2))=0,"صفر",MID(IF(INT(INT(ROUND(MAX(J492,K492),2))/1000000)&gt;0," و"&amp;INDEX(تفقيط!$D$2:$D$1001,INT(INT(ROUND(MAX(J492,K492),2))/1000000)+1),"")&amp;IF(INT(MOD(INT(ROUND(MAX(J492,K492),2)),1000000)/1000)&gt;0," و"&amp;INDEX(تفقيط!$C$2:$C$1001,INT(MOD(INT(ROUND(MAX(J492,K492),2)),1000000)/1000)+1),"")&amp;IF(MOD(INT(ROUND(MAX(J492,K492),2)),1000)&gt;0," و"&amp;INDEX(تفقيط!$B$2:$B$1001,MOD(INT(ROUND(MAX(J492,K492),2)),1000)+1),""),3,400))&amp;" "&amp;CUR&amp;IF(ROUND((ROUND(MAX(J492,K492),2)-INT(ROUND(MAX(J492,K492),2)))*100,0)&gt;0," و"&amp;INDEX(تفقيط!$E$2:$E$1001,ROUND((ROUND(MAX(J492,K492),2)-INT(ROUND(MAX(J492,K492),2)))*100,0)+1),"")&amp;" لا غير")</f>
        <v/>
      </c>
    </row>
    <row r="493" customFormat="false" ht="15" hidden="false" customHeight="false" outlineLevel="0" collapsed="false">
      <c r="A493" s="54" t="str">
        <f aca="false">IF(C493="","",START_NO+COUNT(C$5:C493)-1)</f>
        <v/>
      </c>
      <c r="B493" s="55" t="str">
        <f aca="false">IF(A493="","",PREFIX&amp;"-"&amp;TEXT(C493,"yyyy")&amp;"-"&amp;A493)</f>
        <v/>
      </c>
      <c r="C493" s="56"/>
      <c r="D493" s="57"/>
      <c r="E493" s="58"/>
      <c r="F493" s="58"/>
      <c r="G493" s="57"/>
      <c r="H493" s="57"/>
      <c r="I493" s="57"/>
      <c r="J493" s="59" t="str">
        <f aca="false">IF(A493="","",SUMIFS('بنود السندات'!$F$5:$F$3004,'بنود السندات'!$A$5:$A$3004,A493))</f>
        <v/>
      </c>
      <c r="K493" s="59" t="str">
        <f aca="false">IF(A493="","",SUMIFS('بنود السندات'!$G$5:$G$3004,'بنود السندات'!$A$5:$A$3004,A493))</f>
        <v/>
      </c>
      <c r="L493" s="59" t="str">
        <f aca="false">IF(A493="","",ROUND(J493-K493,2))</f>
        <v/>
      </c>
      <c r="M493" s="55" t="str">
        <f aca="false">IF(A493="","",COUNTIF('بنود السندات'!$A$5:$A$3004,A493))</f>
        <v/>
      </c>
      <c r="N493" s="60" t="str">
        <f aca="false">IF(A493="","",IF(M493=0,"بدون بنود ⚠",IF(L493=0,"متوازن ✔","غير متوازن ✘")))</f>
        <v/>
      </c>
      <c r="O493" s="61" t="str">
        <f aca="false">IF(A493="","","فقط "&amp;IF(INT(ROUND(MAX(J493,K493),2))=0,"صفر",MID(IF(INT(INT(ROUND(MAX(J493,K493),2))/1000000)&gt;0," و"&amp;INDEX(تفقيط!$D$2:$D$1001,INT(INT(ROUND(MAX(J493,K493),2))/1000000)+1),"")&amp;IF(INT(MOD(INT(ROUND(MAX(J493,K493),2)),1000000)/1000)&gt;0," و"&amp;INDEX(تفقيط!$C$2:$C$1001,INT(MOD(INT(ROUND(MAX(J493,K493),2)),1000000)/1000)+1),"")&amp;IF(MOD(INT(ROUND(MAX(J493,K493),2)),1000)&gt;0," و"&amp;INDEX(تفقيط!$B$2:$B$1001,MOD(INT(ROUND(MAX(J493,K493),2)),1000)+1),""),3,400))&amp;" "&amp;CUR&amp;IF(ROUND((ROUND(MAX(J493,K493),2)-INT(ROUND(MAX(J493,K493),2)))*100,0)&gt;0," و"&amp;INDEX(تفقيط!$E$2:$E$1001,ROUND((ROUND(MAX(J493,K493),2)-INT(ROUND(MAX(J493,K493),2)))*100,0)+1),"")&amp;" لا غير")</f>
        <v/>
      </c>
    </row>
    <row r="494" customFormat="false" ht="15" hidden="false" customHeight="false" outlineLevel="0" collapsed="false">
      <c r="A494" s="62" t="str">
        <f aca="false">IF(C494="","",START_NO+COUNT(C$5:C494)-1)</f>
        <v/>
      </c>
      <c r="B494" s="63" t="str">
        <f aca="false">IF(A494="","",PREFIX&amp;"-"&amp;TEXT(C494,"yyyy")&amp;"-"&amp;A494)</f>
        <v/>
      </c>
      <c r="C494" s="56"/>
      <c r="D494" s="57"/>
      <c r="E494" s="58"/>
      <c r="F494" s="58"/>
      <c r="G494" s="57"/>
      <c r="H494" s="57"/>
      <c r="I494" s="57"/>
      <c r="J494" s="64" t="str">
        <f aca="false">IF(A494="","",SUMIFS('بنود السندات'!$F$5:$F$3004,'بنود السندات'!$A$5:$A$3004,A494))</f>
        <v/>
      </c>
      <c r="K494" s="64" t="str">
        <f aca="false">IF(A494="","",SUMIFS('بنود السندات'!$G$5:$G$3004,'بنود السندات'!$A$5:$A$3004,A494))</f>
        <v/>
      </c>
      <c r="L494" s="64" t="str">
        <f aca="false">IF(A494="","",ROUND(J494-K494,2))</f>
        <v/>
      </c>
      <c r="M494" s="63" t="str">
        <f aca="false">IF(A494="","",COUNTIF('بنود السندات'!$A$5:$A$3004,A494))</f>
        <v/>
      </c>
      <c r="N494" s="65" t="str">
        <f aca="false">IF(A494="","",IF(M494=0,"بدون بنود ⚠",IF(L494=0,"متوازن ✔","غير متوازن ✘")))</f>
        <v/>
      </c>
      <c r="O494" s="66" t="str">
        <f aca="false">IF(A494="","","فقط "&amp;IF(INT(ROUND(MAX(J494,K494),2))=0,"صفر",MID(IF(INT(INT(ROUND(MAX(J494,K494),2))/1000000)&gt;0," و"&amp;INDEX(تفقيط!$D$2:$D$1001,INT(INT(ROUND(MAX(J494,K494),2))/1000000)+1),"")&amp;IF(INT(MOD(INT(ROUND(MAX(J494,K494),2)),1000000)/1000)&gt;0," و"&amp;INDEX(تفقيط!$C$2:$C$1001,INT(MOD(INT(ROUND(MAX(J494,K494),2)),1000000)/1000)+1),"")&amp;IF(MOD(INT(ROUND(MAX(J494,K494),2)),1000)&gt;0," و"&amp;INDEX(تفقيط!$B$2:$B$1001,MOD(INT(ROUND(MAX(J494,K494),2)),1000)+1),""),3,400))&amp;" "&amp;CUR&amp;IF(ROUND((ROUND(MAX(J494,K494),2)-INT(ROUND(MAX(J494,K494),2)))*100,0)&gt;0," و"&amp;INDEX(تفقيط!$E$2:$E$1001,ROUND((ROUND(MAX(J494,K494),2)-INT(ROUND(MAX(J494,K494),2)))*100,0)+1),"")&amp;" لا غير")</f>
        <v/>
      </c>
    </row>
    <row r="495" customFormat="false" ht="15" hidden="false" customHeight="false" outlineLevel="0" collapsed="false">
      <c r="A495" s="54" t="str">
        <f aca="false">IF(C495="","",START_NO+COUNT(C$5:C495)-1)</f>
        <v/>
      </c>
      <c r="B495" s="55" t="str">
        <f aca="false">IF(A495="","",PREFIX&amp;"-"&amp;TEXT(C495,"yyyy")&amp;"-"&amp;A495)</f>
        <v/>
      </c>
      <c r="C495" s="56"/>
      <c r="D495" s="57"/>
      <c r="E495" s="58"/>
      <c r="F495" s="58"/>
      <c r="G495" s="57"/>
      <c r="H495" s="57"/>
      <c r="I495" s="57"/>
      <c r="J495" s="59" t="str">
        <f aca="false">IF(A495="","",SUMIFS('بنود السندات'!$F$5:$F$3004,'بنود السندات'!$A$5:$A$3004,A495))</f>
        <v/>
      </c>
      <c r="K495" s="59" t="str">
        <f aca="false">IF(A495="","",SUMIFS('بنود السندات'!$G$5:$G$3004,'بنود السندات'!$A$5:$A$3004,A495))</f>
        <v/>
      </c>
      <c r="L495" s="59" t="str">
        <f aca="false">IF(A495="","",ROUND(J495-K495,2))</f>
        <v/>
      </c>
      <c r="M495" s="55" t="str">
        <f aca="false">IF(A495="","",COUNTIF('بنود السندات'!$A$5:$A$3004,A495))</f>
        <v/>
      </c>
      <c r="N495" s="60" t="str">
        <f aca="false">IF(A495="","",IF(M495=0,"بدون بنود ⚠",IF(L495=0,"متوازن ✔","غير متوازن ✘")))</f>
        <v/>
      </c>
      <c r="O495" s="61" t="str">
        <f aca="false">IF(A495="","","فقط "&amp;IF(INT(ROUND(MAX(J495,K495),2))=0,"صفر",MID(IF(INT(INT(ROUND(MAX(J495,K495),2))/1000000)&gt;0," و"&amp;INDEX(تفقيط!$D$2:$D$1001,INT(INT(ROUND(MAX(J495,K495),2))/1000000)+1),"")&amp;IF(INT(MOD(INT(ROUND(MAX(J495,K495),2)),1000000)/1000)&gt;0," و"&amp;INDEX(تفقيط!$C$2:$C$1001,INT(MOD(INT(ROUND(MAX(J495,K495),2)),1000000)/1000)+1),"")&amp;IF(MOD(INT(ROUND(MAX(J495,K495),2)),1000)&gt;0," و"&amp;INDEX(تفقيط!$B$2:$B$1001,MOD(INT(ROUND(MAX(J495,K495),2)),1000)+1),""),3,400))&amp;" "&amp;CUR&amp;IF(ROUND((ROUND(MAX(J495,K495),2)-INT(ROUND(MAX(J495,K495),2)))*100,0)&gt;0," و"&amp;INDEX(تفقيط!$E$2:$E$1001,ROUND((ROUND(MAX(J495,K495),2)-INT(ROUND(MAX(J495,K495),2)))*100,0)+1),"")&amp;" لا غير")</f>
        <v/>
      </c>
    </row>
    <row r="496" customFormat="false" ht="15" hidden="false" customHeight="false" outlineLevel="0" collapsed="false">
      <c r="A496" s="62" t="str">
        <f aca="false">IF(C496="","",START_NO+COUNT(C$5:C496)-1)</f>
        <v/>
      </c>
      <c r="B496" s="63" t="str">
        <f aca="false">IF(A496="","",PREFIX&amp;"-"&amp;TEXT(C496,"yyyy")&amp;"-"&amp;A496)</f>
        <v/>
      </c>
      <c r="C496" s="56"/>
      <c r="D496" s="57"/>
      <c r="E496" s="58"/>
      <c r="F496" s="58"/>
      <c r="G496" s="57"/>
      <c r="H496" s="57"/>
      <c r="I496" s="57"/>
      <c r="J496" s="64" t="str">
        <f aca="false">IF(A496="","",SUMIFS('بنود السندات'!$F$5:$F$3004,'بنود السندات'!$A$5:$A$3004,A496))</f>
        <v/>
      </c>
      <c r="K496" s="64" t="str">
        <f aca="false">IF(A496="","",SUMIFS('بنود السندات'!$G$5:$G$3004,'بنود السندات'!$A$5:$A$3004,A496))</f>
        <v/>
      </c>
      <c r="L496" s="64" t="str">
        <f aca="false">IF(A496="","",ROUND(J496-K496,2))</f>
        <v/>
      </c>
      <c r="M496" s="63" t="str">
        <f aca="false">IF(A496="","",COUNTIF('بنود السندات'!$A$5:$A$3004,A496))</f>
        <v/>
      </c>
      <c r="N496" s="65" t="str">
        <f aca="false">IF(A496="","",IF(M496=0,"بدون بنود ⚠",IF(L496=0,"متوازن ✔","غير متوازن ✘")))</f>
        <v/>
      </c>
      <c r="O496" s="66" t="str">
        <f aca="false">IF(A496="","","فقط "&amp;IF(INT(ROUND(MAX(J496,K496),2))=0,"صفر",MID(IF(INT(INT(ROUND(MAX(J496,K496),2))/1000000)&gt;0," و"&amp;INDEX(تفقيط!$D$2:$D$1001,INT(INT(ROUND(MAX(J496,K496),2))/1000000)+1),"")&amp;IF(INT(MOD(INT(ROUND(MAX(J496,K496),2)),1000000)/1000)&gt;0," و"&amp;INDEX(تفقيط!$C$2:$C$1001,INT(MOD(INT(ROUND(MAX(J496,K496),2)),1000000)/1000)+1),"")&amp;IF(MOD(INT(ROUND(MAX(J496,K496),2)),1000)&gt;0," و"&amp;INDEX(تفقيط!$B$2:$B$1001,MOD(INT(ROUND(MAX(J496,K496),2)),1000)+1),""),3,400))&amp;" "&amp;CUR&amp;IF(ROUND((ROUND(MAX(J496,K496),2)-INT(ROUND(MAX(J496,K496),2)))*100,0)&gt;0," و"&amp;INDEX(تفقيط!$E$2:$E$1001,ROUND((ROUND(MAX(J496,K496),2)-INT(ROUND(MAX(J496,K496),2)))*100,0)+1),"")&amp;" لا غير")</f>
        <v/>
      </c>
    </row>
    <row r="497" customFormat="false" ht="15" hidden="false" customHeight="false" outlineLevel="0" collapsed="false">
      <c r="A497" s="54" t="str">
        <f aca="false">IF(C497="","",START_NO+COUNT(C$5:C497)-1)</f>
        <v/>
      </c>
      <c r="B497" s="55" t="str">
        <f aca="false">IF(A497="","",PREFIX&amp;"-"&amp;TEXT(C497,"yyyy")&amp;"-"&amp;A497)</f>
        <v/>
      </c>
      <c r="C497" s="56"/>
      <c r="D497" s="57"/>
      <c r="E497" s="58"/>
      <c r="F497" s="58"/>
      <c r="G497" s="57"/>
      <c r="H497" s="57"/>
      <c r="I497" s="57"/>
      <c r="J497" s="59" t="str">
        <f aca="false">IF(A497="","",SUMIFS('بنود السندات'!$F$5:$F$3004,'بنود السندات'!$A$5:$A$3004,A497))</f>
        <v/>
      </c>
      <c r="K497" s="59" t="str">
        <f aca="false">IF(A497="","",SUMIFS('بنود السندات'!$G$5:$G$3004,'بنود السندات'!$A$5:$A$3004,A497))</f>
        <v/>
      </c>
      <c r="L497" s="59" t="str">
        <f aca="false">IF(A497="","",ROUND(J497-K497,2))</f>
        <v/>
      </c>
      <c r="M497" s="55" t="str">
        <f aca="false">IF(A497="","",COUNTIF('بنود السندات'!$A$5:$A$3004,A497))</f>
        <v/>
      </c>
      <c r="N497" s="60" t="str">
        <f aca="false">IF(A497="","",IF(M497=0,"بدون بنود ⚠",IF(L497=0,"متوازن ✔","غير متوازن ✘")))</f>
        <v/>
      </c>
      <c r="O497" s="61" t="str">
        <f aca="false">IF(A497="","","فقط "&amp;IF(INT(ROUND(MAX(J497,K497),2))=0,"صفر",MID(IF(INT(INT(ROUND(MAX(J497,K497),2))/1000000)&gt;0," و"&amp;INDEX(تفقيط!$D$2:$D$1001,INT(INT(ROUND(MAX(J497,K497),2))/1000000)+1),"")&amp;IF(INT(MOD(INT(ROUND(MAX(J497,K497),2)),1000000)/1000)&gt;0," و"&amp;INDEX(تفقيط!$C$2:$C$1001,INT(MOD(INT(ROUND(MAX(J497,K497),2)),1000000)/1000)+1),"")&amp;IF(MOD(INT(ROUND(MAX(J497,K497),2)),1000)&gt;0," و"&amp;INDEX(تفقيط!$B$2:$B$1001,MOD(INT(ROUND(MAX(J497,K497),2)),1000)+1),""),3,400))&amp;" "&amp;CUR&amp;IF(ROUND((ROUND(MAX(J497,K497),2)-INT(ROUND(MAX(J497,K497),2)))*100,0)&gt;0," و"&amp;INDEX(تفقيط!$E$2:$E$1001,ROUND((ROUND(MAX(J497,K497),2)-INT(ROUND(MAX(J497,K497),2)))*100,0)+1),"")&amp;" لا غير")</f>
        <v/>
      </c>
    </row>
    <row r="498" customFormat="false" ht="15" hidden="false" customHeight="false" outlineLevel="0" collapsed="false">
      <c r="A498" s="62" t="str">
        <f aca="false">IF(C498="","",START_NO+COUNT(C$5:C498)-1)</f>
        <v/>
      </c>
      <c r="B498" s="63" t="str">
        <f aca="false">IF(A498="","",PREFIX&amp;"-"&amp;TEXT(C498,"yyyy")&amp;"-"&amp;A498)</f>
        <v/>
      </c>
      <c r="C498" s="56"/>
      <c r="D498" s="57"/>
      <c r="E498" s="58"/>
      <c r="F498" s="58"/>
      <c r="G498" s="57"/>
      <c r="H498" s="57"/>
      <c r="I498" s="57"/>
      <c r="J498" s="64" t="str">
        <f aca="false">IF(A498="","",SUMIFS('بنود السندات'!$F$5:$F$3004,'بنود السندات'!$A$5:$A$3004,A498))</f>
        <v/>
      </c>
      <c r="K498" s="64" t="str">
        <f aca="false">IF(A498="","",SUMIFS('بنود السندات'!$G$5:$G$3004,'بنود السندات'!$A$5:$A$3004,A498))</f>
        <v/>
      </c>
      <c r="L498" s="64" t="str">
        <f aca="false">IF(A498="","",ROUND(J498-K498,2))</f>
        <v/>
      </c>
      <c r="M498" s="63" t="str">
        <f aca="false">IF(A498="","",COUNTIF('بنود السندات'!$A$5:$A$3004,A498))</f>
        <v/>
      </c>
      <c r="N498" s="65" t="str">
        <f aca="false">IF(A498="","",IF(M498=0,"بدون بنود ⚠",IF(L498=0,"متوازن ✔","غير متوازن ✘")))</f>
        <v/>
      </c>
      <c r="O498" s="66" t="str">
        <f aca="false">IF(A498="","","فقط "&amp;IF(INT(ROUND(MAX(J498,K498),2))=0,"صفر",MID(IF(INT(INT(ROUND(MAX(J498,K498),2))/1000000)&gt;0," و"&amp;INDEX(تفقيط!$D$2:$D$1001,INT(INT(ROUND(MAX(J498,K498),2))/1000000)+1),"")&amp;IF(INT(MOD(INT(ROUND(MAX(J498,K498),2)),1000000)/1000)&gt;0," و"&amp;INDEX(تفقيط!$C$2:$C$1001,INT(MOD(INT(ROUND(MAX(J498,K498),2)),1000000)/1000)+1),"")&amp;IF(MOD(INT(ROUND(MAX(J498,K498),2)),1000)&gt;0," و"&amp;INDEX(تفقيط!$B$2:$B$1001,MOD(INT(ROUND(MAX(J498,K498),2)),1000)+1),""),3,400))&amp;" "&amp;CUR&amp;IF(ROUND((ROUND(MAX(J498,K498),2)-INT(ROUND(MAX(J498,K498),2)))*100,0)&gt;0," و"&amp;INDEX(تفقيط!$E$2:$E$1001,ROUND((ROUND(MAX(J498,K498),2)-INT(ROUND(MAX(J498,K498),2)))*100,0)+1),"")&amp;" لا غير")</f>
        <v/>
      </c>
    </row>
    <row r="499" customFormat="false" ht="15" hidden="false" customHeight="false" outlineLevel="0" collapsed="false">
      <c r="A499" s="54" t="str">
        <f aca="false">IF(C499="","",START_NO+COUNT(C$5:C499)-1)</f>
        <v/>
      </c>
      <c r="B499" s="55" t="str">
        <f aca="false">IF(A499="","",PREFIX&amp;"-"&amp;TEXT(C499,"yyyy")&amp;"-"&amp;A499)</f>
        <v/>
      </c>
      <c r="C499" s="56"/>
      <c r="D499" s="57"/>
      <c r="E499" s="58"/>
      <c r="F499" s="58"/>
      <c r="G499" s="57"/>
      <c r="H499" s="57"/>
      <c r="I499" s="57"/>
      <c r="J499" s="59" t="str">
        <f aca="false">IF(A499="","",SUMIFS('بنود السندات'!$F$5:$F$3004,'بنود السندات'!$A$5:$A$3004,A499))</f>
        <v/>
      </c>
      <c r="K499" s="59" t="str">
        <f aca="false">IF(A499="","",SUMIFS('بنود السندات'!$G$5:$G$3004,'بنود السندات'!$A$5:$A$3004,A499))</f>
        <v/>
      </c>
      <c r="L499" s="59" t="str">
        <f aca="false">IF(A499="","",ROUND(J499-K499,2))</f>
        <v/>
      </c>
      <c r="M499" s="55" t="str">
        <f aca="false">IF(A499="","",COUNTIF('بنود السندات'!$A$5:$A$3004,A499))</f>
        <v/>
      </c>
      <c r="N499" s="60" t="str">
        <f aca="false">IF(A499="","",IF(M499=0,"بدون بنود ⚠",IF(L499=0,"متوازن ✔","غير متوازن ✘")))</f>
        <v/>
      </c>
      <c r="O499" s="61" t="str">
        <f aca="false">IF(A499="","","فقط "&amp;IF(INT(ROUND(MAX(J499,K499),2))=0,"صفر",MID(IF(INT(INT(ROUND(MAX(J499,K499),2))/1000000)&gt;0," و"&amp;INDEX(تفقيط!$D$2:$D$1001,INT(INT(ROUND(MAX(J499,K499),2))/1000000)+1),"")&amp;IF(INT(MOD(INT(ROUND(MAX(J499,K499),2)),1000000)/1000)&gt;0," و"&amp;INDEX(تفقيط!$C$2:$C$1001,INT(MOD(INT(ROUND(MAX(J499,K499),2)),1000000)/1000)+1),"")&amp;IF(MOD(INT(ROUND(MAX(J499,K499),2)),1000)&gt;0," و"&amp;INDEX(تفقيط!$B$2:$B$1001,MOD(INT(ROUND(MAX(J499,K499),2)),1000)+1),""),3,400))&amp;" "&amp;CUR&amp;IF(ROUND((ROUND(MAX(J499,K499),2)-INT(ROUND(MAX(J499,K499),2)))*100,0)&gt;0," و"&amp;INDEX(تفقيط!$E$2:$E$1001,ROUND((ROUND(MAX(J499,K499),2)-INT(ROUND(MAX(J499,K499),2)))*100,0)+1),"")&amp;" لا غير")</f>
        <v/>
      </c>
    </row>
    <row r="500" customFormat="false" ht="15" hidden="false" customHeight="false" outlineLevel="0" collapsed="false">
      <c r="A500" s="62" t="str">
        <f aca="false">IF(C500="","",START_NO+COUNT(C$5:C500)-1)</f>
        <v/>
      </c>
      <c r="B500" s="63" t="str">
        <f aca="false">IF(A500="","",PREFIX&amp;"-"&amp;TEXT(C500,"yyyy")&amp;"-"&amp;A500)</f>
        <v/>
      </c>
      <c r="C500" s="56"/>
      <c r="D500" s="57"/>
      <c r="E500" s="58"/>
      <c r="F500" s="58"/>
      <c r="G500" s="57"/>
      <c r="H500" s="57"/>
      <c r="I500" s="57"/>
      <c r="J500" s="64" t="str">
        <f aca="false">IF(A500="","",SUMIFS('بنود السندات'!$F$5:$F$3004,'بنود السندات'!$A$5:$A$3004,A500))</f>
        <v/>
      </c>
      <c r="K500" s="64" t="str">
        <f aca="false">IF(A500="","",SUMIFS('بنود السندات'!$G$5:$G$3004,'بنود السندات'!$A$5:$A$3004,A500))</f>
        <v/>
      </c>
      <c r="L500" s="64" t="str">
        <f aca="false">IF(A500="","",ROUND(J500-K500,2))</f>
        <v/>
      </c>
      <c r="M500" s="63" t="str">
        <f aca="false">IF(A500="","",COUNTIF('بنود السندات'!$A$5:$A$3004,A500))</f>
        <v/>
      </c>
      <c r="N500" s="65" t="str">
        <f aca="false">IF(A500="","",IF(M500=0,"بدون بنود ⚠",IF(L500=0,"متوازن ✔","غير متوازن ✘")))</f>
        <v/>
      </c>
      <c r="O500" s="66" t="str">
        <f aca="false">IF(A500="","","فقط "&amp;IF(INT(ROUND(MAX(J500,K500),2))=0,"صفر",MID(IF(INT(INT(ROUND(MAX(J500,K500),2))/1000000)&gt;0," و"&amp;INDEX(تفقيط!$D$2:$D$1001,INT(INT(ROUND(MAX(J500,K500),2))/1000000)+1),"")&amp;IF(INT(MOD(INT(ROUND(MAX(J500,K500),2)),1000000)/1000)&gt;0," و"&amp;INDEX(تفقيط!$C$2:$C$1001,INT(MOD(INT(ROUND(MAX(J500,K500),2)),1000000)/1000)+1),"")&amp;IF(MOD(INT(ROUND(MAX(J500,K500),2)),1000)&gt;0," و"&amp;INDEX(تفقيط!$B$2:$B$1001,MOD(INT(ROUND(MAX(J500,K500),2)),1000)+1),""),3,400))&amp;" "&amp;CUR&amp;IF(ROUND((ROUND(MAX(J500,K500),2)-INT(ROUND(MAX(J500,K500),2)))*100,0)&gt;0," و"&amp;INDEX(تفقيط!$E$2:$E$1001,ROUND((ROUND(MAX(J500,K500),2)-INT(ROUND(MAX(J500,K500),2)))*100,0)+1),"")&amp;" لا غير")</f>
        <v/>
      </c>
    </row>
    <row r="501" customFormat="false" ht="15" hidden="false" customHeight="false" outlineLevel="0" collapsed="false">
      <c r="A501" s="54" t="str">
        <f aca="false">IF(C501="","",START_NO+COUNT(C$5:C501)-1)</f>
        <v/>
      </c>
      <c r="B501" s="55" t="str">
        <f aca="false">IF(A501="","",PREFIX&amp;"-"&amp;TEXT(C501,"yyyy")&amp;"-"&amp;A501)</f>
        <v/>
      </c>
      <c r="C501" s="56"/>
      <c r="D501" s="57"/>
      <c r="E501" s="58"/>
      <c r="F501" s="58"/>
      <c r="G501" s="57"/>
      <c r="H501" s="57"/>
      <c r="I501" s="57"/>
      <c r="J501" s="59" t="str">
        <f aca="false">IF(A501="","",SUMIFS('بنود السندات'!$F$5:$F$3004,'بنود السندات'!$A$5:$A$3004,A501))</f>
        <v/>
      </c>
      <c r="K501" s="59" t="str">
        <f aca="false">IF(A501="","",SUMIFS('بنود السندات'!$G$5:$G$3004,'بنود السندات'!$A$5:$A$3004,A501))</f>
        <v/>
      </c>
      <c r="L501" s="59" t="str">
        <f aca="false">IF(A501="","",ROUND(J501-K501,2))</f>
        <v/>
      </c>
      <c r="M501" s="55" t="str">
        <f aca="false">IF(A501="","",COUNTIF('بنود السندات'!$A$5:$A$3004,A501))</f>
        <v/>
      </c>
      <c r="N501" s="60" t="str">
        <f aca="false">IF(A501="","",IF(M501=0,"بدون بنود ⚠",IF(L501=0,"متوازن ✔","غير متوازن ✘")))</f>
        <v/>
      </c>
      <c r="O501" s="61" t="str">
        <f aca="false">IF(A501="","","فقط "&amp;IF(INT(ROUND(MAX(J501,K501),2))=0,"صفر",MID(IF(INT(INT(ROUND(MAX(J501,K501),2))/1000000)&gt;0," و"&amp;INDEX(تفقيط!$D$2:$D$1001,INT(INT(ROUND(MAX(J501,K501),2))/1000000)+1),"")&amp;IF(INT(MOD(INT(ROUND(MAX(J501,K501),2)),1000000)/1000)&gt;0," و"&amp;INDEX(تفقيط!$C$2:$C$1001,INT(MOD(INT(ROUND(MAX(J501,K501),2)),1000000)/1000)+1),"")&amp;IF(MOD(INT(ROUND(MAX(J501,K501),2)),1000)&gt;0," و"&amp;INDEX(تفقيط!$B$2:$B$1001,MOD(INT(ROUND(MAX(J501,K501),2)),1000)+1),""),3,400))&amp;" "&amp;CUR&amp;IF(ROUND((ROUND(MAX(J501,K501),2)-INT(ROUND(MAX(J501,K501),2)))*100,0)&gt;0," و"&amp;INDEX(تفقيط!$E$2:$E$1001,ROUND((ROUND(MAX(J501,K501),2)-INT(ROUND(MAX(J501,K501),2)))*100,0)+1),"")&amp;" لا غير")</f>
        <v/>
      </c>
    </row>
    <row r="502" customFormat="false" ht="15" hidden="false" customHeight="false" outlineLevel="0" collapsed="false">
      <c r="A502" s="62" t="str">
        <f aca="false">IF(C502="","",START_NO+COUNT(C$5:C502)-1)</f>
        <v/>
      </c>
      <c r="B502" s="63" t="str">
        <f aca="false">IF(A502="","",PREFIX&amp;"-"&amp;TEXT(C502,"yyyy")&amp;"-"&amp;A502)</f>
        <v/>
      </c>
      <c r="C502" s="56"/>
      <c r="D502" s="57"/>
      <c r="E502" s="58"/>
      <c r="F502" s="58"/>
      <c r="G502" s="57"/>
      <c r="H502" s="57"/>
      <c r="I502" s="57"/>
      <c r="J502" s="64" t="str">
        <f aca="false">IF(A502="","",SUMIFS('بنود السندات'!$F$5:$F$3004,'بنود السندات'!$A$5:$A$3004,A502))</f>
        <v/>
      </c>
      <c r="K502" s="64" t="str">
        <f aca="false">IF(A502="","",SUMIFS('بنود السندات'!$G$5:$G$3004,'بنود السندات'!$A$5:$A$3004,A502))</f>
        <v/>
      </c>
      <c r="L502" s="64" t="str">
        <f aca="false">IF(A502="","",ROUND(J502-K502,2))</f>
        <v/>
      </c>
      <c r="M502" s="63" t="str">
        <f aca="false">IF(A502="","",COUNTIF('بنود السندات'!$A$5:$A$3004,A502))</f>
        <v/>
      </c>
      <c r="N502" s="65" t="str">
        <f aca="false">IF(A502="","",IF(M502=0,"بدون بنود ⚠",IF(L502=0,"متوازن ✔","غير متوازن ✘")))</f>
        <v/>
      </c>
      <c r="O502" s="66" t="str">
        <f aca="false">IF(A502="","","فقط "&amp;IF(INT(ROUND(MAX(J502,K502),2))=0,"صفر",MID(IF(INT(INT(ROUND(MAX(J502,K502),2))/1000000)&gt;0," و"&amp;INDEX(تفقيط!$D$2:$D$1001,INT(INT(ROUND(MAX(J502,K502),2))/1000000)+1),"")&amp;IF(INT(MOD(INT(ROUND(MAX(J502,K502),2)),1000000)/1000)&gt;0," و"&amp;INDEX(تفقيط!$C$2:$C$1001,INT(MOD(INT(ROUND(MAX(J502,K502),2)),1000000)/1000)+1),"")&amp;IF(MOD(INT(ROUND(MAX(J502,K502),2)),1000)&gt;0," و"&amp;INDEX(تفقيط!$B$2:$B$1001,MOD(INT(ROUND(MAX(J502,K502),2)),1000)+1),""),3,400))&amp;" "&amp;CUR&amp;IF(ROUND((ROUND(MAX(J502,K502),2)-INT(ROUND(MAX(J502,K502),2)))*100,0)&gt;0," و"&amp;INDEX(تفقيط!$E$2:$E$1001,ROUND((ROUND(MAX(J502,K502),2)-INT(ROUND(MAX(J502,K502),2)))*100,0)+1),"")&amp;" لا غير")</f>
        <v/>
      </c>
    </row>
    <row r="503" customFormat="false" ht="15" hidden="false" customHeight="false" outlineLevel="0" collapsed="false">
      <c r="A503" s="54" t="str">
        <f aca="false">IF(C503="","",START_NO+COUNT(C$5:C503)-1)</f>
        <v/>
      </c>
      <c r="B503" s="55" t="str">
        <f aca="false">IF(A503="","",PREFIX&amp;"-"&amp;TEXT(C503,"yyyy")&amp;"-"&amp;A503)</f>
        <v/>
      </c>
      <c r="C503" s="56"/>
      <c r="D503" s="57"/>
      <c r="E503" s="58"/>
      <c r="F503" s="58"/>
      <c r="G503" s="57"/>
      <c r="H503" s="57"/>
      <c r="I503" s="57"/>
      <c r="J503" s="59" t="str">
        <f aca="false">IF(A503="","",SUMIFS('بنود السندات'!$F$5:$F$3004,'بنود السندات'!$A$5:$A$3004,A503))</f>
        <v/>
      </c>
      <c r="K503" s="59" t="str">
        <f aca="false">IF(A503="","",SUMIFS('بنود السندات'!$G$5:$G$3004,'بنود السندات'!$A$5:$A$3004,A503))</f>
        <v/>
      </c>
      <c r="L503" s="59" t="str">
        <f aca="false">IF(A503="","",ROUND(J503-K503,2))</f>
        <v/>
      </c>
      <c r="M503" s="55" t="str">
        <f aca="false">IF(A503="","",COUNTIF('بنود السندات'!$A$5:$A$3004,A503))</f>
        <v/>
      </c>
      <c r="N503" s="60" t="str">
        <f aca="false">IF(A503="","",IF(M503=0,"بدون بنود ⚠",IF(L503=0,"متوازن ✔","غير متوازن ✘")))</f>
        <v/>
      </c>
      <c r="O503" s="61" t="str">
        <f aca="false">IF(A503="","","فقط "&amp;IF(INT(ROUND(MAX(J503,K503),2))=0,"صفر",MID(IF(INT(INT(ROUND(MAX(J503,K503),2))/1000000)&gt;0," و"&amp;INDEX(تفقيط!$D$2:$D$1001,INT(INT(ROUND(MAX(J503,K503),2))/1000000)+1),"")&amp;IF(INT(MOD(INT(ROUND(MAX(J503,K503),2)),1000000)/1000)&gt;0," و"&amp;INDEX(تفقيط!$C$2:$C$1001,INT(MOD(INT(ROUND(MAX(J503,K503),2)),1000000)/1000)+1),"")&amp;IF(MOD(INT(ROUND(MAX(J503,K503),2)),1000)&gt;0," و"&amp;INDEX(تفقيط!$B$2:$B$1001,MOD(INT(ROUND(MAX(J503,K503),2)),1000)+1),""),3,400))&amp;" "&amp;CUR&amp;IF(ROUND((ROUND(MAX(J503,K503),2)-INT(ROUND(MAX(J503,K503),2)))*100,0)&gt;0," و"&amp;INDEX(تفقيط!$E$2:$E$1001,ROUND((ROUND(MAX(J503,K503),2)-INT(ROUND(MAX(J503,K503),2)))*100,0)+1),"")&amp;" لا غير")</f>
        <v/>
      </c>
    </row>
    <row r="504" customFormat="false" ht="15" hidden="false" customHeight="false" outlineLevel="0" collapsed="false">
      <c r="A504" s="62" t="str">
        <f aca="false">IF(C504="","",START_NO+COUNT(C$5:C504)-1)</f>
        <v/>
      </c>
      <c r="B504" s="63" t="str">
        <f aca="false">IF(A504="","",PREFIX&amp;"-"&amp;TEXT(C504,"yyyy")&amp;"-"&amp;A504)</f>
        <v/>
      </c>
      <c r="C504" s="56"/>
      <c r="D504" s="57"/>
      <c r="E504" s="58"/>
      <c r="F504" s="58"/>
      <c r="G504" s="57"/>
      <c r="H504" s="57"/>
      <c r="I504" s="57"/>
      <c r="J504" s="64" t="str">
        <f aca="false">IF(A504="","",SUMIFS('بنود السندات'!$F$5:$F$3004,'بنود السندات'!$A$5:$A$3004,A504))</f>
        <v/>
      </c>
      <c r="K504" s="64" t="str">
        <f aca="false">IF(A504="","",SUMIFS('بنود السندات'!$G$5:$G$3004,'بنود السندات'!$A$5:$A$3004,A504))</f>
        <v/>
      </c>
      <c r="L504" s="64" t="str">
        <f aca="false">IF(A504="","",ROUND(J504-K504,2))</f>
        <v/>
      </c>
      <c r="M504" s="63" t="str">
        <f aca="false">IF(A504="","",COUNTIF('بنود السندات'!$A$5:$A$3004,A504))</f>
        <v/>
      </c>
      <c r="N504" s="65" t="str">
        <f aca="false">IF(A504="","",IF(M504=0,"بدون بنود ⚠",IF(L504=0,"متوازن ✔","غير متوازن ✘")))</f>
        <v/>
      </c>
      <c r="O504" s="66" t="str">
        <f aca="false">IF(A504="","","فقط "&amp;IF(INT(ROUND(MAX(J504,K504),2))=0,"صفر",MID(IF(INT(INT(ROUND(MAX(J504,K504),2))/1000000)&gt;0," و"&amp;INDEX(تفقيط!$D$2:$D$1001,INT(INT(ROUND(MAX(J504,K504),2))/1000000)+1),"")&amp;IF(INT(MOD(INT(ROUND(MAX(J504,K504),2)),1000000)/1000)&gt;0," و"&amp;INDEX(تفقيط!$C$2:$C$1001,INT(MOD(INT(ROUND(MAX(J504,K504),2)),1000000)/1000)+1),"")&amp;IF(MOD(INT(ROUND(MAX(J504,K504),2)),1000)&gt;0," و"&amp;INDEX(تفقيط!$B$2:$B$1001,MOD(INT(ROUND(MAX(J504,K504),2)),1000)+1),""),3,400))&amp;" "&amp;CUR&amp;IF(ROUND((ROUND(MAX(J504,K504),2)-INT(ROUND(MAX(J504,K504),2)))*100,0)&gt;0," و"&amp;INDEX(تفقيط!$E$2:$E$1001,ROUND((ROUND(MAX(J504,K504),2)-INT(ROUND(MAX(J504,K504),2)))*100,0)+1),"")&amp;" لا غير")</f>
        <v/>
      </c>
    </row>
  </sheetData>
  <autoFilter ref="A4:O504"/>
  <mergeCells count="3">
    <mergeCell ref="A1:O1"/>
    <mergeCell ref="A2:O2"/>
    <mergeCell ref="A3:E3"/>
  </mergeCells>
  <conditionalFormatting sqref="N5:N504">
    <cfRule type="expression" priority="2" aboveAverage="0" equalAverage="0" bottom="0" percent="0" rank="0" text="" dxfId="11">
      <formula>ISNUMBER(SEARCH("✔",N5))</formula>
    </cfRule>
    <cfRule type="expression" priority="3" aboveAverage="0" equalAverage="0" bottom="0" percent="0" rank="0" text="" dxfId="1">
      <formula>ISNUMBER(SEARCH("✘",N5))</formula>
    </cfRule>
    <cfRule type="expression" priority="4" aboveAverage="0" equalAverage="0" bottom="0" percent="0" rank="0" text="" dxfId="12">
      <formula>ISNUMBER(SEARCH("⚠",N5))</formula>
    </cfRule>
  </conditionalFormatting>
  <conditionalFormatting sqref="L5:L504">
    <cfRule type="expression" priority="5" aboveAverage="0" equalAverage="0" bottom="0" percent="0" rank="0" text="" dxfId="13">
      <formula>AND(ISNUMBER(L5),L5&lt;&gt;0)</formula>
    </cfRule>
  </conditionalFormatting>
  <dataValidations count="2">
    <dataValidation allowBlank="true" error="اختر قيمة من القائمة المنسدلة (أو أضفها في ورقة الإعدادات)." errorStyle="stop" errorTitle="قيمة غير موجودة في القائمة" operator="between" prompt="اختر طريقة الدفع" promptTitle="تلميح" showDropDown="false" showErrorMessage="true" showInputMessage="true" sqref="E5:E504" type="list">
      <formula1>PAY_METHODS</formula1>
      <formula2>0</formula2>
    </dataValidation>
    <dataValidation allowBlank="true" error="اكتب التاريخ بالشكل يوم/شهر/سنة" errorStyle="stop" errorTitle="تاريخ غير صحيح" operator="between" showDropDown="false" showErrorMessage="true" showInputMessage="false" sqref="C5:C504" type="date">
      <formula1>DATE(2000,1,1)</formula1>
      <formula2>DATE(2100,12,31)</formula2>
    </dataValidation>
  </dataValidations>
  <hyperlinks>
    <hyperlink ref="N3" location="'طباعة السند'!C8" display="🖨 طباعة السند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true"/>
  </sheetPr>
  <dimension ref="A1:J3004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tru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0" min="10" style="0" width="26"/>
  </cols>
  <sheetData>
    <row r="1" customFormat="false" ht="33.75" hidden="false" customHeight="true" outlineLevel="0" collapsed="false">
      <c r="A1" s="49" t="s">
        <v>69</v>
      </c>
      <c r="B1" s="49"/>
      <c r="C1" s="49"/>
      <c r="D1" s="49"/>
      <c r="E1" s="49"/>
      <c r="F1" s="49"/>
      <c r="G1" s="49"/>
      <c r="H1" s="49"/>
      <c r="I1" s="49"/>
      <c r="J1" s="49"/>
    </row>
    <row r="2" customFormat="false" ht="19.5" hidden="false" customHeight="true" outlineLevel="0" collapsed="false">
      <c r="A2" s="50" t="s">
        <v>70</v>
      </c>
      <c r="B2" s="50"/>
      <c r="C2" s="50"/>
      <c r="D2" s="50"/>
      <c r="E2" s="50"/>
      <c r="F2" s="50"/>
      <c r="G2" s="50"/>
      <c r="H2" s="50"/>
      <c r="I2" s="50"/>
      <c r="J2" s="50"/>
    </row>
    <row r="3" customFormat="false" ht="15" hidden="false" customHeight="false" outlineLevel="0" collapsed="false">
      <c r="A3" s="24" t="s">
        <v>71</v>
      </c>
      <c r="B3" s="24"/>
      <c r="D3" s="52" t="s">
        <v>38</v>
      </c>
      <c r="E3" s="51" t="str">
        <f aca="false">"إجمالي المدين: "&amp;TEXT(SUM(F5:F3004),"#,##0.00")&amp;"   |   إجمالي الدائن: "&amp;TEXT(SUM(G5:G3004),"#,##0.00")</f>
        <v>إجمالي المدين: 45,330.50   |   إجمالي الدائن: 45,330.50</v>
      </c>
      <c r="F3" s="51"/>
      <c r="G3" s="51"/>
      <c r="H3" s="51"/>
      <c r="I3" s="51"/>
    </row>
    <row r="4" customFormat="false" ht="31.5" hidden="false" customHeight="true" outlineLevel="0" collapsed="false">
      <c r="A4" s="67" t="s">
        <v>39</v>
      </c>
      <c r="B4" s="67" t="s">
        <v>72</v>
      </c>
      <c r="C4" s="67" t="s">
        <v>73</v>
      </c>
      <c r="D4" s="67" t="s">
        <v>27</v>
      </c>
      <c r="E4" s="67" t="s">
        <v>74</v>
      </c>
      <c r="F4" s="67" t="s">
        <v>24</v>
      </c>
      <c r="G4" s="67" t="s">
        <v>25</v>
      </c>
      <c r="H4" s="67" t="s">
        <v>75</v>
      </c>
      <c r="I4" s="67" t="s">
        <v>76</v>
      </c>
      <c r="J4" s="67" t="s">
        <v>77</v>
      </c>
    </row>
    <row r="5" customFormat="false" ht="15" hidden="false" customHeight="false" outlineLevel="0" collapsed="false">
      <c r="A5" s="58" t="n">
        <v>1001</v>
      </c>
      <c r="B5" s="68" t="n">
        <f aca="false">IF(A5="","",COUNTIF(A$5:A5,A5))</f>
        <v>1</v>
      </c>
      <c r="C5" s="68" t="str">
        <f aca="false">IF(A5="","",A5&amp;"-"&amp;B5)</f>
        <v>1001-1</v>
      </c>
      <c r="D5" s="58" t="s">
        <v>78</v>
      </c>
      <c r="E5" s="57" t="s">
        <v>79</v>
      </c>
      <c r="F5" s="69" t="n">
        <v>3000</v>
      </c>
      <c r="G5" s="69"/>
      <c r="H5" s="70" t="n">
        <f aca="false">IF(A5="","",IFERROR(INDEX(السندات!$C$5:$C$504,MATCH(A5,السندات!$A$5:$A$504,0)),""))</f>
        <v>46249</v>
      </c>
      <c r="I5" s="71" t="str">
        <f aca="false">IF(A5="","",IFERROR(INDEX(السندات!$D$5:$D$504,MATCH(A5,السندات!$A$5:$A$504,0)),""))</f>
        <v>حيدر شماع</v>
      </c>
      <c r="J5" s="72" t="str">
        <f aca="false">IF(A5="","",IF(ISNA(MATCH(A5,السندات!$A$5:$A$504,0)),"رقم سند غير موجود ✘",IF(AND(F5&lt;&gt;"",G5&lt;&gt;""),"اكتب مدين أو دائن فقط ✘",IF(AND(N(F5)=0,N(G5)=0),"بدون مبلغ ⚠",IF(B5&gt;12,"يتجاوز 12 بنداً في الطباعة ⚠","")))))</f>
        <v/>
      </c>
    </row>
    <row r="6" customFormat="false" ht="15" hidden="false" customHeight="false" outlineLevel="0" collapsed="false">
      <c r="A6" s="58" t="n">
        <v>1001</v>
      </c>
      <c r="B6" s="73" t="n">
        <f aca="false">IF(A6="","",COUNTIF(A$5:A6,A6))</f>
        <v>2</v>
      </c>
      <c r="C6" s="73" t="str">
        <f aca="false">IF(A6="","",A6&amp;"-"&amp;B6)</f>
        <v>1001-2</v>
      </c>
      <c r="D6" s="58" t="s">
        <v>78</v>
      </c>
      <c r="E6" s="57" t="s">
        <v>80</v>
      </c>
      <c r="F6" s="69"/>
      <c r="G6" s="69" t="n">
        <v>3000</v>
      </c>
      <c r="H6" s="74" t="n">
        <f aca="false">IF(A6="","",IFERROR(INDEX(السندات!$C$5:$C$504,MATCH(A6,السندات!$A$5:$A$504,0)),""))</f>
        <v>46249</v>
      </c>
      <c r="I6" s="75" t="str">
        <f aca="false">IF(A6="","",IFERROR(INDEX(السندات!$D$5:$D$504,MATCH(A6,السندات!$A$5:$A$504,0)),""))</f>
        <v>حيدر شماع</v>
      </c>
      <c r="J6" s="76" t="str">
        <f aca="false">IF(A6="","",IF(ISNA(MATCH(A6,السندات!$A$5:$A$504,0)),"رقم سند غير موجود ✘",IF(AND(F6&lt;&gt;"",G6&lt;&gt;""),"اكتب مدين أو دائن فقط ✘",IF(AND(N(F6)=0,N(G6)=0),"بدون مبلغ ⚠",IF(B6&gt;12,"يتجاوز 12 بنداً في الطباعة ⚠","")))))</f>
        <v/>
      </c>
    </row>
    <row r="7" customFormat="false" ht="15" hidden="false" customHeight="false" outlineLevel="0" collapsed="false">
      <c r="A7" s="58" t="n">
        <v>1002</v>
      </c>
      <c r="B7" s="68" t="n">
        <f aca="false">IF(A7="","",COUNTIF(A$5:A7,A7))</f>
        <v>1</v>
      </c>
      <c r="C7" s="68" t="str">
        <f aca="false">IF(A7="","",A7&amp;"-"&amp;B7)</f>
        <v>1002-1</v>
      </c>
      <c r="D7" s="58" t="s">
        <v>78</v>
      </c>
      <c r="E7" s="57" t="s">
        <v>81</v>
      </c>
      <c r="F7" s="69" t="n">
        <v>25000</v>
      </c>
      <c r="G7" s="69"/>
      <c r="H7" s="70" t="n">
        <f aca="false">IF(A7="","",IFERROR(INDEX(السندات!$C$5:$C$504,MATCH(A7,السندات!$A$5:$A$504,0)),""))</f>
        <v>46254</v>
      </c>
      <c r="I7" s="71" t="str">
        <f aca="false">IF(A7="","",IFERROR(INDEX(السندات!$D$5:$D$504,MATCH(A7,السندات!$A$5:$A$504,0)),""))</f>
        <v>مؤسسة البناء الحديث</v>
      </c>
      <c r="J7" s="72" t="str">
        <f aca="false">IF(A7="","",IF(ISNA(MATCH(A7,السندات!$A$5:$A$504,0)),"رقم سند غير موجود ✘",IF(AND(F7&lt;&gt;"",G7&lt;&gt;""),"اكتب مدين أو دائن فقط ✘",IF(AND(N(F7)=0,N(G7)=0),"بدون مبلغ ⚠",IF(B7&gt;12,"يتجاوز 12 بنداً في الطباعة ⚠","")))))</f>
        <v/>
      </c>
    </row>
    <row r="8" customFormat="false" ht="15" hidden="false" customHeight="false" outlineLevel="0" collapsed="false">
      <c r="A8" s="58" t="n">
        <v>1002</v>
      </c>
      <c r="B8" s="73" t="n">
        <f aca="false">IF(A8="","",COUNTIF(A$5:A8,A8))</f>
        <v>2</v>
      </c>
      <c r="C8" s="73" t="str">
        <f aca="false">IF(A8="","",A8&amp;"-"&amp;B8)</f>
        <v>1002-2</v>
      </c>
      <c r="D8" s="58" t="s">
        <v>82</v>
      </c>
      <c r="E8" s="57" t="s">
        <v>81</v>
      </c>
      <c r="F8" s="69" t="n">
        <v>12500.5</v>
      </c>
      <c r="G8" s="69"/>
      <c r="H8" s="74" t="n">
        <f aca="false">IF(A8="","",IFERROR(INDEX(السندات!$C$5:$C$504,MATCH(A8,السندات!$A$5:$A$504,0)),""))</f>
        <v>46254</v>
      </c>
      <c r="I8" s="75" t="str">
        <f aca="false">IF(A8="","",IFERROR(INDEX(السندات!$D$5:$D$504,MATCH(A8,السندات!$A$5:$A$504,0)),""))</f>
        <v>مؤسسة البناء الحديث</v>
      </c>
      <c r="J8" s="76" t="str">
        <f aca="false">IF(A8="","",IF(ISNA(MATCH(A8,السندات!$A$5:$A$504,0)),"رقم سند غير موجود ✘",IF(AND(F8&lt;&gt;"",G8&lt;&gt;""),"اكتب مدين أو دائن فقط ✘",IF(AND(N(F8)=0,N(G8)=0),"بدون مبلغ ⚠",IF(B8&gt;12,"يتجاوز 12 بنداً في الطباعة ⚠","")))))</f>
        <v/>
      </c>
    </row>
    <row r="9" customFormat="false" ht="15" hidden="false" customHeight="false" outlineLevel="0" collapsed="false">
      <c r="A9" s="58" t="n">
        <v>1002</v>
      </c>
      <c r="B9" s="68" t="n">
        <f aca="false">IF(A9="","",COUNTIF(A$5:A9,A9))</f>
        <v>3</v>
      </c>
      <c r="C9" s="68" t="str">
        <f aca="false">IF(A9="","",A9&amp;"-"&amp;B9)</f>
        <v>1002-3</v>
      </c>
      <c r="D9" s="58" t="s">
        <v>78</v>
      </c>
      <c r="E9" s="57" t="s">
        <v>83</v>
      </c>
      <c r="F9" s="69"/>
      <c r="G9" s="69" t="n">
        <v>37500.5</v>
      </c>
      <c r="H9" s="70" t="n">
        <f aca="false">IF(A9="","",IFERROR(INDEX(السندات!$C$5:$C$504,MATCH(A9,السندات!$A$5:$A$504,0)),""))</f>
        <v>46254</v>
      </c>
      <c r="I9" s="71" t="str">
        <f aca="false">IF(A9="","",IFERROR(INDEX(السندات!$D$5:$D$504,MATCH(A9,السندات!$A$5:$A$504,0)),""))</f>
        <v>مؤسسة البناء الحديث</v>
      </c>
      <c r="J9" s="72" t="str">
        <f aca="false">IF(A9="","",IF(ISNA(MATCH(A9,السندات!$A$5:$A$504,0)),"رقم سند غير موجود ✘",IF(AND(F9&lt;&gt;"",G9&lt;&gt;""),"اكتب مدين أو دائن فقط ✘",IF(AND(N(F9)=0,N(G9)=0),"بدون مبلغ ⚠",IF(B9&gt;12,"يتجاوز 12 بنداً في الطباعة ⚠","")))))</f>
        <v/>
      </c>
    </row>
    <row r="10" customFormat="false" ht="15" hidden="false" customHeight="false" outlineLevel="0" collapsed="false">
      <c r="A10" s="58" t="n">
        <v>1003</v>
      </c>
      <c r="B10" s="73" t="n">
        <f aca="false">IF(A10="","",COUNTIF(A$5:A10,A10))</f>
        <v>1</v>
      </c>
      <c r="C10" s="73" t="str">
        <f aca="false">IF(A10="","",A10&amp;"-"&amp;B10)</f>
        <v>1003-1</v>
      </c>
      <c r="D10" s="58" t="s">
        <v>84</v>
      </c>
      <c r="E10" s="57" t="s">
        <v>85</v>
      </c>
      <c r="F10" s="69" t="n">
        <v>4200</v>
      </c>
      <c r="G10" s="69"/>
      <c r="H10" s="74" t="n">
        <f aca="false">IF(A10="","",IFERROR(INDEX(السندات!$C$5:$C$504,MATCH(A10,السندات!$A$5:$A$504,0)),""))</f>
        <v>46268</v>
      </c>
      <c r="I10" s="75" t="str">
        <f aca="false">IF(A10="","",IFERROR(INDEX(السندات!$D$5:$D$504,MATCH(A10,السندات!$A$5:$A$504,0)),""))</f>
        <v>شركة الوقود المتحدة</v>
      </c>
      <c r="J10" s="76" t="str">
        <f aca="false">IF(A10="","",IF(ISNA(MATCH(A10,السندات!$A$5:$A$504,0)),"رقم سند غير موجود ✘",IF(AND(F10&lt;&gt;"",G10&lt;&gt;""),"اكتب مدين أو دائن فقط ✘",IF(AND(N(F10)=0,N(G10)=0),"بدون مبلغ ⚠",IF(B10&gt;12,"يتجاوز 12 بنداً في الطباعة ⚠","")))))</f>
        <v/>
      </c>
    </row>
    <row r="11" customFormat="false" ht="15" hidden="false" customHeight="false" outlineLevel="0" collapsed="false">
      <c r="A11" s="58" t="n">
        <v>1003</v>
      </c>
      <c r="B11" s="68" t="n">
        <f aca="false">IF(A11="","",COUNTIF(A$5:A11,A11))</f>
        <v>2</v>
      </c>
      <c r="C11" s="68" t="str">
        <f aca="false">IF(A11="","",A11&amp;"-"&amp;B11)</f>
        <v>1003-2</v>
      </c>
      <c r="D11" s="58" t="s">
        <v>84</v>
      </c>
      <c r="E11" s="57" t="s">
        <v>86</v>
      </c>
      <c r="F11" s="69" t="n">
        <v>630</v>
      </c>
      <c r="G11" s="69"/>
      <c r="H11" s="70" t="n">
        <f aca="false">IF(A11="","",IFERROR(INDEX(السندات!$C$5:$C$504,MATCH(A11,السندات!$A$5:$A$504,0)),""))</f>
        <v>46268</v>
      </c>
      <c r="I11" s="71" t="str">
        <f aca="false">IF(A11="","",IFERROR(INDEX(السندات!$D$5:$D$504,MATCH(A11,السندات!$A$5:$A$504,0)),""))</f>
        <v>شركة الوقود المتحدة</v>
      </c>
      <c r="J11" s="72" t="str">
        <f aca="false">IF(A11="","",IF(ISNA(MATCH(A11,السندات!$A$5:$A$504,0)),"رقم سند غير موجود ✘",IF(AND(F11&lt;&gt;"",G11&lt;&gt;""),"اكتب مدين أو دائن فقط ✘",IF(AND(N(F11)=0,N(G11)=0),"بدون مبلغ ⚠",IF(B11&gt;12,"يتجاوز 12 بنداً في الطباعة ⚠","")))))</f>
        <v/>
      </c>
    </row>
    <row r="12" customFormat="false" ht="15" hidden="false" customHeight="false" outlineLevel="0" collapsed="false">
      <c r="A12" s="58" t="n">
        <v>1003</v>
      </c>
      <c r="B12" s="73" t="n">
        <f aca="false">IF(A12="","",COUNTIF(A$5:A12,A12))</f>
        <v>3</v>
      </c>
      <c r="C12" s="73" t="str">
        <f aca="false">IF(A12="","",A12&amp;"-"&amp;B12)</f>
        <v>1003-3</v>
      </c>
      <c r="D12" s="58" t="s">
        <v>84</v>
      </c>
      <c r="E12" s="57" t="s">
        <v>87</v>
      </c>
      <c r="F12" s="69"/>
      <c r="G12" s="69" t="n">
        <v>4830</v>
      </c>
      <c r="H12" s="74" t="n">
        <f aca="false">IF(A12="","",IFERROR(INDEX(السندات!$C$5:$C$504,MATCH(A12,السندات!$A$5:$A$504,0)),""))</f>
        <v>46268</v>
      </c>
      <c r="I12" s="75" t="str">
        <f aca="false">IF(A12="","",IFERROR(INDEX(السندات!$D$5:$D$504,MATCH(A12,السندات!$A$5:$A$504,0)),""))</f>
        <v>شركة الوقود المتحدة</v>
      </c>
      <c r="J12" s="76" t="str">
        <f aca="false">IF(A12="","",IF(ISNA(MATCH(A12,السندات!$A$5:$A$504,0)),"رقم سند غير موجود ✘",IF(AND(F12&lt;&gt;"",G12&lt;&gt;""),"اكتب مدين أو دائن فقط ✘",IF(AND(N(F12)=0,N(G12)=0),"بدون مبلغ ⚠",IF(B12&gt;12,"يتجاوز 12 بنداً في الطباعة ⚠","")))))</f>
        <v/>
      </c>
    </row>
    <row r="13" customFormat="false" ht="15" hidden="false" customHeight="false" outlineLevel="0" collapsed="false">
      <c r="A13" s="58"/>
      <c r="B13" s="68" t="str">
        <f aca="false">IF(A13="","",COUNTIF(A$5:A13,A13))</f>
        <v/>
      </c>
      <c r="C13" s="68" t="str">
        <f aca="false">IF(A13="","",A13&amp;"-"&amp;B13)</f>
        <v/>
      </c>
      <c r="D13" s="58"/>
      <c r="E13" s="57"/>
      <c r="F13" s="69"/>
      <c r="G13" s="69"/>
      <c r="H13" s="70" t="str">
        <f aca="false">IF(A13="","",IFERROR(INDEX(السندات!$C$5:$C$504,MATCH(A13,السندات!$A$5:$A$504,0)),""))</f>
        <v/>
      </c>
      <c r="I13" s="71" t="str">
        <f aca="false">IF(A13="","",IFERROR(INDEX(السندات!$D$5:$D$504,MATCH(A13,السندات!$A$5:$A$504,0)),""))</f>
        <v/>
      </c>
      <c r="J13" s="72" t="str">
        <f aca="false">IF(A13="","",IF(ISNA(MATCH(A13,السندات!$A$5:$A$504,0)),"رقم سند غير موجود ✘",IF(AND(F13&lt;&gt;"",G13&lt;&gt;""),"اكتب مدين أو دائن فقط ✘",IF(AND(N(F13)=0,N(G13)=0),"بدون مبلغ ⚠",IF(B13&gt;12,"يتجاوز 12 بنداً في الطباعة ⚠","")))))</f>
        <v/>
      </c>
    </row>
    <row r="14" customFormat="false" ht="15" hidden="false" customHeight="false" outlineLevel="0" collapsed="false">
      <c r="A14" s="58"/>
      <c r="B14" s="73" t="str">
        <f aca="false">IF(A14="","",COUNTIF(A$5:A14,A14))</f>
        <v/>
      </c>
      <c r="C14" s="73" t="str">
        <f aca="false">IF(A14="","",A14&amp;"-"&amp;B14)</f>
        <v/>
      </c>
      <c r="D14" s="58"/>
      <c r="E14" s="57"/>
      <c r="F14" s="69"/>
      <c r="G14" s="69"/>
      <c r="H14" s="74" t="str">
        <f aca="false">IF(A14="","",IFERROR(INDEX(السندات!$C$5:$C$504,MATCH(A14,السندات!$A$5:$A$504,0)),""))</f>
        <v/>
      </c>
      <c r="I14" s="75" t="str">
        <f aca="false">IF(A14="","",IFERROR(INDEX(السندات!$D$5:$D$504,MATCH(A14,السندات!$A$5:$A$504,0)),""))</f>
        <v/>
      </c>
      <c r="J14" s="76" t="str">
        <f aca="false">IF(A14="","",IF(ISNA(MATCH(A14,السندات!$A$5:$A$504,0)),"رقم سند غير موجود ✘",IF(AND(F14&lt;&gt;"",G14&lt;&gt;""),"اكتب مدين أو دائن فقط ✘",IF(AND(N(F14)=0,N(G14)=0),"بدون مبلغ ⚠",IF(B14&gt;12,"يتجاوز 12 بنداً في الطباعة ⚠","")))))</f>
        <v/>
      </c>
    </row>
    <row r="15" customFormat="false" ht="15" hidden="false" customHeight="false" outlineLevel="0" collapsed="false">
      <c r="A15" s="58"/>
      <c r="B15" s="68" t="str">
        <f aca="false">IF(A15="","",COUNTIF(A$5:A15,A15))</f>
        <v/>
      </c>
      <c r="C15" s="68" t="str">
        <f aca="false">IF(A15="","",A15&amp;"-"&amp;B15)</f>
        <v/>
      </c>
      <c r="D15" s="58"/>
      <c r="E15" s="57"/>
      <c r="F15" s="69"/>
      <c r="G15" s="69"/>
      <c r="H15" s="70" t="str">
        <f aca="false">IF(A15="","",IFERROR(INDEX(السندات!$C$5:$C$504,MATCH(A15,السندات!$A$5:$A$504,0)),""))</f>
        <v/>
      </c>
      <c r="I15" s="71" t="str">
        <f aca="false">IF(A15="","",IFERROR(INDEX(السندات!$D$5:$D$504,MATCH(A15,السندات!$A$5:$A$504,0)),""))</f>
        <v/>
      </c>
      <c r="J15" s="72" t="str">
        <f aca="false">IF(A15="","",IF(ISNA(MATCH(A15,السندات!$A$5:$A$504,0)),"رقم سند غير موجود ✘",IF(AND(F15&lt;&gt;"",G15&lt;&gt;""),"اكتب مدين أو دائن فقط ✘",IF(AND(N(F15)=0,N(G15)=0),"بدون مبلغ ⚠",IF(B15&gt;12,"يتجاوز 12 بنداً في الطباعة ⚠","")))))</f>
        <v/>
      </c>
    </row>
    <row r="16" customFormat="false" ht="15" hidden="false" customHeight="false" outlineLevel="0" collapsed="false">
      <c r="A16" s="58"/>
      <c r="B16" s="73" t="str">
        <f aca="false">IF(A16="","",COUNTIF(A$5:A16,A16))</f>
        <v/>
      </c>
      <c r="C16" s="73" t="str">
        <f aca="false">IF(A16="","",A16&amp;"-"&amp;B16)</f>
        <v/>
      </c>
      <c r="D16" s="58"/>
      <c r="E16" s="57"/>
      <c r="F16" s="69"/>
      <c r="G16" s="69"/>
      <c r="H16" s="74" t="str">
        <f aca="false">IF(A16="","",IFERROR(INDEX(السندات!$C$5:$C$504,MATCH(A16,السندات!$A$5:$A$504,0)),""))</f>
        <v/>
      </c>
      <c r="I16" s="75" t="str">
        <f aca="false">IF(A16="","",IFERROR(INDEX(السندات!$D$5:$D$504,MATCH(A16,السندات!$A$5:$A$504,0)),""))</f>
        <v/>
      </c>
      <c r="J16" s="76" t="str">
        <f aca="false">IF(A16="","",IF(ISNA(MATCH(A16,السندات!$A$5:$A$504,0)),"رقم سند غير موجود ✘",IF(AND(F16&lt;&gt;"",G16&lt;&gt;""),"اكتب مدين أو دائن فقط ✘",IF(AND(N(F16)=0,N(G16)=0),"بدون مبلغ ⚠",IF(B16&gt;12,"يتجاوز 12 بنداً في الطباعة ⚠","")))))</f>
        <v/>
      </c>
    </row>
    <row r="17" customFormat="false" ht="15" hidden="false" customHeight="false" outlineLevel="0" collapsed="false">
      <c r="A17" s="58"/>
      <c r="B17" s="68" t="str">
        <f aca="false">IF(A17="","",COUNTIF(A$5:A17,A17))</f>
        <v/>
      </c>
      <c r="C17" s="68" t="str">
        <f aca="false">IF(A17="","",A17&amp;"-"&amp;B17)</f>
        <v/>
      </c>
      <c r="D17" s="58"/>
      <c r="E17" s="57"/>
      <c r="F17" s="69"/>
      <c r="G17" s="69"/>
      <c r="H17" s="70" t="str">
        <f aca="false">IF(A17="","",IFERROR(INDEX(السندات!$C$5:$C$504,MATCH(A17,السندات!$A$5:$A$504,0)),""))</f>
        <v/>
      </c>
      <c r="I17" s="71" t="str">
        <f aca="false">IF(A17="","",IFERROR(INDEX(السندات!$D$5:$D$504,MATCH(A17,السندات!$A$5:$A$504,0)),""))</f>
        <v/>
      </c>
      <c r="J17" s="72" t="str">
        <f aca="false">IF(A17="","",IF(ISNA(MATCH(A17,السندات!$A$5:$A$504,0)),"رقم سند غير موجود ✘",IF(AND(F17&lt;&gt;"",G17&lt;&gt;""),"اكتب مدين أو دائن فقط ✘",IF(AND(N(F17)=0,N(G17)=0),"بدون مبلغ ⚠",IF(B17&gt;12,"يتجاوز 12 بنداً في الطباعة ⚠","")))))</f>
        <v/>
      </c>
    </row>
    <row r="18" customFormat="false" ht="15" hidden="false" customHeight="false" outlineLevel="0" collapsed="false">
      <c r="A18" s="58"/>
      <c r="B18" s="73" t="str">
        <f aca="false">IF(A18="","",COUNTIF(A$5:A18,A18))</f>
        <v/>
      </c>
      <c r="C18" s="73" t="str">
        <f aca="false">IF(A18="","",A18&amp;"-"&amp;B18)</f>
        <v/>
      </c>
      <c r="D18" s="58"/>
      <c r="E18" s="57"/>
      <c r="F18" s="69"/>
      <c r="G18" s="69"/>
      <c r="H18" s="74" t="str">
        <f aca="false">IF(A18="","",IFERROR(INDEX(السندات!$C$5:$C$504,MATCH(A18,السندات!$A$5:$A$504,0)),""))</f>
        <v/>
      </c>
      <c r="I18" s="75" t="str">
        <f aca="false">IF(A18="","",IFERROR(INDEX(السندات!$D$5:$D$504,MATCH(A18,السندات!$A$5:$A$504,0)),""))</f>
        <v/>
      </c>
      <c r="J18" s="76" t="str">
        <f aca="false">IF(A18="","",IF(ISNA(MATCH(A18,السندات!$A$5:$A$504,0)),"رقم سند غير موجود ✘",IF(AND(F18&lt;&gt;"",G18&lt;&gt;""),"اكتب مدين أو دائن فقط ✘",IF(AND(N(F18)=0,N(G18)=0),"بدون مبلغ ⚠",IF(B18&gt;12,"يتجاوز 12 بنداً في الطباعة ⚠","")))))</f>
        <v/>
      </c>
    </row>
    <row r="19" customFormat="false" ht="15" hidden="false" customHeight="false" outlineLevel="0" collapsed="false">
      <c r="A19" s="58"/>
      <c r="B19" s="68" t="str">
        <f aca="false">IF(A19="","",COUNTIF(A$5:A19,A19))</f>
        <v/>
      </c>
      <c r="C19" s="68" t="str">
        <f aca="false">IF(A19="","",A19&amp;"-"&amp;B19)</f>
        <v/>
      </c>
      <c r="D19" s="58"/>
      <c r="E19" s="57"/>
      <c r="F19" s="69"/>
      <c r="G19" s="69"/>
      <c r="H19" s="70" t="str">
        <f aca="false">IF(A19="","",IFERROR(INDEX(السندات!$C$5:$C$504,MATCH(A19,السندات!$A$5:$A$504,0)),""))</f>
        <v/>
      </c>
      <c r="I19" s="71" t="str">
        <f aca="false">IF(A19="","",IFERROR(INDEX(السندات!$D$5:$D$504,MATCH(A19,السندات!$A$5:$A$504,0)),""))</f>
        <v/>
      </c>
      <c r="J19" s="72" t="str">
        <f aca="false">IF(A19="","",IF(ISNA(MATCH(A19,السندات!$A$5:$A$504,0)),"رقم سند غير موجود ✘",IF(AND(F19&lt;&gt;"",G19&lt;&gt;""),"اكتب مدين أو دائن فقط ✘",IF(AND(N(F19)=0,N(G19)=0),"بدون مبلغ ⚠",IF(B19&gt;12,"يتجاوز 12 بنداً في الطباعة ⚠","")))))</f>
        <v/>
      </c>
    </row>
    <row r="20" customFormat="false" ht="15" hidden="false" customHeight="false" outlineLevel="0" collapsed="false">
      <c r="A20" s="58"/>
      <c r="B20" s="73" t="str">
        <f aca="false">IF(A20="","",COUNTIF(A$5:A20,A20))</f>
        <v/>
      </c>
      <c r="C20" s="73" t="str">
        <f aca="false">IF(A20="","",A20&amp;"-"&amp;B20)</f>
        <v/>
      </c>
      <c r="D20" s="58"/>
      <c r="E20" s="57"/>
      <c r="F20" s="69"/>
      <c r="G20" s="69"/>
      <c r="H20" s="74" t="str">
        <f aca="false">IF(A20="","",IFERROR(INDEX(السندات!$C$5:$C$504,MATCH(A20,السندات!$A$5:$A$504,0)),""))</f>
        <v/>
      </c>
      <c r="I20" s="75" t="str">
        <f aca="false">IF(A20="","",IFERROR(INDEX(السندات!$D$5:$D$504,MATCH(A20,السندات!$A$5:$A$504,0)),""))</f>
        <v/>
      </c>
      <c r="J20" s="76" t="str">
        <f aca="false">IF(A20="","",IF(ISNA(MATCH(A20,السندات!$A$5:$A$504,0)),"رقم سند غير موجود ✘",IF(AND(F20&lt;&gt;"",G20&lt;&gt;""),"اكتب مدين أو دائن فقط ✘",IF(AND(N(F20)=0,N(G20)=0),"بدون مبلغ ⚠",IF(B20&gt;12,"يتجاوز 12 بنداً في الطباعة ⚠","")))))</f>
        <v/>
      </c>
    </row>
    <row r="21" customFormat="false" ht="15" hidden="false" customHeight="false" outlineLevel="0" collapsed="false">
      <c r="A21" s="58"/>
      <c r="B21" s="68" t="str">
        <f aca="false">IF(A21="","",COUNTIF(A$5:A21,A21))</f>
        <v/>
      </c>
      <c r="C21" s="68" t="str">
        <f aca="false">IF(A21="","",A21&amp;"-"&amp;B21)</f>
        <v/>
      </c>
      <c r="D21" s="58"/>
      <c r="E21" s="57"/>
      <c r="F21" s="69"/>
      <c r="G21" s="69"/>
      <c r="H21" s="70" t="str">
        <f aca="false">IF(A21="","",IFERROR(INDEX(السندات!$C$5:$C$504,MATCH(A21,السندات!$A$5:$A$504,0)),""))</f>
        <v/>
      </c>
      <c r="I21" s="71" t="str">
        <f aca="false">IF(A21="","",IFERROR(INDEX(السندات!$D$5:$D$504,MATCH(A21,السندات!$A$5:$A$504,0)),""))</f>
        <v/>
      </c>
      <c r="J21" s="72" t="str">
        <f aca="false">IF(A21="","",IF(ISNA(MATCH(A21,السندات!$A$5:$A$504,0)),"رقم سند غير موجود ✘",IF(AND(F21&lt;&gt;"",G21&lt;&gt;""),"اكتب مدين أو دائن فقط ✘",IF(AND(N(F21)=0,N(G21)=0),"بدون مبلغ ⚠",IF(B21&gt;12,"يتجاوز 12 بنداً في الطباعة ⚠","")))))</f>
        <v/>
      </c>
    </row>
    <row r="22" customFormat="false" ht="15" hidden="false" customHeight="false" outlineLevel="0" collapsed="false">
      <c r="A22" s="58"/>
      <c r="B22" s="73" t="str">
        <f aca="false">IF(A22="","",COUNTIF(A$5:A22,A22))</f>
        <v/>
      </c>
      <c r="C22" s="73" t="str">
        <f aca="false">IF(A22="","",A22&amp;"-"&amp;B22)</f>
        <v/>
      </c>
      <c r="D22" s="58"/>
      <c r="E22" s="57"/>
      <c r="F22" s="69"/>
      <c r="G22" s="69"/>
      <c r="H22" s="74" t="str">
        <f aca="false">IF(A22="","",IFERROR(INDEX(السندات!$C$5:$C$504,MATCH(A22,السندات!$A$5:$A$504,0)),""))</f>
        <v/>
      </c>
      <c r="I22" s="75" t="str">
        <f aca="false">IF(A22="","",IFERROR(INDEX(السندات!$D$5:$D$504,MATCH(A22,السندات!$A$5:$A$504,0)),""))</f>
        <v/>
      </c>
      <c r="J22" s="76" t="str">
        <f aca="false">IF(A22="","",IF(ISNA(MATCH(A22,السندات!$A$5:$A$504,0)),"رقم سند غير موجود ✘",IF(AND(F22&lt;&gt;"",G22&lt;&gt;""),"اكتب مدين أو دائن فقط ✘",IF(AND(N(F22)=0,N(G22)=0),"بدون مبلغ ⚠",IF(B22&gt;12,"يتجاوز 12 بنداً في الطباعة ⚠","")))))</f>
        <v/>
      </c>
    </row>
    <row r="23" customFormat="false" ht="15" hidden="false" customHeight="false" outlineLevel="0" collapsed="false">
      <c r="A23" s="58"/>
      <c r="B23" s="68" t="str">
        <f aca="false">IF(A23="","",COUNTIF(A$5:A23,A23))</f>
        <v/>
      </c>
      <c r="C23" s="68" t="str">
        <f aca="false">IF(A23="","",A23&amp;"-"&amp;B23)</f>
        <v/>
      </c>
      <c r="D23" s="58"/>
      <c r="E23" s="57"/>
      <c r="F23" s="69"/>
      <c r="G23" s="69"/>
      <c r="H23" s="70" t="str">
        <f aca="false">IF(A23="","",IFERROR(INDEX(السندات!$C$5:$C$504,MATCH(A23,السندات!$A$5:$A$504,0)),""))</f>
        <v/>
      </c>
      <c r="I23" s="71" t="str">
        <f aca="false">IF(A23="","",IFERROR(INDEX(السندات!$D$5:$D$504,MATCH(A23,السندات!$A$5:$A$504,0)),""))</f>
        <v/>
      </c>
      <c r="J23" s="72" t="str">
        <f aca="false">IF(A23="","",IF(ISNA(MATCH(A23,السندات!$A$5:$A$504,0)),"رقم سند غير موجود ✘",IF(AND(F23&lt;&gt;"",G23&lt;&gt;""),"اكتب مدين أو دائن فقط ✘",IF(AND(N(F23)=0,N(G23)=0),"بدون مبلغ ⚠",IF(B23&gt;12,"يتجاوز 12 بنداً في الطباعة ⚠","")))))</f>
        <v/>
      </c>
    </row>
    <row r="24" customFormat="false" ht="15" hidden="false" customHeight="false" outlineLevel="0" collapsed="false">
      <c r="A24" s="58"/>
      <c r="B24" s="73" t="str">
        <f aca="false">IF(A24="","",COUNTIF(A$5:A24,A24))</f>
        <v/>
      </c>
      <c r="C24" s="73" t="str">
        <f aca="false">IF(A24="","",A24&amp;"-"&amp;B24)</f>
        <v/>
      </c>
      <c r="D24" s="58"/>
      <c r="E24" s="57"/>
      <c r="F24" s="69"/>
      <c r="G24" s="69"/>
      <c r="H24" s="74" t="str">
        <f aca="false">IF(A24="","",IFERROR(INDEX(السندات!$C$5:$C$504,MATCH(A24,السندات!$A$5:$A$504,0)),""))</f>
        <v/>
      </c>
      <c r="I24" s="75" t="str">
        <f aca="false">IF(A24="","",IFERROR(INDEX(السندات!$D$5:$D$504,MATCH(A24,السندات!$A$5:$A$504,0)),""))</f>
        <v/>
      </c>
      <c r="J24" s="76" t="str">
        <f aca="false">IF(A24="","",IF(ISNA(MATCH(A24,السندات!$A$5:$A$504,0)),"رقم سند غير موجود ✘",IF(AND(F24&lt;&gt;"",G24&lt;&gt;""),"اكتب مدين أو دائن فقط ✘",IF(AND(N(F24)=0,N(G24)=0),"بدون مبلغ ⚠",IF(B24&gt;12,"يتجاوز 12 بنداً في الطباعة ⚠","")))))</f>
        <v/>
      </c>
    </row>
    <row r="25" customFormat="false" ht="15" hidden="false" customHeight="false" outlineLevel="0" collapsed="false">
      <c r="A25" s="58"/>
      <c r="B25" s="68" t="str">
        <f aca="false">IF(A25="","",COUNTIF(A$5:A25,A25))</f>
        <v/>
      </c>
      <c r="C25" s="68" t="str">
        <f aca="false">IF(A25="","",A25&amp;"-"&amp;B25)</f>
        <v/>
      </c>
      <c r="D25" s="58"/>
      <c r="E25" s="57"/>
      <c r="F25" s="69"/>
      <c r="G25" s="69"/>
      <c r="H25" s="70" t="str">
        <f aca="false">IF(A25="","",IFERROR(INDEX(السندات!$C$5:$C$504,MATCH(A25,السندات!$A$5:$A$504,0)),""))</f>
        <v/>
      </c>
      <c r="I25" s="71" t="str">
        <f aca="false">IF(A25="","",IFERROR(INDEX(السندات!$D$5:$D$504,MATCH(A25,السندات!$A$5:$A$504,0)),""))</f>
        <v/>
      </c>
      <c r="J25" s="72" t="str">
        <f aca="false">IF(A25="","",IF(ISNA(MATCH(A25,السندات!$A$5:$A$504,0)),"رقم سند غير موجود ✘",IF(AND(F25&lt;&gt;"",G25&lt;&gt;""),"اكتب مدين أو دائن فقط ✘",IF(AND(N(F25)=0,N(G25)=0),"بدون مبلغ ⚠",IF(B25&gt;12,"يتجاوز 12 بنداً في الطباعة ⚠","")))))</f>
        <v/>
      </c>
    </row>
    <row r="26" customFormat="false" ht="15" hidden="false" customHeight="false" outlineLevel="0" collapsed="false">
      <c r="A26" s="58"/>
      <c r="B26" s="73" t="str">
        <f aca="false">IF(A26="","",COUNTIF(A$5:A26,A26))</f>
        <v/>
      </c>
      <c r="C26" s="73" t="str">
        <f aca="false">IF(A26="","",A26&amp;"-"&amp;B26)</f>
        <v/>
      </c>
      <c r="D26" s="58"/>
      <c r="E26" s="57"/>
      <c r="F26" s="69"/>
      <c r="G26" s="69"/>
      <c r="H26" s="74" t="str">
        <f aca="false">IF(A26="","",IFERROR(INDEX(السندات!$C$5:$C$504,MATCH(A26,السندات!$A$5:$A$504,0)),""))</f>
        <v/>
      </c>
      <c r="I26" s="75" t="str">
        <f aca="false">IF(A26="","",IFERROR(INDEX(السندات!$D$5:$D$504,MATCH(A26,السندات!$A$5:$A$504,0)),""))</f>
        <v/>
      </c>
      <c r="J26" s="76" t="str">
        <f aca="false">IF(A26="","",IF(ISNA(MATCH(A26,السندات!$A$5:$A$504,0)),"رقم سند غير موجود ✘",IF(AND(F26&lt;&gt;"",G26&lt;&gt;""),"اكتب مدين أو دائن فقط ✘",IF(AND(N(F26)=0,N(G26)=0),"بدون مبلغ ⚠",IF(B26&gt;12,"يتجاوز 12 بنداً في الطباعة ⚠","")))))</f>
        <v/>
      </c>
    </row>
    <row r="27" customFormat="false" ht="15" hidden="false" customHeight="false" outlineLevel="0" collapsed="false">
      <c r="A27" s="58"/>
      <c r="B27" s="68" t="str">
        <f aca="false">IF(A27="","",COUNTIF(A$5:A27,A27))</f>
        <v/>
      </c>
      <c r="C27" s="68" t="str">
        <f aca="false">IF(A27="","",A27&amp;"-"&amp;B27)</f>
        <v/>
      </c>
      <c r="D27" s="58"/>
      <c r="E27" s="57"/>
      <c r="F27" s="69"/>
      <c r="G27" s="69"/>
      <c r="H27" s="70" t="str">
        <f aca="false">IF(A27="","",IFERROR(INDEX(السندات!$C$5:$C$504,MATCH(A27,السندات!$A$5:$A$504,0)),""))</f>
        <v/>
      </c>
      <c r="I27" s="71" t="str">
        <f aca="false">IF(A27="","",IFERROR(INDEX(السندات!$D$5:$D$504,MATCH(A27,السندات!$A$5:$A$504,0)),""))</f>
        <v/>
      </c>
      <c r="J27" s="72" t="str">
        <f aca="false">IF(A27="","",IF(ISNA(MATCH(A27,السندات!$A$5:$A$504,0)),"رقم سند غير موجود ✘",IF(AND(F27&lt;&gt;"",G27&lt;&gt;""),"اكتب مدين أو دائن فقط ✘",IF(AND(N(F27)=0,N(G27)=0),"بدون مبلغ ⚠",IF(B27&gt;12,"يتجاوز 12 بنداً في الطباعة ⚠","")))))</f>
        <v/>
      </c>
    </row>
    <row r="28" customFormat="false" ht="15" hidden="false" customHeight="false" outlineLevel="0" collapsed="false">
      <c r="A28" s="58"/>
      <c r="B28" s="73" t="str">
        <f aca="false">IF(A28="","",COUNTIF(A$5:A28,A28))</f>
        <v/>
      </c>
      <c r="C28" s="73" t="str">
        <f aca="false">IF(A28="","",A28&amp;"-"&amp;B28)</f>
        <v/>
      </c>
      <c r="D28" s="58"/>
      <c r="E28" s="57"/>
      <c r="F28" s="69"/>
      <c r="G28" s="69"/>
      <c r="H28" s="74" t="str">
        <f aca="false">IF(A28="","",IFERROR(INDEX(السندات!$C$5:$C$504,MATCH(A28,السندات!$A$5:$A$504,0)),""))</f>
        <v/>
      </c>
      <c r="I28" s="75" t="str">
        <f aca="false">IF(A28="","",IFERROR(INDEX(السندات!$D$5:$D$504,MATCH(A28,السندات!$A$5:$A$504,0)),""))</f>
        <v/>
      </c>
      <c r="J28" s="76" t="str">
        <f aca="false">IF(A28="","",IF(ISNA(MATCH(A28,السندات!$A$5:$A$504,0)),"رقم سند غير موجود ✘",IF(AND(F28&lt;&gt;"",G28&lt;&gt;""),"اكتب مدين أو دائن فقط ✘",IF(AND(N(F28)=0,N(G28)=0),"بدون مبلغ ⚠",IF(B28&gt;12,"يتجاوز 12 بنداً في الطباعة ⚠","")))))</f>
        <v/>
      </c>
    </row>
    <row r="29" customFormat="false" ht="15" hidden="false" customHeight="false" outlineLevel="0" collapsed="false">
      <c r="A29" s="58"/>
      <c r="B29" s="68" t="str">
        <f aca="false">IF(A29="","",COUNTIF(A$5:A29,A29))</f>
        <v/>
      </c>
      <c r="C29" s="68" t="str">
        <f aca="false">IF(A29="","",A29&amp;"-"&amp;B29)</f>
        <v/>
      </c>
      <c r="D29" s="58"/>
      <c r="E29" s="57"/>
      <c r="F29" s="69"/>
      <c r="G29" s="69"/>
      <c r="H29" s="70" t="str">
        <f aca="false">IF(A29="","",IFERROR(INDEX(السندات!$C$5:$C$504,MATCH(A29,السندات!$A$5:$A$504,0)),""))</f>
        <v/>
      </c>
      <c r="I29" s="71" t="str">
        <f aca="false">IF(A29="","",IFERROR(INDEX(السندات!$D$5:$D$504,MATCH(A29,السندات!$A$5:$A$504,0)),""))</f>
        <v/>
      </c>
      <c r="J29" s="72" t="str">
        <f aca="false">IF(A29="","",IF(ISNA(MATCH(A29,السندات!$A$5:$A$504,0)),"رقم سند غير موجود ✘",IF(AND(F29&lt;&gt;"",G29&lt;&gt;""),"اكتب مدين أو دائن فقط ✘",IF(AND(N(F29)=0,N(G29)=0),"بدون مبلغ ⚠",IF(B29&gt;12,"يتجاوز 12 بنداً في الطباعة ⚠","")))))</f>
        <v/>
      </c>
    </row>
    <row r="30" customFormat="false" ht="15" hidden="false" customHeight="false" outlineLevel="0" collapsed="false">
      <c r="A30" s="58"/>
      <c r="B30" s="73" t="str">
        <f aca="false">IF(A30="","",COUNTIF(A$5:A30,A30))</f>
        <v/>
      </c>
      <c r="C30" s="73" t="str">
        <f aca="false">IF(A30="","",A30&amp;"-"&amp;B30)</f>
        <v/>
      </c>
      <c r="D30" s="58"/>
      <c r="E30" s="57"/>
      <c r="F30" s="69"/>
      <c r="G30" s="69"/>
      <c r="H30" s="74" t="str">
        <f aca="false">IF(A30="","",IFERROR(INDEX(السندات!$C$5:$C$504,MATCH(A30,السندات!$A$5:$A$504,0)),""))</f>
        <v/>
      </c>
      <c r="I30" s="75" t="str">
        <f aca="false">IF(A30="","",IFERROR(INDEX(السندات!$D$5:$D$504,MATCH(A30,السندات!$A$5:$A$504,0)),""))</f>
        <v/>
      </c>
      <c r="J30" s="76" t="str">
        <f aca="false">IF(A30="","",IF(ISNA(MATCH(A30,السندات!$A$5:$A$504,0)),"رقم سند غير موجود ✘",IF(AND(F30&lt;&gt;"",G30&lt;&gt;""),"اكتب مدين أو دائن فقط ✘",IF(AND(N(F30)=0,N(G30)=0),"بدون مبلغ ⚠",IF(B30&gt;12,"يتجاوز 12 بنداً في الطباعة ⚠","")))))</f>
        <v/>
      </c>
    </row>
    <row r="31" customFormat="false" ht="15" hidden="false" customHeight="false" outlineLevel="0" collapsed="false">
      <c r="A31" s="58"/>
      <c r="B31" s="68" t="str">
        <f aca="false">IF(A31="","",COUNTIF(A$5:A31,A31))</f>
        <v/>
      </c>
      <c r="C31" s="68" t="str">
        <f aca="false">IF(A31="","",A31&amp;"-"&amp;B31)</f>
        <v/>
      </c>
      <c r="D31" s="58"/>
      <c r="E31" s="57"/>
      <c r="F31" s="69"/>
      <c r="G31" s="69"/>
      <c r="H31" s="70" t="str">
        <f aca="false">IF(A31="","",IFERROR(INDEX(السندات!$C$5:$C$504,MATCH(A31,السندات!$A$5:$A$504,0)),""))</f>
        <v/>
      </c>
      <c r="I31" s="71" t="str">
        <f aca="false">IF(A31="","",IFERROR(INDEX(السندات!$D$5:$D$504,MATCH(A31,السندات!$A$5:$A$504,0)),""))</f>
        <v/>
      </c>
      <c r="J31" s="72" t="str">
        <f aca="false">IF(A31="","",IF(ISNA(MATCH(A31,السندات!$A$5:$A$504,0)),"رقم سند غير موجود ✘",IF(AND(F31&lt;&gt;"",G31&lt;&gt;""),"اكتب مدين أو دائن فقط ✘",IF(AND(N(F31)=0,N(G31)=0),"بدون مبلغ ⚠",IF(B31&gt;12,"يتجاوز 12 بنداً في الطباعة ⚠","")))))</f>
        <v/>
      </c>
    </row>
    <row r="32" customFormat="false" ht="15" hidden="false" customHeight="false" outlineLevel="0" collapsed="false">
      <c r="A32" s="58"/>
      <c r="B32" s="73" t="str">
        <f aca="false">IF(A32="","",COUNTIF(A$5:A32,A32))</f>
        <v/>
      </c>
      <c r="C32" s="73" t="str">
        <f aca="false">IF(A32="","",A32&amp;"-"&amp;B32)</f>
        <v/>
      </c>
      <c r="D32" s="58"/>
      <c r="E32" s="57"/>
      <c r="F32" s="69"/>
      <c r="G32" s="69"/>
      <c r="H32" s="74" t="str">
        <f aca="false">IF(A32="","",IFERROR(INDEX(السندات!$C$5:$C$504,MATCH(A32,السندات!$A$5:$A$504,0)),""))</f>
        <v/>
      </c>
      <c r="I32" s="75" t="str">
        <f aca="false">IF(A32="","",IFERROR(INDEX(السندات!$D$5:$D$504,MATCH(A32,السندات!$A$5:$A$504,0)),""))</f>
        <v/>
      </c>
      <c r="J32" s="76" t="str">
        <f aca="false">IF(A32="","",IF(ISNA(MATCH(A32,السندات!$A$5:$A$504,0)),"رقم سند غير موجود ✘",IF(AND(F32&lt;&gt;"",G32&lt;&gt;""),"اكتب مدين أو دائن فقط ✘",IF(AND(N(F32)=0,N(G32)=0),"بدون مبلغ ⚠",IF(B32&gt;12,"يتجاوز 12 بنداً في الطباعة ⚠","")))))</f>
        <v/>
      </c>
    </row>
    <row r="33" customFormat="false" ht="15" hidden="false" customHeight="false" outlineLevel="0" collapsed="false">
      <c r="A33" s="58"/>
      <c r="B33" s="68" t="str">
        <f aca="false">IF(A33="","",COUNTIF(A$5:A33,A33))</f>
        <v/>
      </c>
      <c r="C33" s="68" t="str">
        <f aca="false">IF(A33="","",A33&amp;"-"&amp;B33)</f>
        <v/>
      </c>
      <c r="D33" s="58"/>
      <c r="E33" s="57"/>
      <c r="F33" s="69"/>
      <c r="G33" s="69"/>
      <c r="H33" s="70" t="str">
        <f aca="false">IF(A33="","",IFERROR(INDEX(السندات!$C$5:$C$504,MATCH(A33,السندات!$A$5:$A$504,0)),""))</f>
        <v/>
      </c>
      <c r="I33" s="71" t="str">
        <f aca="false">IF(A33="","",IFERROR(INDEX(السندات!$D$5:$D$504,MATCH(A33,السندات!$A$5:$A$504,0)),""))</f>
        <v/>
      </c>
      <c r="J33" s="72" t="str">
        <f aca="false">IF(A33="","",IF(ISNA(MATCH(A33,السندات!$A$5:$A$504,0)),"رقم سند غير موجود ✘",IF(AND(F33&lt;&gt;"",G33&lt;&gt;""),"اكتب مدين أو دائن فقط ✘",IF(AND(N(F33)=0,N(G33)=0),"بدون مبلغ ⚠",IF(B33&gt;12,"يتجاوز 12 بنداً في الطباعة ⚠","")))))</f>
        <v/>
      </c>
    </row>
    <row r="34" customFormat="false" ht="15" hidden="false" customHeight="false" outlineLevel="0" collapsed="false">
      <c r="A34" s="58"/>
      <c r="B34" s="73" t="str">
        <f aca="false">IF(A34="","",COUNTIF(A$5:A34,A34))</f>
        <v/>
      </c>
      <c r="C34" s="73" t="str">
        <f aca="false">IF(A34="","",A34&amp;"-"&amp;B34)</f>
        <v/>
      </c>
      <c r="D34" s="58"/>
      <c r="E34" s="57"/>
      <c r="F34" s="69"/>
      <c r="G34" s="69"/>
      <c r="H34" s="74" t="str">
        <f aca="false">IF(A34="","",IFERROR(INDEX(السندات!$C$5:$C$504,MATCH(A34,السندات!$A$5:$A$504,0)),""))</f>
        <v/>
      </c>
      <c r="I34" s="75" t="str">
        <f aca="false">IF(A34="","",IFERROR(INDEX(السندات!$D$5:$D$504,MATCH(A34,السندات!$A$5:$A$504,0)),""))</f>
        <v/>
      </c>
      <c r="J34" s="76" t="str">
        <f aca="false">IF(A34="","",IF(ISNA(MATCH(A34,السندات!$A$5:$A$504,0)),"رقم سند غير موجود ✘",IF(AND(F34&lt;&gt;"",G34&lt;&gt;""),"اكتب مدين أو دائن فقط ✘",IF(AND(N(F34)=0,N(G34)=0),"بدون مبلغ ⚠",IF(B34&gt;12,"يتجاوز 12 بنداً في الطباعة ⚠","")))))</f>
        <v/>
      </c>
    </row>
    <row r="35" customFormat="false" ht="15" hidden="false" customHeight="false" outlineLevel="0" collapsed="false">
      <c r="A35" s="58"/>
      <c r="B35" s="68" t="str">
        <f aca="false">IF(A35="","",COUNTIF(A$5:A35,A35))</f>
        <v/>
      </c>
      <c r="C35" s="68" t="str">
        <f aca="false">IF(A35="","",A35&amp;"-"&amp;B35)</f>
        <v/>
      </c>
      <c r="D35" s="58"/>
      <c r="E35" s="57"/>
      <c r="F35" s="69"/>
      <c r="G35" s="69"/>
      <c r="H35" s="70" t="str">
        <f aca="false">IF(A35="","",IFERROR(INDEX(السندات!$C$5:$C$504,MATCH(A35,السندات!$A$5:$A$504,0)),""))</f>
        <v/>
      </c>
      <c r="I35" s="71" t="str">
        <f aca="false">IF(A35="","",IFERROR(INDEX(السندات!$D$5:$D$504,MATCH(A35,السندات!$A$5:$A$504,0)),""))</f>
        <v/>
      </c>
      <c r="J35" s="72" t="str">
        <f aca="false">IF(A35="","",IF(ISNA(MATCH(A35,السندات!$A$5:$A$504,0)),"رقم سند غير موجود ✘",IF(AND(F35&lt;&gt;"",G35&lt;&gt;""),"اكتب مدين أو دائن فقط ✘",IF(AND(N(F35)=0,N(G35)=0),"بدون مبلغ ⚠",IF(B35&gt;12,"يتجاوز 12 بنداً في الطباعة ⚠","")))))</f>
        <v/>
      </c>
    </row>
    <row r="36" customFormat="false" ht="15" hidden="false" customHeight="false" outlineLevel="0" collapsed="false">
      <c r="A36" s="58"/>
      <c r="B36" s="73" t="str">
        <f aca="false">IF(A36="","",COUNTIF(A$5:A36,A36))</f>
        <v/>
      </c>
      <c r="C36" s="73" t="str">
        <f aca="false">IF(A36="","",A36&amp;"-"&amp;B36)</f>
        <v/>
      </c>
      <c r="D36" s="58"/>
      <c r="E36" s="57"/>
      <c r="F36" s="69"/>
      <c r="G36" s="69"/>
      <c r="H36" s="74" t="str">
        <f aca="false">IF(A36="","",IFERROR(INDEX(السندات!$C$5:$C$504,MATCH(A36,السندات!$A$5:$A$504,0)),""))</f>
        <v/>
      </c>
      <c r="I36" s="75" t="str">
        <f aca="false">IF(A36="","",IFERROR(INDEX(السندات!$D$5:$D$504,MATCH(A36,السندات!$A$5:$A$504,0)),""))</f>
        <v/>
      </c>
      <c r="J36" s="76" t="str">
        <f aca="false">IF(A36="","",IF(ISNA(MATCH(A36,السندات!$A$5:$A$504,0)),"رقم سند غير موجود ✘",IF(AND(F36&lt;&gt;"",G36&lt;&gt;""),"اكتب مدين أو دائن فقط ✘",IF(AND(N(F36)=0,N(G36)=0),"بدون مبلغ ⚠",IF(B36&gt;12,"يتجاوز 12 بنداً في الطباعة ⚠","")))))</f>
        <v/>
      </c>
    </row>
    <row r="37" customFormat="false" ht="15" hidden="false" customHeight="false" outlineLevel="0" collapsed="false">
      <c r="A37" s="58"/>
      <c r="B37" s="68" t="str">
        <f aca="false">IF(A37="","",COUNTIF(A$5:A37,A37))</f>
        <v/>
      </c>
      <c r="C37" s="68" t="str">
        <f aca="false">IF(A37="","",A37&amp;"-"&amp;B37)</f>
        <v/>
      </c>
      <c r="D37" s="58"/>
      <c r="E37" s="57"/>
      <c r="F37" s="69"/>
      <c r="G37" s="69"/>
      <c r="H37" s="70" t="str">
        <f aca="false">IF(A37="","",IFERROR(INDEX(السندات!$C$5:$C$504,MATCH(A37,السندات!$A$5:$A$504,0)),""))</f>
        <v/>
      </c>
      <c r="I37" s="71" t="str">
        <f aca="false">IF(A37="","",IFERROR(INDEX(السندات!$D$5:$D$504,MATCH(A37,السندات!$A$5:$A$504,0)),""))</f>
        <v/>
      </c>
      <c r="J37" s="72" t="str">
        <f aca="false">IF(A37="","",IF(ISNA(MATCH(A37,السندات!$A$5:$A$504,0)),"رقم سند غير موجود ✘",IF(AND(F37&lt;&gt;"",G37&lt;&gt;""),"اكتب مدين أو دائن فقط ✘",IF(AND(N(F37)=0,N(G37)=0),"بدون مبلغ ⚠",IF(B37&gt;12,"يتجاوز 12 بنداً في الطباعة ⚠","")))))</f>
        <v/>
      </c>
    </row>
    <row r="38" customFormat="false" ht="15" hidden="false" customHeight="false" outlineLevel="0" collapsed="false">
      <c r="A38" s="58"/>
      <c r="B38" s="73" t="str">
        <f aca="false">IF(A38="","",COUNTIF(A$5:A38,A38))</f>
        <v/>
      </c>
      <c r="C38" s="73" t="str">
        <f aca="false">IF(A38="","",A38&amp;"-"&amp;B38)</f>
        <v/>
      </c>
      <c r="D38" s="58"/>
      <c r="E38" s="57"/>
      <c r="F38" s="69"/>
      <c r="G38" s="69"/>
      <c r="H38" s="74" t="str">
        <f aca="false">IF(A38="","",IFERROR(INDEX(السندات!$C$5:$C$504,MATCH(A38,السندات!$A$5:$A$504,0)),""))</f>
        <v/>
      </c>
      <c r="I38" s="75" t="str">
        <f aca="false">IF(A38="","",IFERROR(INDEX(السندات!$D$5:$D$504,MATCH(A38,السندات!$A$5:$A$504,0)),""))</f>
        <v/>
      </c>
      <c r="J38" s="76" t="str">
        <f aca="false">IF(A38="","",IF(ISNA(MATCH(A38,السندات!$A$5:$A$504,0)),"رقم سند غير موجود ✘",IF(AND(F38&lt;&gt;"",G38&lt;&gt;""),"اكتب مدين أو دائن فقط ✘",IF(AND(N(F38)=0,N(G38)=0),"بدون مبلغ ⚠",IF(B38&gt;12,"يتجاوز 12 بنداً في الطباعة ⚠","")))))</f>
        <v/>
      </c>
    </row>
    <row r="39" customFormat="false" ht="15" hidden="false" customHeight="false" outlineLevel="0" collapsed="false">
      <c r="A39" s="58"/>
      <c r="B39" s="68" t="str">
        <f aca="false">IF(A39="","",COUNTIF(A$5:A39,A39))</f>
        <v/>
      </c>
      <c r="C39" s="68" t="str">
        <f aca="false">IF(A39="","",A39&amp;"-"&amp;B39)</f>
        <v/>
      </c>
      <c r="D39" s="58"/>
      <c r="E39" s="57"/>
      <c r="F39" s="69"/>
      <c r="G39" s="69"/>
      <c r="H39" s="70" t="str">
        <f aca="false">IF(A39="","",IFERROR(INDEX(السندات!$C$5:$C$504,MATCH(A39,السندات!$A$5:$A$504,0)),""))</f>
        <v/>
      </c>
      <c r="I39" s="71" t="str">
        <f aca="false">IF(A39="","",IFERROR(INDEX(السندات!$D$5:$D$504,MATCH(A39,السندات!$A$5:$A$504,0)),""))</f>
        <v/>
      </c>
      <c r="J39" s="72" t="str">
        <f aca="false">IF(A39="","",IF(ISNA(MATCH(A39,السندات!$A$5:$A$504,0)),"رقم سند غير موجود ✘",IF(AND(F39&lt;&gt;"",G39&lt;&gt;""),"اكتب مدين أو دائن فقط ✘",IF(AND(N(F39)=0,N(G39)=0),"بدون مبلغ ⚠",IF(B39&gt;12,"يتجاوز 12 بنداً في الطباعة ⚠","")))))</f>
        <v/>
      </c>
    </row>
    <row r="40" customFormat="false" ht="15" hidden="false" customHeight="false" outlineLevel="0" collapsed="false">
      <c r="A40" s="58"/>
      <c r="B40" s="73" t="str">
        <f aca="false">IF(A40="","",COUNTIF(A$5:A40,A40))</f>
        <v/>
      </c>
      <c r="C40" s="73" t="str">
        <f aca="false">IF(A40="","",A40&amp;"-"&amp;B40)</f>
        <v/>
      </c>
      <c r="D40" s="58"/>
      <c r="E40" s="57"/>
      <c r="F40" s="69"/>
      <c r="G40" s="69"/>
      <c r="H40" s="74" t="str">
        <f aca="false">IF(A40="","",IFERROR(INDEX(السندات!$C$5:$C$504,MATCH(A40,السندات!$A$5:$A$504,0)),""))</f>
        <v/>
      </c>
      <c r="I40" s="75" t="str">
        <f aca="false">IF(A40="","",IFERROR(INDEX(السندات!$D$5:$D$504,MATCH(A40,السندات!$A$5:$A$504,0)),""))</f>
        <v/>
      </c>
      <c r="J40" s="76" t="str">
        <f aca="false">IF(A40="","",IF(ISNA(MATCH(A40,السندات!$A$5:$A$504,0)),"رقم سند غير موجود ✘",IF(AND(F40&lt;&gt;"",G40&lt;&gt;""),"اكتب مدين أو دائن فقط ✘",IF(AND(N(F40)=0,N(G40)=0),"بدون مبلغ ⚠",IF(B40&gt;12,"يتجاوز 12 بنداً في الطباعة ⚠","")))))</f>
        <v/>
      </c>
    </row>
    <row r="41" customFormat="false" ht="15" hidden="false" customHeight="false" outlineLevel="0" collapsed="false">
      <c r="A41" s="58"/>
      <c r="B41" s="68" t="str">
        <f aca="false">IF(A41="","",COUNTIF(A$5:A41,A41))</f>
        <v/>
      </c>
      <c r="C41" s="68" t="str">
        <f aca="false">IF(A41="","",A41&amp;"-"&amp;B41)</f>
        <v/>
      </c>
      <c r="D41" s="58"/>
      <c r="E41" s="57"/>
      <c r="F41" s="69"/>
      <c r="G41" s="69"/>
      <c r="H41" s="70" t="str">
        <f aca="false">IF(A41="","",IFERROR(INDEX(السندات!$C$5:$C$504,MATCH(A41,السندات!$A$5:$A$504,0)),""))</f>
        <v/>
      </c>
      <c r="I41" s="71" t="str">
        <f aca="false">IF(A41="","",IFERROR(INDEX(السندات!$D$5:$D$504,MATCH(A41,السندات!$A$5:$A$504,0)),""))</f>
        <v/>
      </c>
      <c r="J41" s="72" t="str">
        <f aca="false">IF(A41="","",IF(ISNA(MATCH(A41,السندات!$A$5:$A$504,0)),"رقم سند غير موجود ✘",IF(AND(F41&lt;&gt;"",G41&lt;&gt;""),"اكتب مدين أو دائن فقط ✘",IF(AND(N(F41)=0,N(G41)=0),"بدون مبلغ ⚠",IF(B41&gt;12,"يتجاوز 12 بنداً في الطباعة ⚠","")))))</f>
        <v/>
      </c>
    </row>
    <row r="42" customFormat="false" ht="15" hidden="false" customHeight="false" outlineLevel="0" collapsed="false">
      <c r="A42" s="58"/>
      <c r="B42" s="73" t="str">
        <f aca="false">IF(A42="","",COUNTIF(A$5:A42,A42))</f>
        <v/>
      </c>
      <c r="C42" s="73" t="str">
        <f aca="false">IF(A42="","",A42&amp;"-"&amp;B42)</f>
        <v/>
      </c>
      <c r="D42" s="58"/>
      <c r="E42" s="57"/>
      <c r="F42" s="69"/>
      <c r="G42" s="69"/>
      <c r="H42" s="74" t="str">
        <f aca="false">IF(A42="","",IFERROR(INDEX(السندات!$C$5:$C$504,MATCH(A42,السندات!$A$5:$A$504,0)),""))</f>
        <v/>
      </c>
      <c r="I42" s="75" t="str">
        <f aca="false">IF(A42="","",IFERROR(INDEX(السندات!$D$5:$D$504,MATCH(A42,السندات!$A$5:$A$504,0)),""))</f>
        <v/>
      </c>
      <c r="J42" s="76" t="str">
        <f aca="false">IF(A42="","",IF(ISNA(MATCH(A42,السندات!$A$5:$A$504,0)),"رقم سند غير موجود ✘",IF(AND(F42&lt;&gt;"",G42&lt;&gt;""),"اكتب مدين أو دائن فقط ✘",IF(AND(N(F42)=0,N(G42)=0),"بدون مبلغ ⚠",IF(B42&gt;12,"يتجاوز 12 بنداً في الطباعة ⚠","")))))</f>
        <v/>
      </c>
    </row>
    <row r="43" customFormat="false" ht="15" hidden="false" customHeight="false" outlineLevel="0" collapsed="false">
      <c r="A43" s="58"/>
      <c r="B43" s="68" t="str">
        <f aca="false">IF(A43="","",COUNTIF(A$5:A43,A43))</f>
        <v/>
      </c>
      <c r="C43" s="68" t="str">
        <f aca="false">IF(A43="","",A43&amp;"-"&amp;B43)</f>
        <v/>
      </c>
      <c r="D43" s="58"/>
      <c r="E43" s="57"/>
      <c r="F43" s="69"/>
      <c r="G43" s="69"/>
      <c r="H43" s="70" t="str">
        <f aca="false">IF(A43="","",IFERROR(INDEX(السندات!$C$5:$C$504,MATCH(A43,السندات!$A$5:$A$504,0)),""))</f>
        <v/>
      </c>
      <c r="I43" s="71" t="str">
        <f aca="false">IF(A43="","",IFERROR(INDEX(السندات!$D$5:$D$504,MATCH(A43,السندات!$A$5:$A$504,0)),""))</f>
        <v/>
      </c>
      <c r="J43" s="72" t="str">
        <f aca="false">IF(A43="","",IF(ISNA(MATCH(A43,السندات!$A$5:$A$504,0)),"رقم سند غير موجود ✘",IF(AND(F43&lt;&gt;"",G43&lt;&gt;""),"اكتب مدين أو دائن فقط ✘",IF(AND(N(F43)=0,N(G43)=0),"بدون مبلغ ⚠",IF(B43&gt;12,"يتجاوز 12 بنداً في الطباعة ⚠","")))))</f>
        <v/>
      </c>
    </row>
    <row r="44" customFormat="false" ht="15" hidden="false" customHeight="false" outlineLevel="0" collapsed="false">
      <c r="A44" s="58"/>
      <c r="B44" s="73" t="str">
        <f aca="false">IF(A44="","",COUNTIF(A$5:A44,A44))</f>
        <v/>
      </c>
      <c r="C44" s="73" t="str">
        <f aca="false">IF(A44="","",A44&amp;"-"&amp;B44)</f>
        <v/>
      </c>
      <c r="D44" s="58"/>
      <c r="E44" s="57"/>
      <c r="F44" s="69"/>
      <c r="G44" s="69"/>
      <c r="H44" s="74" t="str">
        <f aca="false">IF(A44="","",IFERROR(INDEX(السندات!$C$5:$C$504,MATCH(A44,السندات!$A$5:$A$504,0)),""))</f>
        <v/>
      </c>
      <c r="I44" s="75" t="str">
        <f aca="false">IF(A44="","",IFERROR(INDEX(السندات!$D$5:$D$504,MATCH(A44,السندات!$A$5:$A$504,0)),""))</f>
        <v/>
      </c>
      <c r="J44" s="76" t="str">
        <f aca="false">IF(A44="","",IF(ISNA(MATCH(A44,السندات!$A$5:$A$504,0)),"رقم سند غير موجود ✘",IF(AND(F44&lt;&gt;"",G44&lt;&gt;""),"اكتب مدين أو دائن فقط ✘",IF(AND(N(F44)=0,N(G44)=0),"بدون مبلغ ⚠",IF(B44&gt;12,"يتجاوز 12 بنداً في الطباعة ⚠","")))))</f>
        <v/>
      </c>
    </row>
    <row r="45" customFormat="false" ht="15" hidden="false" customHeight="false" outlineLevel="0" collapsed="false">
      <c r="A45" s="58"/>
      <c r="B45" s="68" t="str">
        <f aca="false">IF(A45="","",COUNTIF(A$5:A45,A45))</f>
        <v/>
      </c>
      <c r="C45" s="68" t="str">
        <f aca="false">IF(A45="","",A45&amp;"-"&amp;B45)</f>
        <v/>
      </c>
      <c r="D45" s="58"/>
      <c r="E45" s="57"/>
      <c r="F45" s="69"/>
      <c r="G45" s="69"/>
      <c r="H45" s="70" t="str">
        <f aca="false">IF(A45="","",IFERROR(INDEX(السندات!$C$5:$C$504,MATCH(A45,السندات!$A$5:$A$504,0)),""))</f>
        <v/>
      </c>
      <c r="I45" s="71" t="str">
        <f aca="false">IF(A45="","",IFERROR(INDEX(السندات!$D$5:$D$504,MATCH(A45,السندات!$A$5:$A$504,0)),""))</f>
        <v/>
      </c>
      <c r="J45" s="72" t="str">
        <f aca="false">IF(A45="","",IF(ISNA(MATCH(A45,السندات!$A$5:$A$504,0)),"رقم سند غير موجود ✘",IF(AND(F45&lt;&gt;"",G45&lt;&gt;""),"اكتب مدين أو دائن فقط ✘",IF(AND(N(F45)=0,N(G45)=0),"بدون مبلغ ⚠",IF(B45&gt;12,"يتجاوز 12 بنداً في الطباعة ⚠","")))))</f>
        <v/>
      </c>
    </row>
    <row r="46" customFormat="false" ht="15" hidden="false" customHeight="false" outlineLevel="0" collapsed="false">
      <c r="A46" s="58"/>
      <c r="B46" s="73" t="str">
        <f aca="false">IF(A46="","",COUNTIF(A$5:A46,A46))</f>
        <v/>
      </c>
      <c r="C46" s="73" t="str">
        <f aca="false">IF(A46="","",A46&amp;"-"&amp;B46)</f>
        <v/>
      </c>
      <c r="D46" s="58"/>
      <c r="E46" s="57"/>
      <c r="F46" s="69"/>
      <c r="G46" s="69"/>
      <c r="H46" s="74" t="str">
        <f aca="false">IF(A46="","",IFERROR(INDEX(السندات!$C$5:$C$504,MATCH(A46,السندات!$A$5:$A$504,0)),""))</f>
        <v/>
      </c>
      <c r="I46" s="75" t="str">
        <f aca="false">IF(A46="","",IFERROR(INDEX(السندات!$D$5:$D$504,MATCH(A46,السندات!$A$5:$A$504,0)),""))</f>
        <v/>
      </c>
      <c r="J46" s="76" t="str">
        <f aca="false">IF(A46="","",IF(ISNA(MATCH(A46,السندات!$A$5:$A$504,0)),"رقم سند غير موجود ✘",IF(AND(F46&lt;&gt;"",G46&lt;&gt;""),"اكتب مدين أو دائن فقط ✘",IF(AND(N(F46)=0,N(G46)=0),"بدون مبلغ ⚠",IF(B46&gt;12,"يتجاوز 12 بنداً في الطباعة ⚠","")))))</f>
        <v/>
      </c>
    </row>
    <row r="47" customFormat="false" ht="15" hidden="false" customHeight="false" outlineLevel="0" collapsed="false">
      <c r="A47" s="58"/>
      <c r="B47" s="68" t="str">
        <f aca="false">IF(A47="","",COUNTIF(A$5:A47,A47))</f>
        <v/>
      </c>
      <c r="C47" s="68" t="str">
        <f aca="false">IF(A47="","",A47&amp;"-"&amp;B47)</f>
        <v/>
      </c>
      <c r="D47" s="58"/>
      <c r="E47" s="57"/>
      <c r="F47" s="69"/>
      <c r="G47" s="69"/>
      <c r="H47" s="70" t="str">
        <f aca="false">IF(A47="","",IFERROR(INDEX(السندات!$C$5:$C$504,MATCH(A47,السندات!$A$5:$A$504,0)),""))</f>
        <v/>
      </c>
      <c r="I47" s="71" t="str">
        <f aca="false">IF(A47="","",IFERROR(INDEX(السندات!$D$5:$D$504,MATCH(A47,السندات!$A$5:$A$504,0)),""))</f>
        <v/>
      </c>
      <c r="J47" s="72" t="str">
        <f aca="false">IF(A47="","",IF(ISNA(MATCH(A47,السندات!$A$5:$A$504,0)),"رقم سند غير موجود ✘",IF(AND(F47&lt;&gt;"",G47&lt;&gt;""),"اكتب مدين أو دائن فقط ✘",IF(AND(N(F47)=0,N(G47)=0),"بدون مبلغ ⚠",IF(B47&gt;12,"يتجاوز 12 بنداً في الطباعة ⚠","")))))</f>
        <v/>
      </c>
    </row>
    <row r="48" customFormat="false" ht="15" hidden="false" customHeight="false" outlineLevel="0" collapsed="false">
      <c r="A48" s="58"/>
      <c r="B48" s="73" t="str">
        <f aca="false">IF(A48="","",COUNTIF(A$5:A48,A48))</f>
        <v/>
      </c>
      <c r="C48" s="73" t="str">
        <f aca="false">IF(A48="","",A48&amp;"-"&amp;B48)</f>
        <v/>
      </c>
      <c r="D48" s="58"/>
      <c r="E48" s="57"/>
      <c r="F48" s="69"/>
      <c r="G48" s="69"/>
      <c r="H48" s="74" t="str">
        <f aca="false">IF(A48="","",IFERROR(INDEX(السندات!$C$5:$C$504,MATCH(A48,السندات!$A$5:$A$504,0)),""))</f>
        <v/>
      </c>
      <c r="I48" s="75" t="str">
        <f aca="false">IF(A48="","",IFERROR(INDEX(السندات!$D$5:$D$504,MATCH(A48,السندات!$A$5:$A$504,0)),""))</f>
        <v/>
      </c>
      <c r="J48" s="76" t="str">
        <f aca="false">IF(A48="","",IF(ISNA(MATCH(A48,السندات!$A$5:$A$504,0)),"رقم سند غير موجود ✘",IF(AND(F48&lt;&gt;"",G48&lt;&gt;""),"اكتب مدين أو دائن فقط ✘",IF(AND(N(F48)=0,N(G48)=0),"بدون مبلغ ⚠",IF(B48&gt;12,"يتجاوز 12 بنداً في الطباعة ⚠","")))))</f>
        <v/>
      </c>
    </row>
    <row r="49" customFormat="false" ht="15" hidden="false" customHeight="false" outlineLevel="0" collapsed="false">
      <c r="A49" s="58"/>
      <c r="B49" s="68" t="str">
        <f aca="false">IF(A49="","",COUNTIF(A$5:A49,A49))</f>
        <v/>
      </c>
      <c r="C49" s="68" t="str">
        <f aca="false">IF(A49="","",A49&amp;"-"&amp;B49)</f>
        <v/>
      </c>
      <c r="D49" s="58"/>
      <c r="E49" s="57"/>
      <c r="F49" s="69"/>
      <c r="G49" s="69"/>
      <c r="H49" s="70" t="str">
        <f aca="false">IF(A49="","",IFERROR(INDEX(السندات!$C$5:$C$504,MATCH(A49,السندات!$A$5:$A$504,0)),""))</f>
        <v/>
      </c>
      <c r="I49" s="71" t="str">
        <f aca="false">IF(A49="","",IFERROR(INDEX(السندات!$D$5:$D$504,MATCH(A49,السندات!$A$5:$A$504,0)),""))</f>
        <v/>
      </c>
      <c r="J49" s="72" t="str">
        <f aca="false">IF(A49="","",IF(ISNA(MATCH(A49,السندات!$A$5:$A$504,0)),"رقم سند غير موجود ✘",IF(AND(F49&lt;&gt;"",G49&lt;&gt;""),"اكتب مدين أو دائن فقط ✘",IF(AND(N(F49)=0,N(G49)=0),"بدون مبلغ ⚠",IF(B49&gt;12,"يتجاوز 12 بنداً في الطباعة ⚠","")))))</f>
        <v/>
      </c>
    </row>
    <row r="50" customFormat="false" ht="15" hidden="false" customHeight="false" outlineLevel="0" collapsed="false">
      <c r="A50" s="58"/>
      <c r="B50" s="73" t="str">
        <f aca="false">IF(A50="","",COUNTIF(A$5:A50,A50))</f>
        <v/>
      </c>
      <c r="C50" s="73" t="str">
        <f aca="false">IF(A50="","",A50&amp;"-"&amp;B50)</f>
        <v/>
      </c>
      <c r="D50" s="58"/>
      <c r="E50" s="57"/>
      <c r="F50" s="69"/>
      <c r="G50" s="69"/>
      <c r="H50" s="74" t="str">
        <f aca="false">IF(A50="","",IFERROR(INDEX(السندات!$C$5:$C$504,MATCH(A50,السندات!$A$5:$A$504,0)),""))</f>
        <v/>
      </c>
      <c r="I50" s="75" t="str">
        <f aca="false">IF(A50="","",IFERROR(INDEX(السندات!$D$5:$D$504,MATCH(A50,السندات!$A$5:$A$504,0)),""))</f>
        <v/>
      </c>
      <c r="J50" s="76" t="str">
        <f aca="false">IF(A50="","",IF(ISNA(MATCH(A50,السندات!$A$5:$A$504,0)),"رقم سند غير موجود ✘",IF(AND(F50&lt;&gt;"",G50&lt;&gt;""),"اكتب مدين أو دائن فقط ✘",IF(AND(N(F50)=0,N(G50)=0),"بدون مبلغ ⚠",IF(B50&gt;12,"يتجاوز 12 بنداً في الطباعة ⚠","")))))</f>
        <v/>
      </c>
    </row>
    <row r="51" customFormat="false" ht="15" hidden="false" customHeight="false" outlineLevel="0" collapsed="false">
      <c r="A51" s="58"/>
      <c r="B51" s="68" t="str">
        <f aca="false">IF(A51="","",COUNTIF(A$5:A51,A51))</f>
        <v/>
      </c>
      <c r="C51" s="68" t="str">
        <f aca="false">IF(A51="","",A51&amp;"-"&amp;B51)</f>
        <v/>
      </c>
      <c r="D51" s="58"/>
      <c r="E51" s="57"/>
      <c r="F51" s="69"/>
      <c r="G51" s="69"/>
      <c r="H51" s="70" t="str">
        <f aca="false">IF(A51="","",IFERROR(INDEX(السندات!$C$5:$C$504,MATCH(A51,السندات!$A$5:$A$504,0)),""))</f>
        <v/>
      </c>
      <c r="I51" s="71" t="str">
        <f aca="false">IF(A51="","",IFERROR(INDEX(السندات!$D$5:$D$504,MATCH(A51,السندات!$A$5:$A$504,0)),""))</f>
        <v/>
      </c>
      <c r="J51" s="72" t="str">
        <f aca="false">IF(A51="","",IF(ISNA(MATCH(A51,السندات!$A$5:$A$504,0)),"رقم سند غير موجود ✘",IF(AND(F51&lt;&gt;"",G51&lt;&gt;""),"اكتب مدين أو دائن فقط ✘",IF(AND(N(F51)=0,N(G51)=0),"بدون مبلغ ⚠",IF(B51&gt;12,"يتجاوز 12 بنداً في الطباعة ⚠","")))))</f>
        <v/>
      </c>
    </row>
    <row r="52" customFormat="false" ht="15" hidden="false" customHeight="false" outlineLevel="0" collapsed="false">
      <c r="A52" s="58"/>
      <c r="B52" s="73" t="str">
        <f aca="false">IF(A52="","",COUNTIF(A$5:A52,A52))</f>
        <v/>
      </c>
      <c r="C52" s="73" t="str">
        <f aca="false">IF(A52="","",A52&amp;"-"&amp;B52)</f>
        <v/>
      </c>
      <c r="D52" s="58"/>
      <c r="E52" s="57"/>
      <c r="F52" s="69"/>
      <c r="G52" s="69"/>
      <c r="H52" s="74" t="str">
        <f aca="false">IF(A52="","",IFERROR(INDEX(السندات!$C$5:$C$504,MATCH(A52,السندات!$A$5:$A$504,0)),""))</f>
        <v/>
      </c>
      <c r="I52" s="75" t="str">
        <f aca="false">IF(A52="","",IFERROR(INDEX(السندات!$D$5:$D$504,MATCH(A52,السندات!$A$5:$A$504,0)),""))</f>
        <v/>
      </c>
      <c r="J52" s="76" t="str">
        <f aca="false">IF(A52="","",IF(ISNA(MATCH(A52,السندات!$A$5:$A$504,0)),"رقم سند غير موجود ✘",IF(AND(F52&lt;&gt;"",G52&lt;&gt;""),"اكتب مدين أو دائن فقط ✘",IF(AND(N(F52)=0,N(G52)=0),"بدون مبلغ ⚠",IF(B52&gt;12,"يتجاوز 12 بنداً في الطباعة ⚠","")))))</f>
        <v/>
      </c>
    </row>
    <row r="53" customFormat="false" ht="15" hidden="false" customHeight="false" outlineLevel="0" collapsed="false">
      <c r="A53" s="58"/>
      <c r="B53" s="68" t="str">
        <f aca="false">IF(A53="","",COUNTIF(A$5:A53,A53))</f>
        <v/>
      </c>
      <c r="C53" s="68" t="str">
        <f aca="false">IF(A53="","",A53&amp;"-"&amp;B53)</f>
        <v/>
      </c>
      <c r="D53" s="58"/>
      <c r="E53" s="57"/>
      <c r="F53" s="69"/>
      <c r="G53" s="69"/>
      <c r="H53" s="70" t="str">
        <f aca="false">IF(A53="","",IFERROR(INDEX(السندات!$C$5:$C$504,MATCH(A53,السندات!$A$5:$A$504,0)),""))</f>
        <v/>
      </c>
      <c r="I53" s="71" t="str">
        <f aca="false">IF(A53="","",IFERROR(INDEX(السندات!$D$5:$D$504,MATCH(A53,السندات!$A$5:$A$504,0)),""))</f>
        <v/>
      </c>
      <c r="J53" s="72" t="str">
        <f aca="false">IF(A53="","",IF(ISNA(MATCH(A53,السندات!$A$5:$A$504,0)),"رقم سند غير موجود ✘",IF(AND(F53&lt;&gt;"",G53&lt;&gt;""),"اكتب مدين أو دائن فقط ✘",IF(AND(N(F53)=0,N(G53)=0),"بدون مبلغ ⚠",IF(B53&gt;12,"يتجاوز 12 بنداً في الطباعة ⚠","")))))</f>
        <v/>
      </c>
    </row>
    <row r="54" customFormat="false" ht="15" hidden="false" customHeight="false" outlineLevel="0" collapsed="false">
      <c r="A54" s="58"/>
      <c r="B54" s="73" t="str">
        <f aca="false">IF(A54="","",COUNTIF(A$5:A54,A54))</f>
        <v/>
      </c>
      <c r="C54" s="73" t="str">
        <f aca="false">IF(A54="","",A54&amp;"-"&amp;B54)</f>
        <v/>
      </c>
      <c r="D54" s="58"/>
      <c r="E54" s="57"/>
      <c r="F54" s="69"/>
      <c r="G54" s="69"/>
      <c r="H54" s="74" t="str">
        <f aca="false">IF(A54="","",IFERROR(INDEX(السندات!$C$5:$C$504,MATCH(A54,السندات!$A$5:$A$504,0)),""))</f>
        <v/>
      </c>
      <c r="I54" s="75" t="str">
        <f aca="false">IF(A54="","",IFERROR(INDEX(السندات!$D$5:$D$504,MATCH(A54,السندات!$A$5:$A$504,0)),""))</f>
        <v/>
      </c>
      <c r="J54" s="76" t="str">
        <f aca="false">IF(A54="","",IF(ISNA(MATCH(A54,السندات!$A$5:$A$504,0)),"رقم سند غير موجود ✘",IF(AND(F54&lt;&gt;"",G54&lt;&gt;""),"اكتب مدين أو دائن فقط ✘",IF(AND(N(F54)=0,N(G54)=0),"بدون مبلغ ⚠",IF(B54&gt;12,"يتجاوز 12 بنداً في الطباعة ⚠","")))))</f>
        <v/>
      </c>
    </row>
    <row r="55" customFormat="false" ht="15" hidden="false" customHeight="false" outlineLevel="0" collapsed="false">
      <c r="A55" s="58"/>
      <c r="B55" s="68" t="str">
        <f aca="false">IF(A55="","",COUNTIF(A$5:A55,A55))</f>
        <v/>
      </c>
      <c r="C55" s="68" t="str">
        <f aca="false">IF(A55="","",A55&amp;"-"&amp;B55)</f>
        <v/>
      </c>
      <c r="D55" s="58"/>
      <c r="E55" s="57"/>
      <c r="F55" s="69"/>
      <c r="G55" s="69"/>
      <c r="H55" s="70" t="str">
        <f aca="false">IF(A55="","",IFERROR(INDEX(السندات!$C$5:$C$504,MATCH(A55,السندات!$A$5:$A$504,0)),""))</f>
        <v/>
      </c>
      <c r="I55" s="71" t="str">
        <f aca="false">IF(A55="","",IFERROR(INDEX(السندات!$D$5:$D$504,MATCH(A55,السندات!$A$5:$A$504,0)),""))</f>
        <v/>
      </c>
      <c r="J55" s="72" t="str">
        <f aca="false">IF(A55="","",IF(ISNA(MATCH(A55,السندات!$A$5:$A$504,0)),"رقم سند غير موجود ✘",IF(AND(F55&lt;&gt;"",G55&lt;&gt;""),"اكتب مدين أو دائن فقط ✘",IF(AND(N(F55)=0,N(G55)=0),"بدون مبلغ ⚠",IF(B55&gt;12,"يتجاوز 12 بنداً في الطباعة ⚠","")))))</f>
        <v/>
      </c>
    </row>
    <row r="56" customFormat="false" ht="15" hidden="false" customHeight="false" outlineLevel="0" collapsed="false">
      <c r="A56" s="58"/>
      <c r="B56" s="73" t="str">
        <f aca="false">IF(A56="","",COUNTIF(A$5:A56,A56))</f>
        <v/>
      </c>
      <c r="C56" s="73" t="str">
        <f aca="false">IF(A56="","",A56&amp;"-"&amp;B56)</f>
        <v/>
      </c>
      <c r="D56" s="58"/>
      <c r="E56" s="57"/>
      <c r="F56" s="69"/>
      <c r="G56" s="69"/>
      <c r="H56" s="74" t="str">
        <f aca="false">IF(A56="","",IFERROR(INDEX(السندات!$C$5:$C$504,MATCH(A56,السندات!$A$5:$A$504,0)),""))</f>
        <v/>
      </c>
      <c r="I56" s="75" t="str">
        <f aca="false">IF(A56="","",IFERROR(INDEX(السندات!$D$5:$D$504,MATCH(A56,السندات!$A$5:$A$504,0)),""))</f>
        <v/>
      </c>
      <c r="J56" s="76" t="str">
        <f aca="false">IF(A56="","",IF(ISNA(MATCH(A56,السندات!$A$5:$A$504,0)),"رقم سند غير موجود ✘",IF(AND(F56&lt;&gt;"",G56&lt;&gt;""),"اكتب مدين أو دائن فقط ✘",IF(AND(N(F56)=0,N(G56)=0),"بدون مبلغ ⚠",IF(B56&gt;12,"يتجاوز 12 بنداً في الطباعة ⚠","")))))</f>
        <v/>
      </c>
    </row>
    <row r="57" customFormat="false" ht="15" hidden="false" customHeight="false" outlineLevel="0" collapsed="false">
      <c r="A57" s="58"/>
      <c r="B57" s="68" t="str">
        <f aca="false">IF(A57="","",COUNTIF(A$5:A57,A57))</f>
        <v/>
      </c>
      <c r="C57" s="68" t="str">
        <f aca="false">IF(A57="","",A57&amp;"-"&amp;B57)</f>
        <v/>
      </c>
      <c r="D57" s="58"/>
      <c r="E57" s="57"/>
      <c r="F57" s="69"/>
      <c r="G57" s="69"/>
      <c r="H57" s="70" t="str">
        <f aca="false">IF(A57="","",IFERROR(INDEX(السندات!$C$5:$C$504,MATCH(A57,السندات!$A$5:$A$504,0)),""))</f>
        <v/>
      </c>
      <c r="I57" s="71" t="str">
        <f aca="false">IF(A57="","",IFERROR(INDEX(السندات!$D$5:$D$504,MATCH(A57,السندات!$A$5:$A$504,0)),""))</f>
        <v/>
      </c>
      <c r="J57" s="72" t="str">
        <f aca="false">IF(A57="","",IF(ISNA(MATCH(A57,السندات!$A$5:$A$504,0)),"رقم سند غير موجود ✘",IF(AND(F57&lt;&gt;"",G57&lt;&gt;""),"اكتب مدين أو دائن فقط ✘",IF(AND(N(F57)=0,N(G57)=0),"بدون مبلغ ⚠",IF(B57&gt;12,"يتجاوز 12 بنداً في الطباعة ⚠","")))))</f>
        <v/>
      </c>
    </row>
    <row r="58" customFormat="false" ht="15" hidden="false" customHeight="false" outlineLevel="0" collapsed="false">
      <c r="A58" s="58"/>
      <c r="B58" s="73" t="str">
        <f aca="false">IF(A58="","",COUNTIF(A$5:A58,A58))</f>
        <v/>
      </c>
      <c r="C58" s="73" t="str">
        <f aca="false">IF(A58="","",A58&amp;"-"&amp;B58)</f>
        <v/>
      </c>
      <c r="D58" s="58"/>
      <c r="E58" s="57"/>
      <c r="F58" s="69"/>
      <c r="G58" s="69"/>
      <c r="H58" s="74" t="str">
        <f aca="false">IF(A58="","",IFERROR(INDEX(السندات!$C$5:$C$504,MATCH(A58,السندات!$A$5:$A$504,0)),""))</f>
        <v/>
      </c>
      <c r="I58" s="75" t="str">
        <f aca="false">IF(A58="","",IFERROR(INDEX(السندات!$D$5:$D$504,MATCH(A58,السندات!$A$5:$A$504,0)),""))</f>
        <v/>
      </c>
      <c r="J58" s="76" t="str">
        <f aca="false">IF(A58="","",IF(ISNA(MATCH(A58,السندات!$A$5:$A$504,0)),"رقم سند غير موجود ✘",IF(AND(F58&lt;&gt;"",G58&lt;&gt;""),"اكتب مدين أو دائن فقط ✘",IF(AND(N(F58)=0,N(G58)=0),"بدون مبلغ ⚠",IF(B58&gt;12,"يتجاوز 12 بنداً في الطباعة ⚠","")))))</f>
        <v/>
      </c>
    </row>
    <row r="59" customFormat="false" ht="15" hidden="false" customHeight="false" outlineLevel="0" collapsed="false">
      <c r="A59" s="58"/>
      <c r="B59" s="68" t="str">
        <f aca="false">IF(A59="","",COUNTIF(A$5:A59,A59))</f>
        <v/>
      </c>
      <c r="C59" s="68" t="str">
        <f aca="false">IF(A59="","",A59&amp;"-"&amp;B59)</f>
        <v/>
      </c>
      <c r="D59" s="58"/>
      <c r="E59" s="57"/>
      <c r="F59" s="69"/>
      <c r="G59" s="69"/>
      <c r="H59" s="70" t="str">
        <f aca="false">IF(A59="","",IFERROR(INDEX(السندات!$C$5:$C$504,MATCH(A59,السندات!$A$5:$A$504,0)),""))</f>
        <v/>
      </c>
      <c r="I59" s="71" t="str">
        <f aca="false">IF(A59="","",IFERROR(INDEX(السندات!$D$5:$D$504,MATCH(A59,السندات!$A$5:$A$504,0)),""))</f>
        <v/>
      </c>
      <c r="J59" s="72" t="str">
        <f aca="false">IF(A59="","",IF(ISNA(MATCH(A59,السندات!$A$5:$A$504,0)),"رقم سند غير موجود ✘",IF(AND(F59&lt;&gt;"",G59&lt;&gt;""),"اكتب مدين أو دائن فقط ✘",IF(AND(N(F59)=0,N(G59)=0),"بدون مبلغ ⚠",IF(B59&gt;12,"يتجاوز 12 بنداً في الطباعة ⚠","")))))</f>
        <v/>
      </c>
    </row>
    <row r="60" customFormat="false" ht="15" hidden="false" customHeight="false" outlineLevel="0" collapsed="false">
      <c r="A60" s="58"/>
      <c r="B60" s="73" t="str">
        <f aca="false">IF(A60="","",COUNTIF(A$5:A60,A60))</f>
        <v/>
      </c>
      <c r="C60" s="73" t="str">
        <f aca="false">IF(A60="","",A60&amp;"-"&amp;B60)</f>
        <v/>
      </c>
      <c r="D60" s="58"/>
      <c r="E60" s="57"/>
      <c r="F60" s="69"/>
      <c r="G60" s="69"/>
      <c r="H60" s="74" t="str">
        <f aca="false">IF(A60="","",IFERROR(INDEX(السندات!$C$5:$C$504,MATCH(A60,السندات!$A$5:$A$504,0)),""))</f>
        <v/>
      </c>
      <c r="I60" s="75" t="str">
        <f aca="false">IF(A60="","",IFERROR(INDEX(السندات!$D$5:$D$504,MATCH(A60,السندات!$A$5:$A$504,0)),""))</f>
        <v/>
      </c>
      <c r="J60" s="76" t="str">
        <f aca="false">IF(A60="","",IF(ISNA(MATCH(A60,السندات!$A$5:$A$504,0)),"رقم سند غير موجود ✘",IF(AND(F60&lt;&gt;"",G60&lt;&gt;""),"اكتب مدين أو دائن فقط ✘",IF(AND(N(F60)=0,N(G60)=0),"بدون مبلغ ⚠",IF(B60&gt;12,"يتجاوز 12 بنداً في الطباعة ⚠","")))))</f>
        <v/>
      </c>
    </row>
    <row r="61" customFormat="false" ht="15" hidden="false" customHeight="false" outlineLevel="0" collapsed="false">
      <c r="A61" s="58"/>
      <c r="B61" s="68" t="str">
        <f aca="false">IF(A61="","",COUNTIF(A$5:A61,A61))</f>
        <v/>
      </c>
      <c r="C61" s="68" t="str">
        <f aca="false">IF(A61="","",A61&amp;"-"&amp;B61)</f>
        <v/>
      </c>
      <c r="D61" s="58"/>
      <c r="E61" s="57"/>
      <c r="F61" s="69"/>
      <c r="G61" s="69"/>
      <c r="H61" s="70" t="str">
        <f aca="false">IF(A61="","",IFERROR(INDEX(السندات!$C$5:$C$504,MATCH(A61,السندات!$A$5:$A$504,0)),""))</f>
        <v/>
      </c>
      <c r="I61" s="71" t="str">
        <f aca="false">IF(A61="","",IFERROR(INDEX(السندات!$D$5:$D$504,MATCH(A61,السندات!$A$5:$A$504,0)),""))</f>
        <v/>
      </c>
      <c r="J61" s="72" t="str">
        <f aca="false">IF(A61="","",IF(ISNA(MATCH(A61,السندات!$A$5:$A$504,0)),"رقم سند غير موجود ✘",IF(AND(F61&lt;&gt;"",G61&lt;&gt;""),"اكتب مدين أو دائن فقط ✘",IF(AND(N(F61)=0,N(G61)=0),"بدون مبلغ ⚠",IF(B61&gt;12,"يتجاوز 12 بنداً في الطباعة ⚠","")))))</f>
        <v/>
      </c>
    </row>
    <row r="62" customFormat="false" ht="15" hidden="false" customHeight="false" outlineLevel="0" collapsed="false">
      <c r="A62" s="58"/>
      <c r="B62" s="73" t="str">
        <f aca="false">IF(A62="","",COUNTIF(A$5:A62,A62))</f>
        <v/>
      </c>
      <c r="C62" s="73" t="str">
        <f aca="false">IF(A62="","",A62&amp;"-"&amp;B62)</f>
        <v/>
      </c>
      <c r="D62" s="58"/>
      <c r="E62" s="57"/>
      <c r="F62" s="69"/>
      <c r="G62" s="69"/>
      <c r="H62" s="74" t="str">
        <f aca="false">IF(A62="","",IFERROR(INDEX(السندات!$C$5:$C$504,MATCH(A62,السندات!$A$5:$A$504,0)),""))</f>
        <v/>
      </c>
      <c r="I62" s="75" t="str">
        <f aca="false">IF(A62="","",IFERROR(INDEX(السندات!$D$5:$D$504,MATCH(A62,السندات!$A$5:$A$504,0)),""))</f>
        <v/>
      </c>
      <c r="J62" s="76" t="str">
        <f aca="false">IF(A62="","",IF(ISNA(MATCH(A62,السندات!$A$5:$A$504,0)),"رقم سند غير موجود ✘",IF(AND(F62&lt;&gt;"",G62&lt;&gt;""),"اكتب مدين أو دائن فقط ✘",IF(AND(N(F62)=0,N(G62)=0),"بدون مبلغ ⚠",IF(B62&gt;12,"يتجاوز 12 بنداً في الطباعة ⚠","")))))</f>
        <v/>
      </c>
    </row>
    <row r="63" customFormat="false" ht="15" hidden="false" customHeight="false" outlineLevel="0" collapsed="false">
      <c r="A63" s="58"/>
      <c r="B63" s="68" t="str">
        <f aca="false">IF(A63="","",COUNTIF(A$5:A63,A63))</f>
        <v/>
      </c>
      <c r="C63" s="68" t="str">
        <f aca="false">IF(A63="","",A63&amp;"-"&amp;B63)</f>
        <v/>
      </c>
      <c r="D63" s="58"/>
      <c r="E63" s="57"/>
      <c r="F63" s="69"/>
      <c r="G63" s="69"/>
      <c r="H63" s="70" t="str">
        <f aca="false">IF(A63="","",IFERROR(INDEX(السندات!$C$5:$C$504,MATCH(A63,السندات!$A$5:$A$504,0)),""))</f>
        <v/>
      </c>
      <c r="I63" s="71" t="str">
        <f aca="false">IF(A63="","",IFERROR(INDEX(السندات!$D$5:$D$504,MATCH(A63,السندات!$A$5:$A$504,0)),""))</f>
        <v/>
      </c>
      <c r="J63" s="72" t="str">
        <f aca="false">IF(A63="","",IF(ISNA(MATCH(A63,السندات!$A$5:$A$504,0)),"رقم سند غير موجود ✘",IF(AND(F63&lt;&gt;"",G63&lt;&gt;""),"اكتب مدين أو دائن فقط ✘",IF(AND(N(F63)=0,N(G63)=0),"بدون مبلغ ⚠",IF(B63&gt;12,"يتجاوز 12 بنداً في الطباعة ⚠","")))))</f>
        <v/>
      </c>
    </row>
    <row r="64" customFormat="false" ht="15" hidden="false" customHeight="false" outlineLevel="0" collapsed="false">
      <c r="A64" s="58"/>
      <c r="B64" s="73" t="str">
        <f aca="false">IF(A64="","",COUNTIF(A$5:A64,A64))</f>
        <v/>
      </c>
      <c r="C64" s="73" t="str">
        <f aca="false">IF(A64="","",A64&amp;"-"&amp;B64)</f>
        <v/>
      </c>
      <c r="D64" s="58"/>
      <c r="E64" s="57"/>
      <c r="F64" s="69"/>
      <c r="G64" s="69"/>
      <c r="H64" s="74" t="str">
        <f aca="false">IF(A64="","",IFERROR(INDEX(السندات!$C$5:$C$504,MATCH(A64,السندات!$A$5:$A$504,0)),""))</f>
        <v/>
      </c>
      <c r="I64" s="75" t="str">
        <f aca="false">IF(A64="","",IFERROR(INDEX(السندات!$D$5:$D$504,MATCH(A64,السندات!$A$5:$A$504,0)),""))</f>
        <v/>
      </c>
      <c r="J64" s="76" t="str">
        <f aca="false">IF(A64="","",IF(ISNA(MATCH(A64,السندات!$A$5:$A$504,0)),"رقم سند غير موجود ✘",IF(AND(F64&lt;&gt;"",G64&lt;&gt;""),"اكتب مدين أو دائن فقط ✘",IF(AND(N(F64)=0,N(G64)=0),"بدون مبلغ ⚠",IF(B64&gt;12,"يتجاوز 12 بنداً في الطباعة ⚠","")))))</f>
        <v/>
      </c>
    </row>
    <row r="65" customFormat="false" ht="15" hidden="false" customHeight="false" outlineLevel="0" collapsed="false">
      <c r="A65" s="58"/>
      <c r="B65" s="68" t="str">
        <f aca="false">IF(A65="","",COUNTIF(A$5:A65,A65))</f>
        <v/>
      </c>
      <c r="C65" s="68" t="str">
        <f aca="false">IF(A65="","",A65&amp;"-"&amp;B65)</f>
        <v/>
      </c>
      <c r="D65" s="58"/>
      <c r="E65" s="57"/>
      <c r="F65" s="69"/>
      <c r="G65" s="69"/>
      <c r="H65" s="70" t="str">
        <f aca="false">IF(A65="","",IFERROR(INDEX(السندات!$C$5:$C$504,MATCH(A65,السندات!$A$5:$A$504,0)),""))</f>
        <v/>
      </c>
      <c r="I65" s="71" t="str">
        <f aca="false">IF(A65="","",IFERROR(INDEX(السندات!$D$5:$D$504,MATCH(A65,السندات!$A$5:$A$504,0)),""))</f>
        <v/>
      </c>
      <c r="J65" s="72" t="str">
        <f aca="false">IF(A65="","",IF(ISNA(MATCH(A65,السندات!$A$5:$A$504,0)),"رقم سند غير موجود ✘",IF(AND(F65&lt;&gt;"",G65&lt;&gt;""),"اكتب مدين أو دائن فقط ✘",IF(AND(N(F65)=0,N(G65)=0),"بدون مبلغ ⚠",IF(B65&gt;12,"يتجاوز 12 بنداً في الطباعة ⚠","")))))</f>
        <v/>
      </c>
    </row>
    <row r="66" customFormat="false" ht="15" hidden="false" customHeight="false" outlineLevel="0" collapsed="false">
      <c r="A66" s="58"/>
      <c r="B66" s="73" t="str">
        <f aca="false">IF(A66="","",COUNTIF(A$5:A66,A66))</f>
        <v/>
      </c>
      <c r="C66" s="73" t="str">
        <f aca="false">IF(A66="","",A66&amp;"-"&amp;B66)</f>
        <v/>
      </c>
      <c r="D66" s="58"/>
      <c r="E66" s="57"/>
      <c r="F66" s="69"/>
      <c r="G66" s="69"/>
      <c r="H66" s="74" t="str">
        <f aca="false">IF(A66="","",IFERROR(INDEX(السندات!$C$5:$C$504,MATCH(A66,السندات!$A$5:$A$504,0)),""))</f>
        <v/>
      </c>
      <c r="I66" s="75" t="str">
        <f aca="false">IF(A66="","",IFERROR(INDEX(السندات!$D$5:$D$504,MATCH(A66,السندات!$A$5:$A$504,0)),""))</f>
        <v/>
      </c>
      <c r="J66" s="76" t="str">
        <f aca="false">IF(A66="","",IF(ISNA(MATCH(A66,السندات!$A$5:$A$504,0)),"رقم سند غير موجود ✘",IF(AND(F66&lt;&gt;"",G66&lt;&gt;""),"اكتب مدين أو دائن فقط ✘",IF(AND(N(F66)=0,N(G66)=0),"بدون مبلغ ⚠",IF(B66&gt;12,"يتجاوز 12 بنداً في الطباعة ⚠","")))))</f>
        <v/>
      </c>
    </row>
    <row r="67" customFormat="false" ht="15" hidden="false" customHeight="false" outlineLevel="0" collapsed="false">
      <c r="A67" s="58"/>
      <c r="B67" s="68" t="str">
        <f aca="false">IF(A67="","",COUNTIF(A$5:A67,A67))</f>
        <v/>
      </c>
      <c r="C67" s="68" t="str">
        <f aca="false">IF(A67="","",A67&amp;"-"&amp;B67)</f>
        <v/>
      </c>
      <c r="D67" s="58"/>
      <c r="E67" s="57"/>
      <c r="F67" s="69"/>
      <c r="G67" s="69"/>
      <c r="H67" s="70" t="str">
        <f aca="false">IF(A67="","",IFERROR(INDEX(السندات!$C$5:$C$504,MATCH(A67,السندات!$A$5:$A$504,0)),""))</f>
        <v/>
      </c>
      <c r="I67" s="71" t="str">
        <f aca="false">IF(A67="","",IFERROR(INDEX(السندات!$D$5:$D$504,MATCH(A67,السندات!$A$5:$A$504,0)),""))</f>
        <v/>
      </c>
      <c r="J67" s="72" t="str">
        <f aca="false">IF(A67="","",IF(ISNA(MATCH(A67,السندات!$A$5:$A$504,0)),"رقم سند غير موجود ✘",IF(AND(F67&lt;&gt;"",G67&lt;&gt;""),"اكتب مدين أو دائن فقط ✘",IF(AND(N(F67)=0,N(G67)=0),"بدون مبلغ ⚠",IF(B67&gt;12,"يتجاوز 12 بنداً في الطباعة ⚠","")))))</f>
        <v/>
      </c>
    </row>
    <row r="68" customFormat="false" ht="15" hidden="false" customHeight="false" outlineLevel="0" collapsed="false">
      <c r="A68" s="58"/>
      <c r="B68" s="73" t="str">
        <f aca="false">IF(A68="","",COUNTIF(A$5:A68,A68))</f>
        <v/>
      </c>
      <c r="C68" s="73" t="str">
        <f aca="false">IF(A68="","",A68&amp;"-"&amp;B68)</f>
        <v/>
      </c>
      <c r="D68" s="58"/>
      <c r="E68" s="57"/>
      <c r="F68" s="69"/>
      <c r="G68" s="69"/>
      <c r="H68" s="74" t="str">
        <f aca="false">IF(A68="","",IFERROR(INDEX(السندات!$C$5:$C$504,MATCH(A68,السندات!$A$5:$A$504,0)),""))</f>
        <v/>
      </c>
      <c r="I68" s="75" t="str">
        <f aca="false">IF(A68="","",IFERROR(INDEX(السندات!$D$5:$D$504,MATCH(A68,السندات!$A$5:$A$504,0)),""))</f>
        <v/>
      </c>
      <c r="J68" s="76" t="str">
        <f aca="false">IF(A68="","",IF(ISNA(MATCH(A68,السندات!$A$5:$A$504,0)),"رقم سند غير موجود ✘",IF(AND(F68&lt;&gt;"",G68&lt;&gt;""),"اكتب مدين أو دائن فقط ✘",IF(AND(N(F68)=0,N(G68)=0),"بدون مبلغ ⚠",IF(B68&gt;12,"يتجاوز 12 بنداً في الطباعة ⚠","")))))</f>
        <v/>
      </c>
    </row>
    <row r="69" customFormat="false" ht="15" hidden="false" customHeight="false" outlineLevel="0" collapsed="false">
      <c r="A69" s="58"/>
      <c r="B69" s="68" t="str">
        <f aca="false">IF(A69="","",COUNTIF(A$5:A69,A69))</f>
        <v/>
      </c>
      <c r="C69" s="68" t="str">
        <f aca="false">IF(A69="","",A69&amp;"-"&amp;B69)</f>
        <v/>
      </c>
      <c r="D69" s="58"/>
      <c r="E69" s="57"/>
      <c r="F69" s="69"/>
      <c r="G69" s="69"/>
      <c r="H69" s="70" t="str">
        <f aca="false">IF(A69="","",IFERROR(INDEX(السندات!$C$5:$C$504,MATCH(A69,السندات!$A$5:$A$504,0)),""))</f>
        <v/>
      </c>
      <c r="I69" s="71" t="str">
        <f aca="false">IF(A69="","",IFERROR(INDEX(السندات!$D$5:$D$504,MATCH(A69,السندات!$A$5:$A$504,0)),""))</f>
        <v/>
      </c>
      <c r="J69" s="72" t="str">
        <f aca="false">IF(A69="","",IF(ISNA(MATCH(A69,السندات!$A$5:$A$504,0)),"رقم سند غير موجود ✘",IF(AND(F69&lt;&gt;"",G69&lt;&gt;""),"اكتب مدين أو دائن فقط ✘",IF(AND(N(F69)=0,N(G69)=0),"بدون مبلغ ⚠",IF(B69&gt;12,"يتجاوز 12 بنداً في الطباعة ⚠","")))))</f>
        <v/>
      </c>
    </row>
    <row r="70" customFormat="false" ht="15" hidden="false" customHeight="false" outlineLevel="0" collapsed="false">
      <c r="A70" s="58"/>
      <c r="B70" s="73" t="str">
        <f aca="false">IF(A70="","",COUNTIF(A$5:A70,A70))</f>
        <v/>
      </c>
      <c r="C70" s="73" t="str">
        <f aca="false">IF(A70="","",A70&amp;"-"&amp;B70)</f>
        <v/>
      </c>
      <c r="D70" s="58"/>
      <c r="E70" s="57"/>
      <c r="F70" s="69"/>
      <c r="G70" s="69"/>
      <c r="H70" s="74" t="str">
        <f aca="false">IF(A70="","",IFERROR(INDEX(السندات!$C$5:$C$504,MATCH(A70,السندات!$A$5:$A$504,0)),""))</f>
        <v/>
      </c>
      <c r="I70" s="75" t="str">
        <f aca="false">IF(A70="","",IFERROR(INDEX(السندات!$D$5:$D$504,MATCH(A70,السندات!$A$5:$A$504,0)),""))</f>
        <v/>
      </c>
      <c r="J70" s="76" t="str">
        <f aca="false">IF(A70="","",IF(ISNA(MATCH(A70,السندات!$A$5:$A$504,0)),"رقم سند غير موجود ✘",IF(AND(F70&lt;&gt;"",G70&lt;&gt;""),"اكتب مدين أو دائن فقط ✘",IF(AND(N(F70)=0,N(G70)=0),"بدون مبلغ ⚠",IF(B70&gt;12,"يتجاوز 12 بنداً في الطباعة ⚠","")))))</f>
        <v/>
      </c>
    </row>
    <row r="71" customFormat="false" ht="15" hidden="false" customHeight="false" outlineLevel="0" collapsed="false">
      <c r="A71" s="58"/>
      <c r="B71" s="68" t="str">
        <f aca="false">IF(A71="","",COUNTIF(A$5:A71,A71))</f>
        <v/>
      </c>
      <c r="C71" s="68" t="str">
        <f aca="false">IF(A71="","",A71&amp;"-"&amp;B71)</f>
        <v/>
      </c>
      <c r="D71" s="58"/>
      <c r="E71" s="57"/>
      <c r="F71" s="69"/>
      <c r="G71" s="69"/>
      <c r="H71" s="70" t="str">
        <f aca="false">IF(A71="","",IFERROR(INDEX(السندات!$C$5:$C$504,MATCH(A71,السندات!$A$5:$A$504,0)),""))</f>
        <v/>
      </c>
      <c r="I71" s="71" t="str">
        <f aca="false">IF(A71="","",IFERROR(INDEX(السندات!$D$5:$D$504,MATCH(A71,السندات!$A$5:$A$504,0)),""))</f>
        <v/>
      </c>
      <c r="J71" s="72" t="str">
        <f aca="false">IF(A71="","",IF(ISNA(MATCH(A71,السندات!$A$5:$A$504,0)),"رقم سند غير موجود ✘",IF(AND(F71&lt;&gt;"",G71&lt;&gt;""),"اكتب مدين أو دائن فقط ✘",IF(AND(N(F71)=0,N(G71)=0),"بدون مبلغ ⚠",IF(B71&gt;12,"يتجاوز 12 بنداً في الطباعة ⚠","")))))</f>
        <v/>
      </c>
    </row>
    <row r="72" customFormat="false" ht="15" hidden="false" customHeight="false" outlineLevel="0" collapsed="false">
      <c r="A72" s="58"/>
      <c r="B72" s="73" t="str">
        <f aca="false">IF(A72="","",COUNTIF(A$5:A72,A72))</f>
        <v/>
      </c>
      <c r="C72" s="73" t="str">
        <f aca="false">IF(A72="","",A72&amp;"-"&amp;B72)</f>
        <v/>
      </c>
      <c r="D72" s="58"/>
      <c r="E72" s="57"/>
      <c r="F72" s="69"/>
      <c r="G72" s="69"/>
      <c r="H72" s="74" t="str">
        <f aca="false">IF(A72="","",IFERROR(INDEX(السندات!$C$5:$C$504,MATCH(A72,السندات!$A$5:$A$504,0)),""))</f>
        <v/>
      </c>
      <c r="I72" s="75" t="str">
        <f aca="false">IF(A72="","",IFERROR(INDEX(السندات!$D$5:$D$504,MATCH(A72,السندات!$A$5:$A$504,0)),""))</f>
        <v/>
      </c>
      <c r="J72" s="76" t="str">
        <f aca="false">IF(A72="","",IF(ISNA(MATCH(A72,السندات!$A$5:$A$504,0)),"رقم سند غير موجود ✘",IF(AND(F72&lt;&gt;"",G72&lt;&gt;""),"اكتب مدين أو دائن فقط ✘",IF(AND(N(F72)=0,N(G72)=0),"بدون مبلغ ⚠",IF(B72&gt;12,"يتجاوز 12 بنداً في الطباعة ⚠","")))))</f>
        <v/>
      </c>
    </row>
    <row r="73" customFormat="false" ht="15" hidden="false" customHeight="false" outlineLevel="0" collapsed="false">
      <c r="A73" s="58"/>
      <c r="B73" s="68" t="str">
        <f aca="false">IF(A73="","",COUNTIF(A$5:A73,A73))</f>
        <v/>
      </c>
      <c r="C73" s="68" t="str">
        <f aca="false">IF(A73="","",A73&amp;"-"&amp;B73)</f>
        <v/>
      </c>
      <c r="D73" s="58"/>
      <c r="E73" s="57"/>
      <c r="F73" s="69"/>
      <c r="G73" s="69"/>
      <c r="H73" s="70" t="str">
        <f aca="false">IF(A73="","",IFERROR(INDEX(السندات!$C$5:$C$504,MATCH(A73,السندات!$A$5:$A$504,0)),""))</f>
        <v/>
      </c>
      <c r="I73" s="71" t="str">
        <f aca="false">IF(A73="","",IFERROR(INDEX(السندات!$D$5:$D$504,MATCH(A73,السندات!$A$5:$A$504,0)),""))</f>
        <v/>
      </c>
      <c r="J73" s="72" t="str">
        <f aca="false">IF(A73="","",IF(ISNA(MATCH(A73,السندات!$A$5:$A$504,0)),"رقم سند غير موجود ✘",IF(AND(F73&lt;&gt;"",G73&lt;&gt;""),"اكتب مدين أو دائن فقط ✘",IF(AND(N(F73)=0,N(G73)=0),"بدون مبلغ ⚠",IF(B73&gt;12,"يتجاوز 12 بنداً في الطباعة ⚠","")))))</f>
        <v/>
      </c>
    </row>
    <row r="74" customFormat="false" ht="15" hidden="false" customHeight="false" outlineLevel="0" collapsed="false">
      <c r="A74" s="58"/>
      <c r="B74" s="73" t="str">
        <f aca="false">IF(A74="","",COUNTIF(A$5:A74,A74))</f>
        <v/>
      </c>
      <c r="C74" s="73" t="str">
        <f aca="false">IF(A74="","",A74&amp;"-"&amp;B74)</f>
        <v/>
      </c>
      <c r="D74" s="58"/>
      <c r="E74" s="57"/>
      <c r="F74" s="69"/>
      <c r="G74" s="69"/>
      <c r="H74" s="74" t="str">
        <f aca="false">IF(A74="","",IFERROR(INDEX(السندات!$C$5:$C$504,MATCH(A74,السندات!$A$5:$A$504,0)),""))</f>
        <v/>
      </c>
      <c r="I74" s="75" t="str">
        <f aca="false">IF(A74="","",IFERROR(INDEX(السندات!$D$5:$D$504,MATCH(A74,السندات!$A$5:$A$504,0)),""))</f>
        <v/>
      </c>
      <c r="J74" s="76" t="str">
        <f aca="false">IF(A74="","",IF(ISNA(MATCH(A74,السندات!$A$5:$A$504,0)),"رقم سند غير موجود ✘",IF(AND(F74&lt;&gt;"",G74&lt;&gt;""),"اكتب مدين أو دائن فقط ✘",IF(AND(N(F74)=0,N(G74)=0),"بدون مبلغ ⚠",IF(B74&gt;12,"يتجاوز 12 بنداً في الطباعة ⚠","")))))</f>
        <v/>
      </c>
    </row>
    <row r="75" customFormat="false" ht="15" hidden="false" customHeight="false" outlineLevel="0" collapsed="false">
      <c r="A75" s="58"/>
      <c r="B75" s="68" t="str">
        <f aca="false">IF(A75="","",COUNTIF(A$5:A75,A75))</f>
        <v/>
      </c>
      <c r="C75" s="68" t="str">
        <f aca="false">IF(A75="","",A75&amp;"-"&amp;B75)</f>
        <v/>
      </c>
      <c r="D75" s="58"/>
      <c r="E75" s="57"/>
      <c r="F75" s="69"/>
      <c r="G75" s="69"/>
      <c r="H75" s="70" t="str">
        <f aca="false">IF(A75="","",IFERROR(INDEX(السندات!$C$5:$C$504,MATCH(A75,السندات!$A$5:$A$504,0)),""))</f>
        <v/>
      </c>
      <c r="I75" s="71" t="str">
        <f aca="false">IF(A75="","",IFERROR(INDEX(السندات!$D$5:$D$504,MATCH(A75,السندات!$A$5:$A$504,0)),""))</f>
        <v/>
      </c>
      <c r="J75" s="72" t="str">
        <f aca="false">IF(A75="","",IF(ISNA(MATCH(A75,السندات!$A$5:$A$504,0)),"رقم سند غير موجود ✘",IF(AND(F75&lt;&gt;"",G75&lt;&gt;""),"اكتب مدين أو دائن فقط ✘",IF(AND(N(F75)=0,N(G75)=0),"بدون مبلغ ⚠",IF(B75&gt;12,"يتجاوز 12 بنداً في الطباعة ⚠","")))))</f>
        <v/>
      </c>
    </row>
    <row r="76" customFormat="false" ht="15" hidden="false" customHeight="false" outlineLevel="0" collapsed="false">
      <c r="A76" s="58"/>
      <c r="B76" s="73" t="str">
        <f aca="false">IF(A76="","",COUNTIF(A$5:A76,A76))</f>
        <v/>
      </c>
      <c r="C76" s="73" t="str">
        <f aca="false">IF(A76="","",A76&amp;"-"&amp;B76)</f>
        <v/>
      </c>
      <c r="D76" s="58"/>
      <c r="E76" s="57"/>
      <c r="F76" s="69"/>
      <c r="G76" s="69"/>
      <c r="H76" s="74" t="str">
        <f aca="false">IF(A76="","",IFERROR(INDEX(السندات!$C$5:$C$504,MATCH(A76,السندات!$A$5:$A$504,0)),""))</f>
        <v/>
      </c>
      <c r="I76" s="75" t="str">
        <f aca="false">IF(A76="","",IFERROR(INDEX(السندات!$D$5:$D$504,MATCH(A76,السندات!$A$5:$A$504,0)),""))</f>
        <v/>
      </c>
      <c r="J76" s="76" t="str">
        <f aca="false">IF(A76="","",IF(ISNA(MATCH(A76,السندات!$A$5:$A$504,0)),"رقم سند غير موجود ✘",IF(AND(F76&lt;&gt;"",G76&lt;&gt;""),"اكتب مدين أو دائن فقط ✘",IF(AND(N(F76)=0,N(G76)=0),"بدون مبلغ ⚠",IF(B76&gt;12,"يتجاوز 12 بنداً في الطباعة ⚠","")))))</f>
        <v/>
      </c>
    </row>
    <row r="77" customFormat="false" ht="15" hidden="false" customHeight="false" outlineLevel="0" collapsed="false">
      <c r="A77" s="58"/>
      <c r="B77" s="68" t="str">
        <f aca="false">IF(A77="","",COUNTIF(A$5:A77,A77))</f>
        <v/>
      </c>
      <c r="C77" s="68" t="str">
        <f aca="false">IF(A77="","",A77&amp;"-"&amp;B77)</f>
        <v/>
      </c>
      <c r="D77" s="58"/>
      <c r="E77" s="57"/>
      <c r="F77" s="69"/>
      <c r="G77" s="69"/>
      <c r="H77" s="70" t="str">
        <f aca="false">IF(A77="","",IFERROR(INDEX(السندات!$C$5:$C$504,MATCH(A77,السندات!$A$5:$A$504,0)),""))</f>
        <v/>
      </c>
      <c r="I77" s="71" t="str">
        <f aca="false">IF(A77="","",IFERROR(INDEX(السندات!$D$5:$D$504,MATCH(A77,السندات!$A$5:$A$504,0)),""))</f>
        <v/>
      </c>
      <c r="J77" s="72" t="str">
        <f aca="false">IF(A77="","",IF(ISNA(MATCH(A77,السندات!$A$5:$A$504,0)),"رقم سند غير موجود ✘",IF(AND(F77&lt;&gt;"",G77&lt;&gt;""),"اكتب مدين أو دائن فقط ✘",IF(AND(N(F77)=0,N(G77)=0),"بدون مبلغ ⚠",IF(B77&gt;12,"يتجاوز 12 بنداً في الطباعة ⚠","")))))</f>
        <v/>
      </c>
    </row>
    <row r="78" customFormat="false" ht="15" hidden="false" customHeight="false" outlineLevel="0" collapsed="false">
      <c r="A78" s="58"/>
      <c r="B78" s="73" t="str">
        <f aca="false">IF(A78="","",COUNTIF(A$5:A78,A78))</f>
        <v/>
      </c>
      <c r="C78" s="73" t="str">
        <f aca="false">IF(A78="","",A78&amp;"-"&amp;B78)</f>
        <v/>
      </c>
      <c r="D78" s="58"/>
      <c r="E78" s="57"/>
      <c r="F78" s="69"/>
      <c r="G78" s="69"/>
      <c r="H78" s="74" t="str">
        <f aca="false">IF(A78="","",IFERROR(INDEX(السندات!$C$5:$C$504,MATCH(A78,السندات!$A$5:$A$504,0)),""))</f>
        <v/>
      </c>
      <c r="I78" s="75" t="str">
        <f aca="false">IF(A78="","",IFERROR(INDEX(السندات!$D$5:$D$504,MATCH(A78,السندات!$A$5:$A$504,0)),""))</f>
        <v/>
      </c>
      <c r="J78" s="76" t="str">
        <f aca="false">IF(A78="","",IF(ISNA(MATCH(A78,السندات!$A$5:$A$504,0)),"رقم سند غير موجود ✘",IF(AND(F78&lt;&gt;"",G78&lt;&gt;""),"اكتب مدين أو دائن فقط ✘",IF(AND(N(F78)=0,N(G78)=0),"بدون مبلغ ⚠",IF(B78&gt;12,"يتجاوز 12 بنداً في الطباعة ⚠","")))))</f>
        <v/>
      </c>
    </row>
    <row r="79" customFormat="false" ht="15" hidden="false" customHeight="false" outlineLevel="0" collapsed="false">
      <c r="A79" s="58"/>
      <c r="B79" s="68" t="str">
        <f aca="false">IF(A79="","",COUNTIF(A$5:A79,A79))</f>
        <v/>
      </c>
      <c r="C79" s="68" t="str">
        <f aca="false">IF(A79="","",A79&amp;"-"&amp;B79)</f>
        <v/>
      </c>
      <c r="D79" s="58"/>
      <c r="E79" s="57"/>
      <c r="F79" s="69"/>
      <c r="G79" s="69"/>
      <c r="H79" s="70" t="str">
        <f aca="false">IF(A79="","",IFERROR(INDEX(السندات!$C$5:$C$504,MATCH(A79,السندات!$A$5:$A$504,0)),""))</f>
        <v/>
      </c>
      <c r="I79" s="71" t="str">
        <f aca="false">IF(A79="","",IFERROR(INDEX(السندات!$D$5:$D$504,MATCH(A79,السندات!$A$5:$A$504,0)),""))</f>
        <v/>
      </c>
      <c r="J79" s="72" t="str">
        <f aca="false">IF(A79="","",IF(ISNA(MATCH(A79,السندات!$A$5:$A$504,0)),"رقم سند غير موجود ✘",IF(AND(F79&lt;&gt;"",G79&lt;&gt;""),"اكتب مدين أو دائن فقط ✘",IF(AND(N(F79)=0,N(G79)=0),"بدون مبلغ ⚠",IF(B79&gt;12,"يتجاوز 12 بنداً في الطباعة ⚠","")))))</f>
        <v/>
      </c>
    </row>
    <row r="80" customFormat="false" ht="15" hidden="false" customHeight="false" outlineLevel="0" collapsed="false">
      <c r="A80" s="58"/>
      <c r="B80" s="73" t="str">
        <f aca="false">IF(A80="","",COUNTIF(A$5:A80,A80))</f>
        <v/>
      </c>
      <c r="C80" s="73" t="str">
        <f aca="false">IF(A80="","",A80&amp;"-"&amp;B80)</f>
        <v/>
      </c>
      <c r="D80" s="58"/>
      <c r="E80" s="57"/>
      <c r="F80" s="69"/>
      <c r="G80" s="69"/>
      <c r="H80" s="74" t="str">
        <f aca="false">IF(A80="","",IFERROR(INDEX(السندات!$C$5:$C$504,MATCH(A80,السندات!$A$5:$A$504,0)),""))</f>
        <v/>
      </c>
      <c r="I80" s="75" t="str">
        <f aca="false">IF(A80="","",IFERROR(INDEX(السندات!$D$5:$D$504,MATCH(A80,السندات!$A$5:$A$504,0)),""))</f>
        <v/>
      </c>
      <c r="J80" s="76" t="str">
        <f aca="false">IF(A80="","",IF(ISNA(MATCH(A80,السندات!$A$5:$A$504,0)),"رقم سند غير موجود ✘",IF(AND(F80&lt;&gt;"",G80&lt;&gt;""),"اكتب مدين أو دائن فقط ✘",IF(AND(N(F80)=0,N(G80)=0),"بدون مبلغ ⚠",IF(B80&gt;12,"يتجاوز 12 بنداً في الطباعة ⚠","")))))</f>
        <v/>
      </c>
    </row>
    <row r="81" customFormat="false" ht="15" hidden="false" customHeight="false" outlineLevel="0" collapsed="false">
      <c r="A81" s="58"/>
      <c r="B81" s="68" t="str">
        <f aca="false">IF(A81="","",COUNTIF(A$5:A81,A81))</f>
        <v/>
      </c>
      <c r="C81" s="68" t="str">
        <f aca="false">IF(A81="","",A81&amp;"-"&amp;B81)</f>
        <v/>
      </c>
      <c r="D81" s="58"/>
      <c r="E81" s="57"/>
      <c r="F81" s="69"/>
      <c r="G81" s="69"/>
      <c r="H81" s="70" t="str">
        <f aca="false">IF(A81="","",IFERROR(INDEX(السندات!$C$5:$C$504,MATCH(A81,السندات!$A$5:$A$504,0)),""))</f>
        <v/>
      </c>
      <c r="I81" s="71" t="str">
        <f aca="false">IF(A81="","",IFERROR(INDEX(السندات!$D$5:$D$504,MATCH(A81,السندات!$A$5:$A$504,0)),""))</f>
        <v/>
      </c>
      <c r="J81" s="72" t="str">
        <f aca="false">IF(A81="","",IF(ISNA(MATCH(A81,السندات!$A$5:$A$504,0)),"رقم سند غير موجود ✘",IF(AND(F81&lt;&gt;"",G81&lt;&gt;""),"اكتب مدين أو دائن فقط ✘",IF(AND(N(F81)=0,N(G81)=0),"بدون مبلغ ⚠",IF(B81&gt;12,"يتجاوز 12 بنداً في الطباعة ⚠","")))))</f>
        <v/>
      </c>
    </row>
    <row r="82" customFormat="false" ht="15" hidden="false" customHeight="false" outlineLevel="0" collapsed="false">
      <c r="A82" s="58"/>
      <c r="B82" s="73" t="str">
        <f aca="false">IF(A82="","",COUNTIF(A$5:A82,A82))</f>
        <v/>
      </c>
      <c r="C82" s="73" t="str">
        <f aca="false">IF(A82="","",A82&amp;"-"&amp;B82)</f>
        <v/>
      </c>
      <c r="D82" s="58"/>
      <c r="E82" s="57"/>
      <c r="F82" s="69"/>
      <c r="G82" s="69"/>
      <c r="H82" s="74" t="str">
        <f aca="false">IF(A82="","",IFERROR(INDEX(السندات!$C$5:$C$504,MATCH(A82,السندات!$A$5:$A$504,0)),""))</f>
        <v/>
      </c>
      <c r="I82" s="75" t="str">
        <f aca="false">IF(A82="","",IFERROR(INDEX(السندات!$D$5:$D$504,MATCH(A82,السندات!$A$5:$A$504,0)),""))</f>
        <v/>
      </c>
      <c r="J82" s="76" t="str">
        <f aca="false">IF(A82="","",IF(ISNA(MATCH(A82,السندات!$A$5:$A$504,0)),"رقم سند غير موجود ✘",IF(AND(F82&lt;&gt;"",G82&lt;&gt;""),"اكتب مدين أو دائن فقط ✘",IF(AND(N(F82)=0,N(G82)=0),"بدون مبلغ ⚠",IF(B82&gt;12,"يتجاوز 12 بنداً في الطباعة ⚠","")))))</f>
        <v/>
      </c>
    </row>
    <row r="83" customFormat="false" ht="15" hidden="false" customHeight="false" outlineLevel="0" collapsed="false">
      <c r="A83" s="58"/>
      <c r="B83" s="68" t="str">
        <f aca="false">IF(A83="","",COUNTIF(A$5:A83,A83))</f>
        <v/>
      </c>
      <c r="C83" s="68" t="str">
        <f aca="false">IF(A83="","",A83&amp;"-"&amp;B83)</f>
        <v/>
      </c>
      <c r="D83" s="58"/>
      <c r="E83" s="57"/>
      <c r="F83" s="69"/>
      <c r="G83" s="69"/>
      <c r="H83" s="70" t="str">
        <f aca="false">IF(A83="","",IFERROR(INDEX(السندات!$C$5:$C$504,MATCH(A83,السندات!$A$5:$A$504,0)),""))</f>
        <v/>
      </c>
      <c r="I83" s="71" t="str">
        <f aca="false">IF(A83="","",IFERROR(INDEX(السندات!$D$5:$D$504,MATCH(A83,السندات!$A$5:$A$504,0)),""))</f>
        <v/>
      </c>
      <c r="J83" s="72" t="str">
        <f aca="false">IF(A83="","",IF(ISNA(MATCH(A83,السندات!$A$5:$A$504,0)),"رقم سند غير موجود ✘",IF(AND(F83&lt;&gt;"",G83&lt;&gt;""),"اكتب مدين أو دائن فقط ✘",IF(AND(N(F83)=0,N(G83)=0),"بدون مبلغ ⚠",IF(B83&gt;12,"يتجاوز 12 بنداً في الطباعة ⚠","")))))</f>
        <v/>
      </c>
    </row>
    <row r="84" customFormat="false" ht="15" hidden="false" customHeight="false" outlineLevel="0" collapsed="false">
      <c r="A84" s="58"/>
      <c r="B84" s="73" t="str">
        <f aca="false">IF(A84="","",COUNTIF(A$5:A84,A84))</f>
        <v/>
      </c>
      <c r="C84" s="73" t="str">
        <f aca="false">IF(A84="","",A84&amp;"-"&amp;B84)</f>
        <v/>
      </c>
      <c r="D84" s="58"/>
      <c r="E84" s="57"/>
      <c r="F84" s="69"/>
      <c r="G84" s="69"/>
      <c r="H84" s="74" t="str">
        <f aca="false">IF(A84="","",IFERROR(INDEX(السندات!$C$5:$C$504,MATCH(A84,السندات!$A$5:$A$504,0)),""))</f>
        <v/>
      </c>
      <c r="I84" s="75" t="str">
        <f aca="false">IF(A84="","",IFERROR(INDEX(السندات!$D$5:$D$504,MATCH(A84,السندات!$A$5:$A$504,0)),""))</f>
        <v/>
      </c>
      <c r="J84" s="76" t="str">
        <f aca="false">IF(A84="","",IF(ISNA(MATCH(A84,السندات!$A$5:$A$504,0)),"رقم سند غير موجود ✘",IF(AND(F84&lt;&gt;"",G84&lt;&gt;""),"اكتب مدين أو دائن فقط ✘",IF(AND(N(F84)=0,N(G84)=0),"بدون مبلغ ⚠",IF(B84&gt;12,"يتجاوز 12 بنداً في الطباعة ⚠","")))))</f>
        <v/>
      </c>
    </row>
    <row r="85" customFormat="false" ht="15" hidden="false" customHeight="false" outlineLevel="0" collapsed="false">
      <c r="A85" s="58"/>
      <c r="B85" s="68" t="str">
        <f aca="false">IF(A85="","",COUNTIF(A$5:A85,A85))</f>
        <v/>
      </c>
      <c r="C85" s="68" t="str">
        <f aca="false">IF(A85="","",A85&amp;"-"&amp;B85)</f>
        <v/>
      </c>
      <c r="D85" s="58"/>
      <c r="E85" s="57"/>
      <c r="F85" s="69"/>
      <c r="G85" s="69"/>
      <c r="H85" s="70" t="str">
        <f aca="false">IF(A85="","",IFERROR(INDEX(السندات!$C$5:$C$504,MATCH(A85,السندات!$A$5:$A$504,0)),""))</f>
        <v/>
      </c>
      <c r="I85" s="71" t="str">
        <f aca="false">IF(A85="","",IFERROR(INDEX(السندات!$D$5:$D$504,MATCH(A85,السندات!$A$5:$A$504,0)),""))</f>
        <v/>
      </c>
      <c r="J85" s="72" t="str">
        <f aca="false">IF(A85="","",IF(ISNA(MATCH(A85,السندات!$A$5:$A$504,0)),"رقم سند غير موجود ✘",IF(AND(F85&lt;&gt;"",G85&lt;&gt;""),"اكتب مدين أو دائن فقط ✘",IF(AND(N(F85)=0,N(G85)=0),"بدون مبلغ ⚠",IF(B85&gt;12,"يتجاوز 12 بنداً في الطباعة ⚠","")))))</f>
        <v/>
      </c>
    </row>
    <row r="86" customFormat="false" ht="15" hidden="false" customHeight="false" outlineLevel="0" collapsed="false">
      <c r="A86" s="58"/>
      <c r="B86" s="73" t="str">
        <f aca="false">IF(A86="","",COUNTIF(A$5:A86,A86))</f>
        <v/>
      </c>
      <c r="C86" s="73" t="str">
        <f aca="false">IF(A86="","",A86&amp;"-"&amp;B86)</f>
        <v/>
      </c>
      <c r="D86" s="58"/>
      <c r="E86" s="57"/>
      <c r="F86" s="69"/>
      <c r="G86" s="69"/>
      <c r="H86" s="74" t="str">
        <f aca="false">IF(A86="","",IFERROR(INDEX(السندات!$C$5:$C$504,MATCH(A86,السندات!$A$5:$A$504,0)),""))</f>
        <v/>
      </c>
      <c r="I86" s="75" t="str">
        <f aca="false">IF(A86="","",IFERROR(INDEX(السندات!$D$5:$D$504,MATCH(A86,السندات!$A$5:$A$504,0)),""))</f>
        <v/>
      </c>
      <c r="J86" s="76" t="str">
        <f aca="false">IF(A86="","",IF(ISNA(MATCH(A86,السندات!$A$5:$A$504,0)),"رقم سند غير موجود ✘",IF(AND(F86&lt;&gt;"",G86&lt;&gt;""),"اكتب مدين أو دائن فقط ✘",IF(AND(N(F86)=0,N(G86)=0),"بدون مبلغ ⚠",IF(B86&gt;12,"يتجاوز 12 بنداً في الطباعة ⚠","")))))</f>
        <v/>
      </c>
    </row>
    <row r="87" customFormat="false" ht="15" hidden="false" customHeight="false" outlineLevel="0" collapsed="false">
      <c r="A87" s="58"/>
      <c r="B87" s="68" t="str">
        <f aca="false">IF(A87="","",COUNTIF(A$5:A87,A87))</f>
        <v/>
      </c>
      <c r="C87" s="68" t="str">
        <f aca="false">IF(A87="","",A87&amp;"-"&amp;B87)</f>
        <v/>
      </c>
      <c r="D87" s="58"/>
      <c r="E87" s="57"/>
      <c r="F87" s="69"/>
      <c r="G87" s="69"/>
      <c r="H87" s="70" t="str">
        <f aca="false">IF(A87="","",IFERROR(INDEX(السندات!$C$5:$C$504,MATCH(A87,السندات!$A$5:$A$504,0)),""))</f>
        <v/>
      </c>
      <c r="I87" s="71" t="str">
        <f aca="false">IF(A87="","",IFERROR(INDEX(السندات!$D$5:$D$504,MATCH(A87,السندات!$A$5:$A$504,0)),""))</f>
        <v/>
      </c>
      <c r="J87" s="72" t="str">
        <f aca="false">IF(A87="","",IF(ISNA(MATCH(A87,السندات!$A$5:$A$504,0)),"رقم سند غير موجود ✘",IF(AND(F87&lt;&gt;"",G87&lt;&gt;""),"اكتب مدين أو دائن فقط ✘",IF(AND(N(F87)=0,N(G87)=0),"بدون مبلغ ⚠",IF(B87&gt;12,"يتجاوز 12 بنداً في الطباعة ⚠","")))))</f>
        <v/>
      </c>
    </row>
    <row r="88" customFormat="false" ht="15" hidden="false" customHeight="false" outlineLevel="0" collapsed="false">
      <c r="A88" s="58"/>
      <c r="B88" s="73" t="str">
        <f aca="false">IF(A88="","",COUNTIF(A$5:A88,A88))</f>
        <v/>
      </c>
      <c r="C88" s="73" t="str">
        <f aca="false">IF(A88="","",A88&amp;"-"&amp;B88)</f>
        <v/>
      </c>
      <c r="D88" s="58"/>
      <c r="E88" s="57"/>
      <c r="F88" s="69"/>
      <c r="G88" s="69"/>
      <c r="H88" s="74" t="str">
        <f aca="false">IF(A88="","",IFERROR(INDEX(السندات!$C$5:$C$504,MATCH(A88,السندات!$A$5:$A$504,0)),""))</f>
        <v/>
      </c>
      <c r="I88" s="75" t="str">
        <f aca="false">IF(A88="","",IFERROR(INDEX(السندات!$D$5:$D$504,MATCH(A88,السندات!$A$5:$A$504,0)),""))</f>
        <v/>
      </c>
      <c r="J88" s="76" t="str">
        <f aca="false">IF(A88="","",IF(ISNA(MATCH(A88,السندات!$A$5:$A$504,0)),"رقم سند غير موجود ✘",IF(AND(F88&lt;&gt;"",G88&lt;&gt;""),"اكتب مدين أو دائن فقط ✘",IF(AND(N(F88)=0,N(G88)=0),"بدون مبلغ ⚠",IF(B88&gt;12,"يتجاوز 12 بنداً في الطباعة ⚠","")))))</f>
        <v/>
      </c>
    </row>
    <row r="89" customFormat="false" ht="15" hidden="false" customHeight="false" outlineLevel="0" collapsed="false">
      <c r="A89" s="58"/>
      <c r="B89" s="68" t="str">
        <f aca="false">IF(A89="","",COUNTIF(A$5:A89,A89))</f>
        <v/>
      </c>
      <c r="C89" s="68" t="str">
        <f aca="false">IF(A89="","",A89&amp;"-"&amp;B89)</f>
        <v/>
      </c>
      <c r="D89" s="58"/>
      <c r="E89" s="57"/>
      <c r="F89" s="69"/>
      <c r="G89" s="69"/>
      <c r="H89" s="70" t="str">
        <f aca="false">IF(A89="","",IFERROR(INDEX(السندات!$C$5:$C$504,MATCH(A89,السندات!$A$5:$A$504,0)),""))</f>
        <v/>
      </c>
      <c r="I89" s="71" t="str">
        <f aca="false">IF(A89="","",IFERROR(INDEX(السندات!$D$5:$D$504,MATCH(A89,السندات!$A$5:$A$504,0)),""))</f>
        <v/>
      </c>
      <c r="J89" s="72" t="str">
        <f aca="false">IF(A89="","",IF(ISNA(MATCH(A89,السندات!$A$5:$A$504,0)),"رقم سند غير موجود ✘",IF(AND(F89&lt;&gt;"",G89&lt;&gt;""),"اكتب مدين أو دائن فقط ✘",IF(AND(N(F89)=0,N(G89)=0),"بدون مبلغ ⚠",IF(B89&gt;12,"يتجاوز 12 بنداً في الطباعة ⚠","")))))</f>
        <v/>
      </c>
    </row>
    <row r="90" customFormat="false" ht="15" hidden="false" customHeight="false" outlineLevel="0" collapsed="false">
      <c r="A90" s="58"/>
      <c r="B90" s="73" t="str">
        <f aca="false">IF(A90="","",COUNTIF(A$5:A90,A90))</f>
        <v/>
      </c>
      <c r="C90" s="73" t="str">
        <f aca="false">IF(A90="","",A90&amp;"-"&amp;B90)</f>
        <v/>
      </c>
      <c r="D90" s="58"/>
      <c r="E90" s="57"/>
      <c r="F90" s="69"/>
      <c r="G90" s="69"/>
      <c r="H90" s="74" t="str">
        <f aca="false">IF(A90="","",IFERROR(INDEX(السندات!$C$5:$C$504,MATCH(A90,السندات!$A$5:$A$504,0)),""))</f>
        <v/>
      </c>
      <c r="I90" s="75" t="str">
        <f aca="false">IF(A90="","",IFERROR(INDEX(السندات!$D$5:$D$504,MATCH(A90,السندات!$A$5:$A$504,0)),""))</f>
        <v/>
      </c>
      <c r="J90" s="76" t="str">
        <f aca="false">IF(A90="","",IF(ISNA(MATCH(A90,السندات!$A$5:$A$504,0)),"رقم سند غير موجود ✘",IF(AND(F90&lt;&gt;"",G90&lt;&gt;""),"اكتب مدين أو دائن فقط ✘",IF(AND(N(F90)=0,N(G90)=0),"بدون مبلغ ⚠",IF(B90&gt;12,"يتجاوز 12 بنداً في الطباعة ⚠","")))))</f>
        <v/>
      </c>
    </row>
    <row r="91" customFormat="false" ht="15" hidden="false" customHeight="false" outlineLevel="0" collapsed="false">
      <c r="A91" s="58"/>
      <c r="B91" s="68" t="str">
        <f aca="false">IF(A91="","",COUNTIF(A$5:A91,A91))</f>
        <v/>
      </c>
      <c r="C91" s="68" t="str">
        <f aca="false">IF(A91="","",A91&amp;"-"&amp;B91)</f>
        <v/>
      </c>
      <c r="D91" s="58"/>
      <c r="E91" s="57"/>
      <c r="F91" s="69"/>
      <c r="G91" s="69"/>
      <c r="H91" s="70" t="str">
        <f aca="false">IF(A91="","",IFERROR(INDEX(السندات!$C$5:$C$504,MATCH(A91,السندات!$A$5:$A$504,0)),""))</f>
        <v/>
      </c>
      <c r="I91" s="71" t="str">
        <f aca="false">IF(A91="","",IFERROR(INDEX(السندات!$D$5:$D$504,MATCH(A91,السندات!$A$5:$A$504,0)),""))</f>
        <v/>
      </c>
      <c r="J91" s="72" t="str">
        <f aca="false">IF(A91="","",IF(ISNA(MATCH(A91,السندات!$A$5:$A$504,0)),"رقم سند غير موجود ✘",IF(AND(F91&lt;&gt;"",G91&lt;&gt;""),"اكتب مدين أو دائن فقط ✘",IF(AND(N(F91)=0,N(G91)=0),"بدون مبلغ ⚠",IF(B91&gt;12,"يتجاوز 12 بنداً في الطباعة ⚠","")))))</f>
        <v/>
      </c>
    </row>
    <row r="92" customFormat="false" ht="15" hidden="false" customHeight="false" outlineLevel="0" collapsed="false">
      <c r="A92" s="58"/>
      <c r="B92" s="73" t="str">
        <f aca="false">IF(A92="","",COUNTIF(A$5:A92,A92))</f>
        <v/>
      </c>
      <c r="C92" s="73" t="str">
        <f aca="false">IF(A92="","",A92&amp;"-"&amp;B92)</f>
        <v/>
      </c>
      <c r="D92" s="58"/>
      <c r="E92" s="57"/>
      <c r="F92" s="69"/>
      <c r="G92" s="69"/>
      <c r="H92" s="74" t="str">
        <f aca="false">IF(A92="","",IFERROR(INDEX(السندات!$C$5:$C$504,MATCH(A92,السندات!$A$5:$A$504,0)),""))</f>
        <v/>
      </c>
      <c r="I92" s="75" t="str">
        <f aca="false">IF(A92="","",IFERROR(INDEX(السندات!$D$5:$D$504,MATCH(A92,السندات!$A$5:$A$504,0)),""))</f>
        <v/>
      </c>
      <c r="J92" s="76" t="str">
        <f aca="false">IF(A92="","",IF(ISNA(MATCH(A92,السندات!$A$5:$A$504,0)),"رقم سند غير موجود ✘",IF(AND(F92&lt;&gt;"",G92&lt;&gt;""),"اكتب مدين أو دائن فقط ✘",IF(AND(N(F92)=0,N(G92)=0),"بدون مبلغ ⚠",IF(B92&gt;12,"يتجاوز 12 بنداً في الطباعة ⚠","")))))</f>
        <v/>
      </c>
    </row>
    <row r="93" customFormat="false" ht="15" hidden="false" customHeight="false" outlineLevel="0" collapsed="false">
      <c r="A93" s="58"/>
      <c r="B93" s="68" t="str">
        <f aca="false">IF(A93="","",COUNTIF(A$5:A93,A93))</f>
        <v/>
      </c>
      <c r="C93" s="68" t="str">
        <f aca="false">IF(A93="","",A93&amp;"-"&amp;B93)</f>
        <v/>
      </c>
      <c r="D93" s="58"/>
      <c r="E93" s="57"/>
      <c r="F93" s="69"/>
      <c r="G93" s="69"/>
      <c r="H93" s="70" t="str">
        <f aca="false">IF(A93="","",IFERROR(INDEX(السندات!$C$5:$C$504,MATCH(A93,السندات!$A$5:$A$504,0)),""))</f>
        <v/>
      </c>
      <c r="I93" s="71" t="str">
        <f aca="false">IF(A93="","",IFERROR(INDEX(السندات!$D$5:$D$504,MATCH(A93,السندات!$A$5:$A$504,0)),""))</f>
        <v/>
      </c>
      <c r="J93" s="72" t="str">
        <f aca="false">IF(A93="","",IF(ISNA(MATCH(A93,السندات!$A$5:$A$504,0)),"رقم سند غير موجود ✘",IF(AND(F93&lt;&gt;"",G93&lt;&gt;""),"اكتب مدين أو دائن فقط ✘",IF(AND(N(F93)=0,N(G93)=0),"بدون مبلغ ⚠",IF(B93&gt;12,"يتجاوز 12 بنداً في الطباعة ⚠","")))))</f>
        <v/>
      </c>
    </row>
    <row r="94" customFormat="false" ht="15" hidden="false" customHeight="false" outlineLevel="0" collapsed="false">
      <c r="A94" s="58"/>
      <c r="B94" s="73" t="str">
        <f aca="false">IF(A94="","",COUNTIF(A$5:A94,A94))</f>
        <v/>
      </c>
      <c r="C94" s="73" t="str">
        <f aca="false">IF(A94="","",A94&amp;"-"&amp;B94)</f>
        <v/>
      </c>
      <c r="D94" s="58"/>
      <c r="E94" s="57"/>
      <c r="F94" s="69"/>
      <c r="G94" s="69"/>
      <c r="H94" s="74" t="str">
        <f aca="false">IF(A94="","",IFERROR(INDEX(السندات!$C$5:$C$504,MATCH(A94,السندات!$A$5:$A$504,0)),""))</f>
        <v/>
      </c>
      <c r="I94" s="75" t="str">
        <f aca="false">IF(A94="","",IFERROR(INDEX(السندات!$D$5:$D$504,MATCH(A94,السندات!$A$5:$A$504,0)),""))</f>
        <v/>
      </c>
      <c r="J94" s="76" t="str">
        <f aca="false">IF(A94="","",IF(ISNA(MATCH(A94,السندات!$A$5:$A$504,0)),"رقم سند غير موجود ✘",IF(AND(F94&lt;&gt;"",G94&lt;&gt;""),"اكتب مدين أو دائن فقط ✘",IF(AND(N(F94)=0,N(G94)=0),"بدون مبلغ ⚠",IF(B94&gt;12,"يتجاوز 12 بنداً في الطباعة ⚠","")))))</f>
        <v/>
      </c>
    </row>
    <row r="95" customFormat="false" ht="15" hidden="false" customHeight="false" outlineLevel="0" collapsed="false">
      <c r="A95" s="58"/>
      <c r="B95" s="68" t="str">
        <f aca="false">IF(A95="","",COUNTIF(A$5:A95,A95))</f>
        <v/>
      </c>
      <c r="C95" s="68" t="str">
        <f aca="false">IF(A95="","",A95&amp;"-"&amp;B95)</f>
        <v/>
      </c>
      <c r="D95" s="58"/>
      <c r="E95" s="57"/>
      <c r="F95" s="69"/>
      <c r="G95" s="69"/>
      <c r="H95" s="70" t="str">
        <f aca="false">IF(A95="","",IFERROR(INDEX(السندات!$C$5:$C$504,MATCH(A95,السندات!$A$5:$A$504,0)),""))</f>
        <v/>
      </c>
      <c r="I95" s="71" t="str">
        <f aca="false">IF(A95="","",IFERROR(INDEX(السندات!$D$5:$D$504,MATCH(A95,السندات!$A$5:$A$504,0)),""))</f>
        <v/>
      </c>
      <c r="J95" s="72" t="str">
        <f aca="false">IF(A95="","",IF(ISNA(MATCH(A95,السندات!$A$5:$A$504,0)),"رقم سند غير موجود ✘",IF(AND(F95&lt;&gt;"",G95&lt;&gt;""),"اكتب مدين أو دائن فقط ✘",IF(AND(N(F95)=0,N(G95)=0),"بدون مبلغ ⚠",IF(B95&gt;12,"يتجاوز 12 بنداً في الطباعة ⚠","")))))</f>
        <v/>
      </c>
    </row>
    <row r="96" customFormat="false" ht="15" hidden="false" customHeight="false" outlineLevel="0" collapsed="false">
      <c r="A96" s="58"/>
      <c r="B96" s="73" t="str">
        <f aca="false">IF(A96="","",COUNTIF(A$5:A96,A96))</f>
        <v/>
      </c>
      <c r="C96" s="73" t="str">
        <f aca="false">IF(A96="","",A96&amp;"-"&amp;B96)</f>
        <v/>
      </c>
      <c r="D96" s="58"/>
      <c r="E96" s="57"/>
      <c r="F96" s="69"/>
      <c r="G96" s="69"/>
      <c r="H96" s="74" t="str">
        <f aca="false">IF(A96="","",IFERROR(INDEX(السندات!$C$5:$C$504,MATCH(A96,السندات!$A$5:$A$504,0)),""))</f>
        <v/>
      </c>
      <c r="I96" s="75" t="str">
        <f aca="false">IF(A96="","",IFERROR(INDEX(السندات!$D$5:$D$504,MATCH(A96,السندات!$A$5:$A$504,0)),""))</f>
        <v/>
      </c>
      <c r="J96" s="76" t="str">
        <f aca="false">IF(A96="","",IF(ISNA(MATCH(A96,السندات!$A$5:$A$504,0)),"رقم سند غير موجود ✘",IF(AND(F96&lt;&gt;"",G96&lt;&gt;""),"اكتب مدين أو دائن فقط ✘",IF(AND(N(F96)=0,N(G96)=0),"بدون مبلغ ⚠",IF(B96&gt;12,"يتجاوز 12 بنداً في الطباعة ⚠","")))))</f>
        <v/>
      </c>
    </row>
    <row r="97" customFormat="false" ht="15" hidden="false" customHeight="false" outlineLevel="0" collapsed="false">
      <c r="A97" s="58"/>
      <c r="B97" s="68" t="str">
        <f aca="false">IF(A97="","",COUNTIF(A$5:A97,A97))</f>
        <v/>
      </c>
      <c r="C97" s="68" t="str">
        <f aca="false">IF(A97="","",A97&amp;"-"&amp;B97)</f>
        <v/>
      </c>
      <c r="D97" s="58"/>
      <c r="E97" s="57"/>
      <c r="F97" s="69"/>
      <c r="G97" s="69"/>
      <c r="H97" s="70" t="str">
        <f aca="false">IF(A97="","",IFERROR(INDEX(السندات!$C$5:$C$504,MATCH(A97,السندات!$A$5:$A$504,0)),""))</f>
        <v/>
      </c>
      <c r="I97" s="71" t="str">
        <f aca="false">IF(A97="","",IFERROR(INDEX(السندات!$D$5:$D$504,MATCH(A97,السندات!$A$5:$A$504,0)),""))</f>
        <v/>
      </c>
      <c r="J97" s="72" t="str">
        <f aca="false">IF(A97="","",IF(ISNA(MATCH(A97,السندات!$A$5:$A$504,0)),"رقم سند غير موجود ✘",IF(AND(F97&lt;&gt;"",G97&lt;&gt;""),"اكتب مدين أو دائن فقط ✘",IF(AND(N(F97)=0,N(G97)=0),"بدون مبلغ ⚠",IF(B97&gt;12,"يتجاوز 12 بنداً في الطباعة ⚠","")))))</f>
        <v/>
      </c>
    </row>
    <row r="98" customFormat="false" ht="15" hidden="false" customHeight="false" outlineLevel="0" collapsed="false">
      <c r="A98" s="58"/>
      <c r="B98" s="73" t="str">
        <f aca="false">IF(A98="","",COUNTIF(A$5:A98,A98))</f>
        <v/>
      </c>
      <c r="C98" s="73" t="str">
        <f aca="false">IF(A98="","",A98&amp;"-"&amp;B98)</f>
        <v/>
      </c>
      <c r="D98" s="58"/>
      <c r="E98" s="57"/>
      <c r="F98" s="69"/>
      <c r="G98" s="69"/>
      <c r="H98" s="74" t="str">
        <f aca="false">IF(A98="","",IFERROR(INDEX(السندات!$C$5:$C$504,MATCH(A98,السندات!$A$5:$A$504,0)),""))</f>
        <v/>
      </c>
      <c r="I98" s="75" t="str">
        <f aca="false">IF(A98="","",IFERROR(INDEX(السندات!$D$5:$D$504,MATCH(A98,السندات!$A$5:$A$504,0)),""))</f>
        <v/>
      </c>
      <c r="J98" s="76" t="str">
        <f aca="false">IF(A98="","",IF(ISNA(MATCH(A98,السندات!$A$5:$A$504,0)),"رقم سند غير موجود ✘",IF(AND(F98&lt;&gt;"",G98&lt;&gt;""),"اكتب مدين أو دائن فقط ✘",IF(AND(N(F98)=0,N(G98)=0),"بدون مبلغ ⚠",IF(B98&gt;12,"يتجاوز 12 بنداً في الطباعة ⚠","")))))</f>
        <v/>
      </c>
    </row>
    <row r="99" customFormat="false" ht="15" hidden="false" customHeight="false" outlineLevel="0" collapsed="false">
      <c r="A99" s="58"/>
      <c r="B99" s="68" t="str">
        <f aca="false">IF(A99="","",COUNTIF(A$5:A99,A99))</f>
        <v/>
      </c>
      <c r="C99" s="68" t="str">
        <f aca="false">IF(A99="","",A99&amp;"-"&amp;B99)</f>
        <v/>
      </c>
      <c r="D99" s="58"/>
      <c r="E99" s="57"/>
      <c r="F99" s="69"/>
      <c r="G99" s="69"/>
      <c r="H99" s="70" t="str">
        <f aca="false">IF(A99="","",IFERROR(INDEX(السندات!$C$5:$C$504,MATCH(A99,السندات!$A$5:$A$504,0)),""))</f>
        <v/>
      </c>
      <c r="I99" s="71" t="str">
        <f aca="false">IF(A99="","",IFERROR(INDEX(السندات!$D$5:$D$504,MATCH(A99,السندات!$A$5:$A$504,0)),""))</f>
        <v/>
      </c>
      <c r="J99" s="72" t="str">
        <f aca="false">IF(A99="","",IF(ISNA(MATCH(A99,السندات!$A$5:$A$504,0)),"رقم سند غير موجود ✘",IF(AND(F99&lt;&gt;"",G99&lt;&gt;""),"اكتب مدين أو دائن فقط ✘",IF(AND(N(F99)=0,N(G99)=0),"بدون مبلغ ⚠",IF(B99&gt;12,"يتجاوز 12 بنداً في الطباعة ⚠","")))))</f>
        <v/>
      </c>
    </row>
    <row r="100" customFormat="false" ht="15" hidden="false" customHeight="false" outlineLevel="0" collapsed="false">
      <c r="A100" s="58"/>
      <c r="B100" s="73" t="str">
        <f aca="false">IF(A100="","",COUNTIF(A$5:A100,A100))</f>
        <v/>
      </c>
      <c r="C100" s="73" t="str">
        <f aca="false">IF(A100="","",A100&amp;"-"&amp;B100)</f>
        <v/>
      </c>
      <c r="D100" s="58"/>
      <c r="E100" s="57"/>
      <c r="F100" s="69"/>
      <c r="G100" s="69"/>
      <c r="H100" s="74" t="str">
        <f aca="false">IF(A100="","",IFERROR(INDEX(السندات!$C$5:$C$504,MATCH(A100,السندات!$A$5:$A$504,0)),""))</f>
        <v/>
      </c>
      <c r="I100" s="75" t="str">
        <f aca="false">IF(A100="","",IFERROR(INDEX(السندات!$D$5:$D$504,MATCH(A100,السندات!$A$5:$A$504,0)),""))</f>
        <v/>
      </c>
      <c r="J100" s="76" t="str">
        <f aca="false">IF(A100="","",IF(ISNA(MATCH(A100,السندات!$A$5:$A$504,0)),"رقم سند غير موجود ✘",IF(AND(F100&lt;&gt;"",G100&lt;&gt;""),"اكتب مدين أو دائن فقط ✘",IF(AND(N(F100)=0,N(G100)=0),"بدون مبلغ ⚠",IF(B100&gt;12,"يتجاوز 12 بنداً في الطباعة ⚠","")))))</f>
        <v/>
      </c>
    </row>
    <row r="101" customFormat="false" ht="15" hidden="false" customHeight="false" outlineLevel="0" collapsed="false">
      <c r="A101" s="58"/>
      <c r="B101" s="68" t="str">
        <f aca="false">IF(A101="","",COUNTIF(A$5:A101,A101))</f>
        <v/>
      </c>
      <c r="C101" s="68" t="str">
        <f aca="false">IF(A101="","",A101&amp;"-"&amp;B101)</f>
        <v/>
      </c>
      <c r="D101" s="58"/>
      <c r="E101" s="57"/>
      <c r="F101" s="69"/>
      <c r="G101" s="69"/>
      <c r="H101" s="70" t="str">
        <f aca="false">IF(A101="","",IFERROR(INDEX(السندات!$C$5:$C$504,MATCH(A101,السندات!$A$5:$A$504,0)),""))</f>
        <v/>
      </c>
      <c r="I101" s="71" t="str">
        <f aca="false">IF(A101="","",IFERROR(INDEX(السندات!$D$5:$D$504,MATCH(A101,السندات!$A$5:$A$504,0)),""))</f>
        <v/>
      </c>
      <c r="J101" s="72" t="str">
        <f aca="false">IF(A101="","",IF(ISNA(MATCH(A101,السندات!$A$5:$A$504,0)),"رقم سند غير موجود ✘",IF(AND(F101&lt;&gt;"",G101&lt;&gt;""),"اكتب مدين أو دائن فقط ✘",IF(AND(N(F101)=0,N(G101)=0),"بدون مبلغ ⚠",IF(B101&gt;12,"يتجاوز 12 بنداً في الطباعة ⚠","")))))</f>
        <v/>
      </c>
    </row>
    <row r="102" customFormat="false" ht="15" hidden="false" customHeight="false" outlineLevel="0" collapsed="false">
      <c r="A102" s="58"/>
      <c r="B102" s="73" t="str">
        <f aca="false">IF(A102="","",COUNTIF(A$5:A102,A102))</f>
        <v/>
      </c>
      <c r="C102" s="73" t="str">
        <f aca="false">IF(A102="","",A102&amp;"-"&amp;B102)</f>
        <v/>
      </c>
      <c r="D102" s="58"/>
      <c r="E102" s="57"/>
      <c r="F102" s="69"/>
      <c r="G102" s="69"/>
      <c r="H102" s="74" t="str">
        <f aca="false">IF(A102="","",IFERROR(INDEX(السندات!$C$5:$C$504,MATCH(A102,السندات!$A$5:$A$504,0)),""))</f>
        <v/>
      </c>
      <c r="I102" s="75" t="str">
        <f aca="false">IF(A102="","",IFERROR(INDEX(السندات!$D$5:$D$504,MATCH(A102,السندات!$A$5:$A$504,0)),""))</f>
        <v/>
      </c>
      <c r="J102" s="76" t="str">
        <f aca="false">IF(A102="","",IF(ISNA(MATCH(A102,السندات!$A$5:$A$504,0)),"رقم سند غير موجود ✘",IF(AND(F102&lt;&gt;"",G102&lt;&gt;""),"اكتب مدين أو دائن فقط ✘",IF(AND(N(F102)=0,N(G102)=0),"بدون مبلغ ⚠",IF(B102&gt;12,"يتجاوز 12 بنداً في الطباعة ⚠","")))))</f>
        <v/>
      </c>
    </row>
    <row r="103" customFormat="false" ht="15" hidden="false" customHeight="false" outlineLevel="0" collapsed="false">
      <c r="A103" s="58"/>
      <c r="B103" s="68" t="str">
        <f aca="false">IF(A103="","",COUNTIF(A$5:A103,A103))</f>
        <v/>
      </c>
      <c r="C103" s="68" t="str">
        <f aca="false">IF(A103="","",A103&amp;"-"&amp;B103)</f>
        <v/>
      </c>
      <c r="D103" s="58"/>
      <c r="E103" s="57"/>
      <c r="F103" s="69"/>
      <c r="G103" s="69"/>
      <c r="H103" s="70" t="str">
        <f aca="false">IF(A103="","",IFERROR(INDEX(السندات!$C$5:$C$504,MATCH(A103,السندات!$A$5:$A$504,0)),""))</f>
        <v/>
      </c>
      <c r="I103" s="71" t="str">
        <f aca="false">IF(A103="","",IFERROR(INDEX(السندات!$D$5:$D$504,MATCH(A103,السندات!$A$5:$A$504,0)),""))</f>
        <v/>
      </c>
      <c r="J103" s="72" t="str">
        <f aca="false">IF(A103="","",IF(ISNA(MATCH(A103,السندات!$A$5:$A$504,0)),"رقم سند غير موجود ✘",IF(AND(F103&lt;&gt;"",G103&lt;&gt;""),"اكتب مدين أو دائن فقط ✘",IF(AND(N(F103)=0,N(G103)=0),"بدون مبلغ ⚠",IF(B103&gt;12,"يتجاوز 12 بنداً في الطباعة ⚠","")))))</f>
        <v/>
      </c>
    </row>
    <row r="104" customFormat="false" ht="15" hidden="false" customHeight="false" outlineLevel="0" collapsed="false">
      <c r="A104" s="58"/>
      <c r="B104" s="73" t="str">
        <f aca="false">IF(A104="","",COUNTIF(A$5:A104,A104))</f>
        <v/>
      </c>
      <c r="C104" s="73" t="str">
        <f aca="false">IF(A104="","",A104&amp;"-"&amp;B104)</f>
        <v/>
      </c>
      <c r="D104" s="58"/>
      <c r="E104" s="57"/>
      <c r="F104" s="69"/>
      <c r="G104" s="69"/>
      <c r="H104" s="74" t="str">
        <f aca="false">IF(A104="","",IFERROR(INDEX(السندات!$C$5:$C$504,MATCH(A104,السندات!$A$5:$A$504,0)),""))</f>
        <v/>
      </c>
      <c r="I104" s="75" t="str">
        <f aca="false">IF(A104="","",IFERROR(INDEX(السندات!$D$5:$D$504,MATCH(A104,السندات!$A$5:$A$504,0)),""))</f>
        <v/>
      </c>
      <c r="J104" s="76" t="str">
        <f aca="false">IF(A104="","",IF(ISNA(MATCH(A104,السندات!$A$5:$A$504,0)),"رقم سند غير موجود ✘",IF(AND(F104&lt;&gt;"",G104&lt;&gt;""),"اكتب مدين أو دائن فقط ✘",IF(AND(N(F104)=0,N(G104)=0),"بدون مبلغ ⚠",IF(B104&gt;12,"يتجاوز 12 بنداً في الطباعة ⚠","")))))</f>
        <v/>
      </c>
    </row>
    <row r="105" customFormat="false" ht="15" hidden="false" customHeight="false" outlineLevel="0" collapsed="false">
      <c r="A105" s="58"/>
      <c r="B105" s="68" t="str">
        <f aca="false">IF(A105="","",COUNTIF(A$5:A105,A105))</f>
        <v/>
      </c>
      <c r="C105" s="68" t="str">
        <f aca="false">IF(A105="","",A105&amp;"-"&amp;B105)</f>
        <v/>
      </c>
      <c r="D105" s="58"/>
      <c r="E105" s="57"/>
      <c r="F105" s="69"/>
      <c r="G105" s="69"/>
      <c r="H105" s="70" t="str">
        <f aca="false">IF(A105="","",IFERROR(INDEX(السندات!$C$5:$C$504,MATCH(A105,السندات!$A$5:$A$504,0)),""))</f>
        <v/>
      </c>
      <c r="I105" s="71" t="str">
        <f aca="false">IF(A105="","",IFERROR(INDEX(السندات!$D$5:$D$504,MATCH(A105,السندات!$A$5:$A$504,0)),""))</f>
        <v/>
      </c>
      <c r="J105" s="72" t="str">
        <f aca="false">IF(A105="","",IF(ISNA(MATCH(A105,السندات!$A$5:$A$504,0)),"رقم سند غير موجود ✘",IF(AND(F105&lt;&gt;"",G105&lt;&gt;""),"اكتب مدين أو دائن فقط ✘",IF(AND(N(F105)=0,N(G105)=0),"بدون مبلغ ⚠",IF(B105&gt;12,"يتجاوز 12 بنداً في الطباعة ⚠","")))))</f>
        <v/>
      </c>
    </row>
    <row r="106" customFormat="false" ht="15" hidden="false" customHeight="false" outlineLevel="0" collapsed="false">
      <c r="A106" s="58"/>
      <c r="B106" s="73" t="str">
        <f aca="false">IF(A106="","",COUNTIF(A$5:A106,A106))</f>
        <v/>
      </c>
      <c r="C106" s="73" t="str">
        <f aca="false">IF(A106="","",A106&amp;"-"&amp;B106)</f>
        <v/>
      </c>
      <c r="D106" s="58"/>
      <c r="E106" s="57"/>
      <c r="F106" s="69"/>
      <c r="G106" s="69"/>
      <c r="H106" s="74" t="str">
        <f aca="false">IF(A106="","",IFERROR(INDEX(السندات!$C$5:$C$504,MATCH(A106,السندات!$A$5:$A$504,0)),""))</f>
        <v/>
      </c>
      <c r="I106" s="75" t="str">
        <f aca="false">IF(A106="","",IFERROR(INDEX(السندات!$D$5:$D$504,MATCH(A106,السندات!$A$5:$A$504,0)),""))</f>
        <v/>
      </c>
      <c r="J106" s="76" t="str">
        <f aca="false">IF(A106="","",IF(ISNA(MATCH(A106,السندات!$A$5:$A$504,0)),"رقم سند غير موجود ✘",IF(AND(F106&lt;&gt;"",G106&lt;&gt;""),"اكتب مدين أو دائن فقط ✘",IF(AND(N(F106)=0,N(G106)=0),"بدون مبلغ ⚠",IF(B106&gt;12,"يتجاوز 12 بنداً في الطباعة ⚠","")))))</f>
        <v/>
      </c>
    </row>
    <row r="107" customFormat="false" ht="15" hidden="false" customHeight="false" outlineLevel="0" collapsed="false">
      <c r="A107" s="58"/>
      <c r="B107" s="68" t="str">
        <f aca="false">IF(A107="","",COUNTIF(A$5:A107,A107))</f>
        <v/>
      </c>
      <c r="C107" s="68" t="str">
        <f aca="false">IF(A107="","",A107&amp;"-"&amp;B107)</f>
        <v/>
      </c>
      <c r="D107" s="58"/>
      <c r="E107" s="57"/>
      <c r="F107" s="69"/>
      <c r="G107" s="69"/>
      <c r="H107" s="70" t="str">
        <f aca="false">IF(A107="","",IFERROR(INDEX(السندات!$C$5:$C$504,MATCH(A107,السندات!$A$5:$A$504,0)),""))</f>
        <v/>
      </c>
      <c r="I107" s="71" t="str">
        <f aca="false">IF(A107="","",IFERROR(INDEX(السندات!$D$5:$D$504,MATCH(A107,السندات!$A$5:$A$504,0)),""))</f>
        <v/>
      </c>
      <c r="J107" s="72" t="str">
        <f aca="false">IF(A107="","",IF(ISNA(MATCH(A107,السندات!$A$5:$A$504,0)),"رقم سند غير موجود ✘",IF(AND(F107&lt;&gt;"",G107&lt;&gt;""),"اكتب مدين أو دائن فقط ✘",IF(AND(N(F107)=0,N(G107)=0),"بدون مبلغ ⚠",IF(B107&gt;12,"يتجاوز 12 بنداً في الطباعة ⚠","")))))</f>
        <v/>
      </c>
    </row>
    <row r="108" customFormat="false" ht="15" hidden="false" customHeight="false" outlineLevel="0" collapsed="false">
      <c r="A108" s="58"/>
      <c r="B108" s="73" t="str">
        <f aca="false">IF(A108="","",COUNTIF(A$5:A108,A108))</f>
        <v/>
      </c>
      <c r="C108" s="73" t="str">
        <f aca="false">IF(A108="","",A108&amp;"-"&amp;B108)</f>
        <v/>
      </c>
      <c r="D108" s="58"/>
      <c r="E108" s="57"/>
      <c r="F108" s="69"/>
      <c r="G108" s="69"/>
      <c r="H108" s="74" t="str">
        <f aca="false">IF(A108="","",IFERROR(INDEX(السندات!$C$5:$C$504,MATCH(A108,السندات!$A$5:$A$504,0)),""))</f>
        <v/>
      </c>
      <c r="I108" s="75" t="str">
        <f aca="false">IF(A108="","",IFERROR(INDEX(السندات!$D$5:$D$504,MATCH(A108,السندات!$A$5:$A$504,0)),""))</f>
        <v/>
      </c>
      <c r="J108" s="76" t="str">
        <f aca="false">IF(A108="","",IF(ISNA(MATCH(A108,السندات!$A$5:$A$504,0)),"رقم سند غير موجود ✘",IF(AND(F108&lt;&gt;"",G108&lt;&gt;""),"اكتب مدين أو دائن فقط ✘",IF(AND(N(F108)=0,N(G108)=0),"بدون مبلغ ⚠",IF(B108&gt;12,"يتجاوز 12 بنداً في الطباعة ⚠","")))))</f>
        <v/>
      </c>
    </row>
    <row r="109" customFormat="false" ht="15" hidden="false" customHeight="false" outlineLevel="0" collapsed="false">
      <c r="A109" s="58"/>
      <c r="B109" s="68" t="str">
        <f aca="false">IF(A109="","",COUNTIF(A$5:A109,A109))</f>
        <v/>
      </c>
      <c r="C109" s="68" t="str">
        <f aca="false">IF(A109="","",A109&amp;"-"&amp;B109)</f>
        <v/>
      </c>
      <c r="D109" s="58"/>
      <c r="E109" s="57"/>
      <c r="F109" s="69"/>
      <c r="G109" s="69"/>
      <c r="H109" s="70" t="str">
        <f aca="false">IF(A109="","",IFERROR(INDEX(السندات!$C$5:$C$504,MATCH(A109,السندات!$A$5:$A$504,0)),""))</f>
        <v/>
      </c>
      <c r="I109" s="71" t="str">
        <f aca="false">IF(A109="","",IFERROR(INDEX(السندات!$D$5:$D$504,MATCH(A109,السندات!$A$5:$A$504,0)),""))</f>
        <v/>
      </c>
      <c r="J109" s="72" t="str">
        <f aca="false">IF(A109="","",IF(ISNA(MATCH(A109,السندات!$A$5:$A$504,0)),"رقم سند غير موجود ✘",IF(AND(F109&lt;&gt;"",G109&lt;&gt;""),"اكتب مدين أو دائن فقط ✘",IF(AND(N(F109)=0,N(G109)=0),"بدون مبلغ ⚠",IF(B109&gt;12,"يتجاوز 12 بنداً في الطباعة ⚠","")))))</f>
        <v/>
      </c>
    </row>
    <row r="110" customFormat="false" ht="15" hidden="false" customHeight="false" outlineLevel="0" collapsed="false">
      <c r="A110" s="58"/>
      <c r="B110" s="73" t="str">
        <f aca="false">IF(A110="","",COUNTIF(A$5:A110,A110))</f>
        <v/>
      </c>
      <c r="C110" s="73" t="str">
        <f aca="false">IF(A110="","",A110&amp;"-"&amp;B110)</f>
        <v/>
      </c>
      <c r="D110" s="58"/>
      <c r="E110" s="57"/>
      <c r="F110" s="69"/>
      <c r="G110" s="69"/>
      <c r="H110" s="74" t="str">
        <f aca="false">IF(A110="","",IFERROR(INDEX(السندات!$C$5:$C$504,MATCH(A110,السندات!$A$5:$A$504,0)),""))</f>
        <v/>
      </c>
      <c r="I110" s="75" t="str">
        <f aca="false">IF(A110="","",IFERROR(INDEX(السندات!$D$5:$D$504,MATCH(A110,السندات!$A$5:$A$504,0)),""))</f>
        <v/>
      </c>
      <c r="J110" s="76" t="str">
        <f aca="false">IF(A110="","",IF(ISNA(MATCH(A110,السندات!$A$5:$A$504,0)),"رقم سند غير موجود ✘",IF(AND(F110&lt;&gt;"",G110&lt;&gt;""),"اكتب مدين أو دائن فقط ✘",IF(AND(N(F110)=0,N(G110)=0),"بدون مبلغ ⚠",IF(B110&gt;12,"يتجاوز 12 بنداً في الطباعة ⚠","")))))</f>
        <v/>
      </c>
    </row>
    <row r="111" customFormat="false" ht="15" hidden="false" customHeight="false" outlineLevel="0" collapsed="false">
      <c r="A111" s="58"/>
      <c r="B111" s="68" t="str">
        <f aca="false">IF(A111="","",COUNTIF(A$5:A111,A111))</f>
        <v/>
      </c>
      <c r="C111" s="68" t="str">
        <f aca="false">IF(A111="","",A111&amp;"-"&amp;B111)</f>
        <v/>
      </c>
      <c r="D111" s="58"/>
      <c r="E111" s="57"/>
      <c r="F111" s="69"/>
      <c r="G111" s="69"/>
      <c r="H111" s="70" t="str">
        <f aca="false">IF(A111="","",IFERROR(INDEX(السندات!$C$5:$C$504,MATCH(A111,السندات!$A$5:$A$504,0)),""))</f>
        <v/>
      </c>
      <c r="I111" s="71" t="str">
        <f aca="false">IF(A111="","",IFERROR(INDEX(السندات!$D$5:$D$504,MATCH(A111,السندات!$A$5:$A$504,0)),""))</f>
        <v/>
      </c>
      <c r="J111" s="72" t="str">
        <f aca="false">IF(A111="","",IF(ISNA(MATCH(A111,السندات!$A$5:$A$504,0)),"رقم سند غير موجود ✘",IF(AND(F111&lt;&gt;"",G111&lt;&gt;""),"اكتب مدين أو دائن فقط ✘",IF(AND(N(F111)=0,N(G111)=0),"بدون مبلغ ⚠",IF(B111&gt;12,"يتجاوز 12 بنداً في الطباعة ⚠","")))))</f>
        <v/>
      </c>
    </row>
    <row r="112" customFormat="false" ht="15" hidden="false" customHeight="false" outlineLevel="0" collapsed="false">
      <c r="A112" s="58"/>
      <c r="B112" s="73" t="str">
        <f aca="false">IF(A112="","",COUNTIF(A$5:A112,A112))</f>
        <v/>
      </c>
      <c r="C112" s="73" t="str">
        <f aca="false">IF(A112="","",A112&amp;"-"&amp;B112)</f>
        <v/>
      </c>
      <c r="D112" s="58"/>
      <c r="E112" s="57"/>
      <c r="F112" s="69"/>
      <c r="G112" s="69"/>
      <c r="H112" s="74" t="str">
        <f aca="false">IF(A112="","",IFERROR(INDEX(السندات!$C$5:$C$504,MATCH(A112,السندات!$A$5:$A$504,0)),""))</f>
        <v/>
      </c>
      <c r="I112" s="75" t="str">
        <f aca="false">IF(A112="","",IFERROR(INDEX(السندات!$D$5:$D$504,MATCH(A112,السندات!$A$5:$A$504,0)),""))</f>
        <v/>
      </c>
      <c r="J112" s="76" t="str">
        <f aca="false">IF(A112="","",IF(ISNA(MATCH(A112,السندات!$A$5:$A$504,0)),"رقم سند غير موجود ✘",IF(AND(F112&lt;&gt;"",G112&lt;&gt;""),"اكتب مدين أو دائن فقط ✘",IF(AND(N(F112)=0,N(G112)=0),"بدون مبلغ ⚠",IF(B112&gt;12,"يتجاوز 12 بنداً في الطباعة ⚠","")))))</f>
        <v/>
      </c>
    </row>
    <row r="113" customFormat="false" ht="15" hidden="false" customHeight="false" outlineLevel="0" collapsed="false">
      <c r="A113" s="58"/>
      <c r="B113" s="68" t="str">
        <f aca="false">IF(A113="","",COUNTIF(A$5:A113,A113))</f>
        <v/>
      </c>
      <c r="C113" s="68" t="str">
        <f aca="false">IF(A113="","",A113&amp;"-"&amp;B113)</f>
        <v/>
      </c>
      <c r="D113" s="58"/>
      <c r="E113" s="57"/>
      <c r="F113" s="69"/>
      <c r="G113" s="69"/>
      <c r="H113" s="70" t="str">
        <f aca="false">IF(A113="","",IFERROR(INDEX(السندات!$C$5:$C$504,MATCH(A113,السندات!$A$5:$A$504,0)),""))</f>
        <v/>
      </c>
      <c r="I113" s="71" t="str">
        <f aca="false">IF(A113="","",IFERROR(INDEX(السندات!$D$5:$D$504,MATCH(A113,السندات!$A$5:$A$504,0)),""))</f>
        <v/>
      </c>
      <c r="J113" s="72" t="str">
        <f aca="false">IF(A113="","",IF(ISNA(MATCH(A113,السندات!$A$5:$A$504,0)),"رقم سند غير موجود ✘",IF(AND(F113&lt;&gt;"",G113&lt;&gt;""),"اكتب مدين أو دائن فقط ✘",IF(AND(N(F113)=0,N(G113)=0),"بدون مبلغ ⚠",IF(B113&gt;12,"يتجاوز 12 بنداً في الطباعة ⚠","")))))</f>
        <v/>
      </c>
    </row>
    <row r="114" customFormat="false" ht="15" hidden="false" customHeight="false" outlineLevel="0" collapsed="false">
      <c r="A114" s="58"/>
      <c r="B114" s="73" t="str">
        <f aca="false">IF(A114="","",COUNTIF(A$5:A114,A114))</f>
        <v/>
      </c>
      <c r="C114" s="73" t="str">
        <f aca="false">IF(A114="","",A114&amp;"-"&amp;B114)</f>
        <v/>
      </c>
      <c r="D114" s="58"/>
      <c r="E114" s="57"/>
      <c r="F114" s="69"/>
      <c r="G114" s="69"/>
      <c r="H114" s="74" t="str">
        <f aca="false">IF(A114="","",IFERROR(INDEX(السندات!$C$5:$C$504,MATCH(A114,السندات!$A$5:$A$504,0)),""))</f>
        <v/>
      </c>
      <c r="I114" s="75" t="str">
        <f aca="false">IF(A114="","",IFERROR(INDEX(السندات!$D$5:$D$504,MATCH(A114,السندات!$A$5:$A$504,0)),""))</f>
        <v/>
      </c>
      <c r="J114" s="76" t="str">
        <f aca="false">IF(A114="","",IF(ISNA(MATCH(A114,السندات!$A$5:$A$504,0)),"رقم سند غير موجود ✘",IF(AND(F114&lt;&gt;"",G114&lt;&gt;""),"اكتب مدين أو دائن فقط ✘",IF(AND(N(F114)=0,N(G114)=0),"بدون مبلغ ⚠",IF(B114&gt;12,"يتجاوز 12 بنداً في الطباعة ⚠","")))))</f>
        <v/>
      </c>
    </row>
    <row r="115" customFormat="false" ht="15" hidden="false" customHeight="false" outlineLevel="0" collapsed="false">
      <c r="A115" s="58"/>
      <c r="B115" s="68" t="str">
        <f aca="false">IF(A115="","",COUNTIF(A$5:A115,A115))</f>
        <v/>
      </c>
      <c r="C115" s="68" t="str">
        <f aca="false">IF(A115="","",A115&amp;"-"&amp;B115)</f>
        <v/>
      </c>
      <c r="D115" s="58"/>
      <c r="E115" s="57"/>
      <c r="F115" s="69"/>
      <c r="G115" s="69"/>
      <c r="H115" s="70" t="str">
        <f aca="false">IF(A115="","",IFERROR(INDEX(السندات!$C$5:$C$504,MATCH(A115,السندات!$A$5:$A$504,0)),""))</f>
        <v/>
      </c>
      <c r="I115" s="71" t="str">
        <f aca="false">IF(A115="","",IFERROR(INDEX(السندات!$D$5:$D$504,MATCH(A115,السندات!$A$5:$A$504,0)),""))</f>
        <v/>
      </c>
      <c r="J115" s="72" t="str">
        <f aca="false">IF(A115="","",IF(ISNA(MATCH(A115,السندات!$A$5:$A$504,0)),"رقم سند غير موجود ✘",IF(AND(F115&lt;&gt;"",G115&lt;&gt;""),"اكتب مدين أو دائن فقط ✘",IF(AND(N(F115)=0,N(G115)=0),"بدون مبلغ ⚠",IF(B115&gt;12,"يتجاوز 12 بنداً في الطباعة ⚠","")))))</f>
        <v/>
      </c>
    </row>
    <row r="116" customFormat="false" ht="15" hidden="false" customHeight="false" outlineLevel="0" collapsed="false">
      <c r="A116" s="58"/>
      <c r="B116" s="73" t="str">
        <f aca="false">IF(A116="","",COUNTIF(A$5:A116,A116))</f>
        <v/>
      </c>
      <c r="C116" s="73" t="str">
        <f aca="false">IF(A116="","",A116&amp;"-"&amp;B116)</f>
        <v/>
      </c>
      <c r="D116" s="58"/>
      <c r="E116" s="57"/>
      <c r="F116" s="69"/>
      <c r="G116" s="69"/>
      <c r="H116" s="74" t="str">
        <f aca="false">IF(A116="","",IFERROR(INDEX(السندات!$C$5:$C$504,MATCH(A116,السندات!$A$5:$A$504,0)),""))</f>
        <v/>
      </c>
      <c r="I116" s="75" t="str">
        <f aca="false">IF(A116="","",IFERROR(INDEX(السندات!$D$5:$D$504,MATCH(A116,السندات!$A$5:$A$504,0)),""))</f>
        <v/>
      </c>
      <c r="J116" s="76" t="str">
        <f aca="false">IF(A116="","",IF(ISNA(MATCH(A116,السندات!$A$5:$A$504,0)),"رقم سند غير موجود ✘",IF(AND(F116&lt;&gt;"",G116&lt;&gt;""),"اكتب مدين أو دائن فقط ✘",IF(AND(N(F116)=0,N(G116)=0),"بدون مبلغ ⚠",IF(B116&gt;12,"يتجاوز 12 بنداً في الطباعة ⚠","")))))</f>
        <v/>
      </c>
    </row>
    <row r="117" customFormat="false" ht="15" hidden="false" customHeight="false" outlineLevel="0" collapsed="false">
      <c r="A117" s="58"/>
      <c r="B117" s="68" t="str">
        <f aca="false">IF(A117="","",COUNTIF(A$5:A117,A117))</f>
        <v/>
      </c>
      <c r="C117" s="68" t="str">
        <f aca="false">IF(A117="","",A117&amp;"-"&amp;B117)</f>
        <v/>
      </c>
      <c r="D117" s="58"/>
      <c r="E117" s="57"/>
      <c r="F117" s="69"/>
      <c r="G117" s="69"/>
      <c r="H117" s="70" t="str">
        <f aca="false">IF(A117="","",IFERROR(INDEX(السندات!$C$5:$C$504,MATCH(A117,السندات!$A$5:$A$504,0)),""))</f>
        <v/>
      </c>
      <c r="I117" s="71" t="str">
        <f aca="false">IF(A117="","",IFERROR(INDEX(السندات!$D$5:$D$504,MATCH(A117,السندات!$A$5:$A$504,0)),""))</f>
        <v/>
      </c>
      <c r="J117" s="72" t="str">
        <f aca="false">IF(A117="","",IF(ISNA(MATCH(A117,السندات!$A$5:$A$504,0)),"رقم سند غير موجود ✘",IF(AND(F117&lt;&gt;"",G117&lt;&gt;""),"اكتب مدين أو دائن فقط ✘",IF(AND(N(F117)=0,N(G117)=0),"بدون مبلغ ⚠",IF(B117&gt;12,"يتجاوز 12 بنداً في الطباعة ⚠","")))))</f>
        <v/>
      </c>
    </row>
    <row r="118" customFormat="false" ht="15" hidden="false" customHeight="false" outlineLevel="0" collapsed="false">
      <c r="A118" s="58"/>
      <c r="B118" s="73" t="str">
        <f aca="false">IF(A118="","",COUNTIF(A$5:A118,A118))</f>
        <v/>
      </c>
      <c r="C118" s="73" t="str">
        <f aca="false">IF(A118="","",A118&amp;"-"&amp;B118)</f>
        <v/>
      </c>
      <c r="D118" s="58"/>
      <c r="E118" s="57"/>
      <c r="F118" s="69"/>
      <c r="G118" s="69"/>
      <c r="H118" s="74" t="str">
        <f aca="false">IF(A118="","",IFERROR(INDEX(السندات!$C$5:$C$504,MATCH(A118,السندات!$A$5:$A$504,0)),""))</f>
        <v/>
      </c>
      <c r="I118" s="75" t="str">
        <f aca="false">IF(A118="","",IFERROR(INDEX(السندات!$D$5:$D$504,MATCH(A118,السندات!$A$5:$A$504,0)),""))</f>
        <v/>
      </c>
      <c r="J118" s="76" t="str">
        <f aca="false">IF(A118="","",IF(ISNA(MATCH(A118,السندات!$A$5:$A$504,0)),"رقم سند غير موجود ✘",IF(AND(F118&lt;&gt;"",G118&lt;&gt;""),"اكتب مدين أو دائن فقط ✘",IF(AND(N(F118)=0,N(G118)=0),"بدون مبلغ ⚠",IF(B118&gt;12,"يتجاوز 12 بنداً في الطباعة ⚠","")))))</f>
        <v/>
      </c>
    </row>
    <row r="119" customFormat="false" ht="15" hidden="false" customHeight="false" outlineLevel="0" collapsed="false">
      <c r="A119" s="58"/>
      <c r="B119" s="68" t="str">
        <f aca="false">IF(A119="","",COUNTIF(A$5:A119,A119))</f>
        <v/>
      </c>
      <c r="C119" s="68" t="str">
        <f aca="false">IF(A119="","",A119&amp;"-"&amp;B119)</f>
        <v/>
      </c>
      <c r="D119" s="58"/>
      <c r="E119" s="57"/>
      <c r="F119" s="69"/>
      <c r="G119" s="69"/>
      <c r="H119" s="70" t="str">
        <f aca="false">IF(A119="","",IFERROR(INDEX(السندات!$C$5:$C$504,MATCH(A119,السندات!$A$5:$A$504,0)),""))</f>
        <v/>
      </c>
      <c r="I119" s="71" t="str">
        <f aca="false">IF(A119="","",IFERROR(INDEX(السندات!$D$5:$D$504,MATCH(A119,السندات!$A$5:$A$504,0)),""))</f>
        <v/>
      </c>
      <c r="J119" s="72" t="str">
        <f aca="false">IF(A119="","",IF(ISNA(MATCH(A119,السندات!$A$5:$A$504,0)),"رقم سند غير موجود ✘",IF(AND(F119&lt;&gt;"",G119&lt;&gt;""),"اكتب مدين أو دائن فقط ✘",IF(AND(N(F119)=0,N(G119)=0),"بدون مبلغ ⚠",IF(B119&gt;12,"يتجاوز 12 بنداً في الطباعة ⚠","")))))</f>
        <v/>
      </c>
    </row>
    <row r="120" customFormat="false" ht="15" hidden="false" customHeight="false" outlineLevel="0" collapsed="false">
      <c r="A120" s="58"/>
      <c r="B120" s="73" t="str">
        <f aca="false">IF(A120="","",COUNTIF(A$5:A120,A120))</f>
        <v/>
      </c>
      <c r="C120" s="73" t="str">
        <f aca="false">IF(A120="","",A120&amp;"-"&amp;B120)</f>
        <v/>
      </c>
      <c r="D120" s="58"/>
      <c r="E120" s="57"/>
      <c r="F120" s="69"/>
      <c r="G120" s="69"/>
      <c r="H120" s="74" t="str">
        <f aca="false">IF(A120="","",IFERROR(INDEX(السندات!$C$5:$C$504,MATCH(A120,السندات!$A$5:$A$504,0)),""))</f>
        <v/>
      </c>
      <c r="I120" s="75" t="str">
        <f aca="false">IF(A120="","",IFERROR(INDEX(السندات!$D$5:$D$504,MATCH(A120,السندات!$A$5:$A$504,0)),""))</f>
        <v/>
      </c>
      <c r="J120" s="76" t="str">
        <f aca="false">IF(A120="","",IF(ISNA(MATCH(A120,السندات!$A$5:$A$504,0)),"رقم سند غير موجود ✘",IF(AND(F120&lt;&gt;"",G120&lt;&gt;""),"اكتب مدين أو دائن فقط ✘",IF(AND(N(F120)=0,N(G120)=0),"بدون مبلغ ⚠",IF(B120&gt;12,"يتجاوز 12 بنداً في الطباعة ⚠","")))))</f>
        <v/>
      </c>
    </row>
    <row r="121" customFormat="false" ht="15" hidden="false" customHeight="false" outlineLevel="0" collapsed="false">
      <c r="A121" s="58"/>
      <c r="B121" s="68" t="str">
        <f aca="false">IF(A121="","",COUNTIF(A$5:A121,A121))</f>
        <v/>
      </c>
      <c r="C121" s="68" t="str">
        <f aca="false">IF(A121="","",A121&amp;"-"&amp;B121)</f>
        <v/>
      </c>
      <c r="D121" s="58"/>
      <c r="E121" s="57"/>
      <c r="F121" s="69"/>
      <c r="G121" s="69"/>
      <c r="H121" s="70" t="str">
        <f aca="false">IF(A121="","",IFERROR(INDEX(السندات!$C$5:$C$504,MATCH(A121,السندات!$A$5:$A$504,0)),""))</f>
        <v/>
      </c>
      <c r="I121" s="71" t="str">
        <f aca="false">IF(A121="","",IFERROR(INDEX(السندات!$D$5:$D$504,MATCH(A121,السندات!$A$5:$A$504,0)),""))</f>
        <v/>
      </c>
      <c r="J121" s="72" t="str">
        <f aca="false">IF(A121="","",IF(ISNA(MATCH(A121,السندات!$A$5:$A$504,0)),"رقم سند غير موجود ✘",IF(AND(F121&lt;&gt;"",G121&lt;&gt;""),"اكتب مدين أو دائن فقط ✘",IF(AND(N(F121)=0,N(G121)=0),"بدون مبلغ ⚠",IF(B121&gt;12,"يتجاوز 12 بنداً في الطباعة ⚠","")))))</f>
        <v/>
      </c>
    </row>
    <row r="122" customFormat="false" ht="15" hidden="false" customHeight="false" outlineLevel="0" collapsed="false">
      <c r="A122" s="58"/>
      <c r="B122" s="73" t="str">
        <f aca="false">IF(A122="","",COUNTIF(A$5:A122,A122))</f>
        <v/>
      </c>
      <c r="C122" s="73" t="str">
        <f aca="false">IF(A122="","",A122&amp;"-"&amp;B122)</f>
        <v/>
      </c>
      <c r="D122" s="58"/>
      <c r="E122" s="57"/>
      <c r="F122" s="69"/>
      <c r="G122" s="69"/>
      <c r="H122" s="74" t="str">
        <f aca="false">IF(A122="","",IFERROR(INDEX(السندات!$C$5:$C$504,MATCH(A122,السندات!$A$5:$A$504,0)),""))</f>
        <v/>
      </c>
      <c r="I122" s="75" t="str">
        <f aca="false">IF(A122="","",IFERROR(INDEX(السندات!$D$5:$D$504,MATCH(A122,السندات!$A$5:$A$504,0)),""))</f>
        <v/>
      </c>
      <c r="J122" s="76" t="str">
        <f aca="false">IF(A122="","",IF(ISNA(MATCH(A122,السندات!$A$5:$A$504,0)),"رقم سند غير موجود ✘",IF(AND(F122&lt;&gt;"",G122&lt;&gt;""),"اكتب مدين أو دائن فقط ✘",IF(AND(N(F122)=0,N(G122)=0),"بدون مبلغ ⚠",IF(B122&gt;12,"يتجاوز 12 بنداً في الطباعة ⚠","")))))</f>
        <v/>
      </c>
    </row>
    <row r="123" customFormat="false" ht="15" hidden="false" customHeight="false" outlineLevel="0" collapsed="false">
      <c r="A123" s="58"/>
      <c r="B123" s="68" t="str">
        <f aca="false">IF(A123="","",COUNTIF(A$5:A123,A123))</f>
        <v/>
      </c>
      <c r="C123" s="68" t="str">
        <f aca="false">IF(A123="","",A123&amp;"-"&amp;B123)</f>
        <v/>
      </c>
      <c r="D123" s="58"/>
      <c r="E123" s="57"/>
      <c r="F123" s="69"/>
      <c r="G123" s="69"/>
      <c r="H123" s="70" t="str">
        <f aca="false">IF(A123="","",IFERROR(INDEX(السندات!$C$5:$C$504,MATCH(A123,السندات!$A$5:$A$504,0)),""))</f>
        <v/>
      </c>
      <c r="I123" s="71" t="str">
        <f aca="false">IF(A123="","",IFERROR(INDEX(السندات!$D$5:$D$504,MATCH(A123,السندات!$A$5:$A$504,0)),""))</f>
        <v/>
      </c>
      <c r="J123" s="72" t="str">
        <f aca="false">IF(A123="","",IF(ISNA(MATCH(A123,السندات!$A$5:$A$504,0)),"رقم سند غير موجود ✘",IF(AND(F123&lt;&gt;"",G123&lt;&gt;""),"اكتب مدين أو دائن فقط ✘",IF(AND(N(F123)=0,N(G123)=0),"بدون مبلغ ⚠",IF(B123&gt;12,"يتجاوز 12 بنداً في الطباعة ⚠","")))))</f>
        <v/>
      </c>
    </row>
    <row r="124" customFormat="false" ht="15" hidden="false" customHeight="false" outlineLevel="0" collapsed="false">
      <c r="A124" s="58"/>
      <c r="B124" s="73" t="str">
        <f aca="false">IF(A124="","",COUNTIF(A$5:A124,A124))</f>
        <v/>
      </c>
      <c r="C124" s="73" t="str">
        <f aca="false">IF(A124="","",A124&amp;"-"&amp;B124)</f>
        <v/>
      </c>
      <c r="D124" s="58"/>
      <c r="E124" s="57"/>
      <c r="F124" s="69"/>
      <c r="G124" s="69"/>
      <c r="H124" s="74" t="str">
        <f aca="false">IF(A124="","",IFERROR(INDEX(السندات!$C$5:$C$504,MATCH(A124,السندات!$A$5:$A$504,0)),""))</f>
        <v/>
      </c>
      <c r="I124" s="75" t="str">
        <f aca="false">IF(A124="","",IFERROR(INDEX(السندات!$D$5:$D$504,MATCH(A124,السندات!$A$5:$A$504,0)),""))</f>
        <v/>
      </c>
      <c r="J124" s="76" t="str">
        <f aca="false">IF(A124="","",IF(ISNA(MATCH(A124,السندات!$A$5:$A$504,0)),"رقم سند غير موجود ✘",IF(AND(F124&lt;&gt;"",G124&lt;&gt;""),"اكتب مدين أو دائن فقط ✘",IF(AND(N(F124)=0,N(G124)=0),"بدون مبلغ ⚠",IF(B124&gt;12,"يتجاوز 12 بنداً في الطباعة ⚠","")))))</f>
        <v/>
      </c>
    </row>
    <row r="125" customFormat="false" ht="15" hidden="false" customHeight="false" outlineLevel="0" collapsed="false">
      <c r="A125" s="58"/>
      <c r="B125" s="68" t="str">
        <f aca="false">IF(A125="","",COUNTIF(A$5:A125,A125))</f>
        <v/>
      </c>
      <c r="C125" s="68" t="str">
        <f aca="false">IF(A125="","",A125&amp;"-"&amp;B125)</f>
        <v/>
      </c>
      <c r="D125" s="58"/>
      <c r="E125" s="57"/>
      <c r="F125" s="69"/>
      <c r="G125" s="69"/>
      <c r="H125" s="70" t="str">
        <f aca="false">IF(A125="","",IFERROR(INDEX(السندات!$C$5:$C$504,MATCH(A125,السندات!$A$5:$A$504,0)),""))</f>
        <v/>
      </c>
      <c r="I125" s="71" t="str">
        <f aca="false">IF(A125="","",IFERROR(INDEX(السندات!$D$5:$D$504,MATCH(A125,السندات!$A$5:$A$504,0)),""))</f>
        <v/>
      </c>
      <c r="J125" s="72" t="str">
        <f aca="false">IF(A125="","",IF(ISNA(MATCH(A125,السندات!$A$5:$A$504,0)),"رقم سند غير موجود ✘",IF(AND(F125&lt;&gt;"",G125&lt;&gt;""),"اكتب مدين أو دائن فقط ✘",IF(AND(N(F125)=0,N(G125)=0),"بدون مبلغ ⚠",IF(B125&gt;12,"يتجاوز 12 بنداً في الطباعة ⚠","")))))</f>
        <v/>
      </c>
    </row>
    <row r="126" customFormat="false" ht="15" hidden="false" customHeight="false" outlineLevel="0" collapsed="false">
      <c r="A126" s="58"/>
      <c r="B126" s="73" t="str">
        <f aca="false">IF(A126="","",COUNTIF(A$5:A126,A126))</f>
        <v/>
      </c>
      <c r="C126" s="73" t="str">
        <f aca="false">IF(A126="","",A126&amp;"-"&amp;B126)</f>
        <v/>
      </c>
      <c r="D126" s="58"/>
      <c r="E126" s="57"/>
      <c r="F126" s="69"/>
      <c r="G126" s="69"/>
      <c r="H126" s="74" t="str">
        <f aca="false">IF(A126="","",IFERROR(INDEX(السندات!$C$5:$C$504,MATCH(A126,السندات!$A$5:$A$504,0)),""))</f>
        <v/>
      </c>
      <c r="I126" s="75" t="str">
        <f aca="false">IF(A126="","",IFERROR(INDEX(السندات!$D$5:$D$504,MATCH(A126,السندات!$A$5:$A$504,0)),""))</f>
        <v/>
      </c>
      <c r="J126" s="76" t="str">
        <f aca="false">IF(A126="","",IF(ISNA(MATCH(A126,السندات!$A$5:$A$504,0)),"رقم سند غير موجود ✘",IF(AND(F126&lt;&gt;"",G126&lt;&gt;""),"اكتب مدين أو دائن فقط ✘",IF(AND(N(F126)=0,N(G126)=0),"بدون مبلغ ⚠",IF(B126&gt;12,"يتجاوز 12 بنداً في الطباعة ⚠","")))))</f>
        <v/>
      </c>
    </row>
    <row r="127" customFormat="false" ht="15" hidden="false" customHeight="false" outlineLevel="0" collapsed="false">
      <c r="A127" s="58"/>
      <c r="B127" s="68" t="str">
        <f aca="false">IF(A127="","",COUNTIF(A$5:A127,A127))</f>
        <v/>
      </c>
      <c r="C127" s="68" t="str">
        <f aca="false">IF(A127="","",A127&amp;"-"&amp;B127)</f>
        <v/>
      </c>
      <c r="D127" s="58"/>
      <c r="E127" s="57"/>
      <c r="F127" s="69"/>
      <c r="G127" s="69"/>
      <c r="H127" s="70" t="str">
        <f aca="false">IF(A127="","",IFERROR(INDEX(السندات!$C$5:$C$504,MATCH(A127,السندات!$A$5:$A$504,0)),""))</f>
        <v/>
      </c>
      <c r="I127" s="71" t="str">
        <f aca="false">IF(A127="","",IFERROR(INDEX(السندات!$D$5:$D$504,MATCH(A127,السندات!$A$5:$A$504,0)),""))</f>
        <v/>
      </c>
      <c r="J127" s="72" t="str">
        <f aca="false">IF(A127="","",IF(ISNA(MATCH(A127,السندات!$A$5:$A$504,0)),"رقم سند غير موجود ✘",IF(AND(F127&lt;&gt;"",G127&lt;&gt;""),"اكتب مدين أو دائن فقط ✘",IF(AND(N(F127)=0,N(G127)=0),"بدون مبلغ ⚠",IF(B127&gt;12,"يتجاوز 12 بنداً في الطباعة ⚠","")))))</f>
        <v/>
      </c>
    </row>
    <row r="128" customFormat="false" ht="15" hidden="false" customHeight="false" outlineLevel="0" collapsed="false">
      <c r="A128" s="58"/>
      <c r="B128" s="73" t="str">
        <f aca="false">IF(A128="","",COUNTIF(A$5:A128,A128))</f>
        <v/>
      </c>
      <c r="C128" s="73" t="str">
        <f aca="false">IF(A128="","",A128&amp;"-"&amp;B128)</f>
        <v/>
      </c>
      <c r="D128" s="58"/>
      <c r="E128" s="57"/>
      <c r="F128" s="69"/>
      <c r="G128" s="69"/>
      <c r="H128" s="74" t="str">
        <f aca="false">IF(A128="","",IFERROR(INDEX(السندات!$C$5:$C$504,MATCH(A128,السندات!$A$5:$A$504,0)),""))</f>
        <v/>
      </c>
      <c r="I128" s="75" t="str">
        <f aca="false">IF(A128="","",IFERROR(INDEX(السندات!$D$5:$D$504,MATCH(A128,السندات!$A$5:$A$504,0)),""))</f>
        <v/>
      </c>
      <c r="J128" s="76" t="str">
        <f aca="false">IF(A128="","",IF(ISNA(MATCH(A128,السندات!$A$5:$A$504,0)),"رقم سند غير موجود ✘",IF(AND(F128&lt;&gt;"",G128&lt;&gt;""),"اكتب مدين أو دائن فقط ✘",IF(AND(N(F128)=0,N(G128)=0),"بدون مبلغ ⚠",IF(B128&gt;12,"يتجاوز 12 بنداً في الطباعة ⚠","")))))</f>
        <v/>
      </c>
    </row>
    <row r="129" customFormat="false" ht="15" hidden="false" customHeight="false" outlineLevel="0" collapsed="false">
      <c r="A129" s="58"/>
      <c r="B129" s="68" t="str">
        <f aca="false">IF(A129="","",COUNTIF(A$5:A129,A129))</f>
        <v/>
      </c>
      <c r="C129" s="68" t="str">
        <f aca="false">IF(A129="","",A129&amp;"-"&amp;B129)</f>
        <v/>
      </c>
      <c r="D129" s="58"/>
      <c r="E129" s="57"/>
      <c r="F129" s="69"/>
      <c r="G129" s="69"/>
      <c r="H129" s="70" t="str">
        <f aca="false">IF(A129="","",IFERROR(INDEX(السندات!$C$5:$C$504,MATCH(A129,السندات!$A$5:$A$504,0)),""))</f>
        <v/>
      </c>
      <c r="I129" s="71" t="str">
        <f aca="false">IF(A129="","",IFERROR(INDEX(السندات!$D$5:$D$504,MATCH(A129,السندات!$A$5:$A$504,0)),""))</f>
        <v/>
      </c>
      <c r="J129" s="72" t="str">
        <f aca="false">IF(A129="","",IF(ISNA(MATCH(A129,السندات!$A$5:$A$504,0)),"رقم سند غير موجود ✘",IF(AND(F129&lt;&gt;"",G129&lt;&gt;""),"اكتب مدين أو دائن فقط ✘",IF(AND(N(F129)=0,N(G129)=0),"بدون مبلغ ⚠",IF(B129&gt;12,"يتجاوز 12 بنداً في الطباعة ⚠","")))))</f>
        <v/>
      </c>
    </row>
    <row r="130" customFormat="false" ht="15" hidden="false" customHeight="false" outlineLevel="0" collapsed="false">
      <c r="A130" s="58"/>
      <c r="B130" s="73" t="str">
        <f aca="false">IF(A130="","",COUNTIF(A$5:A130,A130))</f>
        <v/>
      </c>
      <c r="C130" s="73" t="str">
        <f aca="false">IF(A130="","",A130&amp;"-"&amp;B130)</f>
        <v/>
      </c>
      <c r="D130" s="58"/>
      <c r="E130" s="57"/>
      <c r="F130" s="69"/>
      <c r="G130" s="69"/>
      <c r="H130" s="74" t="str">
        <f aca="false">IF(A130="","",IFERROR(INDEX(السندات!$C$5:$C$504,MATCH(A130,السندات!$A$5:$A$504,0)),""))</f>
        <v/>
      </c>
      <c r="I130" s="75" t="str">
        <f aca="false">IF(A130="","",IFERROR(INDEX(السندات!$D$5:$D$504,MATCH(A130,السندات!$A$5:$A$504,0)),""))</f>
        <v/>
      </c>
      <c r="J130" s="76" t="str">
        <f aca="false">IF(A130="","",IF(ISNA(MATCH(A130,السندات!$A$5:$A$504,0)),"رقم سند غير موجود ✘",IF(AND(F130&lt;&gt;"",G130&lt;&gt;""),"اكتب مدين أو دائن فقط ✘",IF(AND(N(F130)=0,N(G130)=0),"بدون مبلغ ⚠",IF(B130&gt;12,"يتجاوز 12 بنداً في الطباعة ⚠","")))))</f>
        <v/>
      </c>
    </row>
    <row r="131" customFormat="false" ht="15" hidden="false" customHeight="false" outlineLevel="0" collapsed="false">
      <c r="A131" s="58"/>
      <c r="B131" s="68" t="str">
        <f aca="false">IF(A131="","",COUNTIF(A$5:A131,A131))</f>
        <v/>
      </c>
      <c r="C131" s="68" t="str">
        <f aca="false">IF(A131="","",A131&amp;"-"&amp;B131)</f>
        <v/>
      </c>
      <c r="D131" s="58"/>
      <c r="E131" s="57"/>
      <c r="F131" s="69"/>
      <c r="G131" s="69"/>
      <c r="H131" s="70" t="str">
        <f aca="false">IF(A131="","",IFERROR(INDEX(السندات!$C$5:$C$504,MATCH(A131,السندات!$A$5:$A$504,0)),""))</f>
        <v/>
      </c>
      <c r="I131" s="71" t="str">
        <f aca="false">IF(A131="","",IFERROR(INDEX(السندات!$D$5:$D$504,MATCH(A131,السندات!$A$5:$A$504,0)),""))</f>
        <v/>
      </c>
      <c r="J131" s="72" t="str">
        <f aca="false">IF(A131="","",IF(ISNA(MATCH(A131,السندات!$A$5:$A$504,0)),"رقم سند غير موجود ✘",IF(AND(F131&lt;&gt;"",G131&lt;&gt;""),"اكتب مدين أو دائن فقط ✘",IF(AND(N(F131)=0,N(G131)=0),"بدون مبلغ ⚠",IF(B131&gt;12,"يتجاوز 12 بنداً في الطباعة ⚠","")))))</f>
        <v/>
      </c>
    </row>
    <row r="132" customFormat="false" ht="15" hidden="false" customHeight="false" outlineLevel="0" collapsed="false">
      <c r="A132" s="58"/>
      <c r="B132" s="73" t="str">
        <f aca="false">IF(A132="","",COUNTIF(A$5:A132,A132))</f>
        <v/>
      </c>
      <c r="C132" s="73" t="str">
        <f aca="false">IF(A132="","",A132&amp;"-"&amp;B132)</f>
        <v/>
      </c>
      <c r="D132" s="58"/>
      <c r="E132" s="57"/>
      <c r="F132" s="69"/>
      <c r="G132" s="69"/>
      <c r="H132" s="74" t="str">
        <f aca="false">IF(A132="","",IFERROR(INDEX(السندات!$C$5:$C$504,MATCH(A132,السندات!$A$5:$A$504,0)),""))</f>
        <v/>
      </c>
      <c r="I132" s="75" t="str">
        <f aca="false">IF(A132="","",IFERROR(INDEX(السندات!$D$5:$D$504,MATCH(A132,السندات!$A$5:$A$504,0)),""))</f>
        <v/>
      </c>
      <c r="J132" s="76" t="str">
        <f aca="false">IF(A132="","",IF(ISNA(MATCH(A132,السندات!$A$5:$A$504,0)),"رقم سند غير موجود ✘",IF(AND(F132&lt;&gt;"",G132&lt;&gt;""),"اكتب مدين أو دائن فقط ✘",IF(AND(N(F132)=0,N(G132)=0),"بدون مبلغ ⚠",IF(B132&gt;12,"يتجاوز 12 بنداً في الطباعة ⚠","")))))</f>
        <v/>
      </c>
    </row>
    <row r="133" customFormat="false" ht="15" hidden="false" customHeight="false" outlineLevel="0" collapsed="false">
      <c r="A133" s="58"/>
      <c r="B133" s="68" t="str">
        <f aca="false">IF(A133="","",COUNTIF(A$5:A133,A133))</f>
        <v/>
      </c>
      <c r="C133" s="68" t="str">
        <f aca="false">IF(A133="","",A133&amp;"-"&amp;B133)</f>
        <v/>
      </c>
      <c r="D133" s="58"/>
      <c r="E133" s="57"/>
      <c r="F133" s="69"/>
      <c r="G133" s="69"/>
      <c r="H133" s="70" t="str">
        <f aca="false">IF(A133="","",IFERROR(INDEX(السندات!$C$5:$C$504,MATCH(A133,السندات!$A$5:$A$504,0)),""))</f>
        <v/>
      </c>
      <c r="I133" s="71" t="str">
        <f aca="false">IF(A133="","",IFERROR(INDEX(السندات!$D$5:$D$504,MATCH(A133,السندات!$A$5:$A$504,0)),""))</f>
        <v/>
      </c>
      <c r="J133" s="72" t="str">
        <f aca="false">IF(A133="","",IF(ISNA(MATCH(A133,السندات!$A$5:$A$504,0)),"رقم سند غير موجود ✘",IF(AND(F133&lt;&gt;"",G133&lt;&gt;""),"اكتب مدين أو دائن فقط ✘",IF(AND(N(F133)=0,N(G133)=0),"بدون مبلغ ⚠",IF(B133&gt;12,"يتجاوز 12 بنداً في الطباعة ⚠","")))))</f>
        <v/>
      </c>
    </row>
    <row r="134" customFormat="false" ht="15" hidden="false" customHeight="false" outlineLevel="0" collapsed="false">
      <c r="A134" s="58"/>
      <c r="B134" s="73" t="str">
        <f aca="false">IF(A134="","",COUNTIF(A$5:A134,A134))</f>
        <v/>
      </c>
      <c r="C134" s="73" t="str">
        <f aca="false">IF(A134="","",A134&amp;"-"&amp;B134)</f>
        <v/>
      </c>
      <c r="D134" s="58"/>
      <c r="E134" s="57"/>
      <c r="F134" s="69"/>
      <c r="G134" s="69"/>
      <c r="H134" s="74" t="str">
        <f aca="false">IF(A134="","",IFERROR(INDEX(السندات!$C$5:$C$504,MATCH(A134,السندات!$A$5:$A$504,0)),""))</f>
        <v/>
      </c>
      <c r="I134" s="75" t="str">
        <f aca="false">IF(A134="","",IFERROR(INDEX(السندات!$D$5:$D$504,MATCH(A134,السندات!$A$5:$A$504,0)),""))</f>
        <v/>
      </c>
      <c r="J134" s="76" t="str">
        <f aca="false">IF(A134="","",IF(ISNA(MATCH(A134,السندات!$A$5:$A$504,0)),"رقم سند غير موجود ✘",IF(AND(F134&lt;&gt;"",G134&lt;&gt;""),"اكتب مدين أو دائن فقط ✘",IF(AND(N(F134)=0,N(G134)=0),"بدون مبلغ ⚠",IF(B134&gt;12,"يتجاوز 12 بنداً في الطباعة ⚠","")))))</f>
        <v/>
      </c>
    </row>
    <row r="135" customFormat="false" ht="15" hidden="false" customHeight="false" outlineLevel="0" collapsed="false">
      <c r="A135" s="58"/>
      <c r="B135" s="68" t="str">
        <f aca="false">IF(A135="","",COUNTIF(A$5:A135,A135))</f>
        <v/>
      </c>
      <c r="C135" s="68" t="str">
        <f aca="false">IF(A135="","",A135&amp;"-"&amp;B135)</f>
        <v/>
      </c>
      <c r="D135" s="58"/>
      <c r="E135" s="57"/>
      <c r="F135" s="69"/>
      <c r="G135" s="69"/>
      <c r="H135" s="70" t="str">
        <f aca="false">IF(A135="","",IFERROR(INDEX(السندات!$C$5:$C$504,MATCH(A135,السندات!$A$5:$A$504,0)),""))</f>
        <v/>
      </c>
      <c r="I135" s="71" t="str">
        <f aca="false">IF(A135="","",IFERROR(INDEX(السندات!$D$5:$D$504,MATCH(A135,السندات!$A$5:$A$504,0)),""))</f>
        <v/>
      </c>
      <c r="J135" s="72" t="str">
        <f aca="false">IF(A135="","",IF(ISNA(MATCH(A135,السندات!$A$5:$A$504,0)),"رقم سند غير موجود ✘",IF(AND(F135&lt;&gt;"",G135&lt;&gt;""),"اكتب مدين أو دائن فقط ✘",IF(AND(N(F135)=0,N(G135)=0),"بدون مبلغ ⚠",IF(B135&gt;12,"يتجاوز 12 بنداً في الطباعة ⚠","")))))</f>
        <v/>
      </c>
    </row>
    <row r="136" customFormat="false" ht="15" hidden="false" customHeight="false" outlineLevel="0" collapsed="false">
      <c r="A136" s="58"/>
      <c r="B136" s="73" t="str">
        <f aca="false">IF(A136="","",COUNTIF(A$5:A136,A136))</f>
        <v/>
      </c>
      <c r="C136" s="73" t="str">
        <f aca="false">IF(A136="","",A136&amp;"-"&amp;B136)</f>
        <v/>
      </c>
      <c r="D136" s="58"/>
      <c r="E136" s="57"/>
      <c r="F136" s="69"/>
      <c r="G136" s="69"/>
      <c r="H136" s="74" t="str">
        <f aca="false">IF(A136="","",IFERROR(INDEX(السندات!$C$5:$C$504,MATCH(A136,السندات!$A$5:$A$504,0)),""))</f>
        <v/>
      </c>
      <c r="I136" s="75" t="str">
        <f aca="false">IF(A136="","",IFERROR(INDEX(السندات!$D$5:$D$504,MATCH(A136,السندات!$A$5:$A$504,0)),""))</f>
        <v/>
      </c>
      <c r="J136" s="76" t="str">
        <f aca="false">IF(A136="","",IF(ISNA(MATCH(A136,السندات!$A$5:$A$504,0)),"رقم سند غير موجود ✘",IF(AND(F136&lt;&gt;"",G136&lt;&gt;""),"اكتب مدين أو دائن فقط ✘",IF(AND(N(F136)=0,N(G136)=0),"بدون مبلغ ⚠",IF(B136&gt;12,"يتجاوز 12 بنداً في الطباعة ⚠","")))))</f>
        <v/>
      </c>
    </row>
    <row r="137" customFormat="false" ht="15" hidden="false" customHeight="false" outlineLevel="0" collapsed="false">
      <c r="A137" s="58"/>
      <c r="B137" s="68" t="str">
        <f aca="false">IF(A137="","",COUNTIF(A$5:A137,A137))</f>
        <v/>
      </c>
      <c r="C137" s="68" t="str">
        <f aca="false">IF(A137="","",A137&amp;"-"&amp;B137)</f>
        <v/>
      </c>
      <c r="D137" s="58"/>
      <c r="E137" s="57"/>
      <c r="F137" s="69"/>
      <c r="G137" s="69"/>
      <c r="H137" s="70" t="str">
        <f aca="false">IF(A137="","",IFERROR(INDEX(السندات!$C$5:$C$504,MATCH(A137,السندات!$A$5:$A$504,0)),""))</f>
        <v/>
      </c>
      <c r="I137" s="71" t="str">
        <f aca="false">IF(A137="","",IFERROR(INDEX(السندات!$D$5:$D$504,MATCH(A137,السندات!$A$5:$A$504,0)),""))</f>
        <v/>
      </c>
      <c r="J137" s="72" t="str">
        <f aca="false">IF(A137="","",IF(ISNA(MATCH(A137,السندات!$A$5:$A$504,0)),"رقم سند غير موجود ✘",IF(AND(F137&lt;&gt;"",G137&lt;&gt;""),"اكتب مدين أو دائن فقط ✘",IF(AND(N(F137)=0,N(G137)=0),"بدون مبلغ ⚠",IF(B137&gt;12,"يتجاوز 12 بنداً في الطباعة ⚠","")))))</f>
        <v/>
      </c>
    </row>
    <row r="138" customFormat="false" ht="15" hidden="false" customHeight="false" outlineLevel="0" collapsed="false">
      <c r="A138" s="58"/>
      <c r="B138" s="73" t="str">
        <f aca="false">IF(A138="","",COUNTIF(A$5:A138,A138))</f>
        <v/>
      </c>
      <c r="C138" s="73" t="str">
        <f aca="false">IF(A138="","",A138&amp;"-"&amp;B138)</f>
        <v/>
      </c>
      <c r="D138" s="58"/>
      <c r="E138" s="57"/>
      <c r="F138" s="69"/>
      <c r="G138" s="69"/>
      <c r="H138" s="74" t="str">
        <f aca="false">IF(A138="","",IFERROR(INDEX(السندات!$C$5:$C$504,MATCH(A138,السندات!$A$5:$A$504,0)),""))</f>
        <v/>
      </c>
      <c r="I138" s="75" t="str">
        <f aca="false">IF(A138="","",IFERROR(INDEX(السندات!$D$5:$D$504,MATCH(A138,السندات!$A$5:$A$504,0)),""))</f>
        <v/>
      </c>
      <c r="J138" s="76" t="str">
        <f aca="false">IF(A138="","",IF(ISNA(MATCH(A138,السندات!$A$5:$A$504,0)),"رقم سند غير موجود ✘",IF(AND(F138&lt;&gt;"",G138&lt;&gt;""),"اكتب مدين أو دائن فقط ✘",IF(AND(N(F138)=0,N(G138)=0),"بدون مبلغ ⚠",IF(B138&gt;12,"يتجاوز 12 بنداً في الطباعة ⚠","")))))</f>
        <v/>
      </c>
    </row>
    <row r="139" customFormat="false" ht="15" hidden="false" customHeight="false" outlineLevel="0" collapsed="false">
      <c r="A139" s="58"/>
      <c r="B139" s="68" t="str">
        <f aca="false">IF(A139="","",COUNTIF(A$5:A139,A139))</f>
        <v/>
      </c>
      <c r="C139" s="68" t="str">
        <f aca="false">IF(A139="","",A139&amp;"-"&amp;B139)</f>
        <v/>
      </c>
      <c r="D139" s="58"/>
      <c r="E139" s="57"/>
      <c r="F139" s="69"/>
      <c r="G139" s="69"/>
      <c r="H139" s="70" t="str">
        <f aca="false">IF(A139="","",IFERROR(INDEX(السندات!$C$5:$C$504,MATCH(A139,السندات!$A$5:$A$504,0)),""))</f>
        <v/>
      </c>
      <c r="I139" s="71" t="str">
        <f aca="false">IF(A139="","",IFERROR(INDEX(السندات!$D$5:$D$504,MATCH(A139,السندات!$A$5:$A$504,0)),""))</f>
        <v/>
      </c>
      <c r="J139" s="72" t="str">
        <f aca="false">IF(A139="","",IF(ISNA(MATCH(A139,السندات!$A$5:$A$504,0)),"رقم سند غير موجود ✘",IF(AND(F139&lt;&gt;"",G139&lt;&gt;""),"اكتب مدين أو دائن فقط ✘",IF(AND(N(F139)=0,N(G139)=0),"بدون مبلغ ⚠",IF(B139&gt;12,"يتجاوز 12 بنداً في الطباعة ⚠","")))))</f>
        <v/>
      </c>
    </row>
    <row r="140" customFormat="false" ht="15" hidden="false" customHeight="false" outlineLevel="0" collapsed="false">
      <c r="A140" s="58"/>
      <c r="B140" s="73" t="str">
        <f aca="false">IF(A140="","",COUNTIF(A$5:A140,A140))</f>
        <v/>
      </c>
      <c r="C140" s="73" t="str">
        <f aca="false">IF(A140="","",A140&amp;"-"&amp;B140)</f>
        <v/>
      </c>
      <c r="D140" s="58"/>
      <c r="E140" s="57"/>
      <c r="F140" s="69"/>
      <c r="G140" s="69"/>
      <c r="H140" s="74" t="str">
        <f aca="false">IF(A140="","",IFERROR(INDEX(السندات!$C$5:$C$504,MATCH(A140,السندات!$A$5:$A$504,0)),""))</f>
        <v/>
      </c>
      <c r="I140" s="75" t="str">
        <f aca="false">IF(A140="","",IFERROR(INDEX(السندات!$D$5:$D$504,MATCH(A140,السندات!$A$5:$A$504,0)),""))</f>
        <v/>
      </c>
      <c r="J140" s="76" t="str">
        <f aca="false">IF(A140="","",IF(ISNA(MATCH(A140,السندات!$A$5:$A$504,0)),"رقم سند غير موجود ✘",IF(AND(F140&lt;&gt;"",G140&lt;&gt;""),"اكتب مدين أو دائن فقط ✘",IF(AND(N(F140)=0,N(G140)=0),"بدون مبلغ ⚠",IF(B140&gt;12,"يتجاوز 12 بنداً في الطباعة ⚠","")))))</f>
        <v/>
      </c>
    </row>
    <row r="141" customFormat="false" ht="15" hidden="false" customHeight="false" outlineLevel="0" collapsed="false">
      <c r="A141" s="58"/>
      <c r="B141" s="68" t="str">
        <f aca="false">IF(A141="","",COUNTIF(A$5:A141,A141))</f>
        <v/>
      </c>
      <c r="C141" s="68" t="str">
        <f aca="false">IF(A141="","",A141&amp;"-"&amp;B141)</f>
        <v/>
      </c>
      <c r="D141" s="58"/>
      <c r="E141" s="57"/>
      <c r="F141" s="69"/>
      <c r="G141" s="69"/>
      <c r="H141" s="70" t="str">
        <f aca="false">IF(A141="","",IFERROR(INDEX(السندات!$C$5:$C$504,MATCH(A141,السندات!$A$5:$A$504,0)),""))</f>
        <v/>
      </c>
      <c r="I141" s="71" t="str">
        <f aca="false">IF(A141="","",IFERROR(INDEX(السندات!$D$5:$D$504,MATCH(A141,السندات!$A$5:$A$504,0)),""))</f>
        <v/>
      </c>
      <c r="J141" s="72" t="str">
        <f aca="false">IF(A141="","",IF(ISNA(MATCH(A141,السندات!$A$5:$A$504,0)),"رقم سند غير موجود ✘",IF(AND(F141&lt;&gt;"",G141&lt;&gt;""),"اكتب مدين أو دائن فقط ✘",IF(AND(N(F141)=0,N(G141)=0),"بدون مبلغ ⚠",IF(B141&gt;12,"يتجاوز 12 بنداً في الطباعة ⚠","")))))</f>
        <v/>
      </c>
    </row>
    <row r="142" customFormat="false" ht="15" hidden="false" customHeight="false" outlineLevel="0" collapsed="false">
      <c r="A142" s="58"/>
      <c r="B142" s="73" t="str">
        <f aca="false">IF(A142="","",COUNTIF(A$5:A142,A142))</f>
        <v/>
      </c>
      <c r="C142" s="73" t="str">
        <f aca="false">IF(A142="","",A142&amp;"-"&amp;B142)</f>
        <v/>
      </c>
      <c r="D142" s="58"/>
      <c r="E142" s="57"/>
      <c r="F142" s="69"/>
      <c r="G142" s="69"/>
      <c r="H142" s="74" t="str">
        <f aca="false">IF(A142="","",IFERROR(INDEX(السندات!$C$5:$C$504,MATCH(A142,السندات!$A$5:$A$504,0)),""))</f>
        <v/>
      </c>
      <c r="I142" s="75" t="str">
        <f aca="false">IF(A142="","",IFERROR(INDEX(السندات!$D$5:$D$504,MATCH(A142,السندات!$A$5:$A$504,0)),""))</f>
        <v/>
      </c>
      <c r="J142" s="76" t="str">
        <f aca="false">IF(A142="","",IF(ISNA(MATCH(A142,السندات!$A$5:$A$504,0)),"رقم سند غير موجود ✘",IF(AND(F142&lt;&gt;"",G142&lt;&gt;""),"اكتب مدين أو دائن فقط ✘",IF(AND(N(F142)=0,N(G142)=0),"بدون مبلغ ⚠",IF(B142&gt;12,"يتجاوز 12 بنداً في الطباعة ⚠","")))))</f>
        <v/>
      </c>
    </row>
    <row r="143" customFormat="false" ht="15" hidden="false" customHeight="false" outlineLevel="0" collapsed="false">
      <c r="A143" s="58"/>
      <c r="B143" s="68" t="str">
        <f aca="false">IF(A143="","",COUNTIF(A$5:A143,A143))</f>
        <v/>
      </c>
      <c r="C143" s="68" t="str">
        <f aca="false">IF(A143="","",A143&amp;"-"&amp;B143)</f>
        <v/>
      </c>
      <c r="D143" s="58"/>
      <c r="E143" s="57"/>
      <c r="F143" s="69"/>
      <c r="G143" s="69"/>
      <c r="H143" s="70" t="str">
        <f aca="false">IF(A143="","",IFERROR(INDEX(السندات!$C$5:$C$504,MATCH(A143,السندات!$A$5:$A$504,0)),""))</f>
        <v/>
      </c>
      <c r="I143" s="71" t="str">
        <f aca="false">IF(A143="","",IFERROR(INDEX(السندات!$D$5:$D$504,MATCH(A143,السندات!$A$5:$A$504,0)),""))</f>
        <v/>
      </c>
      <c r="J143" s="72" t="str">
        <f aca="false">IF(A143="","",IF(ISNA(MATCH(A143,السندات!$A$5:$A$504,0)),"رقم سند غير موجود ✘",IF(AND(F143&lt;&gt;"",G143&lt;&gt;""),"اكتب مدين أو دائن فقط ✘",IF(AND(N(F143)=0,N(G143)=0),"بدون مبلغ ⚠",IF(B143&gt;12,"يتجاوز 12 بنداً في الطباعة ⚠","")))))</f>
        <v/>
      </c>
    </row>
    <row r="144" customFormat="false" ht="15" hidden="false" customHeight="false" outlineLevel="0" collapsed="false">
      <c r="A144" s="58"/>
      <c r="B144" s="73" t="str">
        <f aca="false">IF(A144="","",COUNTIF(A$5:A144,A144))</f>
        <v/>
      </c>
      <c r="C144" s="73" t="str">
        <f aca="false">IF(A144="","",A144&amp;"-"&amp;B144)</f>
        <v/>
      </c>
      <c r="D144" s="58"/>
      <c r="E144" s="57"/>
      <c r="F144" s="69"/>
      <c r="G144" s="69"/>
      <c r="H144" s="74" t="str">
        <f aca="false">IF(A144="","",IFERROR(INDEX(السندات!$C$5:$C$504,MATCH(A144,السندات!$A$5:$A$504,0)),""))</f>
        <v/>
      </c>
      <c r="I144" s="75" t="str">
        <f aca="false">IF(A144="","",IFERROR(INDEX(السندات!$D$5:$D$504,MATCH(A144,السندات!$A$5:$A$504,0)),""))</f>
        <v/>
      </c>
      <c r="J144" s="76" t="str">
        <f aca="false">IF(A144="","",IF(ISNA(MATCH(A144,السندات!$A$5:$A$504,0)),"رقم سند غير موجود ✘",IF(AND(F144&lt;&gt;"",G144&lt;&gt;""),"اكتب مدين أو دائن فقط ✘",IF(AND(N(F144)=0,N(G144)=0),"بدون مبلغ ⚠",IF(B144&gt;12,"يتجاوز 12 بنداً في الطباعة ⚠","")))))</f>
        <v/>
      </c>
    </row>
    <row r="145" customFormat="false" ht="15" hidden="false" customHeight="false" outlineLevel="0" collapsed="false">
      <c r="A145" s="58"/>
      <c r="B145" s="68" t="str">
        <f aca="false">IF(A145="","",COUNTIF(A$5:A145,A145))</f>
        <v/>
      </c>
      <c r="C145" s="68" t="str">
        <f aca="false">IF(A145="","",A145&amp;"-"&amp;B145)</f>
        <v/>
      </c>
      <c r="D145" s="58"/>
      <c r="E145" s="57"/>
      <c r="F145" s="69"/>
      <c r="G145" s="69"/>
      <c r="H145" s="70" t="str">
        <f aca="false">IF(A145="","",IFERROR(INDEX(السندات!$C$5:$C$504,MATCH(A145,السندات!$A$5:$A$504,0)),""))</f>
        <v/>
      </c>
      <c r="I145" s="71" t="str">
        <f aca="false">IF(A145="","",IFERROR(INDEX(السندات!$D$5:$D$504,MATCH(A145,السندات!$A$5:$A$504,0)),""))</f>
        <v/>
      </c>
      <c r="J145" s="72" t="str">
        <f aca="false">IF(A145="","",IF(ISNA(MATCH(A145,السندات!$A$5:$A$504,0)),"رقم سند غير موجود ✘",IF(AND(F145&lt;&gt;"",G145&lt;&gt;""),"اكتب مدين أو دائن فقط ✘",IF(AND(N(F145)=0,N(G145)=0),"بدون مبلغ ⚠",IF(B145&gt;12,"يتجاوز 12 بنداً في الطباعة ⚠","")))))</f>
        <v/>
      </c>
    </row>
    <row r="146" customFormat="false" ht="15" hidden="false" customHeight="false" outlineLevel="0" collapsed="false">
      <c r="A146" s="58"/>
      <c r="B146" s="73" t="str">
        <f aca="false">IF(A146="","",COUNTIF(A$5:A146,A146))</f>
        <v/>
      </c>
      <c r="C146" s="73" t="str">
        <f aca="false">IF(A146="","",A146&amp;"-"&amp;B146)</f>
        <v/>
      </c>
      <c r="D146" s="58"/>
      <c r="E146" s="57"/>
      <c r="F146" s="69"/>
      <c r="G146" s="69"/>
      <c r="H146" s="74" t="str">
        <f aca="false">IF(A146="","",IFERROR(INDEX(السندات!$C$5:$C$504,MATCH(A146,السندات!$A$5:$A$504,0)),""))</f>
        <v/>
      </c>
      <c r="I146" s="75" t="str">
        <f aca="false">IF(A146="","",IFERROR(INDEX(السندات!$D$5:$D$504,MATCH(A146,السندات!$A$5:$A$504,0)),""))</f>
        <v/>
      </c>
      <c r="J146" s="76" t="str">
        <f aca="false">IF(A146="","",IF(ISNA(MATCH(A146,السندات!$A$5:$A$504,0)),"رقم سند غير موجود ✘",IF(AND(F146&lt;&gt;"",G146&lt;&gt;""),"اكتب مدين أو دائن فقط ✘",IF(AND(N(F146)=0,N(G146)=0),"بدون مبلغ ⚠",IF(B146&gt;12,"يتجاوز 12 بنداً في الطباعة ⚠","")))))</f>
        <v/>
      </c>
    </row>
    <row r="147" customFormat="false" ht="15" hidden="false" customHeight="false" outlineLevel="0" collapsed="false">
      <c r="A147" s="58"/>
      <c r="B147" s="68" t="str">
        <f aca="false">IF(A147="","",COUNTIF(A$5:A147,A147))</f>
        <v/>
      </c>
      <c r="C147" s="68" t="str">
        <f aca="false">IF(A147="","",A147&amp;"-"&amp;B147)</f>
        <v/>
      </c>
      <c r="D147" s="58"/>
      <c r="E147" s="57"/>
      <c r="F147" s="69"/>
      <c r="G147" s="69"/>
      <c r="H147" s="70" t="str">
        <f aca="false">IF(A147="","",IFERROR(INDEX(السندات!$C$5:$C$504,MATCH(A147,السندات!$A$5:$A$504,0)),""))</f>
        <v/>
      </c>
      <c r="I147" s="71" t="str">
        <f aca="false">IF(A147="","",IFERROR(INDEX(السندات!$D$5:$D$504,MATCH(A147,السندات!$A$5:$A$504,0)),""))</f>
        <v/>
      </c>
      <c r="J147" s="72" t="str">
        <f aca="false">IF(A147="","",IF(ISNA(MATCH(A147,السندات!$A$5:$A$504,0)),"رقم سند غير موجود ✘",IF(AND(F147&lt;&gt;"",G147&lt;&gt;""),"اكتب مدين أو دائن فقط ✘",IF(AND(N(F147)=0,N(G147)=0),"بدون مبلغ ⚠",IF(B147&gt;12,"يتجاوز 12 بنداً في الطباعة ⚠","")))))</f>
        <v/>
      </c>
    </row>
    <row r="148" customFormat="false" ht="15" hidden="false" customHeight="false" outlineLevel="0" collapsed="false">
      <c r="A148" s="58"/>
      <c r="B148" s="73" t="str">
        <f aca="false">IF(A148="","",COUNTIF(A$5:A148,A148))</f>
        <v/>
      </c>
      <c r="C148" s="73" t="str">
        <f aca="false">IF(A148="","",A148&amp;"-"&amp;B148)</f>
        <v/>
      </c>
      <c r="D148" s="58"/>
      <c r="E148" s="57"/>
      <c r="F148" s="69"/>
      <c r="G148" s="69"/>
      <c r="H148" s="74" t="str">
        <f aca="false">IF(A148="","",IFERROR(INDEX(السندات!$C$5:$C$504,MATCH(A148,السندات!$A$5:$A$504,0)),""))</f>
        <v/>
      </c>
      <c r="I148" s="75" t="str">
        <f aca="false">IF(A148="","",IFERROR(INDEX(السندات!$D$5:$D$504,MATCH(A148,السندات!$A$5:$A$504,0)),""))</f>
        <v/>
      </c>
      <c r="J148" s="76" t="str">
        <f aca="false">IF(A148="","",IF(ISNA(MATCH(A148,السندات!$A$5:$A$504,0)),"رقم سند غير موجود ✘",IF(AND(F148&lt;&gt;"",G148&lt;&gt;""),"اكتب مدين أو دائن فقط ✘",IF(AND(N(F148)=0,N(G148)=0),"بدون مبلغ ⚠",IF(B148&gt;12,"يتجاوز 12 بنداً في الطباعة ⚠","")))))</f>
        <v/>
      </c>
    </row>
    <row r="149" customFormat="false" ht="15" hidden="false" customHeight="false" outlineLevel="0" collapsed="false">
      <c r="A149" s="58"/>
      <c r="B149" s="68" t="str">
        <f aca="false">IF(A149="","",COUNTIF(A$5:A149,A149))</f>
        <v/>
      </c>
      <c r="C149" s="68" t="str">
        <f aca="false">IF(A149="","",A149&amp;"-"&amp;B149)</f>
        <v/>
      </c>
      <c r="D149" s="58"/>
      <c r="E149" s="57"/>
      <c r="F149" s="69"/>
      <c r="G149" s="69"/>
      <c r="H149" s="70" t="str">
        <f aca="false">IF(A149="","",IFERROR(INDEX(السندات!$C$5:$C$504,MATCH(A149,السندات!$A$5:$A$504,0)),""))</f>
        <v/>
      </c>
      <c r="I149" s="71" t="str">
        <f aca="false">IF(A149="","",IFERROR(INDEX(السندات!$D$5:$D$504,MATCH(A149,السندات!$A$5:$A$504,0)),""))</f>
        <v/>
      </c>
      <c r="J149" s="72" t="str">
        <f aca="false">IF(A149="","",IF(ISNA(MATCH(A149,السندات!$A$5:$A$504,0)),"رقم سند غير موجود ✘",IF(AND(F149&lt;&gt;"",G149&lt;&gt;""),"اكتب مدين أو دائن فقط ✘",IF(AND(N(F149)=0,N(G149)=0),"بدون مبلغ ⚠",IF(B149&gt;12,"يتجاوز 12 بنداً في الطباعة ⚠","")))))</f>
        <v/>
      </c>
    </row>
    <row r="150" customFormat="false" ht="15" hidden="false" customHeight="false" outlineLevel="0" collapsed="false">
      <c r="A150" s="58"/>
      <c r="B150" s="73" t="str">
        <f aca="false">IF(A150="","",COUNTIF(A$5:A150,A150))</f>
        <v/>
      </c>
      <c r="C150" s="73" t="str">
        <f aca="false">IF(A150="","",A150&amp;"-"&amp;B150)</f>
        <v/>
      </c>
      <c r="D150" s="58"/>
      <c r="E150" s="57"/>
      <c r="F150" s="69"/>
      <c r="G150" s="69"/>
      <c r="H150" s="74" t="str">
        <f aca="false">IF(A150="","",IFERROR(INDEX(السندات!$C$5:$C$504,MATCH(A150,السندات!$A$5:$A$504,0)),""))</f>
        <v/>
      </c>
      <c r="I150" s="75" t="str">
        <f aca="false">IF(A150="","",IFERROR(INDEX(السندات!$D$5:$D$504,MATCH(A150,السندات!$A$5:$A$504,0)),""))</f>
        <v/>
      </c>
      <c r="J150" s="76" t="str">
        <f aca="false">IF(A150="","",IF(ISNA(MATCH(A150,السندات!$A$5:$A$504,0)),"رقم سند غير موجود ✘",IF(AND(F150&lt;&gt;"",G150&lt;&gt;""),"اكتب مدين أو دائن فقط ✘",IF(AND(N(F150)=0,N(G150)=0),"بدون مبلغ ⚠",IF(B150&gt;12,"يتجاوز 12 بنداً في الطباعة ⚠","")))))</f>
        <v/>
      </c>
    </row>
    <row r="151" customFormat="false" ht="15" hidden="false" customHeight="false" outlineLevel="0" collapsed="false">
      <c r="A151" s="58"/>
      <c r="B151" s="68" t="str">
        <f aca="false">IF(A151="","",COUNTIF(A$5:A151,A151))</f>
        <v/>
      </c>
      <c r="C151" s="68" t="str">
        <f aca="false">IF(A151="","",A151&amp;"-"&amp;B151)</f>
        <v/>
      </c>
      <c r="D151" s="58"/>
      <c r="E151" s="57"/>
      <c r="F151" s="69"/>
      <c r="G151" s="69"/>
      <c r="H151" s="70" t="str">
        <f aca="false">IF(A151="","",IFERROR(INDEX(السندات!$C$5:$C$504,MATCH(A151,السندات!$A$5:$A$504,0)),""))</f>
        <v/>
      </c>
      <c r="I151" s="71" t="str">
        <f aca="false">IF(A151="","",IFERROR(INDEX(السندات!$D$5:$D$504,MATCH(A151,السندات!$A$5:$A$504,0)),""))</f>
        <v/>
      </c>
      <c r="J151" s="72" t="str">
        <f aca="false">IF(A151="","",IF(ISNA(MATCH(A151,السندات!$A$5:$A$504,0)),"رقم سند غير موجود ✘",IF(AND(F151&lt;&gt;"",G151&lt;&gt;""),"اكتب مدين أو دائن فقط ✘",IF(AND(N(F151)=0,N(G151)=0),"بدون مبلغ ⚠",IF(B151&gt;12,"يتجاوز 12 بنداً في الطباعة ⚠","")))))</f>
        <v/>
      </c>
    </row>
    <row r="152" customFormat="false" ht="15" hidden="false" customHeight="false" outlineLevel="0" collapsed="false">
      <c r="A152" s="58"/>
      <c r="B152" s="73" t="str">
        <f aca="false">IF(A152="","",COUNTIF(A$5:A152,A152))</f>
        <v/>
      </c>
      <c r="C152" s="73" t="str">
        <f aca="false">IF(A152="","",A152&amp;"-"&amp;B152)</f>
        <v/>
      </c>
      <c r="D152" s="58"/>
      <c r="E152" s="57"/>
      <c r="F152" s="69"/>
      <c r="G152" s="69"/>
      <c r="H152" s="74" t="str">
        <f aca="false">IF(A152="","",IFERROR(INDEX(السندات!$C$5:$C$504,MATCH(A152,السندات!$A$5:$A$504,0)),""))</f>
        <v/>
      </c>
      <c r="I152" s="75" t="str">
        <f aca="false">IF(A152="","",IFERROR(INDEX(السندات!$D$5:$D$504,MATCH(A152,السندات!$A$5:$A$504,0)),""))</f>
        <v/>
      </c>
      <c r="J152" s="76" t="str">
        <f aca="false">IF(A152="","",IF(ISNA(MATCH(A152,السندات!$A$5:$A$504,0)),"رقم سند غير موجود ✘",IF(AND(F152&lt;&gt;"",G152&lt;&gt;""),"اكتب مدين أو دائن فقط ✘",IF(AND(N(F152)=0,N(G152)=0),"بدون مبلغ ⚠",IF(B152&gt;12,"يتجاوز 12 بنداً في الطباعة ⚠","")))))</f>
        <v/>
      </c>
    </row>
    <row r="153" customFormat="false" ht="15" hidden="false" customHeight="false" outlineLevel="0" collapsed="false">
      <c r="A153" s="58"/>
      <c r="B153" s="68" t="str">
        <f aca="false">IF(A153="","",COUNTIF(A$5:A153,A153))</f>
        <v/>
      </c>
      <c r="C153" s="68" t="str">
        <f aca="false">IF(A153="","",A153&amp;"-"&amp;B153)</f>
        <v/>
      </c>
      <c r="D153" s="58"/>
      <c r="E153" s="57"/>
      <c r="F153" s="69"/>
      <c r="G153" s="69"/>
      <c r="H153" s="70" t="str">
        <f aca="false">IF(A153="","",IFERROR(INDEX(السندات!$C$5:$C$504,MATCH(A153,السندات!$A$5:$A$504,0)),""))</f>
        <v/>
      </c>
      <c r="I153" s="71" t="str">
        <f aca="false">IF(A153="","",IFERROR(INDEX(السندات!$D$5:$D$504,MATCH(A153,السندات!$A$5:$A$504,0)),""))</f>
        <v/>
      </c>
      <c r="J153" s="72" t="str">
        <f aca="false">IF(A153="","",IF(ISNA(MATCH(A153,السندات!$A$5:$A$504,0)),"رقم سند غير موجود ✘",IF(AND(F153&lt;&gt;"",G153&lt;&gt;""),"اكتب مدين أو دائن فقط ✘",IF(AND(N(F153)=0,N(G153)=0),"بدون مبلغ ⚠",IF(B153&gt;12,"يتجاوز 12 بنداً في الطباعة ⚠","")))))</f>
        <v/>
      </c>
    </row>
    <row r="154" customFormat="false" ht="15" hidden="false" customHeight="false" outlineLevel="0" collapsed="false">
      <c r="A154" s="58"/>
      <c r="B154" s="73" t="str">
        <f aca="false">IF(A154="","",COUNTIF(A$5:A154,A154))</f>
        <v/>
      </c>
      <c r="C154" s="73" t="str">
        <f aca="false">IF(A154="","",A154&amp;"-"&amp;B154)</f>
        <v/>
      </c>
      <c r="D154" s="58"/>
      <c r="E154" s="57"/>
      <c r="F154" s="69"/>
      <c r="G154" s="69"/>
      <c r="H154" s="74" t="str">
        <f aca="false">IF(A154="","",IFERROR(INDEX(السندات!$C$5:$C$504,MATCH(A154,السندات!$A$5:$A$504,0)),""))</f>
        <v/>
      </c>
      <c r="I154" s="75" t="str">
        <f aca="false">IF(A154="","",IFERROR(INDEX(السندات!$D$5:$D$504,MATCH(A154,السندات!$A$5:$A$504,0)),""))</f>
        <v/>
      </c>
      <c r="J154" s="76" t="str">
        <f aca="false">IF(A154="","",IF(ISNA(MATCH(A154,السندات!$A$5:$A$504,0)),"رقم سند غير موجود ✘",IF(AND(F154&lt;&gt;"",G154&lt;&gt;""),"اكتب مدين أو دائن فقط ✘",IF(AND(N(F154)=0,N(G154)=0),"بدون مبلغ ⚠",IF(B154&gt;12,"يتجاوز 12 بنداً في الطباعة ⚠","")))))</f>
        <v/>
      </c>
    </row>
    <row r="155" customFormat="false" ht="15" hidden="false" customHeight="false" outlineLevel="0" collapsed="false">
      <c r="A155" s="58"/>
      <c r="B155" s="68" t="str">
        <f aca="false">IF(A155="","",COUNTIF(A$5:A155,A155))</f>
        <v/>
      </c>
      <c r="C155" s="68" t="str">
        <f aca="false">IF(A155="","",A155&amp;"-"&amp;B155)</f>
        <v/>
      </c>
      <c r="D155" s="58"/>
      <c r="E155" s="57"/>
      <c r="F155" s="69"/>
      <c r="G155" s="69"/>
      <c r="H155" s="70" t="str">
        <f aca="false">IF(A155="","",IFERROR(INDEX(السندات!$C$5:$C$504,MATCH(A155,السندات!$A$5:$A$504,0)),""))</f>
        <v/>
      </c>
      <c r="I155" s="71" t="str">
        <f aca="false">IF(A155="","",IFERROR(INDEX(السندات!$D$5:$D$504,MATCH(A155,السندات!$A$5:$A$504,0)),""))</f>
        <v/>
      </c>
      <c r="J155" s="72" t="str">
        <f aca="false">IF(A155="","",IF(ISNA(MATCH(A155,السندات!$A$5:$A$504,0)),"رقم سند غير موجود ✘",IF(AND(F155&lt;&gt;"",G155&lt;&gt;""),"اكتب مدين أو دائن فقط ✘",IF(AND(N(F155)=0,N(G155)=0),"بدون مبلغ ⚠",IF(B155&gt;12,"يتجاوز 12 بنداً في الطباعة ⚠","")))))</f>
        <v/>
      </c>
    </row>
    <row r="156" customFormat="false" ht="15" hidden="false" customHeight="false" outlineLevel="0" collapsed="false">
      <c r="A156" s="58"/>
      <c r="B156" s="73" t="str">
        <f aca="false">IF(A156="","",COUNTIF(A$5:A156,A156))</f>
        <v/>
      </c>
      <c r="C156" s="73" t="str">
        <f aca="false">IF(A156="","",A156&amp;"-"&amp;B156)</f>
        <v/>
      </c>
      <c r="D156" s="58"/>
      <c r="E156" s="57"/>
      <c r="F156" s="69"/>
      <c r="G156" s="69"/>
      <c r="H156" s="74" t="str">
        <f aca="false">IF(A156="","",IFERROR(INDEX(السندات!$C$5:$C$504,MATCH(A156,السندات!$A$5:$A$504,0)),""))</f>
        <v/>
      </c>
      <c r="I156" s="75" t="str">
        <f aca="false">IF(A156="","",IFERROR(INDEX(السندات!$D$5:$D$504,MATCH(A156,السندات!$A$5:$A$504,0)),""))</f>
        <v/>
      </c>
      <c r="J156" s="76" t="str">
        <f aca="false">IF(A156="","",IF(ISNA(MATCH(A156,السندات!$A$5:$A$504,0)),"رقم سند غير موجود ✘",IF(AND(F156&lt;&gt;"",G156&lt;&gt;""),"اكتب مدين أو دائن فقط ✘",IF(AND(N(F156)=0,N(G156)=0),"بدون مبلغ ⚠",IF(B156&gt;12,"يتجاوز 12 بنداً في الطباعة ⚠","")))))</f>
        <v/>
      </c>
    </row>
    <row r="157" customFormat="false" ht="15" hidden="false" customHeight="false" outlineLevel="0" collapsed="false">
      <c r="A157" s="58"/>
      <c r="B157" s="68" t="str">
        <f aca="false">IF(A157="","",COUNTIF(A$5:A157,A157))</f>
        <v/>
      </c>
      <c r="C157" s="68" t="str">
        <f aca="false">IF(A157="","",A157&amp;"-"&amp;B157)</f>
        <v/>
      </c>
      <c r="D157" s="58"/>
      <c r="E157" s="57"/>
      <c r="F157" s="69"/>
      <c r="G157" s="69"/>
      <c r="H157" s="70" t="str">
        <f aca="false">IF(A157="","",IFERROR(INDEX(السندات!$C$5:$C$504,MATCH(A157,السندات!$A$5:$A$504,0)),""))</f>
        <v/>
      </c>
      <c r="I157" s="71" t="str">
        <f aca="false">IF(A157="","",IFERROR(INDEX(السندات!$D$5:$D$504,MATCH(A157,السندات!$A$5:$A$504,0)),""))</f>
        <v/>
      </c>
      <c r="J157" s="72" t="str">
        <f aca="false">IF(A157="","",IF(ISNA(MATCH(A157,السندات!$A$5:$A$504,0)),"رقم سند غير موجود ✘",IF(AND(F157&lt;&gt;"",G157&lt;&gt;""),"اكتب مدين أو دائن فقط ✘",IF(AND(N(F157)=0,N(G157)=0),"بدون مبلغ ⚠",IF(B157&gt;12,"يتجاوز 12 بنداً في الطباعة ⚠","")))))</f>
        <v/>
      </c>
    </row>
    <row r="158" customFormat="false" ht="15" hidden="false" customHeight="false" outlineLevel="0" collapsed="false">
      <c r="A158" s="58"/>
      <c r="B158" s="73" t="str">
        <f aca="false">IF(A158="","",COUNTIF(A$5:A158,A158))</f>
        <v/>
      </c>
      <c r="C158" s="73" t="str">
        <f aca="false">IF(A158="","",A158&amp;"-"&amp;B158)</f>
        <v/>
      </c>
      <c r="D158" s="58"/>
      <c r="E158" s="57"/>
      <c r="F158" s="69"/>
      <c r="G158" s="69"/>
      <c r="H158" s="74" t="str">
        <f aca="false">IF(A158="","",IFERROR(INDEX(السندات!$C$5:$C$504,MATCH(A158,السندات!$A$5:$A$504,0)),""))</f>
        <v/>
      </c>
      <c r="I158" s="75" t="str">
        <f aca="false">IF(A158="","",IFERROR(INDEX(السندات!$D$5:$D$504,MATCH(A158,السندات!$A$5:$A$504,0)),""))</f>
        <v/>
      </c>
      <c r="J158" s="76" t="str">
        <f aca="false">IF(A158="","",IF(ISNA(MATCH(A158,السندات!$A$5:$A$504,0)),"رقم سند غير موجود ✘",IF(AND(F158&lt;&gt;"",G158&lt;&gt;""),"اكتب مدين أو دائن فقط ✘",IF(AND(N(F158)=0,N(G158)=0),"بدون مبلغ ⚠",IF(B158&gt;12,"يتجاوز 12 بنداً في الطباعة ⚠","")))))</f>
        <v/>
      </c>
    </row>
    <row r="159" customFormat="false" ht="15" hidden="false" customHeight="false" outlineLevel="0" collapsed="false">
      <c r="A159" s="58"/>
      <c r="B159" s="68" t="str">
        <f aca="false">IF(A159="","",COUNTIF(A$5:A159,A159))</f>
        <v/>
      </c>
      <c r="C159" s="68" t="str">
        <f aca="false">IF(A159="","",A159&amp;"-"&amp;B159)</f>
        <v/>
      </c>
      <c r="D159" s="58"/>
      <c r="E159" s="57"/>
      <c r="F159" s="69"/>
      <c r="G159" s="69"/>
      <c r="H159" s="70" t="str">
        <f aca="false">IF(A159="","",IFERROR(INDEX(السندات!$C$5:$C$504,MATCH(A159,السندات!$A$5:$A$504,0)),""))</f>
        <v/>
      </c>
      <c r="I159" s="71" t="str">
        <f aca="false">IF(A159="","",IFERROR(INDEX(السندات!$D$5:$D$504,MATCH(A159,السندات!$A$5:$A$504,0)),""))</f>
        <v/>
      </c>
      <c r="J159" s="72" t="str">
        <f aca="false">IF(A159="","",IF(ISNA(MATCH(A159,السندات!$A$5:$A$504,0)),"رقم سند غير موجود ✘",IF(AND(F159&lt;&gt;"",G159&lt;&gt;""),"اكتب مدين أو دائن فقط ✘",IF(AND(N(F159)=0,N(G159)=0),"بدون مبلغ ⚠",IF(B159&gt;12,"يتجاوز 12 بنداً في الطباعة ⚠","")))))</f>
        <v/>
      </c>
    </row>
    <row r="160" customFormat="false" ht="15" hidden="false" customHeight="false" outlineLevel="0" collapsed="false">
      <c r="A160" s="58"/>
      <c r="B160" s="73" t="str">
        <f aca="false">IF(A160="","",COUNTIF(A$5:A160,A160))</f>
        <v/>
      </c>
      <c r="C160" s="73" t="str">
        <f aca="false">IF(A160="","",A160&amp;"-"&amp;B160)</f>
        <v/>
      </c>
      <c r="D160" s="58"/>
      <c r="E160" s="57"/>
      <c r="F160" s="69"/>
      <c r="G160" s="69"/>
      <c r="H160" s="74" t="str">
        <f aca="false">IF(A160="","",IFERROR(INDEX(السندات!$C$5:$C$504,MATCH(A160,السندات!$A$5:$A$504,0)),""))</f>
        <v/>
      </c>
      <c r="I160" s="75" t="str">
        <f aca="false">IF(A160="","",IFERROR(INDEX(السندات!$D$5:$D$504,MATCH(A160,السندات!$A$5:$A$504,0)),""))</f>
        <v/>
      </c>
      <c r="J160" s="76" t="str">
        <f aca="false">IF(A160="","",IF(ISNA(MATCH(A160,السندات!$A$5:$A$504,0)),"رقم سند غير موجود ✘",IF(AND(F160&lt;&gt;"",G160&lt;&gt;""),"اكتب مدين أو دائن فقط ✘",IF(AND(N(F160)=0,N(G160)=0),"بدون مبلغ ⚠",IF(B160&gt;12,"يتجاوز 12 بنداً في الطباعة ⚠","")))))</f>
        <v/>
      </c>
    </row>
    <row r="161" customFormat="false" ht="15" hidden="false" customHeight="false" outlineLevel="0" collapsed="false">
      <c r="A161" s="58"/>
      <c r="B161" s="68" t="str">
        <f aca="false">IF(A161="","",COUNTIF(A$5:A161,A161))</f>
        <v/>
      </c>
      <c r="C161" s="68" t="str">
        <f aca="false">IF(A161="","",A161&amp;"-"&amp;B161)</f>
        <v/>
      </c>
      <c r="D161" s="58"/>
      <c r="E161" s="57"/>
      <c r="F161" s="69"/>
      <c r="G161" s="69"/>
      <c r="H161" s="70" t="str">
        <f aca="false">IF(A161="","",IFERROR(INDEX(السندات!$C$5:$C$504,MATCH(A161,السندات!$A$5:$A$504,0)),""))</f>
        <v/>
      </c>
      <c r="I161" s="71" t="str">
        <f aca="false">IF(A161="","",IFERROR(INDEX(السندات!$D$5:$D$504,MATCH(A161,السندات!$A$5:$A$504,0)),""))</f>
        <v/>
      </c>
      <c r="J161" s="72" t="str">
        <f aca="false">IF(A161="","",IF(ISNA(MATCH(A161,السندات!$A$5:$A$504,0)),"رقم سند غير موجود ✘",IF(AND(F161&lt;&gt;"",G161&lt;&gt;""),"اكتب مدين أو دائن فقط ✘",IF(AND(N(F161)=0,N(G161)=0),"بدون مبلغ ⚠",IF(B161&gt;12,"يتجاوز 12 بنداً في الطباعة ⚠","")))))</f>
        <v/>
      </c>
    </row>
    <row r="162" customFormat="false" ht="15" hidden="false" customHeight="false" outlineLevel="0" collapsed="false">
      <c r="A162" s="58"/>
      <c r="B162" s="73" t="str">
        <f aca="false">IF(A162="","",COUNTIF(A$5:A162,A162))</f>
        <v/>
      </c>
      <c r="C162" s="73" t="str">
        <f aca="false">IF(A162="","",A162&amp;"-"&amp;B162)</f>
        <v/>
      </c>
      <c r="D162" s="58"/>
      <c r="E162" s="57"/>
      <c r="F162" s="69"/>
      <c r="G162" s="69"/>
      <c r="H162" s="74" t="str">
        <f aca="false">IF(A162="","",IFERROR(INDEX(السندات!$C$5:$C$504,MATCH(A162,السندات!$A$5:$A$504,0)),""))</f>
        <v/>
      </c>
      <c r="I162" s="75" t="str">
        <f aca="false">IF(A162="","",IFERROR(INDEX(السندات!$D$5:$D$504,MATCH(A162,السندات!$A$5:$A$504,0)),""))</f>
        <v/>
      </c>
      <c r="J162" s="76" t="str">
        <f aca="false">IF(A162="","",IF(ISNA(MATCH(A162,السندات!$A$5:$A$504,0)),"رقم سند غير موجود ✘",IF(AND(F162&lt;&gt;"",G162&lt;&gt;""),"اكتب مدين أو دائن فقط ✘",IF(AND(N(F162)=0,N(G162)=0),"بدون مبلغ ⚠",IF(B162&gt;12,"يتجاوز 12 بنداً في الطباعة ⚠","")))))</f>
        <v/>
      </c>
    </row>
    <row r="163" customFormat="false" ht="15" hidden="false" customHeight="false" outlineLevel="0" collapsed="false">
      <c r="A163" s="58"/>
      <c r="B163" s="68" t="str">
        <f aca="false">IF(A163="","",COUNTIF(A$5:A163,A163))</f>
        <v/>
      </c>
      <c r="C163" s="68" t="str">
        <f aca="false">IF(A163="","",A163&amp;"-"&amp;B163)</f>
        <v/>
      </c>
      <c r="D163" s="58"/>
      <c r="E163" s="57"/>
      <c r="F163" s="69"/>
      <c r="G163" s="69"/>
      <c r="H163" s="70" t="str">
        <f aca="false">IF(A163="","",IFERROR(INDEX(السندات!$C$5:$C$504,MATCH(A163,السندات!$A$5:$A$504,0)),""))</f>
        <v/>
      </c>
      <c r="I163" s="71" t="str">
        <f aca="false">IF(A163="","",IFERROR(INDEX(السندات!$D$5:$D$504,MATCH(A163,السندات!$A$5:$A$504,0)),""))</f>
        <v/>
      </c>
      <c r="J163" s="72" t="str">
        <f aca="false">IF(A163="","",IF(ISNA(MATCH(A163,السندات!$A$5:$A$504,0)),"رقم سند غير موجود ✘",IF(AND(F163&lt;&gt;"",G163&lt;&gt;""),"اكتب مدين أو دائن فقط ✘",IF(AND(N(F163)=0,N(G163)=0),"بدون مبلغ ⚠",IF(B163&gt;12,"يتجاوز 12 بنداً في الطباعة ⚠","")))))</f>
        <v/>
      </c>
    </row>
    <row r="164" customFormat="false" ht="15" hidden="false" customHeight="false" outlineLevel="0" collapsed="false">
      <c r="A164" s="58"/>
      <c r="B164" s="73" t="str">
        <f aca="false">IF(A164="","",COUNTIF(A$5:A164,A164))</f>
        <v/>
      </c>
      <c r="C164" s="73" t="str">
        <f aca="false">IF(A164="","",A164&amp;"-"&amp;B164)</f>
        <v/>
      </c>
      <c r="D164" s="58"/>
      <c r="E164" s="57"/>
      <c r="F164" s="69"/>
      <c r="G164" s="69"/>
      <c r="H164" s="74" t="str">
        <f aca="false">IF(A164="","",IFERROR(INDEX(السندات!$C$5:$C$504,MATCH(A164,السندات!$A$5:$A$504,0)),""))</f>
        <v/>
      </c>
      <c r="I164" s="75" t="str">
        <f aca="false">IF(A164="","",IFERROR(INDEX(السندات!$D$5:$D$504,MATCH(A164,السندات!$A$5:$A$504,0)),""))</f>
        <v/>
      </c>
      <c r="J164" s="76" t="str">
        <f aca="false">IF(A164="","",IF(ISNA(MATCH(A164,السندات!$A$5:$A$504,0)),"رقم سند غير موجود ✘",IF(AND(F164&lt;&gt;"",G164&lt;&gt;""),"اكتب مدين أو دائن فقط ✘",IF(AND(N(F164)=0,N(G164)=0),"بدون مبلغ ⚠",IF(B164&gt;12,"يتجاوز 12 بنداً في الطباعة ⚠","")))))</f>
        <v/>
      </c>
    </row>
    <row r="165" customFormat="false" ht="15" hidden="false" customHeight="false" outlineLevel="0" collapsed="false">
      <c r="A165" s="58"/>
      <c r="B165" s="68" t="str">
        <f aca="false">IF(A165="","",COUNTIF(A$5:A165,A165))</f>
        <v/>
      </c>
      <c r="C165" s="68" t="str">
        <f aca="false">IF(A165="","",A165&amp;"-"&amp;B165)</f>
        <v/>
      </c>
      <c r="D165" s="58"/>
      <c r="E165" s="57"/>
      <c r="F165" s="69"/>
      <c r="G165" s="69"/>
      <c r="H165" s="70" t="str">
        <f aca="false">IF(A165="","",IFERROR(INDEX(السندات!$C$5:$C$504,MATCH(A165,السندات!$A$5:$A$504,0)),""))</f>
        <v/>
      </c>
      <c r="I165" s="71" t="str">
        <f aca="false">IF(A165="","",IFERROR(INDEX(السندات!$D$5:$D$504,MATCH(A165,السندات!$A$5:$A$504,0)),""))</f>
        <v/>
      </c>
      <c r="J165" s="72" t="str">
        <f aca="false">IF(A165="","",IF(ISNA(MATCH(A165,السندات!$A$5:$A$504,0)),"رقم سند غير موجود ✘",IF(AND(F165&lt;&gt;"",G165&lt;&gt;""),"اكتب مدين أو دائن فقط ✘",IF(AND(N(F165)=0,N(G165)=0),"بدون مبلغ ⚠",IF(B165&gt;12,"يتجاوز 12 بنداً في الطباعة ⚠","")))))</f>
        <v/>
      </c>
    </row>
    <row r="166" customFormat="false" ht="15" hidden="false" customHeight="false" outlineLevel="0" collapsed="false">
      <c r="A166" s="58"/>
      <c r="B166" s="73" t="str">
        <f aca="false">IF(A166="","",COUNTIF(A$5:A166,A166))</f>
        <v/>
      </c>
      <c r="C166" s="73" t="str">
        <f aca="false">IF(A166="","",A166&amp;"-"&amp;B166)</f>
        <v/>
      </c>
      <c r="D166" s="58"/>
      <c r="E166" s="57"/>
      <c r="F166" s="69"/>
      <c r="G166" s="69"/>
      <c r="H166" s="74" t="str">
        <f aca="false">IF(A166="","",IFERROR(INDEX(السندات!$C$5:$C$504,MATCH(A166,السندات!$A$5:$A$504,0)),""))</f>
        <v/>
      </c>
      <c r="I166" s="75" t="str">
        <f aca="false">IF(A166="","",IFERROR(INDEX(السندات!$D$5:$D$504,MATCH(A166,السندات!$A$5:$A$504,0)),""))</f>
        <v/>
      </c>
      <c r="J166" s="76" t="str">
        <f aca="false">IF(A166="","",IF(ISNA(MATCH(A166,السندات!$A$5:$A$504,0)),"رقم سند غير موجود ✘",IF(AND(F166&lt;&gt;"",G166&lt;&gt;""),"اكتب مدين أو دائن فقط ✘",IF(AND(N(F166)=0,N(G166)=0),"بدون مبلغ ⚠",IF(B166&gt;12,"يتجاوز 12 بنداً في الطباعة ⚠","")))))</f>
        <v/>
      </c>
    </row>
    <row r="167" customFormat="false" ht="15" hidden="false" customHeight="false" outlineLevel="0" collapsed="false">
      <c r="A167" s="58"/>
      <c r="B167" s="68" t="str">
        <f aca="false">IF(A167="","",COUNTIF(A$5:A167,A167))</f>
        <v/>
      </c>
      <c r="C167" s="68" t="str">
        <f aca="false">IF(A167="","",A167&amp;"-"&amp;B167)</f>
        <v/>
      </c>
      <c r="D167" s="58"/>
      <c r="E167" s="57"/>
      <c r="F167" s="69"/>
      <c r="G167" s="69"/>
      <c r="H167" s="70" t="str">
        <f aca="false">IF(A167="","",IFERROR(INDEX(السندات!$C$5:$C$504,MATCH(A167,السندات!$A$5:$A$504,0)),""))</f>
        <v/>
      </c>
      <c r="I167" s="71" t="str">
        <f aca="false">IF(A167="","",IFERROR(INDEX(السندات!$D$5:$D$504,MATCH(A167,السندات!$A$5:$A$504,0)),""))</f>
        <v/>
      </c>
      <c r="J167" s="72" t="str">
        <f aca="false">IF(A167="","",IF(ISNA(MATCH(A167,السندات!$A$5:$A$504,0)),"رقم سند غير موجود ✘",IF(AND(F167&lt;&gt;"",G167&lt;&gt;""),"اكتب مدين أو دائن فقط ✘",IF(AND(N(F167)=0,N(G167)=0),"بدون مبلغ ⚠",IF(B167&gt;12,"يتجاوز 12 بنداً في الطباعة ⚠","")))))</f>
        <v/>
      </c>
    </row>
    <row r="168" customFormat="false" ht="15" hidden="false" customHeight="false" outlineLevel="0" collapsed="false">
      <c r="A168" s="58"/>
      <c r="B168" s="73" t="str">
        <f aca="false">IF(A168="","",COUNTIF(A$5:A168,A168))</f>
        <v/>
      </c>
      <c r="C168" s="73" t="str">
        <f aca="false">IF(A168="","",A168&amp;"-"&amp;B168)</f>
        <v/>
      </c>
      <c r="D168" s="58"/>
      <c r="E168" s="57"/>
      <c r="F168" s="69"/>
      <c r="G168" s="69"/>
      <c r="H168" s="74" t="str">
        <f aca="false">IF(A168="","",IFERROR(INDEX(السندات!$C$5:$C$504,MATCH(A168,السندات!$A$5:$A$504,0)),""))</f>
        <v/>
      </c>
      <c r="I168" s="75" t="str">
        <f aca="false">IF(A168="","",IFERROR(INDEX(السندات!$D$5:$D$504,MATCH(A168,السندات!$A$5:$A$504,0)),""))</f>
        <v/>
      </c>
      <c r="J168" s="76" t="str">
        <f aca="false">IF(A168="","",IF(ISNA(MATCH(A168,السندات!$A$5:$A$504,0)),"رقم سند غير موجود ✘",IF(AND(F168&lt;&gt;"",G168&lt;&gt;""),"اكتب مدين أو دائن فقط ✘",IF(AND(N(F168)=0,N(G168)=0),"بدون مبلغ ⚠",IF(B168&gt;12,"يتجاوز 12 بنداً في الطباعة ⚠","")))))</f>
        <v/>
      </c>
    </row>
    <row r="169" customFormat="false" ht="15" hidden="false" customHeight="false" outlineLevel="0" collapsed="false">
      <c r="A169" s="58"/>
      <c r="B169" s="68" t="str">
        <f aca="false">IF(A169="","",COUNTIF(A$5:A169,A169))</f>
        <v/>
      </c>
      <c r="C169" s="68" t="str">
        <f aca="false">IF(A169="","",A169&amp;"-"&amp;B169)</f>
        <v/>
      </c>
      <c r="D169" s="58"/>
      <c r="E169" s="57"/>
      <c r="F169" s="69"/>
      <c r="G169" s="69"/>
      <c r="H169" s="70" t="str">
        <f aca="false">IF(A169="","",IFERROR(INDEX(السندات!$C$5:$C$504,MATCH(A169,السندات!$A$5:$A$504,0)),""))</f>
        <v/>
      </c>
      <c r="I169" s="71" t="str">
        <f aca="false">IF(A169="","",IFERROR(INDEX(السندات!$D$5:$D$504,MATCH(A169,السندات!$A$5:$A$504,0)),""))</f>
        <v/>
      </c>
      <c r="J169" s="72" t="str">
        <f aca="false">IF(A169="","",IF(ISNA(MATCH(A169,السندات!$A$5:$A$504,0)),"رقم سند غير موجود ✘",IF(AND(F169&lt;&gt;"",G169&lt;&gt;""),"اكتب مدين أو دائن فقط ✘",IF(AND(N(F169)=0,N(G169)=0),"بدون مبلغ ⚠",IF(B169&gt;12,"يتجاوز 12 بنداً في الطباعة ⚠","")))))</f>
        <v/>
      </c>
    </row>
    <row r="170" customFormat="false" ht="15" hidden="false" customHeight="false" outlineLevel="0" collapsed="false">
      <c r="A170" s="58"/>
      <c r="B170" s="73" t="str">
        <f aca="false">IF(A170="","",COUNTIF(A$5:A170,A170))</f>
        <v/>
      </c>
      <c r="C170" s="73" t="str">
        <f aca="false">IF(A170="","",A170&amp;"-"&amp;B170)</f>
        <v/>
      </c>
      <c r="D170" s="58"/>
      <c r="E170" s="57"/>
      <c r="F170" s="69"/>
      <c r="G170" s="69"/>
      <c r="H170" s="74" t="str">
        <f aca="false">IF(A170="","",IFERROR(INDEX(السندات!$C$5:$C$504,MATCH(A170,السندات!$A$5:$A$504,0)),""))</f>
        <v/>
      </c>
      <c r="I170" s="75" t="str">
        <f aca="false">IF(A170="","",IFERROR(INDEX(السندات!$D$5:$D$504,MATCH(A170,السندات!$A$5:$A$504,0)),""))</f>
        <v/>
      </c>
      <c r="J170" s="76" t="str">
        <f aca="false">IF(A170="","",IF(ISNA(MATCH(A170,السندات!$A$5:$A$504,0)),"رقم سند غير موجود ✘",IF(AND(F170&lt;&gt;"",G170&lt;&gt;""),"اكتب مدين أو دائن فقط ✘",IF(AND(N(F170)=0,N(G170)=0),"بدون مبلغ ⚠",IF(B170&gt;12,"يتجاوز 12 بنداً في الطباعة ⚠","")))))</f>
        <v/>
      </c>
    </row>
    <row r="171" customFormat="false" ht="15" hidden="false" customHeight="false" outlineLevel="0" collapsed="false">
      <c r="A171" s="58"/>
      <c r="B171" s="68" t="str">
        <f aca="false">IF(A171="","",COUNTIF(A$5:A171,A171))</f>
        <v/>
      </c>
      <c r="C171" s="68" t="str">
        <f aca="false">IF(A171="","",A171&amp;"-"&amp;B171)</f>
        <v/>
      </c>
      <c r="D171" s="58"/>
      <c r="E171" s="57"/>
      <c r="F171" s="69"/>
      <c r="G171" s="69"/>
      <c r="H171" s="70" t="str">
        <f aca="false">IF(A171="","",IFERROR(INDEX(السندات!$C$5:$C$504,MATCH(A171,السندات!$A$5:$A$504,0)),""))</f>
        <v/>
      </c>
      <c r="I171" s="71" t="str">
        <f aca="false">IF(A171="","",IFERROR(INDEX(السندات!$D$5:$D$504,MATCH(A171,السندات!$A$5:$A$504,0)),""))</f>
        <v/>
      </c>
      <c r="J171" s="72" t="str">
        <f aca="false">IF(A171="","",IF(ISNA(MATCH(A171,السندات!$A$5:$A$504,0)),"رقم سند غير موجود ✘",IF(AND(F171&lt;&gt;"",G171&lt;&gt;""),"اكتب مدين أو دائن فقط ✘",IF(AND(N(F171)=0,N(G171)=0),"بدون مبلغ ⚠",IF(B171&gt;12,"يتجاوز 12 بنداً في الطباعة ⚠","")))))</f>
        <v/>
      </c>
    </row>
    <row r="172" customFormat="false" ht="15" hidden="false" customHeight="false" outlineLevel="0" collapsed="false">
      <c r="A172" s="58"/>
      <c r="B172" s="73" t="str">
        <f aca="false">IF(A172="","",COUNTIF(A$5:A172,A172))</f>
        <v/>
      </c>
      <c r="C172" s="73" t="str">
        <f aca="false">IF(A172="","",A172&amp;"-"&amp;B172)</f>
        <v/>
      </c>
      <c r="D172" s="58"/>
      <c r="E172" s="57"/>
      <c r="F172" s="69"/>
      <c r="G172" s="69"/>
      <c r="H172" s="74" t="str">
        <f aca="false">IF(A172="","",IFERROR(INDEX(السندات!$C$5:$C$504,MATCH(A172,السندات!$A$5:$A$504,0)),""))</f>
        <v/>
      </c>
      <c r="I172" s="75" t="str">
        <f aca="false">IF(A172="","",IFERROR(INDEX(السندات!$D$5:$D$504,MATCH(A172,السندات!$A$5:$A$504,0)),""))</f>
        <v/>
      </c>
      <c r="J172" s="76" t="str">
        <f aca="false">IF(A172="","",IF(ISNA(MATCH(A172,السندات!$A$5:$A$504,0)),"رقم سند غير موجود ✘",IF(AND(F172&lt;&gt;"",G172&lt;&gt;""),"اكتب مدين أو دائن فقط ✘",IF(AND(N(F172)=0,N(G172)=0),"بدون مبلغ ⚠",IF(B172&gt;12,"يتجاوز 12 بنداً في الطباعة ⚠","")))))</f>
        <v/>
      </c>
    </row>
    <row r="173" customFormat="false" ht="15" hidden="false" customHeight="false" outlineLevel="0" collapsed="false">
      <c r="A173" s="58"/>
      <c r="B173" s="68" t="str">
        <f aca="false">IF(A173="","",COUNTIF(A$5:A173,A173))</f>
        <v/>
      </c>
      <c r="C173" s="68" t="str">
        <f aca="false">IF(A173="","",A173&amp;"-"&amp;B173)</f>
        <v/>
      </c>
      <c r="D173" s="58"/>
      <c r="E173" s="57"/>
      <c r="F173" s="69"/>
      <c r="G173" s="69"/>
      <c r="H173" s="70" t="str">
        <f aca="false">IF(A173="","",IFERROR(INDEX(السندات!$C$5:$C$504,MATCH(A173,السندات!$A$5:$A$504,0)),""))</f>
        <v/>
      </c>
      <c r="I173" s="71" t="str">
        <f aca="false">IF(A173="","",IFERROR(INDEX(السندات!$D$5:$D$504,MATCH(A173,السندات!$A$5:$A$504,0)),""))</f>
        <v/>
      </c>
      <c r="J173" s="72" t="str">
        <f aca="false">IF(A173="","",IF(ISNA(MATCH(A173,السندات!$A$5:$A$504,0)),"رقم سند غير موجود ✘",IF(AND(F173&lt;&gt;"",G173&lt;&gt;""),"اكتب مدين أو دائن فقط ✘",IF(AND(N(F173)=0,N(G173)=0),"بدون مبلغ ⚠",IF(B173&gt;12,"يتجاوز 12 بنداً في الطباعة ⚠","")))))</f>
        <v/>
      </c>
    </row>
    <row r="174" customFormat="false" ht="15" hidden="false" customHeight="false" outlineLevel="0" collapsed="false">
      <c r="A174" s="58"/>
      <c r="B174" s="73" t="str">
        <f aca="false">IF(A174="","",COUNTIF(A$5:A174,A174))</f>
        <v/>
      </c>
      <c r="C174" s="73" t="str">
        <f aca="false">IF(A174="","",A174&amp;"-"&amp;B174)</f>
        <v/>
      </c>
      <c r="D174" s="58"/>
      <c r="E174" s="57"/>
      <c r="F174" s="69"/>
      <c r="G174" s="69"/>
      <c r="H174" s="74" t="str">
        <f aca="false">IF(A174="","",IFERROR(INDEX(السندات!$C$5:$C$504,MATCH(A174,السندات!$A$5:$A$504,0)),""))</f>
        <v/>
      </c>
      <c r="I174" s="75" t="str">
        <f aca="false">IF(A174="","",IFERROR(INDEX(السندات!$D$5:$D$504,MATCH(A174,السندات!$A$5:$A$504,0)),""))</f>
        <v/>
      </c>
      <c r="J174" s="76" t="str">
        <f aca="false">IF(A174="","",IF(ISNA(MATCH(A174,السندات!$A$5:$A$504,0)),"رقم سند غير موجود ✘",IF(AND(F174&lt;&gt;"",G174&lt;&gt;""),"اكتب مدين أو دائن فقط ✘",IF(AND(N(F174)=0,N(G174)=0),"بدون مبلغ ⚠",IF(B174&gt;12,"يتجاوز 12 بنداً في الطباعة ⚠","")))))</f>
        <v/>
      </c>
    </row>
    <row r="175" customFormat="false" ht="15" hidden="false" customHeight="false" outlineLevel="0" collapsed="false">
      <c r="A175" s="58"/>
      <c r="B175" s="68" t="str">
        <f aca="false">IF(A175="","",COUNTIF(A$5:A175,A175))</f>
        <v/>
      </c>
      <c r="C175" s="68" t="str">
        <f aca="false">IF(A175="","",A175&amp;"-"&amp;B175)</f>
        <v/>
      </c>
      <c r="D175" s="58"/>
      <c r="E175" s="57"/>
      <c r="F175" s="69"/>
      <c r="G175" s="69"/>
      <c r="H175" s="70" t="str">
        <f aca="false">IF(A175="","",IFERROR(INDEX(السندات!$C$5:$C$504,MATCH(A175,السندات!$A$5:$A$504,0)),""))</f>
        <v/>
      </c>
      <c r="I175" s="71" t="str">
        <f aca="false">IF(A175="","",IFERROR(INDEX(السندات!$D$5:$D$504,MATCH(A175,السندات!$A$5:$A$504,0)),""))</f>
        <v/>
      </c>
      <c r="J175" s="72" t="str">
        <f aca="false">IF(A175="","",IF(ISNA(MATCH(A175,السندات!$A$5:$A$504,0)),"رقم سند غير موجود ✘",IF(AND(F175&lt;&gt;"",G175&lt;&gt;""),"اكتب مدين أو دائن فقط ✘",IF(AND(N(F175)=0,N(G175)=0),"بدون مبلغ ⚠",IF(B175&gt;12,"يتجاوز 12 بنداً في الطباعة ⚠","")))))</f>
        <v/>
      </c>
    </row>
    <row r="176" customFormat="false" ht="15" hidden="false" customHeight="false" outlineLevel="0" collapsed="false">
      <c r="A176" s="58"/>
      <c r="B176" s="73" t="str">
        <f aca="false">IF(A176="","",COUNTIF(A$5:A176,A176))</f>
        <v/>
      </c>
      <c r="C176" s="73" t="str">
        <f aca="false">IF(A176="","",A176&amp;"-"&amp;B176)</f>
        <v/>
      </c>
      <c r="D176" s="58"/>
      <c r="E176" s="57"/>
      <c r="F176" s="69"/>
      <c r="G176" s="69"/>
      <c r="H176" s="74" t="str">
        <f aca="false">IF(A176="","",IFERROR(INDEX(السندات!$C$5:$C$504,MATCH(A176,السندات!$A$5:$A$504,0)),""))</f>
        <v/>
      </c>
      <c r="I176" s="75" t="str">
        <f aca="false">IF(A176="","",IFERROR(INDEX(السندات!$D$5:$D$504,MATCH(A176,السندات!$A$5:$A$504,0)),""))</f>
        <v/>
      </c>
      <c r="J176" s="76" t="str">
        <f aca="false">IF(A176="","",IF(ISNA(MATCH(A176,السندات!$A$5:$A$504,0)),"رقم سند غير موجود ✘",IF(AND(F176&lt;&gt;"",G176&lt;&gt;""),"اكتب مدين أو دائن فقط ✘",IF(AND(N(F176)=0,N(G176)=0),"بدون مبلغ ⚠",IF(B176&gt;12,"يتجاوز 12 بنداً في الطباعة ⚠","")))))</f>
        <v/>
      </c>
    </row>
    <row r="177" customFormat="false" ht="15" hidden="false" customHeight="false" outlineLevel="0" collapsed="false">
      <c r="A177" s="58"/>
      <c r="B177" s="68" t="str">
        <f aca="false">IF(A177="","",COUNTIF(A$5:A177,A177))</f>
        <v/>
      </c>
      <c r="C177" s="68" t="str">
        <f aca="false">IF(A177="","",A177&amp;"-"&amp;B177)</f>
        <v/>
      </c>
      <c r="D177" s="58"/>
      <c r="E177" s="57"/>
      <c r="F177" s="69"/>
      <c r="G177" s="69"/>
      <c r="H177" s="70" t="str">
        <f aca="false">IF(A177="","",IFERROR(INDEX(السندات!$C$5:$C$504,MATCH(A177,السندات!$A$5:$A$504,0)),""))</f>
        <v/>
      </c>
      <c r="I177" s="71" t="str">
        <f aca="false">IF(A177="","",IFERROR(INDEX(السندات!$D$5:$D$504,MATCH(A177,السندات!$A$5:$A$504,0)),""))</f>
        <v/>
      </c>
      <c r="J177" s="72" t="str">
        <f aca="false">IF(A177="","",IF(ISNA(MATCH(A177,السندات!$A$5:$A$504,0)),"رقم سند غير موجود ✘",IF(AND(F177&lt;&gt;"",G177&lt;&gt;""),"اكتب مدين أو دائن فقط ✘",IF(AND(N(F177)=0,N(G177)=0),"بدون مبلغ ⚠",IF(B177&gt;12,"يتجاوز 12 بنداً في الطباعة ⚠","")))))</f>
        <v/>
      </c>
    </row>
    <row r="178" customFormat="false" ht="15" hidden="false" customHeight="false" outlineLevel="0" collapsed="false">
      <c r="A178" s="58"/>
      <c r="B178" s="73" t="str">
        <f aca="false">IF(A178="","",COUNTIF(A$5:A178,A178))</f>
        <v/>
      </c>
      <c r="C178" s="73" t="str">
        <f aca="false">IF(A178="","",A178&amp;"-"&amp;B178)</f>
        <v/>
      </c>
      <c r="D178" s="58"/>
      <c r="E178" s="57"/>
      <c r="F178" s="69"/>
      <c r="G178" s="69"/>
      <c r="H178" s="74" t="str">
        <f aca="false">IF(A178="","",IFERROR(INDEX(السندات!$C$5:$C$504,MATCH(A178,السندات!$A$5:$A$504,0)),""))</f>
        <v/>
      </c>
      <c r="I178" s="75" t="str">
        <f aca="false">IF(A178="","",IFERROR(INDEX(السندات!$D$5:$D$504,MATCH(A178,السندات!$A$5:$A$504,0)),""))</f>
        <v/>
      </c>
      <c r="J178" s="76" t="str">
        <f aca="false">IF(A178="","",IF(ISNA(MATCH(A178,السندات!$A$5:$A$504,0)),"رقم سند غير موجود ✘",IF(AND(F178&lt;&gt;"",G178&lt;&gt;""),"اكتب مدين أو دائن فقط ✘",IF(AND(N(F178)=0,N(G178)=0),"بدون مبلغ ⚠",IF(B178&gt;12,"يتجاوز 12 بنداً في الطباعة ⚠","")))))</f>
        <v/>
      </c>
    </row>
    <row r="179" customFormat="false" ht="15" hidden="false" customHeight="false" outlineLevel="0" collapsed="false">
      <c r="A179" s="58"/>
      <c r="B179" s="68" t="str">
        <f aca="false">IF(A179="","",COUNTIF(A$5:A179,A179))</f>
        <v/>
      </c>
      <c r="C179" s="68" t="str">
        <f aca="false">IF(A179="","",A179&amp;"-"&amp;B179)</f>
        <v/>
      </c>
      <c r="D179" s="58"/>
      <c r="E179" s="57"/>
      <c r="F179" s="69"/>
      <c r="G179" s="69"/>
      <c r="H179" s="70" t="str">
        <f aca="false">IF(A179="","",IFERROR(INDEX(السندات!$C$5:$C$504,MATCH(A179,السندات!$A$5:$A$504,0)),""))</f>
        <v/>
      </c>
      <c r="I179" s="71" t="str">
        <f aca="false">IF(A179="","",IFERROR(INDEX(السندات!$D$5:$D$504,MATCH(A179,السندات!$A$5:$A$504,0)),""))</f>
        <v/>
      </c>
      <c r="J179" s="72" t="str">
        <f aca="false">IF(A179="","",IF(ISNA(MATCH(A179,السندات!$A$5:$A$504,0)),"رقم سند غير موجود ✘",IF(AND(F179&lt;&gt;"",G179&lt;&gt;""),"اكتب مدين أو دائن فقط ✘",IF(AND(N(F179)=0,N(G179)=0),"بدون مبلغ ⚠",IF(B179&gt;12,"يتجاوز 12 بنداً في الطباعة ⚠","")))))</f>
        <v/>
      </c>
    </row>
    <row r="180" customFormat="false" ht="15" hidden="false" customHeight="false" outlineLevel="0" collapsed="false">
      <c r="A180" s="58"/>
      <c r="B180" s="73" t="str">
        <f aca="false">IF(A180="","",COUNTIF(A$5:A180,A180))</f>
        <v/>
      </c>
      <c r="C180" s="73" t="str">
        <f aca="false">IF(A180="","",A180&amp;"-"&amp;B180)</f>
        <v/>
      </c>
      <c r="D180" s="58"/>
      <c r="E180" s="57"/>
      <c r="F180" s="69"/>
      <c r="G180" s="69"/>
      <c r="H180" s="74" t="str">
        <f aca="false">IF(A180="","",IFERROR(INDEX(السندات!$C$5:$C$504,MATCH(A180,السندات!$A$5:$A$504,0)),""))</f>
        <v/>
      </c>
      <c r="I180" s="75" t="str">
        <f aca="false">IF(A180="","",IFERROR(INDEX(السندات!$D$5:$D$504,MATCH(A180,السندات!$A$5:$A$504,0)),""))</f>
        <v/>
      </c>
      <c r="J180" s="76" t="str">
        <f aca="false">IF(A180="","",IF(ISNA(MATCH(A180,السندات!$A$5:$A$504,0)),"رقم سند غير موجود ✘",IF(AND(F180&lt;&gt;"",G180&lt;&gt;""),"اكتب مدين أو دائن فقط ✘",IF(AND(N(F180)=0,N(G180)=0),"بدون مبلغ ⚠",IF(B180&gt;12,"يتجاوز 12 بنداً في الطباعة ⚠","")))))</f>
        <v/>
      </c>
    </row>
    <row r="181" customFormat="false" ht="15" hidden="false" customHeight="false" outlineLevel="0" collapsed="false">
      <c r="A181" s="58"/>
      <c r="B181" s="68" t="str">
        <f aca="false">IF(A181="","",COUNTIF(A$5:A181,A181))</f>
        <v/>
      </c>
      <c r="C181" s="68" t="str">
        <f aca="false">IF(A181="","",A181&amp;"-"&amp;B181)</f>
        <v/>
      </c>
      <c r="D181" s="58"/>
      <c r="E181" s="57"/>
      <c r="F181" s="69"/>
      <c r="G181" s="69"/>
      <c r="H181" s="70" t="str">
        <f aca="false">IF(A181="","",IFERROR(INDEX(السندات!$C$5:$C$504,MATCH(A181,السندات!$A$5:$A$504,0)),""))</f>
        <v/>
      </c>
      <c r="I181" s="71" t="str">
        <f aca="false">IF(A181="","",IFERROR(INDEX(السندات!$D$5:$D$504,MATCH(A181,السندات!$A$5:$A$504,0)),""))</f>
        <v/>
      </c>
      <c r="J181" s="72" t="str">
        <f aca="false">IF(A181="","",IF(ISNA(MATCH(A181,السندات!$A$5:$A$504,0)),"رقم سند غير موجود ✘",IF(AND(F181&lt;&gt;"",G181&lt;&gt;""),"اكتب مدين أو دائن فقط ✘",IF(AND(N(F181)=0,N(G181)=0),"بدون مبلغ ⚠",IF(B181&gt;12,"يتجاوز 12 بنداً في الطباعة ⚠","")))))</f>
        <v/>
      </c>
    </row>
    <row r="182" customFormat="false" ht="15" hidden="false" customHeight="false" outlineLevel="0" collapsed="false">
      <c r="A182" s="58"/>
      <c r="B182" s="73" t="str">
        <f aca="false">IF(A182="","",COUNTIF(A$5:A182,A182))</f>
        <v/>
      </c>
      <c r="C182" s="73" t="str">
        <f aca="false">IF(A182="","",A182&amp;"-"&amp;B182)</f>
        <v/>
      </c>
      <c r="D182" s="58"/>
      <c r="E182" s="57"/>
      <c r="F182" s="69"/>
      <c r="G182" s="69"/>
      <c r="H182" s="74" t="str">
        <f aca="false">IF(A182="","",IFERROR(INDEX(السندات!$C$5:$C$504,MATCH(A182,السندات!$A$5:$A$504,0)),""))</f>
        <v/>
      </c>
      <c r="I182" s="75" t="str">
        <f aca="false">IF(A182="","",IFERROR(INDEX(السندات!$D$5:$D$504,MATCH(A182,السندات!$A$5:$A$504,0)),""))</f>
        <v/>
      </c>
      <c r="J182" s="76" t="str">
        <f aca="false">IF(A182="","",IF(ISNA(MATCH(A182,السندات!$A$5:$A$504,0)),"رقم سند غير موجود ✘",IF(AND(F182&lt;&gt;"",G182&lt;&gt;""),"اكتب مدين أو دائن فقط ✘",IF(AND(N(F182)=0,N(G182)=0),"بدون مبلغ ⚠",IF(B182&gt;12,"يتجاوز 12 بنداً في الطباعة ⚠","")))))</f>
        <v/>
      </c>
    </row>
    <row r="183" customFormat="false" ht="15" hidden="false" customHeight="false" outlineLevel="0" collapsed="false">
      <c r="A183" s="58"/>
      <c r="B183" s="68" t="str">
        <f aca="false">IF(A183="","",COUNTIF(A$5:A183,A183))</f>
        <v/>
      </c>
      <c r="C183" s="68" t="str">
        <f aca="false">IF(A183="","",A183&amp;"-"&amp;B183)</f>
        <v/>
      </c>
      <c r="D183" s="58"/>
      <c r="E183" s="57"/>
      <c r="F183" s="69"/>
      <c r="G183" s="69"/>
      <c r="H183" s="70" t="str">
        <f aca="false">IF(A183="","",IFERROR(INDEX(السندات!$C$5:$C$504,MATCH(A183,السندات!$A$5:$A$504,0)),""))</f>
        <v/>
      </c>
      <c r="I183" s="71" t="str">
        <f aca="false">IF(A183="","",IFERROR(INDEX(السندات!$D$5:$D$504,MATCH(A183,السندات!$A$5:$A$504,0)),""))</f>
        <v/>
      </c>
      <c r="J183" s="72" t="str">
        <f aca="false">IF(A183="","",IF(ISNA(MATCH(A183,السندات!$A$5:$A$504,0)),"رقم سند غير موجود ✘",IF(AND(F183&lt;&gt;"",G183&lt;&gt;""),"اكتب مدين أو دائن فقط ✘",IF(AND(N(F183)=0,N(G183)=0),"بدون مبلغ ⚠",IF(B183&gt;12,"يتجاوز 12 بنداً في الطباعة ⚠","")))))</f>
        <v/>
      </c>
    </row>
    <row r="184" customFormat="false" ht="15" hidden="false" customHeight="false" outlineLevel="0" collapsed="false">
      <c r="A184" s="58"/>
      <c r="B184" s="73" t="str">
        <f aca="false">IF(A184="","",COUNTIF(A$5:A184,A184))</f>
        <v/>
      </c>
      <c r="C184" s="73" t="str">
        <f aca="false">IF(A184="","",A184&amp;"-"&amp;B184)</f>
        <v/>
      </c>
      <c r="D184" s="58"/>
      <c r="E184" s="57"/>
      <c r="F184" s="69"/>
      <c r="G184" s="69"/>
      <c r="H184" s="74" t="str">
        <f aca="false">IF(A184="","",IFERROR(INDEX(السندات!$C$5:$C$504,MATCH(A184,السندات!$A$5:$A$504,0)),""))</f>
        <v/>
      </c>
      <c r="I184" s="75" t="str">
        <f aca="false">IF(A184="","",IFERROR(INDEX(السندات!$D$5:$D$504,MATCH(A184,السندات!$A$5:$A$504,0)),""))</f>
        <v/>
      </c>
      <c r="J184" s="76" t="str">
        <f aca="false">IF(A184="","",IF(ISNA(MATCH(A184,السندات!$A$5:$A$504,0)),"رقم سند غير موجود ✘",IF(AND(F184&lt;&gt;"",G184&lt;&gt;""),"اكتب مدين أو دائن فقط ✘",IF(AND(N(F184)=0,N(G184)=0),"بدون مبلغ ⚠",IF(B184&gt;12,"يتجاوز 12 بنداً في الطباعة ⚠","")))))</f>
        <v/>
      </c>
    </row>
    <row r="185" customFormat="false" ht="15" hidden="false" customHeight="false" outlineLevel="0" collapsed="false">
      <c r="A185" s="58"/>
      <c r="B185" s="68" t="str">
        <f aca="false">IF(A185="","",COUNTIF(A$5:A185,A185))</f>
        <v/>
      </c>
      <c r="C185" s="68" t="str">
        <f aca="false">IF(A185="","",A185&amp;"-"&amp;B185)</f>
        <v/>
      </c>
      <c r="D185" s="58"/>
      <c r="E185" s="57"/>
      <c r="F185" s="69"/>
      <c r="G185" s="69"/>
      <c r="H185" s="70" t="str">
        <f aca="false">IF(A185="","",IFERROR(INDEX(السندات!$C$5:$C$504,MATCH(A185,السندات!$A$5:$A$504,0)),""))</f>
        <v/>
      </c>
      <c r="I185" s="71" t="str">
        <f aca="false">IF(A185="","",IFERROR(INDEX(السندات!$D$5:$D$504,MATCH(A185,السندات!$A$5:$A$504,0)),""))</f>
        <v/>
      </c>
      <c r="J185" s="72" t="str">
        <f aca="false">IF(A185="","",IF(ISNA(MATCH(A185,السندات!$A$5:$A$504,0)),"رقم سند غير موجود ✘",IF(AND(F185&lt;&gt;"",G185&lt;&gt;""),"اكتب مدين أو دائن فقط ✘",IF(AND(N(F185)=0,N(G185)=0),"بدون مبلغ ⚠",IF(B185&gt;12,"يتجاوز 12 بنداً في الطباعة ⚠","")))))</f>
        <v/>
      </c>
    </row>
    <row r="186" customFormat="false" ht="15" hidden="false" customHeight="false" outlineLevel="0" collapsed="false">
      <c r="A186" s="58"/>
      <c r="B186" s="73" t="str">
        <f aca="false">IF(A186="","",COUNTIF(A$5:A186,A186))</f>
        <v/>
      </c>
      <c r="C186" s="73" t="str">
        <f aca="false">IF(A186="","",A186&amp;"-"&amp;B186)</f>
        <v/>
      </c>
      <c r="D186" s="58"/>
      <c r="E186" s="57"/>
      <c r="F186" s="69"/>
      <c r="G186" s="69"/>
      <c r="H186" s="74" t="str">
        <f aca="false">IF(A186="","",IFERROR(INDEX(السندات!$C$5:$C$504,MATCH(A186,السندات!$A$5:$A$504,0)),""))</f>
        <v/>
      </c>
      <c r="I186" s="75" t="str">
        <f aca="false">IF(A186="","",IFERROR(INDEX(السندات!$D$5:$D$504,MATCH(A186,السندات!$A$5:$A$504,0)),""))</f>
        <v/>
      </c>
      <c r="J186" s="76" t="str">
        <f aca="false">IF(A186="","",IF(ISNA(MATCH(A186,السندات!$A$5:$A$504,0)),"رقم سند غير موجود ✘",IF(AND(F186&lt;&gt;"",G186&lt;&gt;""),"اكتب مدين أو دائن فقط ✘",IF(AND(N(F186)=0,N(G186)=0),"بدون مبلغ ⚠",IF(B186&gt;12,"يتجاوز 12 بنداً في الطباعة ⚠","")))))</f>
        <v/>
      </c>
    </row>
    <row r="187" customFormat="false" ht="15" hidden="false" customHeight="false" outlineLevel="0" collapsed="false">
      <c r="A187" s="58"/>
      <c r="B187" s="68" t="str">
        <f aca="false">IF(A187="","",COUNTIF(A$5:A187,A187))</f>
        <v/>
      </c>
      <c r="C187" s="68" t="str">
        <f aca="false">IF(A187="","",A187&amp;"-"&amp;B187)</f>
        <v/>
      </c>
      <c r="D187" s="58"/>
      <c r="E187" s="57"/>
      <c r="F187" s="69"/>
      <c r="G187" s="69"/>
      <c r="H187" s="70" t="str">
        <f aca="false">IF(A187="","",IFERROR(INDEX(السندات!$C$5:$C$504,MATCH(A187,السندات!$A$5:$A$504,0)),""))</f>
        <v/>
      </c>
      <c r="I187" s="71" t="str">
        <f aca="false">IF(A187="","",IFERROR(INDEX(السندات!$D$5:$D$504,MATCH(A187,السندات!$A$5:$A$504,0)),""))</f>
        <v/>
      </c>
      <c r="J187" s="72" t="str">
        <f aca="false">IF(A187="","",IF(ISNA(MATCH(A187,السندات!$A$5:$A$504,0)),"رقم سند غير موجود ✘",IF(AND(F187&lt;&gt;"",G187&lt;&gt;""),"اكتب مدين أو دائن فقط ✘",IF(AND(N(F187)=0,N(G187)=0),"بدون مبلغ ⚠",IF(B187&gt;12,"يتجاوز 12 بنداً في الطباعة ⚠","")))))</f>
        <v/>
      </c>
    </row>
    <row r="188" customFormat="false" ht="15" hidden="false" customHeight="false" outlineLevel="0" collapsed="false">
      <c r="A188" s="58"/>
      <c r="B188" s="73" t="str">
        <f aca="false">IF(A188="","",COUNTIF(A$5:A188,A188))</f>
        <v/>
      </c>
      <c r="C188" s="73" t="str">
        <f aca="false">IF(A188="","",A188&amp;"-"&amp;B188)</f>
        <v/>
      </c>
      <c r="D188" s="58"/>
      <c r="E188" s="57"/>
      <c r="F188" s="69"/>
      <c r="G188" s="69"/>
      <c r="H188" s="74" t="str">
        <f aca="false">IF(A188="","",IFERROR(INDEX(السندات!$C$5:$C$504,MATCH(A188,السندات!$A$5:$A$504,0)),""))</f>
        <v/>
      </c>
      <c r="I188" s="75" t="str">
        <f aca="false">IF(A188="","",IFERROR(INDEX(السندات!$D$5:$D$504,MATCH(A188,السندات!$A$5:$A$504,0)),""))</f>
        <v/>
      </c>
      <c r="J188" s="76" t="str">
        <f aca="false">IF(A188="","",IF(ISNA(MATCH(A188,السندات!$A$5:$A$504,0)),"رقم سند غير موجود ✘",IF(AND(F188&lt;&gt;"",G188&lt;&gt;""),"اكتب مدين أو دائن فقط ✘",IF(AND(N(F188)=0,N(G188)=0),"بدون مبلغ ⚠",IF(B188&gt;12,"يتجاوز 12 بنداً في الطباعة ⚠","")))))</f>
        <v/>
      </c>
    </row>
    <row r="189" customFormat="false" ht="15" hidden="false" customHeight="false" outlineLevel="0" collapsed="false">
      <c r="A189" s="58"/>
      <c r="B189" s="68" t="str">
        <f aca="false">IF(A189="","",COUNTIF(A$5:A189,A189))</f>
        <v/>
      </c>
      <c r="C189" s="68" t="str">
        <f aca="false">IF(A189="","",A189&amp;"-"&amp;B189)</f>
        <v/>
      </c>
      <c r="D189" s="58"/>
      <c r="E189" s="57"/>
      <c r="F189" s="69"/>
      <c r="G189" s="69"/>
      <c r="H189" s="70" t="str">
        <f aca="false">IF(A189="","",IFERROR(INDEX(السندات!$C$5:$C$504,MATCH(A189,السندات!$A$5:$A$504,0)),""))</f>
        <v/>
      </c>
      <c r="I189" s="71" t="str">
        <f aca="false">IF(A189="","",IFERROR(INDEX(السندات!$D$5:$D$504,MATCH(A189,السندات!$A$5:$A$504,0)),""))</f>
        <v/>
      </c>
      <c r="J189" s="72" t="str">
        <f aca="false">IF(A189="","",IF(ISNA(MATCH(A189,السندات!$A$5:$A$504,0)),"رقم سند غير موجود ✘",IF(AND(F189&lt;&gt;"",G189&lt;&gt;""),"اكتب مدين أو دائن فقط ✘",IF(AND(N(F189)=0,N(G189)=0),"بدون مبلغ ⚠",IF(B189&gt;12,"يتجاوز 12 بنداً في الطباعة ⚠","")))))</f>
        <v/>
      </c>
    </row>
    <row r="190" customFormat="false" ht="15" hidden="false" customHeight="false" outlineLevel="0" collapsed="false">
      <c r="A190" s="58"/>
      <c r="B190" s="73" t="str">
        <f aca="false">IF(A190="","",COUNTIF(A$5:A190,A190))</f>
        <v/>
      </c>
      <c r="C190" s="73" t="str">
        <f aca="false">IF(A190="","",A190&amp;"-"&amp;B190)</f>
        <v/>
      </c>
      <c r="D190" s="58"/>
      <c r="E190" s="57"/>
      <c r="F190" s="69"/>
      <c r="G190" s="69"/>
      <c r="H190" s="74" t="str">
        <f aca="false">IF(A190="","",IFERROR(INDEX(السندات!$C$5:$C$504,MATCH(A190,السندات!$A$5:$A$504,0)),""))</f>
        <v/>
      </c>
      <c r="I190" s="75" t="str">
        <f aca="false">IF(A190="","",IFERROR(INDEX(السندات!$D$5:$D$504,MATCH(A190,السندات!$A$5:$A$504,0)),""))</f>
        <v/>
      </c>
      <c r="J190" s="76" t="str">
        <f aca="false">IF(A190="","",IF(ISNA(MATCH(A190,السندات!$A$5:$A$504,0)),"رقم سند غير موجود ✘",IF(AND(F190&lt;&gt;"",G190&lt;&gt;""),"اكتب مدين أو دائن فقط ✘",IF(AND(N(F190)=0,N(G190)=0),"بدون مبلغ ⚠",IF(B190&gt;12,"يتجاوز 12 بنداً في الطباعة ⚠","")))))</f>
        <v/>
      </c>
    </row>
    <row r="191" customFormat="false" ht="15" hidden="false" customHeight="false" outlineLevel="0" collapsed="false">
      <c r="A191" s="58"/>
      <c r="B191" s="68" t="str">
        <f aca="false">IF(A191="","",COUNTIF(A$5:A191,A191))</f>
        <v/>
      </c>
      <c r="C191" s="68" t="str">
        <f aca="false">IF(A191="","",A191&amp;"-"&amp;B191)</f>
        <v/>
      </c>
      <c r="D191" s="58"/>
      <c r="E191" s="57"/>
      <c r="F191" s="69"/>
      <c r="G191" s="69"/>
      <c r="H191" s="70" t="str">
        <f aca="false">IF(A191="","",IFERROR(INDEX(السندات!$C$5:$C$504,MATCH(A191,السندات!$A$5:$A$504,0)),""))</f>
        <v/>
      </c>
      <c r="I191" s="71" t="str">
        <f aca="false">IF(A191="","",IFERROR(INDEX(السندات!$D$5:$D$504,MATCH(A191,السندات!$A$5:$A$504,0)),""))</f>
        <v/>
      </c>
      <c r="J191" s="72" t="str">
        <f aca="false">IF(A191="","",IF(ISNA(MATCH(A191,السندات!$A$5:$A$504,0)),"رقم سند غير موجود ✘",IF(AND(F191&lt;&gt;"",G191&lt;&gt;""),"اكتب مدين أو دائن فقط ✘",IF(AND(N(F191)=0,N(G191)=0),"بدون مبلغ ⚠",IF(B191&gt;12,"يتجاوز 12 بنداً في الطباعة ⚠","")))))</f>
        <v/>
      </c>
    </row>
    <row r="192" customFormat="false" ht="15" hidden="false" customHeight="false" outlineLevel="0" collapsed="false">
      <c r="A192" s="58"/>
      <c r="B192" s="73" t="str">
        <f aca="false">IF(A192="","",COUNTIF(A$5:A192,A192))</f>
        <v/>
      </c>
      <c r="C192" s="73" t="str">
        <f aca="false">IF(A192="","",A192&amp;"-"&amp;B192)</f>
        <v/>
      </c>
      <c r="D192" s="58"/>
      <c r="E192" s="57"/>
      <c r="F192" s="69"/>
      <c r="G192" s="69"/>
      <c r="H192" s="74" t="str">
        <f aca="false">IF(A192="","",IFERROR(INDEX(السندات!$C$5:$C$504,MATCH(A192,السندات!$A$5:$A$504,0)),""))</f>
        <v/>
      </c>
      <c r="I192" s="75" t="str">
        <f aca="false">IF(A192="","",IFERROR(INDEX(السندات!$D$5:$D$504,MATCH(A192,السندات!$A$5:$A$504,0)),""))</f>
        <v/>
      </c>
      <c r="J192" s="76" t="str">
        <f aca="false">IF(A192="","",IF(ISNA(MATCH(A192,السندات!$A$5:$A$504,0)),"رقم سند غير موجود ✘",IF(AND(F192&lt;&gt;"",G192&lt;&gt;""),"اكتب مدين أو دائن فقط ✘",IF(AND(N(F192)=0,N(G192)=0),"بدون مبلغ ⚠",IF(B192&gt;12,"يتجاوز 12 بنداً في الطباعة ⚠","")))))</f>
        <v/>
      </c>
    </row>
    <row r="193" customFormat="false" ht="15" hidden="false" customHeight="false" outlineLevel="0" collapsed="false">
      <c r="A193" s="58"/>
      <c r="B193" s="68" t="str">
        <f aca="false">IF(A193="","",COUNTIF(A$5:A193,A193))</f>
        <v/>
      </c>
      <c r="C193" s="68" t="str">
        <f aca="false">IF(A193="","",A193&amp;"-"&amp;B193)</f>
        <v/>
      </c>
      <c r="D193" s="58"/>
      <c r="E193" s="57"/>
      <c r="F193" s="69"/>
      <c r="G193" s="69"/>
      <c r="H193" s="70" t="str">
        <f aca="false">IF(A193="","",IFERROR(INDEX(السندات!$C$5:$C$504,MATCH(A193,السندات!$A$5:$A$504,0)),""))</f>
        <v/>
      </c>
      <c r="I193" s="71" t="str">
        <f aca="false">IF(A193="","",IFERROR(INDEX(السندات!$D$5:$D$504,MATCH(A193,السندات!$A$5:$A$504,0)),""))</f>
        <v/>
      </c>
      <c r="J193" s="72" t="str">
        <f aca="false">IF(A193="","",IF(ISNA(MATCH(A193,السندات!$A$5:$A$504,0)),"رقم سند غير موجود ✘",IF(AND(F193&lt;&gt;"",G193&lt;&gt;""),"اكتب مدين أو دائن فقط ✘",IF(AND(N(F193)=0,N(G193)=0),"بدون مبلغ ⚠",IF(B193&gt;12,"يتجاوز 12 بنداً في الطباعة ⚠","")))))</f>
        <v/>
      </c>
    </row>
    <row r="194" customFormat="false" ht="15" hidden="false" customHeight="false" outlineLevel="0" collapsed="false">
      <c r="A194" s="58"/>
      <c r="B194" s="73" t="str">
        <f aca="false">IF(A194="","",COUNTIF(A$5:A194,A194))</f>
        <v/>
      </c>
      <c r="C194" s="73" t="str">
        <f aca="false">IF(A194="","",A194&amp;"-"&amp;B194)</f>
        <v/>
      </c>
      <c r="D194" s="58"/>
      <c r="E194" s="57"/>
      <c r="F194" s="69"/>
      <c r="G194" s="69"/>
      <c r="H194" s="74" t="str">
        <f aca="false">IF(A194="","",IFERROR(INDEX(السندات!$C$5:$C$504,MATCH(A194,السندات!$A$5:$A$504,0)),""))</f>
        <v/>
      </c>
      <c r="I194" s="75" t="str">
        <f aca="false">IF(A194="","",IFERROR(INDEX(السندات!$D$5:$D$504,MATCH(A194,السندات!$A$5:$A$504,0)),""))</f>
        <v/>
      </c>
      <c r="J194" s="76" t="str">
        <f aca="false">IF(A194="","",IF(ISNA(MATCH(A194,السندات!$A$5:$A$504,0)),"رقم سند غير موجود ✘",IF(AND(F194&lt;&gt;"",G194&lt;&gt;""),"اكتب مدين أو دائن فقط ✘",IF(AND(N(F194)=0,N(G194)=0),"بدون مبلغ ⚠",IF(B194&gt;12,"يتجاوز 12 بنداً في الطباعة ⚠","")))))</f>
        <v/>
      </c>
    </row>
    <row r="195" customFormat="false" ht="15" hidden="false" customHeight="false" outlineLevel="0" collapsed="false">
      <c r="A195" s="58"/>
      <c r="B195" s="68" t="str">
        <f aca="false">IF(A195="","",COUNTIF(A$5:A195,A195))</f>
        <v/>
      </c>
      <c r="C195" s="68" t="str">
        <f aca="false">IF(A195="","",A195&amp;"-"&amp;B195)</f>
        <v/>
      </c>
      <c r="D195" s="58"/>
      <c r="E195" s="57"/>
      <c r="F195" s="69"/>
      <c r="G195" s="69"/>
      <c r="H195" s="70" t="str">
        <f aca="false">IF(A195="","",IFERROR(INDEX(السندات!$C$5:$C$504,MATCH(A195,السندات!$A$5:$A$504,0)),""))</f>
        <v/>
      </c>
      <c r="I195" s="71" t="str">
        <f aca="false">IF(A195="","",IFERROR(INDEX(السندات!$D$5:$D$504,MATCH(A195,السندات!$A$5:$A$504,0)),""))</f>
        <v/>
      </c>
      <c r="J195" s="72" t="str">
        <f aca="false">IF(A195="","",IF(ISNA(MATCH(A195,السندات!$A$5:$A$504,0)),"رقم سند غير موجود ✘",IF(AND(F195&lt;&gt;"",G195&lt;&gt;""),"اكتب مدين أو دائن فقط ✘",IF(AND(N(F195)=0,N(G195)=0),"بدون مبلغ ⚠",IF(B195&gt;12,"يتجاوز 12 بنداً في الطباعة ⚠","")))))</f>
        <v/>
      </c>
    </row>
    <row r="196" customFormat="false" ht="15" hidden="false" customHeight="false" outlineLevel="0" collapsed="false">
      <c r="A196" s="58"/>
      <c r="B196" s="73" t="str">
        <f aca="false">IF(A196="","",COUNTIF(A$5:A196,A196))</f>
        <v/>
      </c>
      <c r="C196" s="73" t="str">
        <f aca="false">IF(A196="","",A196&amp;"-"&amp;B196)</f>
        <v/>
      </c>
      <c r="D196" s="58"/>
      <c r="E196" s="57"/>
      <c r="F196" s="69"/>
      <c r="G196" s="69"/>
      <c r="H196" s="74" t="str">
        <f aca="false">IF(A196="","",IFERROR(INDEX(السندات!$C$5:$C$504,MATCH(A196,السندات!$A$5:$A$504,0)),""))</f>
        <v/>
      </c>
      <c r="I196" s="75" t="str">
        <f aca="false">IF(A196="","",IFERROR(INDEX(السندات!$D$5:$D$504,MATCH(A196,السندات!$A$5:$A$504,0)),""))</f>
        <v/>
      </c>
      <c r="J196" s="76" t="str">
        <f aca="false">IF(A196="","",IF(ISNA(MATCH(A196,السندات!$A$5:$A$504,0)),"رقم سند غير موجود ✘",IF(AND(F196&lt;&gt;"",G196&lt;&gt;""),"اكتب مدين أو دائن فقط ✘",IF(AND(N(F196)=0,N(G196)=0),"بدون مبلغ ⚠",IF(B196&gt;12,"يتجاوز 12 بنداً في الطباعة ⚠","")))))</f>
        <v/>
      </c>
    </row>
    <row r="197" customFormat="false" ht="15" hidden="false" customHeight="false" outlineLevel="0" collapsed="false">
      <c r="A197" s="58"/>
      <c r="B197" s="68" t="str">
        <f aca="false">IF(A197="","",COUNTIF(A$5:A197,A197))</f>
        <v/>
      </c>
      <c r="C197" s="68" t="str">
        <f aca="false">IF(A197="","",A197&amp;"-"&amp;B197)</f>
        <v/>
      </c>
      <c r="D197" s="58"/>
      <c r="E197" s="57"/>
      <c r="F197" s="69"/>
      <c r="G197" s="69"/>
      <c r="H197" s="70" t="str">
        <f aca="false">IF(A197="","",IFERROR(INDEX(السندات!$C$5:$C$504,MATCH(A197,السندات!$A$5:$A$504,0)),""))</f>
        <v/>
      </c>
      <c r="I197" s="71" t="str">
        <f aca="false">IF(A197="","",IFERROR(INDEX(السندات!$D$5:$D$504,MATCH(A197,السندات!$A$5:$A$504,0)),""))</f>
        <v/>
      </c>
      <c r="J197" s="72" t="str">
        <f aca="false">IF(A197="","",IF(ISNA(MATCH(A197,السندات!$A$5:$A$504,0)),"رقم سند غير موجود ✘",IF(AND(F197&lt;&gt;"",G197&lt;&gt;""),"اكتب مدين أو دائن فقط ✘",IF(AND(N(F197)=0,N(G197)=0),"بدون مبلغ ⚠",IF(B197&gt;12,"يتجاوز 12 بنداً في الطباعة ⚠","")))))</f>
        <v/>
      </c>
    </row>
    <row r="198" customFormat="false" ht="15" hidden="false" customHeight="false" outlineLevel="0" collapsed="false">
      <c r="A198" s="58"/>
      <c r="B198" s="73" t="str">
        <f aca="false">IF(A198="","",COUNTIF(A$5:A198,A198))</f>
        <v/>
      </c>
      <c r="C198" s="73" t="str">
        <f aca="false">IF(A198="","",A198&amp;"-"&amp;B198)</f>
        <v/>
      </c>
      <c r="D198" s="58"/>
      <c r="E198" s="57"/>
      <c r="F198" s="69"/>
      <c r="G198" s="69"/>
      <c r="H198" s="74" t="str">
        <f aca="false">IF(A198="","",IFERROR(INDEX(السندات!$C$5:$C$504,MATCH(A198,السندات!$A$5:$A$504,0)),""))</f>
        <v/>
      </c>
      <c r="I198" s="75" t="str">
        <f aca="false">IF(A198="","",IFERROR(INDEX(السندات!$D$5:$D$504,MATCH(A198,السندات!$A$5:$A$504,0)),""))</f>
        <v/>
      </c>
      <c r="J198" s="76" t="str">
        <f aca="false">IF(A198="","",IF(ISNA(MATCH(A198,السندات!$A$5:$A$504,0)),"رقم سند غير موجود ✘",IF(AND(F198&lt;&gt;"",G198&lt;&gt;""),"اكتب مدين أو دائن فقط ✘",IF(AND(N(F198)=0,N(G198)=0),"بدون مبلغ ⚠",IF(B198&gt;12,"يتجاوز 12 بنداً في الطباعة ⚠","")))))</f>
        <v/>
      </c>
    </row>
    <row r="199" customFormat="false" ht="15" hidden="false" customHeight="false" outlineLevel="0" collapsed="false">
      <c r="A199" s="58"/>
      <c r="B199" s="68" t="str">
        <f aca="false">IF(A199="","",COUNTIF(A$5:A199,A199))</f>
        <v/>
      </c>
      <c r="C199" s="68" t="str">
        <f aca="false">IF(A199="","",A199&amp;"-"&amp;B199)</f>
        <v/>
      </c>
      <c r="D199" s="58"/>
      <c r="E199" s="57"/>
      <c r="F199" s="69"/>
      <c r="G199" s="69"/>
      <c r="H199" s="70" t="str">
        <f aca="false">IF(A199="","",IFERROR(INDEX(السندات!$C$5:$C$504,MATCH(A199,السندات!$A$5:$A$504,0)),""))</f>
        <v/>
      </c>
      <c r="I199" s="71" t="str">
        <f aca="false">IF(A199="","",IFERROR(INDEX(السندات!$D$5:$D$504,MATCH(A199,السندات!$A$5:$A$504,0)),""))</f>
        <v/>
      </c>
      <c r="J199" s="72" t="str">
        <f aca="false">IF(A199="","",IF(ISNA(MATCH(A199,السندات!$A$5:$A$504,0)),"رقم سند غير موجود ✘",IF(AND(F199&lt;&gt;"",G199&lt;&gt;""),"اكتب مدين أو دائن فقط ✘",IF(AND(N(F199)=0,N(G199)=0),"بدون مبلغ ⚠",IF(B199&gt;12,"يتجاوز 12 بنداً في الطباعة ⚠","")))))</f>
        <v/>
      </c>
    </row>
    <row r="200" customFormat="false" ht="15" hidden="false" customHeight="false" outlineLevel="0" collapsed="false">
      <c r="A200" s="58"/>
      <c r="B200" s="73" t="str">
        <f aca="false">IF(A200="","",COUNTIF(A$5:A200,A200))</f>
        <v/>
      </c>
      <c r="C200" s="73" t="str">
        <f aca="false">IF(A200="","",A200&amp;"-"&amp;B200)</f>
        <v/>
      </c>
      <c r="D200" s="58"/>
      <c r="E200" s="57"/>
      <c r="F200" s="69"/>
      <c r="G200" s="69"/>
      <c r="H200" s="74" t="str">
        <f aca="false">IF(A200="","",IFERROR(INDEX(السندات!$C$5:$C$504,MATCH(A200,السندات!$A$5:$A$504,0)),""))</f>
        <v/>
      </c>
      <c r="I200" s="75" t="str">
        <f aca="false">IF(A200="","",IFERROR(INDEX(السندات!$D$5:$D$504,MATCH(A200,السندات!$A$5:$A$504,0)),""))</f>
        <v/>
      </c>
      <c r="J200" s="76" t="str">
        <f aca="false">IF(A200="","",IF(ISNA(MATCH(A200,السندات!$A$5:$A$504,0)),"رقم سند غير موجود ✘",IF(AND(F200&lt;&gt;"",G200&lt;&gt;""),"اكتب مدين أو دائن فقط ✘",IF(AND(N(F200)=0,N(G200)=0),"بدون مبلغ ⚠",IF(B200&gt;12,"يتجاوز 12 بنداً في الطباعة ⚠","")))))</f>
        <v/>
      </c>
    </row>
    <row r="201" customFormat="false" ht="15" hidden="false" customHeight="false" outlineLevel="0" collapsed="false">
      <c r="A201" s="58"/>
      <c r="B201" s="68" t="str">
        <f aca="false">IF(A201="","",COUNTIF(A$5:A201,A201))</f>
        <v/>
      </c>
      <c r="C201" s="68" t="str">
        <f aca="false">IF(A201="","",A201&amp;"-"&amp;B201)</f>
        <v/>
      </c>
      <c r="D201" s="58"/>
      <c r="E201" s="57"/>
      <c r="F201" s="69"/>
      <c r="G201" s="69"/>
      <c r="H201" s="70" t="str">
        <f aca="false">IF(A201="","",IFERROR(INDEX(السندات!$C$5:$C$504,MATCH(A201,السندات!$A$5:$A$504,0)),""))</f>
        <v/>
      </c>
      <c r="I201" s="71" t="str">
        <f aca="false">IF(A201="","",IFERROR(INDEX(السندات!$D$5:$D$504,MATCH(A201,السندات!$A$5:$A$504,0)),""))</f>
        <v/>
      </c>
      <c r="J201" s="72" t="str">
        <f aca="false">IF(A201="","",IF(ISNA(MATCH(A201,السندات!$A$5:$A$504,0)),"رقم سند غير موجود ✘",IF(AND(F201&lt;&gt;"",G201&lt;&gt;""),"اكتب مدين أو دائن فقط ✘",IF(AND(N(F201)=0,N(G201)=0),"بدون مبلغ ⚠",IF(B201&gt;12,"يتجاوز 12 بنداً في الطباعة ⚠","")))))</f>
        <v/>
      </c>
    </row>
    <row r="202" customFormat="false" ht="15" hidden="false" customHeight="false" outlineLevel="0" collapsed="false">
      <c r="A202" s="58"/>
      <c r="B202" s="73" t="str">
        <f aca="false">IF(A202="","",COUNTIF(A$5:A202,A202))</f>
        <v/>
      </c>
      <c r="C202" s="73" t="str">
        <f aca="false">IF(A202="","",A202&amp;"-"&amp;B202)</f>
        <v/>
      </c>
      <c r="D202" s="58"/>
      <c r="E202" s="57"/>
      <c r="F202" s="69"/>
      <c r="G202" s="69"/>
      <c r="H202" s="74" t="str">
        <f aca="false">IF(A202="","",IFERROR(INDEX(السندات!$C$5:$C$504,MATCH(A202,السندات!$A$5:$A$504,0)),""))</f>
        <v/>
      </c>
      <c r="I202" s="75" t="str">
        <f aca="false">IF(A202="","",IFERROR(INDEX(السندات!$D$5:$D$504,MATCH(A202,السندات!$A$5:$A$504,0)),""))</f>
        <v/>
      </c>
      <c r="J202" s="76" t="str">
        <f aca="false">IF(A202="","",IF(ISNA(MATCH(A202,السندات!$A$5:$A$504,0)),"رقم سند غير موجود ✘",IF(AND(F202&lt;&gt;"",G202&lt;&gt;""),"اكتب مدين أو دائن فقط ✘",IF(AND(N(F202)=0,N(G202)=0),"بدون مبلغ ⚠",IF(B202&gt;12,"يتجاوز 12 بنداً في الطباعة ⚠","")))))</f>
        <v/>
      </c>
    </row>
    <row r="203" customFormat="false" ht="15" hidden="false" customHeight="false" outlineLevel="0" collapsed="false">
      <c r="A203" s="58"/>
      <c r="B203" s="68" t="str">
        <f aca="false">IF(A203="","",COUNTIF(A$5:A203,A203))</f>
        <v/>
      </c>
      <c r="C203" s="68" t="str">
        <f aca="false">IF(A203="","",A203&amp;"-"&amp;B203)</f>
        <v/>
      </c>
      <c r="D203" s="58"/>
      <c r="E203" s="57"/>
      <c r="F203" s="69"/>
      <c r="G203" s="69"/>
      <c r="H203" s="70" t="str">
        <f aca="false">IF(A203="","",IFERROR(INDEX(السندات!$C$5:$C$504,MATCH(A203,السندات!$A$5:$A$504,0)),""))</f>
        <v/>
      </c>
      <c r="I203" s="71" t="str">
        <f aca="false">IF(A203="","",IFERROR(INDEX(السندات!$D$5:$D$504,MATCH(A203,السندات!$A$5:$A$504,0)),""))</f>
        <v/>
      </c>
      <c r="J203" s="72" t="str">
        <f aca="false">IF(A203="","",IF(ISNA(MATCH(A203,السندات!$A$5:$A$504,0)),"رقم سند غير موجود ✘",IF(AND(F203&lt;&gt;"",G203&lt;&gt;""),"اكتب مدين أو دائن فقط ✘",IF(AND(N(F203)=0,N(G203)=0),"بدون مبلغ ⚠",IF(B203&gt;12,"يتجاوز 12 بنداً في الطباعة ⚠","")))))</f>
        <v/>
      </c>
    </row>
    <row r="204" customFormat="false" ht="15" hidden="false" customHeight="false" outlineLevel="0" collapsed="false">
      <c r="A204" s="58"/>
      <c r="B204" s="73" t="str">
        <f aca="false">IF(A204="","",COUNTIF(A$5:A204,A204))</f>
        <v/>
      </c>
      <c r="C204" s="73" t="str">
        <f aca="false">IF(A204="","",A204&amp;"-"&amp;B204)</f>
        <v/>
      </c>
      <c r="D204" s="58"/>
      <c r="E204" s="57"/>
      <c r="F204" s="69"/>
      <c r="G204" s="69"/>
      <c r="H204" s="74" t="str">
        <f aca="false">IF(A204="","",IFERROR(INDEX(السندات!$C$5:$C$504,MATCH(A204,السندات!$A$5:$A$504,0)),""))</f>
        <v/>
      </c>
      <c r="I204" s="75" t="str">
        <f aca="false">IF(A204="","",IFERROR(INDEX(السندات!$D$5:$D$504,MATCH(A204,السندات!$A$5:$A$504,0)),""))</f>
        <v/>
      </c>
      <c r="J204" s="76" t="str">
        <f aca="false">IF(A204="","",IF(ISNA(MATCH(A204,السندات!$A$5:$A$504,0)),"رقم سند غير موجود ✘",IF(AND(F204&lt;&gt;"",G204&lt;&gt;""),"اكتب مدين أو دائن فقط ✘",IF(AND(N(F204)=0,N(G204)=0),"بدون مبلغ ⚠",IF(B204&gt;12,"يتجاوز 12 بنداً في الطباعة ⚠","")))))</f>
        <v/>
      </c>
    </row>
    <row r="205" customFormat="false" ht="15" hidden="false" customHeight="false" outlineLevel="0" collapsed="false">
      <c r="A205" s="58"/>
      <c r="B205" s="68" t="str">
        <f aca="false">IF(A205="","",COUNTIF(A$5:A205,A205))</f>
        <v/>
      </c>
      <c r="C205" s="68" t="str">
        <f aca="false">IF(A205="","",A205&amp;"-"&amp;B205)</f>
        <v/>
      </c>
      <c r="D205" s="58"/>
      <c r="E205" s="57"/>
      <c r="F205" s="69"/>
      <c r="G205" s="69"/>
      <c r="H205" s="70" t="str">
        <f aca="false">IF(A205="","",IFERROR(INDEX(السندات!$C$5:$C$504,MATCH(A205,السندات!$A$5:$A$504,0)),""))</f>
        <v/>
      </c>
      <c r="I205" s="71" t="str">
        <f aca="false">IF(A205="","",IFERROR(INDEX(السندات!$D$5:$D$504,MATCH(A205,السندات!$A$5:$A$504,0)),""))</f>
        <v/>
      </c>
      <c r="J205" s="72" t="str">
        <f aca="false">IF(A205="","",IF(ISNA(MATCH(A205,السندات!$A$5:$A$504,0)),"رقم سند غير موجود ✘",IF(AND(F205&lt;&gt;"",G205&lt;&gt;""),"اكتب مدين أو دائن فقط ✘",IF(AND(N(F205)=0,N(G205)=0),"بدون مبلغ ⚠",IF(B205&gt;12,"يتجاوز 12 بنداً في الطباعة ⚠","")))))</f>
        <v/>
      </c>
    </row>
    <row r="206" customFormat="false" ht="15" hidden="false" customHeight="false" outlineLevel="0" collapsed="false">
      <c r="A206" s="58"/>
      <c r="B206" s="73" t="str">
        <f aca="false">IF(A206="","",COUNTIF(A$5:A206,A206))</f>
        <v/>
      </c>
      <c r="C206" s="73" t="str">
        <f aca="false">IF(A206="","",A206&amp;"-"&amp;B206)</f>
        <v/>
      </c>
      <c r="D206" s="58"/>
      <c r="E206" s="57"/>
      <c r="F206" s="69"/>
      <c r="G206" s="69"/>
      <c r="H206" s="74" t="str">
        <f aca="false">IF(A206="","",IFERROR(INDEX(السندات!$C$5:$C$504,MATCH(A206,السندات!$A$5:$A$504,0)),""))</f>
        <v/>
      </c>
      <c r="I206" s="75" t="str">
        <f aca="false">IF(A206="","",IFERROR(INDEX(السندات!$D$5:$D$504,MATCH(A206,السندات!$A$5:$A$504,0)),""))</f>
        <v/>
      </c>
      <c r="J206" s="76" t="str">
        <f aca="false">IF(A206="","",IF(ISNA(MATCH(A206,السندات!$A$5:$A$504,0)),"رقم سند غير موجود ✘",IF(AND(F206&lt;&gt;"",G206&lt;&gt;""),"اكتب مدين أو دائن فقط ✘",IF(AND(N(F206)=0,N(G206)=0),"بدون مبلغ ⚠",IF(B206&gt;12,"يتجاوز 12 بنداً في الطباعة ⚠","")))))</f>
        <v/>
      </c>
    </row>
    <row r="207" customFormat="false" ht="15" hidden="false" customHeight="false" outlineLevel="0" collapsed="false">
      <c r="A207" s="58"/>
      <c r="B207" s="68" t="str">
        <f aca="false">IF(A207="","",COUNTIF(A$5:A207,A207))</f>
        <v/>
      </c>
      <c r="C207" s="68" t="str">
        <f aca="false">IF(A207="","",A207&amp;"-"&amp;B207)</f>
        <v/>
      </c>
      <c r="D207" s="58"/>
      <c r="E207" s="57"/>
      <c r="F207" s="69"/>
      <c r="G207" s="69"/>
      <c r="H207" s="70" t="str">
        <f aca="false">IF(A207="","",IFERROR(INDEX(السندات!$C$5:$C$504,MATCH(A207,السندات!$A$5:$A$504,0)),""))</f>
        <v/>
      </c>
      <c r="I207" s="71" t="str">
        <f aca="false">IF(A207="","",IFERROR(INDEX(السندات!$D$5:$D$504,MATCH(A207,السندات!$A$5:$A$504,0)),""))</f>
        <v/>
      </c>
      <c r="J207" s="72" t="str">
        <f aca="false">IF(A207="","",IF(ISNA(MATCH(A207,السندات!$A$5:$A$504,0)),"رقم سند غير موجود ✘",IF(AND(F207&lt;&gt;"",G207&lt;&gt;""),"اكتب مدين أو دائن فقط ✘",IF(AND(N(F207)=0,N(G207)=0),"بدون مبلغ ⚠",IF(B207&gt;12,"يتجاوز 12 بنداً في الطباعة ⚠","")))))</f>
        <v/>
      </c>
    </row>
    <row r="208" customFormat="false" ht="15" hidden="false" customHeight="false" outlineLevel="0" collapsed="false">
      <c r="A208" s="58"/>
      <c r="B208" s="73" t="str">
        <f aca="false">IF(A208="","",COUNTIF(A$5:A208,A208))</f>
        <v/>
      </c>
      <c r="C208" s="73" t="str">
        <f aca="false">IF(A208="","",A208&amp;"-"&amp;B208)</f>
        <v/>
      </c>
      <c r="D208" s="58"/>
      <c r="E208" s="57"/>
      <c r="F208" s="69"/>
      <c r="G208" s="69"/>
      <c r="H208" s="74" t="str">
        <f aca="false">IF(A208="","",IFERROR(INDEX(السندات!$C$5:$C$504,MATCH(A208,السندات!$A$5:$A$504,0)),""))</f>
        <v/>
      </c>
      <c r="I208" s="75" t="str">
        <f aca="false">IF(A208="","",IFERROR(INDEX(السندات!$D$5:$D$504,MATCH(A208,السندات!$A$5:$A$504,0)),""))</f>
        <v/>
      </c>
      <c r="J208" s="76" t="str">
        <f aca="false">IF(A208="","",IF(ISNA(MATCH(A208,السندات!$A$5:$A$504,0)),"رقم سند غير موجود ✘",IF(AND(F208&lt;&gt;"",G208&lt;&gt;""),"اكتب مدين أو دائن فقط ✘",IF(AND(N(F208)=0,N(G208)=0),"بدون مبلغ ⚠",IF(B208&gt;12,"يتجاوز 12 بنداً في الطباعة ⚠","")))))</f>
        <v/>
      </c>
    </row>
    <row r="209" customFormat="false" ht="15" hidden="false" customHeight="false" outlineLevel="0" collapsed="false">
      <c r="A209" s="58"/>
      <c r="B209" s="68" t="str">
        <f aca="false">IF(A209="","",COUNTIF(A$5:A209,A209))</f>
        <v/>
      </c>
      <c r="C209" s="68" t="str">
        <f aca="false">IF(A209="","",A209&amp;"-"&amp;B209)</f>
        <v/>
      </c>
      <c r="D209" s="58"/>
      <c r="E209" s="57"/>
      <c r="F209" s="69"/>
      <c r="G209" s="69"/>
      <c r="H209" s="70" t="str">
        <f aca="false">IF(A209="","",IFERROR(INDEX(السندات!$C$5:$C$504,MATCH(A209,السندات!$A$5:$A$504,0)),""))</f>
        <v/>
      </c>
      <c r="I209" s="71" t="str">
        <f aca="false">IF(A209="","",IFERROR(INDEX(السندات!$D$5:$D$504,MATCH(A209,السندات!$A$5:$A$504,0)),""))</f>
        <v/>
      </c>
      <c r="J209" s="72" t="str">
        <f aca="false">IF(A209="","",IF(ISNA(MATCH(A209,السندات!$A$5:$A$504,0)),"رقم سند غير موجود ✘",IF(AND(F209&lt;&gt;"",G209&lt;&gt;""),"اكتب مدين أو دائن فقط ✘",IF(AND(N(F209)=0,N(G209)=0),"بدون مبلغ ⚠",IF(B209&gt;12,"يتجاوز 12 بنداً في الطباعة ⚠","")))))</f>
        <v/>
      </c>
    </row>
    <row r="210" customFormat="false" ht="15" hidden="false" customHeight="false" outlineLevel="0" collapsed="false">
      <c r="A210" s="58"/>
      <c r="B210" s="73" t="str">
        <f aca="false">IF(A210="","",COUNTIF(A$5:A210,A210))</f>
        <v/>
      </c>
      <c r="C210" s="73" t="str">
        <f aca="false">IF(A210="","",A210&amp;"-"&amp;B210)</f>
        <v/>
      </c>
      <c r="D210" s="58"/>
      <c r="E210" s="57"/>
      <c r="F210" s="69"/>
      <c r="G210" s="69"/>
      <c r="H210" s="74" t="str">
        <f aca="false">IF(A210="","",IFERROR(INDEX(السندات!$C$5:$C$504,MATCH(A210,السندات!$A$5:$A$504,0)),""))</f>
        <v/>
      </c>
      <c r="I210" s="75" t="str">
        <f aca="false">IF(A210="","",IFERROR(INDEX(السندات!$D$5:$D$504,MATCH(A210,السندات!$A$5:$A$504,0)),""))</f>
        <v/>
      </c>
      <c r="J210" s="76" t="str">
        <f aca="false">IF(A210="","",IF(ISNA(MATCH(A210,السندات!$A$5:$A$504,0)),"رقم سند غير موجود ✘",IF(AND(F210&lt;&gt;"",G210&lt;&gt;""),"اكتب مدين أو دائن فقط ✘",IF(AND(N(F210)=0,N(G210)=0),"بدون مبلغ ⚠",IF(B210&gt;12,"يتجاوز 12 بنداً في الطباعة ⚠","")))))</f>
        <v/>
      </c>
    </row>
    <row r="211" customFormat="false" ht="15" hidden="false" customHeight="false" outlineLevel="0" collapsed="false">
      <c r="A211" s="58"/>
      <c r="B211" s="68" t="str">
        <f aca="false">IF(A211="","",COUNTIF(A$5:A211,A211))</f>
        <v/>
      </c>
      <c r="C211" s="68" t="str">
        <f aca="false">IF(A211="","",A211&amp;"-"&amp;B211)</f>
        <v/>
      </c>
      <c r="D211" s="58"/>
      <c r="E211" s="57"/>
      <c r="F211" s="69"/>
      <c r="G211" s="69"/>
      <c r="H211" s="70" t="str">
        <f aca="false">IF(A211="","",IFERROR(INDEX(السندات!$C$5:$C$504,MATCH(A211,السندات!$A$5:$A$504,0)),""))</f>
        <v/>
      </c>
      <c r="I211" s="71" t="str">
        <f aca="false">IF(A211="","",IFERROR(INDEX(السندات!$D$5:$D$504,MATCH(A211,السندات!$A$5:$A$504,0)),""))</f>
        <v/>
      </c>
      <c r="J211" s="72" t="str">
        <f aca="false">IF(A211="","",IF(ISNA(MATCH(A211,السندات!$A$5:$A$504,0)),"رقم سند غير موجود ✘",IF(AND(F211&lt;&gt;"",G211&lt;&gt;""),"اكتب مدين أو دائن فقط ✘",IF(AND(N(F211)=0,N(G211)=0),"بدون مبلغ ⚠",IF(B211&gt;12,"يتجاوز 12 بنداً في الطباعة ⚠","")))))</f>
        <v/>
      </c>
    </row>
    <row r="212" customFormat="false" ht="15" hidden="false" customHeight="false" outlineLevel="0" collapsed="false">
      <c r="A212" s="58"/>
      <c r="B212" s="73" t="str">
        <f aca="false">IF(A212="","",COUNTIF(A$5:A212,A212))</f>
        <v/>
      </c>
      <c r="C212" s="73" t="str">
        <f aca="false">IF(A212="","",A212&amp;"-"&amp;B212)</f>
        <v/>
      </c>
      <c r="D212" s="58"/>
      <c r="E212" s="57"/>
      <c r="F212" s="69"/>
      <c r="G212" s="69"/>
      <c r="H212" s="74" t="str">
        <f aca="false">IF(A212="","",IFERROR(INDEX(السندات!$C$5:$C$504,MATCH(A212,السندات!$A$5:$A$504,0)),""))</f>
        <v/>
      </c>
      <c r="I212" s="75" t="str">
        <f aca="false">IF(A212="","",IFERROR(INDEX(السندات!$D$5:$D$504,MATCH(A212,السندات!$A$5:$A$504,0)),""))</f>
        <v/>
      </c>
      <c r="J212" s="76" t="str">
        <f aca="false">IF(A212="","",IF(ISNA(MATCH(A212,السندات!$A$5:$A$504,0)),"رقم سند غير موجود ✘",IF(AND(F212&lt;&gt;"",G212&lt;&gt;""),"اكتب مدين أو دائن فقط ✘",IF(AND(N(F212)=0,N(G212)=0),"بدون مبلغ ⚠",IF(B212&gt;12,"يتجاوز 12 بنداً في الطباعة ⚠","")))))</f>
        <v/>
      </c>
    </row>
    <row r="213" customFormat="false" ht="15" hidden="false" customHeight="false" outlineLevel="0" collapsed="false">
      <c r="A213" s="58"/>
      <c r="B213" s="68" t="str">
        <f aca="false">IF(A213="","",COUNTIF(A$5:A213,A213))</f>
        <v/>
      </c>
      <c r="C213" s="68" t="str">
        <f aca="false">IF(A213="","",A213&amp;"-"&amp;B213)</f>
        <v/>
      </c>
      <c r="D213" s="58"/>
      <c r="E213" s="57"/>
      <c r="F213" s="69"/>
      <c r="G213" s="69"/>
      <c r="H213" s="70" t="str">
        <f aca="false">IF(A213="","",IFERROR(INDEX(السندات!$C$5:$C$504,MATCH(A213,السندات!$A$5:$A$504,0)),""))</f>
        <v/>
      </c>
      <c r="I213" s="71" t="str">
        <f aca="false">IF(A213="","",IFERROR(INDEX(السندات!$D$5:$D$504,MATCH(A213,السندات!$A$5:$A$504,0)),""))</f>
        <v/>
      </c>
      <c r="J213" s="72" t="str">
        <f aca="false">IF(A213="","",IF(ISNA(MATCH(A213,السندات!$A$5:$A$504,0)),"رقم سند غير موجود ✘",IF(AND(F213&lt;&gt;"",G213&lt;&gt;""),"اكتب مدين أو دائن فقط ✘",IF(AND(N(F213)=0,N(G213)=0),"بدون مبلغ ⚠",IF(B213&gt;12,"يتجاوز 12 بنداً في الطباعة ⚠","")))))</f>
        <v/>
      </c>
    </row>
    <row r="214" customFormat="false" ht="15" hidden="false" customHeight="false" outlineLevel="0" collapsed="false">
      <c r="A214" s="58"/>
      <c r="B214" s="73" t="str">
        <f aca="false">IF(A214="","",COUNTIF(A$5:A214,A214))</f>
        <v/>
      </c>
      <c r="C214" s="73" t="str">
        <f aca="false">IF(A214="","",A214&amp;"-"&amp;B214)</f>
        <v/>
      </c>
      <c r="D214" s="58"/>
      <c r="E214" s="57"/>
      <c r="F214" s="69"/>
      <c r="G214" s="69"/>
      <c r="H214" s="74" t="str">
        <f aca="false">IF(A214="","",IFERROR(INDEX(السندات!$C$5:$C$504,MATCH(A214,السندات!$A$5:$A$504,0)),""))</f>
        <v/>
      </c>
      <c r="I214" s="75" t="str">
        <f aca="false">IF(A214="","",IFERROR(INDEX(السندات!$D$5:$D$504,MATCH(A214,السندات!$A$5:$A$504,0)),""))</f>
        <v/>
      </c>
      <c r="J214" s="76" t="str">
        <f aca="false">IF(A214="","",IF(ISNA(MATCH(A214,السندات!$A$5:$A$504,0)),"رقم سند غير موجود ✘",IF(AND(F214&lt;&gt;"",G214&lt;&gt;""),"اكتب مدين أو دائن فقط ✘",IF(AND(N(F214)=0,N(G214)=0),"بدون مبلغ ⚠",IF(B214&gt;12,"يتجاوز 12 بنداً في الطباعة ⚠","")))))</f>
        <v/>
      </c>
    </row>
    <row r="215" customFormat="false" ht="15" hidden="false" customHeight="false" outlineLevel="0" collapsed="false">
      <c r="A215" s="58"/>
      <c r="B215" s="68" t="str">
        <f aca="false">IF(A215="","",COUNTIF(A$5:A215,A215))</f>
        <v/>
      </c>
      <c r="C215" s="68" t="str">
        <f aca="false">IF(A215="","",A215&amp;"-"&amp;B215)</f>
        <v/>
      </c>
      <c r="D215" s="58"/>
      <c r="E215" s="57"/>
      <c r="F215" s="69"/>
      <c r="G215" s="69"/>
      <c r="H215" s="70" t="str">
        <f aca="false">IF(A215="","",IFERROR(INDEX(السندات!$C$5:$C$504,MATCH(A215,السندات!$A$5:$A$504,0)),""))</f>
        <v/>
      </c>
      <c r="I215" s="71" t="str">
        <f aca="false">IF(A215="","",IFERROR(INDEX(السندات!$D$5:$D$504,MATCH(A215,السندات!$A$5:$A$504,0)),""))</f>
        <v/>
      </c>
      <c r="J215" s="72" t="str">
        <f aca="false">IF(A215="","",IF(ISNA(MATCH(A215,السندات!$A$5:$A$504,0)),"رقم سند غير موجود ✘",IF(AND(F215&lt;&gt;"",G215&lt;&gt;""),"اكتب مدين أو دائن فقط ✘",IF(AND(N(F215)=0,N(G215)=0),"بدون مبلغ ⚠",IF(B215&gt;12,"يتجاوز 12 بنداً في الطباعة ⚠","")))))</f>
        <v/>
      </c>
    </row>
    <row r="216" customFormat="false" ht="15" hidden="false" customHeight="false" outlineLevel="0" collapsed="false">
      <c r="A216" s="58"/>
      <c r="B216" s="73" t="str">
        <f aca="false">IF(A216="","",COUNTIF(A$5:A216,A216))</f>
        <v/>
      </c>
      <c r="C216" s="73" t="str">
        <f aca="false">IF(A216="","",A216&amp;"-"&amp;B216)</f>
        <v/>
      </c>
      <c r="D216" s="58"/>
      <c r="E216" s="57"/>
      <c r="F216" s="69"/>
      <c r="G216" s="69"/>
      <c r="H216" s="74" t="str">
        <f aca="false">IF(A216="","",IFERROR(INDEX(السندات!$C$5:$C$504,MATCH(A216,السندات!$A$5:$A$504,0)),""))</f>
        <v/>
      </c>
      <c r="I216" s="75" t="str">
        <f aca="false">IF(A216="","",IFERROR(INDEX(السندات!$D$5:$D$504,MATCH(A216,السندات!$A$5:$A$504,0)),""))</f>
        <v/>
      </c>
      <c r="J216" s="76" t="str">
        <f aca="false">IF(A216="","",IF(ISNA(MATCH(A216,السندات!$A$5:$A$504,0)),"رقم سند غير موجود ✘",IF(AND(F216&lt;&gt;"",G216&lt;&gt;""),"اكتب مدين أو دائن فقط ✘",IF(AND(N(F216)=0,N(G216)=0),"بدون مبلغ ⚠",IF(B216&gt;12,"يتجاوز 12 بنداً في الطباعة ⚠","")))))</f>
        <v/>
      </c>
    </row>
    <row r="217" customFormat="false" ht="15" hidden="false" customHeight="false" outlineLevel="0" collapsed="false">
      <c r="A217" s="58"/>
      <c r="B217" s="68" t="str">
        <f aca="false">IF(A217="","",COUNTIF(A$5:A217,A217))</f>
        <v/>
      </c>
      <c r="C217" s="68" t="str">
        <f aca="false">IF(A217="","",A217&amp;"-"&amp;B217)</f>
        <v/>
      </c>
      <c r="D217" s="58"/>
      <c r="E217" s="57"/>
      <c r="F217" s="69"/>
      <c r="G217" s="69"/>
      <c r="H217" s="70" t="str">
        <f aca="false">IF(A217="","",IFERROR(INDEX(السندات!$C$5:$C$504,MATCH(A217,السندات!$A$5:$A$504,0)),""))</f>
        <v/>
      </c>
      <c r="I217" s="71" t="str">
        <f aca="false">IF(A217="","",IFERROR(INDEX(السندات!$D$5:$D$504,MATCH(A217,السندات!$A$5:$A$504,0)),""))</f>
        <v/>
      </c>
      <c r="J217" s="72" t="str">
        <f aca="false">IF(A217="","",IF(ISNA(MATCH(A217,السندات!$A$5:$A$504,0)),"رقم سند غير موجود ✘",IF(AND(F217&lt;&gt;"",G217&lt;&gt;""),"اكتب مدين أو دائن فقط ✘",IF(AND(N(F217)=0,N(G217)=0),"بدون مبلغ ⚠",IF(B217&gt;12,"يتجاوز 12 بنداً في الطباعة ⚠","")))))</f>
        <v/>
      </c>
    </row>
    <row r="218" customFormat="false" ht="15" hidden="false" customHeight="false" outlineLevel="0" collapsed="false">
      <c r="A218" s="58"/>
      <c r="B218" s="73" t="str">
        <f aca="false">IF(A218="","",COUNTIF(A$5:A218,A218))</f>
        <v/>
      </c>
      <c r="C218" s="73" t="str">
        <f aca="false">IF(A218="","",A218&amp;"-"&amp;B218)</f>
        <v/>
      </c>
      <c r="D218" s="58"/>
      <c r="E218" s="57"/>
      <c r="F218" s="69"/>
      <c r="G218" s="69"/>
      <c r="H218" s="74" t="str">
        <f aca="false">IF(A218="","",IFERROR(INDEX(السندات!$C$5:$C$504,MATCH(A218,السندات!$A$5:$A$504,0)),""))</f>
        <v/>
      </c>
      <c r="I218" s="75" t="str">
        <f aca="false">IF(A218="","",IFERROR(INDEX(السندات!$D$5:$D$504,MATCH(A218,السندات!$A$5:$A$504,0)),""))</f>
        <v/>
      </c>
      <c r="J218" s="76" t="str">
        <f aca="false">IF(A218="","",IF(ISNA(MATCH(A218,السندات!$A$5:$A$504,0)),"رقم سند غير موجود ✘",IF(AND(F218&lt;&gt;"",G218&lt;&gt;""),"اكتب مدين أو دائن فقط ✘",IF(AND(N(F218)=0,N(G218)=0),"بدون مبلغ ⚠",IF(B218&gt;12,"يتجاوز 12 بنداً في الطباعة ⚠","")))))</f>
        <v/>
      </c>
    </row>
    <row r="219" customFormat="false" ht="15" hidden="false" customHeight="false" outlineLevel="0" collapsed="false">
      <c r="A219" s="58"/>
      <c r="B219" s="68" t="str">
        <f aca="false">IF(A219="","",COUNTIF(A$5:A219,A219))</f>
        <v/>
      </c>
      <c r="C219" s="68" t="str">
        <f aca="false">IF(A219="","",A219&amp;"-"&amp;B219)</f>
        <v/>
      </c>
      <c r="D219" s="58"/>
      <c r="E219" s="57"/>
      <c r="F219" s="69"/>
      <c r="G219" s="69"/>
      <c r="H219" s="70" t="str">
        <f aca="false">IF(A219="","",IFERROR(INDEX(السندات!$C$5:$C$504,MATCH(A219,السندات!$A$5:$A$504,0)),""))</f>
        <v/>
      </c>
      <c r="I219" s="71" t="str">
        <f aca="false">IF(A219="","",IFERROR(INDEX(السندات!$D$5:$D$504,MATCH(A219,السندات!$A$5:$A$504,0)),""))</f>
        <v/>
      </c>
      <c r="J219" s="72" t="str">
        <f aca="false">IF(A219="","",IF(ISNA(MATCH(A219,السندات!$A$5:$A$504,0)),"رقم سند غير موجود ✘",IF(AND(F219&lt;&gt;"",G219&lt;&gt;""),"اكتب مدين أو دائن فقط ✘",IF(AND(N(F219)=0,N(G219)=0),"بدون مبلغ ⚠",IF(B219&gt;12,"يتجاوز 12 بنداً في الطباعة ⚠","")))))</f>
        <v/>
      </c>
    </row>
    <row r="220" customFormat="false" ht="15" hidden="false" customHeight="false" outlineLevel="0" collapsed="false">
      <c r="A220" s="58"/>
      <c r="B220" s="73" t="str">
        <f aca="false">IF(A220="","",COUNTIF(A$5:A220,A220))</f>
        <v/>
      </c>
      <c r="C220" s="73" t="str">
        <f aca="false">IF(A220="","",A220&amp;"-"&amp;B220)</f>
        <v/>
      </c>
      <c r="D220" s="58"/>
      <c r="E220" s="57"/>
      <c r="F220" s="69"/>
      <c r="G220" s="69"/>
      <c r="H220" s="74" t="str">
        <f aca="false">IF(A220="","",IFERROR(INDEX(السندات!$C$5:$C$504,MATCH(A220,السندات!$A$5:$A$504,0)),""))</f>
        <v/>
      </c>
      <c r="I220" s="75" t="str">
        <f aca="false">IF(A220="","",IFERROR(INDEX(السندات!$D$5:$D$504,MATCH(A220,السندات!$A$5:$A$504,0)),""))</f>
        <v/>
      </c>
      <c r="J220" s="76" t="str">
        <f aca="false">IF(A220="","",IF(ISNA(MATCH(A220,السندات!$A$5:$A$504,0)),"رقم سند غير موجود ✘",IF(AND(F220&lt;&gt;"",G220&lt;&gt;""),"اكتب مدين أو دائن فقط ✘",IF(AND(N(F220)=0,N(G220)=0),"بدون مبلغ ⚠",IF(B220&gt;12,"يتجاوز 12 بنداً في الطباعة ⚠","")))))</f>
        <v/>
      </c>
    </row>
    <row r="221" customFormat="false" ht="15" hidden="false" customHeight="false" outlineLevel="0" collapsed="false">
      <c r="A221" s="58"/>
      <c r="B221" s="68" t="str">
        <f aca="false">IF(A221="","",COUNTIF(A$5:A221,A221))</f>
        <v/>
      </c>
      <c r="C221" s="68" t="str">
        <f aca="false">IF(A221="","",A221&amp;"-"&amp;B221)</f>
        <v/>
      </c>
      <c r="D221" s="58"/>
      <c r="E221" s="57"/>
      <c r="F221" s="69"/>
      <c r="G221" s="69"/>
      <c r="H221" s="70" t="str">
        <f aca="false">IF(A221="","",IFERROR(INDEX(السندات!$C$5:$C$504,MATCH(A221,السندات!$A$5:$A$504,0)),""))</f>
        <v/>
      </c>
      <c r="I221" s="71" t="str">
        <f aca="false">IF(A221="","",IFERROR(INDEX(السندات!$D$5:$D$504,MATCH(A221,السندات!$A$5:$A$504,0)),""))</f>
        <v/>
      </c>
      <c r="J221" s="72" t="str">
        <f aca="false">IF(A221="","",IF(ISNA(MATCH(A221,السندات!$A$5:$A$504,0)),"رقم سند غير موجود ✘",IF(AND(F221&lt;&gt;"",G221&lt;&gt;""),"اكتب مدين أو دائن فقط ✘",IF(AND(N(F221)=0,N(G221)=0),"بدون مبلغ ⚠",IF(B221&gt;12,"يتجاوز 12 بنداً في الطباعة ⚠","")))))</f>
        <v/>
      </c>
    </row>
    <row r="222" customFormat="false" ht="15" hidden="false" customHeight="false" outlineLevel="0" collapsed="false">
      <c r="A222" s="58"/>
      <c r="B222" s="73" t="str">
        <f aca="false">IF(A222="","",COUNTIF(A$5:A222,A222))</f>
        <v/>
      </c>
      <c r="C222" s="73" t="str">
        <f aca="false">IF(A222="","",A222&amp;"-"&amp;B222)</f>
        <v/>
      </c>
      <c r="D222" s="58"/>
      <c r="E222" s="57"/>
      <c r="F222" s="69"/>
      <c r="G222" s="69"/>
      <c r="H222" s="74" t="str">
        <f aca="false">IF(A222="","",IFERROR(INDEX(السندات!$C$5:$C$504,MATCH(A222,السندات!$A$5:$A$504,0)),""))</f>
        <v/>
      </c>
      <c r="I222" s="75" t="str">
        <f aca="false">IF(A222="","",IFERROR(INDEX(السندات!$D$5:$D$504,MATCH(A222,السندات!$A$5:$A$504,0)),""))</f>
        <v/>
      </c>
      <c r="J222" s="76" t="str">
        <f aca="false">IF(A222="","",IF(ISNA(MATCH(A222,السندات!$A$5:$A$504,0)),"رقم سند غير موجود ✘",IF(AND(F222&lt;&gt;"",G222&lt;&gt;""),"اكتب مدين أو دائن فقط ✘",IF(AND(N(F222)=0,N(G222)=0),"بدون مبلغ ⚠",IF(B222&gt;12,"يتجاوز 12 بنداً في الطباعة ⚠","")))))</f>
        <v/>
      </c>
    </row>
    <row r="223" customFormat="false" ht="15" hidden="false" customHeight="false" outlineLevel="0" collapsed="false">
      <c r="A223" s="58"/>
      <c r="B223" s="68" t="str">
        <f aca="false">IF(A223="","",COUNTIF(A$5:A223,A223))</f>
        <v/>
      </c>
      <c r="C223" s="68" t="str">
        <f aca="false">IF(A223="","",A223&amp;"-"&amp;B223)</f>
        <v/>
      </c>
      <c r="D223" s="58"/>
      <c r="E223" s="57"/>
      <c r="F223" s="69"/>
      <c r="G223" s="69"/>
      <c r="H223" s="70" t="str">
        <f aca="false">IF(A223="","",IFERROR(INDEX(السندات!$C$5:$C$504,MATCH(A223,السندات!$A$5:$A$504,0)),""))</f>
        <v/>
      </c>
      <c r="I223" s="71" t="str">
        <f aca="false">IF(A223="","",IFERROR(INDEX(السندات!$D$5:$D$504,MATCH(A223,السندات!$A$5:$A$504,0)),""))</f>
        <v/>
      </c>
      <c r="J223" s="72" t="str">
        <f aca="false">IF(A223="","",IF(ISNA(MATCH(A223,السندات!$A$5:$A$504,0)),"رقم سند غير موجود ✘",IF(AND(F223&lt;&gt;"",G223&lt;&gt;""),"اكتب مدين أو دائن فقط ✘",IF(AND(N(F223)=0,N(G223)=0),"بدون مبلغ ⚠",IF(B223&gt;12,"يتجاوز 12 بنداً في الطباعة ⚠","")))))</f>
        <v/>
      </c>
    </row>
    <row r="224" customFormat="false" ht="15" hidden="false" customHeight="false" outlineLevel="0" collapsed="false">
      <c r="A224" s="58"/>
      <c r="B224" s="73" t="str">
        <f aca="false">IF(A224="","",COUNTIF(A$5:A224,A224))</f>
        <v/>
      </c>
      <c r="C224" s="73" t="str">
        <f aca="false">IF(A224="","",A224&amp;"-"&amp;B224)</f>
        <v/>
      </c>
      <c r="D224" s="58"/>
      <c r="E224" s="57"/>
      <c r="F224" s="69"/>
      <c r="G224" s="69"/>
      <c r="H224" s="74" t="str">
        <f aca="false">IF(A224="","",IFERROR(INDEX(السندات!$C$5:$C$504,MATCH(A224,السندات!$A$5:$A$504,0)),""))</f>
        <v/>
      </c>
      <c r="I224" s="75" t="str">
        <f aca="false">IF(A224="","",IFERROR(INDEX(السندات!$D$5:$D$504,MATCH(A224,السندات!$A$5:$A$504,0)),""))</f>
        <v/>
      </c>
      <c r="J224" s="76" t="str">
        <f aca="false">IF(A224="","",IF(ISNA(MATCH(A224,السندات!$A$5:$A$504,0)),"رقم سند غير موجود ✘",IF(AND(F224&lt;&gt;"",G224&lt;&gt;""),"اكتب مدين أو دائن فقط ✘",IF(AND(N(F224)=0,N(G224)=0),"بدون مبلغ ⚠",IF(B224&gt;12,"يتجاوز 12 بنداً في الطباعة ⚠","")))))</f>
        <v/>
      </c>
    </row>
    <row r="225" customFormat="false" ht="15" hidden="false" customHeight="false" outlineLevel="0" collapsed="false">
      <c r="A225" s="58"/>
      <c r="B225" s="68" t="str">
        <f aca="false">IF(A225="","",COUNTIF(A$5:A225,A225))</f>
        <v/>
      </c>
      <c r="C225" s="68" t="str">
        <f aca="false">IF(A225="","",A225&amp;"-"&amp;B225)</f>
        <v/>
      </c>
      <c r="D225" s="58"/>
      <c r="E225" s="57"/>
      <c r="F225" s="69"/>
      <c r="G225" s="69"/>
      <c r="H225" s="70" t="str">
        <f aca="false">IF(A225="","",IFERROR(INDEX(السندات!$C$5:$C$504,MATCH(A225,السندات!$A$5:$A$504,0)),""))</f>
        <v/>
      </c>
      <c r="I225" s="71" t="str">
        <f aca="false">IF(A225="","",IFERROR(INDEX(السندات!$D$5:$D$504,MATCH(A225,السندات!$A$5:$A$504,0)),""))</f>
        <v/>
      </c>
      <c r="J225" s="72" t="str">
        <f aca="false">IF(A225="","",IF(ISNA(MATCH(A225,السندات!$A$5:$A$504,0)),"رقم سند غير موجود ✘",IF(AND(F225&lt;&gt;"",G225&lt;&gt;""),"اكتب مدين أو دائن فقط ✘",IF(AND(N(F225)=0,N(G225)=0),"بدون مبلغ ⚠",IF(B225&gt;12,"يتجاوز 12 بنداً في الطباعة ⚠","")))))</f>
        <v/>
      </c>
    </row>
    <row r="226" customFormat="false" ht="15" hidden="false" customHeight="false" outlineLevel="0" collapsed="false">
      <c r="A226" s="58"/>
      <c r="B226" s="73" t="str">
        <f aca="false">IF(A226="","",COUNTIF(A$5:A226,A226))</f>
        <v/>
      </c>
      <c r="C226" s="73" t="str">
        <f aca="false">IF(A226="","",A226&amp;"-"&amp;B226)</f>
        <v/>
      </c>
      <c r="D226" s="58"/>
      <c r="E226" s="57"/>
      <c r="F226" s="69"/>
      <c r="G226" s="69"/>
      <c r="H226" s="74" t="str">
        <f aca="false">IF(A226="","",IFERROR(INDEX(السندات!$C$5:$C$504,MATCH(A226,السندات!$A$5:$A$504,0)),""))</f>
        <v/>
      </c>
      <c r="I226" s="75" t="str">
        <f aca="false">IF(A226="","",IFERROR(INDEX(السندات!$D$5:$D$504,MATCH(A226,السندات!$A$5:$A$504,0)),""))</f>
        <v/>
      </c>
      <c r="J226" s="76" t="str">
        <f aca="false">IF(A226="","",IF(ISNA(MATCH(A226,السندات!$A$5:$A$504,0)),"رقم سند غير موجود ✘",IF(AND(F226&lt;&gt;"",G226&lt;&gt;""),"اكتب مدين أو دائن فقط ✘",IF(AND(N(F226)=0,N(G226)=0),"بدون مبلغ ⚠",IF(B226&gt;12,"يتجاوز 12 بنداً في الطباعة ⚠","")))))</f>
        <v/>
      </c>
    </row>
    <row r="227" customFormat="false" ht="15" hidden="false" customHeight="false" outlineLevel="0" collapsed="false">
      <c r="A227" s="58"/>
      <c r="B227" s="68" t="str">
        <f aca="false">IF(A227="","",COUNTIF(A$5:A227,A227))</f>
        <v/>
      </c>
      <c r="C227" s="68" t="str">
        <f aca="false">IF(A227="","",A227&amp;"-"&amp;B227)</f>
        <v/>
      </c>
      <c r="D227" s="58"/>
      <c r="E227" s="57"/>
      <c r="F227" s="69"/>
      <c r="G227" s="69"/>
      <c r="H227" s="70" t="str">
        <f aca="false">IF(A227="","",IFERROR(INDEX(السندات!$C$5:$C$504,MATCH(A227,السندات!$A$5:$A$504,0)),""))</f>
        <v/>
      </c>
      <c r="I227" s="71" t="str">
        <f aca="false">IF(A227="","",IFERROR(INDEX(السندات!$D$5:$D$504,MATCH(A227,السندات!$A$5:$A$504,0)),""))</f>
        <v/>
      </c>
      <c r="J227" s="72" t="str">
        <f aca="false">IF(A227="","",IF(ISNA(MATCH(A227,السندات!$A$5:$A$504,0)),"رقم سند غير موجود ✘",IF(AND(F227&lt;&gt;"",G227&lt;&gt;""),"اكتب مدين أو دائن فقط ✘",IF(AND(N(F227)=0,N(G227)=0),"بدون مبلغ ⚠",IF(B227&gt;12,"يتجاوز 12 بنداً في الطباعة ⚠","")))))</f>
        <v/>
      </c>
    </row>
    <row r="228" customFormat="false" ht="15" hidden="false" customHeight="false" outlineLevel="0" collapsed="false">
      <c r="A228" s="58"/>
      <c r="B228" s="73" t="str">
        <f aca="false">IF(A228="","",COUNTIF(A$5:A228,A228))</f>
        <v/>
      </c>
      <c r="C228" s="73" t="str">
        <f aca="false">IF(A228="","",A228&amp;"-"&amp;B228)</f>
        <v/>
      </c>
      <c r="D228" s="58"/>
      <c r="E228" s="57"/>
      <c r="F228" s="69"/>
      <c r="G228" s="69"/>
      <c r="H228" s="74" t="str">
        <f aca="false">IF(A228="","",IFERROR(INDEX(السندات!$C$5:$C$504,MATCH(A228,السندات!$A$5:$A$504,0)),""))</f>
        <v/>
      </c>
      <c r="I228" s="75" t="str">
        <f aca="false">IF(A228="","",IFERROR(INDEX(السندات!$D$5:$D$504,MATCH(A228,السندات!$A$5:$A$504,0)),""))</f>
        <v/>
      </c>
      <c r="J228" s="76" t="str">
        <f aca="false">IF(A228="","",IF(ISNA(MATCH(A228,السندات!$A$5:$A$504,0)),"رقم سند غير موجود ✘",IF(AND(F228&lt;&gt;"",G228&lt;&gt;""),"اكتب مدين أو دائن فقط ✘",IF(AND(N(F228)=0,N(G228)=0),"بدون مبلغ ⚠",IF(B228&gt;12,"يتجاوز 12 بنداً في الطباعة ⚠","")))))</f>
        <v/>
      </c>
    </row>
    <row r="229" customFormat="false" ht="15" hidden="false" customHeight="false" outlineLevel="0" collapsed="false">
      <c r="A229" s="58"/>
      <c r="B229" s="68" t="str">
        <f aca="false">IF(A229="","",COUNTIF(A$5:A229,A229))</f>
        <v/>
      </c>
      <c r="C229" s="68" t="str">
        <f aca="false">IF(A229="","",A229&amp;"-"&amp;B229)</f>
        <v/>
      </c>
      <c r="D229" s="58"/>
      <c r="E229" s="57"/>
      <c r="F229" s="69"/>
      <c r="G229" s="69"/>
      <c r="H229" s="70" t="str">
        <f aca="false">IF(A229="","",IFERROR(INDEX(السندات!$C$5:$C$504,MATCH(A229,السندات!$A$5:$A$504,0)),""))</f>
        <v/>
      </c>
      <c r="I229" s="71" t="str">
        <f aca="false">IF(A229="","",IFERROR(INDEX(السندات!$D$5:$D$504,MATCH(A229,السندات!$A$5:$A$504,0)),""))</f>
        <v/>
      </c>
      <c r="J229" s="72" t="str">
        <f aca="false">IF(A229="","",IF(ISNA(MATCH(A229,السندات!$A$5:$A$504,0)),"رقم سند غير موجود ✘",IF(AND(F229&lt;&gt;"",G229&lt;&gt;""),"اكتب مدين أو دائن فقط ✘",IF(AND(N(F229)=0,N(G229)=0),"بدون مبلغ ⚠",IF(B229&gt;12,"يتجاوز 12 بنداً في الطباعة ⚠","")))))</f>
        <v/>
      </c>
    </row>
    <row r="230" customFormat="false" ht="15" hidden="false" customHeight="false" outlineLevel="0" collapsed="false">
      <c r="A230" s="58"/>
      <c r="B230" s="73" t="str">
        <f aca="false">IF(A230="","",COUNTIF(A$5:A230,A230))</f>
        <v/>
      </c>
      <c r="C230" s="73" t="str">
        <f aca="false">IF(A230="","",A230&amp;"-"&amp;B230)</f>
        <v/>
      </c>
      <c r="D230" s="58"/>
      <c r="E230" s="57"/>
      <c r="F230" s="69"/>
      <c r="G230" s="69"/>
      <c r="H230" s="74" t="str">
        <f aca="false">IF(A230="","",IFERROR(INDEX(السندات!$C$5:$C$504,MATCH(A230,السندات!$A$5:$A$504,0)),""))</f>
        <v/>
      </c>
      <c r="I230" s="75" t="str">
        <f aca="false">IF(A230="","",IFERROR(INDEX(السندات!$D$5:$D$504,MATCH(A230,السندات!$A$5:$A$504,0)),""))</f>
        <v/>
      </c>
      <c r="J230" s="76" t="str">
        <f aca="false">IF(A230="","",IF(ISNA(MATCH(A230,السندات!$A$5:$A$504,0)),"رقم سند غير موجود ✘",IF(AND(F230&lt;&gt;"",G230&lt;&gt;""),"اكتب مدين أو دائن فقط ✘",IF(AND(N(F230)=0,N(G230)=0),"بدون مبلغ ⚠",IF(B230&gt;12,"يتجاوز 12 بنداً في الطباعة ⚠","")))))</f>
        <v/>
      </c>
    </row>
    <row r="231" customFormat="false" ht="15" hidden="false" customHeight="false" outlineLevel="0" collapsed="false">
      <c r="A231" s="58"/>
      <c r="B231" s="68" t="str">
        <f aca="false">IF(A231="","",COUNTIF(A$5:A231,A231))</f>
        <v/>
      </c>
      <c r="C231" s="68" t="str">
        <f aca="false">IF(A231="","",A231&amp;"-"&amp;B231)</f>
        <v/>
      </c>
      <c r="D231" s="58"/>
      <c r="E231" s="57"/>
      <c r="F231" s="69"/>
      <c r="G231" s="69"/>
      <c r="H231" s="70" t="str">
        <f aca="false">IF(A231="","",IFERROR(INDEX(السندات!$C$5:$C$504,MATCH(A231,السندات!$A$5:$A$504,0)),""))</f>
        <v/>
      </c>
      <c r="I231" s="71" t="str">
        <f aca="false">IF(A231="","",IFERROR(INDEX(السندات!$D$5:$D$504,MATCH(A231,السندات!$A$5:$A$504,0)),""))</f>
        <v/>
      </c>
      <c r="J231" s="72" t="str">
        <f aca="false">IF(A231="","",IF(ISNA(MATCH(A231,السندات!$A$5:$A$504,0)),"رقم سند غير موجود ✘",IF(AND(F231&lt;&gt;"",G231&lt;&gt;""),"اكتب مدين أو دائن فقط ✘",IF(AND(N(F231)=0,N(G231)=0),"بدون مبلغ ⚠",IF(B231&gt;12,"يتجاوز 12 بنداً في الطباعة ⚠","")))))</f>
        <v/>
      </c>
    </row>
    <row r="232" customFormat="false" ht="15" hidden="false" customHeight="false" outlineLevel="0" collapsed="false">
      <c r="A232" s="58"/>
      <c r="B232" s="73" t="str">
        <f aca="false">IF(A232="","",COUNTIF(A$5:A232,A232))</f>
        <v/>
      </c>
      <c r="C232" s="73" t="str">
        <f aca="false">IF(A232="","",A232&amp;"-"&amp;B232)</f>
        <v/>
      </c>
      <c r="D232" s="58"/>
      <c r="E232" s="57"/>
      <c r="F232" s="69"/>
      <c r="G232" s="69"/>
      <c r="H232" s="74" t="str">
        <f aca="false">IF(A232="","",IFERROR(INDEX(السندات!$C$5:$C$504,MATCH(A232,السندات!$A$5:$A$504,0)),""))</f>
        <v/>
      </c>
      <c r="I232" s="75" t="str">
        <f aca="false">IF(A232="","",IFERROR(INDEX(السندات!$D$5:$D$504,MATCH(A232,السندات!$A$5:$A$504,0)),""))</f>
        <v/>
      </c>
      <c r="J232" s="76" t="str">
        <f aca="false">IF(A232="","",IF(ISNA(MATCH(A232,السندات!$A$5:$A$504,0)),"رقم سند غير موجود ✘",IF(AND(F232&lt;&gt;"",G232&lt;&gt;""),"اكتب مدين أو دائن فقط ✘",IF(AND(N(F232)=0,N(G232)=0),"بدون مبلغ ⚠",IF(B232&gt;12,"يتجاوز 12 بنداً في الطباعة ⚠","")))))</f>
        <v/>
      </c>
    </row>
    <row r="233" customFormat="false" ht="15" hidden="false" customHeight="false" outlineLevel="0" collapsed="false">
      <c r="A233" s="58"/>
      <c r="B233" s="68" t="str">
        <f aca="false">IF(A233="","",COUNTIF(A$5:A233,A233))</f>
        <v/>
      </c>
      <c r="C233" s="68" t="str">
        <f aca="false">IF(A233="","",A233&amp;"-"&amp;B233)</f>
        <v/>
      </c>
      <c r="D233" s="58"/>
      <c r="E233" s="57"/>
      <c r="F233" s="69"/>
      <c r="G233" s="69"/>
      <c r="H233" s="70" t="str">
        <f aca="false">IF(A233="","",IFERROR(INDEX(السندات!$C$5:$C$504,MATCH(A233,السندات!$A$5:$A$504,0)),""))</f>
        <v/>
      </c>
      <c r="I233" s="71" t="str">
        <f aca="false">IF(A233="","",IFERROR(INDEX(السندات!$D$5:$D$504,MATCH(A233,السندات!$A$5:$A$504,0)),""))</f>
        <v/>
      </c>
      <c r="J233" s="72" t="str">
        <f aca="false">IF(A233="","",IF(ISNA(MATCH(A233,السندات!$A$5:$A$504,0)),"رقم سند غير موجود ✘",IF(AND(F233&lt;&gt;"",G233&lt;&gt;""),"اكتب مدين أو دائن فقط ✘",IF(AND(N(F233)=0,N(G233)=0),"بدون مبلغ ⚠",IF(B233&gt;12,"يتجاوز 12 بنداً في الطباعة ⚠","")))))</f>
        <v/>
      </c>
    </row>
    <row r="234" customFormat="false" ht="15" hidden="false" customHeight="false" outlineLevel="0" collapsed="false">
      <c r="A234" s="58"/>
      <c r="B234" s="73" t="str">
        <f aca="false">IF(A234="","",COUNTIF(A$5:A234,A234))</f>
        <v/>
      </c>
      <c r="C234" s="73" t="str">
        <f aca="false">IF(A234="","",A234&amp;"-"&amp;B234)</f>
        <v/>
      </c>
      <c r="D234" s="58"/>
      <c r="E234" s="57"/>
      <c r="F234" s="69"/>
      <c r="G234" s="69"/>
      <c r="H234" s="74" t="str">
        <f aca="false">IF(A234="","",IFERROR(INDEX(السندات!$C$5:$C$504,MATCH(A234,السندات!$A$5:$A$504,0)),""))</f>
        <v/>
      </c>
      <c r="I234" s="75" t="str">
        <f aca="false">IF(A234="","",IFERROR(INDEX(السندات!$D$5:$D$504,MATCH(A234,السندات!$A$5:$A$504,0)),""))</f>
        <v/>
      </c>
      <c r="J234" s="76" t="str">
        <f aca="false">IF(A234="","",IF(ISNA(MATCH(A234,السندات!$A$5:$A$504,0)),"رقم سند غير موجود ✘",IF(AND(F234&lt;&gt;"",G234&lt;&gt;""),"اكتب مدين أو دائن فقط ✘",IF(AND(N(F234)=0,N(G234)=0),"بدون مبلغ ⚠",IF(B234&gt;12,"يتجاوز 12 بنداً في الطباعة ⚠","")))))</f>
        <v/>
      </c>
    </row>
    <row r="235" customFormat="false" ht="15" hidden="false" customHeight="false" outlineLevel="0" collapsed="false">
      <c r="A235" s="58"/>
      <c r="B235" s="68" t="str">
        <f aca="false">IF(A235="","",COUNTIF(A$5:A235,A235))</f>
        <v/>
      </c>
      <c r="C235" s="68" t="str">
        <f aca="false">IF(A235="","",A235&amp;"-"&amp;B235)</f>
        <v/>
      </c>
      <c r="D235" s="58"/>
      <c r="E235" s="57"/>
      <c r="F235" s="69"/>
      <c r="G235" s="69"/>
      <c r="H235" s="70" t="str">
        <f aca="false">IF(A235="","",IFERROR(INDEX(السندات!$C$5:$C$504,MATCH(A235,السندات!$A$5:$A$504,0)),""))</f>
        <v/>
      </c>
      <c r="I235" s="71" t="str">
        <f aca="false">IF(A235="","",IFERROR(INDEX(السندات!$D$5:$D$504,MATCH(A235,السندات!$A$5:$A$504,0)),""))</f>
        <v/>
      </c>
      <c r="J235" s="72" t="str">
        <f aca="false">IF(A235="","",IF(ISNA(MATCH(A235,السندات!$A$5:$A$504,0)),"رقم سند غير موجود ✘",IF(AND(F235&lt;&gt;"",G235&lt;&gt;""),"اكتب مدين أو دائن فقط ✘",IF(AND(N(F235)=0,N(G235)=0),"بدون مبلغ ⚠",IF(B235&gt;12,"يتجاوز 12 بنداً في الطباعة ⚠","")))))</f>
        <v/>
      </c>
    </row>
    <row r="236" customFormat="false" ht="15" hidden="false" customHeight="false" outlineLevel="0" collapsed="false">
      <c r="A236" s="58"/>
      <c r="B236" s="73" t="str">
        <f aca="false">IF(A236="","",COUNTIF(A$5:A236,A236))</f>
        <v/>
      </c>
      <c r="C236" s="73" t="str">
        <f aca="false">IF(A236="","",A236&amp;"-"&amp;B236)</f>
        <v/>
      </c>
      <c r="D236" s="58"/>
      <c r="E236" s="57"/>
      <c r="F236" s="69"/>
      <c r="G236" s="69"/>
      <c r="H236" s="74" t="str">
        <f aca="false">IF(A236="","",IFERROR(INDEX(السندات!$C$5:$C$504,MATCH(A236,السندات!$A$5:$A$504,0)),""))</f>
        <v/>
      </c>
      <c r="I236" s="75" t="str">
        <f aca="false">IF(A236="","",IFERROR(INDEX(السندات!$D$5:$D$504,MATCH(A236,السندات!$A$5:$A$504,0)),""))</f>
        <v/>
      </c>
      <c r="J236" s="76" t="str">
        <f aca="false">IF(A236="","",IF(ISNA(MATCH(A236,السندات!$A$5:$A$504,0)),"رقم سند غير موجود ✘",IF(AND(F236&lt;&gt;"",G236&lt;&gt;""),"اكتب مدين أو دائن فقط ✘",IF(AND(N(F236)=0,N(G236)=0),"بدون مبلغ ⚠",IF(B236&gt;12,"يتجاوز 12 بنداً في الطباعة ⚠","")))))</f>
        <v/>
      </c>
    </row>
    <row r="237" customFormat="false" ht="15" hidden="false" customHeight="false" outlineLevel="0" collapsed="false">
      <c r="A237" s="58"/>
      <c r="B237" s="68" t="str">
        <f aca="false">IF(A237="","",COUNTIF(A$5:A237,A237))</f>
        <v/>
      </c>
      <c r="C237" s="68" t="str">
        <f aca="false">IF(A237="","",A237&amp;"-"&amp;B237)</f>
        <v/>
      </c>
      <c r="D237" s="58"/>
      <c r="E237" s="57"/>
      <c r="F237" s="69"/>
      <c r="G237" s="69"/>
      <c r="H237" s="70" t="str">
        <f aca="false">IF(A237="","",IFERROR(INDEX(السندات!$C$5:$C$504,MATCH(A237,السندات!$A$5:$A$504,0)),""))</f>
        <v/>
      </c>
      <c r="I237" s="71" t="str">
        <f aca="false">IF(A237="","",IFERROR(INDEX(السندات!$D$5:$D$504,MATCH(A237,السندات!$A$5:$A$504,0)),""))</f>
        <v/>
      </c>
      <c r="J237" s="72" t="str">
        <f aca="false">IF(A237="","",IF(ISNA(MATCH(A237,السندات!$A$5:$A$504,0)),"رقم سند غير موجود ✘",IF(AND(F237&lt;&gt;"",G237&lt;&gt;""),"اكتب مدين أو دائن فقط ✘",IF(AND(N(F237)=0,N(G237)=0),"بدون مبلغ ⚠",IF(B237&gt;12,"يتجاوز 12 بنداً في الطباعة ⚠","")))))</f>
        <v/>
      </c>
    </row>
    <row r="238" customFormat="false" ht="15" hidden="false" customHeight="false" outlineLevel="0" collapsed="false">
      <c r="A238" s="58"/>
      <c r="B238" s="73" t="str">
        <f aca="false">IF(A238="","",COUNTIF(A$5:A238,A238))</f>
        <v/>
      </c>
      <c r="C238" s="73" t="str">
        <f aca="false">IF(A238="","",A238&amp;"-"&amp;B238)</f>
        <v/>
      </c>
      <c r="D238" s="58"/>
      <c r="E238" s="57"/>
      <c r="F238" s="69"/>
      <c r="G238" s="69"/>
      <c r="H238" s="74" t="str">
        <f aca="false">IF(A238="","",IFERROR(INDEX(السندات!$C$5:$C$504,MATCH(A238,السندات!$A$5:$A$504,0)),""))</f>
        <v/>
      </c>
      <c r="I238" s="75" t="str">
        <f aca="false">IF(A238="","",IFERROR(INDEX(السندات!$D$5:$D$504,MATCH(A238,السندات!$A$5:$A$504,0)),""))</f>
        <v/>
      </c>
      <c r="J238" s="76" t="str">
        <f aca="false">IF(A238="","",IF(ISNA(MATCH(A238,السندات!$A$5:$A$504,0)),"رقم سند غير موجود ✘",IF(AND(F238&lt;&gt;"",G238&lt;&gt;""),"اكتب مدين أو دائن فقط ✘",IF(AND(N(F238)=0,N(G238)=0),"بدون مبلغ ⚠",IF(B238&gt;12,"يتجاوز 12 بنداً في الطباعة ⚠","")))))</f>
        <v/>
      </c>
    </row>
    <row r="239" customFormat="false" ht="15" hidden="false" customHeight="false" outlineLevel="0" collapsed="false">
      <c r="A239" s="58"/>
      <c r="B239" s="68" t="str">
        <f aca="false">IF(A239="","",COUNTIF(A$5:A239,A239))</f>
        <v/>
      </c>
      <c r="C239" s="68" t="str">
        <f aca="false">IF(A239="","",A239&amp;"-"&amp;B239)</f>
        <v/>
      </c>
      <c r="D239" s="58"/>
      <c r="E239" s="57"/>
      <c r="F239" s="69"/>
      <c r="G239" s="69"/>
      <c r="H239" s="70" t="str">
        <f aca="false">IF(A239="","",IFERROR(INDEX(السندات!$C$5:$C$504,MATCH(A239,السندات!$A$5:$A$504,0)),""))</f>
        <v/>
      </c>
      <c r="I239" s="71" t="str">
        <f aca="false">IF(A239="","",IFERROR(INDEX(السندات!$D$5:$D$504,MATCH(A239,السندات!$A$5:$A$504,0)),""))</f>
        <v/>
      </c>
      <c r="J239" s="72" t="str">
        <f aca="false">IF(A239="","",IF(ISNA(MATCH(A239,السندات!$A$5:$A$504,0)),"رقم سند غير موجود ✘",IF(AND(F239&lt;&gt;"",G239&lt;&gt;""),"اكتب مدين أو دائن فقط ✘",IF(AND(N(F239)=0,N(G239)=0),"بدون مبلغ ⚠",IF(B239&gt;12,"يتجاوز 12 بنداً في الطباعة ⚠","")))))</f>
        <v/>
      </c>
    </row>
    <row r="240" customFormat="false" ht="15" hidden="false" customHeight="false" outlineLevel="0" collapsed="false">
      <c r="A240" s="58"/>
      <c r="B240" s="73" t="str">
        <f aca="false">IF(A240="","",COUNTIF(A$5:A240,A240))</f>
        <v/>
      </c>
      <c r="C240" s="73" t="str">
        <f aca="false">IF(A240="","",A240&amp;"-"&amp;B240)</f>
        <v/>
      </c>
      <c r="D240" s="58"/>
      <c r="E240" s="57"/>
      <c r="F240" s="69"/>
      <c r="G240" s="69"/>
      <c r="H240" s="74" t="str">
        <f aca="false">IF(A240="","",IFERROR(INDEX(السندات!$C$5:$C$504,MATCH(A240,السندات!$A$5:$A$504,0)),""))</f>
        <v/>
      </c>
      <c r="I240" s="75" t="str">
        <f aca="false">IF(A240="","",IFERROR(INDEX(السندات!$D$5:$D$504,MATCH(A240,السندات!$A$5:$A$504,0)),""))</f>
        <v/>
      </c>
      <c r="J240" s="76" t="str">
        <f aca="false">IF(A240="","",IF(ISNA(MATCH(A240,السندات!$A$5:$A$504,0)),"رقم سند غير موجود ✘",IF(AND(F240&lt;&gt;"",G240&lt;&gt;""),"اكتب مدين أو دائن فقط ✘",IF(AND(N(F240)=0,N(G240)=0),"بدون مبلغ ⚠",IF(B240&gt;12,"يتجاوز 12 بنداً في الطباعة ⚠","")))))</f>
        <v/>
      </c>
    </row>
    <row r="241" customFormat="false" ht="15" hidden="false" customHeight="false" outlineLevel="0" collapsed="false">
      <c r="A241" s="58"/>
      <c r="B241" s="68" t="str">
        <f aca="false">IF(A241="","",COUNTIF(A$5:A241,A241))</f>
        <v/>
      </c>
      <c r="C241" s="68" t="str">
        <f aca="false">IF(A241="","",A241&amp;"-"&amp;B241)</f>
        <v/>
      </c>
      <c r="D241" s="58"/>
      <c r="E241" s="57"/>
      <c r="F241" s="69"/>
      <c r="G241" s="69"/>
      <c r="H241" s="70" t="str">
        <f aca="false">IF(A241="","",IFERROR(INDEX(السندات!$C$5:$C$504,MATCH(A241,السندات!$A$5:$A$504,0)),""))</f>
        <v/>
      </c>
      <c r="I241" s="71" t="str">
        <f aca="false">IF(A241="","",IFERROR(INDEX(السندات!$D$5:$D$504,MATCH(A241,السندات!$A$5:$A$504,0)),""))</f>
        <v/>
      </c>
      <c r="J241" s="72" t="str">
        <f aca="false">IF(A241="","",IF(ISNA(MATCH(A241,السندات!$A$5:$A$504,0)),"رقم سند غير موجود ✘",IF(AND(F241&lt;&gt;"",G241&lt;&gt;""),"اكتب مدين أو دائن فقط ✘",IF(AND(N(F241)=0,N(G241)=0),"بدون مبلغ ⚠",IF(B241&gt;12,"يتجاوز 12 بنداً في الطباعة ⚠","")))))</f>
        <v/>
      </c>
    </row>
    <row r="242" customFormat="false" ht="15" hidden="false" customHeight="false" outlineLevel="0" collapsed="false">
      <c r="A242" s="58"/>
      <c r="B242" s="73" t="str">
        <f aca="false">IF(A242="","",COUNTIF(A$5:A242,A242))</f>
        <v/>
      </c>
      <c r="C242" s="73" t="str">
        <f aca="false">IF(A242="","",A242&amp;"-"&amp;B242)</f>
        <v/>
      </c>
      <c r="D242" s="58"/>
      <c r="E242" s="57"/>
      <c r="F242" s="69"/>
      <c r="G242" s="69"/>
      <c r="H242" s="74" t="str">
        <f aca="false">IF(A242="","",IFERROR(INDEX(السندات!$C$5:$C$504,MATCH(A242,السندات!$A$5:$A$504,0)),""))</f>
        <v/>
      </c>
      <c r="I242" s="75" t="str">
        <f aca="false">IF(A242="","",IFERROR(INDEX(السندات!$D$5:$D$504,MATCH(A242,السندات!$A$5:$A$504,0)),""))</f>
        <v/>
      </c>
      <c r="J242" s="76" t="str">
        <f aca="false">IF(A242="","",IF(ISNA(MATCH(A242,السندات!$A$5:$A$504,0)),"رقم سند غير موجود ✘",IF(AND(F242&lt;&gt;"",G242&lt;&gt;""),"اكتب مدين أو دائن فقط ✘",IF(AND(N(F242)=0,N(G242)=0),"بدون مبلغ ⚠",IF(B242&gt;12,"يتجاوز 12 بنداً في الطباعة ⚠","")))))</f>
        <v/>
      </c>
    </row>
    <row r="243" customFormat="false" ht="15" hidden="false" customHeight="false" outlineLevel="0" collapsed="false">
      <c r="A243" s="58"/>
      <c r="B243" s="68" t="str">
        <f aca="false">IF(A243="","",COUNTIF(A$5:A243,A243))</f>
        <v/>
      </c>
      <c r="C243" s="68" t="str">
        <f aca="false">IF(A243="","",A243&amp;"-"&amp;B243)</f>
        <v/>
      </c>
      <c r="D243" s="58"/>
      <c r="E243" s="57"/>
      <c r="F243" s="69"/>
      <c r="G243" s="69"/>
      <c r="H243" s="70" t="str">
        <f aca="false">IF(A243="","",IFERROR(INDEX(السندات!$C$5:$C$504,MATCH(A243,السندات!$A$5:$A$504,0)),""))</f>
        <v/>
      </c>
      <c r="I243" s="71" t="str">
        <f aca="false">IF(A243="","",IFERROR(INDEX(السندات!$D$5:$D$504,MATCH(A243,السندات!$A$5:$A$504,0)),""))</f>
        <v/>
      </c>
      <c r="J243" s="72" t="str">
        <f aca="false">IF(A243="","",IF(ISNA(MATCH(A243,السندات!$A$5:$A$504,0)),"رقم سند غير موجود ✘",IF(AND(F243&lt;&gt;"",G243&lt;&gt;""),"اكتب مدين أو دائن فقط ✘",IF(AND(N(F243)=0,N(G243)=0),"بدون مبلغ ⚠",IF(B243&gt;12,"يتجاوز 12 بنداً في الطباعة ⚠","")))))</f>
        <v/>
      </c>
    </row>
    <row r="244" customFormat="false" ht="15" hidden="false" customHeight="false" outlineLevel="0" collapsed="false">
      <c r="A244" s="58"/>
      <c r="B244" s="73" t="str">
        <f aca="false">IF(A244="","",COUNTIF(A$5:A244,A244))</f>
        <v/>
      </c>
      <c r="C244" s="73" t="str">
        <f aca="false">IF(A244="","",A244&amp;"-"&amp;B244)</f>
        <v/>
      </c>
      <c r="D244" s="58"/>
      <c r="E244" s="57"/>
      <c r="F244" s="69"/>
      <c r="G244" s="69"/>
      <c r="H244" s="74" t="str">
        <f aca="false">IF(A244="","",IFERROR(INDEX(السندات!$C$5:$C$504,MATCH(A244,السندات!$A$5:$A$504,0)),""))</f>
        <v/>
      </c>
      <c r="I244" s="75" t="str">
        <f aca="false">IF(A244="","",IFERROR(INDEX(السندات!$D$5:$D$504,MATCH(A244,السندات!$A$5:$A$504,0)),""))</f>
        <v/>
      </c>
      <c r="J244" s="76" t="str">
        <f aca="false">IF(A244="","",IF(ISNA(MATCH(A244,السندات!$A$5:$A$504,0)),"رقم سند غير موجود ✘",IF(AND(F244&lt;&gt;"",G244&lt;&gt;""),"اكتب مدين أو دائن فقط ✘",IF(AND(N(F244)=0,N(G244)=0),"بدون مبلغ ⚠",IF(B244&gt;12,"يتجاوز 12 بنداً في الطباعة ⚠","")))))</f>
        <v/>
      </c>
    </row>
    <row r="245" customFormat="false" ht="15" hidden="false" customHeight="false" outlineLevel="0" collapsed="false">
      <c r="A245" s="58"/>
      <c r="B245" s="68" t="str">
        <f aca="false">IF(A245="","",COUNTIF(A$5:A245,A245))</f>
        <v/>
      </c>
      <c r="C245" s="68" t="str">
        <f aca="false">IF(A245="","",A245&amp;"-"&amp;B245)</f>
        <v/>
      </c>
      <c r="D245" s="58"/>
      <c r="E245" s="57"/>
      <c r="F245" s="69"/>
      <c r="G245" s="69"/>
      <c r="H245" s="70" t="str">
        <f aca="false">IF(A245="","",IFERROR(INDEX(السندات!$C$5:$C$504,MATCH(A245,السندات!$A$5:$A$504,0)),""))</f>
        <v/>
      </c>
      <c r="I245" s="71" t="str">
        <f aca="false">IF(A245="","",IFERROR(INDEX(السندات!$D$5:$D$504,MATCH(A245,السندات!$A$5:$A$504,0)),""))</f>
        <v/>
      </c>
      <c r="J245" s="72" t="str">
        <f aca="false">IF(A245="","",IF(ISNA(MATCH(A245,السندات!$A$5:$A$504,0)),"رقم سند غير موجود ✘",IF(AND(F245&lt;&gt;"",G245&lt;&gt;""),"اكتب مدين أو دائن فقط ✘",IF(AND(N(F245)=0,N(G245)=0),"بدون مبلغ ⚠",IF(B245&gt;12,"يتجاوز 12 بنداً في الطباعة ⚠","")))))</f>
        <v/>
      </c>
    </row>
    <row r="246" customFormat="false" ht="15" hidden="false" customHeight="false" outlineLevel="0" collapsed="false">
      <c r="A246" s="58"/>
      <c r="B246" s="73" t="str">
        <f aca="false">IF(A246="","",COUNTIF(A$5:A246,A246))</f>
        <v/>
      </c>
      <c r="C246" s="73" t="str">
        <f aca="false">IF(A246="","",A246&amp;"-"&amp;B246)</f>
        <v/>
      </c>
      <c r="D246" s="58"/>
      <c r="E246" s="57"/>
      <c r="F246" s="69"/>
      <c r="G246" s="69"/>
      <c r="H246" s="74" t="str">
        <f aca="false">IF(A246="","",IFERROR(INDEX(السندات!$C$5:$C$504,MATCH(A246,السندات!$A$5:$A$504,0)),""))</f>
        <v/>
      </c>
      <c r="I246" s="75" t="str">
        <f aca="false">IF(A246="","",IFERROR(INDEX(السندات!$D$5:$D$504,MATCH(A246,السندات!$A$5:$A$504,0)),""))</f>
        <v/>
      </c>
      <c r="J246" s="76" t="str">
        <f aca="false">IF(A246="","",IF(ISNA(MATCH(A246,السندات!$A$5:$A$504,0)),"رقم سند غير موجود ✘",IF(AND(F246&lt;&gt;"",G246&lt;&gt;""),"اكتب مدين أو دائن فقط ✘",IF(AND(N(F246)=0,N(G246)=0),"بدون مبلغ ⚠",IF(B246&gt;12,"يتجاوز 12 بنداً في الطباعة ⚠","")))))</f>
        <v/>
      </c>
    </row>
    <row r="247" customFormat="false" ht="15" hidden="false" customHeight="false" outlineLevel="0" collapsed="false">
      <c r="A247" s="58"/>
      <c r="B247" s="68" t="str">
        <f aca="false">IF(A247="","",COUNTIF(A$5:A247,A247))</f>
        <v/>
      </c>
      <c r="C247" s="68" t="str">
        <f aca="false">IF(A247="","",A247&amp;"-"&amp;B247)</f>
        <v/>
      </c>
      <c r="D247" s="58"/>
      <c r="E247" s="57"/>
      <c r="F247" s="69"/>
      <c r="G247" s="69"/>
      <c r="H247" s="70" t="str">
        <f aca="false">IF(A247="","",IFERROR(INDEX(السندات!$C$5:$C$504,MATCH(A247,السندات!$A$5:$A$504,0)),""))</f>
        <v/>
      </c>
      <c r="I247" s="71" t="str">
        <f aca="false">IF(A247="","",IFERROR(INDEX(السندات!$D$5:$D$504,MATCH(A247,السندات!$A$5:$A$504,0)),""))</f>
        <v/>
      </c>
      <c r="J247" s="72" t="str">
        <f aca="false">IF(A247="","",IF(ISNA(MATCH(A247,السندات!$A$5:$A$504,0)),"رقم سند غير موجود ✘",IF(AND(F247&lt;&gt;"",G247&lt;&gt;""),"اكتب مدين أو دائن فقط ✘",IF(AND(N(F247)=0,N(G247)=0),"بدون مبلغ ⚠",IF(B247&gt;12,"يتجاوز 12 بنداً في الطباعة ⚠","")))))</f>
        <v/>
      </c>
    </row>
    <row r="248" customFormat="false" ht="15" hidden="false" customHeight="false" outlineLevel="0" collapsed="false">
      <c r="A248" s="58"/>
      <c r="B248" s="73" t="str">
        <f aca="false">IF(A248="","",COUNTIF(A$5:A248,A248))</f>
        <v/>
      </c>
      <c r="C248" s="73" t="str">
        <f aca="false">IF(A248="","",A248&amp;"-"&amp;B248)</f>
        <v/>
      </c>
      <c r="D248" s="58"/>
      <c r="E248" s="57"/>
      <c r="F248" s="69"/>
      <c r="G248" s="69"/>
      <c r="H248" s="74" t="str">
        <f aca="false">IF(A248="","",IFERROR(INDEX(السندات!$C$5:$C$504,MATCH(A248,السندات!$A$5:$A$504,0)),""))</f>
        <v/>
      </c>
      <c r="I248" s="75" t="str">
        <f aca="false">IF(A248="","",IFERROR(INDEX(السندات!$D$5:$D$504,MATCH(A248,السندات!$A$5:$A$504,0)),""))</f>
        <v/>
      </c>
      <c r="J248" s="76" t="str">
        <f aca="false">IF(A248="","",IF(ISNA(MATCH(A248,السندات!$A$5:$A$504,0)),"رقم سند غير موجود ✘",IF(AND(F248&lt;&gt;"",G248&lt;&gt;""),"اكتب مدين أو دائن فقط ✘",IF(AND(N(F248)=0,N(G248)=0),"بدون مبلغ ⚠",IF(B248&gt;12,"يتجاوز 12 بنداً في الطباعة ⚠","")))))</f>
        <v/>
      </c>
    </row>
    <row r="249" customFormat="false" ht="15" hidden="false" customHeight="false" outlineLevel="0" collapsed="false">
      <c r="A249" s="58"/>
      <c r="B249" s="68" t="str">
        <f aca="false">IF(A249="","",COUNTIF(A$5:A249,A249))</f>
        <v/>
      </c>
      <c r="C249" s="68" t="str">
        <f aca="false">IF(A249="","",A249&amp;"-"&amp;B249)</f>
        <v/>
      </c>
      <c r="D249" s="58"/>
      <c r="E249" s="57"/>
      <c r="F249" s="69"/>
      <c r="G249" s="69"/>
      <c r="H249" s="70" t="str">
        <f aca="false">IF(A249="","",IFERROR(INDEX(السندات!$C$5:$C$504,MATCH(A249,السندات!$A$5:$A$504,0)),""))</f>
        <v/>
      </c>
      <c r="I249" s="71" t="str">
        <f aca="false">IF(A249="","",IFERROR(INDEX(السندات!$D$5:$D$504,MATCH(A249,السندات!$A$5:$A$504,0)),""))</f>
        <v/>
      </c>
      <c r="J249" s="72" t="str">
        <f aca="false">IF(A249="","",IF(ISNA(MATCH(A249,السندات!$A$5:$A$504,0)),"رقم سند غير موجود ✘",IF(AND(F249&lt;&gt;"",G249&lt;&gt;""),"اكتب مدين أو دائن فقط ✘",IF(AND(N(F249)=0,N(G249)=0),"بدون مبلغ ⚠",IF(B249&gt;12,"يتجاوز 12 بنداً في الطباعة ⚠","")))))</f>
        <v/>
      </c>
    </row>
    <row r="250" customFormat="false" ht="15" hidden="false" customHeight="false" outlineLevel="0" collapsed="false">
      <c r="A250" s="58"/>
      <c r="B250" s="73" t="str">
        <f aca="false">IF(A250="","",COUNTIF(A$5:A250,A250))</f>
        <v/>
      </c>
      <c r="C250" s="73" t="str">
        <f aca="false">IF(A250="","",A250&amp;"-"&amp;B250)</f>
        <v/>
      </c>
      <c r="D250" s="58"/>
      <c r="E250" s="57"/>
      <c r="F250" s="69"/>
      <c r="G250" s="69"/>
      <c r="H250" s="74" t="str">
        <f aca="false">IF(A250="","",IFERROR(INDEX(السندات!$C$5:$C$504,MATCH(A250,السندات!$A$5:$A$504,0)),""))</f>
        <v/>
      </c>
      <c r="I250" s="75" t="str">
        <f aca="false">IF(A250="","",IFERROR(INDEX(السندات!$D$5:$D$504,MATCH(A250,السندات!$A$5:$A$504,0)),""))</f>
        <v/>
      </c>
      <c r="J250" s="76" t="str">
        <f aca="false">IF(A250="","",IF(ISNA(MATCH(A250,السندات!$A$5:$A$504,0)),"رقم سند غير موجود ✘",IF(AND(F250&lt;&gt;"",G250&lt;&gt;""),"اكتب مدين أو دائن فقط ✘",IF(AND(N(F250)=0,N(G250)=0),"بدون مبلغ ⚠",IF(B250&gt;12,"يتجاوز 12 بنداً في الطباعة ⚠","")))))</f>
        <v/>
      </c>
    </row>
    <row r="251" customFormat="false" ht="15" hidden="false" customHeight="false" outlineLevel="0" collapsed="false">
      <c r="A251" s="58"/>
      <c r="B251" s="68" t="str">
        <f aca="false">IF(A251="","",COUNTIF(A$5:A251,A251))</f>
        <v/>
      </c>
      <c r="C251" s="68" t="str">
        <f aca="false">IF(A251="","",A251&amp;"-"&amp;B251)</f>
        <v/>
      </c>
      <c r="D251" s="58"/>
      <c r="E251" s="57"/>
      <c r="F251" s="69"/>
      <c r="G251" s="69"/>
      <c r="H251" s="70" t="str">
        <f aca="false">IF(A251="","",IFERROR(INDEX(السندات!$C$5:$C$504,MATCH(A251,السندات!$A$5:$A$504,0)),""))</f>
        <v/>
      </c>
      <c r="I251" s="71" t="str">
        <f aca="false">IF(A251="","",IFERROR(INDEX(السندات!$D$5:$D$504,MATCH(A251,السندات!$A$5:$A$504,0)),""))</f>
        <v/>
      </c>
      <c r="J251" s="72" t="str">
        <f aca="false">IF(A251="","",IF(ISNA(MATCH(A251,السندات!$A$5:$A$504,0)),"رقم سند غير موجود ✘",IF(AND(F251&lt;&gt;"",G251&lt;&gt;""),"اكتب مدين أو دائن فقط ✘",IF(AND(N(F251)=0,N(G251)=0),"بدون مبلغ ⚠",IF(B251&gt;12,"يتجاوز 12 بنداً في الطباعة ⚠","")))))</f>
        <v/>
      </c>
    </row>
    <row r="252" customFormat="false" ht="15" hidden="false" customHeight="false" outlineLevel="0" collapsed="false">
      <c r="A252" s="58"/>
      <c r="B252" s="73" t="str">
        <f aca="false">IF(A252="","",COUNTIF(A$5:A252,A252))</f>
        <v/>
      </c>
      <c r="C252" s="73" t="str">
        <f aca="false">IF(A252="","",A252&amp;"-"&amp;B252)</f>
        <v/>
      </c>
      <c r="D252" s="58"/>
      <c r="E252" s="57"/>
      <c r="F252" s="69"/>
      <c r="G252" s="69"/>
      <c r="H252" s="74" t="str">
        <f aca="false">IF(A252="","",IFERROR(INDEX(السندات!$C$5:$C$504,MATCH(A252,السندات!$A$5:$A$504,0)),""))</f>
        <v/>
      </c>
      <c r="I252" s="75" t="str">
        <f aca="false">IF(A252="","",IFERROR(INDEX(السندات!$D$5:$D$504,MATCH(A252,السندات!$A$5:$A$504,0)),""))</f>
        <v/>
      </c>
      <c r="J252" s="76" t="str">
        <f aca="false">IF(A252="","",IF(ISNA(MATCH(A252,السندات!$A$5:$A$504,0)),"رقم سند غير موجود ✘",IF(AND(F252&lt;&gt;"",G252&lt;&gt;""),"اكتب مدين أو دائن فقط ✘",IF(AND(N(F252)=0,N(G252)=0),"بدون مبلغ ⚠",IF(B252&gt;12,"يتجاوز 12 بنداً في الطباعة ⚠","")))))</f>
        <v/>
      </c>
    </row>
    <row r="253" customFormat="false" ht="15" hidden="false" customHeight="false" outlineLevel="0" collapsed="false">
      <c r="A253" s="58"/>
      <c r="B253" s="68" t="str">
        <f aca="false">IF(A253="","",COUNTIF(A$5:A253,A253))</f>
        <v/>
      </c>
      <c r="C253" s="68" t="str">
        <f aca="false">IF(A253="","",A253&amp;"-"&amp;B253)</f>
        <v/>
      </c>
      <c r="D253" s="58"/>
      <c r="E253" s="57"/>
      <c r="F253" s="69"/>
      <c r="G253" s="69"/>
      <c r="H253" s="70" t="str">
        <f aca="false">IF(A253="","",IFERROR(INDEX(السندات!$C$5:$C$504,MATCH(A253,السندات!$A$5:$A$504,0)),""))</f>
        <v/>
      </c>
      <c r="I253" s="71" t="str">
        <f aca="false">IF(A253="","",IFERROR(INDEX(السندات!$D$5:$D$504,MATCH(A253,السندات!$A$5:$A$504,0)),""))</f>
        <v/>
      </c>
      <c r="J253" s="72" t="str">
        <f aca="false">IF(A253="","",IF(ISNA(MATCH(A253,السندات!$A$5:$A$504,0)),"رقم سند غير موجود ✘",IF(AND(F253&lt;&gt;"",G253&lt;&gt;""),"اكتب مدين أو دائن فقط ✘",IF(AND(N(F253)=0,N(G253)=0),"بدون مبلغ ⚠",IF(B253&gt;12,"يتجاوز 12 بنداً في الطباعة ⚠","")))))</f>
        <v/>
      </c>
    </row>
    <row r="254" customFormat="false" ht="15" hidden="false" customHeight="false" outlineLevel="0" collapsed="false">
      <c r="A254" s="58"/>
      <c r="B254" s="73" t="str">
        <f aca="false">IF(A254="","",COUNTIF(A$5:A254,A254))</f>
        <v/>
      </c>
      <c r="C254" s="73" t="str">
        <f aca="false">IF(A254="","",A254&amp;"-"&amp;B254)</f>
        <v/>
      </c>
      <c r="D254" s="58"/>
      <c r="E254" s="57"/>
      <c r="F254" s="69"/>
      <c r="G254" s="69"/>
      <c r="H254" s="74" t="str">
        <f aca="false">IF(A254="","",IFERROR(INDEX(السندات!$C$5:$C$504,MATCH(A254,السندات!$A$5:$A$504,0)),""))</f>
        <v/>
      </c>
      <c r="I254" s="75" t="str">
        <f aca="false">IF(A254="","",IFERROR(INDEX(السندات!$D$5:$D$504,MATCH(A254,السندات!$A$5:$A$504,0)),""))</f>
        <v/>
      </c>
      <c r="J254" s="76" t="str">
        <f aca="false">IF(A254="","",IF(ISNA(MATCH(A254,السندات!$A$5:$A$504,0)),"رقم سند غير موجود ✘",IF(AND(F254&lt;&gt;"",G254&lt;&gt;""),"اكتب مدين أو دائن فقط ✘",IF(AND(N(F254)=0,N(G254)=0),"بدون مبلغ ⚠",IF(B254&gt;12,"يتجاوز 12 بنداً في الطباعة ⚠","")))))</f>
        <v/>
      </c>
    </row>
    <row r="255" customFormat="false" ht="15" hidden="false" customHeight="false" outlineLevel="0" collapsed="false">
      <c r="A255" s="58"/>
      <c r="B255" s="68" t="str">
        <f aca="false">IF(A255="","",COUNTIF(A$5:A255,A255))</f>
        <v/>
      </c>
      <c r="C255" s="68" t="str">
        <f aca="false">IF(A255="","",A255&amp;"-"&amp;B255)</f>
        <v/>
      </c>
      <c r="D255" s="58"/>
      <c r="E255" s="57"/>
      <c r="F255" s="69"/>
      <c r="G255" s="69"/>
      <c r="H255" s="70" t="str">
        <f aca="false">IF(A255="","",IFERROR(INDEX(السندات!$C$5:$C$504,MATCH(A255,السندات!$A$5:$A$504,0)),""))</f>
        <v/>
      </c>
      <c r="I255" s="71" t="str">
        <f aca="false">IF(A255="","",IFERROR(INDEX(السندات!$D$5:$D$504,MATCH(A255,السندات!$A$5:$A$504,0)),""))</f>
        <v/>
      </c>
      <c r="J255" s="72" t="str">
        <f aca="false">IF(A255="","",IF(ISNA(MATCH(A255,السندات!$A$5:$A$504,0)),"رقم سند غير موجود ✘",IF(AND(F255&lt;&gt;"",G255&lt;&gt;""),"اكتب مدين أو دائن فقط ✘",IF(AND(N(F255)=0,N(G255)=0),"بدون مبلغ ⚠",IF(B255&gt;12,"يتجاوز 12 بنداً في الطباعة ⚠","")))))</f>
        <v/>
      </c>
    </row>
    <row r="256" customFormat="false" ht="15" hidden="false" customHeight="false" outlineLevel="0" collapsed="false">
      <c r="A256" s="58"/>
      <c r="B256" s="73" t="str">
        <f aca="false">IF(A256="","",COUNTIF(A$5:A256,A256))</f>
        <v/>
      </c>
      <c r="C256" s="73" t="str">
        <f aca="false">IF(A256="","",A256&amp;"-"&amp;B256)</f>
        <v/>
      </c>
      <c r="D256" s="58"/>
      <c r="E256" s="57"/>
      <c r="F256" s="69"/>
      <c r="G256" s="69"/>
      <c r="H256" s="74" t="str">
        <f aca="false">IF(A256="","",IFERROR(INDEX(السندات!$C$5:$C$504,MATCH(A256,السندات!$A$5:$A$504,0)),""))</f>
        <v/>
      </c>
      <c r="I256" s="75" t="str">
        <f aca="false">IF(A256="","",IFERROR(INDEX(السندات!$D$5:$D$504,MATCH(A256,السندات!$A$5:$A$504,0)),""))</f>
        <v/>
      </c>
      <c r="J256" s="76" t="str">
        <f aca="false">IF(A256="","",IF(ISNA(MATCH(A256,السندات!$A$5:$A$504,0)),"رقم سند غير موجود ✘",IF(AND(F256&lt;&gt;"",G256&lt;&gt;""),"اكتب مدين أو دائن فقط ✘",IF(AND(N(F256)=0,N(G256)=0),"بدون مبلغ ⚠",IF(B256&gt;12,"يتجاوز 12 بنداً في الطباعة ⚠","")))))</f>
        <v/>
      </c>
    </row>
    <row r="257" customFormat="false" ht="15" hidden="false" customHeight="false" outlineLevel="0" collapsed="false">
      <c r="A257" s="58"/>
      <c r="B257" s="68" t="str">
        <f aca="false">IF(A257="","",COUNTIF(A$5:A257,A257))</f>
        <v/>
      </c>
      <c r="C257" s="68" t="str">
        <f aca="false">IF(A257="","",A257&amp;"-"&amp;B257)</f>
        <v/>
      </c>
      <c r="D257" s="58"/>
      <c r="E257" s="57"/>
      <c r="F257" s="69"/>
      <c r="G257" s="69"/>
      <c r="H257" s="70" t="str">
        <f aca="false">IF(A257="","",IFERROR(INDEX(السندات!$C$5:$C$504,MATCH(A257,السندات!$A$5:$A$504,0)),""))</f>
        <v/>
      </c>
      <c r="I257" s="71" t="str">
        <f aca="false">IF(A257="","",IFERROR(INDEX(السندات!$D$5:$D$504,MATCH(A257,السندات!$A$5:$A$504,0)),""))</f>
        <v/>
      </c>
      <c r="J257" s="72" t="str">
        <f aca="false">IF(A257="","",IF(ISNA(MATCH(A257,السندات!$A$5:$A$504,0)),"رقم سند غير موجود ✘",IF(AND(F257&lt;&gt;"",G257&lt;&gt;""),"اكتب مدين أو دائن فقط ✘",IF(AND(N(F257)=0,N(G257)=0),"بدون مبلغ ⚠",IF(B257&gt;12,"يتجاوز 12 بنداً في الطباعة ⚠","")))))</f>
        <v/>
      </c>
    </row>
    <row r="258" customFormat="false" ht="15" hidden="false" customHeight="false" outlineLevel="0" collapsed="false">
      <c r="A258" s="58"/>
      <c r="B258" s="73" t="str">
        <f aca="false">IF(A258="","",COUNTIF(A$5:A258,A258))</f>
        <v/>
      </c>
      <c r="C258" s="73" t="str">
        <f aca="false">IF(A258="","",A258&amp;"-"&amp;B258)</f>
        <v/>
      </c>
      <c r="D258" s="58"/>
      <c r="E258" s="57"/>
      <c r="F258" s="69"/>
      <c r="G258" s="69"/>
      <c r="H258" s="74" t="str">
        <f aca="false">IF(A258="","",IFERROR(INDEX(السندات!$C$5:$C$504,MATCH(A258,السندات!$A$5:$A$504,0)),""))</f>
        <v/>
      </c>
      <c r="I258" s="75" t="str">
        <f aca="false">IF(A258="","",IFERROR(INDEX(السندات!$D$5:$D$504,MATCH(A258,السندات!$A$5:$A$504,0)),""))</f>
        <v/>
      </c>
      <c r="J258" s="76" t="str">
        <f aca="false">IF(A258="","",IF(ISNA(MATCH(A258,السندات!$A$5:$A$504,0)),"رقم سند غير موجود ✘",IF(AND(F258&lt;&gt;"",G258&lt;&gt;""),"اكتب مدين أو دائن فقط ✘",IF(AND(N(F258)=0,N(G258)=0),"بدون مبلغ ⚠",IF(B258&gt;12,"يتجاوز 12 بنداً في الطباعة ⚠","")))))</f>
        <v/>
      </c>
    </row>
    <row r="259" customFormat="false" ht="15" hidden="false" customHeight="false" outlineLevel="0" collapsed="false">
      <c r="A259" s="58"/>
      <c r="B259" s="68" t="str">
        <f aca="false">IF(A259="","",COUNTIF(A$5:A259,A259))</f>
        <v/>
      </c>
      <c r="C259" s="68" t="str">
        <f aca="false">IF(A259="","",A259&amp;"-"&amp;B259)</f>
        <v/>
      </c>
      <c r="D259" s="58"/>
      <c r="E259" s="57"/>
      <c r="F259" s="69"/>
      <c r="G259" s="69"/>
      <c r="H259" s="70" t="str">
        <f aca="false">IF(A259="","",IFERROR(INDEX(السندات!$C$5:$C$504,MATCH(A259,السندات!$A$5:$A$504,0)),""))</f>
        <v/>
      </c>
      <c r="I259" s="71" t="str">
        <f aca="false">IF(A259="","",IFERROR(INDEX(السندات!$D$5:$D$504,MATCH(A259,السندات!$A$5:$A$504,0)),""))</f>
        <v/>
      </c>
      <c r="J259" s="72" t="str">
        <f aca="false">IF(A259="","",IF(ISNA(MATCH(A259,السندات!$A$5:$A$504,0)),"رقم سند غير موجود ✘",IF(AND(F259&lt;&gt;"",G259&lt;&gt;""),"اكتب مدين أو دائن فقط ✘",IF(AND(N(F259)=0,N(G259)=0),"بدون مبلغ ⚠",IF(B259&gt;12,"يتجاوز 12 بنداً في الطباعة ⚠","")))))</f>
        <v/>
      </c>
    </row>
    <row r="260" customFormat="false" ht="15" hidden="false" customHeight="false" outlineLevel="0" collapsed="false">
      <c r="A260" s="58"/>
      <c r="B260" s="73" t="str">
        <f aca="false">IF(A260="","",COUNTIF(A$5:A260,A260))</f>
        <v/>
      </c>
      <c r="C260" s="73" t="str">
        <f aca="false">IF(A260="","",A260&amp;"-"&amp;B260)</f>
        <v/>
      </c>
      <c r="D260" s="58"/>
      <c r="E260" s="57"/>
      <c r="F260" s="69"/>
      <c r="G260" s="69"/>
      <c r="H260" s="74" t="str">
        <f aca="false">IF(A260="","",IFERROR(INDEX(السندات!$C$5:$C$504,MATCH(A260,السندات!$A$5:$A$504,0)),""))</f>
        <v/>
      </c>
      <c r="I260" s="75" t="str">
        <f aca="false">IF(A260="","",IFERROR(INDEX(السندات!$D$5:$D$504,MATCH(A260,السندات!$A$5:$A$504,0)),""))</f>
        <v/>
      </c>
      <c r="J260" s="76" t="str">
        <f aca="false">IF(A260="","",IF(ISNA(MATCH(A260,السندات!$A$5:$A$504,0)),"رقم سند غير موجود ✘",IF(AND(F260&lt;&gt;"",G260&lt;&gt;""),"اكتب مدين أو دائن فقط ✘",IF(AND(N(F260)=0,N(G260)=0),"بدون مبلغ ⚠",IF(B260&gt;12,"يتجاوز 12 بنداً في الطباعة ⚠","")))))</f>
        <v/>
      </c>
    </row>
    <row r="261" customFormat="false" ht="15" hidden="false" customHeight="false" outlineLevel="0" collapsed="false">
      <c r="A261" s="58"/>
      <c r="B261" s="68" t="str">
        <f aca="false">IF(A261="","",COUNTIF(A$5:A261,A261))</f>
        <v/>
      </c>
      <c r="C261" s="68" t="str">
        <f aca="false">IF(A261="","",A261&amp;"-"&amp;B261)</f>
        <v/>
      </c>
      <c r="D261" s="58"/>
      <c r="E261" s="57"/>
      <c r="F261" s="69"/>
      <c r="G261" s="69"/>
      <c r="H261" s="70" t="str">
        <f aca="false">IF(A261="","",IFERROR(INDEX(السندات!$C$5:$C$504,MATCH(A261,السندات!$A$5:$A$504,0)),""))</f>
        <v/>
      </c>
      <c r="I261" s="71" t="str">
        <f aca="false">IF(A261="","",IFERROR(INDEX(السندات!$D$5:$D$504,MATCH(A261,السندات!$A$5:$A$504,0)),""))</f>
        <v/>
      </c>
      <c r="J261" s="72" t="str">
        <f aca="false">IF(A261="","",IF(ISNA(MATCH(A261,السندات!$A$5:$A$504,0)),"رقم سند غير موجود ✘",IF(AND(F261&lt;&gt;"",G261&lt;&gt;""),"اكتب مدين أو دائن فقط ✘",IF(AND(N(F261)=0,N(G261)=0),"بدون مبلغ ⚠",IF(B261&gt;12,"يتجاوز 12 بنداً في الطباعة ⚠","")))))</f>
        <v/>
      </c>
    </row>
    <row r="262" customFormat="false" ht="15" hidden="false" customHeight="false" outlineLevel="0" collapsed="false">
      <c r="A262" s="58"/>
      <c r="B262" s="73" t="str">
        <f aca="false">IF(A262="","",COUNTIF(A$5:A262,A262))</f>
        <v/>
      </c>
      <c r="C262" s="73" t="str">
        <f aca="false">IF(A262="","",A262&amp;"-"&amp;B262)</f>
        <v/>
      </c>
      <c r="D262" s="58"/>
      <c r="E262" s="57"/>
      <c r="F262" s="69"/>
      <c r="G262" s="69"/>
      <c r="H262" s="74" t="str">
        <f aca="false">IF(A262="","",IFERROR(INDEX(السندات!$C$5:$C$504,MATCH(A262,السندات!$A$5:$A$504,0)),""))</f>
        <v/>
      </c>
      <c r="I262" s="75" t="str">
        <f aca="false">IF(A262="","",IFERROR(INDEX(السندات!$D$5:$D$504,MATCH(A262,السندات!$A$5:$A$504,0)),""))</f>
        <v/>
      </c>
      <c r="J262" s="76" t="str">
        <f aca="false">IF(A262="","",IF(ISNA(MATCH(A262,السندات!$A$5:$A$504,0)),"رقم سند غير موجود ✘",IF(AND(F262&lt;&gt;"",G262&lt;&gt;""),"اكتب مدين أو دائن فقط ✘",IF(AND(N(F262)=0,N(G262)=0),"بدون مبلغ ⚠",IF(B262&gt;12,"يتجاوز 12 بنداً في الطباعة ⚠","")))))</f>
        <v/>
      </c>
    </row>
    <row r="263" customFormat="false" ht="15" hidden="false" customHeight="false" outlineLevel="0" collapsed="false">
      <c r="A263" s="58"/>
      <c r="B263" s="68" t="str">
        <f aca="false">IF(A263="","",COUNTIF(A$5:A263,A263))</f>
        <v/>
      </c>
      <c r="C263" s="68" t="str">
        <f aca="false">IF(A263="","",A263&amp;"-"&amp;B263)</f>
        <v/>
      </c>
      <c r="D263" s="58"/>
      <c r="E263" s="57"/>
      <c r="F263" s="69"/>
      <c r="G263" s="69"/>
      <c r="H263" s="70" t="str">
        <f aca="false">IF(A263="","",IFERROR(INDEX(السندات!$C$5:$C$504,MATCH(A263,السندات!$A$5:$A$504,0)),""))</f>
        <v/>
      </c>
      <c r="I263" s="71" t="str">
        <f aca="false">IF(A263="","",IFERROR(INDEX(السندات!$D$5:$D$504,MATCH(A263,السندات!$A$5:$A$504,0)),""))</f>
        <v/>
      </c>
      <c r="J263" s="72" t="str">
        <f aca="false">IF(A263="","",IF(ISNA(MATCH(A263,السندات!$A$5:$A$504,0)),"رقم سند غير موجود ✘",IF(AND(F263&lt;&gt;"",G263&lt;&gt;""),"اكتب مدين أو دائن فقط ✘",IF(AND(N(F263)=0,N(G263)=0),"بدون مبلغ ⚠",IF(B263&gt;12,"يتجاوز 12 بنداً في الطباعة ⚠","")))))</f>
        <v/>
      </c>
    </row>
    <row r="264" customFormat="false" ht="15" hidden="false" customHeight="false" outlineLevel="0" collapsed="false">
      <c r="A264" s="58"/>
      <c r="B264" s="73" t="str">
        <f aca="false">IF(A264="","",COUNTIF(A$5:A264,A264))</f>
        <v/>
      </c>
      <c r="C264" s="73" t="str">
        <f aca="false">IF(A264="","",A264&amp;"-"&amp;B264)</f>
        <v/>
      </c>
      <c r="D264" s="58"/>
      <c r="E264" s="57"/>
      <c r="F264" s="69"/>
      <c r="G264" s="69"/>
      <c r="H264" s="74" t="str">
        <f aca="false">IF(A264="","",IFERROR(INDEX(السندات!$C$5:$C$504,MATCH(A264,السندات!$A$5:$A$504,0)),""))</f>
        <v/>
      </c>
      <c r="I264" s="75" t="str">
        <f aca="false">IF(A264="","",IFERROR(INDEX(السندات!$D$5:$D$504,MATCH(A264,السندات!$A$5:$A$504,0)),""))</f>
        <v/>
      </c>
      <c r="J264" s="76" t="str">
        <f aca="false">IF(A264="","",IF(ISNA(MATCH(A264,السندات!$A$5:$A$504,0)),"رقم سند غير موجود ✘",IF(AND(F264&lt;&gt;"",G264&lt;&gt;""),"اكتب مدين أو دائن فقط ✘",IF(AND(N(F264)=0,N(G264)=0),"بدون مبلغ ⚠",IF(B264&gt;12,"يتجاوز 12 بنداً في الطباعة ⚠","")))))</f>
        <v/>
      </c>
    </row>
    <row r="265" customFormat="false" ht="15" hidden="false" customHeight="false" outlineLevel="0" collapsed="false">
      <c r="A265" s="58"/>
      <c r="B265" s="68" t="str">
        <f aca="false">IF(A265="","",COUNTIF(A$5:A265,A265))</f>
        <v/>
      </c>
      <c r="C265" s="68" t="str">
        <f aca="false">IF(A265="","",A265&amp;"-"&amp;B265)</f>
        <v/>
      </c>
      <c r="D265" s="58"/>
      <c r="E265" s="57"/>
      <c r="F265" s="69"/>
      <c r="G265" s="69"/>
      <c r="H265" s="70" t="str">
        <f aca="false">IF(A265="","",IFERROR(INDEX(السندات!$C$5:$C$504,MATCH(A265,السندات!$A$5:$A$504,0)),""))</f>
        <v/>
      </c>
      <c r="I265" s="71" t="str">
        <f aca="false">IF(A265="","",IFERROR(INDEX(السندات!$D$5:$D$504,MATCH(A265,السندات!$A$5:$A$504,0)),""))</f>
        <v/>
      </c>
      <c r="J265" s="72" t="str">
        <f aca="false">IF(A265="","",IF(ISNA(MATCH(A265,السندات!$A$5:$A$504,0)),"رقم سند غير موجود ✘",IF(AND(F265&lt;&gt;"",G265&lt;&gt;""),"اكتب مدين أو دائن فقط ✘",IF(AND(N(F265)=0,N(G265)=0),"بدون مبلغ ⚠",IF(B265&gt;12,"يتجاوز 12 بنداً في الطباعة ⚠","")))))</f>
        <v/>
      </c>
    </row>
    <row r="266" customFormat="false" ht="15" hidden="false" customHeight="false" outlineLevel="0" collapsed="false">
      <c r="A266" s="58"/>
      <c r="B266" s="73" t="str">
        <f aca="false">IF(A266="","",COUNTIF(A$5:A266,A266))</f>
        <v/>
      </c>
      <c r="C266" s="73" t="str">
        <f aca="false">IF(A266="","",A266&amp;"-"&amp;B266)</f>
        <v/>
      </c>
      <c r="D266" s="58"/>
      <c r="E266" s="57"/>
      <c r="F266" s="69"/>
      <c r="G266" s="69"/>
      <c r="H266" s="74" t="str">
        <f aca="false">IF(A266="","",IFERROR(INDEX(السندات!$C$5:$C$504,MATCH(A266,السندات!$A$5:$A$504,0)),""))</f>
        <v/>
      </c>
      <c r="I266" s="75" t="str">
        <f aca="false">IF(A266="","",IFERROR(INDEX(السندات!$D$5:$D$504,MATCH(A266,السندات!$A$5:$A$504,0)),""))</f>
        <v/>
      </c>
      <c r="J266" s="76" t="str">
        <f aca="false">IF(A266="","",IF(ISNA(MATCH(A266,السندات!$A$5:$A$504,0)),"رقم سند غير موجود ✘",IF(AND(F266&lt;&gt;"",G266&lt;&gt;""),"اكتب مدين أو دائن فقط ✘",IF(AND(N(F266)=0,N(G266)=0),"بدون مبلغ ⚠",IF(B266&gt;12,"يتجاوز 12 بنداً في الطباعة ⚠","")))))</f>
        <v/>
      </c>
    </row>
    <row r="267" customFormat="false" ht="15" hidden="false" customHeight="false" outlineLevel="0" collapsed="false">
      <c r="A267" s="58"/>
      <c r="B267" s="68" t="str">
        <f aca="false">IF(A267="","",COUNTIF(A$5:A267,A267))</f>
        <v/>
      </c>
      <c r="C267" s="68" t="str">
        <f aca="false">IF(A267="","",A267&amp;"-"&amp;B267)</f>
        <v/>
      </c>
      <c r="D267" s="58"/>
      <c r="E267" s="57"/>
      <c r="F267" s="69"/>
      <c r="G267" s="69"/>
      <c r="H267" s="70" t="str">
        <f aca="false">IF(A267="","",IFERROR(INDEX(السندات!$C$5:$C$504,MATCH(A267,السندات!$A$5:$A$504,0)),""))</f>
        <v/>
      </c>
      <c r="I267" s="71" t="str">
        <f aca="false">IF(A267="","",IFERROR(INDEX(السندات!$D$5:$D$504,MATCH(A267,السندات!$A$5:$A$504,0)),""))</f>
        <v/>
      </c>
      <c r="J267" s="72" t="str">
        <f aca="false">IF(A267="","",IF(ISNA(MATCH(A267,السندات!$A$5:$A$504,0)),"رقم سند غير موجود ✘",IF(AND(F267&lt;&gt;"",G267&lt;&gt;""),"اكتب مدين أو دائن فقط ✘",IF(AND(N(F267)=0,N(G267)=0),"بدون مبلغ ⚠",IF(B267&gt;12,"يتجاوز 12 بنداً في الطباعة ⚠","")))))</f>
        <v/>
      </c>
    </row>
    <row r="268" customFormat="false" ht="15" hidden="false" customHeight="false" outlineLevel="0" collapsed="false">
      <c r="A268" s="58"/>
      <c r="B268" s="73" t="str">
        <f aca="false">IF(A268="","",COUNTIF(A$5:A268,A268))</f>
        <v/>
      </c>
      <c r="C268" s="73" t="str">
        <f aca="false">IF(A268="","",A268&amp;"-"&amp;B268)</f>
        <v/>
      </c>
      <c r="D268" s="58"/>
      <c r="E268" s="57"/>
      <c r="F268" s="69"/>
      <c r="G268" s="69"/>
      <c r="H268" s="74" t="str">
        <f aca="false">IF(A268="","",IFERROR(INDEX(السندات!$C$5:$C$504,MATCH(A268,السندات!$A$5:$A$504,0)),""))</f>
        <v/>
      </c>
      <c r="I268" s="75" t="str">
        <f aca="false">IF(A268="","",IFERROR(INDEX(السندات!$D$5:$D$504,MATCH(A268,السندات!$A$5:$A$504,0)),""))</f>
        <v/>
      </c>
      <c r="J268" s="76" t="str">
        <f aca="false">IF(A268="","",IF(ISNA(MATCH(A268,السندات!$A$5:$A$504,0)),"رقم سند غير موجود ✘",IF(AND(F268&lt;&gt;"",G268&lt;&gt;""),"اكتب مدين أو دائن فقط ✘",IF(AND(N(F268)=0,N(G268)=0),"بدون مبلغ ⚠",IF(B268&gt;12,"يتجاوز 12 بنداً في الطباعة ⚠","")))))</f>
        <v/>
      </c>
    </row>
    <row r="269" customFormat="false" ht="15" hidden="false" customHeight="false" outlineLevel="0" collapsed="false">
      <c r="A269" s="58"/>
      <c r="B269" s="68" t="str">
        <f aca="false">IF(A269="","",COUNTIF(A$5:A269,A269))</f>
        <v/>
      </c>
      <c r="C269" s="68" t="str">
        <f aca="false">IF(A269="","",A269&amp;"-"&amp;B269)</f>
        <v/>
      </c>
      <c r="D269" s="58"/>
      <c r="E269" s="57"/>
      <c r="F269" s="69"/>
      <c r="G269" s="69"/>
      <c r="H269" s="70" t="str">
        <f aca="false">IF(A269="","",IFERROR(INDEX(السندات!$C$5:$C$504,MATCH(A269,السندات!$A$5:$A$504,0)),""))</f>
        <v/>
      </c>
      <c r="I269" s="71" t="str">
        <f aca="false">IF(A269="","",IFERROR(INDEX(السندات!$D$5:$D$504,MATCH(A269,السندات!$A$5:$A$504,0)),""))</f>
        <v/>
      </c>
      <c r="J269" s="72" t="str">
        <f aca="false">IF(A269="","",IF(ISNA(MATCH(A269,السندات!$A$5:$A$504,0)),"رقم سند غير موجود ✘",IF(AND(F269&lt;&gt;"",G269&lt;&gt;""),"اكتب مدين أو دائن فقط ✘",IF(AND(N(F269)=0,N(G269)=0),"بدون مبلغ ⚠",IF(B269&gt;12,"يتجاوز 12 بنداً في الطباعة ⚠","")))))</f>
        <v/>
      </c>
    </row>
    <row r="270" customFormat="false" ht="15" hidden="false" customHeight="false" outlineLevel="0" collapsed="false">
      <c r="A270" s="58"/>
      <c r="B270" s="73" t="str">
        <f aca="false">IF(A270="","",COUNTIF(A$5:A270,A270))</f>
        <v/>
      </c>
      <c r="C270" s="73" t="str">
        <f aca="false">IF(A270="","",A270&amp;"-"&amp;B270)</f>
        <v/>
      </c>
      <c r="D270" s="58"/>
      <c r="E270" s="57"/>
      <c r="F270" s="69"/>
      <c r="G270" s="69"/>
      <c r="H270" s="74" t="str">
        <f aca="false">IF(A270="","",IFERROR(INDEX(السندات!$C$5:$C$504,MATCH(A270,السندات!$A$5:$A$504,0)),""))</f>
        <v/>
      </c>
      <c r="I270" s="75" t="str">
        <f aca="false">IF(A270="","",IFERROR(INDEX(السندات!$D$5:$D$504,MATCH(A270,السندات!$A$5:$A$504,0)),""))</f>
        <v/>
      </c>
      <c r="J270" s="76" t="str">
        <f aca="false">IF(A270="","",IF(ISNA(MATCH(A270,السندات!$A$5:$A$504,0)),"رقم سند غير موجود ✘",IF(AND(F270&lt;&gt;"",G270&lt;&gt;""),"اكتب مدين أو دائن فقط ✘",IF(AND(N(F270)=0,N(G270)=0),"بدون مبلغ ⚠",IF(B270&gt;12,"يتجاوز 12 بنداً في الطباعة ⚠","")))))</f>
        <v/>
      </c>
    </row>
    <row r="271" customFormat="false" ht="15" hidden="false" customHeight="false" outlineLevel="0" collapsed="false">
      <c r="A271" s="58"/>
      <c r="B271" s="68" t="str">
        <f aca="false">IF(A271="","",COUNTIF(A$5:A271,A271))</f>
        <v/>
      </c>
      <c r="C271" s="68" t="str">
        <f aca="false">IF(A271="","",A271&amp;"-"&amp;B271)</f>
        <v/>
      </c>
      <c r="D271" s="58"/>
      <c r="E271" s="57"/>
      <c r="F271" s="69"/>
      <c r="G271" s="69"/>
      <c r="H271" s="70" t="str">
        <f aca="false">IF(A271="","",IFERROR(INDEX(السندات!$C$5:$C$504,MATCH(A271,السندات!$A$5:$A$504,0)),""))</f>
        <v/>
      </c>
      <c r="I271" s="71" t="str">
        <f aca="false">IF(A271="","",IFERROR(INDEX(السندات!$D$5:$D$504,MATCH(A271,السندات!$A$5:$A$504,0)),""))</f>
        <v/>
      </c>
      <c r="J271" s="72" t="str">
        <f aca="false">IF(A271="","",IF(ISNA(MATCH(A271,السندات!$A$5:$A$504,0)),"رقم سند غير موجود ✘",IF(AND(F271&lt;&gt;"",G271&lt;&gt;""),"اكتب مدين أو دائن فقط ✘",IF(AND(N(F271)=0,N(G271)=0),"بدون مبلغ ⚠",IF(B271&gt;12,"يتجاوز 12 بنداً في الطباعة ⚠","")))))</f>
        <v/>
      </c>
    </row>
    <row r="272" customFormat="false" ht="15" hidden="false" customHeight="false" outlineLevel="0" collapsed="false">
      <c r="A272" s="58"/>
      <c r="B272" s="73" t="str">
        <f aca="false">IF(A272="","",COUNTIF(A$5:A272,A272))</f>
        <v/>
      </c>
      <c r="C272" s="73" t="str">
        <f aca="false">IF(A272="","",A272&amp;"-"&amp;B272)</f>
        <v/>
      </c>
      <c r="D272" s="58"/>
      <c r="E272" s="57"/>
      <c r="F272" s="69"/>
      <c r="G272" s="69"/>
      <c r="H272" s="74" t="str">
        <f aca="false">IF(A272="","",IFERROR(INDEX(السندات!$C$5:$C$504,MATCH(A272,السندات!$A$5:$A$504,0)),""))</f>
        <v/>
      </c>
      <c r="I272" s="75" t="str">
        <f aca="false">IF(A272="","",IFERROR(INDEX(السندات!$D$5:$D$504,MATCH(A272,السندات!$A$5:$A$504,0)),""))</f>
        <v/>
      </c>
      <c r="J272" s="76" t="str">
        <f aca="false">IF(A272="","",IF(ISNA(MATCH(A272,السندات!$A$5:$A$504,0)),"رقم سند غير موجود ✘",IF(AND(F272&lt;&gt;"",G272&lt;&gt;""),"اكتب مدين أو دائن فقط ✘",IF(AND(N(F272)=0,N(G272)=0),"بدون مبلغ ⚠",IF(B272&gt;12,"يتجاوز 12 بنداً في الطباعة ⚠","")))))</f>
        <v/>
      </c>
    </row>
    <row r="273" customFormat="false" ht="15" hidden="false" customHeight="false" outlineLevel="0" collapsed="false">
      <c r="A273" s="58"/>
      <c r="B273" s="68" t="str">
        <f aca="false">IF(A273="","",COUNTIF(A$5:A273,A273))</f>
        <v/>
      </c>
      <c r="C273" s="68" t="str">
        <f aca="false">IF(A273="","",A273&amp;"-"&amp;B273)</f>
        <v/>
      </c>
      <c r="D273" s="58"/>
      <c r="E273" s="57"/>
      <c r="F273" s="69"/>
      <c r="G273" s="69"/>
      <c r="H273" s="70" t="str">
        <f aca="false">IF(A273="","",IFERROR(INDEX(السندات!$C$5:$C$504,MATCH(A273,السندات!$A$5:$A$504,0)),""))</f>
        <v/>
      </c>
      <c r="I273" s="71" t="str">
        <f aca="false">IF(A273="","",IFERROR(INDEX(السندات!$D$5:$D$504,MATCH(A273,السندات!$A$5:$A$504,0)),""))</f>
        <v/>
      </c>
      <c r="J273" s="72" t="str">
        <f aca="false">IF(A273="","",IF(ISNA(MATCH(A273,السندات!$A$5:$A$504,0)),"رقم سند غير موجود ✘",IF(AND(F273&lt;&gt;"",G273&lt;&gt;""),"اكتب مدين أو دائن فقط ✘",IF(AND(N(F273)=0,N(G273)=0),"بدون مبلغ ⚠",IF(B273&gt;12,"يتجاوز 12 بنداً في الطباعة ⚠","")))))</f>
        <v/>
      </c>
    </row>
    <row r="274" customFormat="false" ht="15" hidden="false" customHeight="false" outlineLevel="0" collapsed="false">
      <c r="A274" s="58"/>
      <c r="B274" s="73" t="str">
        <f aca="false">IF(A274="","",COUNTIF(A$5:A274,A274))</f>
        <v/>
      </c>
      <c r="C274" s="73" t="str">
        <f aca="false">IF(A274="","",A274&amp;"-"&amp;B274)</f>
        <v/>
      </c>
      <c r="D274" s="58"/>
      <c r="E274" s="57"/>
      <c r="F274" s="69"/>
      <c r="G274" s="69"/>
      <c r="H274" s="74" t="str">
        <f aca="false">IF(A274="","",IFERROR(INDEX(السندات!$C$5:$C$504,MATCH(A274,السندات!$A$5:$A$504,0)),""))</f>
        <v/>
      </c>
      <c r="I274" s="75" t="str">
        <f aca="false">IF(A274="","",IFERROR(INDEX(السندات!$D$5:$D$504,MATCH(A274,السندات!$A$5:$A$504,0)),""))</f>
        <v/>
      </c>
      <c r="J274" s="76" t="str">
        <f aca="false">IF(A274="","",IF(ISNA(MATCH(A274,السندات!$A$5:$A$504,0)),"رقم سند غير موجود ✘",IF(AND(F274&lt;&gt;"",G274&lt;&gt;""),"اكتب مدين أو دائن فقط ✘",IF(AND(N(F274)=0,N(G274)=0),"بدون مبلغ ⚠",IF(B274&gt;12,"يتجاوز 12 بنداً في الطباعة ⚠","")))))</f>
        <v/>
      </c>
    </row>
    <row r="275" customFormat="false" ht="15" hidden="false" customHeight="false" outlineLevel="0" collapsed="false">
      <c r="A275" s="58"/>
      <c r="B275" s="68" t="str">
        <f aca="false">IF(A275="","",COUNTIF(A$5:A275,A275))</f>
        <v/>
      </c>
      <c r="C275" s="68" t="str">
        <f aca="false">IF(A275="","",A275&amp;"-"&amp;B275)</f>
        <v/>
      </c>
      <c r="D275" s="58"/>
      <c r="E275" s="57"/>
      <c r="F275" s="69"/>
      <c r="G275" s="69"/>
      <c r="H275" s="70" t="str">
        <f aca="false">IF(A275="","",IFERROR(INDEX(السندات!$C$5:$C$504,MATCH(A275,السندات!$A$5:$A$504,0)),""))</f>
        <v/>
      </c>
      <c r="I275" s="71" t="str">
        <f aca="false">IF(A275="","",IFERROR(INDEX(السندات!$D$5:$D$504,MATCH(A275,السندات!$A$5:$A$504,0)),""))</f>
        <v/>
      </c>
      <c r="J275" s="72" t="str">
        <f aca="false">IF(A275="","",IF(ISNA(MATCH(A275,السندات!$A$5:$A$504,0)),"رقم سند غير موجود ✘",IF(AND(F275&lt;&gt;"",G275&lt;&gt;""),"اكتب مدين أو دائن فقط ✘",IF(AND(N(F275)=0,N(G275)=0),"بدون مبلغ ⚠",IF(B275&gt;12,"يتجاوز 12 بنداً في الطباعة ⚠","")))))</f>
        <v/>
      </c>
    </row>
    <row r="276" customFormat="false" ht="15" hidden="false" customHeight="false" outlineLevel="0" collapsed="false">
      <c r="A276" s="58"/>
      <c r="B276" s="73" t="str">
        <f aca="false">IF(A276="","",COUNTIF(A$5:A276,A276))</f>
        <v/>
      </c>
      <c r="C276" s="73" t="str">
        <f aca="false">IF(A276="","",A276&amp;"-"&amp;B276)</f>
        <v/>
      </c>
      <c r="D276" s="58"/>
      <c r="E276" s="57"/>
      <c r="F276" s="69"/>
      <c r="G276" s="69"/>
      <c r="H276" s="74" t="str">
        <f aca="false">IF(A276="","",IFERROR(INDEX(السندات!$C$5:$C$504,MATCH(A276,السندات!$A$5:$A$504,0)),""))</f>
        <v/>
      </c>
      <c r="I276" s="75" t="str">
        <f aca="false">IF(A276="","",IFERROR(INDEX(السندات!$D$5:$D$504,MATCH(A276,السندات!$A$5:$A$504,0)),""))</f>
        <v/>
      </c>
      <c r="J276" s="76" t="str">
        <f aca="false">IF(A276="","",IF(ISNA(MATCH(A276,السندات!$A$5:$A$504,0)),"رقم سند غير موجود ✘",IF(AND(F276&lt;&gt;"",G276&lt;&gt;""),"اكتب مدين أو دائن فقط ✘",IF(AND(N(F276)=0,N(G276)=0),"بدون مبلغ ⚠",IF(B276&gt;12,"يتجاوز 12 بنداً في الطباعة ⚠","")))))</f>
        <v/>
      </c>
    </row>
    <row r="277" customFormat="false" ht="15" hidden="false" customHeight="false" outlineLevel="0" collapsed="false">
      <c r="A277" s="58"/>
      <c r="B277" s="68" t="str">
        <f aca="false">IF(A277="","",COUNTIF(A$5:A277,A277))</f>
        <v/>
      </c>
      <c r="C277" s="68" t="str">
        <f aca="false">IF(A277="","",A277&amp;"-"&amp;B277)</f>
        <v/>
      </c>
      <c r="D277" s="58"/>
      <c r="E277" s="57"/>
      <c r="F277" s="69"/>
      <c r="G277" s="69"/>
      <c r="H277" s="70" t="str">
        <f aca="false">IF(A277="","",IFERROR(INDEX(السندات!$C$5:$C$504,MATCH(A277,السندات!$A$5:$A$504,0)),""))</f>
        <v/>
      </c>
      <c r="I277" s="71" t="str">
        <f aca="false">IF(A277="","",IFERROR(INDEX(السندات!$D$5:$D$504,MATCH(A277,السندات!$A$5:$A$504,0)),""))</f>
        <v/>
      </c>
      <c r="J277" s="72" t="str">
        <f aca="false">IF(A277="","",IF(ISNA(MATCH(A277,السندات!$A$5:$A$504,0)),"رقم سند غير موجود ✘",IF(AND(F277&lt;&gt;"",G277&lt;&gt;""),"اكتب مدين أو دائن فقط ✘",IF(AND(N(F277)=0,N(G277)=0),"بدون مبلغ ⚠",IF(B277&gt;12,"يتجاوز 12 بنداً في الطباعة ⚠","")))))</f>
        <v/>
      </c>
    </row>
    <row r="278" customFormat="false" ht="15" hidden="false" customHeight="false" outlineLevel="0" collapsed="false">
      <c r="A278" s="58"/>
      <c r="B278" s="73" t="str">
        <f aca="false">IF(A278="","",COUNTIF(A$5:A278,A278))</f>
        <v/>
      </c>
      <c r="C278" s="73" t="str">
        <f aca="false">IF(A278="","",A278&amp;"-"&amp;B278)</f>
        <v/>
      </c>
      <c r="D278" s="58"/>
      <c r="E278" s="57"/>
      <c r="F278" s="69"/>
      <c r="G278" s="69"/>
      <c r="H278" s="74" t="str">
        <f aca="false">IF(A278="","",IFERROR(INDEX(السندات!$C$5:$C$504,MATCH(A278,السندات!$A$5:$A$504,0)),""))</f>
        <v/>
      </c>
      <c r="I278" s="75" t="str">
        <f aca="false">IF(A278="","",IFERROR(INDEX(السندات!$D$5:$D$504,MATCH(A278,السندات!$A$5:$A$504,0)),""))</f>
        <v/>
      </c>
      <c r="J278" s="76" t="str">
        <f aca="false">IF(A278="","",IF(ISNA(MATCH(A278,السندات!$A$5:$A$504,0)),"رقم سند غير موجود ✘",IF(AND(F278&lt;&gt;"",G278&lt;&gt;""),"اكتب مدين أو دائن فقط ✘",IF(AND(N(F278)=0,N(G278)=0),"بدون مبلغ ⚠",IF(B278&gt;12,"يتجاوز 12 بنداً في الطباعة ⚠","")))))</f>
        <v/>
      </c>
    </row>
    <row r="279" customFormat="false" ht="15" hidden="false" customHeight="false" outlineLevel="0" collapsed="false">
      <c r="A279" s="58"/>
      <c r="B279" s="68" t="str">
        <f aca="false">IF(A279="","",COUNTIF(A$5:A279,A279))</f>
        <v/>
      </c>
      <c r="C279" s="68" t="str">
        <f aca="false">IF(A279="","",A279&amp;"-"&amp;B279)</f>
        <v/>
      </c>
      <c r="D279" s="58"/>
      <c r="E279" s="57"/>
      <c r="F279" s="69"/>
      <c r="G279" s="69"/>
      <c r="H279" s="70" t="str">
        <f aca="false">IF(A279="","",IFERROR(INDEX(السندات!$C$5:$C$504,MATCH(A279,السندات!$A$5:$A$504,0)),""))</f>
        <v/>
      </c>
      <c r="I279" s="71" t="str">
        <f aca="false">IF(A279="","",IFERROR(INDEX(السندات!$D$5:$D$504,MATCH(A279,السندات!$A$5:$A$504,0)),""))</f>
        <v/>
      </c>
      <c r="J279" s="72" t="str">
        <f aca="false">IF(A279="","",IF(ISNA(MATCH(A279,السندات!$A$5:$A$504,0)),"رقم سند غير موجود ✘",IF(AND(F279&lt;&gt;"",G279&lt;&gt;""),"اكتب مدين أو دائن فقط ✘",IF(AND(N(F279)=0,N(G279)=0),"بدون مبلغ ⚠",IF(B279&gt;12,"يتجاوز 12 بنداً في الطباعة ⚠","")))))</f>
        <v/>
      </c>
    </row>
    <row r="280" customFormat="false" ht="15" hidden="false" customHeight="false" outlineLevel="0" collapsed="false">
      <c r="A280" s="58"/>
      <c r="B280" s="73" t="str">
        <f aca="false">IF(A280="","",COUNTIF(A$5:A280,A280))</f>
        <v/>
      </c>
      <c r="C280" s="73" t="str">
        <f aca="false">IF(A280="","",A280&amp;"-"&amp;B280)</f>
        <v/>
      </c>
      <c r="D280" s="58"/>
      <c r="E280" s="57"/>
      <c r="F280" s="69"/>
      <c r="G280" s="69"/>
      <c r="H280" s="74" t="str">
        <f aca="false">IF(A280="","",IFERROR(INDEX(السندات!$C$5:$C$504,MATCH(A280,السندات!$A$5:$A$504,0)),""))</f>
        <v/>
      </c>
      <c r="I280" s="75" t="str">
        <f aca="false">IF(A280="","",IFERROR(INDEX(السندات!$D$5:$D$504,MATCH(A280,السندات!$A$5:$A$504,0)),""))</f>
        <v/>
      </c>
      <c r="J280" s="76" t="str">
        <f aca="false">IF(A280="","",IF(ISNA(MATCH(A280,السندات!$A$5:$A$504,0)),"رقم سند غير موجود ✘",IF(AND(F280&lt;&gt;"",G280&lt;&gt;""),"اكتب مدين أو دائن فقط ✘",IF(AND(N(F280)=0,N(G280)=0),"بدون مبلغ ⚠",IF(B280&gt;12,"يتجاوز 12 بنداً في الطباعة ⚠","")))))</f>
        <v/>
      </c>
    </row>
    <row r="281" customFormat="false" ht="15" hidden="false" customHeight="false" outlineLevel="0" collapsed="false">
      <c r="A281" s="58"/>
      <c r="B281" s="68" t="str">
        <f aca="false">IF(A281="","",COUNTIF(A$5:A281,A281))</f>
        <v/>
      </c>
      <c r="C281" s="68" t="str">
        <f aca="false">IF(A281="","",A281&amp;"-"&amp;B281)</f>
        <v/>
      </c>
      <c r="D281" s="58"/>
      <c r="E281" s="57"/>
      <c r="F281" s="69"/>
      <c r="G281" s="69"/>
      <c r="H281" s="70" t="str">
        <f aca="false">IF(A281="","",IFERROR(INDEX(السندات!$C$5:$C$504,MATCH(A281,السندات!$A$5:$A$504,0)),""))</f>
        <v/>
      </c>
      <c r="I281" s="71" t="str">
        <f aca="false">IF(A281="","",IFERROR(INDEX(السندات!$D$5:$D$504,MATCH(A281,السندات!$A$5:$A$504,0)),""))</f>
        <v/>
      </c>
      <c r="J281" s="72" t="str">
        <f aca="false">IF(A281="","",IF(ISNA(MATCH(A281,السندات!$A$5:$A$504,0)),"رقم سند غير موجود ✘",IF(AND(F281&lt;&gt;"",G281&lt;&gt;""),"اكتب مدين أو دائن فقط ✘",IF(AND(N(F281)=0,N(G281)=0),"بدون مبلغ ⚠",IF(B281&gt;12,"يتجاوز 12 بنداً في الطباعة ⚠","")))))</f>
        <v/>
      </c>
    </row>
    <row r="282" customFormat="false" ht="15" hidden="false" customHeight="false" outlineLevel="0" collapsed="false">
      <c r="A282" s="58"/>
      <c r="B282" s="73" t="str">
        <f aca="false">IF(A282="","",COUNTIF(A$5:A282,A282))</f>
        <v/>
      </c>
      <c r="C282" s="73" t="str">
        <f aca="false">IF(A282="","",A282&amp;"-"&amp;B282)</f>
        <v/>
      </c>
      <c r="D282" s="58"/>
      <c r="E282" s="57"/>
      <c r="F282" s="69"/>
      <c r="G282" s="69"/>
      <c r="H282" s="74" t="str">
        <f aca="false">IF(A282="","",IFERROR(INDEX(السندات!$C$5:$C$504,MATCH(A282,السندات!$A$5:$A$504,0)),""))</f>
        <v/>
      </c>
      <c r="I282" s="75" t="str">
        <f aca="false">IF(A282="","",IFERROR(INDEX(السندات!$D$5:$D$504,MATCH(A282,السندات!$A$5:$A$504,0)),""))</f>
        <v/>
      </c>
      <c r="J282" s="76" t="str">
        <f aca="false">IF(A282="","",IF(ISNA(MATCH(A282,السندات!$A$5:$A$504,0)),"رقم سند غير موجود ✘",IF(AND(F282&lt;&gt;"",G282&lt;&gt;""),"اكتب مدين أو دائن فقط ✘",IF(AND(N(F282)=0,N(G282)=0),"بدون مبلغ ⚠",IF(B282&gt;12,"يتجاوز 12 بنداً في الطباعة ⚠","")))))</f>
        <v/>
      </c>
    </row>
    <row r="283" customFormat="false" ht="15" hidden="false" customHeight="false" outlineLevel="0" collapsed="false">
      <c r="A283" s="58"/>
      <c r="B283" s="68" t="str">
        <f aca="false">IF(A283="","",COUNTIF(A$5:A283,A283))</f>
        <v/>
      </c>
      <c r="C283" s="68" t="str">
        <f aca="false">IF(A283="","",A283&amp;"-"&amp;B283)</f>
        <v/>
      </c>
      <c r="D283" s="58"/>
      <c r="E283" s="57"/>
      <c r="F283" s="69"/>
      <c r="G283" s="69"/>
      <c r="H283" s="70" t="str">
        <f aca="false">IF(A283="","",IFERROR(INDEX(السندات!$C$5:$C$504,MATCH(A283,السندات!$A$5:$A$504,0)),""))</f>
        <v/>
      </c>
      <c r="I283" s="71" t="str">
        <f aca="false">IF(A283="","",IFERROR(INDEX(السندات!$D$5:$D$504,MATCH(A283,السندات!$A$5:$A$504,0)),""))</f>
        <v/>
      </c>
      <c r="J283" s="72" t="str">
        <f aca="false">IF(A283="","",IF(ISNA(MATCH(A283,السندات!$A$5:$A$504,0)),"رقم سند غير موجود ✘",IF(AND(F283&lt;&gt;"",G283&lt;&gt;""),"اكتب مدين أو دائن فقط ✘",IF(AND(N(F283)=0,N(G283)=0),"بدون مبلغ ⚠",IF(B283&gt;12,"يتجاوز 12 بنداً في الطباعة ⚠","")))))</f>
        <v/>
      </c>
    </row>
    <row r="284" customFormat="false" ht="15" hidden="false" customHeight="false" outlineLevel="0" collapsed="false">
      <c r="A284" s="58"/>
      <c r="B284" s="73" t="str">
        <f aca="false">IF(A284="","",COUNTIF(A$5:A284,A284))</f>
        <v/>
      </c>
      <c r="C284" s="73" t="str">
        <f aca="false">IF(A284="","",A284&amp;"-"&amp;B284)</f>
        <v/>
      </c>
      <c r="D284" s="58"/>
      <c r="E284" s="57"/>
      <c r="F284" s="69"/>
      <c r="G284" s="69"/>
      <c r="H284" s="74" t="str">
        <f aca="false">IF(A284="","",IFERROR(INDEX(السندات!$C$5:$C$504,MATCH(A284,السندات!$A$5:$A$504,0)),""))</f>
        <v/>
      </c>
      <c r="I284" s="75" t="str">
        <f aca="false">IF(A284="","",IFERROR(INDEX(السندات!$D$5:$D$504,MATCH(A284,السندات!$A$5:$A$504,0)),""))</f>
        <v/>
      </c>
      <c r="J284" s="76" t="str">
        <f aca="false">IF(A284="","",IF(ISNA(MATCH(A284,السندات!$A$5:$A$504,0)),"رقم سند غير موجود ✘",IF(AND(F284&lt;&gt;"",G284&lt;&gt;""),"اكتب مدين أو دائن فقط ✘",IF(AND(N(F284)=0,N(G284)=0),"بدون مبلغ ⚠",IF(B284&gt;12,"يتجاوز 12 بنداً في الطباعة ⚠","")))))</f>
        <v/>
      </c>
    </row>
    <row r="285" customFormat="false" ht="15" hidden="false" customHeight="false" outlineLevel="0" collapsed="false">
      <c r="A285" s="58"/>
      <c r="B285" s="68" t="str">
        <f aca="false">IF(A285="","",COUNTIF(A$5:A285,A285))</f>
        <v/>
      </c>
      <c r="C285" s="68" t="str">
        <f aca="false">IF(A285="","",A285&amp;"-"&amp;B285)</f>
        <v/>
      </c>
      <c r="D285" s="58"/>
      <c r="E285" s="57"/>
      <c r="F285" s="69"/>
      <c r="G285" s="69"/>
      <c r="H285" s="70" t="str">
        <f aca="false">IF(A285="","",IFERROR(INDEX(السندات!$C$5:$C$504,MATCH(A285,السندات!$A$5:$A$504,0)),""))</f>
        <v/>
      </c>
      <c r="I285" s="71" t="str">
        <f aca="false">IF(A285="","",IFERROR(INDEX(السندات!$D$5:$D$504,MATCH(A285,السندات!$A$5:$A$504,0)),""))</f>
        <v/>
      </c>
      <c r="J285" s="72" t="str">
        <f aca="false">IF(A285="","",IF(ISNA(MATCH(A285,السندات!$A$5:$A$504,0)),"رقم سند غير موجود ✘",IF(AND(F285&lt;&gt;"",G285&lt;&gt;""),"اكتب مدين أو دائن فقط ✘",IF(AND(N(F285)=0,N(G285)=0),"بدون مبلغ ⚠",IF(B285&gt;12,"يتجاوز 12 بنداً في الطباعة ⚠","")))))</f>
        <v/>
      </c>
    </row>
    <row r="286" customFormat="false" ht="15" hidden="false" customHeight="false" outlineLevel="0" collapsed="false">
      <c r="A286" s="58"/>
      <c r="B286" s="73" t="str">
        <f aca="false">IF(A286="","",COUNTIF(A$5:A286,A286))</f>
        <v/>
      </c>
      <c r="C286" s="73" t="str">
        <f aca="false">IF(A286="","",A286&amp;"-"&amp;B286)</f>
        <v/>
      </c>
      <c r="D286" s="58"/>
      <c r="E286" s="57"/>
      <c r="F286" s="69"/>
      <c r="G286" s="69"/>
      <c r="H286" s="74" t="str">
        <f aca="false">IF(A286="","",IFERROR(INDEX(السندات!$C$5:$C$504,MATCH(A286,السندات!$A$5:$A$504,0)),""))</f>
        <v/>
      </c>
      <c r="I286" s="75" t="str">
        <f aca="false">IF(A286="","",IFERROR(INDEX(السندات!$D$5:$D$504,MATCH(A286,السندات!$A$5:$A$504,0)),""))</f>
        <v/>
      </c>
      <c r="J286" s="76" t="str">
        <f aca="false">IF(A286="","",IF(ISNA(MATCH(A286,السندات!$A$5:$A$504,0)),"رقم سند غير موجود ✘",IF(AND(F286&lt;&gt;"",G286&lt;&gt;""),"اكتب مدين أو دائن فقط ✘",IF(AND(N(F286)=0,N(G286)=0),"بدون مبلغ ⚠",IF(B286&gt;12,"يتجاوز 12 بنداً في الطباعة ⚠","")))))</f>
        <v/>
      </c>
    </row>
    <row r="287" customFormat="false" ht="15" hidden="false" customHeight="false" outlineLevel="0" collapsed="false">
      <c r="A287" s="58"/>
      <c r="B287" s="68" t="str">
        <f aca="false">IF(A287="","",COUNTIF(A$5:A287,A287))</f>
        <v/>
      </c>
      <c r="C287" s="68" t="str">
        <f aca="false">IF(A287="","",A287&amp;"-"&amp;B287)</f>
        <v/>
      </c>
      <c r="D287" s="58"/>
      <c r="E287" s="57"/>
      <c r="F287" s="69"/>
      <c r="G287" s="69"/>
      <c r="H287" s="70" t="str">
        <f aca="false">IF(A287="","",IFERROR(INDEX(السندات!$C$5:$C$504,MATCH(A287,السندات!$A$5:$A$504,0)),""))</f>
        <v/>
      </c>
      <c r="I287" s="71" t="str">
        <f aca="false">IF(A287="","",IFERROR(INDEX(السندات!$D$5:$D$504,MATCH(A287,السندات!$A$5:$A$504,0)),""))</f>
        <v/>
      </c>
      <c r="J287" s="72" t="str">
        <f aca="false">IF(A287="","",IF(ISNA(MATCH(A287,السندات!$A$5:$A$504,0)),"رقم سند غير موجود ✘",IF(AND(F287&lt;&gt;"",G287&lt;&gt;""),"اكتب مدين أو دائن فقط ✘",IF(AND(N(F287)=0,N(G287)=0),"بدون مبلغ ⚠",IF(B287&gt;12,"يتجاوز 12 بنداً في الطباعة ⚠","")))))</f>
        <v/>
      </c>
    </row>
    <row r="288" customFormat="false" ht="15" hidden="false" customHeight="false" outlineLevel="0" collapsed="false">
      <c r="A288" s="58"/>
      <c r="B288" s="73" t="str">
        <f aca="false">IF(A288="","",COUNTIF(A$5:A288,A288))</f>
        <v/>
      </c>
      <c r="C288" s="73" t="str">
        <f aca="false">IF(A288="","",A288&amp;"-"&amp;B288)</f>
        <v/>
      </c>
      <c r="D288" s="58"/>
      <c r="E288" s="57"/>
      <c r="F288" s="69"/>
      <c r="G288" s="69"/>
      <c r="H288" s="74" t="str">
        <f aca="false">IF(A288="","",IFERROR(INDEX(السندات!$C$5:$C$504,MATCH(A288,السندات!$A$5:$A$504,0)),""))</f>
        <v/>
      </c>
      <c r="I288" s="75" t="str">
        <f aca="false">IF(A288="","",IFERROR(INDEX(السندات!$D$5:$D$504,MATCH(A288,السندات!$A$5:$A$504,0)),""))</f>
        <v/>
      </c>
      <c r="J288" s="76" t="str">
        <f aca="false">IF(A288="","",IF(ISNA(MATCH(A288,السندات!$A$5:$A$504,0)),"رقم سند غير موجود ✘",IF(AND(F288&lt;&gt;"",G288&lt;&gt;""),"اكتب مدين أو دائن فقط ✘",IF(AND(N(F288)=0,N(G288)=0),"بدون مبلغ ⚠",IF(B288&gt;12,"يتجاوز 12 بنداً في الطباعة ⚠","")))))</f>
        <v/>
      </c>
    </row>
    <row r="289" customFormat="false" ht="15" hidden="false" customHeight="false" outlineLevel="0" collapsed="false">
      <c r="A289" s="58"/>
      <c r="B289" s="68" t="str">
        <f aca="false">IF(A289="","",COUNTIF(A$5:A289,A289))</f>
        <v/>
      </c>
      <c r="C289" s="68" t="str">
        <f aca="false">IF(A289="","",A289&amp;"-"&amp;B289)</f>
        <v/>
      </c>
      <c r="D289" s="58"/>
      <c r="E289" s="57"/>
      <c r="F289" s="69"/>
      <c r="G289" s="69"/>
      <c r="H289" s="70" t="str">
        <f aca="false">IF(A289="","",IFERROR(INDEX(السندات!$C$5:$C$504,MATCH(A289,السندات!$A$5:$A$504,0)),""))</f>
        <v/>
      </c>
      <c r="I289" s="71" t="str">
        <f aca="false">IF(A289="","",IFERROR(INDEX(السندات!$D$5:$D$504,MATCH(A289,السندات!$A$5:$A$504,0)),""))</f>
        <v/>
      </c>
      <c r="J289" s="72" t="str">
        <f aca="false">IF(A289="","",IF(ISNA(MATCH(A289,السندات!$A$5:$A$504,0)),"رقم سند غير موجود ✘",IF(AND(F289&lt;&gt;"",G289&lt;&gt;""),"اكتب مدين أو دائن فقط ✘",IF(AND(N(F289)=0,N(G289)=0),"بدون مبلغ ⚠",IF(B289&gt;12,"يتجاوز 12 بنداً في الطباعة ⚠","")))))</f>
        <v/>
      </c>
    </row>
    <row r="290" customFormat="false" ht="15" hidden="false" customHeight="false" outlineLevel="0" collapsed="false">
      <c r="A290" s="58"/>
      <c r="B290" s="73" t="str">
        <f aca="false">IF(A290="","",COUNTIF(A$5:A290,A290))</f>
        <v/>
      </c>
      <c r="C290" s="73" t="str">
        <f aca="false">IF(A290="","",A290&amp;"-"&amp;B290)</f>
        <v/>
      </c>
      <c r="D290" s="58"/>
      <c r="E290" s="57"/>
      <c r="F290" s="69"/>
      <c r="G290" s="69"/>
      <c r="H290" s="74" t="str">
        <f aca="false">IF(A290="","",IFERROR(INDEX(السندات!$C$5:$C$504,MATCH(A290,السندات!$A$5:$A$504,0)),""))</f>
        <v/>
      </c>
      <c r="I290" s="75" t="str">
        <f aca="false">IF(A290="","",IFERROR(INDEX(السندات!$D$5:$D$504,MATCH(A290,السندات!$A$5:$A$504,0)),""))</f>
        <v/>
      </c>
      <c r="J290" s="76" t="str">
        <f aca="false">IF(A290="","",IF(ISNA(MATCH(A290,السندات!$A$5:$A$504,0)),"رقم سند غير موجود ✘",IF(AND(F290&lt;&gt;"",G290&lt;&gt;""),"اكتب مدين أو دائن فقط ✘",IF(AND(N(F290)=0,N(G290)=0),"بدون مبلغ ⚠",IF(B290&gt;12,"يتجاوز 12 بنداً في الطباعة ⚠","")))))</f>
        <v/>
      </c>
    </row>
    <row r="291" customFormat="false" ht="15" hidden="false" customHeight="false" outlineLevel="0" collapsed="false">
      <c r="A291" s="58"/>
      <c r="B291" s="68" t="str">
        <f aca="false">IF(A291="","",COUNTIF(A$5:A291,A291))</f>
        <v/>
      </c>
      <c r="C291" s="68" t="str">
        <f aca="false">IF(A291="","",A291&amp;"-"&amp;B291)</f>
        <v/>
      </c>
      <c r="D291" s="58"/>
      <c r="E291" s="57"/>
      <c r="F291" s="69"/>
      <c r="G291" s="69"/>
      <c r="H291" s="70" t="str">
        <f aca="false">IF(A291="","",IFERROR(INDEX(السندات!$C$5:$C$504,MATCH(A291,السندات!$A$5:$A$504,0)),""))</f>
        <v/>
      </c>
      <c r="I291" s="71" t="str">
        <f aca="false">IF(A291="","",IFERROR(INDEX(السندات!$D$5:$D$504,MATCH(A291,السندات!$A$5:$A$504,0)),""))</f>
        <v/>
      </c>
      <c r="J291" s="72" t="str">
        <f aca="false">IF(A291="","",IF(ISNA(MATCH(A291,السندات!$A$5:$A$504,0)),"رقم سند غير موجود ✘",IF(AND(F291&lt;&gt;"",G291&lt;&gt;""),"اكتب مدين أو دائن فقط ✘",IF(AND(N(F291)=0,N(G291)=0),"بدون مبلغ ⚠",IF(B291&gt;12,"يتجاوز 12 بنداً في الطباعة ⚠","")))))</f>
        <v/>
      </c>
    </row>
    <row r="292" customFormat="false" ht="15" hidden="false" customHeight="false" outlineLevel="0" collapsed="false">
      <c r="A292" s="58"/>
      <c r="B292" s="73" t="str">
        <f aca="false">IF(A292="","",COUNTIF(A$5:A292,A292))</f>
        <v/>
      </c>
      <c r="C292" s="73" t="str">
        <f aca="false">IF(A292="","",A292&amp;"-"&amp;B292)</f>
        <v/>
      </c>
      <c r="D292" s="58"/>
      <c r="E292" s="57"/>
      <c r="F292" s="69"/>
      <c r="G292" s="69"/>
      <c r="H292" s="74" t="str">
        <f aca="false">IF(A292="","",IFERROR(INDEX(السندات!$C$5:$C$504,MATCH(A292,السندات!$A$5:$A$504,0)),""))</f>
        <v/>
      </c>
      <c r="I292" s="75" t="str">
        <f aca="false">IF(A292="","",IFERROR(INDEX(السندات!$D$5:$D$504,MATCH(A292,السندات!$A$5:$A$504,0)),""))</f>
        <v/>
      </c>
      <c r="J292" s="76" t="str">
        <f aca="false">IF(A292="","",IF(ISNA(MATCH(A292,السندات!$A$5:$A$504,0)),"رقم سند غير موجود ✘",IF(AND(F292&lt;&gt;"",G292&lt;&gt;""),"اكتب مدين أو دائن فقط ✘",IF(AND(N(F292)=0,N(G292)=0),"بدون مبلغ ⚠",IF(B292&gt;12,"يتجاوز 12 بنداً في الطباعة ⚠","")))))</f>
        <v/>
      </c>
    </row>
    <row r="293" customFormat="false" ht="15" hidden="false" customHeight="false" outlineLevel="0" collapsed="false">
      <c r="A293" s="58"/>
      <c r="B293" s="68" t="str">
        <f aca="false">IF(A293="","",COUNTIF(A$5:A293,A293))</f>
        <v/>
      </c>
      <c r="C293" s="68" t="str">
        <f aca="false">IF(A293="","",A293&amp;"-"&amp;B293)</f>
        <v/>
      </c>
      <c r="D293" s="58"/>
      <c r="E293" s="57"/>
      <c r="F293" s="69"/>
      <c r="G293" s="69"/>
      <c r="H293" s="70" t="str">
        <f aca="false">IF(A293="","",IFERROR(INDEX(السندات!$C$5:$C$504,MATCH(A293,السندات!$A$5:$A$504,0)),""))</f>
        <v/>
      </c>
      <c r="I293" s="71" t="str">
        <f aca="false">IF(A293="","",IFERROR(INDEX(السندات!$D$5:$D$504,MATCH(A293,السندات!$A$5:$A$504,0)),""))</f>
        <v/>
      </c>
      <c r="J293" s="72" t="str">
        <f aca="false">IF(A293="","",IF(ISNA(MATCH(A293,السندات!$A$5:$A$504,0)),"رقم سند غير موجود ✘",IF(AND(F293&lt;&gt;"",G293&lt;&gt;""),"اكتب مدين أو دائن فقط ✘",IF(AND(N(F293)=0,N(G293)=0),"بدون مبلغ ⚠",IF(B293&gt;12,"يتجاوز 12 بنداً في الطباعة ⚠","")))))</f>
        <v/>
      </c>
    </row>
    <row r="294" customFormat="false" ht="15" hidden="false" customHeight="false" outlineLevel="0" collapsed="false">
      <c r="A294" s="58"/>
      <c r="B294" s="73" t="str">
        <f aca="false">IF(A294="","",COUNTIF(A$5:A294,A294))</f>
        <v/>
      </c>
      <c r="C294" s="73" t="str">
        <f aca="false">IF(A294="","",A294&amp;"-"&amp;B294)</f>
        <v/>
      </c>
      <c r="D294" s="58"/>
      <c r="E294" s="57"/>
      <c r="F294" s="69"/>
      <c r="G294" s="69"/>
      <c r="H294" s="74" t="str">
        <f aca="false">IF(A294="","",IFERROR(INDEX(السندات!$C$5:$C$504,MATCH(A294,السندات!$A$5:$A$504,0)),""))</f>
        <v/>
      </c>
      <c r="I294" s="75" t="str">
        <f aca="false">IF(A294="","",IFERROR(INDEX(السندات!$D$5:$D$504,MATCH(A294,السندات!$A$5:$A$504,0)),""))</f>
        <v/>
      </c>
      <c r="J294" s="76" t="str">
        <f aca="false">IF(A294="","",IF(ISNA(MATCH(A294,السندات!$A$5:$A$504,0)),"رقم سند غير موجود ✘",IF(AND(F294&lt;&gt;"",G294&lt;&gt;""),"اكتب مدين أو دائن فقط ✘",IF(AND(N(F294)=0,N(G294)=0),"بدون مبلغ ⚠",IF(B294&gt;12,"يتجاوز 12 بنداً في الطباعة ⚠","")))))</f>
        <v/>
      </c>
    </row>
    <row r="295" customFormat="false" ht="15" hidden="false" customHeight="false" outlineLevel="0" collapsed="false">
      <c r="A295" s="58"/>
      <c r="B295" s="68" t="str">
        <f aca="false">IF(A295="","",COUNTIF(A$5:A295,A295))</f>
        <v/>
      </c>
      <c r="C295" s="68" t="str">
        <f aca="false">IF(A295="","",A295&amp;"-"&amp;B295)</f>
        <v/>
      </c>
      <c r="D295" s="58"/>
      <c r="E295" s="57"/>
      <c r="F295" s="69"/>
      <c r="G295" s="69"/>
      <c r="H295" s="70" t="str">
        <f aca="false">IF(A295="","",IFERROR(INDEX(السندات!$C$5:$C$504,MATCH(A295,السندات!$A$5:$A$504,0)),""))</f>
        <v/>
      </c>
      <c r="I295" s="71" t="str">
        <f aca="false">IF(A295="","",IFERROR(INDEX(السندات!$D$5:$D$504,MATCH(A295,السندات!$A$5:$A$504,0)),""))</f>
        <v/>
      </c>
      <c r="J295" s="72" t="str">
        <f aca="false">IF(A295="","",IF(ISNA(MATCH(A295,السندات!$A$5:$A$504,0)),"رقم سند غير موجود ✘",IF(AND(F295&lt;&gt;"",G295&lt;&gt;""),"اكتب مدين أو دائن فقط ✘",IF(AND(N(F295)=0,N(G295)=0),"بدون مبلغ ⚠",IF(B295&gt;12,"يتجاوز 12 بنداً في الطباعة ⚠","")))))</f>
        <v/>
      </c>
    </row>
    <row r="296" customFormat="false" ht="15" hidden="false" customHeight="false" outlineLevel="0" collapsed="false">
      <c r="A296" s="58"/>
      <c r="B296" s="73" t="str">
        <f aca="false">IF(A296="","",COUNTIF(A$5:A296,A296))</f>
        <v/>
      </c>
      <c r="C296" s="73" t="str">
        <f aca="false">IF(A296="","",A296&amp;"-"&amp;B296)</f>
        <v/>
      </c>
      <c r="D296" s="58"/>
      <c r="E296" s="57"/>
      <c r="F296" s="69"/>
      <c r="G296" s="69"/>
      <c r="H296" s="74" t="str">
        <f aca="false">IF(A296="","",IFERROR(INDEX(السندات!$C$5:$C$504,MATCH(A296,السندات!$A$5:$A$504,0)),""))</f>
        <v/>
      </c>
      <c r="I296" s="75" t="str">
        <f aca="false">IF(A296="","",IFERROR(INDEX(السندات!$D$5:$D$504,MATCH(A296,السندات!$A$5:$A$504,0)),""))</f>
        <v/>
      </c>
      <c r="J296" s="76" t="str">
        <f aca="false">IF(A296="","",IF(ISNA(MATCH(A296,السندات!$A$5:$A$504,0)),"رقم سند غير موجود ✘",IF(AND(F296&lt;&gt;"",G296&lt;&gt;""),"اكتب مدين أو دائن فقط ✘",IF(AND(N(F296)=0,N(G296)=0),"بدون مبلغ ⚠",IF(B296&gt;12,"يتجاوز 12 بنداً في الطباعة ⚠","")))))</f>
        <v/>
      </c>
    </row>
    <row r="297" customFormat="false" ht="15" hidden="false" customHeight="false" outlineLevel="0" collapsed="false">
      <c r="A297" s="58"/>
      <c r="B297" s="68" t="str">
        <f aca="false">IF(A297="","",COUNTIF(A$5:A297,A297))</f>
        <v/>
      </c>
      <c r="C297" s="68" t="str">
        <f aca="false">IF(A297="","",A297&amp;"-"&amp;B297)</f>
        <v/>
      </c>
      <c r="D297" s="58"/>
      <c r="E297" s="57"/>
      <c r="F297" s="69"/>
      <c r="G297" s="69"/>
      <c r="H297" s="70" t="str">
        <f aca="false">IF(A297="","",IFERROR(INDEX(السندات!$C$5:$C$504,MATCH(A297,السندات!$A$5:$A$504,0)),""))</f>
        <v/>
      </c>
      <c r="I297" s="71" t="str">
        <f aca="false">IF(A297="","",IFERROR(INDEX(السندات!$D$5:$D$504,MATCH(A297,السندات!$A$5:$A$504,0)),""))</f>
        <v/>
      </c>
      <c r="J297" s="72" t="str">
        <f aca="false">IF(A297="","",IF(ISNA(MATCH(A297,السندات!$A$5:$A$504,0)),"رقم سند غير موجود ✘",IF(AND(F297&lt;&gt;"",G297&lt;&gt;""),"اكتب مدين أو دائن فقط ✘",IF(AND(N(F297)=0,N(G297)=0),"بدون مبلغ ⚠",IF(B297&gt;12,"يتجاوز 12 بنداً في الطباعة ⚠","")))))</f>
        <v/>
      </c>
    </row>
    <row r="298" customFormat="false" ht="15" hidden="false" customHeight="false" outlineLevel="0" collapsed="false">
      <c r="A298" s="58"/>
      <c r="B298" s="73" t="str">
        <f aca="false">IF(A298="","",COUNTIF(A$5:A298,A298))</f>
        <v/>
      </c>
      <c r="C298" s="73" t="str">
        <f aca="false">IF(A298="","",A298&amp;"-"&amp;B298)</f>
        <v/>
      </c>
      <c r="D298" s="58"/>
      <c r="E298" s="57"/>
      <c r="F298" s="69"/>
      <c r="G298" s="69"/>
      <c r="H298" s="74" t="str">
        <f aca="false">IF(A298="","",IFERROR(INDEX(السندات!$C$5:$C$504,MATCH(A298,السندات!$A$5:$A$504,0)),""))</f>
        <v/>
      </c>
      <c r="I298" s="75" t="str">
        <f aca="false">IF(A298="","",IFERROR(INDEX(السندات!$D$5:$D$504,MATCH(A298,السندات!$A$5:$A$504,0)),""))</f>
        <v/>
      </c>
      <c r="J298" s="76" t="str">
        <f aca="false">IF(A298="","",IF(ISNA(MATCH(A298,السندات!$A$5:$A$504,0)),"رقم سند غير موجود ✘",IF(AND(F298&lt;&gt;"",G298&lt;&gt;""),"اكتب مدين أو دائن فقط ✘",IF(AND(N(F298)=0,N(G298)=0),"بدون مبلغ ⚠",IF(B298&gt;12,"يتجاوز 12 بنداً في الطباعة ⚠","")))))</f>
        <v/>
      </c>
    </row>
    <row r="299" customFormat="false" ht="15" hidden="false" customHeight="false" outlineLevel="0" collapsed="false">
      <c r="A299" s="58"/>
      <c r="B299" s="68" t="str">
        <f aca="false">IF(A299="","",COUNTIF(A$5:A299,A299))</f>
        <v/>
      </c>
      <c r="C299" s="68" t="str">
        <f aca="false">IF(A299="","",A299&amp;"-"&amp;B299)</f>
        <v/>
      </c>
      <c r="D299" s="58"/>
      <c r="E299" s="57"/>
      <c r="F299" s="69"/>
      <c r="G299" s="69"/>
      <c r="H299" s="70" t="str">
        <f aca="false">IF(A299="","",IFERROR(INDEX(السندات!$C$5:$C$504,MATCH(A299,السندات!$A$5:$A$504,0)),""))</f>
        <v/>
      </c>
      <c r="I299" s="71" t="str">
        <f aca="false">IF(A299="","",IFERROR(INDEX(السندات!$D$5:$D$504,MATCH(A299,السندات!$A$5:$A$504,0)),""))</f>
        <v/>
      </c>
      <c r="J299" s="72" t="str">
        <f aca="false">IF(A299="","",IF(ISNA(MATCH(A299,السندات!$A$5:$A$504,0)),"رقم سند غير موجود ✘",IF(AND(F299&lt;&gt;"",G299&lt;&gt;""),"اكتب مدين أو دائن فقط ✘",IF(AND(N(F299)=0,N(G299)=0),"بدون مبلغ ⚠",IF(B299&gt;12,"يتجاوز 12 بنداً في الطباعة ⚠","")))))</f>
        <v/>
      </c>
    </row>
    <row r="300" customFormat="false" ht="15" hidden="false" customHeight="false" outlineLevel="0" collapsed="false">
      <c r="A300" s="58"/>
      <c r="B300" s="73" t="str">
        <f aca="false">IF(A300="","",COUNTIF(A$5:A300,A300))</f>
        <v/>
      </c>
      <c r="C300" s="73" t="str">
        <f aca="false">IF(A300="","",A300&amp;"-"&amp;B300)</f>
        <v/>
      </c>
      <c r="D300" s="58"/>
      <c r="E300" s="57"/>
      <c r="F300" s="69"/>
      <c r="G300" s="69"/>
      <c r="H300" s="74" t="str">
        <f aca="false">IF(A300="","",IFERROR(INDEX(السندات!$C$5:$C$504,MATCH(A300,السندات!$A$5:$A$504,0)),""))</f>
        <v/>
      </c>
      <c r="I300" s="75" t="str">
        <f aca="false">IF(A300="","",IFERROR(INDEX(السندات!$D$5:$D$504,MATCH(A300,السندات!$A$5:$A$504,0)),""))</f>
        <v/>
      </c>
      <c r="J300" s="76" t="str">
        <f aca="false">IF(A300="","",IF(ISNA(MATCH(A300,السندات!$A$5:$A$504,0)),"رقم سند غير موجود ✘",IF(AND(F300&lt;&gt;"",G300&lt;&gt;""),"اكتب مدين أو دائن فقط ✘",IF(AND(N(F300)=0,N(G300)=0),"بدون مبلغ ⚠",IF(B300&gt;12,"يتجاوز 12 بنداً في الطباعة ⚠","")))))</f>
        <v/>
      </c>
    </row>
    <row r="301" customFormat="false" ht="15" hidden="false" customHeight="false" outlineLevel="0" collapsed="false">
      <c r="A301" s="58"/>
      <c r="B301" s="68" t="str">
        <f aca="false">IF(A301="","",COUNTIF(A$5:A301,A301))</f>
        <v/>
      </c>
      <c r="C301" s="68" t="str">
        <f aca="false">IF(A301="","",A301&amp;"-"&amp;B301)</f>
        <v/>
      </c>
      <c r="D301" s="58"/>
      <c r="E301" s="57"/>
      <c r="F301" s="69"/>
      <c r="G301" s="69"/>
      <c r="H301" s="70" t="str">
        <f aca="false">IF(A301="","",IFERROR(INDEX(السندات!$C$5:$C$504,MATCH(A301,السندات!$A$5:$A$504,0)),""))</f>
        <v/>
      </c>
      <c r="I301" s="71" t="str">
        <f aca="false">IF(A301="","",IFERROR(INDEX(السندات!$D$5:$D$504,MATCH(A301,السندات!$A$5:$A$504,0)),""))</f>
        <v/>
      </c>
      <c r="J301" s="72" t="str">
        <f aca="false">IF(A301="","",IF(ISNA(MATCH(A301,السندات!$A$5:$A$504,0)),"رقم سند غير موجود ✘",IF(AND(F301&lt;&gt;"",G301&lt;&gt;""),"اكتب مدين أو دائن فقط ✘",IF(AND(N(F301)=0,N(G301)=0),"بدون مبلغ ⚠",IF(B301&gt;12,"يتجاوز 12 بنداً في الطباعة ⚠","")))))</f>
        <v/>
      </c>
    </row>
    <row r="302" customFormat="false" ht="15" hidden="false" customHeight="false" outlineLevel="0" collapsed="false">
      <c r="A302" s="58"/>
      <c r="B302" s="73" t="str">
        <f aca="false">IF(A302="","",COUNTIF(A$5:A302,A302))</f>
        <v/>
      </c>
      <c r="C302" s="73" t="str">
        <f aca="false">IF(A302="","",A302&amp;"-"&amp;B302)</f>
        <v/>
      </c>
      <c r="D302" s="58"/>
      <c r="E302" s="57"/>
      <c r="F302" s="69"/>
      <c r="G302" s="69"/>
      <c r="H302" s="74" t="str">
        <f aca="false">IF(A302="","",IFERROR(INDEX(السندات!$C$5:$C$504,MATCH(A302,السندات!$A$5:$A$504,0)),""))</f>
        <v/>
      </c>
      <c r="I302" s="75" t="str">
        <f aca="false">IF(A302="","",IFERROR(INDEX(السندات!$D$5:$D$504,MATCH(A302,السندات!$A$5:$A$504,0)),""))</f>
        <v/>
      </c>
      <c r="J302" s="76" t="str">
        <f aca="false">IF(A302="","",IF(ISNA(MATCH(A302,السندات!$A$5:$A$504,0)),"رقم سند غير موجود ✘",IF(AND(F302&lt;&gt;"",G302&lt;&gt;""),"اكتب مدين أو دائن فقط ✘",IF(AND(N(F302)=0,N(G302)=0),"بدون مبلغ ⚠",IF(B302&gt;12,"يتجاوز 12 بنداً في الطباعة ⚠","")))))</f>
        <v/>
      </c>
    </row>
    <row r="303" customFormat="false" ht="15" hidden="false" customHeight="false" outlineLevel="0" collapsed="false">
      <c r="A303" s="58"/>
      <c r="B303" s="68" t="str">
        <f aca="false">IF(A303="","",COUNTIF(A$5:A303,A303))</f>
        <v/>
      </c>
      <c r="C303" s="68" t="str">
        <f aca="false">IF(A303="","",A303&amp;"-"&amp;B303)</f>
        <v/>
      </c>
      <c r="D303" s="58"/>
      <c r="E303" s="57"/>
      <c r="F303" s="69"/>
      <c r="G303" s="69"/>
      <c r="H303" s="70" t="str">
        <f aca="false">IF(A303="","",IFERROR(INDEX(السندات!$C$5:$C$504,MATCH(A303,السندات!$A$5:$A$504,0)),""))</f>
        <v/>
      </c>
      <c r="I303" s="71" t="str">
        <f aca="false">IF(A303="","",IFERROR(INDEX(السندات!$D$5:$D$504,MATCH(A303,السندات!$A$5:$A$504,0)),""))</f>
        <v/>
      </c>
      <c r="J303" s="72" t="str">
        <f aca="false">IF(A303="","",IF(ISNA(MATCH(A303,السندات!$A$5:$A$504,0)),"رقم سند غير موجود ✘",IF(AND(F303&lt;&gt;"",G303&lt;&gt;""),"اكتب مدين أو دائن فقط ✘",IF(AND(N(F303)=0,N(G303)=0),"بدون مبلغ ⚠",IF(B303&gt;12,"يتجاوز 12 بنداً في الطباعة ⚠","")))))</f>
        <v/>
      </c>
    </row>
    <row r="304" customFormat="false" ht="15" hidden="false" customHeight="false" outlineLevel="0" collapsed="false">
      <c r="A304" s="58"/>
      <c r="B304" s="73" t="str">
        <f aca="false">IF(A304="","",COUNTIF(A$5:A304,A304))</f>
        <v/>
      </c>
      <c r="C304" s="73" t="str">
        <f aca="false">IF(A304="","",A304&amp;"-"&amp;B304)</f>
        <v/>
      </c>
      <c r="D304" s="58"/>
      <c r="E304" s="57"/>
      <c r="F304" s="69"/>
      <c r="G304" s="69"/>
      <c r="H304" s="74" t="str">
        <f aca="false">IF(A304="","",IFERROR(INDEX(السندات!$C$5:$C$504,MATCH(A304,السندات!$A$5:$A$504,0)),""))</f>
        <v/>
      </c>
      <c r="I304" s="75" t="str">
        <f aca="false">IF(A304="","",IFERROR(INDEX(السندات!$D$5:$D$504,MATCH(A304,السندات!$A$5:$A$504,0)),""))</f>
        <v/>
      </c>
      <c r="J304" s="76" t="str">
        <f aca="false">IF(A304="","",IF(ISNA(MATCH(A304,السندات!$A$5:$A$504,0)),"رقم سند غير موجود ✘",IF(AND(F304&lt;&gt;"",G304&lt;&gt;""),"اكتب مدين أو دائن فقط ✘",IF(AND(N(F304)=0,N(G304)=0),"بدون مبلغ ⚠",IF(B304&gt;12,"يتجاوز 12 بنداً في الطباعة ⚠","")))))</f>
        <v/>
      </c>
    </row>
    <row r="305" customFormat="false" ht="15" hidden="false" customHeight="false" outlineLevel="0" collapsed="false">
      <c r="A305" s="58"/>
      <c r="B305" s="68" t="str">
        <f aca="false">IF(A305="","",COUNTIF(A$5:A305,A305))</f>
        <v/>
      </c>
      <c r="C305" s="68" t="str">
        <f aca="false">IF(A305="","",A305&amp;"-"&amp;B305)</f>
        <v/>
      </c>
      <c r="D305" s="58"/>
      <c r="E305" s="57"/>
      <c r="F305" s="69"/>
      <c r="G305" s="69"/>
      <c r="H305" s="70" t="str">
        <f aca="false">IF(A305="","",IFERROR(INDEX(السندات!$C$5:$C$504,MATCH(A305,السندات!$A$5:$A$504,0)),""))</f>
        <v/>
      </c>
      <c r="I305" s="71" t="str">
        <f aca="false">IF(A305="","",IFERROR(INDEX(السندات!$D$5:$D$504,MATCH(A305,السندات!$A$5:$A$504,0)),""))</f>
        <v/>
      </c>
      <c r="J305" s="72" t="str">
        <f aca="false">IF(A305="","",IF(ISNA(MATCH(A305,السندات!$A$5:$A$504,0)),"رقم سند غير موجود ✘",IF(AND(F305&lt;&gt;"",G305&lt;&gt;""),"اكتب مدين أو دائن فقط ✘",IF(AND(N(F305)=0,N(G305)=0),"بدون مبلغ ⚠",IF(B305&gt;12,"يتجاوز 12 بنداً في الطباعة ⚠","")))))</f>
        <v/>
      </c>
    </row>
    <row r="306" customFormat="false" ht="15" hidden="false" customHeight="false" outlineLevel="0" collapsed="false">
      <c r="A306" s="58"/>
      <c r="B306" s="73" t="str">
        <f aca="false">IF(A306="","",COUNTIF(A$5:A306,A306))</f>
        <v/>
      </c>
      <c r="C306" s="73" t="str">
        <f aca="false">IF(A306="","",A306&amp;"-"&amp;B306)</f>
        <v/>
      </c>
      <c r="D306" s="58"/>
      <c r="E306" s="57"/>
      <c r="F306" s="69"/>
      <c r="G306" s="69"/>
      <c r="H306" s="74" t="str">
        <f aca="false">IF(A306="","",IFERROR(INDEX(السندات!$C$5:$C$504,MATCH(A306,السندات!$A$5:$A$504,0)),""))</f>
        <v/>
      </c>
      <c r="I306" s="75" t="str">
        <f aca="false">IF(A306="","",IFERROR(INDEX(السندات!$D$5:$D$504,MATCH(A306,السندات!$A$5:$A$504,0)),""))</f>
        <v/>
      </c>
      <c r="J306" s="76" t="str">
        <f aca="false">IF(A306="","",IF(ISNA(MATCH(A306,السندات!$A$5:$A$504,0)),"رقم سند غير موجود ✘",IF(AND(F306&lt;&gt;"",G306&lt;&gt;""),"اكتب مدين أو دائن فقط ✘",IF(AND(N(F306)=0,N(G306)=0),"بدون مبلغ ⚠",IF(B306&gt;12,"يتجاوز 12 بنداً في الطباعة ⚠","")))))</f>
        <v/>
      </c>
    </row>
    <row r="307" customFormat="false" ht="15" hidden="false" customHeight="false" outlineLevel="0" collapsed="false">
      <c r="A307" s="58"/>
      <c r="B307" s="68" t="str">
        <f aca="false">IF(A307="","",COUNTIF(A$5:A307,A307))</f>
        <v/>
      </c>
      <c r="C307" s="68" t="str">
        <f aca="false">IF(A307="","",A307&amp;"-"&amp;B307)</f>
        <v/>
      </c>
      <c r="D307" s="58"/>
      <c r="E307" s="57"/>
      <c r="F307" s="69"/>
      <c r="G307" s="69"/>
      <c r="H307" s="70" t="str">
        <f aca="false">IF(A307="","",IFERROR(INDEX(السندات!$C$5:$C$504,MATCH(A307,السندات!$A$5:$A$504,0)),""))</f>
        <v/>
      </c>
      <c r="I307" s="71" t="str">
        <f aca="false">IF(A307="","",IFERROR(INDEX(السندات!$D$5:$D$504,MATCH(A307,السندات!$A$5:$A$504,0)),""))</f>
        <v/>
      </c>
      <c r="J307" s="72" t="str">
        <f aca="false">IF(A307="","",IF(ISNA(MATCH(A307,السندات!$A$5:$A$504,0)),"رقم سند غير موجود ✘",IF(AND(F307&lt;&gt;"",G307&lt;&gt;""),"اكتب مدين أو دائن فقط ✘",IF(AND(N(F307)=0,N(G307)=0),"بدون مبلغ ⚠",IF(B307&gt;12,"يتجاوز 12 بنداً في الطباعة ⚠","")))))</f>
        <v/>
      </c>
    </row>
    <row r="308" customFormat="false" ht="15" hidden="false" customHeight="false" outlineLevel="0" collapsed="false">
      <c r="A308" s="58"/>
      <c r="B308" s="73" t="str">
        <f aca="false">IF(A308="","",COUNTIF(A$5:A308,A308))</f>
        <v/>
      </c>
      <c r="C308" s="73" t="str">
        <f aca="false">IF(A308="","",A308&amp;"-"&amp;B308)</f>
        <v/>
      </c>
      <c r="D308" s="58"/>
      <c r="E308" s="57"/>
      <c r="F308" s="69"/>
      <c r="G308" s="69"/>
      <c r="H308" s="74" t="str">
        <f aca="false">IF(A308="","",IFERROR(INDEX(السندات!$C$5:$C$504,MATCH(A308,السندات!$A$5:$A$504,0)),""))</f>
        <v/>
      </c>
      <c r="I308" s="75" t="str">
        <f aca="false">IF(A308="","",IFERROR(INDEX(السندات!$D$5:$D$504,MATCH(A308,السندات!$A$5:$A$504,0)),""))</f>
        <v/>
      </c>
      <c r="J308" s="76" t="str">
        <f aca="false">IF(A308="","",IF(ISNA(MATCH(A308,السندات!$A$5:$A$504,0)),"رقم سند غير موجود ✘",IF(AND(F308&lt;&gt;"",G308&lt;&gt;""),"اكتب مدين أو دائن فقط ✘",IF(AND(N(F308)=0,N(G308)=0),"بدون مبلغ ⚠",IF(B308&gt;12,"يتجاوز 12 بنداً في الطباعة ⚠","")))))</f>
        <v/>
      </c>
    </row>
    <row r="309" customFormat="false" ht="15" hidden="false" customHeight="false" outlineLevel="0" collapsed="false">
      <c r="A309" s="58"/>
      <c r="B309" s="68" t="str">
        <f aca="false">IF(A309="","",COUNTIF(A$5:A309,A309))</f>
        <v/>
      </c>
      <c r="C309" s="68" t="str">
        <f aca="false">IF(A309="","",A309&amp;"-"&amp;B309)</f>
        <v/>
      </c>
      <c r="D309" s="58"/>
      <c r="E309" s="57"/>
      <c r="F309" s="69"/>
      <c r="G309" s="69"/>
      <c r="H309" s="70" t="str">
        <f aca="false">IF(A309="","",IFERROR(INDEX(السندات!$C$5:$C$504,MATCH(A309,السندات!$A$5:$A$504,0)),""))</f>
        <v/>
      </c>
      <c r="I309" s="71" t="str">
        <f aca="false">IF(A309="","",IFERROR(INDEX(السندات!$D$5:$D$504,MATCH(A309,السندات!$A$5:$A$504,0)),""))</f>
        <v/>
      </c>
      <c r="J309" s="72" t="str">
        <f aca="false">IF(A309="","",IF(ISNA(MATCH(A309,السندات!$A$5:$A$504,0)),"رقم سند غير موجود ✘",IF(AND(F309&lt;&gt;"",G309&lt;&gt;""),"اكتب مدين أو دائن فقط ✘",IF(AND(N(F309)=0,N(G309)=0),"بدون مبلغ ⚠",IF(B309&gt;12,"يتجاوز 12 بنداً في الطباعة ⚠","")))))</f>
        <v/>
      </c>
    </row>
    <row r="310" customFormat="false" ht="15" hidden="false" customHeight="false" outlineLevel="0" collapsed="false">
      <c r="A310" s="58"/>
      <c r="B310" s="73" t="str">
        <f aca="false">IF(A310="","",COUNTIF(A$5:A310,A310))</f>
        <v/>
      </c>
      <c r="C310" s="73" t="str">
        <f aca="false">IF(A310="","",A310&amp;"-"&amp;B310)</f>
        <v/>
      </c>
      <c r="D310" s="58"/>
      <c r="E310" s="57"/>
      <c r="F310" s="69"/>
      <c r="G310" s="69"/>
      <c r="H310" s="74" t="str">
        <f aca="false">IF(A310="","",IFERROR(INDEX(السندات!$C$5:$C$504,MATCH(A310,السندات!$A$5:$A$504,0)),""))</f>
        <v/>
      </c>
      <c r="I310" s="75" t="str">
        <f aca="false">IF(A310="","",IFERROR(INDEX(السندات!$D$5:$D$504,MATCH(A310,السندات!$A$5:$A$504,0)),""))</f>
        <v/>
      </c>
      <c r="J310" s="76" t="str">
        <f aca="false">IF(A310="","",IF(ISNA(MATCH(A310,السندات!$A$5:$A$504,0)),"رقم سند غير موجود ✘",IF(AND(F310&lt;&gt;"",G310&lt;&gt;""),"اكتب مدين أو دائن فقط ✘",IF(AND(N(F310)=0,N(G310)=0),"بدون مبلغ ⚠",IF(B310&gt;12,"يتجاوز 12 بنداً في الطباعة ⚠","")))))</f>
        <v/>
      </c>
    </row>
    <row r="311" customFormat="false" ht="15" hidden="false" customHeight="false" outlineLevel="0" collapsed="false">
      <c r="A311" s="58"/>
      <c r="B311" s="68" t="str">
        <f aca="false">IF(A311="","",COUNTIF(A$5:A311,A311))</f>
        <v/>
      </c>
      <c r="C311" s="68" t="str">
        <f aca="false">IF(A311="","",A311&amp;"-"&amp;B311)</f>
        <v/>
      </c>
      <c r="D311" s="58"/>
      <c r="E311" s="57"/>
      <c r="F311" s="69"/>
      <c r="G311" s="69"/>
      <c r="H311" s="70" t="str">
        <f aca="false">IF(A311="","",IFERROR(INDEX(السندات!$C$5:$C$504,MATCH(A311,السندات!$A$5:$A$504,0)),""))</f>
        <v/>
      </c>
      <c r="I311" s="71" t="str">
        <f aca="false">IF(A311="","",IFERROR(INDEX(السندات!$D$5:$D$504,MATCH(A311,السندات!$A$5:$A$504,0)),""))</f>
        <v/>
      </c>
      <c r="J311" s="72" t="str">
        <f aca="false">IF(A311="","",IF(ISNA(MATCH(A311,السندات!$A$5:$A$504,0)),"رقم سند غير موجود ✘",IF(AND(F311&lt;&gt;"",G311&lt;&gt;""),"اكتب مدين أو دائن فقط ✘",IF(AND(N(F311)=0,N(G311)=0),"بدون مبلغ ⚠",IF(B311&gt;12,"يتجاوز 12 بنداً في الطباعة ⚠","")))))</f>
        <v/>
      </c>
    </row>
    <row r="312" customFormat="false" ht="15" hidden="false" customHeight="false" outlineLevel="0" collapsed="false">
      <c r="A312" s="58"/>
      <c r="B312" s="73" t="str">
        <f aca="false">IF(A312="","",COUNTIF(A$5:A312,A312))</f>
        <v/>
      </c>
      <c r="C312" s="73" t="str">
        <f aca="false">IF(A312="","",A312&amp;"-"&amp;B312)</f>
        <v/>
      </c>
      <c r="D312" s="58"/>
      <c r="E312" s="57"/>
      <c r="F312" s="69"/>
      <c r="G312" s="69"/>
      <c r="H312" s="74" t="str">
        <f aca="false">IF(A312="","",IFERROR(INDEX(السندات!$C$5:$C$504,MATCH(A312,السندات!$A$5:$A$504,0)),""))</f>
        <v/>
      </c>
      <c r="I312" s="75" t="str">
        <f aca="false">IF(A312="","",IFERROR(INDEX(السندات!$D$5:$D$504,MATCH(A312,السندات!$A$5:$A$504,0)),""))</f>
        <v/>
      </c>
      <c r="J312" s="76" t="str">
        <f aca="false">IF(A312="","",IF(ISNA(MATCH(A312,السندات!$A$5:$A$504,0)),"رقم سند غير موجود ✘",IF(AND(F312&lt;&gt;"",G312&lt;&gt;""),"اكتب مدين أو دائن فقط ✘",IF(AND(N(F312)=0,N(G312)=0),"بدون مبلغ ⚠",IF(B312&gt;12,"يتجاوز 12 بنداً في الطباعة ⚠","")))))</f>
        <v/>
      </c>
    </row>
    <row r="313" customFormat="false" ht="15" hidden="false" customHeight="false" outlineLevel="0" collapsed="false">
      <c r="A313" s="58"/>
      <c r="B313" s="68" t="str">
        <f aca="false">IF(A313="","",COUNTIF(A$5:A313,A313))</f>
        <v/>
      </c>
      <c r="C313" s="68" t="str">
        <f aca="false">IF(A313="","",A313&amp;"-"&amp;B313)</f>
        <v/>
      </c>
      <c r="D313" s="58"/>
      <c r="E313" s="57"/>
      <c r="F313" s="69"/>
      <c r="G313" s="69"/>
      <c r="H313" s="70" t="str">
        <f aca="false">IF(A313="","",IFERROR(INDEX(السندات!$C$5:$C$504,MATCH(A313,السندات!$A$5:$A$504,0)),""))</f>
        <v/>
      </c>
      <c r="I313" s="71" t="str">
        <f aca="false">IF(A313="","",IFERROR(INDEX(السندات!$D$5:$D$504,MATCH(A313,السندات!$A$5:$A$504,0)),""))</f>
        <v/>
      </c>
      <c r="J313" s="72" t="str">
        <f aca="false">IF(A313="","",IF(ISNA(MATCH(A313,السندات!$A$5:$A$504,0)),"رقم سند غير موجود ✘",IF(AND(F313&lt;&gt;"",G313&lt;&gt;""),"اكتب مدين أو دائن فقط ✘",IF(AND(N(F313)=0,N(G313)=0),"بدون مبلغ ⚠",IF(B313&gt;12,"يتجاوز 12 بنداً في الطباعة ⚠","")))))</f>
        <v/>
      </c>
    </row>
    <row r="314" customFormat="false" ht="15" hidden="false" customHeight="false" outlineLevel="0" collapsed="false">
      <c r="A314" s="58"/>
      <c r="B314" s="73" t="str">
        <f aca="false">IF(A314="","",COUNTIF(A$5:A314,A314))</f>
        <v/>
      </c>
      <c r="C314" s="73" t="str">
        <f aca="false">IF(A314="","",A314&amp;"-"&amp;B314)</f>
        <v/>
      </c>
      <c r="D314" s="58"/>
      <c r="E314" s="57"/>
      <c r="F314" s="69"/>
      <c r="G314" s="69"/>
      <c r="H314" s="74" t="str">
        <f aca="false">IF(A314="","",IFERROR(INDEX(السندات!$C$5:$C$504,MATCH(A314,السندات!$A$5:$A$504,0)),""))</f>
        <v/>
      </c>
      <c r="I314" s="75" t="str">
        <f aca="false">IF(A314="","",IFERROR(INDEX(السندات!$D$5:$D$504,MATCH(A314,السندات!$A$5:$A$504,0)),""))</f>
        <v/>
      </c>
      <c r="J314" s="76" t="str">
        <f aca="false">IF(A314="","",IF(ISNA(MATCH(A314,السندات!$A$5:$A$504,0)),"رقم سند غير موجود ✘",IF(AND(F314&lt;&gt;"",G314&lt;&gt;""),"اكتب مدين أو دائن فقط ✘",IF(AND(N(F314)=0,N(G314)=0),"بدون مبلغ ⚠",IF(B314&gt;12,"يتجاوز 12 بنداً في الطباعة ⚠","")))))</f>
        <v/>
      </c>
    </row>
    <row r="315" customFormat="false" ht="15" hidden="false" customHeight="false" outlineLevel="0" collapsed="false">
      <c r="A315" s="58"/>
      <c r="B315" s="68" t="str">
        <f aca="false">IF(A315="","",COUNTIF(A$5:A315,A315))</f>
        <v/>
      </c>
      <c r="C315" s="68" t="str">
        <f aca="false">IF(A315="","",A315&amp;"-"&amp;B315)</f>
        <v/>
      </c>
      <c r="D315" s="58"/>
      <c r="E315" s="57"/>
      <c r="F315" s="69"/>
      <c r="G315" s="69"/>
      <c r="H315" s="70" t="str">
        <f aca="false">IF(A315="","",IFERROR(INDEX(السندات!$C$5:$C$504,MATCH(A315,السندات!$A$5:$A$504,0)),""))</f>
        <v/>
      </c>
      <c r="I315" s="71" t="str">
        <f aca="false">IF(A315="","",IFERROR(INDEX(السندات!$D$5:$D$504,MATCH(A315,السندات!$A$5:$A$504,0)),""))</f>
        <v/>
      </c>
      <c r="J315" s="72" t="str">
        <f aca="false">IF(A315="","",IF(ISNA(MATCH(A315,السندات!$A$5:$A$504,0)),"رقم سند غير موجود ✘",IF(AND(F315&lt;&gt;"",G315&lt;&gt;""),"اكتب مدين أو دائن فقط ✘",IF(AND(N(F315)=0,N(G315)=0),"بدون مبلغ ⚠",IF(B315&gt;12,"يتجاوز 12 بنداً في الطباعة ⚠","")))))</f>
        <v/>
      </c>
    </row>
    <row r="316" customFormat="false" ht="15" hidden="false" customHeight="false" outlineLevel="0" collapsed="false">
      <c r="A316" s="58"/>
      <c r="B316" s="73" t="str">
        <f aca="false">IF(A316="","",COUNTIF(A$5:A316,A316))</f>
        <v/>
      </c>
      <c r="C316" s="73" t="str">
        <f aca="false">IF(A316="","",A316&amp;"-"&amp;B316)</f>
        <v/>
      </c>
      <c r="D316" s="58"/>
      <c r="E316" s="57"/>
      <c r="F316" s="69"/>
      <c r="G316" s="69"/>
      <c r="H316" s="74" t="str">
        <f aca="false">IF(A316="","",IFERROR(INDEX(السندات!$C$5:$C$504,MATCH(A316,السندات!$A$5:$A$504,0)),""))</f>
        <v/>
      </c>
      <c r="I316" s="75" t="str">
        <f aca="false">IF(A316="","",IFERROR(INDEX(السندات!$D$5:$D$504,MATCH(A316,السندات!$A$5:$A$504,0)),""))</f>
        <v/>
      </c>
      <c r="J316" s="76" t="str">
        <f aca="false">IF(A316="","",IF(ISNA(MATCH(A316,السندات!$A$5:$A$504,0)),"رقم سند غير موجود ✘",IF(AND(F316&lt;&gt;"",G316&lt;&gt;""),"اكتب مدين أو دائن فقط ✘",IF(AND(N(F316)=0,N(G316)=0),"بدون مبلغ ⚠",IF(B316&gt;12,"يتجاوز 12 بنداً في الطباعة ⚠","")))))</f>
        <v/>
      </c>
    </row>
    <row r="317" customFormat="false" ht="15" hidden="false" customHeight="false" outlineLevel="0" collapsed="false">
      <c r="A317" s="58"/>
      <c r="B317" s="68" t="str">
        <f aca="false">IF(A317="","",COUNTIF(A$5:A317,A317))</f>
        <v/>
      </c>
      <c r="C317" s="68" t="str">
        <f aca="false">IF(A317="","",A317&amp;"-"&amp;B317)</f>
        <v/>
      </c>
      <c r="D317" s="58"/>
      <c r="E317" s="57"/>
      <c r="F317" s="69"/>
      <c r="G317" s="69"/>
      <c r="H317" s="70" t="str">
        <f aca="false">IF(A317="","",IFERROR(INDEX(السندات!$C$5:$C$504,MATCH(A317,السندات!$A$5:$A$504,0)),""))</f>
        <v/>
      </c>
      <c r="I317" s="71" t="str">
        <f aca="false">IF(A317="","",IFERROR(INDEX(السندات!$D$5:$D$504,MATCH(A317,السندات!$A$5:$A$504,0)),""))</f>
        <v/>
      </c>
      <c r="J317" s="72" t="str">
        <f aca="false">IF(A317="","",IF(ISNA(MATCH(A317,السندات!$A$5:$A$504,0)),"رقم سند غير موجود ✘",IF(AND(F317&lt;&gt;"",G317&lt;&gt;""),"اكتب مدين أو دائن فقط ✘",IF(AND(N(F317)=0,N(G317)=0),"بدون مبلغ ⚠",IF(B317&gt;12,"يتجاوز 12 بنداً في الطباعة ⚠","")))))</f>
        <v/>
      </c>
    </row>
    <row r="318" customFormat="false" ht="15" hidden="false" customHeight="false" outlineLevel="0" collapsed="false">
      <c r="A318" s="58"/>
      <c r="B318" s="73" t="str">
        <f aca="false">IF(A318="","",COUNTIF(A$5:A318,A318))</f>
        <v/>
      </c>
      <c r="C318" s="73" t="str">
        <f aca="false">IF(A318="","",A318&amp;"-"&amp;B318)</f>
        <v/>
      </c>
      <c r="D318" s="58"/>
      <c r="E318" s="57"/>
      <c r="F318" s="69"/>
      <c r="G318" s="69"/>
      <c r="H318" s="74" t="str">
        <f aca="false">IF(A318="","",IFERROR(INDEX(السندات!$C$5:$C$504,MATCH(A318,السندات!$A$5:$A$504,0)),""))</f>
        <v/>
      </c>
      <c r="I318" s="75" t="str">
        <f aca="false">IF(A318="","",IFERROR(INDEX(السندات!$D$5:$D$504,MATCH(A318,السندات!$A$5:$A$504,0)),""))</f>
        <v/>
      </c>
      <c r="J318" s="76" t="str">
        <f aca="false">IF(A318="","",IF(ISNA(MATCH(A318,السندات!$A$5:$A$504,0)),"رقم سند غير موجود ✘",IF(AND(F318&lt;&gt;"",G318&lt;&gt;""),"اكتب مدين أو دائن فقط ✘",IF(AND(N(F318)=0,N(G318)=0),"بدون مبلغ ⚠",IF(B318&gt;12,"يتجاوز 12 بنداً في الطباعة ⚠","")))))</f>
        <v/>
      </c>
    </row>
    <row r="319" customFormat="false" ht="15" hidden="false" customHeight="false" outlineLevel="0" collapsed="false">
      <c r="A319" s="58"/>
      <c r="B319" s="68" t="str">
        <f aca="false">IF(A319="","",COUNTIF(A$5:A319,A319))</f>
        <v/>
      </c>
      <c r="C319" s="68" t="str">
        <f aca="false">IF(A319="","",A319&amp;"-"&amp;B319)</f>
        <v/>
      </c>
      <c r="D319" s="58"/>
      <c r="E319" s="57"/>
      <c r="F319" s="69"/>
      <c r="G319" s="69"/>
      <c r="H319" s="70" t="str">
        <f aca="false">IF(A319="","",IFERROR(INDEX(السندات!$C$5:$C$504,MATCH(A319,السندات!$A$5:$A$504,0)),""))</f>
        <v/>
      </c>
      <c r="I319" s="71" t="str">
        <f aca="false">IF(A319="","",IFERROR(INDEX(السندات!$D$5:$D$504,MATCH(A319,السندات!$A$5:$A$504,0)),""))</f>
        <v/>
      </c>
      <c r="J319" s="72" t="str">
        <f aca="false">IF(A319="","",IF(ISNA(MATCH(A319,السندات!$A$5:$A$504,0)),"رقم سند غير موجود ✘",IF(AND(F319&lt;&gt;"",G319&lt;&gt;""),"اكتب مدين أو دائن فقط ✘",IF(AND(N(F319)=0,N(G319)=0),"بدون مبلغ ⚠",IF(B319&gt;12,"يتجاوز 12 بنداً في الطباعة ⚠","")))))</f>
        <v/>
      </c>
    </row>
    <row r="320" customFormat="false" ht="15" hidden="false" customHeight="false" outlineLevel="0" collapsed="false">
      <c r="A320" s="58"/>
      <c r="B320" s="73" t="str">
        <f aca="false">IF(A320="","",COUNTIF(A$5:A320,A320))</f>
        <v/>
      </c>
      <c r="C320" s="73" t="str">
        <f aca="false">IF(A320="","",A320&amp;"-"&amp;B320)</f>
        <v/>
      </c>
      <c r="D320" s="58"/>
      <c r="E320" s="57"/>
      <c r="F320" s="69"/>
      <c r="G320" s="69"/>
      <c r="H320" s="74" t="str">
        <f aca="false">IF(A320="","",IFERROR(INDEX(السندات!$C$5:$C$504,MATCH(A320,السندات!$A$5:$A$504,0)),""))</f>
        <v/>
      </c>
      <c r="I320" s="75" t="str">
        <f aca="false">IF(A320="","",IFERROR(INDEX(السندات!$D$5:$D$504,MATCH(A320,السندات!$A$5:$A$504,0)),""))</f>
        <v/>
      </c>
      <c r="J320" s="76" t="str">
        <f aca="false">IF(A320="","",IF(ISNA(MATCH(A320,السندات!$A$5:$A$504,0)),"رقم سند غير موجود ✘",IF(AND(F320&lt;&gt;"",G320&lt;&gt;""),"اكتب مدين أو دائن فقط ✘",IF(AND(N(F320)=0,N(G320)=0),"بدون مبلغ ⚠",IF(B320&gt;12,"يتجاوز 12 بنداً في الطباعة ⚠","")))))</f>
        <v/>
      </c>
    </row>
    <row r="321" customFormat="false" ht="15" hidden="false" customHeight="false" outlineLevel="0" collapsed="false">
      <c r="A321" s="58"/>
      <c r="B321" s="68" t="str">
        <f aca="false">IF(A321="","",COUNTIF(A$5:A321,A321))</f>
        <v/>
      </c>
      <c r="C321" s="68" t="str">
        <f aca="false">IF(A321="","",A321&amp;"-"&amp;B321)</f>
        <v/>
      </c>
      <c r="D321" s="58"/>
      <c r="E321" s="57"/>
      <c r="F321" s="69"/>
      <c r="G321" s="69"/>
      <c r="H321" s="70" t="str">
        <f aca="false">IF(A321="","",IFERROR(INDEX(السندات!$C$5:$C$504,MATCH(A321,السندات!$A$5:$A$504,0)),""))</f>
        <v/>
      </c>
      <c r="I321" s="71" t="str">
        <f aca="false">IF(A321="","",IFERROR(INDEX(السندات!$D$5:$D$504,MATCH(A321,السندات!$A$5:$A$504,0)),""))</f>
        <v/>
      </c>
      <c r="J321" s="72" t="str">
        <f aca="false">IF(A321="","",IF(ISNA(MATCH(A321,السندات!$A$5:$A$504,0)),"رقم سند غير موجود ✘",IF(AND(F321&lt;&gt;"",G321&lt;&gt;""),"اكتب مدين أو دائن فقط ✘",IF(AND(N(F321)=0,N(G321)=0),"بدون مبلغ ⚠",IF(B321&gt;12,"يتجاوز 12 بنداً في الطباعة ⚠","")))))</f>
        <v/>
      </c>
    </row>
    <row r="322" customFormat="false" ht="15" hidden="false" customHeight="false" outlineLevel="0" collapsed="false">
      <c r="A322" s="58"/>
      <c r="B322" s="73" t="str">
        <f aca="false">IF(A322="","",COUNTIF(A$5:A322,A322))</f>
        <v/>
      </c>
      <c r="C322" s="73" t="str">
        <f aca="false">IF(A322="","",A322&amp;"-"&amp;B322)</f>
        <v/>
      </c>
      <c r="D322" s="58"/>
      <c r="E322" s="57"/>
      <c r="F322" s="69"/>
      <c r="G322" s="69"/>
      <c r="H322" s="74" t="str">
        <f aca="false">IF(A322="","",IFERROR(INDEX(السندات!$C$5:$C$504,MATCH(A322,السندات!$A$5:$A$504,0)),""))</f>
        <v/>
      </c>
      <c r="I322" s="75" t="str">
        <f aca="false">IF(A322="","",IFERROR(INDEX(السندات!$D$5:$D$504,MATCH(A322,السندات!$A$5:$A$504,0)),""))</f>
        <v/>
      </c>
      <c r="J322" s="76" t="str">
        <f aca="false">IF(A322="","",IF(ISNA(MATCH(A322,السندات!$A$5:$A$504,0)),"رقم سند غير موجود ✘",IF(AND(F322&lt;&gt;"",G322&lt;&gt;""),"اكتب مدين أو دائن فقط ✘",IF(AND(N(F322)=0,N(G322)=0),"بدون مبلغ ⚠",IF(B322&gt;12,"يتجاوز 12 بنداً في الطباعة ⚠","")))))</f>
        <v/>
      </c>
    </row>
    <row r="323" customFormat="false" ht="15" hidden="false" customHeight="false" outlineLevel="0" collapsed="false">
      <c r="A323" s="58"/>
      <c r="B323" s="68" t="str">
        <f aca="false">IF(A323="","",COUNTIF(A$5:A323,A323))</f>
        <v/>
      </c>
      <c r="C323" s="68" t="str">
        <f aca="false">IF(A323="","",A323&amp;"-"&amp;B323)</f>
        <v/>
      </c>
      <c r="D323" s="58"/>
      <c r="E323" s="57"/>
      <c r="F323" s="69"/>
      <c r="G323" s="69"/>
      <c r="H323" s="70" t="str">
        <f aca="false">IF(A323="","",IFERROR(INDEX(السندات!$C$5:$C$504,MATCH(A323,السندات!$A$5:$A$504,0)),""))</f>
        <v/>
      </c>
      <c r="I323" s="71" t="str">
        <f aca="false">IF(A323="","",IFERROR(INDEX(السندات!$D$5:$D$504,MATCH(A323,السندات!$A$5:$A$504,0)),""))</f>
        <v/>
      </c>
      <c r="J323" s="72" t="str">
        <f aca="false">IF(A323="","",IF(ISNA(MATCH(A323,السندات!$A$5:$A$504,0)),"رقم سند غير موجود ✘",IF(AND(F323&lt;&gt;"",G323&lt;&gt;""),"اكتب مدين أو دائن فقط ✘",IF(AND(N(F323)=0,N(G323)=0),"بدون مبلغ ⚠",IF(B323&gt;12,"يتجاوز 12 بنداً في الطباعة ⚠","")))))</f>
        <v/>
      </c>
    </row>
    <row r="324" customFormat="false" ht="15" hidden="false" customHeight="false" outlineLevel="0" collapsed="false">
      <c r="A324" s="58"/>
      <c r="B324" s="73" t="str">
        <f aca="false">IF(A324="","",COUNTIF(A$5:A324,A324))</f>
        <v/>
      </c>
      <c r="C324" s="73" t="str">
        <f aca="false">IF(A324="","",A324&amp;"-"&amp;B324)</f>
        <v/>
      </c>
      <c r="D324" s="58"/>
      <c r="E324" s="57"/>
      <c r="F324" s="69"/>
      <c r="G324" s="69"/>
      <c r="H324" s="74" t="str">
        <f aca="false">IF(A324="","",IFERROR(INDEX(السندات!$C$5:$C$504,MATCH(A324,السندات!$A$5:$A$504,0)),""))</f>
        <v/>
      </c>
      <c r="I324" s="75" t="str">
        <f aca="false">IF(A324="","",IFERROR(INDEX(السندات!$D$5:$D$504,MATCH(A324,السندات!$A$5:$A$504,0)),""))</f>
        <v/>
      </c>
      <c r="J324" s="76" t="str">
        <f aca="false">IF(A324="","",IF(ISNA(MATCH(A324,السندات!$A$5:$A$504,0)),"رقم سند غير موجود ✘",IF(AND(F324&lt;&gt;"",G324&lt;&gt;""),"اكتب مدين أو دائن فقط ✘",IF(AND(N(F324)=0,N(G324)=0),"بدون مبلغ ⚠",IF(B324&gt;12,"يتجاوز 12 بنداً في الطباعة ⚠","")))))</f>
        <v/>
      </c>
    </row>
    <row r="325" customFormat="false" ht="15" hidden="false" customHeight="false" outlineLevel="0" collapsed="false">
      <c r="A325" s="58"/>
      <c r="B325" s="68" t="str">
        <f aca="false">IF(A325="","",COUNTIF(A$5:A325,A325))</f>
        <v/>
      </c>
      <c r="C325" s="68" t="str">
        <f aca="false">IF(A325="","",A325&amp;"-"&amp;B325)</f>
        <v/>
      </c>
      <c r="D325" s="58"/>
      <c r="E325" s="57"/>
      <c r="F325" s="69"/>
      <c r="G325" s="69"/>
      <c r="H325" s="70" t="str">
        <f aca="false">IF(A325="","",IFERROR(INDEX(السندات!$C$5:$C$504,MATCH(A325,السندات!$A$5:$A$504,0)),""))</f>
        <v/>
      </c>
      <c r="I325" s="71" t="str">
        <f aca="false">IF(A325="","",IFERROR(INDEX(السندات!$D$5:$D$504,MATCH(A325,السندات!$A$5:$A$504,0)),""))</f>
        <v/>
      </c>
      <c r="J325" s="72" t="str">
        <f aca="false">IF(A325="","",IF(ISNA(MATCH(A325,السندات!$A$5:$A$504,0)),"رقم سند غير موجود ✘",IF(AND(F325&lt;&gt;"",G325&lt;&gt;""),"اكتب مدين أو دائن فقط ✘",IF(AND(N(F325)=0,N(G325)=0),"بدون مبلغ ⚠",IF(B325&gt;12,"يتجاوز 12 بنداً في الطباعة ⚠","")))))</f>
        <v/>
      </c>
    </row>
    <row r="326" customFormat="false" ht="15" hidden="false" customHeight="false" outlineLevel="0" collapsed="false">
      <c r="A326" s="58"/>
      <c r="B326" s="73" t="str">
        <f aca="false">IF(A326="","",COUNTIF(A$5:A326,A326))</f>
        <v/>
      </c>
      <c r="C326" s="73" t="str">
        <f aca="false">IF(A326="","",A326&amp;"-"&amp;B326)</f>
        <v/>
      </c>
      <c r="D326" s="58"/>
      <c r="E326" s="57"/>
      <c r="F326" s="69"/>
      <c r="G326" s="69"/>
      <c r="H326" s="74" t="str">
        <f aca="false">IF(A326="","",IFERROR(INDEX(السندات!$C$5:$C$504,MATCH(A326,السندات!$A$5:$A$504,0)),""))</f>
        <v/>
      </c>
      <c r="I326" s="75" t="str">
        <f aca="false">IF(A326="","",IFERROR(INDEX(السندات!$D$5:$D$504,MATCH(A326,السندات!$A$5:$A$504,0)),""))</f>
        <v/>
      </c>
      <c r="J326" s="76" t="str">
        <f aca="false">IF(A326="","",IF(ISNA(MATCH(A326,السندات!$A$5:$A$504,0)),"رقم سند غير موجود ✘",IF(AND(F326&lt;&gt;"",G326&lt;&gt;""),"اكتب مدين أو دائن فقط ✘",IF(AND(N(F326)=0,N(G326)=0),"بدون مبلغ ⚠",IF(B326&gt;12,"يتجاوز 12 بنداً في الطباعة ⚠","")))))</f>
        <v/>
      </c>
    </row>
    <row r="327" customFormat="false" ht="15" hidden="false" customHeight="false" outlineLevel="0" collapsed="false">
      <c r="A327" s="58"/>
      <c r="B327" s="68" t="str">
        <f aca="false">IF(A327="","",COUNTIF(A$5:A327,A327))</f>
        <v/>
      </c>
      <c r="C327" s="68" t="str">
        <f aca="false">IF(A327="","",A327&amp;"-"&amp;B327)</f>
        <v/>
      </c>
      <c r="D327" s="58"/>
      <c r="E327" s="57"/>
      <c r="F327" s="69"/>
      <c r="G327" s="69"/>
      <c r="H327" s="70" t="str">
        <f aca="false">IF(A327="","",IFERROR(INDEX(السندات!$C$5:$C$504,MATCH(A327,السندات!$A$5:$A$504,0)),""))</f>
        <v/>
      </c>
      <c r="I327" s="71" t="str">
        <f aca="false">IF(A327="","",IFERROR(INDEX(السندات!$D$5:$D$504,MATCH(A327,السندات!$A$5:$A$504,0)),""))</f>
        <v/>
      </c>
      <c r="J327" s="72" t="str">
        <f aca="false">IF(A327="","",IF(ISNA(MATCH(A327,السندات!$A$5:$A$504,0)),"رقم سند غير موجود ✘",IF(AND(F327&lt;&gt;"",G327&lt;&gt;""),"اكتب مدين أو دائن فقط ✘",IF(AND(N(F327)=0,N(G327)=0),"بدون مبلغ ⚠",IF(B327&gt;12,"يتجاوز 12 بنداً في الطباعة ⚠","")))))</f>
        <v/>
      </c>
    </row>
    <row r="328" customFormat="false" ht="15" hidden="false" customHeight="false" outlineLevel="0" collapsed="false">
      <c r="A328" s="58"/>
      <c r="B328" s="73" t="str">
        <f aca="false">IF(A328="","",COUNTIF(A$5:A328,A328))</f>
        <v/>
      </c>
      <c r="C328" s="73" t="str">
        <f aca="false">IF(A328="","",A328&amp;"-"&amp;B328)</f>
        <v/>
      </c>
      <c r="D328" s="58"/>
      <c r="E328" s="57"/>
      <c r="F328" s="69"/>
      <c r="G328" s="69"/>
      <c r="H328" s="74" t="str">
        <f aca="false">IF(A328="","",IFERROR(INDEX(السندات!$C$5:$C$504,MATCH(A328,السندات!$A$5:$A$504,0)),""))</f>
        <v/>
      </c>
      <c r="I328" s="75" t="str">
        <f aca="false">IF(A328="","",IFERROR(INDEX(السندات!$D$5:$D$504,MATCH(A328,السندات!$A$5:$A$504,0)),""))</f>
        <v/>
      </c>
      <c r="J328" s="76" t="str">
        <f aca="false">IF(A328="","",IF(ISNA(MATCH(A328,السندات!$A$5:$A$504,0)),"رقم سند غير موجود ✘",IF(AND(F328&lt;&gt;"",G328&lt;&gt;""),"اكتب مدين أو دائن فقط ✘",IF(AND(N(F328)=0,N(G328)=0),"بدون مبلغ ⚠",IF(B328&gt;12,"يتجاوز 12 بنداً في الطباعة ⚠","")))))</f>
        <v/>
      </c>
    </row>
    <row r="329" customFormat="false" ht="15" hidden="false" customHeight="false" outlineLevel="0" collapsed="false">
      <c r="A329" s="58"/>
      <c r="B329" s="68" t="str">
        <f aca="false">IF(A329="","",COUNTIF(A$5:A329,A329))</f>
        <v/>
      </c>
      <c r="C329" s="68" t="str">
        <f aca="false">IF(A329="","",A329&amp;"-"&amp;B329)</f>
        <v/>
      </c>
      <c r="D329" s="58"/>
      <c r="E329" s="57"/>
      <c r="F329" s="69"/>
      <c r="G329" s="69"/>
      <c r="H329" s="70" t="str">
        <f aca="false">IF(A329="","",IFERROR(INDEX(السندات!$C$5:$C$504,MATCH(A329,السندات!$A$5:$A$504,0)),""))</f>
        <v/>
      </c>
      <c r="I329" s="71" t="str">
        <f aca="false">IF(A329="","",IFERROR(INDEX(السندات!$D$5:$D$504,MATCH(A329,السندات!$A$5:$A$504,0)),""))</f>
        <v/>
      </c>
      <c r="J329" s="72" t="str">
        <f aca="false">IF(A329="","",IF(ISNA(MATCH(A329,السندات!$A$5:$A$504,0)),"رقم سند غير موجود ✘",IF(AND(F329&lt;&gt;"",G329&lt;&gt;""),"اكتب مدين أو دائن فقط ✘",IF(AND(N(F329)=0,N(G329)=0),"بدون مبلغ ⚠",IF(B329&gt;12,"يتجاوز 12 بنداً في الطباعة ⚠","")))))</f>
        <v/>
      </c>
    </row>
    <row r="330" customFormat="false" ht="15" hidden="false" customHeight="false" outlineLevel="0" collapsed="false">
      <c r="A330" s="58"/>
      <c r="B330" s="73" t="str">
        <f aca="false">IF(A330="","",COUNTIF(A$5:A330,A330))</f>
        <v/>
      </c>
      <c r="C330" s="73" t="str">
        <f aca="false">IF(A330="","",A330&amp;"-"&amp;B330)</f>
        <v/>
      </c>
      <c r="D330" s="58"/>
      <c r="E330" s="57"/>
      <c r="F330" s="69"/>
      <c r="G330" s="69"/>
      <c r="H330" s="74" t="str">
        <f aca="false">IF(A330="","",IFERROR(INDEX(السندات!$C$5:$C$504,MATCH(A330,السندات!$A$5:$A$504,0)),""))</f>
        <v/>
      </c>
      <c r="I330" s="75" t="str">
        <f aca="false">IF(A330="","",IFERROR(INDEX(السندات!$D$5:$D$504,MATCH(A330,السندات!$A$5:$A$504,0)),""))</f>
        <v/>
      </c>
      <c r="J330" s="76" t="str">
        <f aca="false">IF(A330="","",IF(ISNA(MATCH(A330,السندات!$A$5:$A$504,0)),"رقم سند غير موجود ✘",IF(AND(F330&lt;&gt;"",G330&lt;&gt;""),"اكتب مدين أو دائن فقط ✘",IF(AND(N(F330)=0,N(G330)=0),"بدون مبلغ ⚠",IF(B330&gt;12,"يتجاوز 12 بنداً في الطباعة ⚠","")))))</f>
        <v/>
      </c>
    </row>
    <row r="331" customFormat="false" ht="15" hidden="false" customHeight="false" outlineLevel="0" collapsed="false">
      <c r="A331" s="58"/>
      <c r="B331" s="68" t="str">
        <f aca="false">IF(A331="","",COUNTIF(A$5:A331,A331))</f>
        <v/>
      </c>
      <c r="C331" s="68" t="str">
        <f aca="false">IF(A331="","",A331&amp;"-"&amp;B331)</f>
        <v/>
      </c>
      <c r="D331" s="58"/>
      <c r="E331" s="57"/>
      <c r="F331" s="69"/>
      <c r="G331" s="69"/>
      <c r="H331" s="70" t="str">
        <f aca="false">IF(A331="","",IFERROR(INDEX(السندات!$C$5:$C$504,MATCH(A331,السندات!$A$5:$A$504,0)),""))</f>
        <v/>
      </c>
      <c r="I331" s="71" t="str">
        <f aca="false">IF(A331="","",IFERROR(INDEX(السندات!$D$5:$D$504,MATCH(A331,السندات!$A$5:$A$504,0)),""))</f>
        <v/>
      </c>
      <c r="J331" s="72" t="str">
        <f aca="false">IF(A331="","",IF(ISNA(MATCH(A331,السندات!$A$5:$A$504,0)),"رقم سند غير موجود ✘",IF(AND(F331&lt;&gt;"",G331&lt;&gt;""),"اكتب مدين أو دائن فقط ✘",IF(AND(N(F331)=0,N(G331)=0),"بدون مبلغ ⚠",IF(B331&gt;12,"يتجاوز 12 بنداً في الطباعة ⚠","")))))</f>
        <v/>
      </c>
    </row>
    <row r="332" customFormat="false" ht="15" hidden="false" customHeight="false" outlineLevel="0" collapsed="false">
      <c r="A332" s="58"/>
      <c r="B332" s="73" t="str">
        <f aca="false">IF(A332="","",COUNTIF(A$5:A332,A332))</f>
        <v/>
      </c>
      <c r="C332" s="73" t="str">
        <f aca="false">IF(A332="","",A332&amp;"-"&amp;B332)</f>
        <v/>
      </c>
      <c r="D332" s="58"/>
      <c r="E332" s="57"/>
      <c r="F332" s="69"/>
      <c r="G332" s="69"/>
      <c r="H332" s="74" t="str">
        <f aca="false">IF(A332="","",IFERROR(INDEX(السندات!$C$5:$C$504,MATCH(A332,السندات!$A$5:$A$504,0)),""))</f>
        <v/>
      </c>
      <c r="I332" s="75" t="str">
        <f aca="false">IF(A332="","",IFERROR(INDEX(السندات!$D$5:$D$504,MATCH(A332,السندات!$A$5:$A$504,0)),""))</f>
        <v/>
      </c>
      <c r="J332" s="76" t="str">
        <f aca="false">IF(A332="","",IF(ISNA(MATCH(A332,السندات!$A$5:$A$504,0)),"رقم سند غير موجود ✘",IF(AND(F332&lt;&gt;"",G332&lt;&gt;""),"اكتب مدين أو دائن فقط ✘",IF(AND(N(F332)=0,N(G332)=0),"بدون مبلغ ⚠",IF(B332&gt;12,"يتجاوز 12 بنداً في الطباعة ⚠","")))))</f>
        <v/>
      </c>
    </row>
    <row r="333" customFormat="false" ht="15" hidden="false" customHeight="false" outlineLevel="0" collapsed="false">
      <c r="A333" s="58"/>
      <c r="B333" s="68" t="str">
        <f aca="false">IF(A333="","",COUNTIF(A$5:A333,A333))</f>
        <v/>
      </c>
      <c r="C333" s="68" t="str">
        <f aca="false">IF(A333="","",A333&amp;"-"&amp;B333)</f>
        <v/>
      </c>
      <c r="D333" s="58"/>
      <c r="E333" s="57"/>
      <c r="F333" s="69"/>
      <c r="G333" s="69"/>
      <c r="H333" s="70" t="str">
        <f aca="false">IF(A333="","",IFERROR(INDEX(السندات!$C$5:$C$504,MATCH(A333,السندات!$A$5:$A$504,0)),""))</f>
        <v/>
      </c>
      <c r="I333" s="71" t="str">
        <f aca="false">IF(A333="","",IFERROR(INDEX(السندات!$D$5:$D$504,MATCH(A333,السندات!$A$5:$A$504,0)),""))</f>
        <v/>
      </c>
      <c r="J333" s="72" t="str">
        <f aca="false">IF(A333="","",IF(ISNA(MATCH(A333,السندات!$A$5:$A$504,0)),"رقم سند غير موجود ✘",IF(AND(F333&lt;&gt;"",G333&lt;&gt;""),"اكتب مدين أو دائن فقط ✘",IF(AND(N(F333)=0,N(G333)=0),"بدون مبلغ ⚠",IF(B333&gt;12,"يتجاوز 12 بنداً في الطباعة ⚠","")))))</f>
        <v/>
      </c>
    </row>
    <row r="334" customFormat="false" ht="15" hidden="false" customHeight="false" outlineLevel="0" collapsed="false">
      <c r="A334" s="58"/>
      <c r="B334" s="73" t="str">
        <f aca="false">IF(A334="","",COUNTIF(A$5:A334,A334))</f>
        <v/>
      </c>
      <c r="C334" s="73" t="str">
        <f aca="false">IF(A334="","",A334&amp;"-"&amp;B334)</f>
        <v/>
      </c>
      <c r="D334" s="58"/>
      <c r="E334" s="57"/>
      <c r="F334" s="69"/>
      <c r="G334" s="69"/>
      <c r="H334" s="74" t="str">
        <f aca="false">IF(A334="","",IFERROR(INDEX(السندات!$C$5:$C$504,MATCH(A334,السندات!$A$5:$A$504,0)),""))</f>
        <v/>
      </c>
      <c r="I334" s="75" t="str">
        <f aca="false">IF(A334="","",IFERROR(INDEX(السندات!$D$5:$D$504,MATCH(A334,السندات!$A$5:$A$504,0)),""))</f>
        <v/>
      </c>
      <c r="J334" s="76" t="str">
        <f aca="false">IF(A334="","",IF(ISNA(MATCH(A334,السندات!$A$5:$A$504,0)),"رقم سند غير موجود ✘",IF(AND(F334&lt;&gt;"",G334&lt;&gt;""),"اكتب مدين أو دائن فقط ✘",IF(AND(N(F334)=0,N(G334)=0),"بدون مبلغ ⚠",IF(B334&gt;12,"يتجاوز 12 بنداً في الطباعة ⚠","")))))</f>
        <v/>
      </c>
    </row>
    <row r="335" customFormat="false" ht="15" hidden="false" customHeight="false" outlineLevel="0" collapsed="false">
      <c r="A335" s="58"/>
      <c r="B335" s="68" t="str">
        <f aca="false">IF(A335="","",COUNTIF(A$5:A335,A335))</f>
        <v/>
      </c>
      <c r="C335" s="68" t="str">
        <f aca="false">IF(A335="","",A335&amp;"-"&amp;B335)</f>
        <v/>
      </c>
      <c r="D335" s="58"/>
      <c r="E335" s="57"/>
      <c r="F335" s="69"/>
      <c r="G335" s="69"/>
      <c r="H335" s="70" t="str">
        <f aca="false">IF(A335="","",IFERROR(INDEX(السندات!$C$5:$C$504,MATCH(A335,السندات!$A$5:$A$504,0)),""))</f>
        <v/>
      </c>
      <c r="I335" s="71" t="str">
        <f aca="false">IF(A335="","",IFERROR(INDEX(السندات!$D$5:$D$504,MATCH(A335,السندات!$A$5:$A$504,0)),""))</f>
        <v/>
      </c>
      <c r="J335" s="72" t="str">
        <f aca="false">IF(A335="","",IF(ISNA(MATCH(A335,السندات!$A$5:$A$504,0)),"رقم سند غير موجود ✘",IF(AND(F335&lt;&gt;"",G335&lt;&gt;""),"اكتب مدين أو دائن فقط ✘",IF(AND(N(F335)=0,N(G335)=0),"بدون مبلغ ⚠",IF(B335&gt;12,"يتجاوز 12 بنداً في الطباعة ⚠","")))))</f>
        <v/>
      </c>
    </row>
    <row r="336" customFormat="false" ht="15" hidden="false" customHeight="false" outlineLevel="0" collapsed="false">
      <c r="A336" s="58"/>
      <c r="B336" s="73" t="str">
        <f aca="false">IF(A336="","",COUNTIF(A$5:A336,A336))</f>
        <v/>
      </c>
      <c r="C336" s="73" t="str">
        <f aca="false">IF(A336="","",A336&amp;"-"&amp;B336)</f>
        <v/>
      </c>
      <c r="D336" s="58"/>
      <c r="E336" s="57"/>
      <c r="F336" s="69"/>
      <c r="G336" s="69"/>
      <c r="H336" s="74" t="str">
        <f aca="false">IF(A336="","",IFERROR(INDEX(السندات!$C$5:$C$504,MATCH(A336,السندات!$A$5:$A$504,0)),""))</f>
        <v/>
      </c>
      <c r="I336" s="75" t="str">
        <f aca="false">IF(A336="","",IFERROR(INDEX(السندات!$D$5:$D$504,MATCH(A336,السندات!$A$5:$A$504,0)),""))</f>
        <v/>
      </c>
      <c r="J336" s="76" t="str">
        <f aca="false">IF(A336="","",IF(ISNA(MATCH(A336,السندات!$A$5:$A$504,0)),"رقم سند غير موجود ✘",IF(AND(F336&lt;&gt;"",G336&lt;&gt;""),"اكتب مدين أو دائن فقط ✘",IF(AND(N(F336)=0,N(G336)=0),"بدون مبلغ ⚠",IF(B336&gt;12,"يتجاوز 12 بنداً في الطباعة ⚠","")))))</f>
        <v/>
      </c>
    </row>
    <row r="337" customFormat="false" ht="15" hidden="false" customHeight="false" outlineLevel="0" collapsed="false">
      <c r="A337" s="58"/>
      <c r="B337" s="68" t="str">
        <f aca="false">IF(A337="","",COUNTIF(A$5:A337,A337))</f>
        <v/>
      </c>
      <c r="C337" s="68" t="str">
        <f aca="false">IF(A337="","",A337&amp;"-"&amp;B337)</f>
        <v/>
      </c>
      <c r="D337" s="58"/>
      <c r="E337" s="57"/>
      <c r="F337" s="69"/>
      <c r="G337" s="69"/>
      <c r="H337" s="70" t="str">
        <f aca="false">IF(A337="","",IFERROR(INDEX(السندات!$C$5:$C$504,MATCH(A337,السندات!$A$5:$A$504,0)),""))</f>
        <v/>
      </c>
      <c r="I337" s="71" t="str">
        <f aca="false">IF(A337="","",IFERROR(INDEX(السندات!$D$5:$D$504,MATCH(A337,السندات!$A$5:$A$504,0)),""))</f>
        <v/>
      </c>
      <c r="J337" s="72" t="str">
        <f aca="false">IF(A337="","",IF(ISNA(MATCH(A337,السندات!$A$5:$A$504,0)),"رقم سند غير موجود ✘",IF(AND(F337&lt;&gt;"",G337&lt;&gt;""),"اكتب مدين أو دائن فقط ✘",IF(AND(N(F337)=0,N(G337)=0),"بدون مبلغ ⚠",IF(B337&gt;12,"يتجاوز 12 بنداً في الطباعة ⚠","")))))</f>
        <v/>
      </c>
    </row>
    <row r="338" customFormat="false" ht="15" hidden="false" customHeight="false" outlineLevel="0" collapsed="false">
      <c r="A338" s="58"/>
      <c r="B338" s="73" t="str">
        <f aca="false">IF(A338="","",COUNTIF(A$5:A338,A338))</f>
        <v/>
      </c>
      <c r="C338" s="73" t="str">
        <f aca="false">IF(A338="","",A338&amp;"-"&amp;B338)</f>
        <v/>
      </c>
      <c r="D338" s="58"/>
      <c r="E338" s="57"/>
      <c r="F338" s="69"/>
      <c r="G338" s="69"/>
      <c r="H338" s="74" t="str">
        <f aca="false">IF(A338="","",IFERROR(INDEX(السندات!$C$5:$C$504,MATCH(A338,السندات!$A$5:$A$504,0)),""))</f>
        <v/>
      </c>
      <c r="I338" s="75" t="str">
        <f aca="false">IF(A338="","",IFERROR(INDEX(السندات!$D$5:$D$504,MATCH(A338,السندات!$A$5:$A$504,0)),""))</f>
        <v/>
      </c>
      <c r="J338" s="76" t="str">
        <f aca="false">IF(A338="","",IF(ISNA(MATCH(A338,السندات!$A$5:$A$504,0)),"رقم سند غير موجود ✘",IF(AND(F338&lt;&gt;"",G338&lt;&gt;""),"اكتب مدين أو دائن فقط ✘",IF(AND(N(F338)=0,N(G338)=0),"بدون مبلغ ⚠",IF(B338&gt;12,"يتجاوز 12 بنداً في الطباعة ⚠","")))))</f>
        <v/>
      </c>
    </row>
    <row r="339" customFormat="false" ht="15" hidden="false" customHeight="false" outlineLevel="0" collapsed="false">
      <c r="A339" s="58"/>
      <c r="B339" s="68" t="str">
        <f aca="false">IF(A339="","",COUNTIF(A$5:A339,A339))</f>
        <v/>
      </c>
      <c r="C339" s="68" t="str">
        <f aca="false">IF(A339="","",A339&amp;"-"&amp;B339)</f>
        <v/>
      </c>
      <c r="D339" s="58"/>
      <c r="E339" s="57"/>
      <c r="F339" s="69"/>
      <c r="G339" s="69"/>
      <c r="H339" s="70" t="str">
        <f aca="false">IF(A339="","",IFERROR(INDEX(السندات!$C$5:$C$504,MATCH(A339,السندات!$A$5:$A$504,0)),""))</f>
        <v/>
      </c>
      <c r="I339" s="71" t="str">
        <f aca="false">IF(A339="","",IFERROR(INDEX(السندات!$D$5:$D$504,MATCH(A339,السندات!$A$5:$A$504,0)),""))</f>
        <v/>
      </c>
      <c r="J339" s="72" t="str">
        <f aca="false">IF(A339="","",IF(ISNA(MATCH(A339,السندات!$A$5:$A$504,0)),"رقم سند غير موجود ✘",IF(AND(F339&lt;&gt;"",G339&lt;&gt;""),"اكتب مدين أو دائن فقط ✘",IF(AND(N(F339)=0,N(G339)=0),"بدون مبلغ ⚠",IF(B339&gt;12,"يتجاوز 12 بنداً في الطباعة ⚠","")))))</f>
        <v/>
      </c>
    </row>
    <row r="340" customFormat="false" ht="15" hidden="false" customHeight="false" outlineLevel="0" collapsed="false">
      <c r="A340" s="58"/>
      <c r="B340" s="73" t="str">
        <f aca="false">IF(A340="","",COUNTIF(A$5:A340,A340))</f>
        <v/>
      </c>
      <c r="C340" s="73" t="str">
        <f aca="false">IF(A340="","",A340&amp;"-"&amp;B340)</f>
        <v/>
      </c>
      <c r="D340" s="58"/>
      <c r="E340" s="57"/>
      <c r="F340" s="69"/>
      <c r="G340" s="69"/>
      <c r="H340" s="74" t="str">
        <f aca="false">IF(A340="","",IFERROR(INDEX(السندات!$C$5:$C$504,MATCH(A340,السندات!$A$5:$A$504,0)),""))</f>
        <v/>
      </c>
      <c r="I340" s="75" t="str">
        <f aca="false">IF(A340="","",IFERROR(INDEX(السندات!$D$5:$D$504,MATCH(A340,السندات!$A$5:$A$504,0)),""))</f>
        <v/>
      </c>
      <c r="J340" s="76" t="str">
        <f aca="false">IF(A340="","",IF(ISNA(MATCH(A340,السندات!$A$5:$A$504,0)),"رقم سند غير موجود ✘",IF(AND(F340&lt;&gt;"",G340&lt;&gt;""),"اكتب مدين أو دائن فقط ✘",IF(AND(N(F340)=0,N(G340)=0),"بدون مبلغ ⚠",IF(B340&gt;12,"يتجاوز 12 بنداً في الطباعة ⚠","")))))</f>
        <v/>
      </c>
    </row>
    <row r="341" customFormat="false" ht="15" hidden="false" customHeight="false" outlineLevel="0" collapsed="false">
      <c r="A341" s="58"/>
      <c r="B341" s="68" t="str">
        <f aca="false">IF(A341="","",COUNTIF(A$5:A341,A341))</f>
        <v/>
      </c>
      <c r="C341" s="68" t="str">
        <f aca="false">IF(A341="","",A341&amp;"-"&amp;B341)</f>
        <v/>
      </c>
      <c r="D341" s="58"/>
      <c r="E341" s="57"/>
      <c r="F341" s="69"/>
      <c r="G341" s="69"/>
      <c r="H341" s="70" t="str">
        <f aca="false">IF(A341="","",IFERROR(INDEX(السندات!$C$5:$C$504,MATCH(A341,السندات!$A$5:$A$504,0)),""))</f>
        <v/>
      </c>
      <c r="I341" s="71" t="str">
        <f aca="false">IF(A341="","",IFERROR(INDEX(السندات!$D$5:$D$504,MATCH(A341,السندات!$A$5:$A$504,0)),""))</f>
        <v/>
      </c>
      <c r="J341" s="72" t="str">
        <f aca="false">IF(A341="","",IF(ISNA(MATCH(A341,السندات!$A$5:$A$504,0)),"رقم سند غير موجود ✘",IF(AND(F341&lt;&gt;"",G341&lt;&gt;""),"اكتب مدين أو دائن فقط ✘",IF(AND(N(F341)=0,N(G341)=0),"بدون مبلغ ⚠",IF(B341&gt;12,"يتجاوز 12 بنداً في الطباعة ⚠","")))))</f>
        <v/>
      </c>
    </row>
    <row r="342" customFormat="false" ht="15" hidden="false" customHeight="false" outlineLevel="0" collapsed="false">
      <c r="A342" s="58"/>
      <c r="B342" s="73" t="str">
        <f aca="false">IF(A342="","",COUNTIF(A$5:A342,A342))</f>
        <v/>
      </c>
      <c r="C342" s="73" t="str">
        <f aca="false">IF(A342="","",A342&amp;"-"&amp;B342)</f>
        <v/>
      </c>
      <c r="D342" s="58"/>
      <c r="E342" s="57"/>
      <c r="F342" s="69"/>
      <c r="G342" s="69"/>
      <c r="H342" s="74" t="str">
        <f aca="false">IF(A342="","",IFERROR(INDEX(السندات!$C$5:$C$504,MATCH(A342,السندات!$A$5:$A$504,0)),""))</f>
        <v/>
      </c>
      <c r="I342" s="75" t="str">
        <f aca="false">IF(A342="","",IFERROR(INDEX(السندات!$D$5:$D$504,MATCH(A342,السندات!$A$5:$A$504,0)),""))</f>
        <v/>
      </c>
      <c r="J342" s="76" t="str">
        <f aca="false">IF(A342="","",IF(ISNA(MATCH(A342,السندات!$A$5:$A$504,0)),"رقم سند غير موجود ✘",IF(AND(F342&lt;&gt;"",G342&lt;&gt;""),"اكتب مدين أو دائن فقط ✘",IF(AND(N(F342)=0,N(G342)=0),"بدون مبلغ ⚠",IF(B342&gt;12,"يتجاوز 12 بنداً في الطباعة ⚠","")))))</f>
        <v/>
      </c>
    </row>
    <row r="343" customFormat="false" ht="15" hidden="false" customHeight="false" outlineLevel="0" collapsed="false">
      <c r="A343" s="58"/>
      <c r="B343" s="68" t="str">
        <f aca="false">IF(A343="","",COUNTIF(A$5:A343,A343))</f>
        <v/>
      </c>
      <c r="C343" s="68" t="str">
        <f aca="false">IF(A343="","",A343&amp;"-"&amp;B343)</f>
        <v/>
      </c>
      <c r="D343" s="58"/>
      <c r="E343" s="57"/>
      <c r="F343" s="69"/>
      <c r="G343" s="69"/>
      <c r="H343" s="70" t="str">
        <f aca="false">IF(A343="","",IFERROR(INDEX(السندات!$C$5:$C$504,MATCH(A343,السندات!$A$5:$A$504,0)),""))</f>
        <v/>
      </c>
      <c r="I343" s="71" t="str">
        <f aca="false">IF(A343="","",IFERROR(INDEX(السندات!$D$5:$D$504,MATCH(A343,السندات!$A$5:$A$504,0)),""))</f>
        <v/>
      </c>
      <c r="J343" s="72" t="str">
        <f aca="false">IF(A343="","",IF(ISNA(MATCH(A343,السندات!$A$5:$A$504,0)),"رقم سند غير موجود ✘",IF(AND(F343&lt;&gt;"",G343&lt;&gt;""),"اكتب مدين أو دائن فقط ✘",IF(AND(N(F343)=0,N(G343)=0),"بدون مبلغ ⚠",IF(B343&gt;12,"يتجاوز 12 بنداً في الطباعة ⚠","")))))</f>
        <v/>
      </c>
    </row>
    <row r="344" customFormat="false" ht="15" hidden="false" customHeight="false" outlineLevel="0" collapsed="false">
      <c r="A344" s="58"/>
      <c r="B344" s="73" t="str">
        <f aca="false">IF(A344="","",COUNTIF(A$5:A344,A344))</f>
        <v/>
      </c>
      <c r="C344" s="73" t="str">
        <f aca="false">IF(A344="","",A344&amp;"-"&amp;B344)</f>
        <v/>
      </c>
      <c r="D344" s="58"/>
      <c r="E344" s="57"/>
      <c r="F344" s="69"/>
      <c r="G344" s="69"/>
      <c r="H344" s="74" t="str">
        <f aca="false">IF(A344="","",IFERROR(INDEX(السندات!$C$5:$C$504,MATCH(A344,السندات!$A$5:$A$504,0)),""))</f>
        <v/>
      </c>
      <c r="I344" s="75" t="str">
        <f aca="false">IF(A344="","",IFERROR(INDEX(السندات!$D$5:$D$504,MATCH(A344,السندات!$A$5:$A$504,0)),""))</f>
        <v/>
      </c>
      <c r="J344" s="76" t="str">
        <f aca="false">IF(A344="","",IF(ISNA(MATCH(A344,السندات!$A$5:$A$504,0)),"رقم سند غير موجود ✘",IF(AND(F344&lt;&gt;"",G344&lt;&gt;""),"اكتب مدين أو دائن فقط ✘",IF(AND(N(F344)=0,N(G344)=0),"بدون مبلغ ⚠",IF(B344&gt;12,"يتجاوز 12 بنداً في الطباعة ⚠","")))))</f>
        <v/>
      </c>
    </row>
    <row r="345" customFormat="false" ht="15" hidden="false" customHeight="false" outlineLevel="0" collapsed="false">
      <c r="A345" s="58"/>
      <c r="B345" s="68" t="str">
        <f aca="false">IF(A345="","",COUNTIF(A$5:A345,A345))</f>
        <v/>
      </c>
      <c r="C345" s="68" t="str">
        <f aca="false">IF(A345="","",A345&amp;"-"&amp;B345)</f>
        <v/>
      </c>
      <c r="D345" s="58"/>
      <c r="E345" s="57"/>
      <c r="F345" s="69"/>
      <c r="G345" s="69"/>
      <c r="H345" s="70" t="str">
        <f aca="false">IF(A345="","",IFERROR(INDEX(السندات!$C$5:$C$504,MATCH(A345,السندات!$A$5:$A$504,0)),""))</f>
        <v/>
      </c>
      <c r="I345" s="71" t="str">
        <f aca="false">IF(A345="","",IFERROR(INDEX(السندات!$D$5:$D$504,MATCH(A345,السندات!$A$5:$A$504,0)),""))</f>
        <v/>
      </c>
      <c r="J345" s="72" t="str">
        <f aca="false">IF(A345="","",IF(ISNA(MATCH(A345,السندات!$A$5:$A$504,0)),"رقم سند غير موجود ✘",IF(AND(F345&lt;&gt;"",G345&lt;&gt;""),"اكتب مدين أو دائن فقط ✘",IF(AND(N(F345)=0,N(G345)=0),"بدون مبلغ ⚠",IF(B345&gt;12,"يتجاوز 12 بنداً في الطباعة ⚠","")))))</f>
        <v/>
      </c>
    </row>
    <row r="346" customFormat="false" ht="15" hidden="false" customHeight="false" outlineLevel="0" collapsed="false">
      <c r="A346" s="58"/>
      <c r="B346" s="73" t="str">
        <f aca="false">IF(A346="","",COUNTIF(A$5:A346,A346))</f>
        <v/>
      </c>
      <c r="C346" s="73" t="str">
        <f aca="false">IF(A346="","",A346&amp;"-"&amp;B346)</f>
        <v/>
      </c>
      <c r="D346" s="58"/>
      <c r="E346" s="57"/>
      <c r="F346" s="69"/>
      <c r="G346" s="69"/>
      <c r="H346" s="74" t="str">
        <f aca="false">IF(A346="","",IFERROR(INDEX(السندات!$C$5:$C$504,MATCH(A346,السندات!$A$5:$A$504,0)),""))</f>
        <v/>
      </c>
      <c r="I346" s="75" t="str">
        <f aca="false">IF(A346="","",IFERROR(INDEX(السندات!$D$5:$D$504,MATCH(A346,السندات!$A$5:$A$504,0)),""))</f>
        <v/>
      </c>
      <c r="J346" s="76" t="str">
        <f aca="false">IF(A346="","",IF(ISNA(MATCH(A346,السندات!$A$5:$A$504,0)),"رقم سند غير موجود ✘",IF(AND(F346&lt;&gt;"",G346&lt;&gt;""),"اكتب مدين أو دائن فقط ✘",IF(AND(N(F346)=0,N(G346)=0),"بدون مبلغ ⚠",IF(B346&gt;12,"يتجاوز 12 بنداً في الطباعة ⚠","")))))</f>
        <v/>
      </c>
    </row>
    <row r="347" customFormat="false" ht="15" hidden="false" customHeight="false" outlineLevel="0" collapsed="false">
      <c r="A347" s="58"/>
      <c r="B347" s="68" t="str">
        <f aca="false">IF(A347="","",COUNTIF(A$5:A347,A347))</f>
        <v/>
      </c>
      <c r="C347" s="68" t="str">
        <f aca="false">IF(A347="","",A347&amp;"-"&amp;B347)</f>
        <v/>
      </c>
      <c r="D347" s="58"/>
      <c r="E347" s="57"/>
      <c r="F347" s="69"/>
      <c r="G347" s="69"/>
      <c r="H347" s="70" t="str">
        <f aca="false">IF(A347="","",IFERROR(INDEX(السندات!$C$5:$C$504,MATCH(A347,السندات!$A$5:$A$504,0)),""))</f>
        <v/>
      </c>
      <c r="I347" s="71" t="str">
        <f aca="false">IF(A347="","",IFERROR(INDEX(السندات!$D$5:$D$504,MATCH(A347,السندات!$A$5:$A$504,0)),""))</f>
        <v/>
      </c>
      <c r="J347" s="72" t="str">
        <f aca="false">IF(A347="","",IF(ISNA(MATCH(A347,السندات!$A$5:$A$504,0)),"رقم سند غير موجود ✘",IF(AND(F347&lt;&gt;"",G347&lt;&gt;""),"اكتب مدين أو دائن فقط ✘",IF(AND(N(F347)=0,N(G347)=0),"بدون مبلغ ⚠",IF(B347&gt;12,"يتجاوز 12 بنداً في الطباعة ⚠","")))))</f>
        <v/>
      </c>
    </row>
    <row r="348" customFormat="false" ht="15" hidden="false" customHeight="false" outlineLevel="0" collapsed="false">
      <c r="A348" s="58"/>
      <c r="B348" s="73" t="str">
        <f aca="false">IF(A348="","",COUNTIF(A$5:A348,A348))</f>
        <v/>
      </c>
      <c r="C348" s="73" t="str">
        <f aca="false">IF(A348="","",A348&amp;"-"&amp;B348)</f>
        <v/>
      </c>
      <c r="D348" s="58"/>
      <c r="E348" s="57"/>
      <c r="F348" s="69"/>
      <c r="G348" s="69"/>
      <c r="H348" s="74" t="str">
        <f aca="false">IF(A348="","",IFERROR(INDEX(السندات!$C$5:$C$504,MATCH(A348,السندات!$A$5:$A$504,0)),""))</f>
        <v/>
      </c>
      <c r="I348" s="75" t="str">
        <f aca="false">IF(A348="","",IFERROR(INDEX(السندات!$D$5:$D$504,MATCH(A348,السندات!$A$5:$A$504,0)),""))</f>
        <v/>
      </c>
      <c r="J348" s="76" t="str">
        <f aca="false">IF(A348="","",IF(ISNA(MATCH(A348,السندات!$A$5:$A$504,0)),"رقم سند غير موجود ✘",IF(AND(F348&lt;&gt;"",G348&lt;&gt;""),"اكتب مدين أو دائن فقط ✘",IF(AND(N(F348)=0,N(G348)=0),"بدون مبلغ ⚠",IF(B348&gt;12,"يتجاوز 12 بنداً في الطباعة ⚠","")))))</f>
        <v/>
      </c>
    </row>
    <row r="349" customFormat="false" ht="15" hidden="false" customHeight="false" outlineLevel="0" collapsed="false">
      <c r="A349" s="58"/>
      <c r="B349" s="68" t="str">
        <f aca="false">IF(A349="","",COUNTIF(A$5:A349,A349))</f>
        <v/>
      </c>
      <c r="C349" s="68" t="str">
        <f aca="false">IF(A349="","",A349&amp;"-"&amp;B349)</f>
        <v/>
      </c>
      <c r="D349" s="58"/>
      <c r="E349" s="57"/>
      <c r="F349" s="69"/>
      <c r="G349" s="69"/>
      <c r="H349" s="70" t="str">
        <f aca="false">IF(A349="","",IFERROR(INDEX(السندات!$C$5:$C$504,MATCH(A349,السندات!$A$5:$A$504,0)),""))</f>
        <v/>
      </c>
      <c r="I349" s="71" t="str">
        <f aca="false">IF(A349="","",IFERROR(INDEX(السندات!$D$5:$D$504,MATCH(A349,السندات!$A$5:$A$504,0)),""))</f>
        <v/>
      </c>
      <c r="J349" s="72" t="str">
        <f aca="false">IF(A349="","",IF(ISNA(MATCH(A349,السندات!$A$5:$A$504,0)),"رقم سند غير موجود ✘",IF(AND(F349&lt;&gt;"",G349&lt;&gt;""),"اكتب مدين أو دائن فقط ✘",IF(AND(N(F349)=0,N(G349)=0),"بدون مبلغ ⚠",IF(B349&gt;12,"يتجاوز 12 بنداً في الطباعة ⚠","")))))</f>
        <v/>
      </c>
    </row>
    <row r="350" customFormat="false" ht="15" hidden="false" customHeight="false" outlineLevel="0" collapsed="false">
      <c r="A350" s="58"/>
      <c r="B350" s="73" t="str">
        <f aca="false">IF(A350="","",COUNTIF(A$5:A350,A350))</f>
        <v/>
      </c>
      <c r="C350" s="73" t="str">
        <f aca="false">IF(A350="","",A350&amp;"-"&amp;B350)</f>
        <v/>
      </c>
      <c r="D350" s="58"/>
      <c r="E350" s="57"/>
      <c r="F350" s="69"/>
      <c r="G350" s="69"/>
      <c r="H350" s="74" t="str">
        <f aca="false">IF(A350="","",IFERROR(INDEX(السندات!$C$5:$C$504,MATCH(A350,السندات!$A$5:$A$504,0)),""))</f>
        <v/>
      </c>
      <c r="I350" s="75" t="str">
        <f aca="false">IF(A350="","",IFERROR(INDEX(السندات!$D$5:$D$504,MATCH(A350,السندات!$A$5:$A$504,0)),""))</f>
        <v/>
      </c>
      <c r="J350" s="76" t="str">
        <f aca="false">IF(A350="","",IF(ISNA(MATCH(A350,السندات!$A$5:$A$504,0)),"رقم سند غير موجود ✘",IF(AND(F350&lt;&gt;"",G350&lt;&gt;""),"اكتب مدين أو دائن فقط ✘",IF(AND(N(F350)=0,N(G350)=0),"بدون مبلغ ⚠",IF(B350&gt;12,"يتجاوز 12 بنداً في الطباعة ⚠","")))))</f>
        <v/>
      </c>
    </row>
    <row r="351" customFormat="false" ht="15" hidden="false" customHeight="false" outlineLevel="0" collapsed="false">
      <c r="A351" s="58"/>
      <c r="B351" s="68" t="str">
        <f aca="false">IF(A351="","",COUNTIF(A$5:A351,A351))</f>
        <v/>
      </c>
      <c r="C351" s="68" t="str">
        <f aca="false">IF(A351="","",A351&amp;"-"&amp;B351)</f>
        <v/>
      </c>
      <c r="D351" s="58"/>
      <c r="E351" s="57"/>
      <c r="F351" s="69"/>
      <c r="G351" s="69"/>
      <c r="H351" s="70" t="str">
        <f aca="false">IF(A351="","",IFERROR(INDEX(السندات!$C$5:$C$504,MATCH(A351,السندات!$A$5:$A$504,0)),""))</f>
        <v/>
      </c>
      <c r="I351" s="71" t="str">
        <f aca="false">IF(A351="","",IFERROR(INDEX(السندات!$D$5:$D$504,MATCH(A351,السندات!$A$5:$A$504,0)),""))</f>
        <v/>
      </c>
      <c r="J351" s="72" t="str">
        <f aca="false">IF(A351="","",IF(ISNA(MATCH(A351,السندات!$A$5:$A$504,0)),"رقم سند غير موجود ✘",IF(AND(F351&lt;&gt;"",G351&lt;&gt;""),"اكتب مدين أو دائن فقط ✘",IF(AND(N(F351)=0,N(G351)=0),"بدون مبلغ ⚠",IF(B351&gt;12,"يتجاوز 12 بنداً في الطباعة ⚠","")))))</f>
        <v/>
      </c>
    </row>
    <row r="352" customFormat="false" ht="15" hidden="false" customHeight="false" outlineLevel="0" collapsed="false">
      <c r="A352" s="58"/>
      <c r="B352" s="73" t="str">
        <f aca="false">IF(A352="","",COUNTIF(A$5:A352,A352))</f>
        <v/>
      </c>
      <c r="C352" s="73" t="str">
        <f aca="false">IF(A352="","",A352&amp;"-"&amp;B352)</f>
        <v/>
      </c>
      <c r="D352" s="58"/>
      <c r="E352" s="57"/>
      <c r="F352" s="69"/>
      <c r="G352" s="69"/>
      <c r="H352" s="74" t="str">
        <f aca="false">IF(A352="","",IFERROR(INDEX(السندات!$C$5:$C$504,MATCH(A352,السندات!$A$5:$A$504,0)),""))</f>
        <v/>
      </c>
      <c r="I352" s="75" t="str">
        <f aca="false">IF(A352="","",IFERROR(INDEX(السندات!$D$5:$D$504,MATCH(A352,السندات!$A$5:$A$504,0)),""))</f>
        <v/>
      </c>
      <c r="J352" s="76" t="str">
        <f aca="false">IF(A352="","",IF(ISNA(MATCH(A352,السندات!$A$5:$A$504,0)),"رقم سند غير موجود ✘",IF(AND(F352&lt;&gt;"",G352&lt;&gt;""),"اكتب مدين أو دائن فقط ✘",IF(AND(N(F352)=0,N(G352)=0),"بدون مبلغ ⚠",IF(B352&gt;12,"يتجاوز 12 بنداً في الطباعة ⚠","")))))</f>
        <v/>
      </c>
    </row>
    <row r="353" customFormat="false" ht="15" hidden="false" customHeight="false" outlineLevel="0" collapsed="false">
      <c r="A353" s="58"/>
      <c r="B353" s="68" t="str">
        <f aca="false">IF(A353="","",COUNTIF(A$5:A353,A353))</f>
        <v/>
      </c>
      <c r="C353" s="68" t="str">
        <f aca="false">IF(A353="","",A353&amp;"-"&amp;B353)</f>
        <v/>
      </c>
      <c r="D353" s="58"/>
      <c r="E353" s="57"/>
      <c r="F353" s="69"/>
      <c r="G353" s="69"/>
      <c r="H353" s="70" t="str">
        <f aca="false">IF(A353="","",IFERROR(INDEX(السندات!$C$5:$C$504,MATCH(A353,السندات!$A$5:$A$504,0)),""))</f>
        <v/>
      </c>
      <c r="I353" s="71" t="str">
        <f aca="false">IF(A353="","",IFERROR(INDEX(السندات!$D$5:$D$504,MATCH(A353,السندات!$A$5:$A$504,0)),""))</f>
        <v/>
      </c>
      <c r="J353" s="72" t="str">
        <f aca="false">IF(A353="","",IF(ISNA(MATCH(A353,السندات!$A$5:$A$504,0)),"رقم سند غير موجود ✘",IF(AND(F353&lt;&gt;"",G353&lt;&gt;""),"اكتب مدين أو دائن فقط ✘",IF(AND(N(F353)=0,N(G353)=0),"بدون مبلغ ⚠",IF(B353&gt;12,"يتجاوز 12 بنداً في الطباعة ⚠","")))))</f>
        <v/>
      </c>
    </row>
    <row r="354" customFormat="false" ht="15" hidden="false" customHeight="false" outlineLevel="0" collapsed="false">
      <c r="A354" s="58"/>
      <c r="B354" s="73" t="str">
        <f aca="false">IF(A354="","",COUNTIF(A$5:A354,A354))</f>
        <v/>
      </c>
      <c r="C354" s="73" t="str">
        <f aca="false">IF(A354="","",A354&amp;"-"&amp;B354)</f>
        <v/>
      </c>
      <c r="D354" s="58"/>
      <c r="E354" s="57"/>
      <c r="F354" s="69"/>
      <c r="G354" s="69"/>
      <c r="H354" s="74" t="str">
        <f aca="false">IF(A354="","",IFERROR(INDEX(السندات!$C$5:$C$504,MATCH(A354,السندات!$A$5:$A$504,0)),""))</f>
        <v/>
      </c>
      <c r="I354" s="75" t="str">
        <f aca="false">IF(A354="","",IFERROR(INDEX(السندات!$D$5:$D$504,MATCH(A354,السندات!$A$5:$A$504,0)),""))</f>
        <v/>
      </c>
      <c r="J354" s="76" t="str">
        <f aca="false">IF(A354="","",IF(ISNA(MATCH(A354,السندات!$A$5:$A$504,0)),"رقم سند غير موجود ✘",IF(AND(F354&lt;&gt;"",G354&lt;&gt;""),"اكتب مدين أو دائن فقط ✘",IF(AND(N(F354)=0,N(G354)=0),"بدون مبلغ ⚠",IF(B354&gt;12,"يتجاوز 12 بنداً في الطباعة ⚠","")))))</f>
        <v/>
      </c>
    </row>
    <row r="355" customFormat="false" ht="15" hidden="false" customHeight="false" outlineLevel="0" collapsed="false">
      <c r="A355" s="58"/>
      <c r="B355" s="68" t="str">
        <f aca="false">IF(A355="","",COUNTIF(A$5:A355,A355))</f>
        <v/>
      </c>
      <c r="C355" s="68" t="str">
        <f aca="false">IF(A355="","",A355&amp;"-"&amp;B355)</f>
        <v/>
      </c>
      <c r="D355" s="58"/>
      <c r="E355" s="57"/>
      <c r="F355" s="69"/>
      <c r="G355" s="69"/>
      <c r="H355" s="70" t="str">
        <f aca="false">IF(A355="","",IFERROR(INDEX(السندات!$C$5:$C$504,MATCH(A355,السندات!$A$5:$A$504,0)),""))</f>
        <v/>
      </c>
      <c r="I355" s="71" t="str">
        <f aca="false">IF(A355="","",IFERROR(INDEX(السندات!$D$5:$D$504,MATCH(A355,السندات!$A$5:$A$504,0)),""))</f>
        <v/>
      </c>
      <c r="J355" s="72" t="str">
        <f aca="false">IF(A355="","",IF(ISNA(MATCH(A355,السندات!$A$5:$A$504,0)),"رقم سند غير موجود ✘",IF(AND(F355&lt;&gt;"",G355&lt;&gt;""),"اكتب مدين أو دائن فقط ✘",IF(AND(N(F355)=0,N(G355)=0),"بدون مبلغ ⚠",IF(B355&gt;12,"يتجاوز 12 بنداً في الطباعة ⚠","")))))</f>
        <v/>
      </c>
    </row>
    <row r="356" customFormat="false" ht="15" hidden="false" customHeight="false" outlineLevel="0" collapsed="false">
      <c r="A356" s="58"/>
      <c r="B356" s="73" t="str">
        <f aca="false">IF(A356="","",COUNTIF(A$5:A356,A356))</f>
        <v/>
      </c>
      <c r="C356" s="73" t="str">
        <f aca="false">IF(A356="","",A356&amp;"-"&amp;B356)</f>
        <v/>
      </c>
      <c r="D356" s="58"/>
      <c r="E356" s="57"/>
      <c r="F356" s="69"/>
      <c r="G356" s="69"/>
      <c r="H356" s="74" t="str">
        <f aca="false">IF(A356="","",IFERROR(INDEX(السندات!$C$5:$C$504,MATCH(A356,السندات!$A$5:$A$504,0)),""))</f>
        <v/>
      </c>
      <c r="I356" s="75" t="str">
        <f aca="false">IF(A356="","",IFERROR(INDEX(السندات!$D$5:$D$504,MATCH(A356,السندات!$A$5:$A$504,0)),""))</f>
        <v/>
      </c>
      <c r="J356" s="76" t="str">
        <f aca="false">IF(A356="","",IF(ISNA(MATCH(A356,السندات!$A$5:$A$504,0)),"رقم سند غير موجود ✘",IF(AND(F356&lt;&gt;"",G356&lt;&gt;""),"اكتب مدين أو دائن فقط ✘",IF(AND(N(F356)=0,N(G356)=0),"بدون مبلغ ⚠",IF(B356&gt;12,"يتجاوز 12 بنداً في الطباعة ⚠","")))))</f>
        <v/>
      </c>
    </row>
    <row r="357" customFormat="false" ht="15" hidden="false" customHeight="false" outlineLevel="0" collapsed="false">
      <c r="A357" s="58"/>
      <c r="B357" s="68" t="str">
        <f aca="false">IF(A357="","",COUNTIF(A$5:A357,A357))</f>
        <v/>
      </c>
      <c r="C357" s="68" t="str">
        <f aca="false">IF(A357="","",A357&amp;"-"&amp;B357)</f>
        <v/>
      </c>
      <c r="D357" s="58"/>
      <c r="E357" s="57"/>
      <c r="F357" s="69"/>
      <c r="G357" s="69"/>
      <c r="H357" s="70" t="str">
        <f aca="false">IF(A357="","",IFERROR(INDEX(السندات!$C$5:$C$504,MATCH(A357,السندات!$A$5:$A$504,0)),""))</f>
        <v/>
      </c>
      <c r="I357" s="71" t="str">
        <f aca="false">IF(A357="","",IFERROR(INDEX(السندات!$D$5:$D$504,MATCH(A357,السندات!$A$5:$A$504,0)),""))</f>
        <v/>
      </c>
      <c r="J357" s="72" t="str">
        <f aca="false">IF(A357="","",IF(ISNA(MATCH(A357,السندات!$A$5:$A$504,0)),"رقم سند غير موجود ✘",IF(AND(F357&lt;&gt;"",G357&lt;&gt;""),"اكتب مدين أو دائن فقط ✘",IF(AND(N(F357)=0,N(G357)=0),"بدون مبلغ ⚠",IF(B357&gt;12,"يتجاوز 12 بنداً في الطباعة ⚠","")))))</f>
        <v/>
      </c>
    </row>
    <row r="358" customFormat="false" ht="15" hidden="false" customHeight="false" outlineLevel="0" collapsed="false">
      <c r="A358" s="58"/>
      <c r="B358" s="73" t="str">
        <f aca="false">IF(A358="","",COUNTIF(A$5:A358,A358))</f>
        <v/>
      </c>
      <c r="C358" s="73" t="str">
        <f aca="false">IF(A358="","",A358&amp;"-"&amp;B358)</f>
        <v/>
      </c>
      <c r="D358" s="58"/>
      <c r="E358" s="57"/>
      <c r="F358" s="69"/>
      <c r="G358" s="69"/>
      <c r="H358" s="74" t="str">
        <f aca="false">IF(A358="","",IFERROR(INDEX(السندات!$C$5:$C$504,MATCH(A358,السندات!$A$5:$A$504,0)),""))</f>
        <v/>
      </c>
      <c r="I358" s="75" t="str">
        <f aca="false">IF(A358="","",IFERROR(INDEX(السندات!$D$5:$D$504,MATCH(A358,السندات!$A$5:$A$504,0)),""))</f>
        <v/>
      </c>
      <c r="J358" s="76" t="str">
        <f aca="false">IF(A358="","",IF(ISNA(MATCH(A358,السندات!$A$5:$A$504,0)),"رقم سند غير موجود ✘",IF(AND(F358&lt;&gt;"",G358&lt;&gt;""),"اكتب مدين أو دائن فقط ✘",IF(AND(N(F358)=0,N(G358)=0),"بدون مبلغ ⚠",IF(B358&gt;12,"يتجاوز 12 بنداً في الطباعة ⚠","")))))</f>
        <v/>
      </c>
    </row>
    <row r="359" customFormat="false" ht="15" hidden="false" customHeight="false" outlineLevel="0" collapsed="false">
      <c r="A359" s="58"/>
      <c r="B359" s="68" t="str">
        <f aca="false">IF(A359="","",COUNTIF(A$5:A359,A359))</f>
        <v/>
      </c>
      <c r="C359" s="68" t="str">
        <f aca="false">IF(A359="","",A359&amp;"-"&amp;B359)</f>
        <v/>
      </c>
      <c r="D359" s="58"/>
      <c r="E359" s="57"/>
      <c r="F359" s="69"/>
      <c r="G359" s="69"/>
      <c r="H359" s="70" t="str">
        <f aca="false">IF(A359="","",IFERROR(INDEX(السندات!$C$5:$C$504,MATCH(A359,السندات!$A$5:$A$504,0)),""))</f>
        <v/>
      </c>
      <c r="I359" s="71" t="str">
        <f aca="false">IF(A359="","",IFERROR(INDEX(السندات!$D$5:$D$504,MATCH(A359,السندات!$A$5:$A$504,0)),""))</f>
        <v/>
      </c>
      <c r="J359" s="72" t="str">
        <f aca="false">IF(A359="","",IF(ISNA(MATCH(A359,السندات!$A$5:$A$504,0)),"رقم سند غير موجود ✘",IF(AND(F359&lt;&gt;"",G359&lt;&gt;""),"اكتب مدين أو دائن فقط ✘",IF(AND(N(F359)=0,N(G359)=0),"بدون مبلغ ⚠",IF(B359&gt;12,"يتجاوز 12 بنداً في الطباعة ⚠","")))))</f>
        <v/>
      </c>
    </row>
    <row r="360" customFormat="false" ht="15" hidden="false" customHeight="false" outlineLevel="0" collapsed="false">
      <c r="A360" s="58"/>
      <c r="B360" s="73" t="str">
        <f aca="false">IF(A360="","",COUNTIF(A$5:A360,A360))</f>
        <v/>
      </c>
      <c r="C360" s="73" t="str">
        <f aca="false">IF(A360="","",A360&amp;"-"&amp;B360)</f>
        <v/>
      </c>
      <c r="D360" s="58"/>
      <c r="E360" s="57"/>
      <c r="F360" s="69"/>
      <c r="G360" s="69"/>
      <c r="H360" s="74" t="str">
        <f aca="false">IF(A360="","",IFERROR(INDEX(السندات!$C$5:$C$504,MATCH(A360,السندات!$A$5:$A$504,0)),""))</f>
        <v/>
      </c>
      <c r="I360" s="75" t="str">
        <f aca="false">IF(A360="","",IFERROR(INDEX(السندات!$D$5:$D$504,MATCH(A360,السندات!$A$5:$A$504,0)),""))</f>
        <v/>
      </c>
      <c r="J360" s="76" t="str">
        <f aca="false">IF(A360="","",IF(ISNA(MATCH(A360,السندات!$A$5:$A$504,0)),"رقم سند غير موجود ✘",IF(AND(F360&lt;&gt;"",G360&lt;&gt;""),"اكتب مدين أو دائن فقط ✘",IF(AND(N(F360)=0,N(G360)=0),"بدون مبلغ ⚠",IF(B360&gt;12,"يتجاوز 12 بنداً في الطباعة ⚠","")))))</f>
        <v/>
      </c>
    </row>
    <row r="361" customFormat="false" ht="15" hidden="false" customHeight="false" outlineLevel="0" collapsed="false">
      <c r="A361" s="58"/>
      <c r="B361" s="68" t="str">
        <f aca="false">IF(A361="","",COUNTIF(A$5:A361,A361))</f>
        <v/>
      </c>
      <c r="C361" s="68" t="str">
        <f aca="false">IF(A361="","",A361&amp;"-"&amp;B361)</f>
        <v/>
      </c>
      <c r="D361" s="58"/>
      <c r="E361" s="57"/>
      <c r="F361" s="69"/>
      <c r="G361" s="69"/>
      <c r="H361" s="70" t="str">
        <f aca="false">IF(A361="","",IFERROR(INDEX(السندات!$C$5:$C$504,MATCH(A361,السندات!$A$5:$A$504,0)),""))</f>
        <v/>
      </c>
      <c r="I361" s="71" t="str">
        <f aca="false">IF(A361="","",IFERROR(INDEX(السندات!$D$5:$D$504,MATCH(A361,السندات!$A$5:$A$504,0)),""))</f>
        <v/>
      </c>
      <c r="J361" s="72" t="str">
        <f aca="false">IF(A361="","",IF(ISNA(MATCH(A361,السندات!$A$5:$A$504,0)),"رقم سند غير موجود ✘",IF(AND(F361&lt;&gt;"",G361&lt;&gt;""),"اكتب مدين أو دائن فقط ✘",IF(AND(N(F361)=0,N(G361)=0),"بدون مبلغ ⚠",IF(B361&gt;12,"يتجاوز 12 بنداً في الطباعة ⚠","")))))</f>
        <v/>
      </c>
    </row>
    <row r="362" customFormat="false" ht="15" hidden="false" customHeight="false" outlineLevel="0" collapsed="false">
      <c r="A362" s="58"/>
      <c r="B362" s="73" t="str">
        <f aca="false">IF(A362="","",COUNTIF(A$5:A362,A362))</f>
        <v/>
      </c>
      <c r="C362" s="73" t="str">
        <f aca="false">IF(A362="","",A362&amp;"-"&amp;B362)</f>
        <v/>
      </c>
      <c r="D362" s="58"/>
      <c r="E362" s="57"/>
      <c r="F362" s="69"/>
      <c r="G362" s="69"/>
      <c r="H362" s="74" t="str">
        <f aca="false">IF(A362="","",IFERROR(INDEX(السندات!$C$5:$C$504,MATCH(A362,السندات!$A$5:$A$504,0)),""))</f>
        <v/>
      </c>
      <c r="I362" s="75" t="str">
        <f aca="false">IF(A362="","",IFERROR(INDEX(السندات!$D$5:$D$504,MATCH(A362,السندات!$A$5:$A$504,0)),""))</f>
        <v/>
      </c>
      <c r="J362" s="76" t="str">
        <f aca="false">IF(A362="","",IF(ISNA(MATCH(A362,السندات!$A$5:$A$504,0)),"رقم سند غير موجود ✘",IF(AND(F362&lt;&gt;"",G362&lt;&gt;""),"اكتب مدين أو دائن فقط ✘",IF(AND(N(F362)=0,N(G362)=0),"بدون مبلغ ⚠",IF(B362&gt;12,"يتجاوز 12 بنداً في الطباعة ⚠","")))))</f>
        <v/>
      </c>
    </row>
    <row r="363" customFormat="false" ht="15" hidden="false" customHeight="false" outlineLevel="0" collapsed="false">
      <c r="A363" s="58"/>
      <c r="B363" s="68" t="str">
        <f aca="false">IF(A363="","",COUNTIF(A$5:A363,A363))</f>
        <v/>
      </c>
      <c r="C363" s="68" t="str">
        <f aca="false">IF(A363="","",A363&amp;"-"&amp;B363)</f>
        <v/>
      </c>
      <c r="D363" s="58"/>
      <c r="E363" s="57"/>
      <c r="F363" s="69"/>
      <c r="G363" s="69"/>
      <c r="H363" s="70" t="str">
        <f aca="false">IF(A363="","",IFERROR(INDEX(السندات!$C$5:$C$504,MATCH(A363,السندات!$A$5:$A$504,0)),""))</f>
        <v/>
      </c>
      <c r="I363" s="71" t="str">
        <f aca="false">IF(A363="","",IFERROR(INDEX(السندات!$D$5:$D$504,MATCH(A363,السندات!$A$5:$A$504,0)),""))</f>
        <v/>
      </c>
      <c r="J363" s="72" t="str">
        <f aca="false">IF(A363="","",IF(ISNA(MATCH(A363,السندات!$A$5:$A$504,0)),"رقم سند غير موجود ✘",IF(AND(F363&lt;&gt;"",G363&lt;&gt;""),"اكتب مدين أو دائن فقط ✘",IF(AND(N(F363)=0,N(G363)=0),"بدون مبلغ ⚠",IF(B363&gt;12,"يتجاوز 12 بنداً في الطباعة ⚠","")))))</f>
        <v/>
      </c>
    </row>
    <row r="364" customFormat="false" ht="15" hidden="false" customHeight="false" outlineLevel="0" collapsed="false">
      <c r="A364" s="58"/>
      <c r="B364" s="73" t="str">
        <f aca="false">IF(A364="","",COUNTIF(A$5:A364,A364))</f>
        <v/>
      </c>
      <c r="C364" s="73" t="str">
        <f aca="false">IF(A364="","",A364&amp;"-"&amp;B364)</f>
        <v/>
      </c>
      <c r="D364" s="58"/>
      <c r="E364" s="57"/>
      <c r="F364" s="69"/>
      <c r="G364" s="69"/>
      <c r="H364" s="74" t="str">
        <f aca="false">IF(A364="","",IFERROR(INDEX(السندات!$C$5:$C$504,MATCH(A364,السندات!$A$5:$A$504,0)),""))</f>
        <v/>
      </c>
      <c r="I364" s="75" t="str">
        <f aca="false">IF(A364="","",IFERROR(INDEX(السندات!$D$5:$D$504,MATCH(A364,السندات!$A$5:$A$504,0)),""))</f>
        <v/>
      </c>
      <c r="J364" s="76" t="str">
        <f aca="false">IF(A364="","",IF(ISNA(MATCH(A364,السندات!$A$5:$A$504,0)),"رقم سند غير موجود ✘",IF(AND(F364&lt;&gt;"",G364&lt;&gt;""),"اكتب مدين أو دائن فقط ✘",IF(AND(N(F364)=0,N(G364)=0),"بدون مبلغ ⚠",IF(B364&gt;12,"يتجاوز 12 بنداً في الطباعة ⚠","")))))</f>
        <v/>
      </c>
    </row>
    <row r="365" customFormat="false" ht="15" hidden="false" customHeight="false" outlineLevel="0" collapsed="false">
      <c r="A365" s="58"/>
      <c r="B365" s="68" t="str">
        <f aca="false">IF(A365="","",COUNTIF(A$5:A365,A365))</f>
        <v/>
      </c>
      <c r="C365" s="68" t="str">
        <f aca="false">IF(A365="","",A365&amp;"-"&amp;B365)</f>
        <v/>
      </c>
      <c r="D365" s="58"/>
      <c r="E365" s="57"/>
      <c r="F365" s="69"/>
      <c r="G365" s="69"/>
      <c r="H365" s="70" t="str">
        <f aca="false">IF(A365="","",IFERROR(INDEX(السندات!$C$5:$C$504,MATCH(A365,السندات!$A$5:$A$504,0)),""))</f>
        <v/>
      </c>
      <c r="I365" s="71" t="str">
        <f aca="false">IF(A365="","",IFERROR(INDEX(السندات!$D$5:$D$504,MATCH(A365,السندات!$A$5:$A$504,0)),""))</f>
        <v/>
      </c>
      <c r="J365" s="72" t="str">
        <f aca="false">IF(A365="","",IF(ISNA(MATCH(A365,السندات!$A$5:$A$504,0)),"رقم سند غير موجود ✘",IF(AND(F365&lt;&gt;"",G365&lt;&gt;""),"اكتب مدين أو دائن فقط ✘",IF(AND(N(F365)=0,N(G365)=0),"بدون مبلغ ⚠",IF(B365&gt;12,"يتجاوز 12 بنداً في الطباعة ⚠","")))))</f>
        <v/>
      </c>
    </row>
    <row r="366" customFormat="false" ht="15" hidden="false" customHeight="false" outlineLevel="0" collapsed="false">
      <c r="A366" s="58"/>
      <c r="B366" s="73" t="str">
        <f aca="false">IF(A366="","",COUNTIF(A$5:A366,A366))</f>
        <v/>
      </c>
      <c r="C366" s="73" t="str">
        <f aca="false">IF(A366="","",A366&amp;"-"&amp;B366)</f>
        <v/>
      </c>
      <c r="D366" s="58"/>
      <c r="E366" s="57"/>
      <c r="F366" s="69"/>
      <c r="G366" s="69"/>
      <c r="H366" s="74" t="str">
        <f aca="false">IF(A366="","",IFERROR(INDEX(السندات!$C$5:$C$504,MATCH(A366,السندات!$A$5:$A$504,0)),""))</f>
        <v/>
      </c>
      <c r="I366" s="75" t="str">
        <f aca="false">IF(A366="","",IFERROR(INDEX(السندات!$D$5:$D$504,MATCH(A366,السندات!$A$5:$A$504,0)),""))</f>
        <v/>
      </c>
      <c r="J366" s="76" t="str">
        <f aca="false">IF(A366="","",IF(ISNA(MATCH(A366,السندات!$A$5:$A$504,0)),"رقم سند غير موجود ✘",IF(AND(F366&lt;&gt;"",G366&lt;&gt;""),"اكتب مدين أو دائن فقط ✘",IF(AND(N(F366)=0,N(G366)=0),"بدون مبلغ ⚠",IF(B366&gt;12,"يتجاوز 12 بنداً في الطباعة ⚠","")))))</f>
        <v/>
      </c>
    </row>
    <row r="367" customFormat="false" ht="15" hidden="false" customHeight="false" outlineLevel="0" collapsed="false">
      <c r="A367" s="58"/>
      <c r="B367" s="68" t="str">
        <f aca="false">IF(A367="","",COUNTIF(A$5:A367,A367))</f>
        <v/>
      </c>
      <c r="C367" s="68" t="str">
        <f aca="false">IF(A367="","",A367&amp;"-"&amp;B367)</f>
        <v/>
      </c>
      <c r="D367" s="58"/>
      <c r="E367" s="57"/>
      <c r="F367" s="69"/>
      <c r="G367" s="69"/>
      <c r="H367" s="70" t="str">
        <f aca="false">IF(A367="","",IFERROR(INDEX(السندات!$C$5:$C$504,MATCH(A367,السندات!$A$5:$A$504,0)),""))</f>
        <v/>
      </c>
      <c r="I367" s="71" t="str">
        <f aca="false">IF(A367="","",IFERROR(INDEX(السندات!$D$5:$D$504,MATCH(A367,السندات!$A$5:$A$504,0)),""))</f>
        <v/>
      </c>
      <c r="J367" s="72" t="str">
        <f aca="false">IF(A367="","",IF(ISNA(MATCH(A367,السندات!$A$5:$A$504,0)),"رقم سند غير موجود ✘",IF(AND(F367&lt;&gt;"",G367&lt;&gt;""),"اكتب مدين أو دائن فقط ✘",IF(AND(N(F367)=0,N(G367)=0),"بدون مبلغ ⚠",IF(B367&gt;12,"يتجاوز 12 بنداً في الطباعة ⚠","")))))</f>
        <v/>
      </c>
    </row>
    <row r="368" customFormat="false" ht="15" hidden="false" customHeight="false" outlineLevel="0" collapsed="false">
      <c r="A368" s="58"/>
      <c r="B368" s="73" t="str">
        <f aca="false">IF(A368="","",COUNTIF(A$5:A368,A368))</f>
        <v/>
      </c>
      <c r="C368" s="73" t="str">
        <f aca="false">IF(A368="","",A368&amp;"-"&amp;B368)</f>
        <v/>
      </c>
      <c r="D368" s="58"/>
      <c r="E368" s="57"/>
      <c r="F368" s="69"/>
      <c r="G368" s="69"/>
      <c r="H368" s="74" t="str">
        <f aca="false">IF(A368="","",IFERROR(INDEX(السندات!$C$5:$C$504,MATCH(A368,السندات!$A$5:$A$504,0)),""))</f>
        <v/>
      </c>
      <c r="I368" s="75" t="str">
        <f aca="false">IF(A368="","",IFERROR(INDEX(السندات!$D$5:$D$504,MATCH(A368,السندات!$A$5:$A$504,0)),""))</f>
        <v/>
      </c>
      <c r="J368" s="76" t="str">
        <f aca="false">IF(A368="","",IF(ISNA(MATCH(A368,السندات!$A$5:$A$504,0)),"رقم سند غير موجود ✘",IF(AND(F368&lt;&gt;"",G368&lt;&gt;""),"اكتب مدين أو دائن فقط ✘",IF(AND(N(F368)=0,N(G368)=0),"بدون مبلغ ⚠",IF(B368&gt;12,"يتجاوز 12 بنداً في الطباعة ⚠","")))))</f>
        <v/>
      </c>
    </row>
    <row r="369" customFormat="false" ht="15" hidden="false" customHeight="false" outlineLevel="0" collapsed="false">
      <c r="A369" s="58"/>
      <c r="B369" s="68" t="str">
        <f aca="false">IF(A369="","",COUNTIF(A$5:A369,A369))</f>
        <v/>
      </c>
      <c r="C369" s="68" t="str">
        <f aca="false">IF(A369="","",A369&amp;"-"&amp;B369)</f>
        <v/>
      </c>
      <c r="D369" s="58"/>
      <c r="E369" s="57"/>
      <c r="F369" s="69"/>
      <c r="G369" s="69"/>
      <c r="H369" s="70" t="str">
        <f aca="false">IF(A369="","",IFERROR(INDEX(السندات!$C$5:$C$504,MATCH(A369,السندات!$A$5:$A$504,0)),""))</f>
        <v/>
      </c>
      <c r="I369" s="71" t="str">
        <f aca="false">IF(A369="","",IFERROR(INDEX(السندات!$D$5:$D$504,MATCH(A369,السندات!$A$5:$A$504,0)),""))</f>
        <v/>
      </c>
      <c r="J369" s="72" t="str">
        <f aca="false">IF(A369="","",IF(ISNA(MATCH(A369,السندات!$A$5:$A$504,0)),"رقم سند غير موجود ✘",IF(AND(F369&lt;&gt;"",G369&lt;&gt;""),"اكتب مدين أو دائن فقط ✘",IF(AND(N(F369)=0,N(G369)=0),"بدون مبلغ ⚠",IF(B369&gt;12,"يتجاوز 12 بنداً في الطباعة ⚠","")))))</f>
        <v/>
      </c>
    </row>
    <row r="370" customFormat="false" ht="15" hidden="false" customHeight="false" outlineLevel="0" collapsed="false">
      <c r="A370" s="58"/>
      <c r="B370" s="73" t="str">
        <f aca="false">IF(A370="","",COUNTIF(A$5:A370,A370))</f>
        <v/>
      </c>
      <c r="C370" s="73" t="str">
        <f aca="false">IF(A370="","",A370&amp;"-"&amp;B370)</f>
        <v/>
      </c>
      <c r="D370" s="58"/>
      <c r="E370" s="57"/>
      <c r="F370" s="69"/>
      <c r="G370" s="69"/>
      <c r="H370" s="74" t="str">
        <f aca="false">IF(A370="","",IFERROR(INDEX(السندات!$C$5:$C$504,MATCH(A370,السندات!$A$5:$A$504,0)),""))</f>
        <v/>
      </c>
      <c r="I370" s="75" t="str">
        <f aca="false">IF(A370="","",IFERROR(INDEX(السندات!$D$5:$D$504,MATCH(A370,السندات!$A$5:$A$504,0)),""))</f>
        <v/>
      </c>
      <c r="J370" s="76" t="str">
        <f aca="false">IF(A370="","",IF(ISNA(MATCH(A370,السندات!$A$5:$A$504,0)),"رقم سند غير موجود ✘",IF(AND(F370&lt;&gt;"",G370&lt;&gt;""),"اكتب مدين أو دائن فقط ✘",IF(AND(N(F370)=0,N(G370)=0),"بدون مبلغ ⚠",IF(B370&gt;12,"يتجاوز 12 بنداً في الطباعة ⚠","")))))</f>
        <v/>
      </c>
    </row>
    <row r="371" customFormat="false" ht="15" hidden="false" customHeight="false" outlineLevel="0" collapsed="false">
      <c r="A371" s="58"/>
      <c r="B371" s="68" t="str">
        <f aca="false">IF(A371="","",COUNTIF(A$5:A371,A371))</f>
        <v/>
      </c>
      <c r="C371" s="68" t="str">
        <f aca="false">IF(A371="","",A371&amp;"-"&amp;B371)</f>
        <v/>
      </c>
      <c r="D371" s="58"/>
      <c r="E371" s="57"/>
      <c r="F371" s="69"/>
      <c r="G371" s="69"/>
      <c r="H371" s="70" t="str">
        <f aca="false">IF(A371="","",IFERROR(INDEX(السندات!$C$5:$C$504,MATCH(A371,السندات!$A$5:$A$504,0)),""))</f>
        <v/>
      </c>
      <c r="I371" s="71" t="str">
        <f aca="false">IF(A371="","",IFERROR(INDEX(السندات!$D$5:$D$504,MATCH(A371,السندات!$A$5:$A$504,0)),""))</f>
        <v/>
      </c>
      <c r="J371" s="72" t="str">
        <f aca="false">IF(A371="","",IF(ISNA(MATCH(A371,السندات!$A$5:$A$504,0)),"رقم سند غير موجود ✘",IF(AND(F371&lt;&gt;"",G371&lt;&gt;""),"اكتب مدين أو دائن فقط ✘",IF(AND(N(F371)=0,N(G371)=0),"بدون مبلغ ⚠",IF(B371&gt;12,"يتجاوز 12 بنداً في الطباعة ⚠","")))))</f>
        <v/>
      </c>
    </row>
    <row r="372" customFormat="false" ht="15" hidden="false" customHeight="false" outlineLevel="0" collapsed="false">
      <c r="A372" s="58"/>
      <c r="B372" s="73" t="str">
        <f aca="false">IF(A372="","",COUNTIF(A$5:A372,A372))</f>
        <v/>
      </c>
      <c r="C372" s="73" t="str">
        <f aca="false">IF(A372="","",A372&amp;"-"&amp;B372)</f>
        <v/>
      </c>
      <c r="D372" s="58"/>
      <c r="E372" s="57"/>
      <c r="F372" s="69"/>
      <c r="G372" s="69"/>
      <c r="H372" s="74" t="str">
        <f aca="false">IF(A372="","",IFERROR(INDEX(السندات!$C$5:$C$504,MATCH(A372,السندات!$A$5:$A$504,0)),""))</f>
        <v/>
      </c>
      <c r="I372" s="75" t="str">
        <f aca="false">IF(A372="","",IFERROR(INDEX(السندات!$D$5:$D$504,MATCH(A372,السندات!$A$5:$A$504,0)),""))</f>
        <v/>
      </c>
      <c r="J372" s="76" t="str">
        <f aca="false">IF(A372="","",IF(ISNA(MATCH(A372,السندات!$A$5:$A$504,0)),"رقم سند غير موجود ✘",IF(AND(F372&lt;&gt;"",G372&lt;&gt;""),"اكتب مدين أو دائن فقط ✘",IF(AND(N(F372)=0,N(G372)=0),"بدون مبلغ ⚠",IF(B372&gt;12,"يتجاوز 12 بنداً في الطباعة ⚠","")))))</f>
        <v/>
      </c>
    </row>
    <row r="373" customFormat="false" ht="15" hidden="false" customHeight="false" outlineLevel="0" collapsed="false">
      <c r="A373" s="58"/>
      <c r="B373" s="68" t="str">
        <f aca="false">IF(A373="","",COUNTIF(A$5:A373,A373))</f>
        <v/>
      </c>
      <c r="C373" s="68" t="str">
        <f aca="false">IF(A373="","",A373&amp;"-"&amp;B373)</f>
        <v/>
      </c>
      <c r="D373" s="58"/>
      <c r="E373" s="57"/>
      <c r="F373" s="69"/>
      <c r="G373" s="69"/>
      <c r="H373" s="70" t="str">
        <f aca="false">IF(A373="","",IFERROR(INDEX(السندات!$C$5:$C$504,MATCH(A373,السندات!$A$5:$A$504,0)),""))</f>
        <v/>
      </c>
      <c r="I373" s="71" t="str">
        <f aca="false">IF(A373="","",IFERROR(INDEX(السندات!$D$5:$D$504,MATCH(A373,السندات!$A$5:$A$504,0)),""))</f>
        <v/>
      </c>
      <c r="J373" s="72" t="str">
        <f aca="false">IF(A373="","",IF(ISNA(MATCH(A373,السندات!$A$5:$A$504,0)),"رقم سند غير موجود ✘",IF(AND(F373&lt;&gt;"",G373&lt;&gt;""),"اكتب مدين أو دائن فقط ✘",IF(AND(N(F373)=0,N(G373)=0),"بدون مبلغ ⚠",IF(B373&gt;12,"يتجاوز 12 بنداً في الطباعة ⚠","")))))</f>
        <v/>
      </c>
    </row>
    <row r="374" customFormat="false" ht="15" hidden="false" customHeight="false" outlineLevel="0" collapsed="false">
      <c r="A374" s="58"/>
      <c r="B374" s="73" t="str">
        <f aca="false">IF(A374="","",COUNTIF(A$5:A374,A374))</f>
        <v/>
      </c>
      <c r="C374" s="73" t="str">
        <f aca="false">IF(A374="","",A374&amp;"-"&amp;B374)</f>
        <v/>
      </c>
      <c r="D374" s="58"/>
      <c r="E374" s="57"/>
      <c r="F374" s="69"/>
      <c r="G374" s="69"/>
      <c r="H374" s="74" t="str">
        <f aca="false">IF(A374="","",IFERROR(INDEX(السندات!$C$5:$C$504,MATCH(A374,السندات!$A$5:$A$504,0)),""))</f>
        <v/>
      </c>
      <c r="I374" s="75" t="str">
        <f aca="false">IF(A374="","",IFERROR(INDEX(السندات!$D$5:$D$504,MATCH(A374,السندات!$A$5:$A$504,0)),""))</f>
        <v/>
      </c>
      <c r="J374" s="76" t="str">
        <f aca="false">IF(A374="","",IF(ISNA(MATCH(A374,السندات!$A$5:$A$504,0)),"رقم سند غير موجود ✘",IF(AND(F374&lt;&gt;"",G374&lt;&gt;""),"اكتب مدين أو دائن فقط ✘",IF(AND(N(F374)=0,N(G374)=0),"بدون مبلغ ⚠",IF(B374&gt;12,"يتجاوز 12 بنداً في الطباعة ⚠","")))))</f>
        <v/>
      </c>
    </row>
    <row r="375" customFormat="false" ht="15" hidden="false" customHeight="false" outlineLevel="0" collapsed="false">
      <c r="A375" s="58"/>
      <c r="B375" s="68" t="str">
        <f aca="false">IF(A375="","",COUNTIF(A$5:A375,A375))</f>
        <v/>
      </c>
      <c r="C375" s="68" t="str">
        <f aca="false">IF(A375="","",A375&amp;"-"&amp;B375)</f>
        <v/>
      </c>
      <c r="D375" s="58"/>
      <c r="E375" s="57"/>
      <c r="F375" s="69"/>
      <c r="G375" s="69"/>
      <c r="H375" s="70" t="str">
        <f aca="false">IF(A375="","",IFERROR(INDEX(السندات!$C$5:$C$504,MATCH(A375,السندات!$A$5:$A$504,0)),""))</f>
        <v/>
      </c>
      <c r="I375" s="71" t="str">
        <f aca="false">IF(A375="","",IFERROR(INDEX(السندات!$D$5:$D$504,MATCH(A375,السندات!$A$5:$A$504,0)),""))</f>
        <v/>
      </c>
      <c r="J375" s="72" t="str">
        <f aca="false">IF(A375="","",IF(ISNA(MATCH(A375,السندات!$A$5:$A$504,0)),"رقم سند غير موجود ✘",IF(AND(F375&lt;&gt;"",G375&lt;&gt;""),"اكتب مدين أو دائن فقط ✘",IF(AND(N(F375)=0,N(G375)=0),"بدون مبلغ ⚠",IF(B375&gt;12,"يتجاوز 12 بنداً في الطباعة ⚠","")))))</f>
        <v/>
      </c>
    </row>
    <row r="376" customFormat="false" ht="15" hidden="false" customHeight="false" outlineLevel="0" collapsed="false">
      <c r="A376" s="58"/>
      <c r="B376" s="73" t="str">
        <f aca="false">IF(A376="","",COUNTIF(A$5:A376,A376))</f>
        <v/>
      </c>
      <c r="C376" s="73" t="str">
        <f aca="false">IF(A376="","",A376&amp;"-"&amp;B376)</f>
        <v/>
      </c>
      <c r="D376" s="58"/>
      <c r="E376" s="57"/>
      <c r="F376" s="69"/>
      <c r="G376" s="69"/>
      <c r="H376" s="74" t="str">
        <f aca="false">IF(A376="","",IFERROR(INDEX(السندات!$C$5:$C$504,MATCH(A376,السندات!$A$5:$A$504,0)),""))</f>
        <v/>
      </c>
      <c r="I376" s="75" t="str">
        <f aca="false">IF(A376="","",IFERROR(INDEX(السندات!$D$5:$D$504,MATCH(A376,السندات!$A$5:$A$504,0)),""))</f>
        <v/>
      </c>
      <c r="J376" s="76" t="str">
        <f aca="false">IF(A376="","",IF(ISNA(MATCH(A376,السندات!$A$5:$A$504,0)),"رقم سند غير موجود ✘",IF(AND(F376&lt;&gt;"",G376&lt;&gt;""),"اكتب مدين أو دائن فقط ✘",IF(AND(N(F376)=0,N(G376)=0),"بدون مبلغ ⚠",IF(B376&gt;12,"يتجاوز 12 بنداً في الطباعة ⚠","")))))</f>
        <v/>
      </c>
    </row>
    <row r="377" customFormat="false" ht="15" hidden="false" customHeight="false" outlineLevel="0" collapsed="false">
      <c r="A377" s="58"/>
      <c r="B377" s="68" t="str">
        <f aca="false">IF(A377="","",COUNTIF(A$5:A377,A377))</f>
        <v/>
      </c>
      <c r="C377" s="68" t="str">
        <f aca="false">IF(A377="","",A377&amp;"-"&amp;B377)</f>
        <v/>
      </c>
      <c r="D377" s="58"/>
      <c r="E377" s="57"/>
      <c r="F377" s="69"/>
      <c r="G377" s="69"/>
      <c r="H377" s="70" t="str">
        <f aca="false">IF(A377="","",IFERROR(INDEX(السندات!$C$5:$C$504,MATCH(A377,السندات!$A$5:$A$504,0)),""))</f>
        <v/>
      </c>
      <c r="I377" s="71" t="str">
        <f aca="false">IF(A377="","",IFERROR(INDEX(السندات!$D$5:$D$504,MATCH(A377,السندات!$A$5:$A$504,0)),""))</f>
        <v/>
      </c>
      <c r="J377" s="72" t="str">
        <f aca="false">IF(A377="","",IF(ISNA(MATCH(A377,السندات!$A$5:$A$504,0)),"رقم سند غير موجود ✘",IF(AND(F377&lt;&gt;"",G377&lt;&gt;""),"اكتب مدين أو دائن فقط ✘",IF(AND(N(F377)=0,N(G377)=0),"بدون مبلغ ⚠",IF(B377&gt;12,"يتجاوز 12 بنداً في الطباعة ⚠","")))))</f>
        <v/>
      </c>
    </row>
    <row r="378" customFormat="false" ht="15" hidden="false" customHeight="false" outlineLevel="0" collapsed="false">
      <c r="A378" s="58"/>
      <c r="B378" s="73" t="str">
        <f aca="false">IF(A378="","",COUNTIF(A$5:A378,A378))</f>
        <v/>
      </c>
      <c r="C378" s="73" t="str">
        <f aca="false">IF(A378="","",A378&amp;"-"&amp;B378)</f>
        <v/>
      </c>
      <c r="D378" s="58"/>
      <c r="E378" s="57"/>
      <c r="F378" s="69"/>
      <c r="G378" s="69"/>
      <c r="H378" s="74" t="str">
        <f aca="false">IF(A378="","",IFERROR(INDEX(السندات!$C$5:$C$504,MATCH(A378,السندات!$A$5:$A$504,0)),""))</f>
        <v/>
      </c>
      <c r="I378" s="75" t="str">
        <f aca="false">IF(A378="","",IFERROR(INDEX(السندات!$D$5:$D$504,MATCH(A378,السندات!$A$5:$A$504,0)),""))</f>
        <v/>
      </c>
      <c r="J378" s="76" t="str">
        <f aca="false">IF(A378="","",IF(ISNA(MATCH(A378,السندات!$A$5:$A$504,0)),"رقم سند غير موجود ✘",IF(AND(F378&lt;&gt;"",G378&lt;&gt;""),"اكتب مدين أو دائن فقط ✘",IF(AND(N(F378)=0,N(G378)=0),"بدون مبلغ ⚠",IF(B378&gt;12,"يتجاوز 12 بنداً في الطباعة ⚠","")))))</f>
        <v/>
      </c>
    </row>
    <row r="379" customFormat="false" ht="15" hidden="false" customHeight="false" outlineLevel="0" collapsed="false">
      <c r="A379" s="58"/>
      <c r="B379" s="68" t="str">
        <f aca="false">IF(A379="","",COUNTIF(A$5:A379,A379))</f>
        <v/>
      </c>
      <c r="C379" s="68" t="str">
        <f aca="false">IF(A379="","",A379&amp;"-"&amp;B379)</f>
        <v/>
      </c>
      <c r="D379" s="58"/>
      <c r="E379" s="57"/>
      <c r="F379" s="69"/>
      <c r="G379" s="69"/>
      <c r="H379" s="70" t="str">
        <f aca="false">IF(A379="","",IFERROR(INDEX(السندات!$C$5:$C$504,MATCH(A379,السندات!$A$5:$A$504,0)),""))</f>
        <v/>
      </c>
      <c r="I379" s="71" t="str">
        <f aca="false">IF(A379="","",IFERROR(INDEX(السندات!$D$5:$D$504,MATCH(A379,السندات!$A$5:$A$504,0)),""))</f>
        <v/>
      </c>
      <c r="J379" s="72" t="str">
        <f aca="false">IF(A379="","",IF(ISNA(MATCH(A379,السندات!$A$5:$A$504,0)),"رقم سند غير موجود ✘",IF(AND(F379&lt;&gt;"",G379&lt;&gt;""),"اكتب مدين أو دائن فقط ✘",IF(AND(N(F379)=0,N(G379)=0),"بدون مبلغ ⚠",IF(B379&gt;12,"يتجاوز 12 بنداً في الطباعة ⚠","")))))</f>
        <v/>
      </c>
    </row>
    <row r="380" customFormat="false" ht="15" hidden="false" customHeight="false" outlineLevel="0" collapsed="false">
      <c r="A380" s="58"/>
      <c r="B380" s="73" t="str">
        <f aca="false">IF(A380="","",COUNTIF(A$5:A380,A380))</f>
        <v/>
      </c>
      <c r="C380" s="73" t="str">
        <f aca="false">IF(A380="","",A380&amp;"-"&amp;B380)</f>
        <v/>
      </c>
      <c r="D380" s="58"/>
      <c r="E380" s="57"/>
      <c r="F380" s="69"/>
      <c r="G380" s="69"/>
      <c r="H380" s="74" t="str">
        <f aca="false">IF(A380="","",IFERROR(INDEX(السندات!$C$5:$C$504,MATCH(A380,السندات!$A$5:$A$504,0)),""))</f>
        <v/>
      </c>
      <c r="I380" s="75" t="str">
        <f aca="false">IF(A380="","",IFERROR(INDEX(السندات!$D$5:$D$504,MATCH(A380,السندات!$A$5:$A$504,0)),""))</f>
        <v/>
      </c>
      <c r="J380" s="76" t="str">
        <f aca="false">IF(A380="","",IF(ISNA(MATCH(A380,السندات!$A$5:$A$504,0)),"رقم سند غير موجود ✘",IF(AND(F380&lt;&gt;"",G380&lt;&gt;""),"اكتب مدين أو دائن فقط ✘",IF(AND(N(F380)=0,N(G380)=0),"بدون مبلغ ⚠",IF(B380&gt;12,"يتجاوز 12 بنداً في الطباعة ⚠","")))))</f>
        <v/>
      </c>
    </row>
    <row r="381" customFormat="false" ht="15" hidden="false" customHeight="false" outlineLevel="0" collapsed="false">
      <c r="A381" s="58"/>
      <c r="B381" s="68" t="str">
        <f aca="false">IF(A381="","",COUNTIF(A$5:A381,A381))</f>
        <v/>
      </c>
      <c r="C381" s="68" t="str">
        <f aca="false">IF(A381="","",A381&amp;"-"&amp;B381)</f>
        <v/>
      </c>
      <c r="D381" s="58"/>
      <c r="E381" s="57"/>
      <c r="F381" s="69"/>
      <c r="G381" s="69"/>
      <c r="H381" s="70" t="str">
        <f aca="false">IF(A381="","",IFERROR(INDEX(السندات!$C$5:$C$504,MATCH(A381,السندات!$A$5:$A$504,0)),""))</f>
        <v/>
      </c>
      <c r="I381" s="71" t="str">
        <f aca="false">IF(A381="","",IFERROR(INDEX(السندات!$D$5:$D$504,MATCH(A381,السندات!$A$5:$A$504,0)),""))</f>
        <v/>
      </c>
      <c r="J381" s="72" t="str">
        <f aca="false">IF(A381="","",IF(ISNA(MATCH(A381,السندات!$A$5:$A$504,0)),"رقم سند غير موجود ✘",IF(AND(F381&lt;&gt;"",G381&lt;&gt;""),"اكتب مدين أو دائن فقط ✘",IF(AND(N(F381)=0,N(G381)=0),"بدون مبلغ ⚠",IF(B381&gt;12,"يتجاوز 12 بنداً في الطباعة ⚠","")))))</f>
        <v/>
      </c>
    </row>
    <row r="382" customFormat="false" ht="15" hidden="false" customHeight="false" outlineLevel="0" collapsed="false">
      <c r="A382" s="58"/>
      <c r="B382" s="73" t="str">
        <f aca="false">IF(A382="","",COUNTIF(A$5:A382,A382))</f>
        <v/>
      </c>
      <c r="C382" s="73" t="str">
        <f aca="false">IF(A382="","",A382&amp;"-"&amp;B382)</f>
        <v/>
      </c>
      <c r="D382" s="58"/>
      <c r="E382" s="57"/>
      <c r="F382" s="69"/>
      <c r="G382" s="69"/>
      <c r="H382" s="74" t="str">
        <f aca="false">IF(A382="","",IFERROR(INDEX(السندات!$C$5:$C$504,MATCH(A382,السندات!$A$5:$A$504,0)),""))</f>
        <v/>
      </c>
      <c r="I382" s="75" t="str">
        <f aca="false">IF(A382="","",IFERROR(INDEX(السندات!$D$5:$D$504,MATCH(A382,السندات!$A$5:$A$504,0)),""))</f>
        <v/>
      </c>
      <c r="J382" s="76" t="str">
        <f aca="false">IF(A382="","",IF(ISNA(MATCH(A382,السندات!$A$5:$A$504,0)),"رقم سند غير موجود ✘",IF(AND(F382&lt;&gt;"",G382&lt;&gt;""),"اكتب مدين أو دائن فقط ✘",IF(AND(N(F382)=0,N(G382)=0),"بدون مبلغ ⚠",IF(B382&gt;12,"يتجاوز 12 بنداً في الطباعة ⚠","")))))</f>
        <v/>
      </c>
    </row>
    <row r="383" customFormat="false" ht="15" hidden="false" customHeight="false" outlineLevel="0" collapsed="false">
      <c r="A383" s="58"/>
      <c r="B383" s="68" t="str">
        <f aca="false">IF(A383="","",COUNTIF(A$5:A383,A383))</f>
        <v/>
      </c>
      <c r="C383" s="68" t="str">
        <f aca="false">IF(A383="","",A383&amp;"-"&amp;B383)</f>
        <v/>
      </c>
      <c r="D383" s="58"/>
      <c r="E383" s="57"/>
      <c r="F383" s="69"/>
      <c r="G383" s="69"/>
      <c r="H383" s="70" t="str">
        <f aca="false">IF(A383="","",IFERROR(INDEX(السندات!$C$5:$C$504,MATCH(A383,السندات!$A$5:$A$504,0)),""))</f>
        <v/>
      </c>
      <c r="I383" s="71" t="str">
        <f aca="false">IF(A383="","",IFERROR(INDEX(السندات!$D$5:$D$504,MATCH(A383,السندات!$A$5:$A$504,0)),""))</f>
        <v/>
      </c>
      <c r="J383" s="72" t="str">
        <f aca="false">IF(A383="","",IF(ISNA(MATCH(A383,السندات!$A$5:$A$504,0)),"رقم سند غير موجود ✘",IF(AND(F383&lt;&gt;"",G383&lt;&gt;""),"اكتب مدين أو دائن فقط ✘",IF(AND(N(F383)=0,N(G383)=0),"بدون مبلغ ⚠",IF(B383&gt;12,"يتجاوز 12 بنداً في الطباعة ⚠","")))))</f>
        <v/>
      </c>
    </row>
    <row r="384" customFormat="false" ht="15" hidden="false" customHeight="false" outlineLevel="0" collapsed="false">
      <c r="A384" s="58"/>
      <c r="B384" s="73" t="str">
        <f aca="false">IF(A384="","",COUNTIF(A$5:A384,A384))</f>
        <v/>
      </c>
      <c r="C384" s="73" t="str">
        <f aca="false">IF(A384="","",A384&amp;"-"&amp;B384)</f>
        <v/>
      </c>
      <c r="D384" s="58"/>
      <c r="E384" s="57"/>
      <c r="F384" s="69"/>
      <c r="G384" s="69"/>
      <c r="H384" s="74" t="str">
        <f aca="false">IF(A384="","",IFERROR(INDEX(السندات!$C$5:$C$504,MATCH(A384,السندات!$A$5:$A$504,0)),""))</f>
        <v/>
      </c>
      <c r="I384" s="75" t="str">
        <f aca="false">IF(A384="","",IFERROR(INDEX(السندات!$D$5:$D$504,MATCH(A384,السندات!$A$5:$A$504,0)),""))</f>
        <v/>
      </c>
      <c r="J384" s="76" t="str">
        <f aca="false">IF(A384="","",IF(ISNA(MATCH(A384,السندات!$A$5:$A$504,0)),"رقم سند غير موجود ✘",IF(AND(F384&lt;&gt;"",G384&lt;&gt;""),"اكتب مدين أو دائن فقط ✘",IF(AND(N(F384)=0,N(G384)=0),"بدون مبلغ ⚠",IF(B384&gt;12,"يتجاوز 12 بنداً في الطباعة ⚠","")))))</f>
        <v/>
      </c>
    </row>
    <row r="385" customFormat="false" ht="15" hidden="false" customHeight="false" outlineLevel="0" collapsed="false">
      <c r="A385" s="58"/>
      <c r="B385" s="68" t="str">
        <f aca="false">IF(A385="","",COUNTIF(A$5:A385,A385))</f>
        <v/>
      </c>
      <c r="C385" s="68" t="str">
        <f aca="false">IF(A385="","",A385&amp;"-"&amp;B385)</f>
        <v/>
      </c>
      <c r="D385" s="58"/>
      <c r="E385" s="57"/>
      <c r="F385" s="69"/>
      <c r="G385" s="69"/>
      <c r="H385" s="70" t="str">
        <f aca="false">IF(A385="","",IFERROR(INDEX(السندات!$C$5:$C$504,MATCH(A385,السندات!$A$5:$A$504,0)),""))</f>
        <v/>
      </c>
      <c r="I385" s="71" t="str">
        <f aca="false">IF(A385="","",IFERROR(INDEX(السندات!$D$5:$D$504,MATCH(A385,السندات!$A$5:$A$504,0)),""))</f>
        <v/>
      </c>
      <c r="J385" s="72" t="str">
        <f aca="false">IF(A385="","",IF(ISNA(MATCH(A385,السندات!$A$5:$A$504,0)),"رقم سند غير موجود ✘",IF(AND(F385&lt;&gt;"",G385&lt;&gt;""),"اكتب مدين أو دائن فقط ✘",IF(AND(N(F385)=0,N(G385)=0),"بدون مبلغ ⚠",IF(B385&gt;12,"يتجاوز 12 بنداً في الطباعة ⚠","")))))</f>
        <v/>
      </c>
    </row>
    <row r="386" customFormat="false" ht="15" hidden="false" customHeight="false" outlineLevel="0" collapsed="false">
      <c r="A386" s="58"/>
      <c r="B386" s="73" t="str">
        <f aca="false">IF(A386="","",COUNTIF(A$5:A386,A386))</f>
        <v/>
      </c>
      <c r="C386" s="73" t="str">
        <f aca="false">IF(A386="","",A386&amp;"-"&amp;B386)</f>
        <v/>
      </c>
      <c r="D386" s="58"/>
      <c r="E386" s="57"/>
      <c r="F386" s="69"/>
      <c r="G386" s="69"/>
      <c r="H386" s="74" t="str">
        <f aca="false">IF(A386="","",IFERROR(INDEX(السندات!$C$5:$C$504,MATCH(A386,السندات!$A$5:$A$504,0)),""))</f>
        <v/>
      </c>
      <c r="I386" s="75" t="str">
        <f aca="false">IF(A386="","",IFERROR(INDEX(السندات!$D$5:$D$504,MATCH(A386,السندات!$A$5:$A$504,0)),""))</f>
        <v/>
      </c>
      <c r="J386" s="76" t="str">
        <f aca="false">IF(A386="","",IF(ISNA(MATCH(A386,السندات!$A$5:$A$504,0)),"رقم سند غير موجود ✘",IF(AND(F386&lt;&gt;"",G386&lt;&gt;""),"اكتب مدين أو دائن فقط ✘",IF(AND(N(F386)=0,N(G386)=0),"بدون مبلغ ⚠",IF(B386&gt;12,"يتجاوز 12 بنداً في الطباعة ⚠","")))))</f>
        <v/>
      </c>
    </row>
    <row r="387" customFormat="false" ht="15" hidden="false" customHeight="false" outlineLevel="0" collapsed="false">
      <c r="A387" s="58"/>
      <c r="B387" s="68" t="str">
        <f aca="false">IF(A387="","",COUNTIF(A$5:A387,A387))</f>
        <v/>
      </c>
      <c r="C387" s="68" t="str">
        <f aca="false">IF(A387="","",A387&amp;"-"&amp;B387)</f>
        <v/>
      </c>
      <c r="D387" s="58"/>
      <c r="E387" s="57"/>
      <c r="F387" s="69"/>
      <c r="G387" s="69"/>
      <c r="H387" s="70" t="str">
        <f aca="false">IF(A387="","",IFERROR(INDEX(السندات!$C$5:$C$504,MATCH(A387,السندات!$A$5:$A$504,0)),""))</f>
        <v/>
      </c>
      <c r="I387" s="71" t="str">
        <f aca="false">IF(A387="","",IFERROR(INDEX(السندات!$D$5:$D$504,MATCH(A387,السندات!$A$5:$A$504,0)),""))</f>
        <v/>
      </c>
      <c r="J387" s="72" t="str">
        <f aca="false">IF(A387="","",IF(ISNA(MATCH(A387,السندات!$A$5:$A$504,0)),"رقم سند غير موجود ✘",IF(AND(F387&lt;&gt;"",G387&lt;&gt;""),"اكتب مدين أو دائن فقط ✘",IF(AND(N(F387)=0,N(G387)=0),"بدون مبلغ ⚠",IF(B387&gt;12,"يتجاوز 12 بنداً في الطباعة ⚠","")))))</f>
        <v/>
      </c>
    </row>
    <row r="388" customFormat="false" ht="15" hidden="false" customHeight="false" outlineLevel="0" collapsed="false">
      <c r="A388" s="58"/>
      <c r="B388" s="73" t="str">
        <f aca="false">IF(A388="","",COUNTIF(A$5:A388,A388))</f>
        <v/>
      </c>
      <c r="C388" s="73" t="str">
        <f aca="false">IF(A388="","",A388&amp;"-"&amp;B388)</f>
        <v/>
      </c>
      <c r="D388" s="58"/>
      <c r="E388" s="57"/>
      <c r="F388" s="69"/>
      <c r="G388" s="69"/>
      <c r="H388" s="74" t="str">
        <f aca="false">IF(A388="","",IFERROR(INDEX(السندات!$C$5:$C$504,MATCH(A388,السندات!$A$5:$A$504,0)),""))</f>
        <v/>
      </c>
      <c r="I388" s="75" t="str">
        <f aca="false">IF(A388="","",IFERROR(INDEX(السندات!$D$5:$D$504,MATCH(A388,السندات!$A$5:$A$504,0)),""))</f>
        <v/>
      </c>
      <c r="J388" s="76" t="str">
        <f aca="false">IF(A388="","",IF(ISNA(MATCH(A388,السندات!$A$5:$A$504,0)),"رقم سند غير موجود ✘",IF(AND(F388&lt;&gt;"",G388&lt;&gt;""),"اكتب مدين أو دائن فقط ✘",IF(AND(N(F388)=0,N(G388)=0),"بدون مبلغ ⚠",IF(B388&gt;12,"يتجاوز 12 بنداً في الطباعة ⚠","")))))</f>
        <v/>
      </c>
    </row>
    <row r="389" customFormat="false" ht="15" hidden="false" customHeight="false" outlineLevel="0" collapsed="false">
      <c r="A389" s="58"/>
      <c r="B389" s="68" t="str">
        <f aca="false">IF(A389="","",COUNTIF(A$5:A389,A389))</f>
        <v/>
      </c>
      <c r="C389" s="68" t="str">
        <f aca="false">IF(A389="","",A389&amp;"-"&amp;B389)</f>
        <v/>
      </c>
      <c r="D389" s="58"/>
      <c r="E389" s="57"/>
      <c r="F389" s="69"/>
      <c r="G389" s="69"/>
      <c r="H389" s="70" t="str">
        <f aca="false">IF(A389="","",IFERROR(INDEX(السندات!$C$5:$C$504,MATCH(A389,السندات!$A$5:$A$504,0)),""))</f>
        <v/>
      </c>
      <c r="I389" s="71" t="str">
        <f aca="false">IF(A389="","",IFERROR(INDEX(السندات!$D$5:$D$504,MATCH(A389,السندات!$A$5:$A$504,0)),""))</f>
        <v/>
      </c>
      <c r="J389" s="72" t="str">
        <f aca="false">IF(A389="","",IF(ISNA(MATCH(A389,السندات!$A$5:$A$504,0)),"رقم سند غير موجود ✘",IF(AND(F389&lt;&gt;"",G389&lt;&gt;""),"اكتب مدين أو دائن فقط ✘",IF(AND(N(F389)=0,N(G389)=0),"بدون مبلغ ⚠",IF(B389&gt;12,"يتجاوز 12 بنداً في الطباعة ⚠","")))))</f>
        <v/>
      </c>
    </row>
    <row r="390" customFormat="false" ht="15" hidden="false" customHeight="false" outlineLevel="0" collapsed="false">
      <c r="A390" s="58"/>
      <c r="B390" s="73" t="str">
        <f aca="false">IF(A390="","",COUNTIF(A$5:A390,A390))</f>
        <v/>
      </c>
      <c r="C390" s="73" t="str">
        <f aca="false">IF(A390="","",A390&amp;"-"&amp;B390)</f>
        <v/>
      </c>
      <c r="D390" s="58"/>
      <c r="E390" s="57"/>
      <c r="F390" s="69"/>
      <c r="G390" s="69"/>
      <c r="H390" s="74" t="str">
        <f aca="false">IF(A390="","",IFERROR(INDEX(السندات!$C$5:$C$504,MATCH(A390,السندات!$A$5:$A$504,0)),""))</f>
        <v/>
      </c>
      <c r="I390" s="75" t="str">
        <f aca="false">IF(A390="","",IFERROR(INDEX(السندات!$D$5:$D$504,MATCH(A390,السندات!$A$5:$A$504,0)),""))</f>
        <v/>
      </c>
      <c r="J390" s="76" t="str">
        <f aca="false">IF(A390="","",IF(ISNA(MATCH(A390,السندات!$A$5:$A$504,0)),"رقم سند غير موجود ✘",IF(AND(F390&lt;&gt;"",G390&lt;&gt;""),"اكتب مدين أو دائن فقط ✘",IF(AND(N(F390)=0,N(G390)=0),"بدون مبلغ ⚠",IF(B390&gt;12,"يتجاوز 12 بنداً في الطباعة ⚠","")))))</f>
        <v/>
      </c>
    </row>
    <row r="391" customFormat="false" ht="15" hidden="false" customHeight="false" outlineLevel="0" collapsed="false">
      <c r="A391" s="58"/>
      <c r="B391" s="68" t="str">
        <f aca="false">IF(A391="","",COUNTIF(A$5:A391,A391))</f>
        <v/>
      </c>
      <c r="C391" s="68" t="str">
        <f aca="false">IF(A391="","",A391&amp;"-"&amp;B391)</f>
        <v/>
      </c>
      <c r="D391" s="58"/>
      <c r="E391" s="57"/>
      <c r="F391" s="69"/>
      <c r="G391" s="69"/>
      <c r="H391" s="70" t="str">
        <f aca="false">IF(A391="","",IFERROR(INDEX(السندات!$C$5:$C$504,MATCH(A391,السندات!$A$5:$A$504,0)),""))</f>
        <v/>
      </c>
      <c r="I391" s="71" t="str">
        <f aca="false">IF(A391="","",IFERROR(INDEX(السندات!$D$5:$D$504,MATCH(A391,السندات!$A$5:$A$504,0)),""))</f>
        <v/>
      </c>
      <c r="J391" s="72" t="str">
        <f aca="false">IF(A391="","",IF(ISNA(MATCH(A391,السندات!$A$5:$A$504,0)),"رقم سند غير موجود ✘",IF(AND(F391&lt;&gt;"",G391&lt;&gt;""),"اكتب مدين أو دائن فقط ✘",IF(AND(N(F391)=0,N(G391)=0),"بدون مبلغ ⚠",IF(B391&gt;12,"يتجاوز 12 بنداً في الطباعة ⚠","")))))</f>
        <v/>
      </c>
    </row>
    <row r="392" customFormat="false" ht="15" hidden="false" customHeight="false" outlineLevel="0" collapsed="false">
      <c r="A392" s="58"/>
      <c r="B392" s="73" t="str">
        <f aca="false">IF(A392="","",COUNTIF(A$5:A392,A392))</f>
        <v/>
      </c>
      <c r="C392" s="73" t="str">
        <f aca="false">IF(A392="","",A392&amp;"-"&amp;B392)</f>
        <v/>
      </c>
      <c r="D392" s="58"/>
      <c r="E392" s="57"/>
      <c r="F392" s="69"/>
      <c r="G392" s="69"/>
      <c r="H392" s="74" t="str">
        <f aca="false">IF(A392="","",IFERROR(INDEX(السندات!$C$5:$C$504,MATCH(A392,السندات!$A$5:$A$504,0)),""))</f>
        <v/>
      </c>
      <c r="I392" s="75" t="str">
        <f aca="false">IF(A392="","",IFERROR(INDEX(السندات!$D$5:$D$504,MATCH(A392,السندات!$A$5:$A$504,0)),""))</f>
        <v/>
      </c>
      <c r="J392" s="76" t="str">
        <f aca="false">IF(A392="","",IF(ISNA(MATCH(A392,السندات!$A$5:$A$504,0)),"رقم سند غير موجود ✘",IF(AND(F392&lt;&gt;"",G392&lt;&gt;""),"اكتب مدين أو دائن فقط ✘",IF(AND(N(F392)=0,N(G392)=0),"بدون مبلغ ⚠",IF(B392&gt;12,"يتجاوز 12 بنداً في الطباعة ⚠","")))))</f>
        <v/>
      </c>
    </row>
    <row r="393" customFormat="false" ht="15" hidden="false" customHeight="false" outlineLevel="0" collapsed="false">
      <c r="A393" s="58"/>
      <c r="B393" s="68" t="str">
        <f aca="false">IF(A393="","",COUNTIF(A$5:A393,A393))</f>
        <v/>
      </c>
      <c r="C393" s="68" t="str">
        <f aca="false">IF(A393="","",A393&amp;"-"&amp;B393)</f>
        <v/>
      </c>
      <c r="D393" s="58"/>
      <c r="E393" s="57"/>
      <c r="F393" s="69"/>
      <c r="G393" s="69"/>
      <c r="H393" s="70" t="str">
        <f aca="false">IF(A393="","",IFERROR(INDEX(السندات!$C$5:$C$504,MATCH(A393,السندات!$A$5:$A$504,0)),""))</f>
        <v/>
      </c>
      <c r="I393" s="71" t="str">
        <f aca="false">IF(A393="","",IFERROR(INDEX(السندات!$D$5:$D$504,MATCH(A393,السندات!$A$5:$A$504,0)),""))</f>
        <v/>
      </c>
      <c r="J393" s="72" t="str">
        <f aca="false">IF(A393="","",IF(ISNA(MATCH(A393,السندات!$A$5:$A$504,0)),"رقم سند غير موجود ✘",IF(AND(F393&lt;&gt;"",G393&lt;&gt;""),"اكتب مدين أو دائن فقط ✘",IF(AND(N(F393)=0,N(G393)=0),"بدون مبلغ ⚠",IF(B393&gt;12,"يتجاوز 12 بنداً في الطباعة ⚠","")))))</f>
        <v/>
      </c>
    </row>
    <row r="394" customFormat="false" ht="15" hidden="false" customHeight="false" outlineLevel="0" collapsed="false">
      <c r="A394" s="58"/>
      <c r="B394" s="73" t="str">
        <f aca="false">IF(A394="","",COUNTIF(A$5:A394,A394))</f>
        <v/>
      </c>
      <c r="C394" s="73" t="str">
        <f aca="false">IF(A394="","",A394&amp;"-"&amp;B394)</f>
        <v/>
      </c>
      <c r="D394" s="58"/>
      <c r="E394" s="57"/>
      <c r="F394" s="69"/>
      <c r="G394" s="69"/>
      <c r="H394" s="74" t="str">
        <f aca="false">IF(A394="","",IFERROR(INDEX(السندات!$C$5:$C$504,MATCH(A394,السندات!$A$5:$A$504,0)),""))</f>
        <v/>
      </c>
      <c r="I394" s="75" t="str">
        <f aca="false">IF(A394="","",IFERROR(INDEX(السندات!$D$5:$D$504,MATCH(A394,السندات!$A$5:$A$504,0)),""))</f>
        <v/>
      </c>
      <c r="J394" s="76" t="str">
        <f aca="false">IF(A394="","",IF(ISNA(MATCH(A394,السندات!$A$5:$A$504,0)),"رقم سند غير موجود ✘",IF(AND(F394&lt;&gt;"",G394&lt;&gt;""),"اكتب مدين أو دائن فقط ✘",IF(AND(N(F394)=0,N(G394)=0),"بدون مبلغ ⚠",IF(B394&gt;12,"يتجاوز 12 بنداً في الطباعة ⚠","")))))</f>
        <v/>
      </c>
    </row>
    <row r="395" customFormat="false" ht="15" hidden="false" customHeight="false" outlineLevel="0" collapsed="false">
      <c r="A395" s="58"/>
      <c r="B395" s="68" t="str">
        <f aca="false">IF(A395="","",COUNTIF(A$5:A395,A395))</f>
        <v/>
      </c>
      <c r="C395" s="68" t="str">
        <f aca="false">IF(A395="","",A395&amp;"-"&amp;B395)</f>
        <v/>
      </c>
      <c r="D395" s="58"/>
      <c r="E395" s="57"/>
      <c r="F395" s="69"/>
      <c r="G395" s="69"/>
      <c r="H395" s="70" t="str">
        <f aca="false">IF(A395="","",IFERROR(INDEX(السندات!$C$5:$C$504,MATCH(A395,السندات!$A$5:$A$504,0)),""))</f>
        <v/>
      </c>
      <c r="I395" s="71" t="str">
        <f aca="false">IF(A395="","",IFERROR(INDEX(السندات!$D$5:$D$504,MATCH(A395,السندات!$A$5:$A$504,0)),""))</f>
        <v/>
      </c>
      <c r="J395" s="72" t="str">
        <f aca="false">IF(A395="","",IF(ISNA(MATCH(A395,السندات!$A$5:$A$504,0)),"رقم سند غير موجود ✘",IF(AND(F395&lt;&gt;"",G395&lt;&gt;""),"اكتب مدين أو دائن فقط ✘",IF(AND(N(F395)=0,N(G395)=0),"بدون مبلغ ⚠",IF(B395&gt;12,"يتجاوز 12 بنداً في الطباعة ⚠","")))))</f>
        <v/>
      </c>
    </row>
    <row r="396" customFormat="false" ht="15" hidden="false" customHeight="false" outlineLevel="0" collapsed="false">
      <c r="A396" s="58"/>
      <c r="B396" s="73" t="str">
        <f aca="false">IF(A396="","",COUNTIF(A$5:A396,A396))</f>
        <v/>
      </c>
      <c r="C396" s="73" t="str">
        <f aca="false">IF(A396="","",A396&amp;"-"&amp;B396)</f>
        <v/>
      </c>
      <c r="D396" s="58"/>
      <c r="E396" s="57"/>
      <c r="F396" s="69"/>
      <c r="G396" s="69"/>
      <c r="H396" s="74" t="str">
        <f aca="false">IF(A396="","",IFERROR(INDEX(السندات!$C$5:$C$504,MATCH(A396,السندات!$A$5:$A$504,0)),""))</f>
        <v/>
      </c>
      <c r="I396" s="75" t="str">
        <f aca="false">IF(A396="","",IFERROR(INDEX(السندات!$D$5:$D$504,MATCH(A396,السندات!$A$5:$A$504,0)),""))</f>
        <v/>
      </c>
      <c r="J396" s="76" t="str">
        <f aca="false">IF(A396="","",IF(ISNA(MATCH(A396,السندات!$A$5:$A$504,0)),"رقم سند غير موجود ✘",IF(AND(F396&lt;&gt;"",G396&lt;&gt;""),"اكتب مدين أو دائن فقط ✘",IF(AND(N(F396)=0,N(G396)=0),"بدون مبلغ ⚠",IF(B396&gt;12,"يتجاوز 12 بنداً في الطباعة ⚠","")))))</f>
        <v/>
      </c>
    </row>
    <row r="397" customFormat="false" ht="15" hidden="false" customHeight="false" outlineLevel="0" collapsed="false">
      <c r="A397" s="58"/>
      <c r="B397" s="68" t="str">
        <f aca="false">IF(A397="","",COUNTIF(A$5:A397,A397))</f>
        <v/>
      </c>
      <c r="C397" s="68" t="str">
        <f aca="false">IF(A397="","",A397&amp;"-"&amp;B397)</f>
        <v/>
      </c>
      <c r="D397" s="58"/>
      <c r="E397" s="57"/>
      <c r="F397" s="69"/>
      <c r="G397" s="69"/>
      <c r="H397" s="70" t="str">
        <f aca="false">IF(A397="","",IFERROR(INDEX(السندات!$C$5:$C$504,MATCH(A397,السندات!$A$5:$A$504,0)),""))</f>
        <v/>
      </c>
      <c r="I397" s="71" t="str">
        <f aca="false">IF(A397="","",IFERROR(INDEX(السندات!$D$5:$D$504,MATCH(A397,السندات!$A$5:$A$504,0)),""))</f>
        <v/>
      </c>
      <c r="J397" s="72" t="str">
        <f aca="false">IF(A397="","",IF(ISNA(MATCH(A397,السندات!$A$5:$A$504,0)),"رقم سند غير موجود ✘",IF(AND(F397&lt;&gt;"",G397&lt;&gt;""),"اكتب مدين أو دائن فقط ✘",IF(AND(N(F397)=0,N(G397)=0),"بدون مبلغ ⚠",IF(B397&gt;12,"يتجاوز 12 بنداً في الطباعة ⚠","")))))</f>
        <v/>
      </c>
    </row>
    <row r="398" customFormat="false" ht="15" hidden="false" customHeight="false" outlineLevel="0" collapsed="false">
      <c r="A398" s="58"/>
      <c r="B398" s="73" t="str">
        <f aca="false">IF(A398="","",COUNTIF(A$5:A398,A398))</f>
        <v/>
      </c>
      <c r="C398" s="73" t="str">
        <f aca="false">IF(A398="","",A398&amp;"-"&amp;B398)</f>
        <v/>
      </c>
      <c r="D398" s="58"/>
      <c r="E398" s="57"/>
      <c r="F398" s="69"/>
      <c r="G398" s="69"/>
      <c r="H398" s="74" t="str">
        <f aca="false">IF(A398="","",IFERROR(INDEX(السندات!$C$5:$C$504,MATCH(A398,السندات!$A$5:$A$504,0)),""))</f>
        <v/>
      </c>
      <c r="I398" s="75" t="str">
        <f aca="false">IF(A398="","",IFERROR(INDEX(السندات!$D$5:$D$504,MATCH(A398,السندات!$A$5:$A$504,0)),""))</f>
        <v/>
      </c>
      <c r="J398" s="76" t="str">
        <f aca="false">IF(A398="","",IF(ISNA(MATCH(A398,السندات!$A$5:$A$504,0)),"رقم سند غير موجود ✘",IF(AND(F398&lt;&gt;"",G398&lt;&gt;""),"اكتب مدين أو دائن فقط ✘",IF(AND(N(F398)=0,N(G398)=0),"بدون مبلغ ⚠",IF(B398&gt;12,"يتجاوز 12 بنداً في الطباعة ⚠","")))))</f>
        <v/>
      </c>
    </row>
    <row r="399" customFormat="false" ht="15" hidden="false" customHeight="false" outlineLevel="0" collapsed="false">
      <c r="A399" s="58"/>
      <c r="B399" s="68" t="str">
        <f aca="false">IF(A399="","",COUNTIF(A$5:A399,A399))</f>
        <v/>
      </c>
      <c r="C399" s="68" t="str">
        <f aca="false">IF(A399="","",A399&amp;"-"&amp;B399)</f>
        <v/>
      </c>
      <c r="D399" s="58"/>
      <c r="E399" s="57"/>
      <c r="F399" s="69"/>
      <c r="G399" s="69"/>
      <c r="H399" s="70" t="str">
        <f aca="false">IF(A399="","",IFERROR(INDEX(السندات!$C$5:$C$504,MATCH(A399,السندات!$A$5:$A$504,0)),""))</f>
        <v/>
      </c>
      <c r="I399" s="71" t="str">
        <f aca="false">IF(A399="","",IFERROR(INDEX(السندات!$D$5:$D$504,MATCH(A399,السندات!$A$5:$A$504,0)),""))</f>
        <v/>
      </c>
      <c r="J399" s="72" t="str">
        <f aca="false">IF(A399="","",IF(ISNA(MATCH(A399,السندات!$A$5:$A$504,0)),"رقم سند غير موجود ✘",IF(AND(F399&lt;&gt;"",G399&lt;&gt;""),"اكتب مدين أو دائن فقط ✘",IF(AND(N(F399)=0,N(G399)=0),"بدون مبلغ ⚠",IF(B399&gt;12,"يتجاوز 12 بنداً في الطباعة ⚠","")))))</f>
        <v/>
      </c>
    </row>
    <row r="400" customFormat="false" ht="15" hidden="false" customHeight="false" outlineLevel="0" collapsed="false">
      <c r="A400" s="58"/>
      <c r="B400" s="73" t="str">
        <f aca="false">IF(A400="","",COUNTIF(A$5:A400,A400))</f>
        <v/>
      </c>
      <c r="C400" s="73" t="str">
        <f aca="false">IF(A400="","",A400&amp;"-"&amp;B400)</f>
        <v/>
      </c>
      <c r="D400" s="58"/>
      <c r="E400" s="57"/>
      <c r="F400" s="69"/>
      <c r="G400" s="69"/>
      <c r="H400" s="74" t="str">
        <f aca="false">IF(A400="","",IFERROR(INDEX(السندات!$C$5:$C$504,MATCH(A400,السندات!$A$5:$A$504,0)),""))</f>
        <v/>
      </c>
      <c r="I400" s="75" t="str">
        <f aca="false">IF(A400="","",IFERROR(INDEX(السندات!$D$5:$D$504,MATCH(A400,السندات!$A$5:$A$504,0)),""))</f>
        <v/>
      </c>
      <c r="J400" s="76" t="str">
        <f aca="false">IF(A400="","",IF(ISNA(MATCH(A400,السندات!$A$5:$A$504,0)),"رقم سند غير موجود ✘",IF(AND(F400&lt;&gt;"",G400&lt;&gt;""),"اكتب مدين أو دائن فقط ✘",IF(AND(N(F400)=0,N(G400)=0),"بدون مبلغ ⚠",IF(B400&gt;12,"يتجاوز 12 بنداً في الطباعة ⚠","")))))</f>
        <v/>
      </c>
    </row>
    <row r="401" customFormat="false" ht="15" hidden="false" customHeight="false" outlineLevel="0" collapsed="false">
      <c r="A401" s="58"/>
      <c r="B401" s="68" t="str">
        <f aca="false">IF(A401="","",COUNTIF(A$5:A401,A401))</f>
        <v/>
      </c>
      <c r="C401" s="68" t="str">
        <f aca="false">IF(A401="","",A401&amp;"-"&amp;B401)</f>
        <v/>
      </c>
      <c r="D401" s="58"/>
      <c r="E401" s="57"/>
      <c r="F401" s="69"/>
      <c r="G401" s="69"/>
      <c r="H401" s="70" t="str">
        <f aca="false">IF(A401="","",IFERROR(INDEX(السندات!$C$5:$C$504,MATCH(A401,السندات!$A$5:$A$504,0)),""))</f>
        <v/>
      </c>
      <c r="I401" s="71" t="str">
        <f aca="false">IF(A401="","",IFERROR(INDEX(السندات!$D$5:$D$504,MATCH(A401,السندات!$A$5:$A$504,0)),""))</f>
        <v/>
      </c>
      <c r="J401" s="72" t="str">
        <f aca="false">IF(A401="","",IF(ISNA(MATCH(A401,السندات!$A$5:$A$504,0)),"رقم سند غير موجود ✘",IF(AND(F401&lt;&gt;"",G401&lt;&gt;""),"اكتب مدين أو دائن فقط ✘",IF(AND(N(F401)=0,N(G401)=0),"بدون مبلغ ⚠",IF(B401&gt;12,"يتجاوز 12 بنداً في الطباعة ⚠","")))))</f>
        <v/>
      </c>
    </row>
    <row r="402" customFormat="false" ht="15" hidden="false" customHeight="false" outlineLevel="0" collapsed="false">
      <c r="A402" s="58"/>
      <c r="B402" s="73" t="str">
        <f aca="false">IF(A402="","",COUNTIF(A$5:A402,A402))</f>
        <v/>
      </c>
      <c r="C402" s="73" t="str">
        <f aca="false">IF(A402="","",A402&amp;"-"&amp;B402)</f>
        <v/>
      </c>
      <c r="D402" s="58"/>
      <c r="E402" s="57"/>
      <c r="F402" s="69"/>
      <c r="G402" s="69"/>
      <c r="H402" s="74" t="str">
        <f aca="false">IF(A402="","",IFERROR(INDEX(السندات!$C$5:$C$504,MATCH(A402,السندات!$A$5:$A$504,0)),""))</f>
        <v/>
      </c>
      <c r="I402" s="75" t="str">
        <f aca="false">IF(A402="","",IFERROR(INDEX(السندات!$D$5:$D$504,MATCH(A402,السندات!$A$5:$A$504,0)),""))</f>
        <v/>
      </c>
      <c r="J402" s="76" t="str">
        <f aca="false">IF(A402="","",IF(ISNA(MATCH(A402,السندات!$A$5:$A$504,0)),"رقم سند غير موجود ✘",IF(AND(F402&lt;&gt;"",G402&lt;&gt;""),"اكتب مدين أو دائن فقط ✘",IF(AND(N(F402)=0,N(G402)=0),"بدون مبلغ ⚠",IF(B402&gt;12,"يتجاوز 12 بنداً في الطباعة ⚠","")))))</f>
        <v/>
      </c>
    </row>
    <row r="403" customFormat="false" ht="15" hidden="false" customHeight="false" outlineLevel="0" collapsed="false">
      <c r="A403" s="58"/>
      <c r="B403" s="68" t="str">
        <f aca="false">IF(A403="","",COUNTIF(A$5:A403,A403))</f>
        <v/>
      </c>
      <c r="C403" s="68" t="str">
        <f aca="false">IF(A403="","",A403&amp;"-"&amp;B403)</f>
        <v/>
      </c>
      <c r="D403" s="58"/>
      <c r="E403" s="57"/>
      <c r="F403" s="69"/>
      <c r="G403" s="69"/>
      <c r="H403" s="70" t="str">
        <f aca="false">IF(A403="","",IFERROR(INDEX(السندات!$C$5:$C$504,MATCH(A403,السندات!$A$5:$A$504,0)),""))</f>
        <v/>
      </c>
      <c r="I403" s="71" t="str">
        <f aca="false">IF(A403="","",IFERROR(INDEX(السندات!$D$5:$D$504,MATCH(A403,السندات!$A$5:$A$504,0)),""))</f>
        <v/>
      </c>
      <c r="J403" s="72" t="str">
        <f aca="false">IF(A403="","",IF(ISNA(MATCH(A403,السندات!$A$5:$A$504,0)),"رقم سند غير موجود ✘",IF(AND(F403&lt;&gt;"",G403&lt;&gt;""),"اكتب مدين أو دائن فقط ✘",IF(AND(N(F403)=0,N(G403)=0),"بدون مبلغ ⚠",IF(B403&gt;12,"يتجاوز 12 بنداً في الطباعة ⚠","")))))</f>
        <v/>
      </c>
    </row>
    <row r="404" customFormat="false" ht="15" hidden="false" customHeight="false" outlineLevel="0" collapsed="false">
      <c r="A404" s="58"/>
      <c r="B404" s="73" t="str">
        <f aca="false">IF(A404="","",COUNTIF(A$5:A404,A404))</f>
        <v/>
      </c>
      <c r="C404" s="73" t="str">
        <f aca="false">IF(A404="","",A404&amp;"-"&amp;B404)</f>
        <v/>
      </c>
      <c r="D404" s="58"/>
      <c r="E404" s="57"/>
      <c r="F404" s="69"/>
      <c r="G404" s="69"/>
      <c r="H404" s="74" t="str">
        <f aca="false">IF(A404="","",IFERROR(INDEX(السندات!$C$5:$C$504,MATCH(A404,السندات!$A$5:$A$504,0)),""))</f>
        <v/>
      </c>
      <c r="I404" s="75" t="str">
        <f aca="false">IF(A404="","",IFERROR(INDEX(السندات!$D$5:$D$504,MATCH(A404,السندات!$A$5:$A$504,0)),""))</f>
        <v/>
      </c>
      <c r="J404" s="76" t="str">
        <f aca="false">IF(A404="","",IF(ISNA(MATCH(A404,السندات!$A$5:$A$504,0)),"رقم سند غير موجود ✘",IF(AND(F404&lt;&gt;"",G404&lt;&gt;""),"اكتب مدين أو دائن فقط ✘",IF(AND(N(F404)=0,N(G404)=0),"بدون مبلغ ⚠",IF(B404&gt;12,"يتجاوز 12 بنداً في الطباعة ⚠","")))))</f>
        <v/>
      </c>
    </row>
    <row r="405" customFormat="false" ht="15" hidden="false" customHeight="false" outlineLevel="0" collapsed="false">
      <c r="A405" s="58"/>
      <c r="B405" s="68" t="str">
        <f aca="false">IF(A405="","",COUNTIF(A$5:A405,A405))</f>
        <v/>
      </c>
      <c r="C405" s="68" t="str">
        <f aca="false">IF(A405="","",A405&amp;"-"&amp;B405)</f>
        <v/>
      </c>
      <c r="D405" s="58"/>
      <c r="E405" s="57"/>
      <c r="F405" s="69"/>
      <c r="G405" s="69"/>
      <c r="H405" s="70" t="str">
        <f aca="false">IF(A405="","",IFERROR(INDEX(السندات!$C$5:$C$504,MATCH(A405,السندات!$A$5:$A$504,0)),""))</f>
        <v/>
      </c>
      <c r="I405" s="71" t="str">
        <f aca="false">IF(A405="","",IFERROR(INDEX(السندات!$D$5:$D$504,MATCH(A405,السندات!$A$5:$A$504,0)),""))</f>
        <v/>
      </c>
      <c r="J405" s="72" t="str">
        <f aca="false">IF(A405="","",IF(ISNA(MATCH(A405,السندات!$A$5:$A$504,0)),"رقم سند غير موجود ✘",IF(AND(F405&lt;&gt;"",G405&lt;&gt;""),"اكتب مدين أو دائن فقط ✘",IF(AND(N(F405)=0,N(G405)=0),"بدون مبلغ ⚠",IF(B405&gt;12,"يتجاوز 12 بنداً في الطباعة ⚠","")))))</f>
        <v/>
      </c>
    </row>
    <row r="406" customFormat="false" ht="15" hidden="false" customHeight="false" outlineLevel="0" collapsed="false">
      <c r="A406" s="58"/>
      <c r="B406" s="73" t="str">
        <f aca="false">IF(A406="","",COUNTIF(A$5:A406,A406))</f>
        <v/>
      </c>
      <c r="C406" s="73" t="str">
        <f aca="false">IF(A406="","",A406&amp;"-"&amp;B406)</f>
        <v/>
      </c>
      <c r="D406" s="58"/>
      <c r="E406" s="57"/>
      <c r="F406" s="69"/>
      <c r="G406" s="69"/>
      <c r="H406" s="74" t="str">
        <f aca="false">IF(A406="","",IFERROR(INDEX(السندات!$C$5:$C$504,MATCH(A406,السندات!$A$5:$A$504,0)),""))</f>
        <v/>
      </c>
      <c r="I406" s="75" t="str">
        <f aca="false">IF(A406="","",IFERROR(INDEX(السندات!$D$5:$D$504,MATCH(A406,السندات!$A$5:$A$504,0)),""))</f>
        <v/>
      </c>
      <c r="J406" s="76" t="str">
        <f aca="false">IF(A406="","",IF(ISNA(MATCH(A406,السندات!$A$5:$A$504,0)),"رقم سند غير موجود ✘",IF(AND(F406&lt;&gt;"",G406&lt;&gt;""),"اكتب مدين أو دائن فقط ✘",IF(AND(N(F406)=0,N(G406)=0),"بدون مبلغ ⚠",IF(B406&gt;12,"يتجاوز 12 بنداً في الطباعة ⚠","")))))</f>
        <v/>
      </c>
    </row>
    <row r="407" customFormat="false" ht="15" hidden="false" customHeight="false" outlineLevel="0" collapsed="false">
      <c r="A407" s="58"/>
      <c r="B407" s="68" t="str">
        <f aca="false">IF(A407="","",COUNTIF(A$5:A407,A407))</f>
        <v/>
      </c>
      <c r="C407" s="68" t="str">
        <f aca="false">IF(A407="","",A407&amp;"-"&amp;B407)</f>
        <v/>
      </c>
      <c r="D407" s="58"/>
      <c r="E407" s="57"/>
      <c r="F407" s="69"/>
      <c r="G407" s="69"/>
      <c r="H407" s="70" t="str">
        <f aca="false">IF(A407="","",IFERROR(INDEX(السندات!$C$5:$C$504,MATCH(A407,السندات!$A$5:$A$504,0)),""))</f>
        <v/>
      </c>
      <c r="I407" s="71" t="str">
        <f aca="false">IF(A407="","",IFERROR(INDEX(السندات!$D$5:$D$504,MATCH(A407,السندات!$A$5:$A$504,0)),""))</f>
        <v/>
      </c>
      <c r="J407" s="72" t="str">
        <f aca="false">IF(A407="","",IF(ISNA(MATCH(A407,السندات!$A$5:$A$504,0)),"رقم سند غير موجود ✘",IF(AND(F407&lt;&gt;"",G407&lt;&gt;""),"اكتب مدين أو دائن فقط ✘",IF(AND(N(F407)=0,N(G407)=0),"بدون مبلغ ⚠",IF(B407&gt;12,"يتجاوز 12 بنداً في الطباعة ⚠","")))))</f>
        <v/>
      </c>
    </row>
    <row r="408" customFormat="false" ht="15" hidden="false" customHeight="false" outlineLevel="0" collapsed="false">
      <c r="A408" s="58"/>
      <c r="B408" s="73" t="str">
        <f aca="false">IF(A408="","",COUNTIF(A$5:A408,A408))</f>
        <v/>
      </c>
      <c r="C408" s="73" t="str">
        <f aca="false">IF(A408="","",A408&amp;"-"&amp;B408)</f>
        <v/>
      </c>
      <c r="D408" s="58"/>
      <c r="E408" s="57"/>
      <c r="F408" s="69"/>
      <c r="G408" s="69"/>
      <c r="H408" s="74" t="str">
        <f aca="false">IF(A408="","",IFERROR(INDEX(السندات!$C$5:$C$504,MATCH(A408,السندات!$A$5:$A$504,0)),""))</f>
        <v/>
      </c>
      <c r="I408" s="75" t="str">
        <f aca="false">IF(A408="","",IFERROR(INDEX(السندات!$D$5:$D$504,MATCH(A408,السندات!$A$5:$A$504,0)),""))</f>
        <v/>
      </c>
      <c r="J408" s="76" t="str">
        <f aca="false">IF(A408="","",IF(ISNA(MATCH(A408,السندات!$A$5:$A$504,0)),"رقم سند غير موجود ✘",IF(AND(F408&lt;&gt;"",G408&lt;&gt;""),"اكتب مدين أو دائن فقط ✘",IF(AND(N(F408)=0,N(G408)=0),"بدون مبلغ ⚠",IF(B408&gt;12,"يتجاوز 12 بنداً في الطباعة ⚠","")))))</f>
        <v/>
      </c>
    </row>
    <row r="409" customFormat="false" ht="15" hidden="false" customHeight="false" outlineLevel="0" collapsed="false">
      <c r="A409" s="58"/>
      <c r="B409" s="68" t="str">
        <f aca="false">IF(A409="","",COUNTIF(A$5:A409,A409))</f>
        <v/>
      </c>
      <c r="C409" s="68" t="str">
        <f aca="false">IF(A409="","",A409&amp;"-"&amp;B409)</f>
        <v/>
      </c>
      <c r="D409" s="58"/>
      <c r="E409" s="57"/>
      <c r="F409" s="69"/>
      <c r="G409" s="69"/>
      <c r="H409" s="70" t="str">
        <f aca="false">IF(A409="","",IFERROR(INDEX(السندات!$C$5:$C$504,MATCH(A409,السندات!$A$5:$A$504,0)),""))</f>
        <v/>
      </c>
      <c r="I409" s="71" t="str">
        <f aca="false">IF(A409="","",IFERROR(INDEX(السندات!$D$5:$D$504,MATCH(A409,السندات!$A$5:$A$504,0)),""))</f>
        <v/>
      </c>
      <c r="J409" s="72" t="str">
        <f aca="false">IF(A409="","",IF(ISNA(MATCH(A409,السندات!$A$5:$A$504,0)),"رقم سند غير موجود ✘",IF(AND(F409&lt;&gt;"",G409&lt;&gt;""),"اكتب مدين أو دائن فقط ✘",IF(AND(N(F409)=0,N(G409)=0),"بدون مبلغ ⚠",IF(B409&gt;12,"يتجاوز 12 بنداً في الطباعة ⚠","")))))</f>
        <v/>
      </c>
    </row>
    <row r="410" customFormat="false" ht="15" hidden="false" customHeight="false" outlineLevel="0" collapsed="false">
      <c r="A410" s="58"/>
      <c r="B410" s="73" t="str">
        <f aca="false">IF(A410="","",COUNTIF(A$5:A410,A410))</f>
        <v/>
      </c>
      <c r="C410" s="73" t="str">
        <f aca="false">IF(A410="","",A410&amp;"-"&amp;B410)</f>
        <v/>
      </c>
      <c r="D410" s="58"/>
      <c r="E410" s="57"/>
      <c r="F410" s="69"/>
      <c r="G410" s="69"/>
      <c r="H410" s="74" t="str">
        <f aca="false">IF(A410="","",IFERROR(INDEX(السندات!$C$5:$C$504,MATCH(A410,السندات!$A$5:$A$504,0)),""))</f>
        <v/>
      </c>
      <c r="I410" s="75" t="str">
        <f aca="false">IF(A410="","",IFERROR(INDEX(السندات!$D$5:$D$504,MATCH(A410,السندات!$A$5:$A$504,0)),""))</f>
        <v/>
      </c>
      <c r="J410" s="76" t="str">
        <f aca="false">IF(A410="","",IF(ISNA(MATCH(A410,السندات!$A$5:$A$504,0)),"رقم سند غير موجود ✘",IF(AND(F410&lt;&gt;"",G410&lt;&gt;""),"اكتب مدين أو دائن فقط ✘",IF(AND(N(F410)=0,N(G410)=0),"بدون مبلغ ⚠",IF(B410&gt;12,"يتجاوز 12 بنداً في الطباعة ⚠","")))))</f>
        <v/>
      </c>
    </row>
    <row r="411" customFormat="false" ht="15" hidden="false" customHeight="false" outlineLevel="0" collapsed="false">
      <c r="A411" s="58"/>
      <c r="B411" s="68" t="str">
        <f aca="false">IF(A411="","",COUNTIF(A$5:A411,A411))</f>
        <v/>
      </c>
      <c r="C411" s="68" t="str">
        <f aca="false">IF(A411="","",A411&amp;"-"&amp;B411)</f>
        <v/>
      </c>
      <c r="D411" s="58"/>
      <c r="E411" s="57"/>
      <c r="F411" s="69"/>
      <c r="G411" s="69"/>
      <c r="H411" s="70" t="str">
        <f aca="false">IF(A411="","",IFERROR(INDEX(السندات!$C$5:$C$504,MATCH(A411,السندات!$A$5:$A$504,0)),""))</f>
        <v/>
      </c>
      <c r="I411" s="71" t="str">
        <f aca="false">IF(A411="","",IFERROR(INDEX(السندات!$D$5:$D$504,MATCH(A411,السندات!$A$5:$A$504,0)),""))</f>
        <v/>
      </c>
      <c r="J411" s="72" t="str">
        <f aca="false">IF(A411="","",IF(ISNA(MATCH(A411,السندات!$A$5:$A$504,0)),"رقم سند غير موجود ✘",IF(AND(F411&lt;&gt;"",G411&lt;&gt;""),"اكتب مدين أو دائن فقط ✘",IF(AND(N(F411)=0,N(G411)=0),"بدون مبلغ ⚠",IF(B411&gt;12,"يتجاوز 12 بنداً في الطباعة ⚠","")))))</f>
        <v/>
      </c>
    </row>
    <row r="412" customFormat="false" ht="15" hidden="false" customHeight="false" outlineLevel="0" collapsed="false">
      <c r="A412" s="58"/>
      <c r="B412" s="73" t="str">
        <f aca="false">IF(A412="","",COUNTIF(A$5:A412,A412))</f>
        <v/>
      </c>
      <c r="C412" s="73" t="str">
        <f aca="false">IF(A412="","",A412&amp;"-"&amp;B412)</f>
        <v/>
      </c>
      <c r="D412" s="58"/>
      <c r="E412" s="57"/>
      <c r="F412" s="69"/>
      <c r="G412" s="69"/>
      <c r="H412" s="74" t="str">
        <f aca="false">IF(A412="","",IFERROR(INDEX(السندات!$C$5:$C$504,MATCH(A412,السندات!$A$5:$A$504,0)),""))</f>
        <v/>
      </c>
      <c r="I412" s="75" t="str">
        <f aca="false">IF(A412="","",IFERROR(INDEX(السندات!$D$5:$D$504,MATCH(A412,السندات!$A$5:$A$504,0)),""))</f>
        <v/>
      </c>
      <c r="J412" s="76" t="str">
        <f aca="false">IF(A412="","",IF(ISNA(MATCH(A412,السندات!$A$5:$A$504,0)),"رقم سند غير موجود ✘",IF(AND(F412&lt;&gt;"",G412&lt;&gt;""),"اكتب مدين أو دائن فقط ✘",IF(AND(N(F412)=0,N(G412)=0),"بدون مبلغ ⚠",IF(B412&gt;12,"يتجاوز 12 بنداً في الطباعة ⚠","")))))</f>
        <v/>
      </c>
    </row>
    <row r="413" customFormat="false" ht="15" hidden="false" customHeight="false" outlineLevel="0" collapsed="false">
      <c r="A413" s="58"/>
      <c r="B413" s="68" t="str">
        <f aca="false">IF(A413="","",COUNTIF(A$5:A413,A413))</f>
        <v/>
      </c>
      <c r="C413" s="68" t="str">
        <f aca="false">IF(A413="","",A413&amp;"-"&amp;B413)</f>
        <v/>
      </c>
      <c r="D413" s="58"/>
      <c r="E413" s="57"/>
      <c r="F413" s="69"/>
      <c r="G413" s="69"/>
      <c r="H413" s="70" t="str">
        <f aca="false">IF(A413="","",IFERROR(INDEX(السندات!$C$5:$C$504,MATCH(A413,السندات!$A$5:$A$504,0)),""))</f>
        <v/>
      </c>
      <c r="I413" s="71" t="str">
        <f aca="false">IF(A413="","",IFERROR(INDEX(السندات!$D$5:$D$504,MATCH(A413,السندات!$A$5:$A$504,0)),""))</f>
        <v/>
      </c>
      <c r="J413" s="72" t="str">
        <f aca="false">IF(A413="","",IF(ISNA(MATCH(A413,السندات!$A$5:$A$504,0)),"رقم سند غير موجود ✘",IF(AND(F413&lt;&gt;"",G413&lt;&gt;""),"اكتب مدين أو دائن فقط ✘",IF(AND(N(F413)=0,N(G413)=0),"بدون مبلغ ⚠",IF(B413&gt;12,"يتجاوز 12 بنداً في الطباعة ⚠","")))))</f>
        <v/>
      </c>
    </row>
    <row r="414" customFormat="false" ht="15" hidden="false" customHeight="false" outlineLevel="0" collapsed="false">
      <c r="A414" s="58"/>
      <c r="B414" s="73" t="str">
        <f aca="false">IF(A414="","",COUNTIF(A$5:A414,A414))</f>
        <v/>
      </c>
      <c r="C414" s="73" t="str">
        <f aca="false">IF(A414="","",A414&amp;"-"&amp;B414)</f>
        <v/>
      </c>
      <c r="D414" s="58"/>
      <c r="E414" s="57"/>
      <c r="F414" s="69"/>
      <c r="G414" s="69"/>
      <c r="H414" s="74" t="str">
        <f aca="false">IF(A414="","",IFERROR(INDEX(السندات!$C$5:$C$504,MATCH(A414,السندات!$A$5:$A$504,0)),""))</f>
        <v/>
      </c>
      <c r="I414" s="75" t="str">
        <f aca="false">IF(A414="","",IFERROR(INDEX(السندات!$D$5:$D$504,MATCH(A414,السندات!$A$5:$A$504,0)),""))</f>
        <v/>
      </c>
      <c r="J414" s="76" t="str">
        <f aca="false">IF(A414="","",IF(ISNA(MATCH(A414,السندات!$A$5:$A$504,0)),"رقم سند غير موجود ✘",IF(AND(F414&lt;&gt;"",G414&lt;&gt;""),"اكتب مدين أو دائن فقط ✘",IF(AND(N(F414)=0,N(G414)=0),"بدون مبلغ ⚠",IF(B414&gt;12,"يتجاوز 12 بنداً في الطباعة ⚠","")))))</f>
        <v/>
      </c>
    </row>
    <row r="415" customFormat="false" ht="15" hidden="false" customHeight="false" outlineLevel="0" collapsed="false">
      <c r="A415" s="58"/>
      <c r="B415" s="68" t="str">
        <f aca="false">IF(A415="","",COUNTIF(A$5:A415,A415))</f>
        <v/>
      </c>
      <c r="C415" s="68" t="str">
        <f aca="false">IF(A415="","",A415&amp;"-"&amp;B415)</f>
        <v/>
      </c>
      <c r="D415" s="58"/>
      <c r="E415" s="57"/>
      <c r="F415" s="69"/>
      <c r="G415" s="69"/>
      <c r="H415" s="70" t="str">
        <f aca="false">IF(A415="","",IFERROR(INDEX(السندات!$C$5:$C$504,MATCH(A415,السندات!$A$5:$A$504,0)),""))</f>
        <v/>
      </c>
      <c r="I415" s="71" t="str">
        <f aca="false">IF(A415="","",IFERROR(INDEX(السندات!$D$5:$D$504,MATCH(A415,السندات!$A$5:$A$504,0)),""))</f>
        <v/>
      </c>
      <c r="J415" s="72" t="str">
        <f aca="false">IF(A415="","",IF(ISNA(MATCH(A415,السندات!$A$5:$A$504,0)),"رقم سند غير موجود ✘",IF(AND(F415&lt;&gt;"",G415&lt;&gt;""),"اكتب مدين أو دائن فقط ✘",IF(AND(N(F415)=0,N(G415)=0),"بدون مبلغ ⚠",IF(B415&gt;12,"يتجاوز 12 بنداً في الطباعة ⚠","")))))</f>
        <v/>
      </c>
    </row>
    <row r="416" customFormat="false" ht="15" hidden="false" customHeight="false" outlineLevel="0" collapsed="false">
      <c r="A416" s="58"/>
      <c r="B416" s="73" t="str">
        <f aca="false">IF(A416="","",COUNTIF(A$5:A416,A416))</f>
        <v/>
      </c>
      <c r="C416" s="73" t="str">
        <f aca="false">IF(A416="","",A416&amp;"-"&amp;B416)</f>
        <v/>
      </c>
      <c r="D416" s="58"/>
      <c r="E416" s="57"/>
      <c r="F416" s="69"/>
      <c r="G416" s="69"/>
      <c r="H416" s="74" t="str">
        <f aca="false">IF(A416="","",IFERROR(INDEX(السندات!$C$5:$C$504,MATCH(A416,السندات!$A$5:$A$504,0)),""))</f>
        <v/>
      </c>
      <c r="I416" s="75" t="str">
        <f aca="false">IF(A416="","",IFERROR(INDEX(السندات!$D$5:$D$504,MATCH(A416,السندات!$A$5:$A$504,0)),""))</f>
        <v/>
      </c>
      <c r="J416" s="76" t="str">
        <f aca="false">IF(A416="","",IF(ISNA(MATCH(A416,السندات!$A$5:$A$504,0)),"رقم سند غير موجود ✘",IF(AND(F416&lt;&gt;"",G416&lt;&gt;""),"اكتب مدين أو دائن فقط ✘",IF(AND(N(F416)=0,N(G416)=0),"بدون مبلغ ⚠",IF(B416&gt;12,"يتجاوز 12 بنداً في الطباعة ⚠","")))))</f>
        <v/>
      </c>
    </row>
    <row r="417" customFormat="false" ht="15" hidden="false" customHeight="false" outlineLevel="0" collapsed="false">
      <c r="A417" s="58"/>
      <c r="B417" s="68" t="str">
        <f aca="false">IF(A417="","",COUNTIF(A$5:A417,A417))</f>
        <v/>
      </c>
      <c r="C417" s="68" t="str">
        <f aca="false">IF(A417="","",A417&amp;"-"&amp;B417)</f>
        <v/>
      </c>
      <c r="D417" s="58"/>
      <c r="E417" s="57"/>
      <c r="F417" s="69"/>
      <c r="G417" s="69"/>
      <c r="H417" s="70" t="str">
        <f aca="false">IF(A417="","",IFERROR(INDEX(السندات!$C$5:$C$504,MATCH(A417,السندات!$A$5:$A$504,0)),""))</f>
        <v/>
      </c>
      <c r="I417" s="71" t="str">
        <f aca="false">IF(A417="","",IFERROR(INDEX(السندات!$D$5:$D$504,MATCH(A417,السندات!$A$5:$A$504,0)),""))</f>
        <v/>
      </c>
      <c r="J417" s="72" t="str">
        <f aca="false">IF(A417="","",IF(ISNA(MATCH(A417,السندات!$A$5:$A$504,0)),"رقم سند غير موجود ✘",IF(AND(F417&lt;&gt;"",G417&lt;&gt;""),"اكتب مدين أو دائن فقط ✘",IF(AND(N(F417)=0,N(G417)=0),"بدون مبلغ ⚠",IF(B417&gt;12,"يتجاوز 12 بنداً في الطباعة ⚠","")))))</f>
        <v/>
      </c>
    </row>
    <row r="418" customFormat="false" ht="15" hidden="false" customHeight="false" outlineLevel="0" collapsed="false">
      <c r="A418" s="58"/>
      <c r="B418" s="73" t="str">
        <f aca="false">IF(A418="","",COUNTIF(A$5:A418,A418))</f>
        <v/>
      </c>
      <c r="C418" s="73" t="str">
        <f aca="false">IF(A418="","",A418&amp;"-"&amp;B418)</f>
        <v/>
      </c>
      <c r="D418" s="58"/>
      <c r="E418" s="57"/>
      <c r="F418" s="69"/>
      <c r="G418" s="69"/>
      <c r="H418" s="74" t="str">
        <f aca="false">IF(A418="","",IFERROR(INDEX(السندات!$C$5:$C$504,MATCH(A418,السندات!$A$5:$A$504,0)),""))</f>
        <v/>
      </c>
      <c r="I418" s="75" t="str">
        <f aca="false">IF(A418="","",IFERROR(INDEX(السندات!$D$5:$D$504,MATCH(A418,السندات!$A$5:$A$504,0)),""))</f>
        <v/>
      </c>
      <c r="J418" s="76" t="str">
        <f aca="false">IF(A418="","",IF(ISNA(MATCH(A418,السندات!$A$5:$A$504,0)),"رقم سند غير موجود ✘",IF(AND(F418&lt;&gt;"",G418&lt;&gt;""),"اكتب مدين أو دائن فقط ✘",IF(AND(N(F418)=0,N(G418)=0),"بدون مبلغ ⚠",IF(B418&gt;12,"يتجاوز 12 بنداً في الطباعة ⚠","")))))</f>
        <v/>
      </c>
    </row>
    <row r="419" customFormat="false" ht="15" hidden="false" customHeight="false" outlineLevel="0" collapsed="false">
      <c r="A419" s="58"/>
      <c r="B419" s="68" t="str">
        <f aca="false">IF(A419="","",COUNTIF(A$5:A419,A419))</f>
        <v/>
      </c>
      <c r="C419" s="68" t="str">
        <f aca="false">IF(A419="","",A419&amp;"-"&amp;B419)</f>
        <v/>
      </c>
      <c r="D419" s="58"/>
      <c r="E419" s="57"/>
      <c r="F419" s="69"/>
      <c r="G419" s="69"/>
      <c r="H419" s="70" t="str">
        <f aca="false">IF(A419="","",IFERROR(INDEX(السندات!$C$5:$C$504,MATCH(A419,السندات!$A$5:$A$504,0)),""))</f>
        <v/>
      </c>
      <c r="I419" s="71" t="str">
        <f aca="false">IF(A419="","",IFERROR(INDEX(السندات!$D$5:$D$504,MATCH(A419,السندات!$A$5:$A$504,0)),""))</f>
        <v/>
      </c>
      <c r="J419" s="72" t="str">
        <f aca="false">IF(A419="","",IF(ISNA(MATCH(A419,السندات!$A$5:$A$504,0)),"رقم سند غير موجود ✘",IF(AND(F419&lt;&gt;"",G419&lt;&gt;""),"اكتب مدين أو دائن فقط ✘",IF(AND(N(F419)=0,N(G419)=0),"بدون مبلغ ⚠",IF(B419&gt;12,"يتجاوز 12 بنداً في الطباعة ⚠","")))))</f>
        <v/>
      </c>
    </row>
    <row r="420" customFormat="false" ht="15" hidden="false" customHeight="false" outlineLevel="0" collapsed="false">
      <c r="A420" s="58"/>
      <c r="B420" s="73" t="str">
        <f aca="false">IF(A420="","",COUNTIF(A$5:A420,A420))</f>
        <v/>
      </c>
      <c r="C420" s="73" t="str">
        <f aca="false">IF(A420="","",A420&amp;"-"&amp;B420)</f>
        <v/>
      </c>
      <c r="D420" s="58"/>
      <c r="E420" s="57"/>
      <c r="F420" s="69"/>
      <c r="G420" s="69"/>
      <c r="H420" s="74" t="str">
        <f aca="false">IF(A420="","",IFERROR(INDEX(السندات!$C$5:$C$504,MATCH(A420,السندات!$A$5:$A$504,0)),""))</f>
        <v/>
      </c>
      <c r="I420" s="75" t="str">
        <f aca="false">IF(A420="","",IFERROR(INDEX(السندات!$D$5:$D$504,MATCH(A420,السندات!$A$5:$A$504,0)),""))</f>
        <v/>
      </c>
      <c r="J420" s="76" t="str">
        <f aca="false">IF(A420="","",IF(ISNA(MATCH(A420,السندات!$A$5:$A$504,0)),"رقم سند غير موجود ✘",IF(AND(F420&lt;&gt;"",G420&lt;&gt;""),"اكتب مدين أو دائن فقط ✘",IF(AND(N(F420)=0,N(G420)=0),"بدون مبلغ ⚠",IF(B420&gt;12,"يتجاوز 12 بنداً في الطباعة ⚠","")))))</f>
        <v/>
      </c>
    </row>
    <row r="421" customFormat="false" ht="15" hidden="false" customHeight="false" outlineLevel="0" collapsed="false">
      <c r="A421" s="58"/>
      <c r="B421" s="68" t="str">
        <f aca="false">IF(A421="","",COUNTIF(A$5:A421,A421))</f>
        <v/>
      </c>
      <c r="C421" s="68" t="str">
        <f aca="false">IF(A421="","",A421&amp;"-"&amp;B421)</f>
        <v/>
      </c>
      <c r="D421" s="58"/>
      <c r="E421" s="57"/>
      <c r="F421" s="69"/>
      <c r="G421" s="69"/>
      <c r="H421" s="70" t="str">
        <f aca="false">IF(A421="","",IFERROR(INDEX(السندات!$C$5:$C$504,MATCH(A421,السندات!$A$5:$A$504,0)),""))</f>
        <v/>
      </c>
      <c r="I421" s="71" t="str">
        <f aca="false">IF(A421="","",IFERROR(INDEX(السندات!$D$5:$D$504,MATCH(A421,السندات!$A$5:$A$504,0)),""))</f>
        <v/>
      </c>
      <c r="J421" s="72" t="str">
        <f aca="false">IF(A421="","",IF(ISNA(MATCH(A421,السندات!$A$5:$A$504,0)),"رقم سند غير موجود ✘",IF(AND(F421&lt;&gt;"",G421&lt;&gt;""),"اكتب مدين أو دائن فقط ✘",IF(AND(N(F421)=0,N(G421)=0),"بدون مبلغ ⚠",IF(B421&gt;12,"يتجاوز 12 بنداً في الطباعة ⚠","")))))</f>
        <v/>
      </c>
    </row>
    <row r="422" customFormat="false" ht="15" hidden="false" customHeight="false" outlineLevel="0" collapsed="false">
      <c r="A422" s="58"/>
      <c r="B422" s="73" t="str">
        <f aca="false">IF(A422="","",COUNTIF(A$5:A422,A422))</f>
        <v/>
      </c>
      <c r="C422" s="73" t="str">
        <f aca="false">IF(A422="","",A422&amp;"-"&amp;B422)</f>
        <v/>
      </c>
      <c r="D422" s="58"/>
      <c r="E422" s="57"/>
      <c r="F422" s="69"/>
      <c r="G422" s="69"/>
      <c r="H422" s="74" t="str">
        <f aca="false">IF(A422="","",IFERROR(INDEX(السندات!$C$5:$C$504,MATCH(A422,السندات!$A$5:$A$504,0)),""))</f>
        <v/>
      </c>
      <c r="I422" s="75" t="str">
        <f aca="false">IF(A422="","",IFERROR(INDEX(السندات!$D$5:$D$504,MATCH(A422,السندات!$A$5:$A$504,0)),""))</f>
        <v/>
      </c>
      <c r="J422" s="76" t="str">
        <f aca="false">IF(A422="","",IF(ISNA(MATCH(A422,السندات!$A$5:$A$504,0)),"رقم سند غير موجود ✘",IF(AND(F422&lt;&gt;"",G422&lt;&gt;""),"اكتب مدين أو دائن فقط ✘",IF(AND(N(F422)=0,N(G422)=0),"بدون مبلغ ⚠",IF(B422&gt;12,"يتجاوز 12 بنداً في الطباعة ⚠","")))))</f>
        <v/>
      </c>
    </row>
    <row r="423" customFormat="false" ht="15" hidden="false" customHeight="false" outlineLevel="0" collapsed="false">
      <c r="A423" s="58"/>
      <c r="B423" s="68" t="str">
        <f aca="false">IF(A423="","",COUNTIF(A$5:A423,A423))</f>
        <v/>
      </c>
      <c r="C423" s="68" t="str">
        <f aca="false">IF(A423="","",A423&amp;"-"&amp;B423)</f>
        <v/>
      </c>
      <c r="D423" s="58"/>
      <c r="E423" s="57"/>
      <c r="F423" s="69"/>
      <c r="G423" s="69"/>
      <c r="H423" s="70" t="str">
        <f aca="false">IF(A423="","",IFERROR(INDEX(السندات!$C$5:$C$504,MATCH(A423,السندات!$A$5:$A$504,0)),""))</f>
        <v/>
      </c>
      <c r="I423" s="71" t="str">
        <f aca="false">IF(A423="","",IFERROR(INDEX(السندات!$D$5:$D$504,MATCH(A423,السندات!$A$5:$A$504,0)),""))</f>
        <v/>
      </c>
      <c r="J423" s="72" t="str">
        <f aca="false">IF(A423="","",IF(ISNA(MATCH(A423,السندات!$A$5:$A$504,0)),"رقم سند غير موجود ✘",IF(AND(F423&lt;&gt;"",G423&lt;&gt;""),"اكتب مدين أو دائن فقط ✘",IF(AND(N(F423)=0,N(G423)=0),"بدون مبلغ ⚠",IF(B423&gt;12,"يتجاوز 12 بنداً في الطباعة ⚠","")))))</f>
        <v/>
      </c>
    </row>
    <row r="424" customFormat="false" ht="15" hidden="false" customHeight="false" outlineLevel="0" collapsed="false">
      <c r="A424" s="58"/>
      <c r="B424" s="73" t="str">
        <f aca="false">IF(A424="","",COUNTIF(A$5:A424,A424))</f>
        <v/>
      </c>
      <c r="C424" s="73" t="str">
        <f aca="false">IF(A424="","",A424&amp;"-"&amp;B424)</f>
        <v/>
      </c>
      <c r="D424" s="58"/>
      <c r="E424" s="57"/>
      <c r="F424" s="69"/>
      <c r="G424" s="69"/>
      <c r="H424" s="74" t="str">
        <f aca="false">IF(A424="","",IFERROR(INDEX(السندات!$C$5:$C$504,MATCH(A424,السندات!$A$5:$A$504,0)),""))</f>
        <v/>
      </c>
      <c r="I424" s="75" t="str">
        <f aca="false">IF(A424="","",IFERROR(INDEX(السندات!$D$5:$D$504,MATCH(A424,السندات!$A$5:$A$504,0)),""))</f>
        <v/>
      </c>
      <c r="J424" s="76" t="str">
        <f aca="false">IF(A424="","",IF(ISNA(MATCH(A424,السندات!$A$5:$A$504,0)),"رقم سند غير موجود ✘",IF(AND(F424&lt;&gt;"",G424&lt;&gt;""),"اكتب مدين أو دائن فقط ✘",IF(AND(N(F424)=0,N(G424)=0),"بدون مبلغ ⚠",IF(B424&gt;12,"يتجاوز 12 بنداً في الطباعة ⚠","")))))</f>
        <v/>
      </c>
    </row>
    <row r="425" customFormat="false" ht="15" hidden="false" customHeight="false" outlineLevel="0" collapsed="false">
      <c r="A425" s="58"/>
      <c r="B425" s="68" t="str">
        <f aca="false">IF(A425="","",COUNTIF(A$5:A425,A425))</f>
        <v/>
      </c>
      <c r="C425" s="68" t="str">
        <f aca="false">IF(A425="","",A425&amp;"-"&amp;B425)</f>
        <v/>
      </c>
      <c r="D425" s="58"/>
      <c r="E425" s="57"/>
      <c r="F425" s="69"/>
      <c r="G425" s="69"/>
      <c r="H425" s="70" t="str">
        <f aca="false">IF(A425="","",IFERROR(INDEX(السندات!$C$5:$C$504,MATCH(A425,السندات!$A$5:$A$504,0)),""))</f>
        <v/>
      </c>
      <c r="I425" s="71" t="str">
        <f aca="false">IF(A425="","",IFERROR(INDEX(السندات!$D$5:$D$504,MATCH(A425,السندات!$A$5:$A$504,0)),""))</f>
        <v/>
      </c>
      <c r="J425" s="72" t="str">
        <f aca="false">IF(A425="","",IF(ISNA(MATCH(A425,السندات!$A$5:$A$504,0)),"رقم سند غير موجود ✘",IF(AND(F425&lt;&gt;"",G425&lt;&gt;""),"اكتب مدين أو دائن فقط ✘",IF(AND(N(F425)=0,N(G425)=0),"بدون مبلغ ⚠",IF(B425&gt;12,"يتجاوز 12 بنداً في الطباعة ⚠","")))))</f>
        <v/>
      </c>
    </row>
    <row r="426" customFormat="false" ht="15" hidden="false" customHeight="false" outlineLevel="0" collapsed="false">
      <c r="A426" s="58"/>
      <c r="B426" s="73" t="str">
        <f aca="false">IF(A426="","",COUNTIF(A$5:A426,A426))</f>
        <v/>
      </c>
      <c r="C426" s="73" t="str">
        <f aca="false">IF(A426="","",A426&amp;"-"&amp;B426)</f>
        <v/>
      </c>
      <c r="D426" s="58"/>
      <c r="E426" s="57"/>
      <c r="F426" s="69"/>
      <c r="G426" s="69"/>
      <c r="H426" s="74" t="str">
        <f aca="false">IF(A426="","",IFERROR(INDEX(السندات!$C$5:$C$504,MATCH(A426,السندات!$A$5:$A$504,0)),""))</f>
        <v/>
      </c>
      <c r="I426" s="75" t="str">
        <f aca="false">IF(A426="","",IFERROR(INDEX(السندات!$D$5:$D$504,MATCH(A426,السندات!$A$5:$A$504,0)),""))</f>
        <v/>
      </c>
      <c r="J426" s="76" t="str">
        <f aca="false">IF(A426="","",IF(ISNA(MATCH(A426,السندات!$A$5:$A$504,0)),"رقم سند غير موجود ✘",IF(AND(F426&lt;&gt;"",G426&lt;&gt;""),"اكتب مدين أو دائن فقط ✘",IF(AND(N(F426)=0,N(G426)=0),"بدون مبلغ ⚠",IF(B426&gt;12,"يتجاوز 12 بنداً في الطباعة ⚠","")))))</f>
        <v/>
      </c>
    </row>
    <row r="427" customFormat="false" ht="15" hidden="false" customHeight="false" outlineLevel="0" collapsed="false">
      <c r="A427" s="58"/>
      <c r="B427" s="68" t="str">
        <f aca="false">IF(A427="","",COUNTIF(A$5:A427,A427))</f>
        <v/>
      </c>
      <c r="C427" s="68" t="str">
        <f aca="false">IF(A427="","",A427&amp;"-"&amp;B427)</f>
        <v/>
      </c>
      <c r="D427" s="58"/>
      <c r="E427" s="57"/>
      <c r="F427" s="69"/>
      <c r="G427" s="69"/>
      <c r="H427" s="70" t="str">
        <f aca="false">IF(A427="","",IFERROR(INDEX(السندات!$C$5:$C$504,MATCH(A427,السندات!$A$5:$A$504,0)),""))</f>
        <v/>
      </c>
      <c r="I427" s="71" t="str">
        <f aca="false">IF(A427="","",IFERROR(INDEX(السندات!$D$5:$D$504,MATCH(A427,السندات!$A$5:$A$504,0)),""))</f>
        <v/>
      </c>
      <c r="J427" s="72" t="str">
        <f aca="false">IF(A427="","",IF(ISNA(MATCH(A427,السندات!$A$5:$A$504,0)),"رقم سند غير موجود ✘",IF(AND(F427&lt;&gt;"",G427&lt;&gt;""),"اكتب مدين أو دائن فقط ✘",IF(AND(N(F427)=0,N(G427)=0),"بدون مبلغ ⚠",IF(B427&gt;12,"يتجاوز 12 بنداً في الطباعة ⚠","")))))</f>
        <v/>
      </c>
    </row>
    <row r="428" customFormat="false" ht="15" hidden="false" customHeight="false" outlineLevel="0" collapsed="false">
      <c r="A428" s="58"/>
      <c r="B428" s="73" t="str">
        <f aca="false">IF(A428="","",COUNTIF(A$5:A428,A428))</f>
        <v/>
      </c>
      <c r="C428" s="73" t="str">
        <f aca="false">IF(A428="","",A428&amp;"-"&amp;B428)</f>
        <v/>
      </c>
      <c r="D428" s="58"/>
      <c r="E428" s="57"/>
      <c r="F428" s="69"/>
      <c r="G428" s="69"/>
      <c r="H428" s="74" t="str">
        <f aca="false">IF(A428="","",IFERROR(INDEX(السندات!$C$5:$C$504,MATCH(A428,السندات!$A$5:$A$504,0)),""))</f>
        <v/>
      </c>
      <c r="I428" s="75" t="str">
        <f aca="false">IF(A428="","",IFERROR(INDEX(السندات!$D$5:$D$504,MATCH(A428,السندات!$A$5:$A$504,0)),""))</f>
        <v/>
      </c>
      <c r="J428" s="76" t="str">
        <f aca="false">IF(A428="","",IF(ISNA(MATCH(A428,السندات!$A$5:$A$504,0)),"رقم سند غير موجود ✘",IF(AND(F428&lt;&gt;"",G428&lt;&gt;""),"اكتب مدين أو دائن فقط ✘",IF(AND(N(F428)=0,N(G428)=0),"بدون مبلغ ⚠",IF(B428&gt;12,"يتجاوز 12 بنداً في الطباعة ⚠","")))))</f>
        <v/>
      </c>
    </row>
    <row r="429" customFormat="false" ht="15" hidden="false" customHeight="false" outlineLevel="0" collapsed="false">
      <c r="A429" s="58"/>
      <c r="B429" s="68" t="str">
        <f aca="false">IF(A429="","",COUNTIF(A$5:A429,A429))</f>
        <v/>
      </c>
      <c r="C429" s="68" t="str">
        <f aca="false">IF(A429="","",A429&amp;"-"&amp;B429)</f>
        <v/>
      </c>
      <c r="D429" s="58"/>
      <c r="E429" s="57"/>
      <c r="F429" s="69"/>
      <c r="G429" s="69"/>
      <c r="H429" s="70" t="str">
        <f aca="false">IF(A429="","",IFERROR(INDEX(السندات!$C$5:$C$504,MATCH(A429,السندات!$A$5:$A$504,0)),""))</f>
        <v/>
      </c>
      <c r="I429" s="71" t="str">
        <f aca="false">IF(A429="","",IFERROR(INDEX(السندات!$D$5:$D$504,MATCH(A429,السندات!$A$5:$A$504,0)),""))</f>
        <v/>
      </c>
      <c r="J429" s="72" t="str">
        <f aca="false">IF(A429="","",IF(ISNA(MATCH(A429,السندات!$A$5:$A$504,0)),"رقم سند غير موجود ✘",IF(AND(F429&lt;&gt;"",G429&lt;&gt;""),"اكتب مدين أو دائن فقط ✘",IF(AND(N(F429)=0,N(G429)=0),"بدون مبلغ ⚠",IF(B429&gt;12,"يتجاوز 12 بنداً في الطباعة ⚠","")))))</f>
        <v/>
      </c>
    </row>
    <row r="430" customFormat="false" ht="15" hidden="false" customHeight="false" outlineLevel="0" collapsed="false">
      <c r="A430" s="58"/>
      <c r="B430" s="73" t="str">
        <f aca="false">IF(A430="","",COUNTIF(A$5:A430,A430))</f>
        <v/>
      </c>
      <c r="C430" s="73" t="str">
        <f aca="false">IF(A430="","",A430&amp;"-"&amp;B430)</f>
        <v/>
      </c>
      <c r="D430" s="58"/>
      <c r="E430" s="57"/>
      <c r="F430" s="69"/>
      <c r="G430" s="69"/>
      <c r="H430" s="74" t="str">
        <f aca="false">IF(A430="","",IFERROR(INDEX(السندات!$C$5:$C$504,MATCH(A430,السندات!$A$5:$A$504,0)),""))</f>
        <v/>
      </c>
      <c r="I430" s="75" t="str">
        <f aca="false">IF(A430="","",IFERROR(INDEX(السندات!$D$5:$D$504,MATCH(A430,السندات!$A$5:$A$504,0)),""))</f>
        <v/>
      </c>
      <c r="J430" s="76" t="str">
        <f aca="false">IF(A430="","",IF(ISNA(MATCH(A430,السندات!$A$5:$A$504,0)),"رقم سند غير موجود ✘",IF(AND(F430&lt;&gt;"",G430&lt;&gt;""),"اكتب مدين أو دائن فقط ✘",IF(AND(N(F430)=0,N(G430)=0),"بدون مبلغ ⚠",IF(B430&gt;12,"يتجاوز 12 بنداً في الطباعة ⚠","")))))</f>
        <v/>
      </c>
    </row>
    <row r="431" customFormat="false" ht="15" hidden="false" customHeight="false" outlineLevel="0" collapsed="false">
      <c r="A431" s="58"/>
      <c r="B431" s="68" t="str">
        <f aca="false">IF(A431="","",COUNTIF(A$5:A431,A431))</f>
        <v/>
      </c>
      <c r="C431" s="68" t="str">
        <f aca="false">IF(A431="","",A431&amp;"-"&amp;B431)</f>
        <v/>
      </c>
      <c r="D431" s="58"/>
      <c r="E431" s="57"/>
      <c r="F431" s="69"/>
      <c r="G431" s="69"/>
      <c r="H431" s="70" t="str">
        <f aca="false">IF(A431="","",IFERROR(INDEX(السندات!$C$5:$C$504,MATCH(A431,السندات!$A$5:$A$504,0)),""))</f>
        <v/>
      </c>
      <c r="I431" s="71" t="str">
        <f aca="false">IF(A431="","",IFERROR(INDEX(السندات!$D$5:$D$504,MATCH(A431,السندات!$A$5:$A$504,0)),""))</f>
        <v/>
      </c>
      <c r="J431" s="72" t="str">
        <f aca="false">IF(A431="","",IF(ISNA(MATCH(A431,السندات!$A$5:$A$504,0)),"رقم سند غير موجود ✘",IF(AND(F431&lt;&gt;"",G431&lt;&gt;""),"اكتب مدين أو دائن فقط ✘",IF(AND(N(F431)=0,N(G431)=0),"بدون مبلغ ⚠",IF(B431&gt;12,"يتجاوز 12 بنداً في الطباعة ⚠","")))))</f>
        <v/>
      </c>
    </row>
    <row r="432" customFormat="false" ht="15" hidden="false" customHeight="false" outlineLevel="0" collapsed="false">
      <c r="A432" s="58"/>
      <c r="B432" s="73" t="str">
        <f aca="false">IF(A432="","",COUNTIF(A$5:A432,A432))</f>
        <v/>
      </c>
      <c r="C432" s="73" t="str">
        <f aca="false">IF(A432="","",A432&amp;"-"&amp;B432)</f>
        <v/>
      </c>
      <c r="D432" s="58"/>
      <c r="E432" s="57"/>
      <c r="F432" s="69"/>
      <c r="G432" s="69"/>
      <c r="H432" s="74" t="str">
        <f aca="false">IF(A432="","",IFERROR(INDEX(السندات!$C$5:$C$504,MATCH(A432,السندات!$A$5:$A$504,0)),""))</f>
        <v/>
      </c>
      <c r="I432" s="75" t="str">
        <f aca="false">IF(A432="","",IFERROR(INDEX(السندات!$D$5:$D$504,MATCH(A432,السندات!$A$5:$A$504,0)),""))</f>
        <v/>
      </c>
      <c r="J432" s="76" t="str">
        <f aca="false">IF(A432="","",IF(ISNA(MATCH(A432,السندات!$A$5:$A$504,0)),"رقم سند غير موجود ✘",IF(AND(F432&lt;&gt;"",G432&lt;&gt;""),"اكتب مدين أو دائن فقط ✘",IF(AND(N(F432)=0,N(G432)=0),"بدون مبلغ ⚠",IF(B432&gt;12,"يتجاوز 12 بنداً في الطباعة ⚠","")))))</f>
        <v/>
      </c>
    </row>
    <row r="433" customFormat="false" ht="15" hidden="false" customHeight="false" outlineLevel="0" collapsed="false">
      <c r="A433" s="58"/>
      <c r="B433" s="68" t="str">
        <f aca="false">IF(A433="","",COUNTIF(A$5:A433,A433))</f>
        <v/>
      </c>
      <c r="C433" s="68" t="str">
        <f aca="false">IF(A433="","",A433&amp;"-"&amp;B433)</f>
        <v/>
      </c>
      <c r="D433" s="58"/>
      <c r="E433" s="57"/>
      <c r="F433" s="69"/>
      <c r="G433" s="69"/>
      <c r="H433" s="70" t="str">
        <f aca="false">IF(A433="","",IFERROR(INDEX(السندات!$C$5:$C$504,MATCH(A433,السندات!$A$5:$A$504,0)),""))</f>
        <v/>
      </c>
      <c r="I433" s="71" t="str">
        <f aca="false">IF(A433="","",IFERROR(INDEX(السندات!$D$5:$D$504,MATCH(A433,السندات!$A$5:$A$504,0)),""))</f>
        <v/>
      </c>
      <c r="J433" s="72" t="str">
        <f aca="false">IF(A433="","",IF(ISNA(MATCH(A433,السندات!$A$5:$A$504,0)),"رقم سند غير موجود ✘",IF(AND(F433&lt;&gt;"",G433&lt;&gt;""),"اكتب مدين أو دائن فقط ✘",IF(AND(N(F433)=0,N(G433)=0),"بدون مبلغ ⚠",IF(B433&gt;12,"يتجاوز 12 بنداً في الطباعة ⚠","")))))</f>
        <v/>
      </c>
    </row>
    <row r="434" customFormat="false" ht="15" hidden="false" customHeight="false" outlineLevel="0" collapsed="false">
      <c r="A434" s="58"/>
      <c r="B434" s="73" t="str">
        <f aca="false">IF(A434="","",COUNTIF(A$5:A434,A434))</f>
        <v/>
      </c>
      <c r="C434" s="73" t="str">
        <f aca="false">IF(A434="","",A434&amp;"-"&amp;B434)</f>
        <v/>
      </c>
      <c r="D434" s="58"/>
      <c r="E434" s="57"/>
      <c r="F434" s="69"/>
      <c r="G434" s="69"/>
      <c r="H434" s="74" t="str">
        <f aca="false">IF(A434="","",IFERROR(INDEX(السندات!$C$5:$C$504,MATCH(A434,السندات!$A$5:$A$504,0)),""))</f>
        <v/>
      </c>
      <c r="I434" s="75" t="str">
        <f aca="false">IF(A434="","",IFERROR(INDEX(السندات!$D$5:$D$504,MATCH(A434,السندات!$A$5:$A$504,0)),""))</f>
        <v/>
      </c>
      <c r="J434" s="76" t="str">
        <f aca="false">IF(A434="","",IF(ISNA(MATCH(A434,السندات!$A$5:$A$504,0)),"رقم سند غير موجود ✘",IF(AND(F434&lt;&gt;"",G434&lt;&gt;""),"اكتب مدين أو دائن فقط ✘",IF(AND(N(F434)=0,N(G434)=0),"بدون مبلغ ⚠",IF(B434&gt;12,"يتجاوز 12 بنداً في الطباعة ⚠","")))))</f>
        <v/>
      </c>
    </row>
    <row r="435" customFormat="false" ht="15" hidden="false" customHeight="false" outlineLevel="0" collapsed="false">
      <c r="A435" s="58"/>
      <c r="B435" s="68" t="str">
        <f aca="false">IF(A435="","",COUNTIF(A$5:A435,A435))</f>
        <v/>
      </c>
      <c r="C435" s="68" t="str">
        <f aca="false">IF(A435="","",A435&amp;"-"&amp;B435)</f>
        <v/>
      </c>
      <c r="D435" s="58"/>
      <c r="E435" s="57"/>
      <c r="F435" s="69"/>
      <c r="G435" s="69"/>
      <c r="H435" s="70" t="str">
        <f aca="false">IF(A435="","",IFERROR(INDEX(السندات!$C$5:$C$504,MATCH(A435,السندات!$A$5:$A$504,0)),""))</f>
        <v/>
      </c>
      <c r="I435" s="71" t="str">
        <f aca="false">IF(A435="","",IFERROR(INDEX(السندات!$D$5:$D$504,MATCH(A435,السندات!$A$5:$A$504,0)),""))</f>
        <v/>
      </c>
      <c r="J435" s="72" t="str">
        <f aca="false">IF(A435="","",IF(ISNA(MATCH(A435,السندات!$A$5:$A$504,0)),"رقم سند غير موجود ✘",IF(AND(F435&lt;&gt;"",G435&lt;&gt;""),"اكتب مدين أو دائن فقط ✘",IF(AND(N(F435)=0,N(G435)=0),"بدون مبلغ ⚠",IF(B435&gt;12,"يتجاوز 12 بنداً في الطباعة ⚠","")))))</f>
        <v/>
      </c>
    </row>
    <row r="436" customFormat="false" ht="15" hidden="false" customHeight="false" outlineLevel="0" collapsed="false">
      <c r="A436" s="58"/>
      <c r="B436" s="73" t="str">
        <f aca="false">IF(A436="","",COUNTIF(A$5:A436,A436))</f>
        <v/>
      </c>
      <c r="C436" s="73" t="str">
        <f aca="false">IF(A436="","",A436&amp;"-"&amp;B436)</f>
        <v/>
      </c>
      <c r="D436" s="58"/>
      <c r="E436" s="57"/>
      <c r="F436" s="69"/>
      <c r="G436" s="69"/>
      <c r="H436" s="74" t="str">
        <f aca="false">IF(A436="","",IFERROR(INDEX(السندات!$C$5:$C$504,MATCH(A436,السندات!$A$5:$A$504,0)),""))</f>
        <v/>
      </c>
      <c r="I436" s="75" t="str">
        <f aca="false">IF(A436="","",IFERROR(INDEX(السندات!$D$5:$D$504,MATCH(A436,السندات!$A$5:$A$504,0)),""))</f>
        <v/>
      </c>
      <c r="J436" s="76" t="str">
        <f aca="false">IF(A436="","",IF(ISNA(MATCH(A436,السندات!$A$5:$A$504,0)),"رقم سند غير موجود ✘",IF(AND(F436&lt;&gt;"",G436&lt;&gt;""),"اكتب مدين أو دائن فقط ✘",IF(AND(N(F436)=0,N(G436)=0),"بدون مبلغ ⚠",IF(B436&gt;12,"يتجاوز 12 بنداً في الطباعة ⚠","")))))</f>
        <v/>
      </c>
    </row>
    <row r="437" customFormat="false" ht="15" hidden="false" customHeight="false" outlineLevel="0" collapsed="false">
      <c r="A437" s="58"/>
      <c r="B437" s="68" t="str">
        <f aca="false">IF(A437="","",COUNTIF(A$5:A437,A437))</f>
        <v/>
      </c>
      <c r="C437" s="68" t="str">
        <f aca="false">IF(A437="","",A437&amp;"-"&amp;B437)</f>
        <v/>
      </c>
      <c r="D437" s="58"/>
      <c r="E437" s="57"/>
      <c r="F437" s="69"/>
      <c r="G437" s="69"/>
      <c r="H437" s="70" t="str">
        <f aca="false">IF(A437="","",IFERROR(INDEX(السندات!$C$5:$C$504,MATCH(A437,السندات!$A$5:$A$504,0)),""))</f>
        <v/>
      </c>
      <c r="I437" s="71" t="str">
        <f aca="false">IF(A437="","",IFERROR(INDEX(السندات!$D$5:$D$504,MATCH(A437,السندات!$A$5:$A$504,0)),""))</f>
        <v/>
      </c>
      <c r="J437" s="72" t="str">
        <f aca="false">IF(A437="","",IF(ISNA(MATCH(A437,السندات!$A$5:$A$504,0)),"رقم سند غير موجود ✘",IF(AND(F437&lt;&gt;"",G437&lt;&gt;""),"اكتب مدين أو دائن فقط ✘",IF(AND(N(F437)=0,N(G437)=0),"بدون مبلغ ⚠",IF(B437&gt;12,"يتجاوز 12 بنداً في الطباعة ⚠","")))))</f>
        <v/>
      </c>
    </row>
    <row r="438" customFormat="false" ht="15" hidden="false" customHeight="false" outlineLevel="0" collapsed="false">
      <c r="A438" s="58"/>
      <c r="B438" s="73" t="str">
        <f aca="false">IF(A438="","",COUNTIF(A$5:A438,A438))</f>
        <v/>
      </c>
      <c r="C438" s="73" t="str">
        <f aca="false">IF(A438="","",A438&amp;"-"&amp;B438)</f>
        <v/>
      </c>
      <c r="D438" s="58"/>
      <c r="E438" s="57"/>
      <c r="F438" s="69"/>
      <c r="G438" s="69"/>
      <c r="H438" s="74" t="str">
        <f aca="false">IF(A438="","",IFERROR(INDEX(السندات!$C$5:$C$504,MATCH(A438,السندات!$A$5:$A$504,0)),""))</f>
        <v/>
      </c>
      <c r="I438" s="75" t="str">
        <f aca="false">IF(A438="","",IFERROR(INDEX(السندات!$D$5:$D$504,MATCH(A438,السندات!$A$5:$A$504,0)),""))</f>
        <v/>
      </c>
      <c r="J438" s="76" t="str">
        <f aca="false">IF(A438="","",IF(ISNA(MATCH(A438,السندات!$A$5:$A$504,0)),"رقم سند غير موجود ✘",IF(AND(F438&lt;&gt;"",G438&lt;&gt;""),"اكتب مدين أو دائن فقط ✘",IF(AND(N(F438)=0,N(G438)=0),"بدون مبلغ ⚠",IF(B438&gt;12,"يتجاوز 12 بنداً في الطباعة ⚠","")))))</f>
        <v/>
      </c>
    </row>
    <row r="439" customFormat="false" ht="15" hidden="false" customHeight="false" outlineLevel="0" collapsed="false">
      <c r="A439" s="58"/>
      <c r="B439" s="68" t="str">
        <f aca="false">IF(A439="","",COUNTIF(A$5:A439,A439))</f>
        <v/>
      </c>
      <c r="C439" s="68" t="str">
        <f aca="false">IF(A439="","",A439&amp;"-"&amp;B439)</f>
        <v/>
      </c>
      <c r="D439" s="58"/>
      <c r="E439" s="57"/>
      <c r="F439" s="69"/>
      <c r="G439" s="69"/>
      <c r="H439" s="70" t="str">
        <f aca="false">IF(A439="","",IFERROR(INDEX(السندات!$C$5:$C$504,MATCH(A439,السندات!$A$5:$A$504,0)),""))</f>
        <v/>
      </c>
      <c r="I439" s="71" t="str">
        <f aca="false">IF(A439="","",IFERROR(INDEX(السندات!$D$5:$D$504,MATCH(A439,السندات!$A$5:$A$504,0)),""))</f>
        <v/>
      </c>
      <c r="J439" s="72" t="str">
        <f aca="false">IF(A439="","",IF(ISNA(MATCH(A439,السندات!$A$5:$A$504,0)),"رقم سند غير موجود ✘",IF(AND(F439&lt;&gt;"",G439&lt;&gt;""),"اكتب مدين أو دائن فقط ✘",IF(AND(N(F439)=0,N(G439)=0),"بدون مبلغ ⚠",IF(B439&gt;12,"يتجاوز 12 بنداً في الطباعة ⚠","")))))</f>
        <v/>
      </c>
    </row>
    <row r="440" customFormat="false" ht="15" hidden="false" customHeight="false" outlineLevel="0" collapsed="false">
      <c r="A440" s="58"/>
      <c r="B440" s="73" t="str">
        <f aca="false">IF(A440="","",COUNTIF(A$5:A440,A440))</f>
        <v/>
      </c>
      <c r="C440" s="73" t="str">
        <f aca="false">IF(A440="","",A440&amp;"-"&amp;B440)</f>
        <v/>
      </c>
      <c r="D440" s="58"/>
      <c r="E440" s="57"/>
      <c r="F440" s="69"/>
      <c r="G440" s="69"/>
      <c r="H440" s="74" t="str">
        <f aca="false">IF(A440="","",IFERROR(INDEX(السندات!$C$5:$C$504,MATCH(A440,السندات!$A$5:$A$504,0)),""))</f>
        <v/>
      </c>
      <c r="I440" s="75" t="str">
        <f aca="false">IF(A440="","",IFERROR(INDEX(السندات!$D$5:$D$504,MATCH(A440,السندات!$A$5:$A$504,0)),""))</f>
        <v/>
      </c>
      <c r="J440" s="76" t="str">
        <f aca="false">IF(A440="","",IF(ISNA(MATCH(A440,السندات!$A$5:$A$504,0)),"رقم سند غير موجود ✘",IF(AND(F440&lt;&gt;"",G440&lt;&gt;""),"اكتب مدين أو دائن فقط ✘",IF(AND(N(F440)=0,N(G440)=0),"بدون مبلغ ⚠",IF(B440&gt;12,"يتجاوز 12 بنداً في الطباعة ⚠","")))))</f>
        <v/>
      </c>
    </row>
    <row r="441" customFormat="false" ht="15" hidden="false" customHeight="false" outlineLevel="0" collapsed="false">
      <c r="A441" s="58"/>
      <c r="B441" s="68" t="str">
        <f aca="false">IF(A441="","",COUNTIF(A$5:A441,A441))</f>
        <v/>
      </c>
      <c r="C441" s="68" t="str">
        <f aca="false">IF(A441="","",A441&amp;"-"&amp;B441)</f>
        <v/>
      </c>
      <c r="D441" s="58"/>
      <c r="E441" s="57"/>
      <c r="F441" s="69"/>
      <c r="G441" s="69"/>
      <c r="H441" s="70" t="str">
        <f aca="false">IF(A441="","",IFERROR(INDEX(السندات!$C$5:$C$504,MATCH(A441,السندات!$A$5:$A$504,0)),""))</f>
        <v/>
      </c>
      <c r="I441" s="71" t="str">
        <f aca="false">IF(A441="","",IFERROR(INDEX(السندات!$D$5:$D$504,MATCH(A441,السندات!$A$5:$A$504,0)),""))</f>
        <v/>
      </c>
      <c r="J441" s="72" t="str">
        <f aca="false">IF(A441="","",IF(ISNA(MATCH(A441,السندات!$A$5:$A$504,0)),"رقم سند غير موجود ✘",IF(AND(F441&lt;&gt;"",G441&lt;&gt;""),"اكتب مدين أو دائن فقط ✘",IF(AND(N(F441)=0,N(G441)=0),"بدون مبلغ ⚠",IF(B441&gt;12,"يتجاوز 12 بنداً في الطباعة ⚠","")))))</f>
        <v/>
      </c>
    </row>
    <row r="442" customFormat="false" ht="15" hidden="false" customHeight="false" outlineLevel="0" collapsed="false">
      <c r="A442" s="58"/>
      <c r="B442" s="73" t="str">
        <f aca="false">IF(A442="","",COUNTIF(A$5:A442,A442))</f>
        <v/>
      </c>
      <c r="C442" s="73" t="str">
        <f aca="false">IF(A442="","",A442&amp;"-"&amp;B442)</f>
        <v/>
      </c>
      <c r="D442" s="58"/>
      <c r="E442" s="57"/>
      <c r="F442" s="69"/>
      <c r="G442" s="69"/>
      <c r="H442" s="74" t="str">
        <f aca="false">IF(A442="","",IFERROR(INDEX(السندات!$C$5:$C$504,MATCH(A442,السندات!$A$5:$A$504,0)),""))</f>
        <v/>
      </c>
      <c r="I442" s="75" t="str">
        <f aca="false">IF(A442="","",IFERROR(INDEX(السندات!$D$5:$D$504,MATCH(A442,السندات!$A$5:$A$504,0)),""))</f>
        <v/>
      </c>
      <c r="J442" s="76" t="str">
        <f aca="false">IF(A442="","",IF(ISNA(MATCH(A442,السندات!$A$5:$A$504,0)),"رقم سند غير موجود ✘",IF(AND(F442&lt;&gt;"",G442&lt;&gt;""),"اكتب مدين أو دائن فقط ✘",IF(AND(N(F442)=0,N(G442)=0),"بدون مبلغ ⚠",IF(B442&gt;12,"يتجاوز 12 بنداً في الطباعة ⚠","")))))</f>
        <v/>
      </c>
    </row>
    <row r="443" customFormat="false" ht="15" hidden="false" customHeight="false" outlineLevel="0" collapsed="false">
      <c r="A443" s="58"/>
      <c r="B443" s="68" t="str">
        <f aca="false">IF(A443="","",COUNTIF(A$5:A443,A443))</f>
        <v/>
      </c>
      <c r="C443" s="68" t="str">
        <f aca="false">IF(A443="","",A443&amp;"-"&amp;B443)</f>
        <v/>
      </c>
      <c r="D443" s="58"/>
      <c r="E443" s="57"/>
      <c r="F443" s="69"/>
      <c r="G443" s="69"/>
      <c r="H443" s="70" t="str">
        <f aca="false">IF(A443="","",IFERROR(INDEX(السندات!$C$5:$C$504,MATCH(A443,السندات!$A$5:$A$504,0)),""))</f>
        <v/>
      </c>
      <c r="I443" s="71" t="str">
        <f aca="false">IF(A443="","",IFERROR(INDEX(السندات!$D$5:$D$504,MATCH(A443,السندات!$A$5:$A$504,0)),""))</f>
        <v/>
      </c>
      <c r="J443" s="72" t="str">
        <f aca="false">IF(A443="","",IF(ISNA(MATCH(A443,السندات!$A$5:$A$504,0)),"رقم سند غير موجود ✘",IF(AND(F443&lt;&gt;"",G443&lt;&gt;""),"اكتب مدين أو دائن فقط ✘",IF(AND(N(F443)=0,N(G443)=0),"بدون مبلغ ⚠",IF(B443&gt;12,"يتجاوز 12 بنداً في الطباعة ⚠","")))))</f>
        <v/>
      </c>
    </row>
    <row r="444" customFormat="false" ht="15" hidden="false" customHeight="false" outlineLevel="0" collapsed="false">
      <c r="A444" s="58"/>
      <c r="B444" s="73" t="str">
        <f aca="false">IF(A444="","",COUNTIF(A$5:A444,A444))</f>
        <v/>
      </c>
      <c r="C444" s="73" t="str">
        <f aca="false">IF(A444="","",A444&amp;"-"&amp;B444)</f>
        <v/>
      </c>
      <c r="D444" s="58"/>
      <c r="E444" s="57"/>
      <c r="F444" s="69"/>
      <c r="G444" s="69"/>
      <c r="H444" s="74" t="str">
        <f aca="false">IF(A444="","",IFERROR(INDEX(السندات!$C$5:$C$504,MATCH(A444,السندات!$A$5:$A$504,0)),""))</f>
        <v/>
      </c>
      <c r="I444" s="75" t="str">
        <f aca="false">IF(A444="","",IFERROR(INDEX(السندات!$D$5:$D$504,MATCH(A444,السندات!$A$5:$A$504,0)),""))</f>
        <v/>
      </c>
      <c r="J444" s="76" t="str">
        <f aca="false">IF(A444="","",IF(ISNA(MATCH(A444,السندات!$A$5:$A$504,0)),"رقم سند غير موجود ✘",IF(AND(F444&lt;&gt;"",G444&lt;&gt;""),"اكتب مدين أو دائن فقط ✘",IF(AND(N(F444)=0,N(G444)=0),"بدون مبلغ ⚠",IF(B444&gt;12,"يتجاوز 12 بنداً في الطباعة ⚠","")))))</f>
        <v/>
      </c>
    </row>
    <row r="445" customFormat="false" ht="15" hidden="false" customHeight="false" outlineLevel="0" collapsed="false">
      <c r="A445" s="58"/>
      <c r="B445" s="68" t="str">
        <f aca="false">IF(A445="","",COUNTIF(A$5:A445,A445))</f>
        <v/>
      </c>
      <c r="C445" s="68" t="str">
        <f aca="false">IF(A445="","",A445&amp;"-"&amp;B445)</f>
        <v/>
      </c>
      <c r="D445" s="58"/>
      <c r="E445" s="57"/>
      <c r="F445" s="69"/>
      <c r="G445" s="69"/>
      <c r="H445" s="70" t="str">
        <f aca="false">IF(A445="","",IFERROR(INDEX(السندات!$C$5:$C$504,MATCH(A445,السندات!$A$5:$A$504,0)),""))</f>
        <v/>
      </c>
      <c r="I445" s="71" t="str">
        <f aca="false">IF(A445="","",IFERROR(INDEX(السندات!$D$5:$D$504,MATCH(A445,السندات!$A$5:$A$504,0)),""))</f>
        <v/>
      </c>
      <c r="J445" s="72" t="str">
        <f aca="false">IF(A445="","",IF(ISNA(MATCH(A445,السندات!$A$5:$A$504,0)),"رقم سند غير موجود ✘",IF(AND(F445&lt;&gt;"",G445&lt;&gt;""),"اكتب مدين أو دائن فقط ✘",IF(AND(N(F445)=0,N(G445)=0),"بدون مبلغ ⚠",IF(B445&gt;12,"يتجاوز 12 بنداً في الطباعة ⚠","")))))</f>
        <v/>
      </c>
    </row>
    <row r="446" customFormat="false" ht="15" hidden="false" customHeight="false" outlineLevel="0" collapsed="false">
      <c r="A446" s="58"/>
      <c r="B446" s="73" t="str">
        <f aca="false">IF(A446="","",COUNTIF(A$5:A446,A446))</f>
        <v/>
      </c>
      <c r="C446" s="73" t="str">
        <f aca="false">IF(A446="","",A446&amp;"-"&amp;B446)</f>
        <v/>
      </c>
      <c r="D446" s="58"/>
      <c r="E446" s="57"/>
      <c r="F446" s="69"/>
      <c r="G446" s="69"/>
      <c r="H446" s="74" t="str">
        <f aca="false">IF(A446="","",IFERROR(INDEX(السندات!$C$5:$C$504,MATCH(A446,السندات!$A$5:$A$504,0)),""))</f>
        <v/>
      </c>
      <c r="I446" s="75" t="str">
        <f aca="false">IF(A446="","",IFERROR(INDEX(السندات!$D$5:$D$504,MATCH(A446,السندات!$A$5:$A$504,0)),""))</f>
        <v/>
      </c>
      <c r="J446" s="76" t="str">
        <f aca="false">IF(A446="","",IF(ISNA(MATCH(A446,السندات!$A$5:$A$504,0)),"رقم سند غير موجود ✘",IF(AND(F446&lt;&gt;"",G446&lt;&gt;""),"اكتب مدين أو دائن فقط ✘",IF(AND(N(F446)=0,N(G446)=0),"بدون مبلغ ⚠",IF(B446&gt;12,"يتجاوز 12 بنداً في الطباعة ⚠","")))))</f>
        <v/>
      </c>
    </row>
    <row r="447" customFormat="false" ht="15" hidden="false" customHeight="false" outlineLevel="0" collapsed="false">
      <c r="A447" s="58"/>
      <c r="B447" s="68" t="str">
        <f aca="false">IF(A447="","",COUNTIF(A$5:A447,A447))</f>
        <v/>
      </c>
      <c r="C447" s="68" t="str">
        <f aca="false">IF(A447="","",A447&amp;"-"&amp;B447)</f>
        <v/>
      </c>
      <c r="D447" s="58"/>
      <c r="E447" s="57"/>
      <c r="F447" s="69"/>
      <c r="G447" s="69"/>
      <c r="H447" s="70" t="str">
        <f aca="false">IF(A447="","",IFERROR(INDEX(السندات!$C$5:$C$504,MATCH(A447,السندات!$A$5:$A$504,0)),""))</f>
        <v/>
      </c>
      <c r="I447" s="71" t="str">
        <f aca="false">IF(A447="","",IFERROR(INDEX(السندات!$D$5:$D$504,MATCH(A447,السندات!$A$5:$A$504,0)),""))</f>
        <v/>
      </c>
      <c r="J447" s="72" t="str">
        <f aca="false">IF(A447="","",IF(ISNA(MATCH(A447,السندات!$A$5:$A$504,0)),"رقم سند غير موجود ✘",IF(AND(F447&lt;&gt;"",G447&lt;&gt;""),"اكتب مدين أو دائن فقط ✘",IF(AND(N(F447)=0,N(G447)=0),"بدون مبلغ ⚠",IF(B447&gt;12,"يتجاوز 12 بنداً في الطباعة ⚠","")))))</f>
        <v/>
      </c>
    </row>
    <row r="448" customFormat="false" ht="15" hidden="false" customHeight="false" outlineLevel="0" collapsed="false">
      <c r="A448" s="58"/>
      <c r="B448" s="73" t="str">
        <f aca="false">IF(A448="","",COUNTIF(A$5:A448,A448))</f>
        <v/>
      </c>
      <c r="C448" s="73" t="str">
        <f aca="false">IF(A448="","",A448&amp;"-"&amp;B448)</f>
        <v/>
      </c>
      <c r="D448" s="58"/>
      <c r="E448" s="57"/>
      <c r="F448" s="69"/>
      <c r="G448" s="69"/>
      <c r="H448" s="74" t="str">
        <f aca="false">IF(A448="","",IFERROR(INDEX(السندات!$C$5:$C$504,MATCH(A448,السندات!$A$5:$A$504,0)),""))</f>
        <v/>
      </c>
      <c r="I448" s="75" t="str">
        <f aca="false">IF(A448="","",IFERROR(INDEX(السندات!$D$5:$D$504,MATCH(A448,السندات!$A$5:$A$504,0)),""))</f>
        <v/>
      </c>
      <c r="J448" s="76" t="str">
        <f aca="false">IF(A448="","",IF(ISNA(MATCH(A448,السندات!$A$5:$A$504,0)),"رقم سند غير موجود ✘",IF(AND(F448&lt;&gt;"",G448&lt;&gt;""),"اكتب مدين أو دائن فقط ✘",IF(AND(N(F448)=0,N(G448)=0),"بدون مبلغ ⚠",IF(B448&gt;12,"يتجاوز 12 بنداً في الطباعة ⚠","")))))</f>
        <v/>
      </c>
    </row>
    <row r="449" customFormat="false" ht="15" hidden="false" customHeight="false" outlineLevel="0" collapsed="false">
      <c r="A449" s="58"/>
      <c r="B449" s="68" t="str">
        <f aca="false">IF(A449="","",COUNTIF(A$5:A449,A449))</f>
        <v/>
      </c>
      <c r="C449" s="68" t="str">
        <f aca="false">IF(A449="","",A449&amp;"-"&amp;B449)</f>
        <v/>
      </c>
      <c r="D449" s="58"/>
      <c r="E449" s="57"/>
      <c r="F449" s="69"/>
      <c r="G449" s="69"/>
      <c r="H449" s="70" t="str">
        <f aca="false">IF(A449="","",IFERROR(INDEX(السندات!$C$5:$C$504,MATCH(A449,السندات!$A$5:$A$504,0)),""))</f>
        <v/>
      </c>
      <c r="I449" s="71" t="str">
        <f aca="false">IF(A449="","",IFERROR(INDEX(السندات!$D$5:$D$504,MATCH(A449,السندات!$A$5:$A$504,0)),""))</f>
        <v/>
      </c>
      <c r="J449" s="72" t="str">
        <f aca="false">IF(A449="","",IF(ISNA(MATCH(A449,السندات!$A$5:$A$504,0)),"رقم سند غير موجود ✘",IF(AND(F449&lt;&gt;"",G449&lt;&gt;""),"اكتب مدين أو دائن فقط ✘",IF(AND(N(F449)=0,N(G449)=0),"بدون مبلغ ⚠",IF(B449&gt;12,"يتجاوز 12 بنداً في الطباعة ⚠","")))))</f>
        <v/>
      </c>
    </row>
    <row r="450" customFormat="false" ht="15" hidden="false" customHeight="false" outlineLevel="0" collapsed="false">
      <c r="A450" s="58"/>
      <c r="B450" s="73" t="str">
        <f aca="false">IF(A450="","",COUNTIF(A$5:A450,A450))</f>
        <v/>
      </c>
      <c r="C450" s="73" t="str">
        <f aca="false">IF(A450="","",A450&amp;"-"&amp;B450)</f>
        <v/>
      </c>
      <c r="D450" s="58"/>
      <c r="E450" s="57"/>
      <c r="F450" s="69"/>
      <c r="G450" s="69"/>
      <c r="H450" s="74" t="str">
        <f aca="false">IF(A450="","",IFERROR(INDEX(السندات!$C$5:$C$504,MATCH(A450,السندات!$A$5:$A$504,0)),""))</f>
        <v/>
      </c>
      <c r="I450" s="75" t="str">
        <f aca="false">IF(A450="","",IFERROR(INDEX(السندات!$D$5:$D$504,MATCH(A450,السندات!$A$5:$A$504,0)),""))</f>
        <v/>
      </c>
      <c r="J450" s="76" t="str">
        <f aca="false">IF(A450="","",IF(ISNA(MATCH(A450,السندات!$A$5:$A$504,0)),"رقم سند غير موجود ✘",IF(AND(F450&lt;&gt;"",G450&lt;&gt;""),"اكتب مدين أو دائن فقط ✘",IF(AND(N(F450)=0,N(G450)=0),"بدون مبلغ ⚠",IF(B450&gt;12,"يتجاوز 12 بنداً في الطباعة ⚠","")))))</f>
        <v/>
      </c>
    </row>
    <row r="451" customFormat="false" ht="15" hidden="false" customHeight="false" outlineLevel="0" collapsed="false">
      <c r="A451" s="58"/>
      <c r="B451" s="68" t="str">
        <f aca="false">IF(A451="","",COUNTIF(A$5:A451,A451))</f>
        <v/>
      </c>
      <c r="C451" s="68" t="str">
        <f aca="false">IF(A451="","",A451&amp;"-"&amp;B451)</f>
        <v/>
      </c>
      <c r="D451" s="58"/>
      <c r="E451" s="57"/>
      <c r="F451" s="69"/>
      <c r="G451" s="69"/>
      <c r="H451" s="70" t="str">
        <f aca="false">IF(A451="","",IFERROR(INDEX(السندات!$C$5:$C$504,MATCH(A451,السندات!$A$5:$A$504,0)),""))</f>
        <v/>
      </c>
      <c r="I451" s="71" t="str">
        <f aca="false">IF(A451="","",IFERROR(INDEX(السندات!$D$5:$D$504,MATCH(A451,السندات!$A$5:$A$504,0)),""))</f>
        <v/>
      </c>
      <c r="J451" s="72" t="str">
        <f aca="false">IF(A451="","",IF(ISNA(MATCH(A451,السندات!$A$5:$A$504,0)),"رقم سند غير موجود ✘",IF(AND(F451&lt;&gt;"",G451&lt;&gt;""),"اكتب مدين أو دائن فقط ✘",IF(AND(N(F451)=0,N(G451)=0),"بدون مبلغ ⚠",IF(B451&gt;12,"يتجاوز 12 بنداً في الطباعة ⚠","")))))</f>
        <v/>
      </c>
    </row>
    <row r="452" customFormat="false" ht="15" hidden="false" customHeight="false" outlineLevel="0" collapsed="false">
      <c r="A452" s="58"/>
      <c r="B452" s="73" t="str">
        <f aca="false">IF(A452="","",COUNTIF(A$5:A452,A452))</f>
        <v/>
      </c>
      <c r="C452" s="73" t="str">
        <f aca="false">IF(A452="","",A452&amp;"-"&amp;B452)</f>
        <v/>
      </c>
      <c r="D452" s="58"/>
      <c r="E452" s="57"/>
      <c r="F452" s="69"/>
      <c r="G452" s="69"/>
      <c r="H452" s="74" t="str">
        <f aca="false">IF(A452="","",IFERROR(INDEX(السندات!$C$5:$C$504,MATCH(A452,السندات!$A$5:$A$504,0)),""))</f>
        <v/>
      </c>
      <c r="I452" s="75" t="str">
        <f aca="false">IF(A452="","",IFERROR(INDEX(السندات!$D$5:$D$504,MATCH(A452,السندات!$A$5:$A$504,0)),""))</f>
        <v/>
      </c>
      <c r="J452" s="76" t="str">
        <f aca="false">IF(A452="","",IF(ISNA(MATCH(A452,السندات!$A$5:$A$504,0)),"رقم سند غير موجود ✘",IF(AND(F452&lt;&gt;"",G452&lt;&gt;""),"اكتب مدين أو دائن فقط ✘",IF(AND(N(F452)=0,N(G452)=0),"بدون مبلغ ⚠",IF(B452&gt;12,"يتجاوز 12 بنداً في الطباعة ⚠","")))))</f>
        <v/>
      </c>
    </row>
    <row r="453" customFormat="false" ht="15" hidden="false" customHeight="false" outlineLevel="0" collapsed="false">
      <c r="A453" s="58"/>
      <c r="B453" s="68" t="str">
        <f aca="false">IF(A453="","",COUNTIF(A$5:A453,A453))</f>
        <v/>
      </c>
      <c r="C453" s="68" t="str">
        <f aca="false">IF(A453="","",A453&amp;"-"&amp;B453)</f>
        <v/>
      </c>
      <c r="D453" s="58"/>
      <c r="E453" s="57"/>
      <c r="F453" s="69"/>
      <c r="G453" s="69"/>
      <c r="H453" s="70" t="str">
        <f aca="false">IF(A453="","",IFERROR(INDEX(السندات!$C$5:$C$504,MATCH(A453,السندات!$A$5:$A$504,0)),""))</f>
        <v/>
      </c>
      <c r="I453" s="71" t="str">
        <f aca="false">IF(A453="","",IFERROR(INDEX(السندات!$D$5:$D$504,MATCH(A453,السندات!$A$5:$A$504,0)),""))</f>
        <v/>
      </c>
      <c r="J453" s="72" t="str">
        <f aca="false">IF(A453="","",IF(ISNA(MATCH(A453,السندات!$A$5:$A$504,0)),"رقم سند غير موجود ✘",IF(AND(F453&lt;&gt;"",G453&lt;&gt;""),"اكتب مدين أو دائن فقط ✘",IF(AND(N(F453)=0,N(G453)=0),"بدون مبلغ ⚠",IF(B453&gt;12,"يتجاوز 12 بنداً في الطباعة ⚠","")))))</f>
        <v/>
      </c>
    </row>
    <row r="454" customFormat="false" ht="15" hidden="false" customHeight="false" outlineLevel="0" collapsed="false">
      <c r="A454" s="58"/>
      <c r="B454" s="73" t="str">
        <f aca="false">IF(A454="","",COUNTIF(A$5:A454,A454))</f>
        <v/>
      </c>
      <c r="C454" s="73" t="str">
        <f aca="false">IF(A454="","",A454&amp;"-"&amp;B454)</f>
        <v/>
      </c>
      <c r="D454" s="58"/>
      <c r="E454" s="57"/>
      <c r="F454" s="69"/>
      <c r="G454" s="69"/>
      <c r="H454" s="74" t="str">
        <f aca="false">IF(A454="","",IFERROR(INDEX(السندات!$C$5:$C$504,MATCH(A454,السندات!$A$5:$A$504,0)),""))</f>
        <v/>
      </c>
      <c r="I454" s="75" t="str">
        <f aca="false">IF(A454="","",IFERROR(INDEX(السندات!$D$5:$D$504,MATCH(A454,السندات!$A$5:$A$504,0)),""))</f>
        <v/>
      </c>
      <c r="J454" s="76" t="str">
        <f aca="false">IF(A454="","",IF(ISNA(MATCH(A454,السندات!$A$5:$A$504,0)),"رقم سند غير موجود ✘",IF(AND(F454&lt;&gt;"",G454&lt;&gt;""),"اكتب مدين أو دائن فقط ✘",IF(AND(N(F454)=0,N(G454)=0),"بدون مبلغ ⚠",IF(B454&gt;12,"يتجاوز 12 بنداً في الطباعة ⚠","")))))</f>
        <v/>
      </c>
    </row>
    <row r="455" customFormat="false" ht="15" hidden="false" customHeight="false" outlineLevel="0" collapsed="false">
      <c r="A455" s="58"/>
      <c r="B455" s="68" t="str">
        <f aca="false">IF(A455="","",COUNTIF(A$5:A455,A455))</f>
        <v/>
      </c>
      <c r="C455" s="68" t="str">
        <f aca="false">IF(A455="","",A455&amp;"-"&amp;B455)</f>
        <v/>
      </c>
      <c r="D455" s="58"/>
      <c r="E455" s="57"/>
      <c r="F455" s="69"/>
      <c r="G455" s="69"/>
      <c r="H455" s="70" t="str">
        <f aca="false">IF(A455="","",IFERROR(INDEX(السندات!$C$5:$C$504,MATCH(A455,السندات!$A$5:$A$504,0)),""))</f>
        <v/>
      </c>
      <c r="I455" s="71" t="str">
        <f aca="false">IF(A455="","",IFERROR(INDEX(السندات!$D$5:$D$504,MATCH(A455,السندات!$A$5:$A$504,0)),""))</f>
        <v/>
      </c>
      <c r="J455" s="72" t="str">
        <f aca="false">IF(A455="","",IF(ISNA(MATCH(A455,السندات!$A$5:$A$504,0)),"رقم سند غير موجود ✘",IF(AND(F455&lt;&gt;"",G455&lt;&gt;""),"اكتب مدين أو دائن فقط ✘",IF(AND(N(F455)=0,N(G455)=0),"بدون مبلغ ⚠",IF(B455&gt;12,"يتجاوز 12 بنداً في الطباعة ⚠","")))))</f>
        <v/>
      </c>
    </row>
    <row r="456" customFormat="false" ht="15" hidden="false" customHeight="false" outlineLevel="0" collapsed="false">
      <c r="A456" s="58"/>
      <c r="B456" s="73" t="str">
        <f aca="false">IF(A456="","",COUNTIF(A$5:A456,A456))</f>
        <v/>
      </c>
      <c r="C456" s="73" t="str">
        <f aca="false">IF(A456="","",A456&amp;"-"&amp;B456)</f>
        <v/>
      </c>
      <c r="D456" s="58"/>
      <c r="E456" s="57"/>
      <c r="F456" s="69"/>
      <c r="G456" s="69"/>
      <c r="H456" s="74" t="str">
        <f aca="false">IF(A456="","",IFERROR(INDEX(السندات!$C$5:$C$504,MATCH(A456,السندات!$A$5:$A$504,0)),""))</f>
        <v/>
      </c>
      <c r="I456" s="75" t="str">
        <f aca="false">IF(A456="","",IFERROR(INDEX(السندات!$D$5:$D$504,MATCH(A456,السندات!$A$5:$A$504,0)),""))</f>
        <v/>
      </c>
      <c r="J456" s="76" t="str">
        <f aca="false">IF(A456="","",IF(ISNA(MATCH(A456,السندات!$A$5:$A$504,0)),"رقم سند غير موجود ✘",IF(AND(F456&lt;&gt;"",G456&lt;&gt;""),"اكتب مدين أو دائن فقط ✘",IF(AND(N(F456)=0,N(G456)=0),"بدون مبلغ ⚠",IF(B456&gt;12,"يتجاوز 12 بنداً في الطباعة ⚠","")))))</f>
        <v/>
      </c>
    </row>
    <row r="457" customFormat="false" ht="15" hidden="false" customHeight="false" outlineLevel="0" collapsed="false">
      <c r="A457" s="58"/>
      <c r="B457" s="68" t="str">
        <f aca="false">IF(A457="","",COUNTIF(A$5:A457,A457))</f>
        <v/>
      </c>
      <c r="C457" s="68" t="str">
        <f aca="false">IF(A457="","",A457&amp;"-"&amp;B457)</f>
        <v/>
      </c>
      <c r="D457" s="58"/>
      <c r="E457" s="57"/>
      <c r="F457" s="69"/>
      <c r="G457" s="69"/>
      <c r="H457" s="70" t="str">
        <f aca="false">IF(A457="","",IFERROR(INDEX(السندات!$C$5:$C$504,MATCH(A457,السندات!$A$5:$A$504,0)),""))</f>
        <v/>
      </c>
      <c r="I457" s="71" t="str">
        <f aca="false">IF(A457="","",IFERROR(INDEX(السندات!$D$5:$D$504,MATCH(A457,السندات!$A$5:$A$504,0)),""))</f>
        <v/>
      </c>
      <c r="J457" s="72" t="str">
        <f aca="false">IF(A457="","",IF(ISNA(MATCH(A457,السندات!$A$5:$A$504,0)),"رقم سند غير موجود ✘",IF(AND(F457&lt;&gt;"",G457&lt;&gt;""),"اكتب مدين أو دائن فقط ✘",IF(AND(N(F457)=0,N(G457)=0),"بدون مبلغ ⚠",IF(B457&gt;12,"يتجاوز 12 بنداً في الطباعة ⚠","")))))</f>
        <v/>
      </c>
    </row>
    <row r="458" customFormat="false" ht="15" hidden="false" customHeight="false" outlineLevel="0" collapsed="false">
      <c r="A458" s="58"/>
      <c r="B458" s="73" t="str">
        <f aca="false">IF(A458="","",COUNTIF(A$5:A458,A458))</f>
        <v/>
      </c>
      <c r="C458" s="73" t="str">
        <f aca="false">IF(A458="","",A458&amp;"-"&amp;B458)</f>
        <v/>
      </c>
      <c r="D458" s="58"/>
      <c r="E458" s="57"/>
      <c r="F458" s="69"/>
      <c r="G458" s="69"/>
      <c r="H458" s="74" t="str">
        <f aca="false">IF(A458="","",IFERROR(INDEX(السندات!$C$5:$C$504,MATCH(A458,السندات!$A$5:$A$504,0)),""))</f>
        <v/>
      </c>
      <c r="I458" s="75" t="str">
        <f aca="false">IF(A458="","",IFERROR(INDEX(السندات!$D$5:$D$504,MATCH(A458,السندات!$A$5:$A$504,0)),""))</f>
        <v/>
      </c>
      <c r="J458" s="76" t="str">
        <f aca="false">IF(A458="","",IF(ISNA(MATCH(A458,السندات!$A$5:$A$504,0)),"رقم سند غير موجود ✘",IF(AND(F458&lt;&gt;"",G458&lt;&gt;""),"اكتب مدين أو دائن فقط ✘",IF(AND(N(F458)=0,N(G458)=0),"بدون مبلغ ⚠",IF(B458&gt;12,"يتجاوز 12 بنداً في الطباعة ⚠","")))))</f>
        <v/>
      </c>
    </row>
    <row r="459" customFormat="false" ht="15" hidden="false" customHeight="false" outlineLevel="0" collapsed="false">
      <c r="A459" s="58"/>
      <c r="B459" s="68" t="str">
        <f aca="false">IF(A459="","",COUNTIF(A$5:A459,A459))</f>
        <v/>
      </c>
      <c r="C459" s="68" t="str">
        <f aca="false">IF(A459="","",A459&amp;"-"&amp;B459)</f>
        <v/>
      </c>
      <c r="D459" s="58"/>
      <c r="E459" s="57"/>
      <c r="F459" s="69"/>
      <c r="G459" s="69"/>
      <c r="H459" s="70" t="str">
        <f aca="false">IF(A459="","",IFERROR(INDEX(السندات!$C$5:$C$504,MATCH(A459,السندات!$A$5:$A$504,0)),""))</f>
        <v/>
      </c>
      <c r="I459" s="71" t="str">
        <f aca="false">IF(A459="","",IFERROR(INDEX(السندات!$D$5:$D$504,MATCH(A459,السندات!$A$5:$A$504,0)),""))</f>
        <v/>
      </c>
      <c r="J459" s="72" t="str">
        <f aca="false">IF(A459="","",IF(ISNA(MATCH(A459,السندات!$A$5:$A$504,0)),"رقم سند غير موجود ✘",IF(AND(F459&lt;&gt;"",G459&lt;&gt;""),"اكتب مدين أو دائن فقط ✘",IF(AND(N(F459)=0,N(G459)=0),"بدون مبلغ ⚠",IF(B459&gt;12,"يتجاوز 12 بنداً في الطباعة ⚠","")))))</f>
        <v/>
      </c>
    </row>
    <row r="460" customFormat="false" ht="15" hidden="false" customHeight="false" outlineLevel="0" collapsed="false">
      <c r="A460" s="58"/>
      <c r="B460" s="73" t="str">
        <f aca="false">IF(A460="","",COUNTIF(A$5:A460,A460))</f>
        <v/>
      </c>
      <c r="C460" s="73" t="str">
        <f aca="false">IF(A460="","",A460&amp;"-"&amp;B460)</f>
        <v/>
      </c>
      <c r="D460" s="58"/>
      <c r="E460" s="57"/>
      <c r="F460" s="69"/>
      <c r="G460" s="69"/>
      <c r="H460" s="74" t="str">
        <f aca="false">IF(A460="","",IFERROR(INDEX(السندات!$C$5:$C$504,MATCH(A460,السندات!$A$5:$A$504,0)),""))</f>
        <v/>
      </c>
      <c r="I460" s="75" t="str">
        <f aca="false">IF(A460="","",IFERROR(INDEX(السندات!$D$5:$D$504,MATCH(A460,السندات!$A$5:$A$504,0)),""))</f>
        <v/>
      </c>
      <c r="J460" s="76" t="str">
        <f aca="false">IF(A460="","",IF(ISNA(MATCH(A460,السندات!$A$5:$A$504,0)),"رقم سند غير موجود ✘",IF(AND(F460&lt;&gt;"",G460&lt;&gt;""),"اكتب مدين أو دائن فقط ✘",IF(AND(N(F460)=0,N(G460)=0),"بدون مبلغ ⚠",IF(B460&gt;12,"يتجاوز 12 بنداً في الطباعة ⚠","")))))</f>
        <v/>
      </c>
    </row>
    <row r="461" customFormat="false" ht="15" hidden="false" customHeight="false" outlineLevel="0" collapsed="false">
      <c r="A461" s="58"/>
      <c r="B461" s="68" t="str">
        <f aca="false">IF(A461="","",COUNTIF(A$5:A461,A461))</f>
        <v/>
      </c>
      <c r="C461" s="68" t="str">
        <f aca="false">IF(A461="","",A461&amp;"-"&amp;B461)</f>
        <v/>
      </c>
      <c r="D461" s="58"/>
      <c r="E461" s="57"/>
      <c r="F461" s="69"/>
      <c r="G461" s="69"/>
      <c r="H461" s="70" t="str">
        <f aca="false">IF(A461="","",IFERROR(INDEX(السندات!$C$5:$C$504,MATCH(A461,السندات!$A$5:$A$504,0)),""))</f>
        <v/>
      </c>
      <c r="I461" s="71" t="str">
        <f aca="false">IF(A461="","",IFERROR(INDEX(السندات!$D$5:$D$504,MATCH(A461,السندات!$A$5:$A$504,0)),""))</f>
        <v/>
      </c>
      <c r="J461" s="72" t="str">
        <f aca="false">IF(A461="","",IF(ISNA(MATCH(A461,السندات!$A$5:$A$504,0)),"رقم سند غير موجود ✘",IF(AND(F461&lt;&gt;"",G461&lt;&gt;""),"اكتب مدين أو دائن فقط ✘",IF(AND(N(F461)=0,N(G461)=0),"بدون مبلغ ⚠",IF(B461&gt;12,"يتجاوز 12 بنداً في الطباعة ⚠","")))))</f>
        <v/>
      </c>
    </row>
    <row r="462" customFormat="false" ht="15" hidden="false" customHeight="false" outlineLevel="0" collapsed="false">
      <c r="A462" s="58"/>
      <c r="B462" s="73" t="str">
        <f aca="false">IF(A462="","",COUNTIF(A$5:A462,A462))</f>
        <v/>
      </c>
      <c r="C462" s="73" t="str">
        <f aca="false">IF(A462="","",A462&amp;"-"&amp;B462)</f>
        <v/>
      </c>
      <c r="D462" s="58"/>
      <c r="E462" s="57"/>
      <c r="F462" s="69"/>
      <c r="G462" s="69"/>
      <c r="H462" s="74" t="str">
        <f aca="false">IF(A462="","",IFERROR(INDEX(السندات!$C$5:$C$504,MATCH(A462,السندات!$A$5:$A$504,0)),""))</f>
        <v/>
      </c>
      <c r="I462" s="75" t="str">
        <f aca="false">IF(A462="","",IFERROR(INDEX(السندات!$D$5:$D$504,MATCH(A462,السندات!$A$5:$A$504,0)),""))</f>
        <v/>
      </c>
      <c r="J462" s="76" t="str">
        <f aca="false">IF(A462="","",IF(ISNA(MATCH(A462,السندات!$A$5:$A$504,0)),"رقم سند غير موجود ✘",IF(AND(F462&lt;&gt;"",G462&lt;&gt;""),"اكتب مدين أو دائن فقط ✘",IF(AND(N(F462)=0,N(G462)=0),"بدون مبلغ ⚠",IF(B462&gt;12,"يتجاوز 12 بنداً في الطباعة ⚠","")))))</f>
        <v/>
      </c>
    </row>
    <row r="463" customFormat="false" ht="15" hidden="false" customHeight="false" outlineLevel="0" collapsed="false">
      <c r="A463" s="58"/>
      <c r="B463" s="68" t="str">
        <f aca="false">IF(A463="","",COUNTIF(A$5:A463,A463))</f>
        <v/>
      </c>
      <c r="C463" s="68" t="str">
        <f aca="false">IF(A463="","",A463&amp;"-"&amp;B463)</f>
        <v/>
      </c>
      <c r="D463" s="58"/>
      <c r="E463" s="57"/>
      <c r="F463" s="69"/>
      <c r="G463" s="69"/>
      <c r="H463" s="70" t="str">
        <f aca="false">IF(A463="","",IFERROR(INDEX(السندات!$C$5:$C$504,MATCH(A463,السندات!$A$5:$A$504,0)),""))</f>
        <v/>
      </c>
      <c r="I463" s="71" t="str">
        <f aca="false">IF(A463="","",IFERROR(INDEX(السندات!$D$5:$D$504,MATCH(A463,السندات!$A$5:$A$504,0)),""))</f>
        <v/>
      </c>
      <c r="J463" s="72" t="str">
        <f aca="false">IF(A463="","",IF(ISNA(MATCH(A463,السندات!$A$5:$A$504,0)),"رقم سند غير موجود ✘",IF(AND(F463&lt;&gt;"",G463&lt;&gt;""),"اكتب مدين أو دائن فقط ✘",IF(AND(N(F463)=0,N(G463)=0),"بدون مبلغ ⚠",IF(B463&gt;12,"يتجاوز 12 بنداً في الطباعة ⚠","")))))</f>
        <v/>
      </c>
    </row>
    <row r="464" customFormat="false" ht="15" hidden="false" customHeight="false" outlineLevel="0" collapsed="false">
      <c r="A464" s="58"/>
      <c r="B464" s="73" t="str">
        <f aca="false">IF(A464="","",COUNTIF(A$5:A464,A464))</f>
        <v/>
      </c>
      <c r="C464" s="73" t="str">
        <f aca="false">IF(A464="","",A464&amp;"-"&amp;B464)</f>
        <v/>
      </c>
      <c r="D464" s="58"/>
      <c r="E464" s="57"/>
      <c r="F464" s="69"/>
      <c r="G464" s="69"/>
      <c r="H464" s="74" t="str">
        <f aca="false">IF(A464="","",IFERROR(INDEX(السندات!$C$5:$C$504,MATCH(A464,السندات!$A$5:$A$504,0)),""))</f>
        <v/>
      </c>
      <c r="I464" s="75" t="str">
        <f aca="false">IF(A464="","",IFERROR(INDEX(السندات!$D$5:$D$504,MATCH(A464,السندات!$A$5:$A$504,0)),""))</f>
        <v/>
      </c>
      <c r="J464" s="76" t="str">
        <f aca="false">IF(A464="","",IF(ISNA(MATCH(A464,السندات!$A$5:$A$504,0)),"رقم سند غير موجود ✘",IF(AND(F464&lt;&gt;"",G464&lt;&gt;""),"اكتب مدين أو دائن فقط ✘",IF(AND(N(F464)=0,N(G464)=0),"بدون مبلغ ⚠",IF(B464&gt;12,"يتجاوز 12 بنداً في الطباعة ⚠","")))))</f>
        <v/>
      </c>
    </row>
    <row r="465" customFormat="false" ht="15" hidden="false" customHeight="false" outlineLevel="0" collapsed="false">
      <c r="A465" s="58"/>
      <c r="B465" s="68" t="str">
        <f aca="false">IF(A465="","",COUNTIF(A$5:A465,A465))</f>
        <v/>
      </c>
      <c r="C465" s="68" t="str">
        <f aca="false">IF(A465="","",A465&amp;"-"&amp;B465)</f>
        <v/>
      </c>
      <c r="D465" s="58"/>
      <c r="E465" s="57"/>
      <c r="F465" s="69"/>
      <c r="G465" s="69"/>
      <c r="H465" s="70" t="str">
        <f aca="false">IF(A465="","",IFERROR(INDEX(السندات!$C$5:$C$504,MATCH(A465,السندات!$A$5:$A$504,0)),""))</f>
        <v/>
      </c>
      <c r="I465" s="71" t="str">
        <f aca="false">IF(A465="","",IFERROR(INDEX(السندات!$D$5:$D$504,MATCH(A465,السندات!$A$5:$A$504,0)),""))</f>
        <v/>
      </c>
      <c r="J465" s="72" t="str">
        <f aca="false">IF(A465="","",IF(ISNA(MATCH(A465,السندات!$A$5:$A$504,0)),"رقم سند غير موجود ✘",IF(AND(F465&lt;&gt;"",G465&lt;&gt;""),"اكتب مدين أو دائن فقط ✘",IF(AND(N(F465)=0,N(G465)=0),"بدون مبلغ ⚠",IF(B465&gt;12,"يتجاوز 12 بنداً في الطباعة ⚠","")))))</f>
        <v/>
      </c>
    </row>
    <row r="466" customFormat="false" ht="15" hidden="false" customHeight="false" outlineLevel="0" collapsed="false">
      <c r="A466" s="58"/>
      <c r="B466" s="73" t="str">
        <f aca="false">IF(A466="","",COUNTIF(A$5:A466,A466))</f>
        <v/>
      </c>
      <c r="C466" s="73" t="str">
        <f aca="false">IF(A466="","",A466&amp;"-"&amp;B466)</f>
        <v/>
      </c>
      <c r="D466" s="58"/>
      <c r="E466" s="57"/>
      <c r="F466" s="69"/>
      <c r="G466" s="69"/>
      <c r="H466" s="74" t="str">
        <f aca="false">IF(A466="","",IFERROR(INDEX(السندات!$C$5:$C$504,MATCH(A466,السندات!$A$5:$A$504,0)),""))</f>
        <v/>
      </c>
      <c r="I466" s="75" t="str">
        <f aca="false">IF(A466="","",IFERROR(INDEX(السندات!$D$5:$D$504,MATCH(A466,السندات!$A$5:$A$504,0)),""))</f>
        <v/>
      </c>
      <c r="J466" s="76" t="str">
        <f aca="false">IF(A466="","",IF(ISNA(MATCH(A466,السندات!$A$5:$A$504,0)),"رقم سند غير موجود ✘",IF(AND(F466&lt;&gt;"",G466&lt;&gt;""),"اكتب مدين أو دائن فقط ✘",IF(AND(N(F466)=0,N(G466)=0),"بدون مبلغ ⚠",IF(B466&gt;12,"يتجاوز 12 بنداً في الطباعة ⚠","")))))</f>
        <v/>
      </c>
    </row>
    <row r="467" customFormat="false" ht="15" hidden="false" customHeight="false" outlineLevel="0" collapsed="false">
      <c r="A467" s="58"/>
      <c r="B467" s="68" t="str">
        <f aca="false">IF(A467="","",COUNTIF(A$5:A467,A467))</f>
        <v/>
      </c>
      <c r="C467" s="68" t="str">
        <f aca="false">IF(A467="","",A467&amp;"-"&amp;B467)</f>
        <v/>
      </c>
      <c r="D467" s="58"/>
      <c r="E467" s="57"/>
      <c r="F467" s="69"/>
      <c r="G467" s="69"/>
      <c r="H467" s="70" t="str">
        <f aca="false">IF(A467="","",IFERROR(INDEX(السندات!$C$5:$C$504,MATCH(A467,السندات!$A$5:$A$504,0)),""))</f>
        <v/>
      </c>
      <c r="I467" s="71" t="str">
        <f aca="false">IF(A467="","",IFERROR(INDEX(السندات!$D$5:$D$504,MATCH(A467,السندات!$A$5:$A$504,0)),""))</f>
        <v/>
      </c>
      <c r="J467" s="72" t="str">
        <f aca="false">IF(A467="","",IF(ISNA(MATCH(A467,السندات!$A$5:$A$504,0)),"رقم سند غير موجود ✘",IF(AND(F467&lt;&gt;"",G467&lt;&gt;""),"اكتب مدين أو دائن فقط ✘",IF(AND(N(F467)=0,N(G467)=0),"بدون مبلغ ⚠",IF(B467&gt;12,"يتجاوز 12 بنداً في الطباعة ⚠","")))))</f>
        <v/>
      </c>
    </row>
    <row r="468" customFormat="false" ht="15" hidden="false" customHeight="false" outlineLevel="0" collapsed="false">
      <c r="A468" s="58"/>
      <c r="B468" s="73" t="str">
        <f aca="false">IF(A468="","",COUNTIF(A$5:A468,A468))</f>
        <v/>
      </c>
      <c r="C468" s="73" t="str">
        <f aca="false">IF(A468="","",A468&amp;"-"&amp;B468)</f>
        <v/>
      </c>
      <c r="D468" s="58"/>
      <c r="E468" s="57"/>
      <c r="F468" s="69"/>
      <c r="G468" s="69"/>
      <c r="H468" s="74" t="str">
        <f aca="false">IF(A468="","",IFERROR(INDEX(السندات!$C$5:$C$504,MATCH(A468,السندات!$A$5:$A$504,0)),""))</f>
        <v/>
      </c>
      <c r="I468" s="75" t="str">
        <f aca="false">IF(A468="","",IFERROR(INDEX(السندات!$D$5:$D$504,MATCH(A468,السندات!$A$5:$A$504,0)),""))</f>
        <v/>
      </c>
      <c r="J468" s="76" t="str">
        <f aca="false">IF(A468="","",IF(ISNA(MATCH(A468,السندات!$A$5:$A$504,0)),"رقم سند غير موجود ✘",IF(AND(F468&lt;&gt;"",G468&lt;&gt;""),"اكتب مدين أو دائن فقط ✘",IF(AND(N(F468)=0,N(G468)=0),"بدون مبلغ ⚠",IF(B468&gt;12,"يتجاوز 12 بنداً في الطباعة ⚠","")))))</f>
        <v/>
      </c>
    </row>
    <row r="469" customFormat="false" ht="15" hidden="false" customHeight="false" outlineLevel="0" collapsed="false">
      <c r="A469" s="58"/>
      <c r="B469" s="68" t="str">
        <f aca="false">IF(A469="","",COUNTIF(A$5:A469,A469))</f>
        <v/>
      </c>
      <c r="C469" s="68" t="str">
        <f aca="false">IF(A469="","",A469&amp;"-"&amp;B469)</f>
        <v/>
      </c>
      <c r="D469" s="58"/>
      <c r="E469" s="57"/>
      <c r="F469" s="69"/>
      <c r="G469" s="69"/>
      <c r="H469" s="70" t="str">
        <f aca="false">IF(A469="","",IFERROR(INDEX(السندات!$C$5:$C$504,MATCH(A469,السندات!$A$5:$A$504,0)),""))</f>
        <v/>
      </c>
      <c r="I469" s="71" t="str">
        <f aca="false">IF(A469="","",IFERROR(INDEX(السندات!$D$5:$D$504,MATCH(A469,السندات!$A$5:$A$504,0)),""))</f>
        <v/>
      </c>
      <c r="J469" s="72" t="str">
        <f aca="false">IF(A469="","",IF(ISNA(MATCH(A469,السندات!$A$5:$A$504,0)),"رقم سند غير موجود ✘",IF(AND(F469&lt;&gt;"",G469&lt;&gt;""),"اكتب مدين أو دائن فقط ✘",IF(AND(N(F469)=0,N(G469)=0),"بدون مبلغ ⚠",IF(B469&gt;12,"يتجاوز 12 بنداً في الطباعة ⚠","")))))</f>
        <v/>
      </c>
    </row>
    <row r="470" customFormat="false" ht="15" hidden="false" customHeight="false" outlineLevel="0" collapsed="false">
      <c r="A470" s="58"/>
      <c r="B470" s="73" t="str">
        <f aca="false">IF(A470="","",COUNTIF(A$5:A470,A470))</f>
        <v/>
      </c>
      <c r="C470" s="73" t="str">
        <f aca="false">IF(A470="","",A470&amp;"-"&amp;B470)</f>
        <v/>
      </c>
      <c r="D470" s="58"/>
      <c r="E470" s="57"/>
      <c r="F470" s="69"/>
      <c r="G470" s="69"/>
      <c r="H470" s="74" t="str">
        <f aca="false">IF(A470="","",IFERROR(INDEX(السندات!$C$5:$C$504,MATCH(A470,السندات!$A$5:$A$504,0)),""))</f>
        <v/>
      </c>
      <c r="I470" s="75" t="str">
        <f aca="false">IF(A470="","",IFERROR(INDEX(السندات!$D$5:$D$504,MATCH(A470,السندات!$A$5:$A$504,0)),""))</f>
        <v/>
      </c>
      <c r="J470" s="76" t="str">
        <f aca="false">IF(A470="","",IF(ISNA(MATCH(A470,السندات!$A$5:$A$504,0)),"رقم سند غير موجود ✘",IF(AND(F470&lt;&gt;"",G470&lt;&gt;""),"اكتب مدين أو دائن فقط ✘",IF(AND(N(F470)=0,N(G470)=0),"بدون مبلغ ⚠",IF(B470&gt;12,"يتجاوز 12 بنداً في الطباعة ⚠","")))))</f>
        <v/>
      </c>
    </row>
    <row r="471" customFormat="false" ht="15" hidden="false" customHeight="false" outlineLevel="0" collapsed="false">
      <c r="A471" s="58"/>
      <c r="B471" s="68" t="str">
        <f aca="false">IF(A471="","",COUNTIF(A$5:A471,A471))</f>
        <v/>
      </c>
      <c r="C471" s="68" t="str">
        <f aca="false">IF(A471="","",A471&amp;"-"&amp;B471)</f>
        <v/>
      </c>
      <c r="D471" s="58"/>
      <c r="E471" s="57"/>
      <c r="F471" s="69"/>
      <c r="G471" s="69"/>
      <c r="H471" s="70" t="str">
        <f aca="false">IF(A471="","",IFERROR(INDEX(السندات!$C$5:$C$504,MATCH(A471,السندات!$A$5:$A$504,0)),""))</f>
        <v/>
      </c>
      <c r="I471" s="71" t="str">
        <f aca="false">IF(A471="","",IFERROR(INDEX(السندات!$D$5:$D$504,MATCH(A471,السندات!$A$5:$A$504,0)),""))</f>
        <v/>
      </c>
      <c r="J471" s="72" t="str">
        <f aca="false">IF(A471="","",IF(ISNA(MATCH(A471,السندات!$A$5:$A$504,0)),"رقم سند غير موجود ✘",IF(AND(F471&lt;&gt;"",G471&lt;&gt;""),"اكتب مدين أو دائن فقط ✘",IF(AND(N(F471)=0,N(G471)=0),"بدون مبلغ ⚠",IF(B471&gt;12,"يتجاوز 12 بنداً في الطباعة ⚠","")))))</f>
        <v/>
      </c>
    </row>
    <row r="472" customFormat="false" ht="15" hidden="false" customHeight="false" outlineLevel="0" collapsed="false">
      <c r="A472" s="58"/>
      <c r="B472" s="73" t="str">
        <f aca="false">IF(A472="","",COUNTIF(A$5:A472,A472))</f>
        <v/>
      </c>
      <c r="C472" s="73" t="str">
        <f aca="false">IF(A472="","",A472&amp;"-"&amp;B472)</f>
        <v/>
      </c>
      <c r="D472" s="58"/>
      <c r="E472" s="57"/>
      <c r="F472" s="69"/>
      <c r="G472" s="69"/>
      <c r="H472" s="74" t="str">
        <f aca="false">IF(A472="","",IFERROR(INDEX(السندات!$C$5:$C$504,MATCH(A472,السندات!$A$5:$A$504,0)),""))</f>
        <v/>
      </c>
      <c r="I472" s="75" t="str">
        <f aca="false">IF(A472="","",IFERROR(INDEX(السندات!$D$5:$D$504,MATCH(A472,السندات!$A$5:$A$504,0)),""))</f>
        <v/>
      </c>
      <c r="J472" s="76" t="str">
        <f aca="false">IF(A472="","",IF(ISNA(MATCH(A472,السندات!$A$5:$A$504,0)),"رقم سند غير موجود ✘",IF(AND(F472&lt;&gt;"",G472&lt;&gt;""),"اكتب مدين أو دائن فقط ✘",IF(AND(N(F472)=0,N(G472)=0),"بدون مبلغ ⚠",IF(B472&gt;12,"يتجاوز 12 بنداً في الطباعة ⚠","")))))</f>
        <v/>
      </c>
    </row>
    <row r="473" customFormat="false" ht="15" hidden="false" customHeight="false" outlineLevel="0" collapsed="false">
      <c r="A473" s="58"/>
      <c r="B473" s="68" t="str">
        <f aca="false">IF(A473="","",COUNTIF(A$5:A473,A473))</f>
        <v/>
      </c>
      <c r="C473" s="68" t="str">
        <f aca="false">IF(A473="","",A473&amp;"-"&amp;B473)</f>
        <v/>
      </c>
      <c r="D473" s="58"/>
      <c r="E473" s="57"/>
      <c r="F473" s="69"/>
      <c r="G473" s="69"/>
      <c r="H473" s="70" t="str">
        <f aca="false">IF(A473="","",IFERROR(INDEX(السندات!$C$5:$C$504,MATCH(A473,السندات!$A$5:$A$504,0)),""))</f>
        <v/>
      </c>
      <c r="I473" s="71" t="str">
        <f aca="false">IF(A473="","",IFERROR(INDEX(السندات!$D$5:$D$504,MATCH(A473,السندات!$A$5:$A$504,0)),""))</f>
        <v/>
      </c>
      <c r="J473" s="72" t="str">
        <f aca="false">IF(A473="","",IF(ISNA(MATCH(A473,السندات!$A$5:$A$504,0)),"رقم سند غير موجود ✘",IF(AND(F473&lt;&gt;"",G473&lt;&gt;""),"اكتب مدين أو دائن فقط ✘",IF(AND(N(F473)=0,N(G473)=0),"بدون مبلغ ⚠",IF(B473&gt;12,"يتجاوز 12 بنداً في الطباعة ⚠","")))))</f>
        <v/>
      </c>
    </row>
    <row r="474" customFormat="false" ht="15" hidden="false" customHeight="false" outlineLevel="0" collapsed="false">
      <c r="A474" s="58"/>
      <c r="B474" s="73" t="str">
        <f aca="false">IF(A474="","",COUNTIF(A$5:A474,A474))</f>
        <v/>
      </c>
      <c r="C474" s="73" t="str">
        <f aca="false">IF(A474="","",A474&amp;"-"&amp;B474)</f>
        <v/>
      </c>
      <c r="D474" s="58"/>
      <c r="E474" s="57"/>
      <c r="F474" s="69"/>
      <c r="G474" s="69"/>
      <c r="H474" s="74" t="str">
        <f aca="false">IF(A474="","",IFERROR(INDEX(السندات!$C$5:$C$504,MATCH(A474,السندات!$A$5:$A$504,0)),""))</f>
        <v/>
      </c>
      <c r="I474" s="75" t="str">
        <f aca="false">IF(A474="","",IFERROR(INDEX(السندات!$D$5:$D$504,MATCH(A474,السندات!$A$5:$A$504,0)),""))</f>
        <v/>
      </c>
      <c r="J474" s="76" t="str">
        <f aca="false">IF(A474="","",IF(ISNA(MATCH(A474,السندات!$A$5:$A$504,0)),"رقم سند غير موجود ✘",IF(AND(F474&lt;&gt;"",G474&lt;&gt;""),"اكتب مدين أو دائن فقط ✘",IF(AND(N(F474)=0,N(G474)=0),"بدون مبلغ ⚠",IF(B474&gt;12,"يتجاوز 12 بنداً في الطباعة ⚠","")))))</f>
        <v/>
      </c>
    </row>
    <row r="475" customFormat="false" ht="15" hidden="false" customHeight="false" outlineLevel="0" collapsed="false">
      <c r="A475" s="58"/>
      <c r="B475" s="68" t="str">
        <f aca="false">IF(A475="","",COUNTIF(A$5:A475,A475))</f>
        <v/>
      </c>
      <c r="C475" s="68" t="str">
        <f aca="false">IF(A475="","",A475&amp;"-"&amp;B475)</f>
        <v/>
      </c>
      <c r="D475" s="58"/>
      <c r="E475" s="57"/>
      <c r="F475" s="69"/>
      <c r="G475" s="69"/>
      <c r="H475" s="70" t="str">
        <f aca="false">IF(A475="","",IFERROR(INDEX(السندات!$C$5:$C$504,MATCH(A475,السندات!$A$5:$A$504,0)),""))</f>
        <v/>
      </c>
      <c r="I475" s="71" t="str">
        <f aca="false">IF(A475="","",IFERROR(INDEX(السندات!$D$5:$D$504,MATCH(A475,السندات!$A$5:$A$504,0)),""))</f>
        <v/>
      </c>
      <c r="J475" s="72" t="str">
        <f aca="false">IF(A475="","",IF(ISNA(MATCH(A475,السندات!$A$5:$A$504,0)),"رقم سند غير موجود ✘",IF(AND(F475&lt;&gt;"",G475&lt;&gt;""),"اكتب مدين أو دائن فقط ✘",IF(AND(N(F475)=0,N(G475)=0),"بدون مبلغ ⚠",IF(B475&gt;12,"يتجاوز 12 بنداً في الطباعة ⚠","")))))</f>
        <v/>
      </c>
    </row>
    <row r="476" customFormat="false" ht="15" hidden="false" customHeight="false" outlineLevel="0" collapsed="false">
      <c r="A476" s="58"/>
      <c r="B476" s="73" t="str">
        <f aca="false">IF(A476="","",COUNTIF(A$5:A476,A476))</f>
        <v/>
      </c>
      <c r="C476" s="73" t="str">
        <f aca="false">IF(A476="","",A476&amp;"-"&amp;B476)</f>
        <v/>
      </c>
      <c r="D476" s="58"/>
      <c r="E476" s="57"/>
      <c r="F476" s="69"/>
      <c r="G476" s="69"/>
      <c r="H476" s="74" t="str">
        <f aca="false">IF(A476="","",IFERROR(INDEX(السندات!$C$5:$C$504,MATCH(A476,السندات!$A$5:$A$504,0)),""))</f>
        <v/>
      </c>
      <c r="I476" s="75" t="str">
        <f aca="false">IF(A476="","",IFERROR(INDEX(السندات!$D$5:$D$504,MATCH(A476,السندات!$A$5:$A$504,0)),""))</f>
        <v/>
      </c>
      <c r="J476" s="76" t="str">
        <f aca="false">IF(A476="","",IF(ISNA(MATCH(A476,السندات!$A$5:$A$504,0)),"رقم سند غير موجود ✘",IF(AND(F476&lt;&gt;"",G476&lt;&gt;""),"اكتب مدين أو دائن فقط ✘",IF(AND(N(F476)=0,N(G476)=0),"بدون مبلغ ⚠",IF(B476&gt;12,"يتجاوز 12 بنداً في الطباعة ⚠","")))))</f>
        <v/>
      </c>
    </row>
    <row r="477" customFormat="false" ht="15" hidden="false" customHeight="false" outlineLevel="0" collapsed="false">
      <c r="A477" s="58"/>
      <c r="B477" s="68" t="str">
        <f aca="false">IF(A477="","",COUNTIF(A$5:A477,A477))</f>
        <v/>
      </c>
      <c r="C477" s="68" t="str">
        <f aca="false">IF(A477="","",A477&amp;"-"&amp;B477)</f>
        <v/>
      </c>
      <c r="D477" s="58"/>
      <c r="E477" s="57"/>
      <c r="F477" s="69"/>
      <c r="G477" s="69"/>
      <c r="H477" s="70" t="str">
        <f aca="false">IF(A477="","",IFERROR(INDEX(السندات!$C$5:$C$504,MATCH(A477,السندات!$A$5:$A$504,0)),""))</f>
        <v/>
      </c>
      <c r="I477" s="71" t="str">
        <f aca="false">IF(A477="","",IFERROR(INDEX(السندات!$D$5:$D$504,MATCH(A477,السندات!$A$5:$A$504,0)),""))</f>
        <v/>
      </c>
      <c r="J477" s="72" t="str">
        <f aca="false">IF(A477="","",IF(ISNA(MATCH(A477,السندات!$A$5:$A$504,0)),"رقم سند غير موجود ✘",IF(AND(F477&lt;&gt;"",G477&lt;&gt;""),"اكتب مدين أو دائن فقط ✘",IF(AND(N(F477)=0,N(G477)=0),"بدون مبلغ ⚠",IF(B477&gt;12,"يتجاوز 12 بنداً في الطباعة ⚠","")))))</f>
        <v/>
      </c>
    </row>
    <row r="478" customFormat="false" ht="15" hidden="false" customHeight="false" outlineLevel="0" collapsed="false">
      <c r="A478" s="58"/>
      <c r="B478" s="73" t="str">
        <f aca="false">IF(A478="","",COUNTIF(A$5:A478,A478))</f>
        <v/>
      </c>
      <c r="C478" s="73" t="str">
        <f aca="false">IF(A478="","",A478&amp;"-"&amp;B478)</f>
        <v/>
      </c>
      <c r="D478" s="58"/>
      <c r="E478" s="57"/>
      <c r="F478" s="69"/>
      <c r="G478" s="69"/>
      <c r="H478" s="74" t="str">
        <f aca="false">IF(A478="","",IFERROR(INDEX(السندات!$C$5:$C$504,MATCH(A478,السندات!$A$5:$A$504,0)),""))</f>
        <v/>
      </c>
      <c r="I478" s="75" t="str">
        <f aca="false">IF(A478="","",IFERROR(INDEX(السندات!$D$5:$D$504,MATCH(A478,السندات!$A$5:$A$504,0)),""))</f>
        <v/>
      </c>
      <c r="J478" s="76" t="str">
        <f aca="false">IF(A478="","",IF(ISNA(MATCH(A478,السندات!$A$5:$A$504,0)),"رقم سند غير موجود ✘",IF(AND(F478&lt;&gt;"",G478&lt;&gt;""),"اكتب مدين أو دائن فقط ✘",IF(AND(N(F478)=0,N(G478)=0),"بدون مبلغ ⚠",IF(B478&gt;12,"يتجاوز 12 بنداً في الطباعة ⚠","")))))</f>
        <v/>
      </c>
    </row>
    <row r="479" customFormat="false" ht="15" hidden="false" customHeight="false" outlineLevel="0" collapsed="false">
      <c r="A479" s="58"/>
      <c r="B479" s="68" t="str">
        <f aca="false">IF(A479="","",COUNTIF(A$5:A479,A479))</f>
        <v/>
      </c>
      <c r="C479" s="68" t="str">
        <f aca="false">IF(A479="","",A479&amp;"-"&amp;B479)</f>
        <v/>
      </c>
      <c r="D479" s="58"/>
      <c r="E479" s="57"/>
      <c r="F479" s="69"/>
      <c r="G479" s="69"/>
      <c r="H479" s="70" t="str">
        <f aca="false">IF(A479="","",IFERROR(INDEX(السندات!$C$5:$C$504,MATCH(A479,السندات!$A$5:$A$504,0)),""))</f>
        <v/>
      </c>
      <c r="I479" s="71" t="str">
        <f aca="false">IF(A479="","",IFERROR(INDEX(السندات!$D$5:$D$504,MATCH(A479,السندات!$A$5:$A$504,0)),""))</f>
        <v/>
      </c>
      <c r="J479" s="72" t="str">
        <f aca="false">IF(A479="","",IF(ISNA(MATCH(A479,السندات!$A$5:$A$504,0)),"رقم سند غير موجود ✘",IF(AND(F479&lt;&gt;"",G479&lt;&gt;""),"اكتب مدين أو دائن فقط ✘",IF(AND(N(F479)=0,N(G479)=0),"بدون مبلغ ⚠",IF(B479&gt;12,"يتجاوز 12 بنداً في الطباعة ⚠","")))))</f>
        <v/>
      </c>
    </row>
    <row r="480" customFormat="false" ht="15" hidden="false" customHeight="false" outlineLevel="0" collapsed="false">
      <c r="A480" s="58"/>
      <c r="B480" s="73" t="str">
        <f aca="false">IF(A480="","",COUNTIF(A$5:A480,A480))</f>
        <v/>
      </c>
      <c r="C480" s="73" t="str">
        <f aca="false">IF(A480="","",A480&amp;"-"&amp;B480)</f>
        <v/>
      </c>
      <c r="D480" s="58"/>
      <c r="E480" s="57"/>
      <c r="F480" s="69"/>
      <c r="G480" s="69"/>
      <c r="H480" s="74" t="str">
        <f aca="false">IF(A480="","",IFERROR(INDEX(السندات!$C$5:$C$504,MATCH(A480,السندات!$A$5:$A$504,0)),""))</f>
        <v/>
      </c>
      <c r="I480" s="75" t="str">
        <f aca="false">IF(A480="","",IFERROR(INDEX(السندات!$D$5:$D$504,MATCH(A480,السندات!$A$5:$A$504,0)),""))</f>
        <v/>
      </c>
      <c r="J480" s="76" t="str">
        <f aca="false">IF(A480="","",IF(ISNA(MATCH(A480,السندات!$A$5:$A$504,0)),"رقم سند غير موجود ✘",IF(AND(F480&lt;&gt;"",G480&lt;&gt;""),"اكتب مدين أو دائن فقط ✘",IF(AND(N(F480)=0,N(G480)=0),"بدون مبلغ ⚠",IF(B480&gt;12,"يتجاوز 12 بنداً في الطباعة ⚠","")))))</f>
        <v/>
      </c>
    </row>
    <row r="481" customFormat="false" ht="15" hidden="false" customHeight="false" outlineLevel="0" collapsed="false">
      <c r="A481" s="58"/>
      <c r="B481" s="68" t="str">
        <f aca="false">IF(A481="","",COUNTIF(A$5:A481,A481))</f>
        <v/>
      </c>
      <c r="C481" s="68" t="str">
        <f aca="false">IF(A481="","",A481&amp;"-"&amp;B481)</f>
        <v/>
      </c>
      <c r="D481" s="58"/>
      <c r="E481" s="57"/>
      <c r="F481" s="69"/>
      <c r="G481" s="69"/>
      <c r="H481" s="70" t="str">
        <f aca="false">IF(A481="","",IFERROR(INDEX(السندات!$C$5:$C$504,MATCH(A481,السندات!$A$5:$A$504,0)),""))</f>
        <v/>
      </c>
      <c r="I481" s="71" t="str">
        <f aca="false">IF(A481="","",IFERROR(INDEX(السندات!$D$5:$D$504,MATCH(A481,السندات!$A$5:$A$504,0)),""))</f>
        <v/>
      </c>
      <c r="J481" s="72" t="str">
        <f aca="false">IF(A481="","",IF(ISNA(MATCH(A481,السندات!$A$5:$A$504,0)),"رقم سند غير موجود ✘",IF(AND(F481&lt;&gt;"",G481&lt;&gt;""),"اكتب مدين أو دائن فقط ✘",IF(AND(N(F481)=0,N(G481)=0),"بدون مبلغ ⚠",IF(B481&gt;12,"يتجاوز 12 بنداً في الطباعة ⚠","")))))</f>
        <v/>
      </c>
    </row>
    <row r="482" customFormat="false" ht="15" hidden="false" customHeight="false" outlineLevel="0" collapsed="false">
      <c r="A482" s="58"/>
      <c r="B482" s="73" t="str">
        <f aca="false">IF(A482="","",COUNTIF(A$5:A482,A482))</f>
        <v/>
      </c>
      <c r="C482" s="73" t="str">
        <f aca="false">IF(A482="","",A482&amp;"-"&amp;B482)</f>
        <v/>
      </c>
      <c r="D482" s="58"/>
      <c r="E482" s="57"/>
      <c r="F482" s="69"/>
      <c r="G482" s="69"/>
      <c r="H482" s="74" t="str">
        <f aca="false">IF(A482="","",IFERROR(INDEX(السندات!$C$5:$C$504,MATCH(A482,السندات!$A$5:$A$504,0)),""))</f>
        <v/>
      </c>
      <c r="I482" s="75" t="str">
        <f aca="false">IF(A482="","",IFERROR(INDEX(السندات!$D$5:$D$504,MATCH(A482,السندات!$A$5:$A$504,0)),""))</f>
        <v/>
      </c>
      <c r="J482" s="76" t="str">
        <f aca="false">IF(A482="","",IF(ISNA(MATCH(A482,السندات!$A$5:$A$504,0)),"رقم سند غير موجود ✘",IF(AND(F482&lt;&gt;"",G482&lt;&gt;""),"اكتب مدين أو دائن فقط ✘",IF(AND(N(F482)=0,N(G482)=0),"بدون مبلغ ⚠",IF(B482&gt;12,"يتجاوز 12 بنداً في الطباعة ⚠","")))))</f>
        <v/>
      </c>
    </row>
    <row r="483" customFormat="false" ht="15" hidden="false" customHeight="false" outlineLevel="0" collapsed="false">
      <c r="A483" s="58"/>
      <c r="B483" s="68" t="str">
        <f aca="false">IF(A483="","",COUNTIF(A$5:A483,A483))</f>
        <v/>
      </c>
      <c r="C483" s="68" t="str">
        <f aca="false">IF(A483="","",A483&amp;"-"&amp;B483)</f>
        <v/>
      </c>
      <c r="D483" s="58"/>
      <c r="E483" s="57"/>
      <c r="F483" s="69"/>
      <c r="G483" s="69"/>
      <c r="H483" s="70" t="str">
        <f aca="false">IF(A483="","",IFERROR(INDEX(السندات!$C$5:$C$504,MATCH(A483,السندات!$A$5:$A$504,0)),""))</f>
        <v/>
      </c>
      <c r="I483" s="71" t="str">
        <f aca="false">IF(A483="","",IFERROR(INDEX(السندات!$D$5:$D$504,MATCH(A483,السندات!$A$5:$A$504,0)),""))</f>
        <v/>
      </c>
      <c r="J483" s="72" t="str">
        <f aca="false">IF(A483="","",IF(ISNA(MATCH(A483,السندات!$A$5:$A$504,0)),"رقم سند غير موجود ✘",IF(AND(F483&lt;&gt;"",G483&lt;&gt;""),"اكتب مدين أو دائن فقط ✘",IF(AND(N(F483)=0,N(G483)=0),"بدون مبلغ ⚠",IF(B483&gt;12,"يتجاوز 12 بنداً في الطباعة ⚠","")))))</f>
        <v/>
      </c>
    </row>
    <row r="484" customFormat="false" ht="15" hidden="false" customHeight="false" outlineLevel="0" collapsed="false">
      <c r="A484" s="58"/>
      <c r="B484" s="73" t="str">
        <f aca="false">IF(A484="","",COUNTIF(A$5:A484,A484))</f>
        <v/>
      </c>
      <c r="C484" s="73" t="str">
        <f aca="false">IF(A484="","",A484&amp;"-"&amp;B484)</f>
        <v/>
      </c>
      <c r="D484" s="58"/>
      <c r="E484" s="57"/>
      <c r="F484" s="69"/>
      <c r="G484" s="69"/>
      <c r="H484" s="74" t="str">
        <f aca="false">IF(A484="","",IFERROR(INDEX(السندات!$C$5:$C$504,MATCH(A484,السندات!$A$5:$A$504,0)),""))</f>
        <v/>
      </c>
      <c r="I484" s="75" t="str">
        <f aca="false">IF(A484="","",IFERROR(INDEX(السندات!$D$5:$D$504,MATCH(A484,السندات!$A$5:$A$504,0)),""))</f>
        <v/>
      </c>
      <c r="J484" s="76" t="str">
        <f aca="false">IF(A484="","",IF(ISNA(MATCH(A484,السندات!$A$5:$A$504,0)),"رقم سند غير موجود ✘",IF(AND(F484&lt;&gt;"",G484&lt;&gt;""),"اكتب مدين أو دائن فقط ✘",IF(AND(N(F484)=0,N(G484)=0),"بدون مبلغ ⚠",IF(B484&gt;12,"يتجاوز 12 بنداً في الطباعة ⚠","")))))</f>
        <v/>
      </c>
    </row>
    <row r="485" customFormat="false" ht="15" hidden="false" customHeight="false" outlineLevel="0" collapsed="false">
      <c r="A485" s="58"/>
      <c r="B485" s="68" t="str">
        <f aca="false">IF(A485="","",COUNTIF(A$5:A485,A485))</f>
        <v/>
      </c>
      <c r="C485" s="68" t="str">
        <f aca="false">IF(A485="","",A485&amp;"-"&amp;B485)</f>
        <v/>
      </c>
      <c r="D485" s="58"/>
      <c r="E485" s="57"/>
      <c r="F485" s="69"/>
      <c r="G485" s="69"/>
      <c r="H485" s="70" t="str">
        <f aca="false">IF(A485="","",IFERROR(INDEX(السندات!$C$5:$C$504,MATCH(A485,السندات!$A$5:$A$504,0)),""))</f>
        <v/>
      </c>
      <c r="I485" s="71" t="str">
        <f aca="false">IF(A485="","",IFERROR(INDEX(السندات!$D$5:$D$504,MATCH(A485,السندات!$A$5:$A$504,0)),""))</f>
        <v/>
      </c>
      <c r="J485" s="72" t="str">
        <f aca="false">IF(A485="","",IF(ISNA(MATCH(A485,السندات!$A$5:$A$504,0)),"رقم سند غير موجود ✘",IF(AND(F485&lt;&gt;"",G485&lt;&gt;""),"اكتب مدين أو دائن فقط ✘",IF(AND(N(F485)=0,N(G485)=0),"بدون مبلغ ⚠",IF(B485&gt;12,"يتجاوز 12 بنداً في الطباعة ⚠","")))))</f>
        <v/>
      </c>
    </row>
    <row r="486" customFormat="false" ht="15" hidden="false" customHeight="false" outlineLevel="0" collapsed="false">
      <c r="A486" s="58"/>
      <c r="B486" s="73" t="str">
        <f aca="false">IF(A486="","",COUNTIF(A$5:A486,A486))</f>
        <v/>
      </c>
      <c r="C486" s="73" t="str">
        <f aca="false">IF(A486="","",A486&amp;"-"&amp;B486)</f>
        <v/>
      </c>
      <c r="D486" s="58"/>
      <c r="E486" s="57"/>
      <c r="F486" s="69"/>
      <c r="G486" s="69"/>
      <c r="H486" s="74" t="str">
        <f aca="false">IF(A486="","",IFERROR(INDEX(السندات!$C$5:$C$504,MATCH(A486,السندات!$A$5:$A$504,0)),""))</f>
        <v/>
      </c>
      <c r="I486" s="75" t="str">
        <f aca="false">IF(A486="","",IFERROR(INDEX(السندات!$D$5:$D$504,MATCH(A486,السندات!$A$5:$A$504,0)),""))</f>
        <v/>
      </c>
      <c r="J486" s="76" t="str">
        <f aca="false">IF(A486="","",IF(ISNA(MATCH(A486,السندات!$A$5:$A$504,0)),"رقم سند غير موجود ✘",IF(AND(F486&lt;&gt;"",G486&lt;&gt;""),"اكتب مدين أو دائن فقط ✘",IF(AND(N(F486)=0,N(G486)=0),"بدون مبلغ ⚠",IF(B486&gt;12,"يتجاوز 12 بنداً في الطباعة ⚠","")))))</f>
        <v/>
      </c>
    </row>
    <row r="487" customFormat="false" ht="15" hidden="false" customHeight="false" outlineLevel="0" collapsed="false">
      <c r="A487" s="58"/>
      <c r="B487" s="68" t="str">
        <f aca="false">IF(A487="","",COUNTIF(A$5:A487,A487))</f>
        <v/>
      </c>
      <c r="C487" s="68" t="str">
        <f aca="false">IF(A487="","",A487&amp;"-"&amp;B487)</f>
        <v/>
      </c>
      <c r="D487" s="58"/>
      <c r="E487" s="57"/>
      <c r="F487" s="69"/>
      <c r="G487" s="69"/>
      <c r="H487" s="70" t="str">
        <f aca="false">IF(A487="","",IFERROR(INDEX(السندات!$C$5:$C$504,MATCH(A487,السندات!$A$5:$A$504,0)),""))</f>
        <v/>
      </c>
      <c r="I487" s="71" t="str">
        <f aca="false">IF(A487="","",IFERROR(INDEX(السندات!$D$5:$D$504,MATCH(A487,السندات!$A$5:$A$504,0)),""))</f>
        <v/>
      </c>
      <c r="J487" s="72" t="str">
        <f aca="false">IF(A487="","",IF(ISNA(MATCH(A487,السندات!$A$5:$A$504,0)),"رقم سند غير موجود ✘",IF(AND(F487&lt;&gt;"",G487&lt;&gt;""),"اكتب مدين أو دائن فقط ✘",IF(AND(N(F487)=0,N(G487)=0),"بدون مبلغ ⚠",IF(B487&gt;12,"يتجاوز 12 بنداً في الطباعة ⚠","")))))</f>
        <v/>
      </c>
    </row>
    <row r="488" customFormat="false" ht="15" hidden="false" customHeight="false" outlineLevel="0" collapsed="false">
      <c r="A488" s="58"/>
      <c r="B488" s="73" t="str">
        <f aca="false">IF(A488="","",COUNTIF(A$5:A488,A488))</f>
        <v/>
      </c>
      <c r="C488" s="73" t="str">
        <f aca="false">IF(A488="","",A488&amp;"-"&amp;B488)</f>
        <v/>
      </c>
      <c r="D488" s="58"/>
      <c r="E488" s="57"/>
      <c r="F488" s="69"/>
      <c r="G488" s="69"/>
      <c r="H488" s="74" t="str">
        <f aca="false">IF(A488="","",IFERROR(INDEX(السندات!$C$5:$C$504,MATCH(A488,السندات!$A$5:$A$504,0)),""))</f>
        <v/>
      </c>
      <c r="I488" s="75" t="str">
        <f aca="false">IF(A488="","",IFERROR(INDEX(السندات!$D$5:$D$504,MATCH(A488,السندات!$A$5:$A$504,0)),""))</f>
        <v/>
      </c>
      <c r="J488" s="76" t="str">
        <f aca="false">IF(A488="","",IF(ISNA(MATCH(A488,السندات!$A$5:$A$504,0)),"رقم سند غير موجود ✘",IF(AND(F488&lt;&gt;"",G488&lt;&gt;""),"اكتب مدين أو دائن فقط ✘",IF(AND(N(F488)=0,N(G488)=0),"بدون مبلغ ⚠",IF(B488&gt;12,"يتجاوز 12 بنداً في الطباعة ⚠","")))))</f>
        <v/>
      </c>
    </row>
    <row r="489" customFormat="false" ht="15" hidden="false" customHeight="false" outlineLevel="0" collapsed="false">
      <c r="A489" s="58"/>
      <c r="B489" s="68" t="str">
        <f aca="false">IF(A489="","",COUNTIF(A$5:A489,A489))</f>
        <v/>
      </c>
      <c r="C489" s="68" t="str">
        <f aca="false">IF(A489="","",A489&amp;"-"&amp;B489)</f>
        <v/>
      </c>
      <c r="D489" s="58"/>
      <c r="E489" s="57"/>
      <c r="F489" s="69"/>
      <c r="G489" s="69"/>
      <c r="H489" s="70" t="str">
        <f aca="false">IF(A489="","",IFERROR(INDEX(السندات!$C$5:$C$504,MATCH(A489,السندات!$A$5:$A$504,0)),""))</f>
        <v/>
      </c>
      <c r="I489" s="71" t="str">
        <f aca="false">IF(A489="","",IFERROR(INDEX(السندات!$D$5:$D$504,MATCH(A489,السندات!$A$5:$A$504,0)),""))</f>
        <v/>
      </c>
      <c r="J489" s="72" t="str">
        <f aca="false">IF(A489="","",IF(ISNA(MATCH(A489,السندات!$A$5:$A$504,0)),"رقم سند غير موجود ✘",IF(AND(F489&lt;&gt;"",G489&lt;&gt;""),"اكتب مدين أو دائن فقط ✘",IF(AND(N(F489)=0,N(G489)=0),"بدون مبلغ ⚠",IF(B489&gt;12,"يتجاوز 12 بنداً في الطباعة ⚠","")))))</f>
        <v/>
      </c>
    </row>
    <row r="490" customFormat="false" ht="15" hidden="false" customHeight="false" outlineLevel="0" collapsed="false">
      <c r="A490" s="58"/>
      <c r="B490" s="73" t="str">
        <f aca="false">IF(A490="","",COUNTIF(A$5:A490,A490))</f>
        <v/>
      </c>
      <c r="C490" s="73" t="str">
        <f aca="false">IF(A490="","",A490&amp;"-"&amp;B490)</f>
        <v/>
      </c>
      <c r="D490" s="58"/>
      <c r="E490" s="57"/>
      <c r="F490" s="69"/>
      <c r="G490" s="69"/>
      <c r="H490" s="74" t="str">
        <f aca="false">IF(A490="","",IFERROR(INDEX(السندات!$C$5:$C$504,MATCH(A490,السندات!$A$5:$A$504,0)),""))</f>
        <v/>
      </c>
      <c r="I490" s="75" t="str">
        <f aca="false">IF(A490="","",IFERROR(INDEX(السندات!$D$5:$D$504,MATCH(A490,السندات!$A$5:$A$504,0)),""))</f>
        <v/>
      </c>
      <c r="J490" s="76" t="str">
        <f aca="false">IF(A490="","",IF(ISNA(MATCH(A490,السندات!$A$5:$A$504,0)),"رقم سند غير موجود ✘",IF(AND(F490&lt;&gt;"",G490&lt;&gt;""),"اكتب مدين أو دائن فقط ✘",IF(AND(N(F490)=0,N(G490)=0),"بدون مبلغ ⚠",IF(B490&gt;12,"يتجاوز 12 بنداً في الطباعة ⚠","")))))</f>
        <v/>
      </c>
    </row>
    <row r="491" customFormat="false" ht="15" hidden="false" customHeight="false" outlineLevel="0" collapsed="false">
      <c r="A491" s="58"/>
      <c r="B491" s="68" t="str">
        <f aca="false">IF(A491="","",COUNTIF(A$5:A491,A491))</f>
        <v/>
      </c>
      <c r="C491" s="68" t="str">
        <f aca="false">IF(A491="","",A491&amp;"-"&amp;B491)</f>
        <v/>
      </c>
      <c r="D491" s="58"/>
      <c r="E491" s="57"/>
      <c r="F491" s="69"/>
      <c r="G491" s="69"/>
      <c r="H491" s="70" t="str">
        <f aca="false">IF(A491="","",IFERROR(INDEX(السندات!$C$5:$C$504,MATCH(A491,السندات!$A$5:$A$504,0)),""))</f>
        <v/>
      </c>
      <c r="I491" s="71" t="str">
        <f aca="false">IF(A491="","",IFERROR(INDEX(السندات!$D$5:$D$504,MATCH(A491,السندات!$A$5:$A$504,0)),""))</f>
        <v/>
      </c>
      <c r="J491" s="72" t="str">
        <f aca="false">IF(A491="","",IF(ISNA(MATCH(A491,السندات!$A$5:$A$504,0)),"رقم سند غير موجود ✘",IF(AND(F491&lt;&gt;"",G491&lt;&gt;""),"اكتب مدين أو دائن فقط ✘",IF(AND(N(F491)=0,N(G491)=0),"بدون مبلغ ⚠",IF(B491&gt;12,"يتجاوز 12 بنداً في الطباعة ⚠","")))))</f>
        <v/>
      </c>
    </row>
    <row r="492" customFormat="false" ht="15" hidden="false" customHeight="false" outlineLevel="0" collapsed="false">
      <c r="A492" s="58"/>
      <c r="B492" s="73" t="str">
        <f aca="false">IF(A492="","",COUNTIF(A$5:A492,A492))</f>
        <v/>
      </c>
      <c r="C492" s="73" t="str">
        <f aca="false">IF(A492="","",A492&amp;"-"&amp;B492)</f>
        <v/>
      </c>
      <c r="D492" s="58"/>
      <c r="E492" s="57"/>
      <c r="F492" s="69"/>
      <c r="G492" s="69"/>
      <c r="H492" s="74" t="str">
        <f aca="false">IF(A492="","",IFERROR(INDEX(السندات!$C$5:$C$504,MATCH(A492,السندات!$A$5:$A$504,0)),""))</f>
        <v/>
      </c>
      <c r="I492" s="75" t="str">
        <f aca="false">IF(A492="","",IFERROR(INDEX(السندات!$D$5:$D$504,MATCH(A492,السندات!$A$5:$A$504,0)),""))</f>
        <v/>
      </c>
      <c r="J492" s="76" t="str">
        <f aca="false">IF(A492="","",IF(ISNA(MATCH(A492,السندات!$A$5:$A$504,0)),"رقم سند غير موجود ✘",IF(AND(F492&lt;&gt;"",G492&lt;&gt;""),"اكتب مدين أو دائن فقط ✘",IF(AND(N(F492)=0,N(G492)=0),"بدون مبلغ ⚠",IF(B492&gt;12,"يتجاوز 12 بنداً في الطباعة ⚠","")))))</f>
        <v/>
      </c>
    </row>
    <row r="493" customFormat="false" ht="15" hidden="false" customHeight="false" outlineLevel="0" collapsed="false">
      <c r="A493" s="58"/>
      <c r="B493" s="68" t="str">
        <f aca="false">IF(A493="","",COUNTIF(A$5:A493,A493))</f>
        <v/>
      </c>
      <c r="C493" s="68" t="str">
        <f aca="false">IF(A493="","",A493&amp;"-"&amp;B493)</f>
        <v/>
      </c>
      <c r="D493" s="58"/>
      <c r="E493" s="57"/>
      <c r="F493" s="69"/>
      <c r="G493" s="69"/>
      <c r="H493" s="70" t="str">
        <f aca="false">IF(A493="","",IFERROR(INDEX(السندات!$C$5:$C$504,MATCH(A493,السندات!$A$5:$A$504,0)),""))</f>
        <v/>
      </c>
      <c r="I493" s="71" t="str">
        <f aca="false">IF(A493="","",IFERROR(INDEX(السندات!$D$5:$D$504,MATCH(A493,السندات!$A$5:$A$504,0)),""))</f>
        <v/>
      </c>
      <c r="J493" s="72" t="str">
        <f aca="false">IF(A493="","",IF(ISNA(MATCH(A493,السندات!$A$5:$A$504,0)),"رقم سند غير موجود ✘",IF(AND(F493&lt;&gt;"",G493&lt;&gt;""),"اكتب مدين أو دائن فقط ✘",IF(AND(N(F493)=0,N(G493)=0),"بدون مبلغ ⚠",IF(B493&gt;12,"يتجاوز 12 بنداً في الطباعة ⚠","")))))</f>
        <v/>
      </c>
    </row>
    <row r="494" customFormat="false" ht="15" hidden="false" customHeight="false" outlineLevel="0" collapsed="false">
      <c r="A494" s="58"/>
      <c r="B494" s="73" t="str">
        <f aca="false">IF(A494="","",COUNTIF(A$5:A494,A494))</f>
        <v/>
      </c>
      <c r="C494" s="73" t="str">
        <f aca="false">IF(A494="","",A494&amp;"-"&amp;B494)</f>
        <v/>
      </c>
      <c r="D494" s="58"/>
      <c r="E494" s="57"/>
      <c r="F494" s="69"/>
      <c r="G494" s="69"/>
      <c r="H494" s="74" t="str">
        <f aca="false">IF(A494="","",IFERROR(INDEX(السندات!$C$5:$C$504,MATCH(A494,السندات!$A$5:$A$504,0)),""))</f>
        <v/>
      </c>
      <c r="I494" s="75" t="str">
        <f aca="false">IF(A494="","",IFERROR(INDEX(السندات!$D$5:$D$504,MATCH(A494,السندات!$A$5:$A$504,0)),""))</f>
        <v/>
      </c>
      <c r="J494" s="76" t="str">
        <f aca="false">IF(A494="","",IF(ISNA(MATCH(A494,السندات!$A$5:$A$504,0)),"رقم سند غير موجود ✘",IF(AND(F494&lt;&gt;"",G494&lt;&gt;""),"اكتب مدين أو دائن فقط ✘",IF(AND(N(F494)=0,N(G494)=0),"بدون مبلغ ⚠",IF(B494&gt;12,"يتجاوز 12 بنداً في الطباعة ⚠","")))))</f>
        <v/>
      </c>
    </row>
    <row r="495" customFormat="false" ht="15" hidden="false" customHeight="false" outlineLevel="0" collapsed="false">
      <c r="A495" s="58"/>
      <c r="B495" s="68" t="str">
        <f aca="false">IF(A495="","",COUNTIF(A$5:A495,A495))</f>
        <v/>
      </c>
      <c r="C495" s="68" t="str">
        <f aca="false">IF(A495="","",A495&amp;"-"&amp;B495)</f>
        <v/>
      </c>
      <c r="D495" s="58"/>
      <c r="E495" s="57"/>
      <c r="F495" s="69"/>
      <c r="G495" s="69"/>
      <c r="H495" s="70" t="str">
        <f aca="false">IF(A495="","",IFERROR(INDEX(السندات!$C$5:$C$504,MATCH(A495,السندات!$A$5:$A$504,0)),""))</f>
        <v/>
      </c>
      <c r="I495" s="71" t="str">
        <f aca="false">IF(A495="","",IFERROR(INDEX(السندات!$D$5:$D$504,MATCH(A495,السندات!$A$5:$A$504,0)),""))</f>
        <v/>
      </c>
      <c r="J495" s="72" t="str">
        <f aca="false">IF(A495="","",IF(ISNA(MATCH(A495,السندات!$A$5:$A$504,0)),"رقم سند غير موجود ✘",IF(AND(F495&lt;&gt;"",G495&lt;&gt;""),"اكتب مدين أو دائن فقط ✘",IF(AND(N(F495)=0,N(G495)=0),"بدون مبلغ ⚠",IF(B495&gt;12,"يتجاوز 12 بنداً في الطباعة ⚠","")))))</f>
        <v/>
      </c>
    </row>
    <row r="496" customFormat="false" ht="15" hidden="false" customHeight="false" outlineLevel="0" collapsed="false">
      <c r="A496" s="58"/>
      <c r="B496" s="73" t="str">
        <f aca="false">IF(A496="","",COUNTIF(A$5:A496,A496))</f>
        <v/>
      </c>
      <c r="C496" s="73" t="str">
        <f aca="false">IF(A496="","",A496&amp;"-"&amp;B496)</f>
        <v/>
      </c>
      <c r="D496" s="58"/>
      <c r="E496" s="57"/>
      <c r="F496" s="69"/>
      <c r="G496" s="69"/>
      <c r="H496" s="74" t="str">
        <f aca="false">IF(A496="","",IFERROR(INDEX(السندات!$C$5:$C$504,MATCH(A496,السندات!$A$5:$A$504,0)),""))</f>
        <v/>
      </c>
      <c r="I496" s="75" t="str">
        <f aca="false">IF(A496="","",IFERROR(INDEX(السندات!$D$5:$D$504,MATCH(A496,السندات!$A$5:$A$504,0)),""))</f>
        <v/>
      </c>
      <c r="J496" s="76" t="str">
        <f aca="false">IF(A496="","",IF(ISNA(MATCH(A496,السندات!$A$5:$A$504,0)),"رقم سند غير موجود ✘",IF(AND(F496&lt;&gt;"",G496&lt;&gt;""),"اكتب مدين أو دائن فقط ✘",IF(AND(N(F496)=0,N(G496)=0),"بدون مبلغ ⚠",IF(B496&gt;12,"يتجاوز 12 بنداً في الطباعة ⚠","")))))</f>
        <v/>
      </c>
    </row>
    <row r="497" customFormat="false" ht="15" hidden="false" customHeight="false" outlineLevel="0" collapsed="false">
      <c r="A497" s="58"/>
      <c r="B497" s="68" t="str">
        <f aca="false">IF(A497="","",COUNTIF(A$5:A497,A497))</f>
        <v/>
      </c>
      <c r="C497" s="68" t="str">
        <f aca="false">IF(A497="","",A497&amp;"-"&amp;B497)</f>
        <v/>
      </c>
      <c r="D497" s="58"/>
      <c r="E497" s="57"/>
      <c r="F497" s="69"/>
      <c r="G497" s="69"/>
      <c r="H497" s="70" t="str">
        <f aca="false">IF(A497="","",IFERROR(INDEX(السندات!$C$5:$C$504,MATCH(A497,السندات!$A$5:$A$504,0)),""))</f>
        <v/>
      </c>
      <c r="I497" s="71" t="str">
        <f aca="false">IF(A497="","",IFERROR(INDEX(السندات!$D$5:$D$504,MATCH(A497,السندات!$A$5:$A$504,0)),""))</f>
        <v/>
      </c>
      <c r="J497" s="72" t="str">
        <f aca="false">IF(A497="","",IF(ISNA(MATCH(A497,السندات!$A$5:$A$504,0)),"رقم سند غير موجود ✘",IF(AND(F497&lt;&gt;"",G497&lt;&gt;""),"اكتب مدين أو دائن فقط ✘",IF(AND(N(F497)=0,N(G497)=0),"بدون مبلغ ⚠",IF(B497&gt;12,"يتجاوز 12 بنداً في الطباعة ⚠","")))))</f>
        <v/>
      </c>
    </row>
    <row r="498" customFormat="false" ht="15" hidden="false" customHeight="false" outlineLevel="0" collapsed="false">
      <c r="A498" s="58"/>
      <c r="B498" s="73" t="str">
        <f aca="false">IF(A498="","",COUNTIF(A$5:A498,A498))</f>
        <v/>
      </c>
      <c r="C498" s="73" t="str">
        <f aca="false">IF(A498="","",A498&amp;"-"&amp;B498)</f>
        <v/>
      </c>
      <c r="D498" s="58"/>
      <c r="E498" s="57"/>
      <c r="F498" s="69"/>
      <c r="G498" s="69"/>
      <c r="H498" s="74" t="str">
        <f aca="false">IF(A498="","",IFERROR(INDEX(السندات!$C$5:$C$504,MATCH(A498,السندات!$A$5:$A$504,0)),""))</f>
        <v/>
      </c>
      <c r="I498" s="75" t="str">
        <f aca="false">IF(A498="","",IFERROR(INDEX(السندات!$D$5:$D$504,MATCH(A498,السندات!$A$5:$A$504,0)),""))</f>
        <v/>
      </c>
      <c r="J498" s="76" t="str">
        <f aca="false">IF(A498="","",IF(ISNA(MATCH(A498,السندات!$A$5:$A$504,0)),"رقم سند غير موجود ✘",IF(AND(F498&lt;&gt;"",G498&lt;&gt;""),"اكتب مدين أو دائن فقط ✘",IF(AND(N(F498)=0,N(G498)=0),"بدون مبلغ ⚠",IF(B498&gt;12,"يتجاوز 12 بنداً في الطباعة ⚠","")))))</f>
        <v/>
      </c>
    </row>
    <row r="499" customFormat="false" ht="15" hidden="false" customHeight="false" outlineLevel="0" collapsed="false">
      <c r="A499" s="58"/>
      <c r="B499" s="68" t="str">
        <f aca="false">IF(A499="","",COUNTIF(A$5:A499,A499))</f>
        <v/>
      </c>
      <c r="C499" s="68" t="str">
        <f aca="false">IF(A499="","",A499&amp;"-"&amp;B499)</f>
        <v/>
      </c>
      <c r="D499" s="58"/>
      <c r="E499" s="57"/>
      <c r="F499" s="69"/>
      <c r="G499" s="69"/>
      <c r="H499" s="70" t="str">
        <f aca="false">IF(A499="","",IFERROR(INDEX(السندات!$C$5:$C$504,MATCH(A499,السندات!$A$5:$A$504,0)),""))</f>
        <v/>
      </c>
      <c r="I499" s="71" t="str">
        <f aca="false">IF(A499="","",IFERROR(INDEX(السندات!$D$5:$D$504,MATCH(A499,السندات!$A$5:$A$504,0)),""))</f>
        <v/>
      </c>
      <c r="J499" s="72" t="str">
        <f aca="false">IF(A499="","",IF(ISNA(MATCH(A499,السندات!$A$5:$A$504,0)),"رقم سند غير موجود ✘",IF(AND(F499&lt;&gt;"",G499&lt;&gt;""),"اكتب مدين أو دائن فقط ✘",IF(AND(N(F499)=0,N(G499)=0),"بدون مبلغ ⚠",IF(B499&gt;12,"يتجاوز 12 بنداً في الطباعة ⚠","")))))</f>
        <v/>
      </c>
    </row>
    <row r="500" customFormat="false" ht="15" hidden="false" customHeight="false" outlineLevel="0" collapsed="false">
      <c r="A500" s="58"/>
      <c r="B500" s="73" t="str">
        <f aca="false">IF(A500="","",COUNTIF(A$5:A500,A500))</f>
        <v/>
      </c>
      <c r="C500" s="73" t="str">
        <f aca="false">IF(A500="","",A500&amp;"-"&amp;B500)</f>
        <v/>
      </c>
      <c r="D500" s="58"/>
      <c r="E500" s="57"/>
      <c r="F500" s="69"/>
      <c r="G500" s="69"/>
      <c r="H500" s="74" t="str">
        <f aca="false">IF(A500="","",IFERROR(INDEX(السندات!$C$5:$C$504,MATCH(A500,السندات!$A$5:$A$504,0)),""))</f>
        <v/>
      </c>
      <c r="I500" s="75" t="str">
        <f aca="false">IF(A500="","",IFERROR(INDEX(السندات!$D$5:$D$504,MATCH(A500,السندات!$A$5:$A$504,0)),""))</f>
        <v/>
      </c>
      <c r="J500" s="76" t="str">
        <f aca="false">IF(A500="","",IF(ISNA(MATCH(A500,السندات!$A$5:$A$504,0)),"رقم سند غير موجود ✘",IF(AND(F500&lt;&gt;"",G500&lt;&gt;""),"اكتب مدين أو دائن فقط ✘",IF(AND(N(F500)=0,N(G500)=0),"بدون مبلغ ⚠",IF(B500&gt;12,"يتجاوز 12 بنداً في الطباعة ⚠","")))))</f>
        <v/>
      </c>
    </row>
    <row r="501" customFormat="false" ht="15" hidden="false" customHeight="false" outlineLevel="0" collapsed="false">
      <c r="A501" s="58"/>
      <c r="B501" s="68" t="str">
        <f aca="false">IF(A501="","",COUNTIF(A$5:A501,A501))</f>
        <v/>
      </c>
      <c r="C501" s="68" t="str">
        <f aca="false">IF(A501="","",A501&amp;"-"&amp;B501)</f>
        <v/>
      </c>
      <c r="D501" s="58"/>
      <c r="E501" s="57"/>
      <c r="F501" s="69"/>
      <c r="G501" s="69"/>
      <c r="H501" s="70" t="str">
        <f aca="false">IF(A501="","",IFERROR(INDEX(السندات!$C$5:$C$504,MATCH(A501,السندات!$A$5:$A$504,0)),""))</f>
        <v/>
      </c>
      <c r="I501" s="71" t="str">
        <f aca="false">IF(A501="","",IFERROR(INDEX(السندات!$D$5:$D$504,MATCH(A501,السندات!$A$5:$A$504,0)),""))</f>
        <v/>
      </c>
      <c r="J501" s="72" t="str">
        <f aca="false">IF(A501="","",IF(ISNA(MATCH(A501,السندات!$A$5:$A$504,0)),"رقم سند غير موجود ✘",IF(AND(F501&lt;&gt;"",G501&lt;&gt;""),"اكتب مدين أو دائن فقط ✘",IF(AND(N(F501)=0,N(G501)=0),"بدون مبلغ ⚠",IF(B501&gt;12,"يتجاوز 12 بنداً في الطباعة ⚠","")))))</f>
        <v/>
      </c>
    </row>
    <row r="502" customFormat="false" ht="15" hidden="false" customHeight="false" outlineLevel="0" collapsed="false">
      <c r="A502" s="58"/>
      <c r="B502" s="73" t="str">
        <f aca="false">IF(A502="","",COUNTIF(A$5:A502,A502))</f>
        <v/>
      </c>
      <c r="C502" s="73" t="str">
        <f aca="false">IF(A502="","",A502&amp;"-"&amp;B502)</f>
        <v/>
      </c>
      <c r="D502" s="58"/>
      <c r="E502" s="57"/>
      <c r="F502" s="69"/>
      <c r="G502" s="69"/>
      <c r="H502" s="74" t="str">
        <f aca="false">IF(A502="","",IFERROR(INDEX(السندات!$C$5:$C$504,MATCH(A502,السندات!$A$5:$A$504,0)),""))</f>
        <v/>
      </c>
      <c r="I502" s="75" t="str">
        <f aca="false">IF(A502="","",IFERROR(INDEX(السندات!$D$5:$D$504,MATCH(A502,السندات!$A$5:$A$504,0)),""))</f>
        <v/>
      </c>
      <c r="J502" s="76" t="str">
        <f aca="false">IF(A502="","",IF(ISNA(MATCH(A502,السندات!$A$5:$A$504,0)),"رقم سند غير موجود ✘",IF(AND(F502&lt;&gt;"",G502&lt;&gt;""),"اكتب مدين أو دائن فقط ✘",IF(AND(N(F502)=0,N(G502)=0),"بدون مبلغ ⚠",IF(B502&gt;12,"يتجاوز 12 بنداً في الطباعة ⚠","")))))</f>
        <v/>
      </c>
    </row>
    <row r="503" customFormat="false" ht="15" hidden="false" customHeight="false" outlineLevel="0" collapsed="false">
      <c r="A503" s="58"/>
      <c r="B503" s="68" t="str">
        <f aca="false">IF(A503="","",COUNTIF(A$5:A503,A503))</f>
        <v/>
      </c>
      <c r="C503" s="68" t="str">
        <f aca="false">IF(A503="","",A503&amp;"-"&amp;B503)</f>
        <v/>
      </c>
      <c r="D503" s="58"/>
      <c r="E503" s="57"/>
      <c r="F503" s="69"/>
      <c r="G503" s="69"/>
      <c r="H503" s="70" t="str">
        <f aca="false">IF(A503="","",IFERROR(INDEX(السندات!$C$5:$C$504,MATCH(A503,السندات!$A$5:$A$504,0)),""))</f>
        <v/>
      </c>
      <c r="I503" s="71" t="str">
        <f aca="false">IF(A503="","",IFERROR(INDEX(السندات!$D$5:$D$504,MATCH(A503,السندات!$A$5:$A$504,0)),""))</f>
        <v/>
      </c>
      <c r="J503" s="72" t="str">
        <f aca="false">IF(A503="","",IF(ISNA(MATCH(A503,السندات!$A$5:$A$504,0)),"رقم سند غير موجود ✘",IF(AND(F503&lt;&gt;"",G503&lt;&gt;""),"اكتب مدين أو دائن فقط ✘",IF(AND(N(F503)=0,N(G503)=0),"بدون مبلغ ⚠",IF(B503&gt;12,"يتجاوز 12 بنداً في الطباعة ⚠","")))))</f>
        <v/>
      </c>
    </row>
    <row r="504" customFormat="false" ht="15" hidden="false" customHeight="false" outlineLevel="0" collapsed="false">
      <c r="A504" s="58"/>
      <c r="B504" s="73" t="str">
        <f aca="false">IF(A504="","",COUNTIF(A$5:A504,A504))</f>
        <v/>
      </c>
      <c r="C504" s="73" t="str">
        <f aca="false">IF(A504="","",A504&amp;"-"&amp;B504)</f>
        <v/>
      </c>
      <c r="D504" s="58"/>
      <c r="E504" s="57"/>
      <c r="F504" s="69"/>
      <c r="G504" s="69"/>
      <c r="H504" s="74" t="str">
        <f aca="false">IF(A504="","",IFERROR(INDEX(السندات!$C$5:$C$504,MATCH(A504,السندات!$A$5:$A$504,0)),""))</f>
        <v/>
      </c>
      <c r="I504" s="75" t="str">
        <f aca="false">IF(A504="","",IFERROR(INDEX(السندات!$D$5:$D$504,MATCH(A504,السندات!$A$5:$A$504,0)),""))</f>
        <v/>
      </c>
      <c r="J504" s="76" t="str">
        <f aca="false">IF(A504="","",IF(ISNA(MATCH(A504,السندات!$A$5:$A$504,0)),"رقم سند غير موجود ✘",IF(AND(F504&lt;&gt;"",G504&lt;&gt;""),"اكتب مدين أو دائن فقط ✘",IF(AND(N(F504)=0,N(G504)=0),"بدون مبلغ ⚠",IF(B504&gt;12,"يتجاوز 12 بنداً في الطباعة ⚠","")))))</f>
        <v/>
      </c>
    </row>
    <row r="505" customFormat="false" ht="15" hidden="false" customHeight="false" outlineLevel="0" collapsed="false">
      <c r="A505" s="58"/>
      <c r="B505" s="68" t="str">
        <f aca="false">IF(A505="","",COUNTIF(A$5:A505,A505))</f>
        <v/>
      </c>
      <c r="C505" s="68" t="str">
        <f aca="false">IF(A505="","",A505&amp;"-"&amp;B505)</f>
        <v/>
      </c>
      <c r="D505" s="58"/>
      <c r="E505" s="57"/>
      <c r="F505" s="69"/>
      <c r="G505" s="69"/>
      <c r="H505" s="70" t="str">
        <f aca="false">IF(A505="","",IFERROR(INDEX(السندات!$C$5:$C$504,MATCH(A505,السندات!$A$5:$A$504,0)),""))</f>
        <v/>
      </c>
      <c r="I505" s="71" t="str">
        <f aca="false">IF(A505="","",IFERROR(INDEX(السندات!$D$5:$D$504,MATCH(A505,السندات!$A$5:$A$504,0)),""))</f>
        <v/>
      </c>
      <c r="J505" s="72" t="str">
        <f aca="false">IF(A505="","",IF(ISNA(MATCH(A505,السندات!$A$5:$A$504,0)),"رقم سند غير موجود ✘",IF(AND(F505&lt;&gt;"",G505&lt;&gt;""),"اكتب مدين أو دائن فقط ✘",IF(AND(N(F505)=0,N(G505)=0),"بدون مبلغ ⚠",IF(B505&gt;12,"يتجاوز 12 بنداً في الطباعة ⚠","")))))</f>
        <v/>
      </c>
    </row>
    <row r="506" customFormat="false" ht="15" hidden="false" customHeight="false" outlineLevel="0" collapsed="false">
      <c r="A506" s="58"/>
      <c r="B506" s="73" t="str">
        <f aca="false">IF(A506="","",COUNTIF(A$5:A506,A506))</f>
        <v/>
      </c>
      <c r="C506" s="73" t="str">
        <f aca="false">IF(A506="","",A506&amp;"-"&amp;B506)</f>
        <v/>
      </c>
      <c r="D506" s="58"/>
      <c r="E506" s="57"/>
      <c r="F506" s="69"/>
      <c r="G506" s="69"/>
      <c r="H506" s="74" t="str">
        <f aca="false">IF(A506="","",IFERROR(INDEX(السندات!$C$5:$C$504,MATCH(A506,السندات!$A$5:$A$504,0)),""))</f>
        <v/>
      </c>
      <c r="I506" s="75" t="str">
        <f aca="false">IF(A506="","",IFERROR(INDEX(السندات!$D$5:$D$504,MATCH(A506,السندات!$A$5:$A$504,0)),""))</f>
        <v/>
      </c>
      <c r="J506" s="76" t="str">
        <f aca="false">IF(A506="","",IF(ISNA(MATCH(A506,السندات!$A$5:$A$504,0)),"رقم سند غير موجود ✘",IF(AND(F506&lt;&gt;"",G506&lt;&gt;""),"اكتب مدين أو دائن فقط ✘",IF(AND(N(F506)=0,N(G506)=0),"بدون مبلغ ⚠",IF(B506&gt;12,"يتجاوز 12 بنداً في الطباعة ⚠","")))))</f>
        <v/>
      </c>
    </row>
    <row r="507" customFormat="false" ht="15" hidden="false" customHeight="false" outlineLevel="0" collapsed="false">
      <c r="A507" s="58"/>
      <c r="B507" s="68" t="str">
        <f aca="false">IF(A507="","",COUNTIF(A$5:A507,A507))</f>
        <v/>
      </c>
      <c r="C507" s="68" t="str">
        <f aca="false">IF(A507="","",A507&amp;"-"&amp;B507)</f>
        <v/>
      </c>
      <c r="D507" s="58"/>
      <c r="E507" s="57"/>
      <c r="F507" s="69"/>
      <c r="G507" s="69"/>
      <c r="H507" s="70" t="str">
        <f aca="false">IF(A507="","",IFERROR(INDEX(السندات!$C$5:$C$504,MATCH(A507,السندات!$A$5:$A$504,0)),""))</f>
        <v/>
      </c>
      <c r="I507" s="71" t="str">
        <f aca="false">IF(A507="","",IFERROR(INDEX(السندات!$D$5:$D$504,MATCH(A507,السندات!$A$5:$A$504,0)),""))</f>
        <v/>
      </c>
      <c r="J507" s="72" t="str">
        <f aca="false">IF(A507="","",IF(ISNA(MATCH(A507,السندات!$A$5:$A$504,0)),"رقم سند غير موجود ✘",IF(AND(F507&lt;&gt;"",G507&lt;&gt;""),"اكتب مدين أو دائن فقط ✘",IF(AND(N(F507)=0,N(G507)=0),"بدون مبلغ ⚠",IF(B507&gt;12,"يتجاوز 12 بنداً في الطباعة ⚠","")))))</f>
        <v/>
      </c>
    </row>
    <row r="508" customFormat="false" ht="15" hidden="false" customHeight="false" outlineLevel="0" collapsed="false">
      <c r="A508" s="58"/>
      <c r="B508" s="73" t="str">
        <f aca="false">IF(A508="","",COUNTIF(A$5:A508,A508))</f>
        <v/>
      </c>
      <c r="C508" s="73" t="str">
        <f aca="false">IF(A508="","",A508&amp;"-"&amp;B508)</f>
        <v/>
      </c>
      <c r="D508" s="58"/>
      <c r="E508" s="57"/>
      <c r="F508" s="69"/>
      <c r="G508" s="69"/>
      <c r="H508" s="74" t="str">
        <f aca="false">IF(A508="","",IFERROR(INDEX(السندات!$C$5:$C$504,MATCH(A508,السندات!$A$5:$A$504,0)),""))</f>
        <v/>
      </c>
      <c r="I508" s="75" t="str">
        <f aca="false">IF(A508="","",IFERROR(INDEX(السندات!$D$5:$D$504,MATCH(A508,السندات!$A$5:$A$504,0)),""))</f>
        <v/>
      </c>
      <c r="J508" s="76" t="str">
        <f aca="false">IF(A508="","",IF(ISNA(MATCH(A508,السندات!$A$5:$A$504,0)),"رقم سند غير موجود ✘",IF(AND(F508&lt;&gt;"",G508&lt;&gt;""),"اكتب مدين أو دائن فقط ✘",IF(AND(N(F508)=0,N(G508)=0),"بدون مبلغ ⚠",IF(B508&gt;12,"يتجاوز 12 بنداً في الطباعة ⚠","")))))</f>
        <v/>
      </c>
    </row>
    <row r="509" customFormat="false" ht="15" hidden="false" customHeight="false" outlineLevel="0" collapsed="false">
      <c r="A509" s="58"/>
      <c r="B509" s="68" t="str">
        <f aca="false">IF(A509="","",COUNTIF(A$5:A509,A509))</f>
        <v/>
      </c>
      <c r="C509" s="68" t="str">
        <f aca="false">IF(A509="","",A509&amp;"-"&amp;B509)</f>
        <v/>
      </c>
      <c r="D509" s="58"/>
      <c r="E509" s="57"/>
      <c r="F509" s="69"/>
      <c r="G509" s="69"/>
      <c r="H509" s="70" t="str">
        <f aca="false">IF(A509="","",IFERROR(INDEX(السندات!$C$5:$C$504,MATCH(A509,السندات!$A$5:$A$504,0)),""))</f>
        <v/>
      </c>
      <c r="I509" s="71" t="str">
        <f aca="false">IF(A509="","",IFERROR(INDEX(السندات!$D$5:$D$504,MATCH(A509,السندات!$A$5:$A$504,0)),""))</f>
        <v/>
      </c>
      <c r="J509" s="72" t="str">
        <f aca="false">IF(A509="","",IF(ISNA(MATCH(A509,السندات!$A$5:$A$504,0)),"رقم سند غير موجود ✘",IF(AND(F509&lt;&gt;"",G509&lt;&gt;""),"اكتب مدين أو دائن فقط ✘",IF(AND(N(F509)=0,N(G509)=0),"بدون مبلغ ⚠",IF(B509&gt;12,"يتجاوز 12 بنداً في الطباعة ⚠","")))))</f>
        <v/>
      </c>
    </row>
    <row r="510" customFormat="false" ht="15" hidden="false" customHeight="false" outlineLevel="0" collapsed="false">
      <c r="A510" s="58"/>
      <c r="B510" s="73" t="str">
        <f aca="false">IF(A510="","",COUNTIF(A$5:A510,A510))</f>
        <v/>
      </c>
      <c r="C510" s="73" t="str">
        <f aca="false">IF(A510="","",A510&amp;"-"&amp;B510)</f>
        <v/>
      </c>
      <c r="D510" s="58"/>
      <c r="E510" s="57"/>
      <c r="F510" s="69"/>
      <c r="G510" s="69"/>
      <c r="H510" s="74" t="str">
        <f aca="false">IF(A510="","",IFERROR(INDEX(السندات!$C$5:$C$504,MATCH(A510,السندات!$A$5:$A$504,0)),""))</f>
        <v/>
      </c>
      <c r="I510" s="75" t="str">
        <f aca="false">IF(A510="","",IFERROR(INDEX(السندات!$D$5:$D$504,MATCH(A510,السندات!$A$5:$A$504,0)),""))</f>
        <v/>
      </c>
      <c r="J510" s="76" t="str">
        <f aca="false">IF(A510="","",IF(ISNA(MATCH(A510,السندات!$A$5:$A$504,0)),"رقم سند غير موجود ✘",IF(AND(F510&lt;&gt;"",G510&lt;&gt;""),"اكتب مدين أو دائن فقط ✘",IF(AND(N(F510)=0,N(G510)=0),"بدون مبلغ ⚠",IF(B510&gt;12,"يتجاوز 12 بنداً في الطباعة ⚠","")))))</f>
        <v/>
      </c>
    </row>
    <row r="511" customFormat="false" ht="15" hidden="false" customHeight="false" outlineLevel="0" collapsed="false">
      <c r="A511" s="58"/>
      <c r="B511" s="68" t="str">
        <f aca="false">IF(A511="","",COUNTIF(A$5:A511,A511))</f>
        <v/>
      </c>
      <c r="C511" s="68" t="str">
        <f aca="false">IF(A511="","",A511&amp;"-"&amp;B511)</f>
        <v/>
      </c>
      <c r="D511" s="58"/>
      <c r="E511" s="57"/>
      <c r="F511" s="69"/>
      <c r="G511" s="69"/>
      <c r="H511" s="70" t="str">
        <f aca="false">IF(A511="","",IFERROR(INDEX(السندات!$C$5:$C$504,MATCH(A511,السندات!$A$5:$A$504,0)),""))</f>
        <v/>
      </c>
      <c r="I511" s="71" t="str">
        <f aca="false">IF(A511="","",IFERROR(INDEX(السندات!$D$5:$D$504,MATCH(A511,السندات!$A$5:$A$504,0)),""))</f>
        <v/>
      </c>
      <c r="J511" s="72" t="str">
        <f aca="false">IF(A511="","",IF(ISNA(MATCH(A511,السندات!$A$5:$A$504,0)),"رقم سند غير موجود ✘",IF(AND(F511&lt;&gt;"",G511&lt;&gt;""),"اكتب مدين أو دائن فقط ✘",IF(AND(N(F511)=0,N(G511)=0),"بدون مبلغ ⚠",IF(B511&gt;12,"يتجاوز 12 بنداً في الطباعة ⚠","")))))</f>
        <v/>
      </c>
    </row>
    <row r="512" customFormat="false" ht="15" hidden="false" customHeight="false" outlineLevel="0" collapsed="false">
      <c r="A512" s="58"/>
      <c r="B512" s="73" t="str">
        <f aca="false">IF(A512="","",COUNTIF(A$5:A512,A512))</f>
        <v/>
      </c>
      <c r="C512" s="73" t="str">
        <f aca="false">IF(A512="","",A512&amp;"-"&amp;B512)</f>
        <v/>
      </c>
      <c r="D512" s="58"/>
      <c r="E512" s="57"/>
      <c r="F512" s="69"/>
      <c r="G512" s="69"/>
      <c r="H512" s="74" t="str">
        <f aca="false">IF(A512="","",IFERROR(INDEX(السندات!$C$5:$C$504,MATCH(A512,السندات!$A$5:$A$504,0)),""))</f>
        <v/>
      </c>
      <c r="I512" s="75" t="str">
        <f aca="false">IF(A512="","",IFERROR(INDEX(السندات!$D$5:$D$504,MATCH(A512,السندات!$A$5:$A$504,0)),""))</f>
        <v/>
      </c>
      <c r="J512" s="76" t="str">
        <f aca="false">IF(A512="","",IF(ISNA(MATCH(A512,السندات!$A$5:$A$504,0)),"رقم سند غير موجود ✘",IF(AND(F512&lt;&gt;"",G512&lt;&gt;""),"اكتب مدين أو دائن فقط ✘",IF(AND(N(F512)=0,N(G512)=0),"بدون مبلغ ⚠",IF(B512&gt;12,"يتجاوز 12 بنداً في الطباعة ⚠","")))))</f>
        <v/>
      </c>
    </row>
    <row r="513" customFormat="false" ht="15" hidden="false" customHeight="false" outlineLevel="0" collapsed="false">
      <c r="A513" s="58"/>
      <c r="B513" s="68" t="str">
        <f aca="false">IF(A513="","",COUNTIF(A$5:A513,A513))</f>
        <v/>
      </c>
      <c r="C513" s="68" t="str">
        <f aca="false">IF(A513="","",A513&amp;"-"&amp;B513)</f>
        <v/>
      </c>
      <c r="D513" s="58"/>
      <c r="E513" s="57"/>
      <c r="F513" s="69"/>
      <c r="G513" s="69"/>
      <c r="H513" s="70" t="str">
        <f aca="false">IF(A513="","",IFERROR(INDEX(السندات!$C$5:$C$504,MATCH(A513,السندات!$A$5:$A$504,0)),""))</f>
        <v/>
      </c>
      <c r="I513" s="71" t="str">
        <f aca="false">IF(A513="","",IFERROR(INDEX(السندات!$D$5:$D$504,MATCH(A513,السندات!$A$5:$A$504,0)),""))</f>
        <v/>
      </c>
      <c r="J513" s="72" t="str">
        <f aca="false">IF(A513="","",IF(ISNA(MATCH(A513,السندات!$A$5:$A$504,0)),"رقم سند غير موجود ✘",IF(AND(F513&lt;&gt;"",G513&lt;&gt;""),"اكتب مدين أو دائن فقط ✘",IF(AND(N(F513)=0,N(G513)=0),"بدون مبلغ ⚠",IF(B513&gt;12,"يتجاوز 12 بنداً في الطباعة ⚠","")))))</f>
        <v/>
      </c>
    </row>
    <row r="514" customFormat="false" ht="15" hidden="false" customHeight="false" outlineLevel="0" collapsed="false">
      <c r="A514" s="58"/>
      <c r="B514" s="73" t="str">
        <f aca="false">IF(A514="","",COUNTIF(A$5:A514,A514))</f>
        <v/>
      </c>
      <c r="C514" s="73" t="str">
        <f aca="false">IF(A514="","",A514&amp;"-"&amp;B514)</f>
        <v/>
      </c>
      <c r="D514" s="58"/>
      <c r="E514" s="57"/>
      <c r="F514" s="69"/>
      <c r="G514" s="69"/>
      <c r="H514" s="74" t="str">
        <f aca="false">IF(A514="","",IFERROR(INDEX(السندات!$C$5:$C$504,MATCH(A514,السندات!$A$5:$A$504,0)),""))</f>
        <v/>
      </c>
      <c r="I514" s="75" t="str">
        <f aca="false">IF(A514="","",IFERROR(INDEX(السندات!$D$5:$D$504,MATCH(A514,السندات!$A$5:$A$504,0)),""))</f>
        <v/>
      </c>
      <c r="J514" s="76" t="str">
        <f aca="false">IF(A514="","",IF(ISNA(MATCH(A514,السندات!$A$5:$A$504,0)),"رقم سند غير موجود ✘",IF(AND(F514&lt;&gt;"",G514&lt;&gt;""),"اكتب مدين أو دائن فقط ✘",IF(AND(N(F514)=0,N(G514)=0),"بدون مبلغ ⚠",IF(B514&gt;12,"يتجاوز 12 بنداً في الطباعة ⚠","")))))</f>
        <v/>
      </c>
    </row>
    <row r="515" customFormat="false" ht="15" hidden="false" customHeight="false" outlineLevel="0" collapsed="false">
      <c r="A515" s="58"/>
      <c r="B515" s="68" t="str">
        <f aca="false">IF(A515="","",COUNTIF(A$5:A515,A515))</f>
        <v/>
      </c>
      <c r="C515" s="68" t="str">
        <f aca="false">IF(A515="","",A515&amp;"-"&amp;B515)</f>
        <v/>
      </c>
      <c r="D515" s="58"/>
      <c r="E515" s="57"/>
      <c r="F515" s="69"/>
      <c r="G515" s="69"/>
      <c r="H515" s="70" t="str">
        <f aca="false">IF(A515="","",IFERROR(INDEX(السندات!$C$5:$C$504,MATCH(A515,السندات!$A$5:$A$504,0)),""))</f>
        <v/>
      </c>
      <c r="I515" s="71" t="str">
        <f aca="false">IF(A515="","",IFERROR(INDEX(السندات!$D$5:$D$504,MATCH(A515,السندات!$A$5:$A$504,0)),""))</f>
        <v/>
      </c>
      <c r="J515" s="72" t="str">
        <f aca="false">IF(A515="","",IF(ISNA(MATCH(A515,السندات!$A$5:$A$504,0)),"رقم سند غير موجود ✘",IF(AND(F515&lt;&gt;"",G515&lt;&gt;""),"اكتب مدين أو دائن فقط ✘",IF(AND(N(F515)=0,N(G515)=0),"بدون مبلغ ⚠",IF(B515&gt;12,"يتجاوز 12 بنداً في الطباعة ⚠","")))))</f>
        <v/>
      </c>
    </row>
    <row r="516" customFormat="false" ht="15" hidden="false" customHeight="false" outlineLevel="0" collapsed="false">
      <c r="A516" s="58"/>
      <c r="B516" s="73" t="str">
        <f aca="false">IF(A516="","",COUNTIF(A$5:A516,A516))</f>
        <v/>
      </c>
      <c r="C516" s="73" t="str">
        <f aca="false">IF(A516="","",A516&amp;"-"&amp;B516)</f>
        <v/>
      </c>
      <c r="D516" s="58"/>
      <c r="E516" s="57"/>
      <c r="F516" s="69"/>
      <c r="G516" s="69"/>
      <c r="H516" s="74" t="str">
        <f aca="false">IF(A516="","",IFERROR(INDEX(السندات!$C$5:$C$504,MATCH(A516,السندات!$A$5:$A$504,0)),""))</f>
        <v/>
      </c>
      <c r="I516" s="75" t="str">
        <f aca="false">IF(A516="","",IFERROR(INDEX(السندات!$D$5:$D$504,MATCH(A516,السندات!$A$5:$A$504,0)),""))</f>
        <v/>
      </c>
      <c r="J516" s="76" t="str">
        <f aca="false">IF(A516="","",IF(ISNA(MATCH(A516,السندات!$A$5:$A$504,0)),"رقم سند غير موجود ✘",IF(AND(F516&lt;&gt;"",G516&lt;&gt;""),"اكتب مدين أو دائن فقط ✘",IF(AND(N(F516)=0,N(G516)=0),"بدون مبلغ ⚠",IF(B516&gt;12,"يتجاوز 12 بنداً في الطباعة ⚠","")))))</f>
        <v/>
      </c>
    </row>
    <row r="517" customFormat="false" ht="15" hidden="false" customHeight="false" outlineLevel="0" collapsed="false">
      <c r="A517" s="58"/>
      <c r="B517" s="68" t="str">
        <f aca="false">IF(A517="","",COUNTIF(A$5:A517,A517))</f>
        <v/>
      </c>
      <c r="C517" s="68" t="str">
        <f aca="false">IF(A517="","",A517&amp;"-"&amp;B517)</f>
        <v/>
      </c>
      <c r="D517" s="58"/>
      <c r="E517" s="57"/>
      <c r="F517" s="69"/>
      <c r="G517" s="69"/>
      <c r="H517" s="70" t="str">
        <f aca="false">IF(A517="","",IFERROR(INDEX(السندات!$C$5:$C$504,MATCH(A517,السندات!$A$5:$A$504,0)),""))</f>
        <v/>
      </c>
      <c r="I517" s="71" t="str">
        <f aca="false">IF(A517="","",IFERROR(INDEX(السندات!$D$5:$D$504,MATCH(A517,السندات!$A$5:$A$504,0)),""))</f>
        <v/>
      </c>
      <c r="J517" s="72" t="str">
        <f aca="false">IF(A517="","",IF(ISNA(MATCH(A517,السندات!$A$5:$A$504,0)),"رقم سند غير موجود ✘",IF(AND(F517&lt;&gt;"",G517&lt;&gt;""),"اكتب مدين أو دائن فقط ✘",IF(AND(N(F517)=0,N(G517)=0),"بدون مبلغ ⚠",IF(B517&gt;12,"يتجاوز 12 بنداً في الطباعة ⚠","")))))</f>
        <v/>
      </c>
    </row>
    <row r="518" customFormat="false" ht="15" hidden="false" customHeight="false" outlineLevel="0" collapsed="false">
      <c r="A518" s="58"/>
      <c r="B518" s="73" t="str">
        <f aca="false">IF(A518="","",COUNTIF(A$5:A518,A518))</f>
        <v/>
      </c>
      <c r="C518" s="73" t="str">
        <f aca="false">IF(A518="","",A518&amp;"-"&amp;B518)</f>
        <v/>
      </c>
      <c r="D518" s="58"/>
      <c r="E518" s="57"/>
      <c r="F518" s="69"/>
      <c r="G518" s="69"/>
      <c r="H518" s="74" t="str">
        <f aca="false">IF(A518="","",IFERROR(INDEX(السندات!$C$5:$C$504,MATCH(A518,السندات!$A$5:$A$504,0)),""))</f>
        <v/>
      </c>
      <c r="I518" s="75" t="str">
        <f aca="false">IF(A518="","",IFERROR(INDEX(السندات!$D$5:$D$504,MATCH(A518,السندات!$A$5:$A$504,0)),""))</f>
        <v/>
      </c>
      <c r="J518" s="76" t="str">
        <f aca="false">IF(A518="","",IF(ISNA(MATCH(A518,السندات!$A$5:$A$504,0)),"رقم سند غير موجود ✘",IF(AND(F518&lt;&gt;"",G518&lt;&gt;""),"اكتب مدين أو دائن فقط ✘",IF(AND(N(F518)=0,N(G518)=0),"بدون مبلغ ⚠",IF(B518&gt;12,"يتجاوز 12 بنداً في الطباعة ⚠","")))))</f>
        <v/>
      </c>
    </row>
    <row r="519" customFormat="false" ht="15" hidden="false" customHeight="false" outlineLevel="0" collapsed="false">
      <c r="A519" s="58"/>
      <c r="B519" s="68" t="str">
        <f aca="false">IF(A519="","",COUNTIF(A$5:A519,A519))</f>
        <v/>
      </c>
      <c r="C519" s="68" t="str">
        <f aca="false">IF(A519="","",A519&amp;"-"&amp;B519)</f>
        <v/>
      </c>
      <c r="D519" s="58"/>
      <c r="E519" s="57"/>
      <c r="F519" s="69"/>
      <c r="G519" s="69"/>
      <c r="H519" s="70" t="str">
        <f aca="false">IF(A519="","",IFERROR(INDEX(السندات!$C$5:$C$504,MATCH(A519,السندات!$A$5:$A$504,0)),""))</f>
        <v/>
      </c>
      <c r="I519" s="71" t="str">
        <f aca="false">IF(A519="","",IFERROR(INDEX(السندات!$D$5:$D$504,MATCH(A519,السندات!$A$5:$A$504,0)),""))</f>
        <v/>
      </c>
      <c r="J519" s="72" t="str">
        <f aca="false">IF(A519="","",IF(ISNA(MATCH(A519,السندات!$A$5:$A$504,0)),"رقم سند غير موجود ✘",IF(AND(F519&lt;&gt;"",G519&lt;&gt;""),"اكتب مدين أو دائن فقط ✘",IF(AND(N(F519)=0,N(G519)=0),"بدون مبلغ ⚠",IF(B519&gt;12,"يتجاوز 12 بنداً في الطباعة ⚠","")))))</f>
        <v/>
      </c>
    </row>
    <row r="520" customFormat="false" ht="15" hidden="false" customHeight="false" outlineLevel="0" collapsed="false">
      <c r="A520" s="58"/>
      <c r="B520" s="73" t="str">
        <f aca="false">IF(A520="","",COUNTIF(A$5:A520,A520))</f>
        <v/>
      </c>
      <c r="C520" s="73" t="str">
        <f aca="false">IF(A520="","",A520&amp;"-"&amp;B520)</f>
        <v/>
      </c>
      <c r="D520" s="58"/>
      <c r="E520" s="57"/>
      <c r="F520" s="69"/>
      <c r="G520" s="69"/>
      <c r="H520" s="74" t="str">
        <f aca="false">IF(A520="","",IFERROR(INDEX(السندات!$C$5:$C$504,MATCH(A520,السندات!$A$5:$A$504,0)),""))</f>
        <v/>
      </c>
      <c r="I520" s="75" t="str">
        <f aca="false">IF(A520="","",IFERROR(INDEX(السندات!$D$5:$D$504,MATCH(A520,السندات!$A$5:$A$504,0)),""))</f>
        <v/>
      </c>
      <c r="J520" s="76" t="str">
        <f aca="false">IF(A520="","",IF(ISNA(MATCH(A520,السندات!$A$5:$A$504,0)),"رقم سند غير موجود ✘",IF(AND(F520&lt;&gt;"",G520&lt;&gt;""),"اكتب مدين أو دائن فقط ✘",IF(AND(N(F520)=0,N(G520)=0),"بدون مبلغ ⚠",IF(B520&gt;12,"يتجاوز 12 بنداً في الطباعة ⚠","")))))</f>
        <v/>
      </c>
    </row>
    <row r="521" customFormat="false" ht="15" hidden="false" customHeight="false" outlineLevel="0" collapsed="false">
      <c r="A521" s="58"/>
      <c r="B521" s="68" t="str">
        <f aca="false">IF(A521="","",COUNTIF(A$5:A521,A521))</f>
        <v/>
      </c>
      <c r="C521" s="68" t="str">
        <f aca="false">IF(A521="","",A521&amp;"-"&amp;B521)</f>
        <v/>
      </c>
      <c r="D521" s="58"/>
      <c r="E521" s="57"/>
      <c r="F521" s="69"/>
      <c r="G521" s="69"/>
      <c r="H521" s="70" t="str">
        <f aca="false">IF(A521="","",IFERROR(INDEX(السندات!$C$5:$C$504,MATCH(A521,السندات!$A$5:$A$504,0)),""))</f>
        <v/>
      </c>
      <c r="I521" s="71" t="str">
        <f aca="false">IF(A521="","",IFERROR(INDEX(السندات!$D$5:$D$504,MATCH(A521,السندات!$A$5:$A$504,0)),""))</f>
        <v/>
      </c>
      <c r="J521" s="72" t="str">
        <f aca="false">IF(A521="","",IF(ISNA(MATCH(A521,السندات!$A$5:$A$504,0)),"رقم سند غير موجود ✘",IF(AND(F521&lt;&gt;"",G521&lt;&gt;""),"اكتب مدين أو دائن فقط ✘",IF(AND(N(F521)=0,N(G521)=0),"بدون مبلغ ⚠",IF(B521&gt;12,"يتجاوز 12 بنداً في الطباعة ⚠","")))))</f>
        <v/>
      </c>
    </row>
    <row r="522" customFormat="false" ht="15" hidden="false" customHeight="false" outlineLevel="0" collapsed="false">
      <c r="A522" s="58"/>
      <c r="B522" s="73" t="str">
        <f aca="false">IF(A522="","",COUNTIF(A$5:A522,A522))</f>
        <v/>
      </c>
      <c r="C522" s="73" t="str">
        <f aca="false">IF(A522="","",A522&amp;"-"&amp;B522)</f>
        <v/>
      </c>
      <c r="D522" s="58"/>
      <c r="E522" s="57"/>
      <c r="F522" s="69"/>
      <c r="G522" s="69"/>
      <c r="H522" s="74" t="str">
        <f aca="false">IF(A522="","",IFERROR(INDEX(السندات!$C$5:$C$504,MATCH(A522,السندات!$A$5:$A$504,0)),""))</f>
        <v/>
      </c>
      <c r="I522" s="75" t="str">
        <f aca="false">IF(A522="","",IFERROR(INDEX(السندات!$D$5:$D$504,MATCH(A522,السندات!$A$5:$A$504,0)),""))</f>
        <v/>
      </c>
      <c r="J522" s="76" t="str">
        <f aca="false">IF(A522="","",IF(ISNA(MATCH(A522,السندات!$A$5:$A$504,0)),"رقم سند غير موجود ✘",IF(AND(F522&lt;&gt;"",G522&lt;&gt;""),"اكتب مدين أو دائن فقط ✘",IF(AND(N(F522)=0,N(G522)=0),"بدون مبلغ ⚠",IF(B522&gt;12,"يتجاوز 12 بنداً في الطباعة ⚠","")))))</f>
        <v/>
      </c>
    </row>
    <row r="523" customFormat="false" ht="15" hidden="false" customHeight="false" outlineLevel="0" collapsed="false">
      <c r="A523" s="58"/>
      <c r="B523" s="68" t="str">
        <f aca="false">IF(A523="","",COUNTIF(A$5:A523,A523))</f>
        <v/>
      </c>
      <c r="C523" s="68" t="str">
        <f aca="false">IF(A523="","",A523&amp;"-"&amp;B523)</f>
        <v/>
      </c>
      <c r="D523" s="58"/>
      <c r="E523" s="57"/>
      <c r="F523" s="69"/>
      <c r="G523" s="69"/>
      <c r="H523" s="70" t="str">
        <f aca="false">IF(A523="","",IFERROR(INDEX(السندات!$C$5:$C$504,MATCH(A523,السندات!$A$5:$A$504,0)),""))</f>
        <v/>
      </c>
      <c r="I523" s="71" t="str">
        <f aca="false">IF(A523="","",IFERROR(INDEX(السندات!$D$5:$D$504,MATCH(A523,السندات!$A$5:$A$504,0)),""))</f>
        <v/>
      </c>
      <c r="J523" s="72" t="str">
        <f aca="false">IF(A523="","",IF(ISNA(MATCH(A523,السندات!$A$5:$A$504,0)),"رقم سند غير موجود ✘",IF(AND(F523&lt;&gt;"",G523&lt;&gt;""),"اكتب مدين أو دائن فقط ✘",IF(AND(N(F523)=0,N(G523)=0),"بدون مبلغ ⚠",IF(B523&gt;12,"يتجاوز 12 بنداً في الطباعة ⚠","")))))</f>
        <v/>
      </c>
    </row>
    <row r="524" customFormat="false" ht="15" hidden="false" customHeight="false" outlineLevel="0" collapsed="false">
      <c r="A524" s="58"/>
      <c r="B524" s="73" t="str">
        <f aca="false">IF(A524="","",COUNTIF(A$5:A524,A524))</f>
        <v/>
      </c>
      <c r="C524" s="73" t="str">
        <f aca="false">IF(A524="","",A524&amp;"-"&amp;B524)</f>
        <v/>
      </c>
      <c r="D524" s="58"/>
      <c r="E524" s="57"/>
      <c r="F524" s="69"/>
      <c r="G524" s="69"/>
      <c r="H524" s="74" t="str">
        <f aca="false">IF(A524="","",IFERROR(INDEX(السندات!$C$5:$C$504,MATCH(A524,السندات!$A$5:$A$504,0)),""))</f>
        <v/>
      </c>
      <c r="I524" s="75" t="str">
        <f aca="false">IF(A524="","",IFERROR(INDEX(السندات!$D$5:$D$504,MATCH(A524,السندات!$A$5:$A$504,0)),""))</f>
        <v/>
      </c>
      <c r="J524" s="76" t="str">
        <f aca="false">IF(A524="","",IF(ISNA(MATCH(A524,السندات!$A$5:$A$504,0)),"رقم سند غير موجود ✘",IF(AND(F524&lt;&gt;"",G524&lt;&gt;""),"اكتب مدين أو دائن فقط ✘",IF(AND(N(F524)=0,N(G524)=0),"بدون مبلغ ⚠",IF(B524&gt;12,"يتجاوز 12 بنداً في الطباعة ⚠","")))))</f>
        <v/>
      </c>
    </row>
    <row r="525" customFormat="false" ht="15" hidden="false" customHeight="false" outlineLevel="0" collapsed="false">
      <c r="A525" s="58"/>
      <c r="B525" s="68" t="str">
        <f aca="false">IF(A525="","",COUNTIF(A$5:A525,A525))</f>
        <v/>
      </c>
      <c r="C525" s="68" t="str">
        <f aca="false">IF(A525="","",A525&amp;"-"&amp;B525)</f>
        <v/>
      </c>
      <c r="D525" s="58"/>
      <c r="E525" s="57"/>
      <c r="F525" s="69"/>
      <c r="G525" s="69"/>
      <c r="H525" s="70" t="str">
        <f aca="false">IF(A525="","",IFERROR(INDEX(السندات!$C$5:$C$504,MATCH(A525,السندات!$A$5:$A$504,0)),""))</f>
        <v/>
      </c>
      <c r="I525" s="71" t="str">
        <f aca="false">IF(A525="","",IFERROR(INDEX(السندات!$D$5:$D$504,MATCH(A525,السندات!$A$5:$A$504,0)),""))</f>
        <v/>
      </c>
      <c r="J525" s="72" t="str">
        <f aca="false">IF(A525="","",IF(ISNA(MATCH(A525,السندات!$A$5:$A$504,0)),"رقم سند غير موجود ✘",IF(AND(F525&lt;&gt;"",G525&lt;&gt;""),"اكتب مدين أو دائن فقط ✘",IF(AND(N(F525)=0,N(G525)=0),"بدون مبلغ ⚠",IF(B525&gt;12,"يتجاوز 12 بنداً في الطباعة ⚠","")))))</f>
        <v/>
      </c>
    </row>
    <row r="526" customFormat="false" ht="15" hidden="false" customHeight="false" outlineLevel="0" collapsed="false">
      <c r="A526" s="58"/>
      <c r="B526" s="73" t="str">
        <f aca="false">IF(A526="","",COUNTIF(A$5:A526,A526))</f>
        <v/>
      </c>
      <c r="C526" s="73" t="str">
        <f aca="false">IF(A526="","",A526&amp;"-"&amp;B526)</f>
        <v/>
      </c>
      <c r="D526" s="58"/>
      <c r="E526" s="57"/>
      <c r="F526" s="69"/>
      <c r="G526" s="69"/>
      <c r="H526" s="74" t="str">
        <f aca="false">IF(A526="","",IFERROR(INDEX(السندات!$C$5:$C$504,MATCH(A526,السندات!$A$5:$A$504,0)),""))</f>
        <v/>
      </c>
      <c r="I526" s="75" t="str">
        <f aca="false">IF(A526="","",IFERROR(INDEX(السندات!$D$5:$D$504,MATCH(A526,السندات!$A$5:$A$504,0)),""))</f>
        <v/>
      </c>
      <c r="J526" s="76" t="str">
        <f aca="false">IF(A526="","",IF(ISNA(MATCH(A526,السندات!$A$5:$A$504,0)),"رقم سند غير موجود ✘",IF(AND(F526&lt;&gt;"",G526&lt;&gt;""),"اكتب مدين أو دائن فقط ✘",IF(AND(N(F526)=0,N(G526)=0),"بدون مبلغ ⚠",IF(B526&gt;12,"يتجاوز 12 بنداً في الطباعة ⚠","")))))</f>
        <v/>
      </c>
    </row>
    <row r="527" customFormat="false" ht="15" hidden="false" customHeight="false" outlineLevel="0" collapsed="false">
      <c r="A527" s="58"/>
      <c r="B527" s="68" t="str">
        <f aca="false">IF(A527="","",COUNTIF(A$5:A527,A527))</f>
        <v/>
      </c>
      <c r="C527" s="68" t="str">
        <f aca="false">IF(A527="","",A527&amp;"-"&amp;B527)</f>
        <v/>
      </c>
      <c r="D527" s="58"/>
      <c r="E527" s="57"/>
      <c r="F527" s="69"/>
      <c r="G527" s="69"/>
      <c r="H527" s="70" t="str">
        <f aca="false">IF(A527="","",IFERROR(INDEX(السندات!$C$5:$C$504,MATCH(A527,السندات!$A$5:$A$504,0)),""))</f>
        <v/>
      </c>
      <c r="I527" s="71" t="str">
        <f aca="false">IF(A527="","",IFERROR(INDEX(السندات!$D$5:$D$504,MATCH(A527,السندات!$A$5:$A$504,0)),""))</f>
        <v/>
      </c>
      <c r="J527" s="72" t="str">
        <f aca="false">IF(A527="","",IF(ISNA(MATCH(A527,السندات!$A$5:$A$504,0)),"رقم سند غير موجود ✘",IF(AND(F527&lt;&gt;"",G527&lt;&gt;""),"اكتب مدين أو دائن فقط ✘",IF(AND(N(F527)=0,N(G527)=0),"بدون مبلغ ⚠",IF(B527&gt;12,"يتجاوز 12 بنداً في الطباعة ⚠","")))))</f>
        <v/>
      </c>
    </row>
    <row r="528" customFormat="false" ht="15" hidden="false" customHeight="false" outlineLevel="0" collapsed="false">
      <c r="A528" s="58"/>
      <c r="B528" s="73" t="str">
        <f aca="false">IF(A528="","",COUNTIF(A$5:A528,A528))</f>
        <v/>
      </c>
      <c r="C528" s="73" t="str">
        <f aca="false">IF(A528="","",A528&amp;"-"&amp;B528)</f>
        <v/>
      </c>
      <c r="D528" s="58"/>
      <c r="E528" s="57"/>
      <c r="F528" s="69"/>
      <c r="G528" s="69"/>
      <c r="H528" s="74" t="str">
        <f aca="false">IF(A528="","",IFERROR(INDEX(السندات!$C$5:$C$504,MATCH(A528,السندات!$A$5:$A$504,0)),""))</f>
        <v/>
      </c>
      <c r="I528" s="75" t="str">
        <f aca="false">IF(A528="","",IFERROR(INDEX(السندات!$D$5:$D$504,MATCH(A528,السندات!$A$5:$A$504,0)),""))</f>
        <v/>
      </c>
      <c r="J528" s="76" t="str">
        <f aca="false">IF(A528="","",IF(ISNA(MATCH(A528,السندات!$A$5:$A$504,0)),"رقم سند غير موجود ✘",IF(AND(F528&lt;&gt;"",G528&lt;&gt;""),"اكتب مدين أو دائن فقط ✘",IF(AND(N(F528)=0,N(G528)=0),"بدون مبلغ ⚠",IF(B528&gt;12,"يتجاوز 12 بنداً في الطباعة ⚠","")))))</f>
        <v/>
      </c>
    </row>
    <row r="529" customFormat="false" ht="15" hidden="false" customHeight="false" outlineLevel="0" collapsed="false">
      <c r="A529" s="58"/>
      <c r="B529" s="68" t="str">
        <f aca="false">IF(A529="","",COUNTIF(A$5:A529,A529))</f>
        <v/>
      </c>
      <c r="C529" s="68" t="str">
        <f aca="false">IF(A529="","",A529&amp;"-"&amp;B529)</f>
        <v/>
      </c>
      <c r="D529" s="58"/>
      <c r="E529" s="57"/>
      <c r="F529" s="69"/>
      <c r="G529" s="69"/>
      <c r="H529" s="70" t="str">
        <f aca="false">IF(A529="","",IFERROR(INDEX(السندات!$C$5:$C$504,MATCH(A529,السندات!$A$5:$A$504,0)),""))</f>
        <v/>
      </c>
      <c r="I529" s="71" t="str">
        <f aca="false">IF(A529="","",IFERROR(INDEX(السندات!$D$5:$D$504,MATCH(A529,السندات!$A$5:$A$504,0)),""))</f>
        <v/>
      </c>
      <c r="J529" s="72" t="str">
        <f aca="false">IF(A529="","",IF(ISNA(MATCH(A529,السندات!$A$5:$A$504,0)),"رقم سند غير موجود ✘",IF(AND(F529&lt;&gt;"",G529&lt;&gt;""),"اكتب مدين أو دائن فقط ✘",IF(AND(N(F529)=0,N(G529)=0),"بدون مبلغ ⚠",IF(B529&gt;12,"يتجاوز 12 بنداً في الطباعة ⚠","")))))</f>
        <v/>
      </c>
    </row>
    <row r="530" customFormat="false" ht="15" hidden="false" customHeight="false" outlineLevel="0" collapsed="false">
      <c r="A530" s="58"/>
      <c r="B530" s="73" t="str">
        <f aca="false">IF(A530="","",COUNTIF(A$5:A530,A530))</f>
        <v/>
      </c>
      <c r="C530" s="73" t="str">
        <f aca="false">IF(A530="","",A530&amp;"-"&amp;B530)</f>
        <v/>
      </c>
      <c r="D530" s="58"/>
      <c r="E530" s="57"/>
      <c r="F530" s="69"/>
      <c r="G530" s="69"/>
      <c r="H530" s="74" t="str">
        <f aca="false">IF(A530="","",IFERROR(INDEX(السندات!$C$5:$C$504,MATCH(A530,السندات!$A$5:$A$504,0)),""))</f>
        <v/>
      </c>
      <c r="I530" s="75" t="str">
        <f aca="false">IF(A530="","",IFERROR(INDEX(السندات!$D$5:$D$504,MATCH(A530,السندات!$A$5:$A$504,0)),""))</f>
        <v/>
      </c>
      <c r="J530" s="76" t="str">
        <f aca="false">IF(A530="","",IF(ISNA(MATCH(A530,السندات!$A$5:$A$504,0)),"رقم سند غير موجود ✘",IF(AND(F530&lt;&gt;"",G530&lt;&gt;""),"اكتب مدين أو دائن فقط ✘",IF(AND(N(F530)=0,N(G530)=0),"بدون مبلغ ⚠",IF(B530&gt;12,"يتجاوز 12 بنداً في الطباعة ⚠","")))))</f>
        <v/>
      </c>
    </row>
    <row r="531" customFormat="false" ht="15" hidden="false" customHeight="false" outlineLevel="0" collapsed="false">
      <c r="A531" s="58"/>
      <c r="B531" s="68" t="str">
        <f aca="false">IF(A531="","",COUNTIF(A$5:A531,A531))</f>
        <v/>
      </c>
      <c r="C531" s="68" t="str">
        <f aca="false">IF(A531="","",A531&amp;"-"&amp;B531)</f>
        <v/>
      </c>
      <c r="D531" s="58"/>
      <c r="E531" s="57"/>
      <c r="F531" s="69"/>
      <c r="G531" s="69"/>
      <c r="H531" s="70" t="str">
        <f aca="false">IF(A531="","",IFERROR(INDEX(السندات!$C$5:$C$504,MATCH(A531,السندات!$A$5:$A$504,0)),""))</f>
        <v/>
      </c>
      <c r="I531" s="71" t="str">
        <f aca="false">IF(A531="","",IFERROR(INDEX(السندات!$D$5:$D$504,MATCH(A531,السندات!$A$5:$A$504,0)),""))</f>
        <v/>
      </c>
      <c r="J531" s="72" t="str">
        <f aca="false">IF(A531="","",IF(ISNA(MATCH(A531,السندات!$A$5:$A$504,0)),"رقم سند غير موجود ✘",IF(AND(F531&lt;&gt;"",G531&lt;&gt;""),"اكتب مدين أو دائن فقط ✘",IF(AND(N(F531)=0,N(G531)=0),"بدون مبلغ ⚠",IF(B531&gt;12,"يتجاوز 12 بنداً في الطباعة ⚠","")))))</f>
        <v/>
      </c>
    </row>
    <row r="532" customFormat="false" ht="15" hidden="false" customHeight="false" outlineLevel="0" collapsed="false">
      <c r="A532" s="58"/>
      <c r="B532" s="73" t="str">
        <f aca="false">IF(A532="","",COUNTIF(A$5:A532,A532))</f>
        <v/>
      </c>
      <c r="C532" s="73" t="str">
        <f aca="false">IF(A532="","",A532&amp;"-"&amp;B532)</f>
        <v/>
      </c>
      <c r="D532" s="58"/>
      <c r="E532" s="57"/>
      <c r="F532" s="69"/>
      <c r="G532" s="69"/>
      <c r="H532" s="74" t="str">
        <f aca="false">IF(A532="","",IFERROR(INDEX(السندات!$C$5:$C$504,MATCH(A532,السندات!$A$5:$A$504,0)),""))</f>
        <v/>
      </c>
      <c r="I532" s="75" t="str">
        <f aca="false">IF(A532="","",IFERROR(INDEX(السندات!$D$5:$D$504,MATCH(A532,السندات!$A$5:$A$504,0)),""))</f>
        <v/>
      </c>
      <c r="J532" s="76" t="str">
        <f aca="false">IF(A532="","",IF(ISNA(MATCH(A532,السندات!$A$5:$A$504,0)),"رقم سند غير موجود ✘",IF(AND(F532&lt;&gt;"",G532&lt;&gt;""),"اكتب مدين أو دائن فقط ✘",IF(AND(N(F532)=0,N(G532)=0),"بدون مبلغ ⚠",IF(B532&gt;12,"يتجاوز 12 بنداً في الطباعة ⚠","")))))</f>
        <v/>
      </c>
    </row>
    <row r="533" customFormat="false" ht="15" hidden="false" customHeight="false" outlineLevel="0" collapsed="false">
      <c r="A533" s="58"/>
      <c r="B533" s="68" t="str">
        <f aca="false">IF(A533="","",COUNTIF(A$5:A533,A533))</f>
        <v/>
      </c>
      <c r="C533" s="68" t="str">
        <f aca="false">IF(A533="","",A533&amp;"-"&amp;B533)</f>
        <v/>
      </c>
      <c r="D533" s="58"/>
      <c r="E533" s="57"/>
      <c r="F533" s="69"/>
      <c r="G533" s="69"/>
      <c r="H533" s="70" t="str">
        <f aca="false">IF(A533="","",IFERROR(INDEX(السندات!$C$5:$C$504,MATCH(A533,السندات!$A$5:$A$504,0)),""))</f>
        <v/>
      </c>
      <c r="I533" s="71" t="str">
        <f aca="false">IF(A533="","",IFERROR(INDEX(السندات!$D$5:$D$504,MATCH(A533,السندات!$A$5:$A$504,0)),""))</f>
        <v/>
      </c>
      <c r="J533" s="72" t="str">
        <f aca="false">IF(A533="","",IF(ISNA(MATCH(A533,السندات!$A$5:$A$504,0)),"رقم سند غير موجود ✘",IF(AND(F533&lt;&gt;"",G533&lt;&gt;""),"اكتب مدين أو دائن فقط ✘",IF(AND(N(F533)=0,N(G533)=0),"بدون مبلغ ⚠",IF(B533&gt;12,"يتجاوز 12 بنداً في الطباعة ⚠","")))))</f>
        <v/>
      </c>
    </row>
    <row r="534" customFormat="false" ht="15" hidden="false" customHeight="false" outlineLevel="0" collapsed="false">
      <c r="A534" s="58"/>
      <c r="B534" s="73" t="str">
        <f aca="false">IF(A534="","",COUNTIF(A$5:A534,A534))</f>
        <v/>
      </c>
      <c r="C534" s="73" t="str">
        <f aca="false">IF(A534="","",A534&amp;"-"&amp;B534)</f>
        <v/>
      </c>
      <c r="D534" s="58"/>
      <c r="E534" s="57"/>
      <c r="F534" s="69"/>
      <c r="G534" s="69"/>
      <c r="H534" s="74" t="str">
        <f aca="false">IF(A534="","",IFERROR(INDEX(السندات!$C$5:$C$504,MATCH(A534,السندات!$A$5:$A$504,0)),""))</f>
        <v/>
      </c>
      <c r="I534" s="75" t="str">
        <f aca="false">IF(A534="","",IFERROR(INDEX(السندات!$D$5:$D$504,MATCH(A534,السندات!$A$5:$A$504,0)),""))</f>
        <v/>
      </c>
      <c r="J534" s="76" t="str">
        <f aca="false">IF(A534="","",IF(ISNA(MATCH(A534,السندات!$A$5:$A$504,0)),"رقم سند غير موجود ✘",IF(AND(F534&lt;&gt;"",G534&lt;&gt;""),"اكتب مدين أو دائن فقط ✘",IF(AND(N(F534)=0,N(G534)=0),"بدون مبلغ ⚠",IF(B534&gt;12,"يتجاوز 12 بنداً في الطباعة ⚠","")))))</f>
        <v/>
      </c>
    </row>
    <row r="535" customFormat="false" ht="15" hidden="false" customHeight="false" outlineLevel="0" collapsed="false">
      <c r="A535" s="58"/>
      <c r="B535" s="68" t="str">
        <f aca="false">IF(A535="","",COUNTIF(A$5:A535,A535))</f>
        <v/>
      </c>
      <c r="C535" s="68" t="str">
        <f aca="false">IF(A535="","",A535&amp;"-"&amp;B535)</f>
        <v/>
      </c>
      <c r="D535" s="58"/>
      <c r="E535" s="57"/>
      <c r="F535" s="69"/>
      <c r="G535" s="69"/>
      <c r="H535" s="70" t="str">
        <f aca="false">IF(A535="","",IFERROR(INDEX(السندات!$C$5:$C$504,MATCH(A535,السندات!$A$5:$A$504,0)),""))</f>
        <v/>
      </c>
      <c r="I535" s="71" t="str">
        <f aca="false">IF(A535="","",IFERROR(INDEX(السندات!$D$5:$D$504,MATCH(A535,السندات!$A$5:$A$504,0)),""))</f>
        <v/>
      </c>
      <c r="J535" s="72" t="str">
        <f aca="false">IF(A535="","",IF(ISNA(MATCH(A535,السندات!$A$5:$A$504,0)),"رقم سند غير موجود ✘",IF(AND(F535&lt;&gt;"",G535&lt;&gt;""),"اكتب مدين أو دائن فقط ✘",IF(AND(N(F535)=0,N(G535)=0),"بدون مبلغ ⚠",IF(B535&gt;12,"يتجاوز 12 بنداً في الطباعة ⚠","")))))</f>
        <v/>
      </c>
    </row>
    <row r="536" customFormat="false" ht="15" hidden="false" customHeight="false" outlineLevel="0" collapsed="false">
      <c r="A536" s="58"/>
      <c r="B536" s="73" t="str">
        <f aca="false">IF(A536="","",COUNTIF(A$5:A536,A536))</f>
        <v/>
      </c>
      <c r="C536" s="73" t="str">
        <f aca="false">IF(A536="","",A536&amp;"-"&amp;B536)</f>
        <v/>
      </c>
      <c r="D536" s="58"/>
      <c r="E536" s="57"/>
      <c r="F536" s="69"/>
      <c r="G536" s="69"/>
      <c r="H536" s="74" t="str">
        <f aca="false">IF(A536="","",IFERROR(INDEX(السندات!$C$5:$C$504,MATCH(A536,السندات!$A$5:$A$504,0)),""))</f>
        <v/>
      </c>
      <c r="I536" s="75" t="str">
        <f aca="false">IF(A536="","",IFERROR(INDEX(السندات!$D$5:$D$504,MATCH(A536,السندات!$A$5:$A$504,0)),""))</f>
        <v/>
      </c>
      <c r="J536" s="76" t="str">
        <f aca="false">IF(A536="","",IF(ISNA(MATCH(A536,السندات!$A$5:$A$504,0)),"رقم سند غير موجود ✘",IF(AND(F536&lt;&gt;"",G536&lt;&gt;""),"اكتب مدين أو دائن فقط ✘",IF(AND(N(F536)=0,N(G536)=0),"بدون مبلغ ⚠",IF(B536&gt;12,"يتجاوز 12 بنداً في الطباعة ⚠","")))))</f>
        <v/>
      </c>
    </row>
    <row r="537" customFormat="false" ht="15" hidden="false" customHeight="false" outlineLevel="0" collapsed="false">
      <c r="A537" s="58"/>
      <c r="B537" s="68" t="str">
        <f aca="false">IF(A537="","",COUNTIF(A$5:A537,A537))</f>
        <v/>
      </c>
      <c r="C537" s="68" t="str">
        <f aca="false">IF(A537="","",A537&amp;"-"&amp;B537)</f>
        <v/>
      </c>
      <c r="D537" s="58"/>
      <c r="E537" s="57"/>
      <c r="F537" s="69"/>
      <c r="G537" s="69"/>
      <c r="H537" s="70" t="str">
        <f aca="false">IF(A537="","",IFERROR(INDEX(السندات!$C$5:$C$504,MATCH(A537,السندات!$A$5:$A$504,0)),""))</f>
        <v/>
      </c>
      <c r="I537" s="71" t="str">
        <f aca="false">IF(A537="","",IFERROR(INDEX(السندات!$D$5:$D$504,MATCH(A537,السندات!$A$5:$A$504,0)),""))</f>
        <v/>
      </c>
      <c r="J537" s="72" t="str">
        <f aca="false">IF(A537="","",IF(ISNA(MATCH(A537,السندات!$A$5:$A$504,0)),"رقم سند غير موجود ✘",IF(AND(F537&lt;&gt;"",G537&lt;&gt;""),"اكتب مدين أو دائن فقط ✘",IF(AND(N(F537)=0,N(G537)=0),"بدون مبلغ ⚠",IF(B537&gt;12,"يتجاوز 12 بنداً في الطباعة ⚠","")))))</f>
        <v/>
      </c>
    </row>
    <row r="538" customFormat="false" ht="15" hidden="false" customHeight="false" outlineLevel="0" collapsed="false">
      <c r="A538" s="58"/>
      <c r="B538" s="73" t="str">
        <f aca="false">IF(A538="","",COUNTIF(A$5:A538,A538))</f>
        <v/>
      </c>
      <c r="C538" s="73" t="str">
        <f aca="false">IF(A538="","",A538&amp;"-"&amp;B538)</f>
        <v/>
      </c>
      <c r="D538" s="58"/>
      <c r="E538" s="57"/>
      <c r="F538" s="69"/>
      <c r="G538" s="69"/>
      <c r="H538" s="74" t="str">
        <f aca="false">IF(A538="","",IFERROR(INDEX(السندات!$C$5:$C$504,MATCH(A538,السندات!$A$5:$A$504,0)),""))</f>
        <v/>
      </c>
      <c r="I538" s="75" t="str">
        <f aca="false">IF(A538="","",IFERROR(INDEX(السندات!$D$5:$D$504,MATCH(A538,السندات!$A$5:$A$504,0)),""))</f>
        <v/>
      </c>
      <c r="J538" s="76" t="str">
        <f aca="false">IF(A538="","",IF(ISNA(MATCH(A538,السندات!$A$5:$A$504,0)),"رقم سند غير موجود ✘",IF(AND(F538&lt;&gt;"",G538&lt;&gt;""),"اكتب مدين أو دائن فقط ✘",IF(AND(N(F538)=0,N(G538)=0),"بدون مبلغ ⚠",IF(B538&gt;12,"يتجاوز 12 بنداً في الطباعة ⚠","")))))</f>
        <v/>
      </c>
    </row>
    <row r="539" customFormat="false" ht="15" hidden="false" customHeight="false" outlineLevel="0" collapsed="false">
      <c r="A539" s="58"/>
      <c r="B539" s="68" t="str">
        <f aca="false">IF(A539="","",COUNTIF(A$5:A539,A539))</f>
        <v/>
      </c>
      <c r="C539" s="68" t="str">
        <f aca="false">IF(A539="","",A539&amp;"-"&amp;B539)</f>
        <v/>
      </c>
      <c r="D539" s="58"/>
      <c r="E539" s="57"/>
      <c r="F539" s="69"/>
      <c r="G539" s="69"/>
      <c r="H539" s="70" t="str">
        <f aca="false">IF(A539="","",IFERROR(INDEX(السندات!$C$5:$C$504,MATCH(A539,السندات!$A$5:$A$504,0)),""))</f>
        <v/>
      </c>
      <c r="I539" s="71" t="str">
        <f aca="false">IF(A539="","",IFERROR(INDEX(السندات!$D$5:$D$504,MATCH(A539,السندات!$A$5:$A$504,0)),""))</f>
        <v/>
      </c>
      <c r="J539" s="72" t="str">
        <f aca="false">IF(A539="","",IF(ISNA(MATCH(A539,السندات!$A$5:$A$504,0)),"رقم سند غير موجود ✘",IF(AND(F539&lt;&gt;"",G539&lt;&gt;""),"اكتب مدين أو دائن فقط ✘",IF(AND(N(F539)=0,N(G539)=0),"بدون مبلغ ⚠",IF(B539&gt;12,"يتجاوز 12 بنداً في الطباعة ⚠","")))))</f>
        <v/>
      </c>
    </row>
    <row r="540" customFormat="false" ht="15" hidden="false" customHeight="false" outlineLevel="0" collapsed="false">
      <c r="A540" s="58"/>
      <c r="B540" s="73" t="str">
        <f aca="false">IF(A540="","",COUNTIF(A$5:A540,A540))</f>
        <v/>
      </c>
      <c r="C540" s="73" t="str">
        <f aca="false">IF(A540="","",A540&amp;"-"&amp;B540)</f>
        <v/>
      </c>
      <c r="D540" s="58"/>
      <c r="E540" s="57"/>
      <c r="F540" s="69"/>
      <c r="G540" s="69"/>
      <c r="H540" s="74" t="str">
        <f aca="false">IF(A540="","",IFERROR(INDEX(السندات!$C$5:$C$504,MATCH(A540,السندات!$A$5:$A$504,0)),""))</f>
        <v/>
      </c>
      <c r="I540" s="75" t="str">
        <f aca="false">IF(A540="","",IFERROR(INDEX(السندات!$D$5:$D$504,MATCH(A540,السندات!$A$5:$A$504,0)),""))</f>
        <v/>
      </c>
      <c r="J540" s="76" t="str">
        <f aca="false">IF(A540="","",IF(ISNA(MATCH(A540,السندات!$A$5:$A$504,0)),"رقم سند غير موجود ✘",IF(AND(F540&lt;&gt;"",G540&lt;&gt;""),"اكتب مدين أو دائن فقط ✘",IF(AND(N(F540)=0,N(G540)=0),"بدون مبلغ ⚠",IF(B540&gt;12,"يتجاوز 12 بنداً في الطباعة ⚠","")))))</f>
        <v/>
      </c>
    </row>
    <row r="541" customFormat="false" ht="15" hidden="false" customHeight="false" outlineLevel="0" collapsed="false">
      <c r="A541" s="58"/>
      <c r="B541" s="68" t="str">
        <f aca="false">IF(A541="","",COUNTIF(A$5:A541,A541))</f>
        <v/>
      </c>
      <c r="C541" s="68" t="str">
        <f aca="false">IF(A541="","",A541&amp;"-"&amp;B541)</f>
        <v/>
      </c>
      <c r="D541" s="58"/>
      <c r="E541" s="57"/>
      <c r="F541" s="69"/>
      <c r="G541" s="69"/>
      <c r="H541" s="70" t="str">
        <f aca="false">IF(A541="","",IFERROR(INDEX(السندات!$C$5:$C$504,MATCH(A541,السندات!$A$5:$A$504,0)),""))</f>
        <v/>
      </c>
      <c r="I541" s="71" t="str">
        <f aca="false">IF(A541="","",IFERROR(INDEX(السندات!$D$5:$D$504,MATCH(A541,السندات!$A$5:$A$504,0)),""))</f>
        <v/>
      </c>
      <c r="J541" s="72" t="str">
        <f aca="false">IF(A541="","",IF(ISNA(MATCH(A541,السندات!$A$5:$A$504,0)),"رقم سند غير موجود ✘",IF(AND(F541&lt;&gt;"",G541&lt;&gt;""),"اكتب مدين أو دائن فقط ✘",IF(AND(N(F541)=0,N(G541)=0),"بدون مبلغ ⚠",IF(B541&gt;12,"يتجاوز 12 بنداً في الطباعة ⚠","")))))</f>
        <v/>
      </c>
    </row>
    <row r="542" customFormat="false" ht="15" hidden="false" customHeight="false" outlineLevel="0" collapsed="false">
      <c r="A542" s="58"/>
      <c r="B542" s="73" t="str">
        <f aca="false">IF(A542="","",COUNTIF(A$5:A542,A542))</f>
        <v/>
      </c>
      <c r="C542" s="73" t="str">
        <f aca="false">IF(A542="","",A542&amp;"-"&amp;B542)</f>
        <v/>
      </c>
      <c r="D542" s="58"/>
      <c r="E542" s="57"/>
      <c r="F542" s="69"/>
      <c r="G542" s="69"/>
      <c r="H542" s="74" t="str">
        <f aca="false">IF(A542="","",IFERROR(INDEX(السندات!$C$5:$C$504,MATCH(A542,السندات!$A$5:$A$504,0)),""))</f>
        <v/>
      </c>
      <c r="I542" s="75" t="str">
        <f aca="false">IF(A542="","",IFERROR(INDEX(السندات!$D$5:$D$504,MATCH(A542,السندات!$A$5:$A$504,0)),""))</f>
        <v/>
      </c>
      <c r="J542" s="76" t="str">
        <f aca="false">IF(A542="","",IF(ISNA(MATCH(A542,السندات!$A$5:$A$504,0)),"رقم سند غير موجود ✘",IF(AND(F542&lt;&gt;"",G542&lt;&gt;""),"اكتب مدين أو دائن فقط ✘",IF(AND(N(F542)=0,N(G542)=0),"بدون مبلغ ⚠",IF(B542&gt;12,"يتجاوز 12 بنداً في الطباعة ⚠","")))))</f>
        <v/>
      </c>
    </row>
    <row r="543" customFormat="false" ht="15" hidden="false" customHeight="false" outlineLevel="0" collapsed="false">
      <c r="A543" s="58"/>
      <c r="B543" s="68" t="str">
        <f aca="false">IF(A543="","",COUNTIF(A$5:A543,A543))</f>
        <v/>
      </c>
      <c r="C543" s="68" t="str">
        <f aca="false">IF(A543="","",A543&amp;"-"&amp;B543)</f>
        <v/>
      </c>
      <c r="D543" s="58"/>
      <c r="E543" s="57"/>
      <c r="F543" s="69"/>
      <c r="G543" s="69"/>
      <c r="H543" s="70" t="str">
        <f aca="false">IF(A543="","",IFERROR(INDEX(السندات!$C$5:$C$504,MATCH(A543,السندات!$A$5:$A$504,0)),""))</f>
        <v/>
      </c>
      <c r="I543" s="71" t="str">
        <f aca="false">IF(A543="","",IFERROR(INDEX(السندات!$D$5:$D$504,MATCH(A543,السندات!$A$5:$A$504,0)),""))</f>
        <v/>
      </c>
      <c r="J543" s="72" t="str">
        <f aca="false">IF(A543="","",IF(ISNA(MATCH(A543,السندات!$A$5:$A$504,0)),"رقم سند غير موجود ✘",IF(AND(F543&lt;&gt;"",G543&lt;&gt;""),"اكتب مدين أو دائن فقط ✘",IF(AND(N(F543)=0,N(G543)=0),"بدون مبلغ ⚠",IF(B543&gt;12,"يتجاوز 12 بنداً في الطباعة ⚠","")))))</f>
        <v/>
      </c>
    </row>
    <row r="544" customFormat="false" ht="15" hidden="false" customHeight="false" outlineLevel="0" collapsed="false">
      <c r="A544" s="58"/>
      <c r="B544" s="73" t="str">
        <f aca="false">IF(A544="","",COUNTIF(A$5:A544,A544))</f>
        <v/>
      </c>
      <c r="C544" s="73" t="str">
        <f aca="false">IF(A544="","",A544&amp;"-"&amp;B544)</f>
        <v/>
      </c>
      <c r="D544" s="58"/>
      <c r="E544" s="57"/>
      <c r="F544" s="69"/>
      <c r="G544" s="69"/>
      <c r="H544" s="74" t="str">
        <f aca="false">IF(A544="","",IFERROR(INDEX(السندات!$C$5:$C$504,MATCH(A544,السندات!$A$5:$A$504,0)),""))</f>
        <v/>
      </c>
      <c r="I544" s="75" t="str">
        <f aca="false">IF(A544="","",IFERROR(INDEX(السندات!$D$5:$D$504,MATCH(A544,السندات!$A$5:$A$504,0)),""))</f>
        <v/>
      </c>
      <c r="J544" s="76" t="str">
        <f aca="false">IF(A544="","",IF(ISNA(MATCH(A544,السندات!$A$5:$A$504,0)),"رقم سند غير موجود ✘",IF(AND(F544&lt;&gt;"",G544&lt;&gt;""),"اكتب مدين أو دائن فقط ✘",IF(AND(N(F544)=0,N(G544)=0),"بدون مبلغ ⚠",IF(B544&gt;12,"يتجاوز 12 بنداً في الطباعة ⚠","")))))</f>
        <v/>
      </c>
    </row>
    <row r="545" customFormat="false" ht="15" hidden="false" customHeight="false" outlineLevel="0" collapsed="false">
      <c r="A545" s="58"/>
      <c r="B545" s="68" t="str">
        <f aca="false">IF(A545="","",COUNTIF(A$5:A545,A545))</f>
        <v/>
      </c>
      <c r="C545" s="68" t="str">
        <f aca="false">IF(A545="","",A545&amp;"-"&amp;B545)</f>
        <v/>
      </c>
      <c r="D545" s="58"/>
      <c r="E545" s="57"/>
      <c r="F545" s="69"/>
      <c r="G545" s="69"/>
      <c r="H545" s="70" t="str">
        <f aca="false">IF(A545="","",IFERROR(INDEX(السندات!$C$5:$C$504,MATCH(A545,السندات!$A$5:$A$504,0)),""))</f>
        <v/>
      </c>
      <c r="I545" s="71" t="str">
        <f aca="false">IF(A545="","",IFERROR(INDEX(السندات!$D$5:$D$504,MATCH(A545,السندات!$A$5:$A$504,0)),""))</f>
        <v/>
      </c>
      <c r="J545" s="72" t="str">
        <f aca="false">IF(A545="","",IF(ISNA(MATCH(A545,السندات!$A$5:$A$504,0)),"رقم سند غير موجود ✘",IF(AND(F545&lt;&gt;"",G545&lt;&gt;""),"اكتب مدين أو دائن فقط ✘",IF(AND(N(F545)=0,N(G545)=0),"بدون مبلغ ⚠",IF(B545&gt;12,"يتجاوز 12 بنداً في الطباعة ⚠","")))))</f>
        <v/>
      </c>
    </row>
    <row r="546" customFormat="false" ht="15" hidden="false" customHeight="false" outlineLevel="0" collapsed="false">
      <c r="A546" s="58"/>
      <c r="B546" s="73" t="str">
        <f aca="false">IF(A546="","",COUNTIF(A$5:A546,A546))</f>
        <v/>
      </c>
      <c r="C546" s="73" t="str">
        <f aca="false">IF(A546="","",A546&amp;"-"&amp;B546)</f>
        <v/>
      </c>
      <c r="D546" s="58"/>
      <c r="E546" s="57"/>
      <c r="F546" s="69"/>
      <c r="G546" s="69"/>
      <c r="H546" s="74" t="str">
        <f aca="false">IF(A546="","",IFERROR(INDEX(السندات!$C$5:$C$504,MATCH(A546,السندات!$A$5:$A$504,0)),""))</f>
        <v/>
      </c>
      <c r="I546" s="75" t="str">
        <f aca="false">IF(A546="","",IFERROR(INDEX(السندات!$D$5:$D$504,MATCH(A546,السندات!$A$5:$A$504,0)),""))</f>
        <v/>
      </c>
      <c r="J546" s="76" t="str">
        <f aca="false">IF(A546="","",IF(ISNA(MATCH(A546,السندات!$A$5:$A$504,0)),"رقم سند غير موجود ✘",IF(AND(F546&lt;&gt;"",G546&lt;&gt;""),"اكتب مدين أو دائن فقط ✘",IF(AND(N(F546)=0,N(G546)=0),"بدون مبلغ ⚠",IF(B546&gt;12,"يتجاوز 12 بنداً في الطباعة ⚠","")))))</f>
        <v/>
      </c>
    </row>
    <row r="547" customFormat="false" ht="15" hidden="false" customHeight="false" outlineLevel="0" collapsed="false">
      <c r="A547" s="58"/>
      <c r="B547" s="68" t="str">
        <f aca="false">IF(A547="","",COUNTIF(A$5:A547,A547))</f>
        <v/>
      </c>
      <c r="C547" s="68" t="str">
        <f aca="false">IF(A547="","",A547&amp;"-"&amp;B547)</f>
        <v/>
      </c>
      <c r="D547" s="58"/>
      <c r="E547" s="57"/>
      <c r="F547" s="69"/>
      <c r="G547" s="69"/>
      <c r="H547" s="70" t="str">
        <f aca="false">IF(A547="","",IFERROR(INDEX(السندات!$C$5:$C$504,MATCH(A547,السندات!$A$5:$A$504,0)),""))</f>
        <v/>
      </c>
      <c r="I547" s="71" t="str">
        <f aca="false">IF(A547="","",IFERROR(INDEX(السندات!$D$5:$D$504,MATCH(A547,السندات!$A$5:$A$504,0)),""))</f>
        <v/>
      </c>
      <c r="J547" s="72" t="str">
        <f aca="false">IF(A547="","",IF(ISNA(MATCH(A547,السندات!$A$5:$A$504,0)),"رقم سند غير موجود ✘",IF(AND(F547&lt;&gt;"",G547&lt;&gt;""),"اكتب مدين أو دائن فقط ✘",IF(AND(N(F547)=0,N(G547)=0),"بدون مبلغ ⚠",IF(B547&gt;12,"يتجاوز 12 بنداً في الطباعة ⚠","")))))</f>
        <v/>
      </c>
    </row>
    <row r="548" customFormat="false" ht="15" hidden="false" customHeight="false" outlineLevel="0" collapsed="false">
      <c r="A548" s="58"/>
      <c r="B548" s="73" t="str">
        <f aca="false">IF(A548="","",COUNTIF(A$5:A548,A548))</f>
        <v/>
      </c>
      <c r="C548" s="73" t="str">
        <f aca="false">IF(A548="","",A548&amp;"-"&amp;B548)</f>
        <v/>
      </c>
      <c r="D548" s="58"/>
      <c r="E548" s="57"/>
      <c r="F548" s="69"/>
      <c r="G548" s="69"/>
      <c r="H548" s="74" t="str">
        <f aca="false">IF(A548="","",IFERROR(INDEX(السندات!$C$5:$C$504,MATCH(A548,السندات!$A$5:$A$504,0)),""))</f>
        <v/>
      </c>
      <c r="I548" s="75" t="str">
        <f aca="false">IF(A548="","",IFERROR(INDEX(السندات!$D$5:$D$504,MATCH(A548,السندات!$A$5:$A$504,0)),""))</f>
        <v/>
      </c>
      <c r="J548" s="76" t="str">
        <f aca="false">IF(A548="","",IF(ISNA(MATCH(A548,السندات!$A$5:$A$504,0)),"رقم سند غير موجود ✘",IF(AND(F548&lt;&gt;"",G548&lt;&gt;""),"اكتب مدين أو دائن فقط ✘",IF(AND(N(F548)=0,N(G548)=0),"بدون مبلغ ⚠",IF(B548&gt;12,"يتجاوز 12 بنداً في الطباعة ⚠","")))))</f>
        <v/>
      </c>
    </row>
    <row r="549" customFormat="false" ht="15" hidden="false" customHeight="false" outlineLevel="0" collapsed="false">
      <c r="A549" s="58"/>
      <c r="B549" s="68" t="str">
        <f aca="false">IF(A549="","",COUNTIF(A$5:A549,A549))</f>
        <v/>
      </c>
      <c r="C549" s="68" t="str">
        <f aca="false">IF(A549="","",A549&amp;"-"&amp;B549)</f>
        <v/>
      </c>
      <c r="D549" s="58"/>
      <c r="E549" s="57"/>
      <c r="F549" s="69"/>
      <c r="G549" s="69"/>
      <c r="H549" s="70" t="str">
        <f aca="false">IF(A549="","",IFERROR(INDEX(السندات!$C$5:$C$504,MATCH(A549,السندات!$A$5:$A$504,0)),""))</f>
        <v/>
      </c>
      <c r="I549" s="71" t="str">
        <f aca="false">IF(A549="","",IFERROR(INDEX(السندات!$D$5:$D$504,MATCH(A549,السندات!$A$5:$A$504,0)),""))</f>
        <v/>
      </c>
      <c r="J549" s="72" t="str">
        <f aca="false">IF(A549="","",IF(ISNA(MATCH(A549,السندات!$A$5:$A$504,0)),"رقم سند غير موجود ✘",IF(AND(F549&lt;&gt;"",G549&lt;&gt;""),"اكتب مدين أو دائن فقط ✘",IF(AND(N(F549)=0,N(G549)=0),"بدون مبلغ ⚠",IF(B549&gt;12,"يتجاوز 12 بنداً في الطباعة ⚠","")))))</f>
        <v/>
      </c>
    </row>
    <row r="550" customFormat="false" ht="15" hidden="false" customHeight="false" outlineLevel="0" collapsed="false">
      <c r="A550" s="58"/>
      <c r="B550" s="73" t="str">
        <f aca="false">IF(A550="","",COUNTIF(A$5:A550,A550))</f>
        <v/>
      </c>
      <c r="C550" s="73" t="str">
        <f aca="false">IF(A550="","",A550&amp;"-"&amp;B550)</f>
        <v/>
      </c>
      <c r="D550" s="58"/>
      <c r="E550" s="57"/>
      <c r="F550" s="69"/>
      <c r="G550" s="69"/>
      <c r="H550" s="74" t="str">
        <f aca="false">IF(A550="","",IFERROR(INDEX(السندات!$C$5:$C$504,MATCH(A550,السندات!$A$5:$A$504,0)),""))</f>
        <v/>
      </c>
      <c r="I550" s="75" t="str">
        <f aca="false">IF(A550="","",IFERROR(INDEX(السندات!$D$5:$D$504,MATCH(A550,السندات!$A$5:$A$504,0)),""))</f>
        <v/>
      </c>
      <c r="J550" s="76" t="str">
        <f aca="false">IF(A550="","",IF(ISNA(MATCH(A550,السندات!$A$5:$A$504,0)),"رقم سند غير موجود ✘",IF(AND(F550&lt;&gt;"",G550&lt;&gt;""),"اكتب مدين أو دائن فقط ✘",IF(AND(N(F550)=0,N(G550)=0),"بدون مبلغ ⚠",IF(B550&gt;12,"يتجاوز 12 بنداً في الطباعة ⚠","")))))</f>
        <v/>
      </c>
    </row>
    <row r="551" customFormat="false" ht="15" hidden="false" customHeight="false" outlineLevel="0" collapsed="false">
      <c r="A551" s="58"/>
      <c r="B551" s="68" t="str">
        <f aca="false">IF(A551="","",COUNTIF(A$5:A551,A551))</f>
        <v/>
      </c>
      <c r="C551" s="68" t="str">
        <f aca="false">IF(A551="","",A551&amp;"-"&amp;B551)</f>
        <v/>
      </c>
      <c r="D551" s="58"/>
      <c r="E551" s="57"/>
      <c r="F551" s="69"/>
      <c r="G551" s="69"/>
      <c r="H551" s="70" t="str">
        <f aca="false">IF(A551="","",IFERROR(INDEX(السندات!$C$5:$C$504,MATCH(A551,السندات!$A$5:$A$504,0)),""))</f>
        <v/>
      </c>
      <c r="I551" s="71" t="str">
        <f aca="false">IF(A551="","",IFERROR(INDEX(السندات!$D$5:$D$504,MATCH(A551,السندات!$A$5:$A$504,0)),""))</f>
        <v/>
      </c>
      <c r="J551" s="72" t="str">
        <f aca="false">IF(A551="","",IF(ISNA(MATCH(A551,السندات!$A$5:$A$504,0)),"رقم سند غير موجود ✘",IF(AND(F551&lt;&gt;"",G551&lt;&gt;""),"اكتب مدين أو دائن فقط ✘",IF(AND(N(F551)=0,N(G551)=0),"بدون مبلغ ⚠",IF(B551&gt;12,"يتجاوز 12 بنداً في الطباعة ⚠","")))))</f>
        <v/>
      </c>
    </row>
    <row r="552" customFormat="false" ht="15" hidden="false" customHeight="false" outlineLevel="0" collapsed="false">
      <c r="A552" s="58"/>
      <c r="B552" s="73" t="str">
        <f aca="false">IF(A552="","",COUNTIF(A$5:A552,A552))</f>
        <v/>
      </c>
      <c r="C552" s="73" t="str">
        <f aca="false">IF(A552="","",A552&amp;"-"&amp;B552)</f>
        <v/>
      </c>
      <c r="D552" s="58"/>
      <c r="E552" s="57"/>
      <c r="F552" s="69"/>
      <c r="G552" s="69"/>
      <c r="H552" s="74" t="str">
        <f aca="false">IF(A552="","",IFERROR(INDEX(السندات!$C$5:$C$504,MATCH(A552,السندات!$A$5:$A$504,0)),""))</f>
        <v/>
      </c>
      <c r="I552" s="75" t="str">
        <f aca="false">IF(A552="","",IFERROR(INDEX(السندات!$D$5:$D$504,MATCH(A552,السندات!$A$5:$A$504,0)),""))</f>
        <v/>
      </c>
      <c r="J552" s="76" t="str">
        <f aca="false">IF(A552="","",IF(ISNA(MATCH(A552,السندات!$A$5:$A$504,0)),"رقم سند غير موجود ✘",IF(AND(F552&lt;&gt;"",G552&lt;&gt;""),"اكتب مدين أو دائن فقط ✘",IF(AND(N(F552)=0,N(G552)=0),"بدون مبلغ ⚠",IF(B552&gt;12,"يتجاوز 12 بنداً في الطباعة ⚠","")))))</f>
        <v/>
      </c>
    </row>
    <row r="553" customFormat="false" ht="15" hidden="false" customHeight="false" outlineLevel="0" collapsed="false">
      <c r="A553" s="58"/>
      <c r="B553" s="68" t="str">
        <f aca="false">IF(A553="","",COUNTIF(A$5:A553,A553))</f>
        <v/>
      </c>
      <c r="C553" s="68" t="str">
        <f aca="false">IF(A553="","",A553&amp;"-"&amp;B553)</f>
        <v/>
      </c>
      <c r="D553" s="58"/>
      <c r="E553" s="57"/>
      <c r="F553" s="69"/>
      <c r="G553" s="69"/>
      <c r="H553" s="70" t="str">
        <f aca="false">IF(A553="","",IFERROR(INDEX(السندات!$C$5:$C$504,MATCH(A553,السندات!$A$5:$A$504,0)),""))</f>
        <v/>
      </c>
      <c r="I553" s="71" t="str">
        <f aca="false">IF(A553="","",IFERROR(INDEX(السندات!$D$5:$D$504,MATCH(A553,السندات!$A$5:$A$504,0)),""))</f>
        <v/>
      </c>
      <c r="J553" s="72" t="str">
        <f aca="false">IF(A553="","",IF(ISNA(MATCH(A553,السندات!$A$5:$A$504,0)),"رقم سند غير موجود ✘",IF(AND(F553&lt;&gt;"",G553&lt;&gt;""),"اكتب مدين أو دائن فقط ✘",IF(AND(N(F553)=0,N(G553)=0),"بدون مبلغ ⚠",IF(B553&gt;12,"يتجاوز 12 بنداً في الطباعة ⚠","")))))</f>
        <v/>
      </c>
    </row>
    <row r="554" customFormat="false" ht="15" hidden="false" customHeight="false" outlineLevel="0" collapsed="false">
      <c r="A554" s="58"/>
      <c r="B554" s="73" t="str">
        <f aca="false">IF(A554="","",COUNTIF(A$5:A554,A554))</f>
        <v/>
      </c>
      <c r="C554" s="73" t="str">
        <f aca="false">IF(A554="","",A554&amp;"-"&amp;B554)</f>
        <v/>
      </c>
      <c r="D554" s="58"/>
      <c r="E554" s="57"/>
      <c r="F554" s="69"/>
      <c r="G554" s="69"/>
      <c r="H554" s="74" t="str">
        <f aca="false">IF(A554="","",IFERROR(INDEX(السندات!$C$5:$C$504,MATCH(A554,السندات!$A$5:$A$504,0)),""))</f>
        <v/>
      </c>
      <c r="I554" s="75" t="str">
        <f aca="false">IF(A554="","",IFERROR(INDEX(السندات!$D$5:$D$504,MATCH(A554,السندات!$A$5:$A$504,0)),""))</f>
        <v/>
      </c>
      <c r="J554" s="76" t="str">
        <f aca="false">IF(A554="","",IF(ISNA(MATCH(A554,السندات!$A$5:$A$504,0)),"رقم سند غير موجود ✘",IF(AND(F554&lt;&gt;"",G554&lt;&gt;""),"اكتب مدين أو دائن فقط ✘",IF(AND(N(F554)=0,N(G554)=0),"بدون مبلغ ⚠",IF(B554&gt;12,"يتجاوز 12 بنداً في الطباعة ⚠","")))))</f>
        <v/>
      </c>
    </row>
    <row r="555" customFormat="false" ht="15" hidden="false" customHeight="false" outlineLevel="0" collapsed="false">
      <c r="A555" s="58"/>
      <c r="B555" s="68" t="str">
        <f aca="false">IF(A555="","",COUNTIF(A$5:A555,A555))</f>
        <v/>
      </c>
      <c r="C555" s="68" t="str">
        <f aca="false">IF(A555="","",A555&amp;"-"&amp;B555)</f>
        <v/>
      </c>
      <c r="D555" s="58"/>
      <c r="E555" s="57"/>
      <c r="F555" s="69"/>
      <c r="G555" s="69"/>
      <c r="H555" s="70" t="str">
        <f aca="false">IF(A555="","",IFERROR(INDEX(السندات!$C$5:$C$504,MATCH(A555,السندات!$A$5:$A$504,0)),""))</f>
        <v/>
      </c>
      <c r="I555" s="71" t="str">
        <f aca="false">IF(A555="","",IFERROR(INDEX(السندات!$D$5:$D$504,MATCH(A555,السندات!$A$5:$A$504,0)),""))</f>
        <v/>
      </c>
      <c r="J555" s="72" t="str">
        <f aca="false">IF(A555="","",IF(ISNA(MATCH(A555,السندات!$A$5:$A$504,0)),"رقم سند غير موجود ✘",IF(AND(F555&lt;&gt;"",G555&lt;&gt;""),"اكتب مدين أو دائن فقط ✘",IF(AND(N(F555)=0,N(G555)=0),"بدون مبلغ ⚠",IF(B555&gt;12,"يتجاوز 12 بنداً في الطباعة ⚠","")))))</f>
        <v/>
      </c>
    </row>
    <row r="556" customFormat="false" ht="15" hidden="false" customHeight="false" outlineLevel="0" collapsed="false">
      <c r="A556" s="58"/>
      <c r="B556" s="73" t="str">
        <f aca="false">IF(A556="","",COUNTIF(A$5:A556,A556))</f>
        <v/>
      </c>
      <c r="C556" s="73" t="str">
        <f aca="false">IF(A556="","",A556&amp;"-"&amp;B556)</f>
        <v/>
      </c>
      <c r="D556" s="58"/>
      <c r="E556" s="57"/>
      <c r="F556" s="69"/>
      <c r="G556" s="69"/>
      <c r="H556" s="74" t="str">
        <f aca="false">IF(A556="","",IFERROR(INDEX(السندات!$C$5:$C$504,MATCH(A556,السندات!$A$5:$A$504,0)),""))</f>
        <v/>
      </c>
      <c r="I556" s="75" t="str">
        <f aca="false">IF(A556="","",IFERROR(INDEX(السندات!$D$5:$D$504,MATCH(A556,السندات!$A$5:$A$504,0)),""))</f>
        <v/>
      </c>
      <c r="J556" s="76" t="str">
        <f aca="false">IF(A556="","",IF(ISNA(MATCH(A556,السندات!$A$5:$A$504,0)),"رقم سند غير موجود ✘",IF(AND(F556&lt;&gt;"",G556&lt;&gt;""),"اكتب مدين أو دائن فقط ✘",IF(AND(N(F556)=0,N(G556)=0),"بدون مبلغ ⚠",IF(B556&gt;12,"يتجاوز 12 بنداً في الطباعة ⚠","")))))</f>
        <v/>
      </c>
    </row>
    <row r="557" customFormat="false" ht="15" hidden="false" customHeight="false" outlineLevel="0" collapsed="false">
      <c r="A557" s="58"/>
      <c r="B557" s="68" t="str">
        <f aca="false">IF(A557="","",COUNTIF(A$5:A557,A557))</f>
        <v/>
      </c>
      <c r="C557" s="68" t="str">
        <f aca="false">IF(A557="","",A557&amp;"-"&amp;B557)</f>
        <v/>
      </c>
      <c r="D557" s="58"/>
      <c r="E557" s="57"/>
      <c r="F557" s="69"/>
      <c r="G557" s="69"/>
      <c r="H557" s="70" t="str">
        <f aca="false">IF(A557="","",IFERROR(INDEX(السندات!$C$5:$C$504,MATCH(A557,السندات!$A$5:$A$504,0)),""))</f>
        <v/>
      </c>
      <c r="I557" s="71" t="str">
        <f aca="false">IF(A557="","",IFERROR(INDEX(السندات!$D$5:$D$504,MATCH(A557,السندات!$A$5:$A$504,0)),""))</f>
        <v/>
      </c>
      <c r="J557" s="72" t="str">
        <f aca="false">IF(A557="","",IF(ISNA(MATCH(A557,السندات!$A$5:$A$504,0)),"رقم سند غير موجود ✘",IF(AND(F557&lt;&gt;"",G557&lt;&gt;""),"اكتب مدين أو دائن فقط ✘",IF(AND(N(F557)=0,N(G557)=0),"بدون مبلغ ⚠",IF(B557&gt;12,"يتجاوز 12 بنداً في الطباعة ⚠","")))))</f>
        <v/>
      </c>
    </row>
    <row r="558" customFormat="false" ht="15" hidden="false" customHeight="false" outlineLevel="0" collapsed="false">
      <c r="A558" s="58"/>
      <c r="B558" s="73" t="str">
        <f aca="false">IF(A558="","",COUNTIF(A$5:A558,A558))</f>
        <v/>
      </c>
      <c r="C558" s="73" t="str">
        <f aca="false">IF(A558="","",A558&amp;"-"&amp;B558)</f>
        <v/>
      </c>
      <c r="D558" s="58"/>
      <c r="E558" s="57"/>
      <c r="F558" s="69"/>
      <c r="G558" s="69"/>
      <c r="H558" s="74" t="str">
        <f aca="false">IF(A558="","",IFERROR(INDEX(السندات!$C$5:$C$504,MATCH(A558,السندات!$A$5:$A$504,0)),""))</f>
        <v/>
      </c>
      <c r="I558" s="75" t="str">
        <f aca="false">IF(A558="","",IFERROR(INDEX(السندات!$D$5:$D$504,MATCH(A558,السندات!$A$5:$A$504,0)),""))</f>
        <v/>
      </c>
      <c r="J558" s="76" t="str">
        <f aca="false">IF(A558="","",IF(ISNA(MATCH(A558,السندات!$A$5:$A$504,0)),"رقم سند غير موجود ✘",IF(AND(F558&lt;&gt;"",G558&lt;&gt;""),"اكتب مدين أو دائن فقط ✘",IF(AND(N(F558)=0,N(G558)=0),"بدون مبلغ ⚠",IF(B558&gt;12,"يتجاوز 12 بنداً في الطباعة ⚠","")))))</f>
        <v/>
      </c>
    </row>
    <row r="559" customFormat="false" ht="15" hidden="false" customHeight="false" outlineLevel="0" collapsed="false">
      <c r="A559" s="58"/>
      <c r="B559" s="68" t="str">
        <f aca="false">IF(A559="","",COUNTIF(A$5:A559,A559))</f>
        <v/>
      </c>
      <c r="C559" s="68" t="str">
        <f aca="false">IF(A559="","",A559&amp;"-"&amp;B559)</f>
        <v/>
      </c>
      <c r="D559" s="58"/>
      <c r="E559" s="57"/>
      <c r="F559" s="69"/>
      <c r="G559" s="69"/>
      <c r="H559" s="70" t="str">
        <f aca="false">IF(A559="","",IFERROR(INDEX(السندات!$C$5:$C$504,MATCH(A559,السندات!$A$5:$A$504,0)),""))</f>
        <v/>
      </c>
      <c r="I559" s="71" t="str">
        <f aca="false">IF(A559="","",IFERROR(INDEX(السندات!$D$5:$D$504,MATCH(A559,السندات!$A$5:$A$504,0)),""))</f>
        <v/>
      </c>
      <c r="J559" s="72" t="str">
        <f aca="false">IF(A559="","",IF(ISNA(MATCH(A559,السندات!$A$5:$A$504,0)),"رقم سند غير موجود ✘",IF(AND(F559&lt;&gt;"",G559&lt;&gt;""),"اكتب مدين أو دائن فقط ✘",IF(AND(N(F559)=0,N(G559)=0),"بدون مبلغ ⚠",IF(B559&gt;12,"يتجاوز 12 بنداً في الطباعة ⚠","")))))</f>
        <v/>
      </c>
    </row>
    <row r="560" customFormat="false" ht="15" hidden="false" customHeight="false" outlineLevel="0" collapsed="false">
      <c r="A560" s="58"/>
      <c r="B560" s="73" t="str">
        <f aca="false">IF(A560="","",COUNTIF(A$5:A560,A560))</f>
        <v/>
      </c>
      <c r="C560" s="73" t="str">
        <f aca="false">IF(A560="","",A560&amp;"-"&amp;B560)</f>
        <v/>
      </c>
      <c r="D560" s="58"/>
      <c r="E560" s="57"/>
      <c r="F560" s="69"/>
      <c r="G560" s="69"/>
      <c r="H560" s="74" t="str">
        <f aca="false">IF(A560="","",IFERROR(INDEX(السندات!$C$5:$C$504,MATCH(A560,السندات!$A$5:$A$504,0)),""))</f>
        <v/>
      </c>
      <c r="I560" s="75" t="str">
        <f aca="false">IF(A560="","",IFERROR(INDEX(السندات!$D$5:$D$504,MATCH(A560,السندات!$A$5:$A$504,0)),""))</f>
        <v/>
      </c>
      <c r="J560" s="76" t="str">
        <f aca="false">IF(A560="","",IF(ISNA(MATCH(A560,السندات!$A$5:$A$504,0)),"رقم سند غير موجود ✘",IF(AND(F560&lt;&gt;"",G560&lt;&gt;""),"اكتب مدين أو دائن فقط ✘",IF(AND(N(F560)=0,N(G560)=0),"بدون مبلغ ⚠",IF(B560&gt;12,"يتجاوز 12 بنداً في الطباعة ⚠","")))))</f>
        <v/>
      </c>
    </row>
    <row r="561" customFormat="false" ht="15" hidden="false" customHeight="false" outlineLevel="0" collapsed="false">
      <c r="A561" s="58"/>
      <c r="B561" s="68" t="str">
        <f aca="false">IF(A561="","",COUNTIF(A$5:A561,A561))</f>
        <v/>
      </c>
      <c r="C561" s="68" t="str">
        <f aca="false">IF(A561="","",A561&amp;"-"&amp;B561)</f>
        <v/>
      </c>
      <c r="D561" s="58"/>
      <c r="E561" s="57"/>
      <c r="F561" s="69"/>
      <c r="G561" s="69"/>
      <c r="H561" s="70" t="str">
        <f aca="false">IF(A561="","",IFERROR(INDEX(السندات!$C$5:$C$504,MATCH(A561,السندات!$A$5:$A$504,0)),""))</f>
        <v/>
      </c>
      <c r="I561" s="71" t="str">
        <f aca="false">IF(A561="","",IFERROR(INDEX(السندات!$D$5:$D$504,MATCH(A561,السندات!$A$5:$A$504,0)),""))</f>
        <v/>
      </c>
      <c r="J561" s="72" t="str">
        <f aca="false">IF(A561="","",IF(ISNA(MATCH(A561,السندات!$A$5:$A$504,0)),"رقم سند غير موجود ✘",IF(AND(F561&lt;&gt;"",G561&lt;&gt;""),"اكتب مدين أو دائن فقط ✘",IF(AND(N(F561)=0,N(G561)=0),"بدون مبلغ ⚠",IF(B561&gt;12,"يتجاوز 12 بنداً في الطباعة ⚠","")))))</f>
        <v/>
      </c>
    </row>
    <row r="562" customFormat="false" ht="15" hidden="false" customHeight="false" outlineLevel="0" collapsed="false">
      <c r="A562" s="58"/>
      <c r="B562" s="73" t="str">
        <f aca="false">IF(A562="","",COUNTIF(A$5:A562,A562))</f>
        <v/>
      </c>
      <c r="C562" s="73" t="str">
        <f aca="false">IF(A562="","",A562&amp;"-"&amp;B562)</f>
        <v/>
      </c>
      <c r="D562" s="58"/>
      <c r="E562" s="57"/>
      <c r="F562" s="69"/>
      <c r="G562" s="69"/>
      <c r="H562" s="74" t="str">
        <f aca="false">IF(A562="","",IFERROR(INDEX(السندات!$C$5:$C$504,MATCH(A562,السندات!$A$5:$A$504,0)),""))</f>
        <v/>
      </c>
      <c r="I562" s="75" t="str">
        <f aca="false">IF(A562="","",IFERROR(INDEX(السندات!$D$5:$D$504,MATCH(A562,السندات!$A$5:$A$504,0)),""))</f>
        <v/>
      </c>
      <c r="J562" s="76" t="str">
        <f aca="false">IF(A562="","",IF(ISNA(MATCH(A562,السندات!$A$5:$A$504,0)),"رقم سند غير موجود ✘",IF(AND(F562&lt;&gt;"",G562&lt;&gt;""),"اكتب مدين أو دائن فقط ✘",IF(AND(N(F562)=0,N(G562)=0),"بدون مبلغ ⚠",IF(B562&gt;12,"يتجاوز 12 بنداً في الطباعة ⚠","")))))</f>
        <v/>
      </c>
    </row>
    <row r="563" customFormat="false" ht="15" hidden="false" customHeight="false" outlineLevel="0" collapsed="false">
      <c r="A563" s="58"/>
      <c r="B563" s="68" t="str">
        <f aca="false">IF(A563="","",COUNTIF(A$5:A563,A563))</f>
        <v/>
      </c>
      <c r="C563" s="68" t="str">
        <f aca="false">IF(A563="","",A563&amp;"-"&amp;B563)</f>
        <v/>
      </c>
      <c r="D563" s="58"/>
      <c r="E563" s="57"/>
      <c r="F563" s="69"/>
      <c r="G563" s="69"/>
      <c r="H563" s="70" t="str">
        <f aca="false">IF(A563="","",IFERROR(INDEX(السندات!$C$5:$C$504,MATCH(A563,السندات!$A$5:$A$504,0)),""))</f>
        <v/>
      </c>
      <c r="I563" s="71" t="str">
        <f aca="false">IF(A563="","",IFERROR(INDEX(السندات!$D$5:$D$504,MATCH(A563,السندات!$A$5:$A$504,0)),""))</f>
        <v/>
      </c>
      <c r="J563" s="72" t="str">
        <f aca="false">IF(A563="","",IF(ISNA(MATCH(A563,السندات!$A$5:$A$504,0)),"رقم سند غير موجود ✘",IF(AND(F563&lt;&gt;"",G563&lt;&gt;""),"اكتب مدين أو دائن فقط ✘",IF(AND(N(F563)=0,N(G563)=0),"بدون مبلغ ⚠",IF(B563&gt;12,"يتجاوز 12 بنداً في الطباعة ⚠","")))))</f>
        <v/>
      </c>
    </row>
    <row r="564" customFormat="false" ht="15" hidden="false" customHeight="false" outlineLevel="0" collapsed="false">
      <c r="A564" s="58"/>
      <c r="B564" s="73" t="str">
        <f aca="false">IF(A564="","",COUNTIF(A$5:A564,A564))</f>
        <v/>
      </c>
      <c r="C564" s="73" t="str">
        <f aca="false">IF(A564="","",A564&amp;"-"&amp;B564)</f>
        <v/>
      </c>
      <c r="D564" s="58"/>
      <c r="E564" s="57"/>
      <c r="F564" s="69"/>
      <c r="G564" s="69"/>
      <c r="H564" s="74" t="str">
        <f aca="false">IF(A564="","",IFERROR(INDEX(السندات!$C$5:$C$504,MATCH(A564,السندات!$A$5:$A$504,0)),""))</f>
        <v/>
      </c>
      <c r="I564" s="75" t="str">
        <f aca="false">IF(A564="","",IFERROR(INDEX(السندات!$D$5:$D$504,MATCH(A564,السندات!$A$5:$A$504,0)),""))</f>
        <v/>
      </c>
      <c r="J564" s="76" t="str">
        <f aca="false">IF(A564="","",IF(ISNA(MATCH(A564,السندات!$A$5:$A$504,0)),"رقم سند غير موجود ✘",IF(AND(F564&lt;&gt;"",G564&lt;&gt;""),"اكتب مدين أو دائن فقط ✘",IF(AND(N(F564)=0,N(G564)=0),"بدون مبلغ ⚠",IF(B564&gt;12,"يتجاوز 12 بنداً في الطباعة ⚠","")))))</f>
        <v/>
      </c>
    </row>
    <row r="565" customFormat="false" ht="15" hidden="false" customHeight="false" outlineLevel="0" collapsed="false">
      <c r="A565" s="58"/>
      <c r="B565" s="68" t="str">
        <f aca="false">IF(A565="","",COUNTIF(A$5:A565,A565))</f>
        <v/>
      </c>
      <c r="C565" s="68" t="str">
        <f aca="false">IF(A565="","",A565&amp;"-"&amp;B565)</f>
        <v/>
      </c>
      <c r="D565" s="58"/>
      <c r="E565" s="57"/>
      <c r="F565" s="69"/>
      <c r="G565" s="69"/>
      <c r="H565" s="70" t="str">
        <f aca="false">IF(A565="","",IFERROR(INDEX(السندات!$C$5:$C$504,MATCH(A565,السندات!$A$5:$A$504,0)),""))</f>
        <v/>
      </c>
      <c r="I565" s="71" t="str">
        <f aca="false">IF(A565="","",IFERROR(INDEX(السندات!$D$5:$D$504,MATCH(A565,السندات!$A$5:$A$504,0)),""))</f>
        <v/>
      </c>
      <c r="J565" s="72" t="str">
        <f aca="false">IF(A565="","",IF(ISNA(MATCH(A565,السندات!$A$5:$A$504,0)),"رقم سند غير موجود ✘",IF(AND(F565&lt;&gt;"",G565&lt;&gt;""),"اكتب مدين أو دائن فقط ✘",IF(AND(N(F565)=0,N(G565)=0),"بدون مبلغ ⚠",IF(B565&gt;12,"يتجاوز 12 بنداً في الطباعة ⚠","")))))</f>
        <v/>
      </c>
    </row>
    <row r="566" customFormat="false" ht="15" hidden="false" customHeight="false" outlineLevel="0" collapsed="false">
      <c r="A566" s="58"/>
      <c r="B566" s="73" t="str">
        <f aca="false">IF(A566="","",COUNTIF(A$5:A566,A566))</f>
        <v/>
      </c>
      <c r="C566" s="73" t="str">
        <f aca="false">IF(A566="","",A566&amp;"-"&amp;B566)</f>
        <v/>
      </c>
      <c r="D566" s="58"/>
      <c r="E566" s="57"/>
      <c r="F566" s="69"/>
      <c r="G566" s="69"/>
      <c r="H566" s="74" t="str">
        <f aca="false">IF(A566="","",IFERROR(INDEX(السندات!$C$5:$C$504,MATCH(A566,السندات!$A$5:$A$504,0)),""))</f>
        <v/>
      </c>
      <c r="I566" s="75" t="str">
        <f aca="false">IF(A566="","",IFERROR(INDEX(السندات!$D$5:$D$504,MATCH(A566,السندات!$A$5:$A$504,0)),""))</f>
        <v/>
      </c>
      <c r="J566" s="76" t="str">
        <f aca="false">IF(A566="","",IF(ISNA(MATCH(A566,السندات!$A$5:$A$504,0)),"رقم سند غير موجود ✘",IF(AND(F566&lt;&gt;"",G566&lt;&gt;""),"اكتب مدين أو دائن فقط ✘",IF(AND(N(F566)=0,N(G566)=0),"بدون مبلغ ⚠",IF(B566&gt;12,"يتجاوز 12 بنداً في الطباعة ⚠","")))))</f>
        <v/>
      </c>
    </row>
    <row r="567" customFormat="false" ht="15" hidden="false" customHeight="false" outlineLevel="0" collapsed="false">
      <c r="A567" s="58"/>
      <c r="B567" s="68" t="str">
        <f aca="false">IF(A567="","",COUNTIF(A$5:A567,A567))</f>
        <v/>
      </c>
      <c r="C567" s="68" t="str">
        <f aca="false">IF(A567="","",A567&amp;"-"&amp;B567)</f>
        <v/>
      </c>
      <c r="D567" s="58"/>
      <c r="E567" s="57"/>
      <c r="F567" s="69"/>
      <c r="G567" s="69"/>
      <c r="H567" s="70" t="str">
        <f aca="false">IF(A567="","",IFERROR(INDEX(السندات!$C$5:$C$504,MATCH(A567,السندات!$A$5:$A$504,0)),""))</f>
        <v/>
      </c>
      <c r="I567" s="71" t="str">
        <f aca="false">IF(A567="","",IFERROR(INDEX(السندات!$D$5:$D$504,MATCH(A567,السندات!$A$5:$A$504,0)),""))</f>
        <v/>
      </c>
      <c r="J567" s="72" t="str">
        <f aca="false">IF(A567="","",IF(ISNA(MATCH(A567,السندات!$A$5:$A$504,0)),"رقم سند غير موجود ✘",IF(AND(F567&lt;&gt;"",G567&lt;&gt;""),"اكتب مدين أو دائن فقط ✘",IF(AND(N(F567)=0,N(G567)=0),"بدون مبلغ ⚠",IF(B567&gt;12,"يتجاوز 12 بنداً في الطباعة ⚠","")))))</f>
        <v/>
      </c>
    </row>
    <row r="568" customFormat="false" ht="15" hidden="false" customHeight="false" outlineLevel="0" collapsed="false">
      <c r="A568" s="58"/>
      <c r="B568" s="73" t="str">
        <f aca="false">IF(A568="","",COUNTIF(A$5:A568,A568))</f>
        <v/>
      </c>
      <c r="C568" s="73" t="str">
        <f aca="false">IF(A568="","",A568&amp;"-"&amp;B568)</f>
        <v/>
      </c>
      <c r="D568" s="58"/>
      <c r="E568" s="57"/>
      <c r="F568" s="69"/>
      <c r="G568" s="69"/>
      <c r="H568" s="74" t="str">
        <f aca="false">IF(A568="","",IFERROR(INDEX(السندات!$C$5:$C$504,MATCH(A568,السندات!$A$5:$A$504,0)),""))</f>
        <v/>
      </c>
      <c r="I568" s="75" t="str">
        <f aca="false">IF(A568="","",IFERROR(INDEX(السندات!$D$5:$D$504,MATCH(A568,السندات!$A$5:$A$504,0)),""))</f>
        <v/>
      </c>
      <c r="J568" s="76" t="str">
        <f aca="false">IF(A568="","",IF(ISNA(MATCH(A568,السندات!$A$5:$A$504,0)),"رقم سند غير موجود ✘",IF(AND(F568&lt;&gt;"",G568&lt;&gt;""),"اكتب مدين أو دائن فقط ✘",IF(AND(N(F568)=0,N(G568)=0),"بدون مبلغ ⚠",IF(B568&gt;12,"يتجاوز 12 بنداً في الطباعة ⚠","")))))</f>
        <v/>
      </c>
    </row>
    <row r="569" customFormat="false" ht="15" hidden="false" customHeight="false" outlineLevel="0" collapsed="false">
      <c r="A569" s="58"/>
      <c r="B569" s="68" t="str">
        <f aca="false">IF(A569="","",COUNTIF(A$5:A569,A569))</f>
        <v/>
      </c>
      <c r="C569" s="68" t="str">
        <f aca="false">IF(A569="","",A569&amp;"-"&amp;B569)</f>
        <v/>
      </c>
      <c r="D569" s="58"/>
      <c r="E569" s="57"/>
      <c r="F569" s="69"/>
      <c r="G569" s="69"/>
      <c r="H569" s="70" t="str">
        <f aca="false">IF(A569="","",IFERROR(INDEX(السندات!$C$5:$C$504,MATCH(A569,السندات!$A$5:$A$504,0)),""))</f>
        <v/>
      </c>
      <c r="I569" s="71" t="str">
        <f aca="false">IF(A569="","",IFERROR(INDEX(السندات!$D$5:$D$504,MATCH(A569,السندات!$A$5:$A$504,0)),""))</f>
        <v/>
      </c>
      <c r="J569" s="72" t="str">
        <f aca="false">IF(A569="","",IF(ISNA(MATCH(A569,السندات!$A$5:$A$504,0)),"رقم سند غير موجود ✘",IF(AND(F569&lt;&gt;"",G569&lt;&gt;""),"اكتب مدين أو دائن فقط ✘",IF(AND(N(F569)=0,N(G569)=0),"بدون مبلغ ⚠",IF(B569&gt;12,"يتجاوز 12 بنداً في الطباعة ⚠","")))))</f>
        <v/>
      </c>
    </row>
    <row r="570" customFormat="false" ht="15" hidden="false" customHeight="false" outlineLevel="0" collapsed="false">
      <c r="A570" s="58"/>
      <c r="B570" s="73" t="str">
        <f aca="false">IF(A570="","",COUNTIF(A$5:A570,A570))</f>
        <v/>
      </c>
      <c r="C570" s="73" t="str">
        <f aca="false">IF(A570="","",A570&amp;"-"&amp;B570)</f>
        <v/>
      </c>
      <c r="D570" s="58"/>
      <c r="E570" s="57"/>
      <c r="F570" s="69"/>
      <c r="G570" s="69"/>
      <c r="H570" s="74" t="str">
        <f aca="false">IF(A570="","",IFERROR(INDEX(السندات!$C$5:$C$504,MATCH(A570,السندات!$A$5:$A$504,0)),""))</f>
        <v/>
      </c>
      <c r="I570" s="75" t="str">
        <f aca="false">IF(A570="","",IFERROR(INDEX(السندات!$D$5:$D$504,MATCH(A570,السندات!$A$5:$A$504,0)),""))</f>
        <v/>
      </c>
      <c r="J570" s="76" t="str">
        <f aca="false">IF(A570="","",IF(ISNA(MATCH(A570,السندات!$A$5:$A$504,0)),"رقم سند غير موجود ✘",IF(AND(F570&lt;&gt;"",G570&lt;&gt;""),"اكتب مدين أو دائن فقط ✘",IF(AND(N(F570)=0,N(G570)=0),"بدون مبلغ ⚠",IF(B570&gt;12,"يتجاوز 12 بنداً في الطباعة ⚠","")))))</f>
        <v/>
      </c>
    </row>
    <row r="571" customFormat="false" ht="15" hidden="false" customHeight="false" outlineLevel="0" collapsed="false">
      <c r="A571" s="58"/>
      <c r="B571" s="68" t="str">
        <f aca="false">IF(A571="","",COUNTIF(A$5:A571,A571))</f>
        <v/>
      </c>
      <c r="C571" s="68" t="str">
        <f aca="false">IF(A571="","",A571&amp;"-"&amp;B571)</f>
        <v/>
      </c>
      <c r="D571" s="58"/>
      <c r="E571" s="57"/>
      <c r="F571" s="69"/>
      <c r="G571" s="69"/>
      <c r="H571" s="70" t="str">
        <f aca="false">IF(A571="","",IFERROR(INDEX(السندات!$C$5:$C$504,MATCH(A571,السندات!$A$5:$A$504,0)),""))</f>
        <v/>
      </c>
      <c r="I571" s="71" t="str">
        <f aca="false">IF(A571="","",IFERROR(INDEX(السندات!$D$5:$D$504,MATCH(A571,السندات!$A$5:$A$504,0)),""))</f>
        <v/>
      </c>
      <c r="J571" s="72" t="str">
        <f aca="false">IF(A571="","",IF(ISNA(MATCH(A571,السندات!$A$5:$A$504,0)),"رقم سند غير موجود ✘",IF(AND(F571&lt;&gt;"",G571&lt;&gt;""),"اكتب مدين أو دائن فقط ✘",IF(AND(N(F571)=0,N(G571)=0),"بدون مبلغ ⚠",IF(B571&gt;12,"يتجاوز 12 بنداً في الطباعة ⚠","")))))</f>
        <v/>
      </c>
    </row>
    <row r="572" customFormat="false" ht="15" hidden="false" customHeight="false" outlineLevel="0" collapsed="false">
      <c r="A572" s="58"/>
      <c r="B572" s="73" t="str">
        <f aca="false">IF(A572="","",COUNTIF(A$5:A572,A572))</f>
        <v/>
      </c>
      <c r="C572" s="73" t="str">
        <f aca="false">IF(A572="","",A572&amp;"-"&amp;B572)</f>
        <v/>
      </c>
      <c r="D572" s="58"/>
      <c r="E572" s="57"/>
      <c r="F572" s="69"/>
      <c r="G572" s="69"/>
      <c r="H572" s="74" t="str">
        <f aca="false">IF(A572="","",IFERROR(INDEX(السندات!$C$5:$C$504,MATCH(A572,السندات!$A$5:$A$504,0)),""))</f>
        <v/>
      </c>
      <c r="I572" s="75" t="str">
        <f aca="false">IF(A572="","",IFERROR(INDEX(السندات!$D$5:$D$504,MATCH(A572,السندات!$A$5:$A$504,0)),""))</f>
        <v/>
      </c>
      <c r="J572" s="76" t="str">
        <f aca="false">IF(A572="","",IF(ISNA(MATCH(A572,السندات!$A$5:$A$504,0)),"رقم سند غير موجود ✘",IF(AND(F572&lt;&gt;"",G572&lt;&gt;""),"اكتب مدين أو دائن فقط ✘",IF(AND(N(F572)=0,N(G572)=0),"بدون مبلغ ⚠",IF(B572&gt;12,"يتجاوز 12 بنداً في الطباعة ⚠","")))))</f>
        <v/>
      </c>
    </row>
    <row r="573" customFormat="false" ht="15" hidden="false" customHeight="false" outlineLevel="0" collapsed="false">
      <c r="A573" s="58"/>
      <c r="B573" s="68" t="str">
        <f aca="false">IF(A573="","",COUNTIF(A$5:A573,A573))</f>
        <v/>
      </c>
      <c r="C573" s="68" t="str">
        <f aca="false">IF(A573="","",A573&amp;"-"&amp;B573)</f>
        <v/>
      </c>
      <c r="D573" s="58"/>
      <c r="E573" s="57"/>
      <c r="F573" s="69"/>
      <c r="G573" s="69"/>
      <c r="H573" s="70" t="str">
        <f aca="false">IF(A573="","",IFERROR(INDEX(السندات!$C$5:$C$504,MATCH(A573,السندات!$A$5:$A$504,0)),""))</f>
        <v/>
      </c>
      <c r="I573" s="71" t="str">
        <f aca="false">IF(A573="","",IFERROR(INDEX(السندات!$D$5:$D$504,MATCH(A573,السندات!$A$5:$A$504,0)),""))</f>
        <v/>
      </c>
      <c r="J573" s="72" t="str">
        <f aca="false">IF(A573="","",IF(ISNA(MATCH(A573,السندات!$A$5:$A$504,0)),"رقم سند غير موجود ✘",IF(AND(F573&lt;&gt;"",G573&lt;&gt;""),"اكتب مدين أو دائن فقط ✘",IF(AND(N(F573)=0,N(G573)=0),"بدون مبلغ ⚠",IF(B573&gt;12,"يتجاوز 12 بنداً في الطباعة ⚠","")))))</f>
        <v/>
      </c>
    </row>
    <row r="574" customFormat="false" ht="15" hidden="false" customHeight="false" outlineLevel="0" collapsed="false">
      <c r="A574" s="58"/>
      <c r="B574" s="73" t="str">
        <f aca="false">IF(A574="","",COUNTIF(A$5:A574,A574))</f>
        <v/>
      </c>
      <c r="C574" s="73" t="str">
        <f aca="false">IF(A574="","",A574&amp;"-"&amp;B574)</f>
        <v/>
      </c>
      <c r="D574" s="58"/>
      <c r="E574" s="57"/>
      <c r="F574" s="69"/>
      <c r="G574" s="69"/>
      <c r="H574" s="74" t="str">
        <f aca="false">IF(A574="","",IFERROR(INDEX(السندات!$C$5:$C$504,MATCH(A574,السندات!$A$5:$A$504,0)),""))</f>
        <v/>
      </c>
      <c r="I574" s="75" t="str">
        <f aca="false">IF(A574="","",IFERROR(INDEX(السندات!$D$5:$D$504,MATCH(A574,السندات!$A$5:$A$504,0)),""))</f>
        <v/>
      </c>
      <c r="J574" s="76" t="str">
        <f aca="false">IF(A574="","",IF(ISNA(MATCH(A574,السندات!$A$5:$A$504,0)),"رقم سند غير موجود ✘",IF(AND(F574&lt;&gt;"",G574&lt;&gt;""),"اكتب مدين أو دائن فقط ✘",IF(AND(N(F574)=0,N(G574)=0),"بدون مبلغ ⚠",IF(B574&gt;12,"يتجاوز 12 بنداً في الطباعة ⚠","")))))</f>
        <v/>
      </c>
    </row>
    <row r="575" customFormat="false" ht="15" hidden="false" customHeight="false" outlineLevel="0" collapsed="false">
      <c r="A575" s="58"/>
      <c r="B575" s="68" t="str">
        <f aca="false">IF(A575="","",COUNTIF(A$5:A575,A575))</f>
        <v/>
      </c>
      <c r="C575" s="68" t="str">
        <f aca="false">IF(A575="","",A575&amp;"-"&amp;B575)</f>
        <v/>
      </c>
      <c r="D575" s="58"/>
      <c r="E575" s="57"/>
      <c r="F575" s="69"/>
      <c r="G575" s="69"/>
      <c r="H575" s="70" t="str">
        <f aca="false">IF(A575="","",IFERROR(INDEX(السندات!$C$5:$C$504,MATCH(A575,السندات!$A$5:$A$504,0)),""))</f>
        <v/>
      </c>
      <c r="I575" s="71" t="str">
        <f aca="false">IF(A575="","",IFERROR(INDEX(السندات!$D$5:$D$504,MATCH(A575,السندات!$A$5:$A$504,0)),""))</f>
        <v/>
      </c>
      <c r="J575" s="72" t="str">
        <f aca="false">IF(A575="","",IF(ISNA(MATCH(A575,السندات!$A$5:$A$504,0)),"رقم سند غير موجود ✘",IF(AND(F575&lt;&gt;"",G575&lt;&gt;""),"اكتب مدين أو دائن فقط ✘",IF(AND(N(F575)=0,N(G575)=0),"بدون مبلغ ⚠",IF(B575&gt;12,"يتجاوز 12 بنداً في الطباعة ⚠","")))))</f>
        <v/>
      </c>
    </row>
    <row r="576" customFormat="false" ht="15" hidden="false" customHeight="false" outlineLevel="0" collapsed="false">
      <c r="A576" s="58"/>
      <c r="B576" s="73" t="str">
        <f aca="false">IF(A576="","",COUNTIF(A$5:A576,A576))</f>
        <v/>
      </c>
      <c r="C576" s="73" t="str">
        <f aca="false">IF(A576="","",A576&amp;"-"&amp;B576)</f>
        <v/>
      </c>
      <c r="D576" s="58"/>
      <c r="E576" s="57"/>
      <c r="F576" s="69"/>
      <c r="G576" s="69"/>
      <c r="H576" s="74" t="str">
        <f aca="false">IF(A576="","",IFERROR(INDEX(السندات!$C$5:$C$504,MATCH(A576,السندات!$A$5:$A$504,0)),""))</f>
        <v/>
      </c>
      <c r="I576" s="75" t="str">
        <f aca="false">IF(A576="","",IFERROR(INDEX(السندات!$D$5:$D$504,MATCH(A576,السندات!$A$5:$A$504,0)),""))</f>
        <v/>
      </c>
      <c r="J576" s="76" t="str">
        <f aca="false">IF(A576="","",IF(ISNA(MATCH(A576,السندات!$A$5:$A$504,0)),"رقم سند غير موجود ✘",IF(AND(F576&lt;&gt;"",G576&lt;&gt;""),"اكتب مدين أو دائن فقط ✘",IF(AND(N(F576)=0,N(G576)=0),"بدون مبلغ ⚠",IF(B576&gt;12,"يتجاوز 12 بنداً في الطباعة ⚠","")))))</f>
        <v/>
      </c>
    </row>
    <row r="577" customFormat="false" ht="15" hidden="false" customHeight="false" outlineLevel="0" collapsed="false">
      <c r="A577" s="58"/>
      <c r="B577" s="68" t="str">
        <f aca="false">IF(A577="","",COUNTIF(A$5:A577,A577))</f>
        <v/>
      </c>
      <c r="C577" s="68" t="str">
        <f aca="false">IF(A577="","",A577&amp;"-"&amp;B577)</f>
        <v/>
      </c>
      <c r="D577" s="58"/>
      <c r="E577" s="57"/>
      <c r="F577" s="69"/>
      <c r="G577" s="69"/>
      <c r="H577" s="70" t="str">
        <f aca="false">IF(A577="","",IFERROR(INDEX(السندات!$C$5:$C$504,MATCH(A577,السندات!$A$5:$A$504,0)),""))</f>
        <v/>
      </c>
      <c r="I577" s="71" t="str">
        <f aca="false">IF(A577="","",IFERROR(INDEX(السندات!$D$5:$D$504,MATCH(A577,السندات!$A$5:$A$504,0)),""))</f>
        <v/>
      </c>
      <c r="J577" s="72" t="str">
        <f aca="false">IF(A577="","",IF(ISNA(MATCH(A577,السندات!$A$5:$A$504,0)),"رقم سند غير موجود ✘",IF(AND(F577&lt;&gt;"",G577&lt;&gt;""),"اكتب مدين أو دائن فقط ✘",IF(AND(N(F577)=0,N(G577)=0),"بدون مبلغ ⚠",IF(B577&gt;12,"يتجاوز 12 بنداً في الطباعة ⚠","")))))</f>
        <v/>
      </c>
    </row>
    <row r="578" customFormat="false" ht="15" hidden="false" customHeight="false" outlineLevel="0" collapsed="false">
      <c r="A578" s="58"/>
      <c r="B578" s="73" t="str">
        <f aca="false">IF(A578="","",COUNTIF(A$5:A578,A578))</f>
        <v/>
      </c>
      <c r="C578" s="73" t="str">
        <f aca="false">IF(A578="","",A578&amp;"-"&amp;B578)</f>
        <v/>
      </c>
      <c r="D578" s="58"/>
      <c r="E578" s="57"/>
      <c r="F578" s="69"/>
      <c r="G578" s="69"/>
      <c r="H578" s="74" t="str">
        <f aca="false">IF(A578="","",IFERROR(INDEX(السندات!$C$5:$C$504,MATCH(A578,السندات!$A$5:$A$504,0)),""))</f>
        <v/>
      </c>
      <c r="I578" s="75" t="str">
        <f aca="false">IF(A578="","",IFERROR(INDEX(السندات!$D$5:$D$504,MATCH(A578,السندات!$A$5:$A$504,0)),""))</f>
        <v/>
      </c>
      <c r="J578" s="76" t="str">
        <f aca="false">IF(A578="","",IF(ISNA(MATCH(A578,السندات!$A$5:$A$504,0)),"رقم سند غير موجود ✘",IF(AND(F578&lt;&gt;"",G578&lt;&gt;""),"اكتب مدين أو دائن فقط ✘",IF(AND(N(F578)=0,N(G578)=0),"بدون مبلغ ⚠",IF(B578&gt;12,"يتجاوز 12 بنداً في الطباعة ⚠","")))))</f>
        <v/>
      </c>
    </row>
    <row r="579" customFormat="false" ht="15" hidden="false" customHeight="false" outlineLevel="0" collapsed="false">
      <c r="A579" s="58"/>
      <c r="B579" s="68" t="str">
        <f aca="false">IF(A579="","",COUNTIF(A$5:A579,A579))</f>
        <v/>
      </c>
      <c r="C579" s="68" t="str">
        <f aca="false">IF(A579="","",A579&amp;"-"&amp;B579)</f>
        <v/>
      </c>
      <c r="D579" s="58"/>
      <c r="E579" s="57"/>
      <c r="F579" s="69"/>
      <c r="G579" s="69"/>
      <c r="H579" s="70" t="str">
        <f aca="false">IF(A579="","",IFERROR(INDEX(السندات!$C$5:$C$504,MATCH(A579,السندات!$A$5:$A$504,0)),""))</f>
        <v/>
      </c>
      <c r="I579" s="71" t="str">
        <f aca="false">IF(A579="","",IFERROR(INDEX(السندات!$D$5:$D$504,MATCH(A579,السندات!$A$5:$A$504,0)),""))</f>
        <v/>
      </c>
      <c r="J579" s="72" t="str">
        <f aca="false">IF(A579="","",IF(ISNA(MATCH(A579,السندات!$A$5:$A$504,0)),"رقم سند غير موجود ✘",IF(AND(F579&lt;&gt;"",G579&lt;&gt;""),"اكتب مدين أو دائن فقط ✘",IF(AND(N(F579)=0,N(G579)=0),"بدون مبلغ ⚠",IF(B579&gt;12,"يتجاوز 12 بنداً في الطباعة ⚠","")))))</f>
        <v/>
      </c>
    </row>
    <row r="580" customFormat="false" ht="15" hidden="false" customHeight="false" outlineLevel="0" collapsed="false">
      <c r="A580" s="58"/>
      <c r="B580" s="73" t="str">
        <f aca="false">IF(A580="","",COUNTIF(A$5:A580,A580))</f>
        <v/>
      </c>
      <c r="C580" s="73" t="str">
        <f aca="false">IF(A580="","",A580&amp;"-"&amp;B580)</f>
        <v/>
      </c>
      <c r="D580" s="58"/>
      <c r="E580" s="57"/>
      <c r="F580" s="69"/>
      <c r="G580" s="69"/>
      <c r="H580" s="74" t="str">
        <f aca="false">IF(A580="","",IFERROR(INDEX(السندات!$C$5:$C$504,MATCH(A580,السندات!$A$5:$A$504,0)),""))</f>
        <v/>
      </c>
      <c r="I580" s="75" t="str">
        <f aca="false">IF(A580="","",IFERROR(INDEX(السندات!$D$5:$D$504,MATCH(A580,السندات!$A$5:$A$504,0)),""))</f>
        <v/>
      </c>
      <c r="J580" s="76" t="str">
        <f aca="false">IF(A580="","",IF(ISNA(MATCH(A580,السندات!$A$5:$A$504,0)),"رقم سند غير موجود ✘",IF(AND(F580&lt;&gt;"",G580&lt;&gt;""),"اكتب مدين أو دائن فقط ✘",IF(AND(N(F580)=0,N(G580)=0),"بدون مبلغ ⚠",IF(B580&gt;12,"يتجاوز 12 بنداً في الطباعة ⚠","")))))</f>
        <v/>
      </c>
    </row>
    <row r="581" customFormat="false" ht="15" hidden="false" customHeight="false" outlineLevel="0" collapsed="false">
      <c r="A581" s="58"/>
      <c r="B581" s="68" t="str">
        <f aca="false">IF(A581="","",COUNTIF(A$5:A581,A581))</f>
        <v/>
      </c>
      <c r="C581" s="68" t="str">
        <f aca="false">IF(A581="","",A581&amp;"-"&amp;B581)</f>
        <v/>
      </c>
      <c r="D581" s="58"/>
      <c r="E581" s="57"/>
      <c r="F581" s="69"/>
      <c r="G581" s="69"/>
      <c r="H581" s="70" t="str">
        <f aca="false">IF(A581="","",IFERROR(INDEX(السندات!$C$5:$C$504,MATCH(A581,السندات!$A$5:$A$504,0)),""))</f>
        <v/>
      </c>
      <c r="I581" s="71" t="str">
        <f aca="false">IF(A581="","",IFERROR(INDEX(السندات!$D$5:$D$504,MATCH(A581,السندات!$A$5:$A$504,0)),""))</f>
        <v/>
      </c>
      <c r="J581" s="72" t="str">
        <f aca="false">IF(A581="","",IF(ISNA(MATCH(A581,السندات!$A$5:$A$504,0)),"رقم سند غير موجود ✘",IF(AND(F581&lt;&gt;"",G581&lt;&gt;""),"اكتب مدين أو دائن فقط ✘",IF(AND(N(F581)=0,N(G581)=0),"بدون مبلغ ⚠",IF(B581&gt;12,"يتجاوز 12 بنداً في الطباعة ⚠","")))))</f>
        <v/>
      </c>
    </row>
    <row r="582" customFormat="false" ht="15" hidden="false" customHeight="false" outlineLevel="0" collapsed="false">
      <c r="A582" s="58"/>
      <c r="B582" s="73" t="str">
        <f aca="false">IF(A582="","",COUNTIF(A$5:A582,A582))</f>
        <v/>
      </c>
      <c r="C582" s="73" t="str">
        <f aca="false">IF(A582="","",A582&amp;"-"&amp;B582)</f>
        <v/>
      </c>
      <c r="D582" s="58"/>
      <c r="E582" s="57"/>
      <c r="F582" s="69"/>
      <c r="G582" s="69"/>
      <c r="H582" s="74" t="str">
        <f aca="false">IF(A582="","",IFERROR(INDEX(السندات!$C$5:$C$504,MATCH(A582,السندات!$A$5:$A$504,0)),""))</f>
        <v/>
      </c>
      <c r="I582" s="75" t="str">
        <f aca="false">IF(A582="","",IFERROR(INDEX(السندات!$D$5:$D$504,MATCH(A582,السندات!$A$5:$A$504,0)),""))</f>
        <v/>
      </c>
      <c r="J582" s="76" t="str">
        <f aca="false">IF(A582="","",IF(ISNA(MATCH(A582,السندات!$A$5:$A$504,0)),"رقم سند غير موجود ✘",IF(AND(F582&lt;&gt;"",G582&lt;&gt;""),"اكتب مدين أو دائن فقط ✘",IF(AND(N(F582)=0,N(G582)=0),"بدون مبلغ ⚠",IF(B582&gt;12,"يتجاوز 12 بنداً في الطباعة ⚠","")))))</f>
        <v/>
      </c>
    </row>
    <row r="583" customFormat="false" ht="15" hidden="false" customHeight="false" outlineLevel="0" collapsed="false">
      <c r="A583" s="58"/>
      <c r="B583" s="68" t="str">
        <f aca="false">IF(A583="","",COUNTIF(A$5:A583,A583))</f>
        <v/>
      </c>
      <c r="C583" s="68" t="str">
        <f aca="false">IF(A583="","",A583&amp;"-"&amp;B583)</f>
        <v/>
      </c>
      <c r="D583" s="58"/>
      <c r="E583" s="57"/>
      <c r="F583" s="69"/>
      <c r="G583" s="69"/>
      <c r="H583" s="70" t="str">
        <f aca="false">IF(A583="","",IFERROR(INDEX(السندات!$C$5:$C$504,MATCH(A583,السندات!$A$5:$A$504,0)),""))</f>
        <v/>
      </c>
      <c r="I583" s="71" t="str">
        <f aca="false">IF(A583="","",IFERROR(INDEX(السندات!$D$5:$D$504,MATCH(A583,السندات!$A$5:$A$504,0)),""))</f>
        <v/>
      </c>
      <c r="J583" s="72" t="str">
        <f aca="false">IF(A583="","",IF(ISNA(MATCH(A583,السندات!$A$5:$A$504,0)),"رقم سند غير موجود ✘",IF(AND(F583&lt;&gt;"",G583&lt;&gt;""),"اكتب مدين أو دائن فقط ✘",IF(AND(N(F583)=0,N(G583)=0),"بدون مبلغ ⚠",IF(B583&gt;12,"يتجاوز 12 بنداً في الطباعة ⚠","")))))</f>
        <v/>
      </c>
    </row>
    <row r="584" customFormat="false" ht="15" hidden="false" customHeight="false" outlineLevel="0" collapsed="false">
      <c r="A584" s="58"/>
      <c r="B584" s="73" t="str">
        <f aca="false">IF(A584="","",COUNTIF(A$5:A584,A584))</f>
        <v/>
      </c>
      <c r="C584" s="73" t="str">
        <f aca="false">IF(A584="","",A584&amp;"-"&amp;B584)</f>
        <v/>
      </c>
      <c r="D584" s="58"/>
      <c r="E584" s="57"/>
      <c r="F584" s="69"/>
      <c r="G584" s="69"/>
      <c r="H584" s="74" t="str">
        <f aca="false">IF(A584="","",IFERROR(INDEX(السندات!$C$5:$C$504,MATCH(A584,السندات!$A$5:$A$504,0)),""))</f>
        <v/>
      </c>
      <c r="I584" s="75" t="str">
        <f aca="false">IF(A584="","",IFERROR(INDEX(السندات!$D$5:$D$504,MATCH(A584,السندات!$A$5:$A$504,0)),""))</f>
        <v/>
      </c>
      <c r="J584" s="76" t="str">
        <f aca="false">IF(A584="","",IF(ISNA(MATCH(A584,السندات!$A$5:$A$504,0)),"رقم سند غير موجود ✘",IF(AND(F584&lt;&gt;"",G584&lt;&gt;""),"اكتب مدين أو دائن فقط ✘",IF(AND(N(F584)=0,N(G584)=0),"بدون مبلغ ⚠",IF(B584&gt;12,"يتجاوز 12 بنداً في الطباعة ⚠","")))))</f>
        <v/>
      </c>
    </row>
    <row r="585" customFormat="false" ht="15" hidden="false" customHeight="false" outlineLevel="0" collapsed="false">
      <c r="A585" s="58"/>
      <c r="B585" s="68" t="str">
        <f aca="false">IF(A585="","",COUNTIF(A$5:A585,A585))</f>
        <v/>
      </c>
      <c r="C585" s="68" t="str">
        <f aca="false">IF(A585="","",A585&amp;"-"&amp;B585)</f>
        <v/>
      </c>
      <c r="D585" s="58"/>
      <c r="E585" s="57"/>
      <c r="F585" s="69"/>
      <c r="G585" s="69"/>
      <c r="H585" s="70" t="str">
        <f aca="false">IF(A585="","",IFERROR(INDEX(السندات!$C$5:$C$504,MATCH(A585,السندات!$A$5:$A$504,0)),""))</f>
        <v/>
      </c>
      <c r="I585" s="71" t="str">
        <f aca="false">IF(A585="","",IFERROR(INDEX(السندات!$D$5:$D$504,MATCH(A585,السندات!$A$5:$A$504,0)),""))</f>
        <v/>
      </c>
      <c r="J585" s="72" t="str">
        <f aca="false">IF(A585="","",IF(ISNA(MATCH(A585,السندات!$A$5:$A$504,0)),"رقم سند غير موجود ✘",IF(AND(F585&lt;&gt;"",G585&lt;&gt;""),"اكتب مدين أو دائن فقط ✘",IF(AND(N(F585)=0,N(G585)=0),"بدون مبلغ ⚠",IF(B585&gt;12,"يتجاوز 12 بنداً في الطباعة ⚠","")))))</f>
        <v/>
      </c>
    </row>
    <row r="586" customFormat="false" ht="15" hidden="false" customHeight="false" outlineLevel="0" collapsed="false">
      <c r="A586" s="58"/>
      <c r="B586" s="73" t="str">
        <f aca="false">IF(A586="","",COUNTIF(A$5:A586,A586))</f>
        <v/>
      </c>
      <c r="C586" s="73" t="str">
        <f aca="false">IF(A586="","",A586&amp;"-"&amp;B586)</f>
        <v/>
      </c>
      <c r="D586" s="58"/>
      <c r="E586" s="57"/>
      <c r="F586" s="69"/>
      <c r="G586" s="69"/>
      <c r="H586" s="74" t="str">
        <f aca="false">IF(A586="","",IFERROR(INDEX(السندات!$C$5:$C$504,MATCH(A586,السندات!$A$5:$A$504,0)),""))</f>
        <v/>
      </c>
      <c r="I586" s="75" t="str">
        <f aca="false">IF(A586="","",IFERROR(INDEX(السندات!$D$5:$D$504,MATCH(A586,السندات!$A$5:$A$504,0)),""))</f>
        <v/>
      </c>
      <c r="J586" s="76" t="str">
        <f aca="false">IF(A586="","",IF(ISNA(MATCH(A586,السندات!$A$5:$A$504,0)),"رقم سند غير موجود ✘",IF(AND(F586&lt;&gt;"",G586&lt;&gt;""),"اكتب مدين أو دائن فقط ✘",IF(AND(N(F586)=0,N(G586)=0),"بدون مبلغ ⚠",IF(B586&gt;12,"يتجاوز 12 بنداً في الطباعة ⚠","")))))</f>
        <v/>
      </c>
    </row>
    <row r="587" customFormat="false" ht="15" hidden="false" customHeight="false" outlineLevel="0" collapsed="false">
      <c r="A587" s="58"/>
      <c r="B587" s="68" t="str">
        <f aca="false">IF(A587="","",COUNTIF(A$5:A587,A587))</f>
        <v/>
      </c>
      <c r="C587" s="68" t="str">
        <f aca="false">IF(A587="","",A587&amp;"-"&amp;B587)</f>
        <v/>
      </c>
      <c r="D587" s="58"/>
      <c r="E587" s="57"/>
      <c r="F587" s="69"/>
      <c r="G587" s="69"/>
      <c r="H587" s="70" t="str">
        <f aca="false">IF(A587="","",IFERROR(INDEX(السندات!$C$5:$C$504,MATCH(A587,السندات!$A$5:$A$504,0)),""))</f>
        <v/>
      </c>
      <c r="I587" s="71" t="str">
        <f aca="false">IF(A587="","",IFERROR(INDEX(السندات!$D$5:$D$504,MATCH(A587,السندات!$A$5:$A$504,0)),""))</f>
        <v/>
      </c>
      <c r="J587" s="72" t="str">
        <f aca="false">IF(A587="","",IF(ISNA(MATCH(A587,السندات!$A$5:$A$504,0)),"رقم سند غير موجود ✘",IF(AND(F587&lt;&gt;"",G587&lt;&gt;""),"اكتب مدين أو دائن فقط ✘",IF(AND(N(F587)=0,N(G587)=0),"بدون مبلغ ⚠",IF(B587&gt;12,"يتجاوز 12 بنداً في الطباعة ⚠","")))))</f>
        <v/>
      </c>
    </row>
    <row r="588" customFormat="false" ht="15" hidden="false" customHeight="false" outlineLevel="0" collapsed="false">
      <c r="A588" s="58"/>
      <c r="B588" s="73" t="str">
        <f aca="false">IF(A588="","",COUNTIF(A$5:A588,A588))</f>
        <v/>
      </c>
      <c r="C588" s="73" t="str">
        <f aca="false">IF(A588="","",A588&amp;"-"&amp;B588)</f>
        <v/>
      </c>
      <c r="D588" s="58"/>
      <c r="E588" s="57"/>
      <c r="F588" s="69"/>
      <c r="G588" s="69"/>
      <c r="H588" s="74" t="str">
        <f aca="false">IF(A588="","",IFERROR(INDEX(السندات!$C$5:$C$504,MATCH(A588,السندات!$A$5:$A$504,0)),""))</f>
        <v/>
      </c>
      <c r="I588" s="75" t="str">
        <f aca="false">IF(A588="","",IFERROR(INDEX(السندات!$D$5:$D$504,MATCH(A588,السندات!$A$5:$A$504,0)),""))</f>
        <v/>
      </c>
      <c r="J588" s="76" t="str">
        <f aca="false">IF(A588="","",IF(ISNA(MATCH(A588,السندات!$A$5:$A$504,0)),"رقم سند غير موجود ✘",IF(AND(F588&lt;&gt;"",G588&lt;&gt;""),"اكتب مدين أو دائن فقط ✘",IF(AND(N(F588)=0,N(G588)=0),"بدون مبلغ ⚠",IF(B588&gt;12,"يتجاوز 12 بنداً في الطباعة ⚠","")))))</f>
        <v/>
      </c>
    </row>
    <row r="589" customFormat="false" ht="15" hidden="false" customHeight="false" outlineLevel="0" collapsed="false">
      <c r="A589" s="58"/>
      <c r="B589" s="68" t="str">
        <f aca="false">IF(A589="","",COUNTIF(A$5:A589,A589))</f>
        <v/>
      </c>
      <c r="C589" s="68" t="str">
        <f aca="false">IF(A589="","",A589&amp;"-"&amp;B589)</f>
        <v/>
      </c>
      <c r="D589" s="58"/>
      <c r="E589" s="57"/>
      <c r="F589" s="69"/>
      <c r="G589" s="69"/>
      <c r="H589" s="70" t="str">
        <f aca="false">IF(A589="","",IFERROR(INDEX(السندات!$C$5:$C$504,MATCH(A589,السندات!$A$5:$A$504,0)),""))</f>
        <v/>
      </c>
      <c r="I589" s="71" t="str">
        <f aca="false">IF(A589="","",IFERROR(INDEX(السندات!$D$5:$D$504,MATCH(A589,السندات!$A$5:$A$504,0)),""))</f>
        <v/>
      </c>
      <c r="J589" s="72" t="str">
        <f aca="false">IF(A589="","",IF(ISNA(MATCH(A589,السندات!$A$5:$A$504,0)),"رقم سند غير موجود ✘",IF(AND(F589&lt;&gt;"",G589&lt;&gt;""),"اكتب مدين أو دائن فقط ✘",IF(AND(N(F589)=0,N(G589)=0),"بدون مبلغ ⚠",IF(B589&gt;12,"يتجاوز 12 بنداً في الطباعة ⚠","")))))</f>
        <v/>
      </c>
    </row>
    <row r="590" customFormat="false" ht="15" hidden="false" customHeight="false" outlineLevel="0" collapsed="false">
      <c r="A590" s="58"/>
      <c r="B590" s="73" t="str">
        <f aca="false">IF(A590="","",COUNTIF(A$5:A590,A590))</f>
        <v/>
      </c>
      <c r="C590" s="73" t="str">
        <f aca="false">IF(A590="","",A590&amp;"-"&amp;B590)</f>
        <v/>
      </c>
      <c r="D590" s="58"/>
      <c r="E590" s="57"/>
      <c r="F590" s="69"/>
      <c r="G590" s="69"/>
      <c r="H590" s="74" t="str">
        <f aca="false">IF(A590="","",IFERROR(INDEX(السندات!$C$5:$C$504,MATCH(A590,السندات!$A$5:$A$504,0)),""))</f>
        <v/>
      </c>
      <c r="I590" s="75" t="str">
        <f aca="false">IF(A590="","",IFERROR(INDEX(السندات!$D$5:$D$504,MATCH(A590,السندات!$A$5:$A$504,0)),""))</f>
        <v/>
      </c>
      <c r="J590" s="76" t="str">
        <f aca="false">IF(A590="","",IF(ISNA(MATCH(A590,السندات!$A$5:$A$504,0)),"رقم سند غير موجود ✘",IF(AND(F590&lt;&gt;"",G590&lt;&gt;""),"اكتب مدين أو دائن فقط ✘",IF(AND(N(F590)=0,N(G590)=0),"بدون مبلغ ⚠",IF(B590&gt;12,"يتجاوز 12 بنداً في الطباعة ⚠","")))))</f>
        <v/>
      </c>
    </row>
    <row r="591" customFormat="false" ht="15" hidden="false" customHeight="false" outlineLevel="0" collapsed="false">
      <c r="A591" s="58"/>
      <c r="B591" s="68" t="str">
        <f aca="false">IF(A591="","",COUNTIF(A$5:A591,A591))</f>
        <v/>
      </c>
      <c r="C591" s="68" t="str">
        <f aca="false">IF(A591="","",A591&amp;"-"&amp;B591)</f>
        <v/>
      </c>
      <c r="D591" s="58"/>
      <c r="E591" s="57"/>
      <c r="F591" s="69"/>
      <c r="G591" s="69"/>
      <c r="H591" s="70" t="str">
        <f aca="false">IF(A591="","",IFERROR(INDEX(السندات!$C$5:$C$504,MATCH(A591,السندات!$A$5:$A$504,0)),""))</f>
        <v/>
      </c>
      <c r="I591" s="71" t="str">
        <f aca="false">IF(A591="","",IFERROR(INDEX(السندات!$D$5:$D$504,MATCH(A591,السندات!$A$5:$A$504,0)),""))</f>
        <v/>
      </c>
      <c r="J591" s="72" t="str">
        <f aca="false">IF(A591="","",IF(ISNA(MATCH(A591,السندات!$A$5:$A$504,0)),"رقم سند غير موجود ✘",IF(AND(F591&lt;&gt;"",G591&lt;&gt;""),"اكتب مدين أو دائن فقط ✘",IF(AND(N(F591)=0,N(G591)=0),"بدون مبلغ ⚠",IF(B591&gt;12,"يتجاوز 12 بنداً في الطباعة ⚠","")))))</f>
        <v/>
      </c>
    </row>
    <row r="592" customFormat="false" ht="15" hidden="false" customHeight="false" outlineLevel="0" collapsed="false">
      <c r="A592" s="58"/>
      <c r="B592" s="73" t="str">
        <f aca="false">IF(A592="","",COUNTIF(A$5:A592,A592))</f>
        <v/>
      </c>
      <c r="C592" s="73" t="str">
        <f aca="false">IF(A592="","",A592&amp;"-"&amp;B592)</f>
        <v/>
      </c>
      <c r="D592" s="58"/>
      <c r="E592" s="57"/>
      <c r="F592" s="69"/>
      <c r="G592" s="69"/>
      <c r="H592" s="74" t="str">
        <f aca="false">IF(A592="","",IFERROR(INDEX(السندات!$C$5:$C$504,MATCH(A592,السندات!$A$5:$A$504,0)),""))</f>
        <v/>
      </c>
      <c r="I592" s="75" t="str">
        <f aca="false">IF(A592="","",IFERROR(INDEX(السندات!$D$5:$D$504,MATCH(A592,السندات!$A$5:$A$504,0)),""))</f>
        <v/>
      </c>
      <c r="J592" s="76" t="str">
        <f aca="false">IF(A592="","",IF(ISNA(MATCH(A592,السندات!$A$5:$A$504,0)),"رقم سند غير موجود ✘",IF(AND(F592&lt;&gt;"",G592&lt;&gt;""),"اكتب مدين أو دائن فقط ✘",IF(AND(N(F592)=0,N(G592)=0),"بدون مبلغ ⚠",IF(B592&gt;12,"يتجاوز 12 بنداً في الطباعة ⚠","")))))</f>
        <v/>
      </c>
    </row>
    <row r="593" customFormat="false" ht="15" hidden="false" customHeight="false" outlineLevel="0" collapsed="false">
      <c r="A593" s="58"/>
      <c r="B593" s="68" t="str">
        <f aca="false">IF(A593="","",COUNTIF(A$5:A593,A593))</f>
        <v/>
      </c>
      <c r="C593" s="68" t="str">
        <f aca="false">IF(A593="","",A593&amp;"-"&amp;B593)</f>
        <v/>
      </c>
      <c r="D593" s="58"/>
      <c r="E593" s="57"/>
      <c r="F593" s="69"/>
      <c r="G593" s="69"/>
      <c r="H593" s="70" t="str">
        <f aca="false">IF(A593="","",IFERROR(INDEX(السندات!$C$5:$C$504,MATCH(A593,السندات!$A$5:$A$504,0)),""))</f>
        <v/>
      </c>
      <c r="I593" s="71" t="str">
        <f aca="false">IF(A593="","",IFERROR(INDEX(السندات!$D$5:$D$504,MATCH(A593,السندات!$A$5:$A$504,0)),""))</f>
        <v/>
      </c>
      <c r="J593" s="72" t="str">
        <f aca="false">IF(A593="","",IF(ISNA(MATCH(A593,السندات!$A$5:$A$504,0)),"رقم سند غير موجود ✘",IF(AND(F593&lt;&gt;"",G593&lt;&gt;""),"اكتب مدين أو دائن فقط ✘",IF(AND(N(F593)=0,N(G593)=0),"بدون مبلغ ⚠",IF(B593&gt;12,"يتجاوز 12 بنداً في الطباعة ⚠","")))))</f>
        <v/>
      </c>
    </row>
    <row r="594" customFormat="false" ht="15" hidden="false" customHeight="false" outlineLevel="0" collapsed="false">
      <c r="A594" s="58"/>
      <c r="B594" s="73" t="str">
        <f aca="false">IF(A594="","",COUNTIF(A$5:A594,A594))</f>
        <v/>
      </c>
      <c r="C594" s="73" t="str">
        <f aca="false">IF(A594="","",A594&amp;"-"&amp;B594)</f>
        <v/>
      </c>
      <c r="D594" s="58"/>
      <c r="E594" s="57"/>
      <c r="F594" s="69"/>
      <c r="G594" s="69"/>
      <c r="H594" s="74" t="str">
        <f aca="false">IF(A594="","",IFERROR(INDEX(السندات!$C$5:$C$504,MATCH(A594,السندات!$A$5:$A$504,0)),""))</f>
        <v/>
      </c>
      <c r="I594" s="75" t="str">
        <f aca="false">IF(A594="","",IFERROR(INDEX(السندات!$D$5:$D$504,MATCH(A594,السندات!$A$5:$A$504,0)),""))</f>
        <v/>
      </c>
      <c r="J594" s="76" t="str">
        <f aca="false">IF(A594="","",IF(ISNA(MATCH(A594,السندات!$A$5:$A$504,0)),"رقم سند غير موجود ✘",IF(AND(F594&lt;&gt;"",G594&lt;&gt;""),"اكتب مدين أو دائن فقط ✘",IF(AND(N(F594)=0,N(G594)=0),"بدون مبلغ ⚠",IF(B594&gt;12,"يتجاوز 12 بنداً في الطباعة ⚠","")))))</f>
        <v/>
      </c>
    </row>
    <row r="595" customFormat="false" ht="15" hidden="false" customHeight="false" outlineLevel="0" collapsed="false">
      <c r="A595" s="58"/>
      <c r="B595" s="68" t="str">
        <f aca="false">IF(A595="","",COUNTIF(A$5:A595,A595))</f>
        <v/>
      </c>
      <c r="C595" s="68" t="str">
        <f aca="false">IF(A595="","",A595&amp;"-"&amp;B595)</f>
        <v/>
      </c>
      <c r="D595" s="58"/>
      <c r="E595" s="57"/>
      <c r="F595" s="69"/>
      <c r="G595" s="69"/>
      <c r="H595" s="70" t="str">
        <f aca="false">IF(A595="","",IFERROR(INDEX(السندات!$C$5:$C$504,MATCH(A595,السندات!$A$5:$A$504,0)),""))</f>
        <v/>
      </c>
      <c r="I595" s="71" t="str">
        <f aca="false">IF(A595="","",IFERROR(INDEX(السندات!$D$5:$D$504,MATCH(A595,السندات!$A$5:$A$504,0)),""))</f>
        <v/>
      </c>
      <c r="J595" s="72" t="str">
        <f aca="false">IF(A595="","",IF(ISNA(MATCH(A595,السندات!$A$5:$A$504,0)),"رقم سند غير موجود ✘",IF(AND(F595&lt;&gt;"",G595&lt;&gt;""),"اكتب مدين أو دائن فقط ✘",IF(AND(N(F595)=0,N(G595)=0),"بدون مبلغ ⚠",IF(B595&gt;12,"يتجاوز 12 بنداً في الطباعة ⚠","")))))</f>
        <v/>
      </c>
    </row>
    <row r="596" customFormat="false" ht="15" hidden="false" customHeight="false" outlineLevel="0" collapsed="false">
      <c r="A596" s="58"/>
      <c r="B596" s="73" t="str">
        <f aca="false">IF(A596="","",COUNTIF(A$5:A596,A596))</f>
        <v/>
      </c>
      <c r="C596" s="73" t="str">
        <f aca="false">IF(A596="","",A596&amp;"-"&amp;B596)</f>
        <v/>
      </c>
      <c r="D596" s="58"/>
      <c r="E596" s="57"/>
      <c r="F596" s="69"/>
      <c r="G596" s="69"/>
      <c r="H596" s="74" t="str">
        <f aca="false">IF(A596="","",IFERROR(INDEX(السندات!$C$5:$C$504,MATCH(A596,السندات!$A$5:$A$504,0)),""))</f>
        <v/>
      </c>
      <c r="I596" s="75" t="str">
        <f aca="false">IF(A596="","",IFERROR(INDEX(السندات!$D$5:$D$504,MATCH(A596,السندات!$A$5:$A$504,0)),""))</f>
        <v/>
      </c>
      <c r="J596" s="76" t="str">
        <f aca="false">IF(A596="","",IF(ISNA(MATCH(A596,السندات!$A$5:$A$504,0)),"رقم سند غير موجود ✘",IF(AND(F596&lt;&gt;"",G596&lt;&gt;""),"اكتب مدين أو دائن فقط ✘",IF(AND(N(F596)=0,N(G596)=0),"بدون مبلغ ⚠",IF(B596&gt;12,"يتجاوز 12 بنداً في الطباعة ⚠","")))))</f>
        <v/>
      </c>
    </row>
    <row r="597" customFormat="false" ht="15" hidden="false" customHeight="false" outlineLevel="0" collapsed="false">
      <c r="A597" s="58"/>
      <c r="B597" s="68" t="str">
        <f aca="false">IF(A597="","",COUNTIF(A$5:A597,A597))</f>
        <v/>
      </c>
      <c r="C597" s="68" t="str">
        <f aca="false">IF(A597="","",A597&amp;"-"&amp;B597)</f>
        <v/>
      </c>
      <c r="D597" s="58"/>
      <c r="E597" s="57"/>
      <c r="F597" s="69"/>
      <c r="G597" s="69"/>
      <c r="H597" s="70" t="str">
        <f aca="false">IF(A597="","",IFERROR(INDEX(السندات!$C$5:$C$504,MATCH(A597,السندات!$A$5:$A$504,0)),""))</f>
        <v/>
      </c>
      <c r="I597" s="71" t="str">
        <f aca="false">IF(A597="","",IFERROR(INDEX(السندات!$D$5:$D$504,MATCH(A597,السندات!$A$5:$A$504,0)),""))</f>
        <v/>
      </c>
      <c r="J597" s="72" t="str">
        <f aca="false">IF(A597="","",IF(ISNA(MATCH(A597,السندات!$A$5:$A$504,0)),"رقم سند غير موجود ✘",IF(AND(F597&lt;&gt;"",G597&lt;&gt;""),"اكتب مدين أو دائن فقط ✘",IF(AND(N(F597)=0,N(G597)=0),"بدون مبلغ ⚠",IF(B597&gt;12,"يتجاوز 12 بنداً في الطباعة ⚠","")))))</f>
        <v/>
      </c>
    </row>
    <row r="598" customFormat="false" ht="15" hidden="false" customHeight="false" outlineLevel="0" collapsed="false">
      <c r="A598" s="58"/>
      <c r="B598" s="73" t="str">
        <f aca="false">IF(A598="","",COUNTIF(A$5:A598,A598))</f>
        <v/>
      </c>
      <c r="C598" s="73" t="str">
        <f aca="false">IF(A598="","",A598&amp;"-"&amp;B598)</f>
        <v/>
      </c>
      <c r="D598" s="58"/>
      <c r="E598" s="57"/>
      <c r="F598" s="69"/>
      <c r="G598" s="69"/>
      <c r="H598" s="74" t="str">
        <f aca="false">IF(A598="","",IFERROR(INDEX(السندات!$C$5:$C$504,MATCH(A598,السندات!$A$5:$A$504,0)),""))</f>
        <v/>
      </c>
      <c r="I598" s="75" t="str">
        <f aca="false">IF(A598="","",IFERROR(INDEX(السندات!$D$5:$D$504,MATCH(A598,السندات!$A$5:$A$504,0)),""))</f>
        <v/>
      </c>
      <c r="J598" s="76" t="str">
        <f aca="false">IF(A598="","",IF(ISNA(MATCH(A598,السندات!$A$5:$A$504,0)),"رقم سند غير موجود ✘",IF(AND(F598&lt;&gt;"",G598&lt;&gt;""),"اكتب مدين أو دائن فقط ✘",IF(AND(N(F598)=0,N(G598)=0),"بدون مبلغ ⚠",IF(B598&gt;12,"يتجاوز 12 بنداً في الطباعة ⚠","")))))</f>
        <v/>
      </c>
    </row>
    <row r="599" customFormat="false" ht="15" hidden="false" customHeight="false" outlineLevel="0" collapsed="false">
      <c r="A599" s="58"/>
      <c r="B599" s="68" t="str">
        <f aca="false">IF(A599="","",COUNTIF(A$5:A599,A599))</f>
        <v/>
      </c>
      <c r="C599" s="68" t="str">
        <f aca="false">IF(A599="","",A599&amp;"-"&amp;B599)</f>
        <v/>
      </c>
      <c r="D599" s="58"/>
      <c r="E599" s="57"/>
      <c r="F599" s="69"/>
      <c r="G599" s="69"/>
      <c r="H599" s="70" t="str">
        <f aca="false">IF(A599="","",IFERROR(INDEX(السندات!$C$5:$C$504,MATCH(A599,السندات!$A$5:$A$504,0)),""))</f>
        <v/>
      </c>
      <c r="I599" s="71" t="str">
        <f aca="false">IF(A599="","",IFERROR(INDEX(السندات!$D$5:$D$504,MATCH(A599,السندات!$A$5:$A$504,0)),""))</f>
        <v/>
      </c>
      <c r="J599" s="72" t="str">
        <f aca="false">IF(A599="","",IF(ISNA(MATCH(A599,السندات!$A$5:$A$504,0)),"رقم سند غير موجود ✘",IF(AND(F599&lt;&gt;"",G599&lt;&gt;""),"اكتب مدين أو دائن فقط ✘",IF(AND(N(F599)=0,N(G599)=0),"بدون مبلغ ⚠",IF(B599&gt;12,"يتجاوز 12 بنداً في الطباعة ⚠","")))))</f>
        <v/>
      </c>
    </row>
    <row r="600" customFormat="false" ht="15" hidden="false" customHeight="false" outlineLevel="0" collapsed="false">
      <c r="A600" s="58"/>
      <c r="B600" s="73" t="str">
        <f aca="false">IF(A600="","",COUNTIF(A$5:A600,A600))</f>
        <v/>
      </c>
      <c r="C600" s="73" t="str">
        <f aca="false">IF(A600="","",A600&amp;"-"&amp;B600)</f>
        <v/>
      </c>
      <c r="D600" s="58"/>
      <c r="E600" s="57"/>
      <c r="F600" s="69"/>
      <c r="G600" s="69"/>
      <c r="H600" s="74" t="str">
        <f aca="false">IF(A600="","",IFERROR(INDEX(السندات!$C$5:$C$504,MATCH(A600,السندات!$A$5:$A$504,0)),""))</f>
        <v/>
      </c>
      <c r="I600" s="75" t="str">
        <f aca="false">IF(A600="","",IFERROR(INDEX(السندات!$D$5:$D$504,MATCH(A600,السندات!$A$5:$A$504,0)),""))</f>
        <v/>
      </c>
      <c r="J600" s="76" t="str">
        <f aca="false">IF(A600="","",IF(ISNA(MATCH(A600,السندات!$A$5:$A$504,0)),"رقم سند غير موجود ✘",IF(AND(F600&lt;&gt;"",G600&lt;&gt;""),"اكتب مدين أو دائن فقط ✘",IF(AND(N(F600)=0,N(G600)=0),"بدون مبلغ ⚠",IF(B600&gt;12,"يتجاوز 12 بنداً في الطباعة ⚠","")))))</f>
        <v/>
      </c>
    </row>
    <row r="601" customFormat="false" ht="15" hidden="false" customHeight="false" outlineLevel="0" collapsed="false">
      <c r="A601" s="58"/>
      <c r="B601" s="68" t="str">
        <f aca="false">IF(A601="","",COUNTIF(A$5:A601,A601))</f>
        <v/>
      </c>
      <c r="C601" s="68" t="str">
        <f aca="false">IF(A601="","",A601&amp;"-"&amp;B601)</f>
        <v/>
      </c>
      <c r="D601" s="58"/>
      <c r="E601" s="57"/>
      <c r="F601" s="69"/>
      <c r="G601" s="69"/>
      <c r="H601" s="70" t="str">
        <f aca="false">IF(A601="","",IFERROR(INDEX(السندات!$C$5:$C$504,MATCH(A601,السندات!$A$5:$A$504,0)),""))</f>
        <v/>
      </c>
      <c r="I601" s="71" t="str">
        <f aca="false">IF(A601="","",IFERROR(INDEX(السندات!$D$5:$D$504,MATCH(A601,السندات!$A$5:$A$504,0)),""))</f>
        <v/>
      </c>
      <c r="J601" s="72" t="str">
        <f aca="false">IF(A601="","",IF(ISNA(MATCH(A601,السندات!$A$5:$A$504,0)),"رقم سند غير موجود ✘",IF(AND(F601&lt;&gt;"",G601&lt;&gt;""),"اكتب مدين أو دائن فقط ✘",IF(AND(N(F601)=0,N(G601)=0),"بدون مبلغ ⚠",IF(B601&gt;12,"يتجاوز 12 بنداً في الطباعة ⚠","")))))</f>
        <v/>
      </c>
    </row>
    <row r="602" customFormat="false" ht="15" hidden="false" customHeight="false" outlineLevel="0" collapsed="false">
      <c r="A602" s="58"/>
      <c r="B602" s="73" t="str">
        <f aca="false">IF(A602="","",COUNTIF(A$5:A602,A602))</f>
        <v/>
      </c>
      <c r="C602" s="73" t="str">
        <f aca="false">IF(A602="","",A602&amp;"-"&amp;B602)</f>
        <v/>
      </c>
      <c r="D602" s="58"/>
      <c r="E602" s="57"/>
      <c r="F602" s="69"/>
      <c r="G602" s="69"/>
      <c r="H602" s="74" t="str">
        <f aca="false">IF(A602="","",IFERROR(INDEX(السندات!$C$5:$C$504,MATCH(A602,السندات!$A$5:$A$504,0)),""))</f>
        <v/>
      </c>
      <c r="I602" s="75" t="str">
        <f aca="false">IF(A602="","",IFERROR(INDEX(السندات!$D$5:$D$504,MATCH(A602,السندات!$A$5:$A$504,0)),""))</f>
        <v/>
      </c>
      <c r="J602" s="76" t="str">
        <f aca="false">IF(A602="","",IF(ISNA(MATCH(A602,السندات!$A$5:$A$504,0)),"رقم سند غير موجود ✘",IF(AND(F602&lt;&gt;"",G602&lt;&gt;""),"اكتب مدين أو دائن فقط ✘",IF(AND(N(F602)=0,N(G602)=0),"بدون مبلغ ⚠",IF(B602&gt;12,"يتجاوز 12 بنداً في الطباعة ⚠","")))))</f>
        <v/>
      </c>
    </row>
    <row r="603" customFormat="false" ht="15" hidden="false" customHeight="false" outlineLevel="0" collapsed="false">
      <c r="A603" s="58"/>
      <c r="B603" s="68" t="str">
        <f aca="false">IF(A603="","",COUNTIF(A$5:A603,A603))</f>
        <v/>
      </c>
      <c r="C603" s="68" t="str">
        <f aca="false">IF(A603="","",A603&amp;"-"&amp;B603)</f>
        <v/>
      </c>
      <c r="D603" s="58"/>
      <c r="E603" s="57"/>
      <c r="F603" s="69"/>
      <c r="G603" s="69"/>
      <c r="H603" s="70" t="str">
        <f aca="false">IF(A603="","",IFERROR(INDEX(السندات!$C$5:$C$504,MATCH(A603,السندات!$A$5:$A$504,0)),""))</f>
        <v/>
      </c>
      <c r="I603" s="71" t="str">
        <f aca="false">IF(A603="","",IFERROR(INDEX(السندات!$D$5:$D$504,MATCH(A603,السندات!$A$5:$A$504,0)),""))</f>
        <v/>
      </c>
      <c r="J603" s="72" t="str">
        <f aca="false">IF(A603="","",IF(ISNA(MATCH(A603,السندات!$A$5:$A$504,0)),"رقم سند غير موجود ✘",IF(AND(F603&lt;&gt;"",G603&lt;&gt;""),"اكتب مدين أو دائن فقط ✘",IF(AND(N(F603)=0,N(G603)=0),"بدون مبلغ ⚠",IF(B603&gt;12,"يتجاوز 12 بنداً في الطباعة ⚠","")))))</f>
        <v/>
      </c>
    </row>
    <row r="604" customFormat="false" ht="15" hidden="false" customHeight="false" outlineLevel="0" collapsed="false">
      <c r="A604" s="58"/>
      <c r="B604" s="73" t="str">
        <f aca="false">IF(A604="","",COUNTIF(A$5:A604,A604))</f>
        <v/>
      </c>
      <c r="C604" s="73" t="str">
        <f aca="false">IF(A604="","",A604&amp;"-"&amp;B604)</f>
        <v/>
      </c>
      <c r="D604" s="58"/>
      <c r="E604" s="57"/>
      <c r="F604" s="69"/>
      <c r="G604" s="69"/>
      <c r="H604" s="74" t="str">
        <f aca="false">IF(A604="","",IFERROR(INDEX(السندات!$C$5:$C$504,MATCH(A604,السندات!$A$5:$A$504,0)),""))</f>
        <v/>
      </c>
      <c r="I604" s="75" t="str">
        <f aca="false">IF(A604="","",IFERROR(INDEX(السندات!$D$5:$D$504,MATCH(A604,السندات!$A$5:$A$504,0)),""))</f>
        <v/>
      </c>
      <c r="J604" s="76" t="str">
        <f aca="false">IF(A604="","",IF(ISNA(MATCH(A604,السندات!$A$5:$A$504,0)),"رقم سند غير موجود ✘",IF(AND(F604&lt;&gt;"",G604&lt;&gt;""),"اكتب مدين أو دائن فقط ✘",IF(AND(N(F604)=0,N(G604)=0),"بدون مبلغ ⚠",IF(B604&gt;12,"يتجاوز 12 بنداً في الطباعة ⚠","")))))</f>
        <v/>
      </c>
    </row>
    <row r="605" customFormat="false" ht="15" hidden="false" customHeight="false" outlineLevel="0" collapsed="false">
      <c r="A605" s="58"/>
      <c r="B605" s="68" t="str">
        <f aca="false">IF(A605="","",COUNTIF(A$5:A605,A605))</f>
        <v/>
      </c>
      <c r="C605" s="68" t="str">
        <f aca="false">IF(A605="","",A605&amp;"-"&amp;B605)</f>
        <v/>
      </c>
      <c r="D605" s="58"/>
      <c r="E605" s="57"/>
      <c r="F605" s="69"/>
      <c r="G605" s="69"/>
      <c r="H605" s="70" t="str">
        <f aca="false">IF(A605="","",IFERROR(INDEX(السندات!$C$5:$C$504,MATCH(A605,السندات!$A$5:$A$504,0)),""))</f>
        <v/>
      </c>
      <c r="I605" s="71" t="str">
        <f aca="false">IF(A605="","",IFERROR(INDEX(السندات!$D$5:$D$504,MATCH(A605,السندات!$A$5:$A$504,0)),""))</f>
        <v/>
      </c>
      <c r="J605" s="72" t="str">
        <f aca="false">IF(A605="","",IF(ISNA(MATCH(A605,السندات!$A$5:$A$504,0)),"رقم سند غير موجود ✘",IF(AND(F605&lt;&gt;"",G605&lt;&gt;""),"اكتب مدين أو دائن فقط ✘",IF(AND(N(F605)=0,N(G605)=0),"بدون مبلغ ⚠",IF(B605&gt;12,"يتجاوز 12 بنداً في الطباعة ⚠","")))))</f>
        <v/>
      </c>
    </row>
    <row r="606" customFormat="false" ht="15" hidden="false" customHeight="false" outlineLevel="0" collapsed="false">
      <c r="A606" s="58"/>
      <c r="B606" s="73" t="str">
        <f aca="false">IF(A606="","",COUNTIF(A$5:A606,A606))</f>
        <v/>
      </c>
      <c r="C606" s="73" t="str">
        <f aca="false">IF(A606="","",A606&amp;"-"&amp;B606)</f>
        <v/>
      </c>
      <c r="D606" s="58"/>
      <c r="E606" s="57"/>
      <c r="F606" s="69"/>
      <c r="G606" s="69"/>
      <c r="H606" s="74" t="str">
        <f aca="false">IF(A606="","",IFERROR(INDEX(السندات!$C$5:$C$504,MATCH(A606,السندات!$A$5:$A$504,0)),""))</f>
        <v/>
      </c>
      <c r="I606" s="75" t="str">
        <f aca="false">IF(A606="","",IFERROR(INDEX(السندات!$D$5:$D$504,MATCH(A606,السندات!$A$5:$A$504,0)),""))</f>
        <v/>
      </c>
      <c r="J606" s="76" t="str">
        <f aca="false">IF(A606="","",IF(ISNA(MATCH(A606,السندات!$A$5:$A$504,0)),"رقم سند غير موجود ✘",IF(AND(F606&lt;&gt;"",G606&lt;&gt;""),"اكتب مدين أو دائن فقط ✘",IF(AND(N(F606)=0,N(G606)=0),"بدون مبلغ ⚠",IF(B606&gt;12,"يتجاوز 12 بنداً في الطباعة ⚠","")))))</f>
        <v/>
      </c>
    </row>
    <row r="607" customFormat="false" ht="15" hidden="false" customHeight="false" outlineLevel="0" collapsed="false">
      <c r="A607" s="58"/>
      <c r="B607" s="68" t="str">
        <f aca="false">IF(A607="","",COUNTIF(A$5:A607,A607))</f>
        <v/>
      </c>
      <c r="C607" s="68" t="str">
        <f aca="false">IF(A607="","",A607&amp;"-"&amp;B607)</f>
        <v/>
      </c>
      <c r="D607" s="58"/>
      <c r="E607" s="57"/>
      <c r="F607" s="69"/>
      <c r="G607" s="69"/>
      <c r="H607" s="70" t="str">
        <f aca="false">IF(A607="","",IFERROR(INDEX(السندات!$C$5:$C$504,MATCH(A607,السندات!$A$5:$A$504,0)),""))</f>
        <v/>
      </c>
      <c r="I607" s="71" t="str">
        <f aca="false">IF(A607="","",IFERROR(INDEX(السندات!$D$5:$D$504,MATCH(A607,السندات!$A$5:$A$504,0)),""))</f>
        <v/>
      </c>
      <c r="J607" s="72" t="str">
        <f aca="false">IF(A607="","",IF(ISNA(MATCH(A607,السندات!$A$5:$A$504,0)),"رقم سند غير موجود ✘",IF(AND(F607&lt;&gt;"",G607&lt;&gt;""),"اكتب مدين أو دائن فقط ✘",IF(AND(N(F607)=0,N(G607)=0),"بدون مبلغ ⚠",IF(B607&gt;12,"يتجاوز 12 بنداً في الطباعة ⚠","")))))</f>
        <v/>
      </c>
    </row>
    <row r="608" customFormat="false" ht="15" hidden="false" customHeight="false" outlineLevel="0" collapsed="false">
      <c r="A608" s="58"/>
      <c r="B608" s="73" t="str">
        <f aca="false">IF(A608="","",COUNTIF(A$5:A608,A608))</f>
        <v/>
      </c>
      <c r="C608" s="73" t="str">
        <f aca="false">IF(A608="","",A608&amp;"-"&amp;B608)</f>
        <v/>
      </c>
      <c r="D608" s="58"/>
      <c r="E608" s="57"/>
      <c r="F608" s="69"/>
      <c r="G608" s="69"/>
      <c r="H608" s="74" t="str">
        <f aca="false">IF(A608="","",IFERROR(INDEX(السندات!$C$5:$C$504,MATCH(A608,السندات!$A$5:$A$504,0)),""))</f>
        <v/>
      </c>
      <c r="I608" s="75" t="str">
        <f aca="false">IF(A608="","",IFERROR(INDEX(السندات!$D$5:$D$504,MATCH(A608,السندات!$A$5:$A$504,0)),""))</f>
        <v/>
      </c>
      <c r="J608" s="76" t="str">
        <f aca="false">IF(A608="","",IF(ISNA(MATCH(A608,السندات!$A$5:$A$504,0)),"رقم سند غير موجود ✘",IF(AND(F608&lt;&gt;"",G608&lt;&gt;""),"اكتب مدين أو دائن فقط ✘",IF(AND(N(F608)=0,N(G608)=0),"بدون مبلغ ⚠",IF(B608&gt;12,"يتجاوز 12 بنداً في الطباعة ⚠","")))))</f>
        <v/>
      </c>
    </row>
    <row r="609" customFormat="false" ht="15" hidden="false" customHeight="false" outlineLevel="0" collapsed="false">
      <c r="A609" s="58"/>
      <c r="B609" s="68" t="str">
        <f aca="false">IF(A609="","",COUNTIF(A$5:A609,A609))</f>
        <v/>
      </c>
      <c r="C609" s="68" t="str">
        <f aca="false">IF(A609="","",A609&amp;"-"&amp;B609)</f>
        <v/>
      </c>
      <c r="D609" s="58"/>
      <c r="E609" s="57"/>
      <c r="F609" s="69"/>
      <c r="G609" s="69"/>
      <c r="H609" s="70" t="str">
        <f aca="false">IF(A609="","",IFERROR(INDEX(السندات!$C$5:$C$504,MATCH(A609,السندات!$A$5:$A$504,0)),""))</f>
        <v/>
      </c>
      <c r="I609" s="71" t="str">
        <f aca="false">IF(A609="","",IFERROR(INDEX(السندات!$D$5:$D$504,MATCH(A609,السندات!$A$5:$A$504,0)),""))</f>
        <v/>
      </c>
      <c r="J609" s="72" t="str">
        <f aca="false">IF(A609="","",IF(ISNA(MATCH(A609,السندات!$A$5:$A$504,0)),"رقم سند غير موجود ✘",IF(AND(F609&lt;&gt;"",G609&lt;&gt;""),"اكتب مدين أو دائن فقط ✘",IF(AND(N(F609)=0,N(G609)=0),"بدون مبلغ ⚠",IF(B609&gt;12,"يتجاوز 12 بنداً في الطباعة ⚠","")))))</f>
        <v/>
      </c>
    </row>
    <row r="610" customFormat="false" ht="15" hidden="false" customHeight="false" outlineLevel="0" collapsed="false">
      <c r="A610" s="58"/>
      <c r="B610" s="73" t="str">
        <f aca="false">IF(A610="","",COUNTIF(A$5:A610,A610))</f>
        <v/>
      </c>
      <c r="C610" s="73" t="str">
        <f aca="false">IF(A610="","",A610&amp;"-"&amp;B610)</f>
        <v/>
      </c>
      <c r="D610" s="58"/>
      <c r="E610" s="57"/>
      <c r="F610" s="69"/>
      <c r="G610" s="69"/>
      <c r="H610" s="74" t="str">
        <f aca="false">IF(A610="","",IFERROR(INDEX(السندات!$C$5:$C$504,MATCH(A610,السندات!$A$5:$A$504,0)),""))</f>
        <v/>
      </c>
      <c r="I610" s="75" t="str">
        <f aca="false">IF(A610="","",IFERROR(INDEX(السندات!$D$5:$D$504,MATCH(A610,السندات!$A$5:$A$504,0)),""))</f>
        <v/>
      </c>
      <c r="J610" s="76" t="str">
        <f aca="false">IF(A610="","",IF(ISNA(MATCH(A610,السندات!$A$5:$A$504,0)),"رقم سند غير موجود ✘",IF(AND(F610&lt;&gt;"",G610&lt;&gt;""),"اكتب مدين أو دائن فقط ✘",IF(AND(N(F610)=0,N(G610)=0),"بدون مبلغ ⚠",IF(B610&gt;12,"يتجاوز 12 بنداً في الطباعة ⚠","")))))</f>
        <v/>
      </c>
    </row>
    <row r="611" customFormat="false" ht="15" hidden="false" customHeight="false" outlineLevel="0" collapsed="false">
      <c r="A611" s="58"/>
      <c r="B611" s="68" t="str">
        <f aca="false">IF(A611="","",COUNTIF(A$5:A611,A611))</f>
        <v/>
      </c>
      <c r="C611" s="68" t="str">
        <f aca="false">IF(A611="","",A611&amp;"-"&amp;B611)</f>
        <v/>
      </c>
      <c r="D611" s="58"/>
      <c r="E611" s="57"/>
      <c r="F611" s="69"/>
      <c r="G611" s="69"/>
      <c r="H611" s="70" t="str">
        <f aca="false">IF(A611="","",IFERROR(INDEX(السندات!$C$5:$C$504,MATCH(A611,السندات!$A$5:$A$504,0)),""))</f>
        <v/>
      </c>
      <c r="I611" s="71" t="str">
        <f aca="false">IF(A611="","",IFERROR(INDEX(السندات!$D$5:$D$504,MATCH(A611,السندات!$A$5:$A$504,0)),""))</f>
        <v/>
      </c>
      <c r="J611" s="72" t="str">
        <f aca="false">IF(A611="","",IF(ISNA(MATCH(A611,السندات!$A$5:$A$504,0)),"رقم سند غير موجود ✘",IF(AND(F611&lt;&gt;"",G611&lt;&gt;""),"اكتب مدين أو دائن فقط ✘",IF(AND(N(F611)=0,N(G611)=0),"بدون مبلغ ⚠",IF(B611&gt;12,"يتجاوز 12 بنداً في الطباعة ⚠","")))))</f>
        <v/>
      </c>
    </row>
    <row r="612" customFormat="false" ht="15" hidden="false" customHeight="false" outlineLevel="0" collapsed="false">
      <c r="A612" s="58"/>
      <c r="B612" s="73" t="str">
        <f aca="false">IF(A612="","",COUNTIF(A$5:A612,A612))</f>
        <v/>
      </c>
      <c r="C612" s="73" t="str">
        <f aca="false">IF(A612="","",A612&amp;"-"&amp;B612)</f>
        <v/>
      </c>
      <c r="D612" s="58"/>
      <c r="E612" s="57"/>
      <c r="F612" s="69"/>
      <c r="G612" s="69"/>
      <c r="H612" s="74" t="str">
        <f aca="false">IF(A612="","",IFERROR(INDEX(السندات!$C$5:$C$504,MATCH(A612,السندات!$A$5:$A$504,0)),""))</f>
        <v/>
      </c>
      <c r="I612" s="75" t="str">
        <f aca="false">IF(A612="","",IFERROR(INDEX(السندات!$D$5:$D$504,MATCH(A612,السندات!$A$5:$A$504,0)),""))</f>
        <v/>
      </c>
      <c r="J612" s="76" t="str">
        <f aca="false">IF(A612="","",IF(ISNA(MATCH(A612,السندات!$A$5:$A$504,0)),"رقم سند غير موجود ✘",IF(AND(F612&lt;&gt;"",G612&lt;&gt;""),"اكتب مدين أو دائن فقط ✘",IF(AND(N(F612)=0,N(G612)=0),"بدون مبلغ ⚠",IF(B612&gt;12,"يتجاوز 12 بنداً في الطباعة ⚠","")))))</f>
        <v/>
      </c>
    </row>
    <row r="613" customFormat="false" ht="15" hidden="false" customHeight="false" outlineLevel="0" collapsed="false">
      <c r="A613" s="58"/>
      <c r="B613" s="68" t="str">
        <f aca="false">IF(A613="","",COUNTIF(A$5:A613,A613))</f>
        <v/>
      </c>
      <c r="C613" s="68" t="str">
        <f aca="false">IF(A613="","",A613&amp;"-"&amp;B613)</f>
        <v/>
      </c>
      <c r="D613" s="58"/>
      <c r="E613" s="57"/>
      <c r="F613" s="69"/>
      <c r="G613" s="69"/>
      <c r="H613" s="70" t="str">
        <f aca="false">IF(A613="","",IFERROR(INDEX(السندات!$C$5:$C$504,MATCH(A613,السندات!$A$5:$A$504,0)),""))</f>
        <v/>
      </c>
      <c r="I613" s="71" t="str">
        <f aca="false">IF(A613="","",IFERROR(INDEX(السندات!$D$5:$D$504,MATCH(A613,السندات!$A$5:$A$504,0)),""))</f>
        <v/>
      </c>
      <c r="J613" s="72" t="str">
        <f aca="false">IF(A613="","",IF(ISNA(MATCH(A613,السندات!$A$5:$A$504,0)),"رقم سند غير موجود ✘",IF(AND(F613&lt;&gt;"",G613&lt;&gt;""),"اكتب مدين أو دائن فقط ✘",IF(AND(N(F613)=0,N(G613)=0),"بدون مبلغ ⚠",IF(B613&gt;12,"يتجاوز 12 بنداً في الطباعة ⚠","")))))</f>
        <v/>
      </c>
    </row>
    <row r="614" customFormat="false" ht="15" hidden="false" customHeight="false" outlineLevel="0" collapsed="false">
      <c r="A614" s="58"/>
      <c r="B614" s="73" t="str">
        <f aca="false">IF(A614="","",COUNTIF(A$5:A614,A614))</f>
        <v/>
      </c>
      <c r="C614" s="73" t="str">
        <f aca="false">IF(A614="","",A614&amp;"-"&amp;B614)</f>
        <v/>
      </c>
      <c r="D614" s="58"/>
      <c r="E614" s="57"/>
      <c r="F614" s="69"/>
      <c r="G614" s="69"/>
      <c r="H614" s="74" t="str">
        <f aca="false">IF(A614="","",IFERROR(INDEX(السندات!$C$5:$C$504,MATCH(A614,السندات!$A$5:$A$504,0)),""))</f>
        <v/>
      </c>
      <c r="I614" s="75" t="str">
        <f aca="false">IF(A614="","",IFERROR(INDEX(السندات!$D$5:$D$504,MATCH(A614,السندات!$A$5:$A$504,0)),""))</f>
        <v/>
      </c>
      <c r="J614" s="76" t="str">
        <f aca="false">IF(A614="","",IF(ISNA(MATCH(A614,السندات!$A$5:$A$504,0)),"رقم سند غير موجود ✘",IF(AND(F614&lt;&gt;"",G614&lt;&gt;""),"اكتب مدين أو دائن فقط ✘",IF(AND(N(F614)=0,N(G614)=0),"بدون مبلغ ⚠",IF(B614&gt;12,"يتجاوز 12 بنداً في الطباعة ⚠","")))))</f>
        <v/>
      </c>
    </row>
    <row r="615" customFormat="false" ht="15" hidden="false" customHeight="false" outlineLevel="0" collapsed="false">
      <c r="A615" s="58"/>
      <c r="B615" s="68" t="str">
        <f aca="false">IF(A615="","",COUNTIF(A$5:A615,A615))</f>
        <v/>
      </c>
      <c r="C615" s="68" t="str">
        <f aca="false">IF(A615="","",A615&amp;"-"&amp;B615)</f>
        <v/>
      </c>
      <c r="D615" s="58"/>
      <c r="E615" s="57"/>
      <c r="F615" s="69"/>
      <c r="G615" s="69"/>
      <c r="H615" s="70" t="str">
        <f aca="false">IF(A615="","",IFERROR(INDEX(السندات!$C$5:$C$504,MATCH(A615,السندات!$A$5:$A$504,0)),""))</f>
        <v/>
      </c>
      <c r="I615" s="71" t="str">
        <f aca="false">IF(A615="","",IFERROR(INDEX(السندات!$D$5:$D$504,MATCH(A615,السندات!$A$5:$A$504,0)),""))</f>
        <v/>
      </c>
      <c r="J615" s="72" t="str">
        <f aca="false">IF(A615="","",IF(ISNA(MATCH(A615,السندات!$A$5:$A$504,0)),"رقم سند غير موجود ✘",IF(AND(F615&lt;&gt;"",G615&lt;&gt;""),"اكتب مدين أو دائن فقط ✘",IF(AND(N(F615)=0,N(G615)=0),"بدون مبلغ ⚠",IF(B615&gt;12,"يتجاوز 12 بنداً في الطباعة ⚠","")))))</f>
        <v/>
      </c>
    </row>
    <row r="616" customFormat="false" ht="15" hidden="false" customHeight="false" outlineLevel="0" collapsed="false">
      <c r="A616" s="58"/>
      <c r="B616" s="73" t="str">
        <f aca="false">IF(A616="","",COUNTIF(A$5:A616,A616))</f>
        <v/>
      </c>
      <c r="C616" s="73" t="str">
        <f aca="false">IF(A616="","",A616&amp;"-"&amp;B616)</f>
        <v/>
      </c>
      <c r="D616" s="58"/>
      <c r="E616" s="57"/>
      <c r="F616" s="69"/>
      <c r="G616" s="69"/>
      <c r="H616" s="74" t="str">
        <f aca="false">IF(A616="","",IFERROR(INDEX(السندات!$C$5:$C$504,MATCH(A616,السندات!$A$5:$A$504,0)),""))</f>
        <v/>
      </c>
      <c r="I616" s="75" t="str">
        <f aca="false">IF(A616="","",IFERROR(INDEX(السندات!$D$5:$D$504,MATCH(A616,السندات!$A$5:$A$504,0)),""))</f>
        <v/>
      </c>
      <c r="J616" s="76" t="str">
        <f aca="false">IF(A616="","",IF(ISNA(MATCH(A616,السندات!$A$5:$A$504,0)),"رقم سند غير موجود ✘",IF(AND(F616&lt;&gt;"",G616&lt;&gt;""),"اكتب مدين أو دائن فقط ✘",IF(AND(N(F616)=0,N(G616)=0),"بدون مبلغ ⚠",IF(B616&gt;12,"يتجاوز 12 بنداً في الطباعة ⚠","")))))</f>
        <v/>
      </c>
    </row>
    <row r="617" customFormat="false" ht="15" hidden="false" customHeight="false" outlineLevel="0" collapsed="false">
      <c r="A617" s="58"/>
      <c r="B617" s="68" t="str">
        <f aca="false">IF(A617="","",COUNTIF(A$5:A617,A617))</f>
        <v/>
      </c>
      <c r="C617" s="68" t="str">
        <f aca="false">IF(A617="","",A617&amp;"-"&amp;B617)</f>
        <v/>
      </c>
      <c r="D617" s="58"/>
      <c r="E617" s="57"/>
      <c r="F617" s="69"/>
      <c r="G617" s="69"/>
      <c r="H617" s="70" t="str">
        <f aca="false">IF(A617="","",IFERROR(INDEX(السندات!$C$5:$C$504,MATCH(A617,السندات!$A$5:$A$504,0)),""))</f>
        <v/>
      </c>
      <c r="I617" s="71" t="str">
        <f aca="false">IF(A617="","",IFERROR(INDEX(السندات!$D$5:$D$504,MATCH(A617,السندات!$A$5:$A$504,0)),""))</f>
        <v/>
      </c>
      <c r="J617" s="72" t="str">
        <f aca="false">IF(A617="","",IF(ISNA(MATCH(A617,السندات!$A$5:$A$504,0)),"رقم سند غير موجود ✘",IF(AND(F617&lt;&gt;"",G617&lt;&gt;""),"اكتب مدين أو دائن فقط ✘",IF(AND(N(F617)=0,N(G617)=0),"بدون مبلغ ⚠",IF(B617&gt;12,"يتجاوز 12 بنداً في الطباعة ⚠","")))))</f>
        <v/>
      </c>
    </row>
    <row r="618" customFormat="false" ht="15" hidden="false" customHeight="false" outlineLevel="0" collapsed="false">
      <c r="A618" s="58"/>
      <c r="B618" s="73" t="str">
        <f aca="false">IF(A618="","",COUNTIF(A$5:A618,A618))</f>
        <v/>
      </c>
      <c r="C618" s="73" t="str">
        <f aca="false">IF(A618="","",A618&amp;"-"&amp;B618)</f>
        <v/>
      </c>
      <c r="D618" s="58"/>
      <c r="E618" s="57"/>
      <c r="F618" s="69"/>
      <c r="G618" s="69"/>
      <c r="H618" s="74" t="str">
        <f aca="false">IF(A618="","",IFERROR(INDEX(السندات!$C$5:$C$504,MATCH(A618,السندات!$A$5:$A$504,0)),""))</f>
        <v/>
      </c>
      <c r="I618" s="75" t="str">
        <f aca="false">IF(A618="","",IFERROR(INDEX(السندات!$D$5:$D$504,MATCH(A618,السندات!$A$5:$A$504,0)),""))</f>
        <v/>
      </c>
      <c r="J618" s="76" t="str">
        <f aca="false">IF(A618="","",IF(ISNA(MATCH(A618,السندات!$A$5:$A$504,0)),"رقم سند غير موجود ✘",IF(AND(F618&lt;&gt;"",G618&lt;&gt;""),"اكتب مدين أو دائن فقط ✘",IF(AND(N(F618)=0,N(G618)=0),"بدون مبلغ ⚠",IF(B618&gt;12,"يتجاوز 12 بنداً في الطباعة ⚠","")))))</f>
        <v/>
      </c>
    </row>
    <row r="619" customFormat="false" ht="15" hidden="false" customHeight="false" outlineLevel="0" collapsed="false">
      <c r="A619" s="58"/>
      <c r="B619" s="68" t="str">
        <f aca="false">IF(A619="","",COUNTIF(A$5:A619,A619))</f>
        <v/>
      </c>
      <c r="C619" s="68" t="str">
        <f aca="false">IF(A619="","",A619&amp;"-"&amp;B619)</f>
        <v/>
      </c>
      <c r="D619" s="58"/>
      <c r="E619" s="57"/>
      <c r="F619" s="69"/>
      <c r="G619" s="69"/>
      <c r="H619" s="70" t="str">
        <f aca="false">IF(A619="","",IFERROR(INDEX(السندات!$C$5:$C$504,MATCH(A619,السندات!$A$5:$A$504,0)),""))</f>
        <v/>
      </c>
      <c r="I619" s="71" t="str">
        <f aca="false">IF(A619="","",IFERROR(INDEX(السندات!$D$5:$D$504,MATCH(A619,السندات!$A$5:$A$504,0)),""))</f>
        <v/>
      </c>
      <c r="J619" s="72" t="str">
        <f aca="false">IF(A619="","",IF(ISNA(MATCH(A619,السندات!$A$5:$A$504,0)),"رقم سند غير موجود ✘",IF(AND(F619&lt;&gt;"",G619&lt;&gt;""),"اكتب مدين أو دائن فقط ✘",IF(AND(N(F619)=0,N(G619)=0),"بدون مبلغ ⚠",IF(B619&gt;12,"يتجاوز 12 بنداً في الطباعة ⚠","")))))</f>
        <v/>
      </c>
    </row>
    <row r="620" customFormat="false" ht="15" hidden="false" customHeight="false" outlineLevel="0" collapsed="false">
      <c r="A620" s="58"/>
      <c r="B620" s="73" t="str">
        <f aca="false">IF(A620="","",COUNTIF(A$5:A620,A620))</f>
        <v/>
      </c>
      <c r="C620" s="73" t="str">
        <f aca="false">IF(A620="","",A620&amp;"-"&amp;B620)</f>
        <v/>
      </c>
      <c r="D620" s="58"/>
      <c r="E620" s="57"/>
      <c r="F620" s="69"/>
      <c r="G620" s="69"/>
      <c r="H620" s="74" t="str">
        <f aca="false">IF(A620="","",IFERROR(INDEX(السندات!$C$5:$C$504,MATCH(A620,السندات!$A$5:$A$504,0)),""))</f>
        <v/>
      </c>
      <c r="I620" s="75" t="str">
        <f aca="false">IF(A620="","",IFERROR(INDEX(السندات!$D$5:$D$504,MATCH(A620,السندات!$A$5:$A$504,0)),""))</f>
        <v/>
      </c>
      <c r="J620" s="76" t="str">
        <f aca="false">IF(A620="","",IF(ISNA(MATCH(A620,السندات!$A$5:$A$504,0)),"رقم سند غير موجود ✘",IF(AND(F620&lt;&gt;"",G620&lt;&gt;""),"اكتب مدين أو دائن فقط ✘",IF(AND(N(F620)=0,N(G620)=0),"بدون مبلغ ⚠",IF(B620&gt;12,"يتجاوز 12 بنداً في الطباعة ⚠","")))))</f>
        <v/>
      </c>
    </row>
    <row r="621" customFormat="false" ht="15" hidden="false" customHeight="false" outlineLevel="0" collapsed="false">
      <c r="A621" s="58"/>
      <c r="B621" s="68" t="str">
        <f aca="false">IF(A621="","",COUNTIF(A$5:A621,A621))</f>
        <v/>
      </c>
      <c r="C621" s="68" t="str">
        <f aca="false">IF(A621="","",A621&amp;"-"&amp;B621)</f>
        <v/>
      </c>
      <c r="D621" s="58"/>
      <c r="E621" s="57"/>
      <c r="F621" s="69"/>
      <c r="G621" s="69"/>
      <c r="H621" s="70" t="str">
        <f aca="false">IF(A621="","",IFERROR(INDEX(السندات!$C$5:$C$504,MATCH(A621,السندات!$A$5:$A$504,0)),""))</f>
        <v/>
      </c>
      <c r="I621" s="71" t="str">
        <f aca="false">IF(A621="","",IFERROR(INDEX(السندات!$D$5:$D$504,MATCH(A621,السندات!$A$5:$A$504,0)),""))</f>
        <v/>
      </c>
      <c r="J621" s="72" t="str">
        <f aca="false">IF(A621="","",IF(ISNA(MATCH(A621,السندات!$A$5:$A$504,0)),"رقم سند غير موجود ✘",IF(AND(F621&lt;&gt;"",G621&lt;&gt;""),"اكتب مدين أو دائن فقط ✘",IF(AND(N(F621)=0,N(G621)=0),"بدون مبلغ ⚠",IF(B621&gt;12,"يتجاوز 12 بنداً في الطباعة ⚠","")))))</f>
        <v/>
      </c>
    </row>
    <row r="622" customFormat="false" ht="15" hidden="false" customHeight="false" outlineLevel="0" collapsed="false">
      <c r="A622" s="58"/>
      <c r="B622" s="73" t="str">
        <f aca="false">IF(A622="","",COUNTIF(A$5:A622,A622))</f>
        <v/>
      </c>
      <c r="C622" s="73" t="str">
        <f aca="false">IF(A622="","",A622&amp;"-"&amp;B622)</f>
        <v/>
      </c>
      <c r="D622" s="58"/>
      <c r="E622" s="57"/>
      <c r="F622" s="69"/>
      <c r="G622" s="69"/>
      <c r="H622" s="74" t="str">
        <f aca="false">IF(A622="","",IFERROR(INDEX(السندات!$C$5:$C$504,MATCH(A622,السندات!$A$5:$A$504,0)),""))</f>
        <v/>
      </c>
      <c r="I622" s="75" t="str">
        <f aca="false">IF(A622="","",IFERROR(INDEX(السندات!$D$5:$D$504,MATCH(A622,السندات!$A$5:$A$504,0)),""))</f>
        <v/>
      </c>
      <c r="J622" s="76" t="str">
        <f aca="false">IF(A622="","",IF(ISNA(MATCH(A622,السندات!$A$5:$A$504,0)),"رقم سند غير موجود ✘",IF(AND(F622&lt;&gt;"",G622&lt;&gt;""),"اكتب مدين أو دائن فقط ✘",IF(AND(N(F622)=0,N(G622)=0),"بدون مبلغ ⚠",IF(B622&gt;12,"يتجاوز 12 بنداً في الطباعة ⚠","")))))</f>
        <v/>
      </c>
    </row>
    <row r="623" customFormat="false" ht="15" hidden="false" customHeight="false" outlineLevel="0" collapsed="false">
      <c r="A623" s="58"/>
      <c r="B623" s="68" t="str">
        <f aca="false">IF(A623="","",COUNTIF(A$5:A623,A623))</f>
        <v/>
      </c>
      <c r="C623" s="68" t="str">
        <f aca="false">IF(A623="","",A623&amp;"-"&amp;B623)</f>
        <v/>
      </c>
      <c r="D623" s="58"/>
      <c r="E623" s="57"/>
      <c r="F623" s="69"/>
      <c r="G623" s="69"/>
      <c r="H623" s="70" t="str">
        <f aca="false">IF(A623="","",IFERROR(INDEX(السندات!$C$5:$C$504,MATCH(A623,السندات!$A$5:$A$504,0)),""))</f>
        <v/>
      </c>
      <c r="I623" s="71" t="str">
        <f aca="false">IF(A623="","",IFERROR(INDEX(السندات!$D$5:$D$504,MATCH(A623,السندات!$A$5:$A$504,0)),""))</f>
        <v/>
      </c>
      <c r="J623" s="72" t="str">
        <f aca="false">IF(A623="","",IF(ISNA(MATCH(A623,السندات!$A$5:$A$504,0)),"رقم سند غير موجود ✘",IF(AND(F623&lt;&gt;"",G623&lt;&gt;""),"اكتب مدين أو دائن فقط ✘",IF(AND(N(F623)=0,N(G623)=0),"بدون مبلغ ⚠",IF(B623&gt;12,"يتجاوز 12 بنداً في الطباعة ⚠","")))))</f>
        <v/>
      </c>
    </row>
    <row r="624" customFormat="false" ht="15" hidden="false" customHeight="false" outlineLevel="0" collapsed="false">
      <c r="A624" s="58"/>
      <c r="B624" s="73" t="str">
        <f aca="false">IF(A624="","",COUNTIF(A$5:A624,A624))</f>
        <v/>
      </c>
      <c r="C624" s="73" t="str">
        <f aca="false">IF(A624="","",A624&amp;"-"&amp;B624)</f>
        <v/>
      </c>
      <c r="D624" s="58"/>
      <c r="E624" s="57"/>
      <c r="F624" s="69"/>
      <c r="G624" s="69"/>
      <c r="H624" s="74" t="str">
        <f aca="false">IF(A624="","",IFERROR(INDEX(السندات!$C$5:$C$504,MATCH(A624,السندات!$A$5:$A$504,0)),""))</f>
        <v/>
      </c>
      <c r="I624" s="75" t="str">
        <f aca="false">IF(A624="","",IFERROR(INDEX(السندات!$D$5:$D$504,MATCH(A624,السندات!$A$5:$A$504,0)),""))</f>
        <v/>
      </c>
      <c r="J624" s="76" t="str">
        <f aca="false">IF(A624="","",IF(ISNA(MATCH(A624,السندات!$A$5:$A$504,0)),"رقم سند غير موجود ✘",IF(AND(F624&lt;&gt;"",G624&lt;&gt;""),"اكتب مدين أو دائن فقط ✘",IF(AND(N(F624)=0,N(G624)=0),"بدون مبلغ ⚠",IF(B624&gt;12,"يتجاوز 12 بنداً في الطباعة ⚠","")))))</f>
        <v/>
      </c>
    </row>
    <row r="625" customFormat="false" ht="15" hidden="false" customHeight="false" outlineLevel="0" collapsed="false">
      <c r="A625" s="58"/>
      <c r="B625" s="68" t="str">
        <f aca="false">IF(A625="","",COUNTIF(A$5:A625,A625))</f>
        <v/>
      </c>
      <c r="C625" s="68" t="str">
        <f aca="false">IF(A625="","",A625&amp;"-"&amp;B625)</f>
        <v/>
      </c>
      <c r="D625" s="58"/>
      <c r="E625" s="57"/>
      <c r="F625" s="69"/>
      <c r="G625" s="69"/>
      <c r="H625" s="70" t="str">
        <f aca="false">IF(A625="","",IFERROR(INDEX(السندات!$C$5:$C$504,MATCH(A625,السندات!$A$5:$A$504,0)),""))</f>
        <v/>
      </c>
      <c r="I625" s="71" t="str">
        <f aca="false">IF(A625="","",IFERROR(INDEX(السندات!$D$5:$D$504,MATCH(A625,السندات!$A$5:$A$504,0)),""))</f>
        <v/>
      </c>
      <c r="J625" s="72" t="str">
        <f aca="false">IF(A625="","",IF(ISNA(MATCH(A625,السندات!$A$5:$A$504,0)),"رقم سند غير موجود ✘",IF(AND(F625&lt;&gt;"",G625&lt;&gt;""),"اكتب مدين أو دائن فقط ✘",IF(AND(N(F625)=0,N(G625)=0),"بدون مبلغ ⚠",IF(B625&gt;12,"يتجاوز 12 بنداً في الطباعة ⚠","")))))</f>
        <v/>
      </c>
    </row>
    <row r="626" customFormat="false" ht="15" hidden="false" customHeight="false" outlineLevel="0" collapsed="false">
      <c r="A626" s="58"/>
      <c r="B626" s="73" t="str">
        <f aca="false">IF(A626="","",COUNTIF(A$5:A626,A626))</f>
        <v/>
      </c>
      <c r="C626" s="73" t="str">
        <f aca="false">IF(A626="","",A626&amp;"-"&amp;B626)</f>
        <v/>
      </c>
      <c r="D626" s="58"/>
      <c r="E626" s="57"/>
      <c r="F626" s="69"/>
      <c r="G626" s="69"/>
      <c r="H626" s="74" t="str">
        <f aca="false">IF(A626="","",IFERROR(INDEX(السندات!$C$5:$C$504,MATCH(A626,السندات!$A$5:$A$504,0)),""))</f>
        <v/>
      </c>
      <c r="I626" s="75" t="str">
        <f aca="false">IF(A626="","",IFERROR(INDEX(السندات!$D$5:$D$504,MATCH(A626,السندات!$A$5:$A$504,0)),""))</f>
        <v/>
      </c>
      <c r="J626" s="76" t="str">
        <f aca="false">IF(A626="","",IF(ISNA(MATCH(A626,السندات!$A$5:$A$504,0)),"رقم سند غير موجود ✘",IF(AND(F626&lt;&gt;"",G626&lt;&gt;""),"اكتب مدين أو دائن فقط ✘",IF(AND(N(F626)=0,N(G626)=0),"بدون مبلغ ⚠",IF(B626&gt;12,"يتجاوز 12 بنداً في الطباعة ⚠","")))))</f>
        <v/>
      </c>
    </row>
    <row r="627" customFormat="false" ht="15" hidden="false" customHeight="false" outlineLevel="0" collapsed="false">
      <c r="A627" s="58"/>
      <c r="B627" s="68" t="str">
        <f aca="false">IF(A627="","",COUNTIF(A$5:A627,A627))</f>
        <v/>
      </c>
      <c r="C627" s="68" t="str">
        <f aca="false">IF(A627="","",A627&amp;"-"&amp;B627)</f>
        <v/>
      </c>
      <c r="D627" s="58"/>
      <c r="E627" s="57"/>
      <c r="F627" s="69"/>
      <c r="G627" s="69"/>
      <c r="H627" s="70" t="str">
        <f aca="false">IF(A627="","",IFERROR(INDEX(السندات!$C$5:$C$504,MATCH(A627,السندات!$A$5:$A$504,0)),""))</f>
        <v/>
      </c>
      <c r="I627" s="71" t="str">
        <f aca="false">IF(A627="","",IFERROR(INDEX(السندات!$D$5:$D$504,MATCH(A627,السندات!$A$5:$A$504,0)),""))</f>
        <v/>
      </c>
      <c r="J627" s="72" t="str">
        <f aca="false">IF(A627="","",IF(ISNA(MATCH(A627,السندات!$A$5:$A$504,0)),"رقم سند غير موجود ✘",IF(AND(F627&lt;&gt;"",G627&lt;&gt;""),"اكتب مدين أو دائن فقط ✘",IF(AND(N(F627)=0,N(G627)=0),"بدون مبلغ ⚠",IF(B627&gt;12,"يتجاوز 12 بنداً في الطباعة ⚠","")))))</f>
        <v/>
      </c>
    </row>
    <row r="628" customFormat="false" ht="15" hidden="false" customHeight="false" outlineLevel="0" collapsed="false">
      <c r="A628" s="58"/>
      <c r="B628" s="73" t="str">
        <f aca="false">IF(A628="","",COUNTIF(A$5:A628,A628))</f>
        <v/>
      </c>
      <c r="C628" s="73" t="str">
        <f aca="false">IF(A628="","",A628&amp;"-"&amp;B628)</f>
        <v/>
      </c>
      <c r="D628" s="58"/>
      <c r="E628" s="57"/>
      <c r="F628" s="69"/>
      <c r="G628" s="69"/>
      <c r="H628" s="74" t="str">
        <f aca="false">IF(A628="","",IFERROR(INDEX(السندات!$C$5:$C$504,MATCH(A628,السندات!$A$5:$A$504,0)),""))</f>
        <v/>
      </c>
      <c r="I628" s="75" t="str">
        <f aca="false">IF(A628="","",IFERROR(INDEX(السندات!$D$5:$D$504,MATCH(A628,السندات!$A$5:$A$504,0)),""))</f>
        <v/>
      </c>
      <c r="J628" s="76" t="str">
        <f aca="false">IF(A628="","",IF(ISNA(MATCH(A628,السندات!$A$5:$A$504,0)),"رقم سند غير موجود ✘",IF(AND(F628&lt;&gt;"",G628&lt;&gt;""),"اكتب مدين أو دائن فقط ✘",IF(AND(N(F628)=0,N(G628)=0),"بدون مبلغ ⚠",IF(B628&gt;12,"يتجاوز 12 بنداً في الطباعة ⚠","")))))</f>
        <v/>
      </c>
    </row>
    <row r="629" customFormat="false" ht="15" hidden="false" customHeight="false" outlineLevel="0" collapsed="false">
      <c r="A629" s="58"/>
      <c r="B629" s="68" t="str">
        <f aca="false">IF(A629="","",COUNTIF(A$5:A629,A629))</f>
        <v/>
      </c>
      <c r="C629" s="68" t="str">
        <f aca="false">IF(A629="","",A629&amp;"-"&amp;B629)</f>
        <v/>
      </c>
      <c r="D629" s="58"/>
      <c r="E629" s="57"/>
      <c r="F629" s="69"/>
      <c r="G629" s="69"/>
      <c r="H629" s="70" t="str">
        <f aca="false">IF(A629="","",IFERROR(INDEX(السندات!$C$5:$C$504,MATCH(A629,السندات!$A$5:$A$504,0)),""))</f>
        <v/>
      </c>
      <c r="I629" s="71" t="str">
        <f aca="false">IF(A629="","",IFERROR(INDEX(السندات!$D$5:$D$504,MATCH(A629,السندات!$A$5:$A$504,0)),""))</f>
        <v/>
      </c>
      <c r="J629" s="72" t="str">
        <f aca="false">IF(A629="","",IF(ISNA(MATCH(A629,السندات!$A$5:$A$504,0)),"رقم سند غير موجود ✘",IF(AND(F629&lt;&gt;"",G629&lt;&gt;""),"اكتب مدين أو دائن فقط ✘",IF(AND(N(F629)=0,N(G629)=0),"بدون مبلغ ⚠",IF(B629&gt;12,"يتجاوز 12 بنداً في الطباعة ⚠","")))))</f>
        <v/>
      </c>
    </row>
    <row r="630" customFormat="false" ht="15" hidden="false" customHeight="false" outlineLevel="0" collapsed="false">
      <c r="A630" s="58"/>
      <c r="B630" s="73" t="str">
        <f aca="false">IF(A630="","",COUNTIF(A$5:A630,A630))</f>
        <v/>
      </c>
      <c r="C630" s="73" t="str">
        <f aca="false">IF(A630="","",A630&amp;"-"&amp;B630)</f>
        <v/>
      </c>
      <c r="D630" s="58"/>
      <c r="E630" s="57"/>
      <c r="F630" s="69"/>
      <c r="G630" s="69"/>
      <c r="H630" s="74" t="str">
        <f aca="false">IF(A630="","",IFERROR(INDEX(السندات!$C$5:$C$504,MATCH(A630,السندات!$A$5:$A$504,0)),""))</f>
        <v/>
      </c>
      <c r="I630" s="75" t="str">
        <f aca="false">IF(A630="","",IFERROR(INDEX(السندات!$D$5:$D$504,MATCH(A630,السندات!$A$5:$A$504,0)),""))</f>
        <v/>
      </c>
      <c r="J630" s="76" t="str">
        <f aca="false">IF(A630="","",IF(ISNA(MATCH(A630,السندات!$A$5:$A$504,0)),"رقم سند غير موجود ✘",IF(AND(F630&lt;&gt;"",G630&lt;&gt;""),"اكتب مدين أو دائن فقط ✘",IF(AND(N(F630)=0,N(G630)=0),"بدون مبلغ ⚠",IF(B630&gt;12,"يتجاوز 12 بنداً في الطباعة ⚠","")))))</f>
        <v/>
      </c>
    </row>
    <row r="631" customFormat="false" ht="15" hidden="false" customHeight="false" outlineLevel="0" collapsed="false">
      <c r="A631" s="58"/>
      <c r="B631" s="68" t="str">
        <f aca="false">IF(A631="","",COUNTIF(A$5:A631,A631))</f>
        <v/>
      </c>
      <c r="C631" s="68" t="str">
        <f aca="false">IF(A631="","",A631&amp;"-"&amp;B631)</f>
        <v/>
      </c>
      <c r="D631" s="58"/>
      <c r="E631" s="57"/>
      <c r="F631" s="69"/>
      <c r="G631" s="69"/>
      <c r="H631" s="70" t="str">
        <f aca="false">IF(A631="","",IFERROR(INDEX(السندات!$C$5:$C$504,MATCH(A631,السندات!$A$5:$A$504,0)),""))</f>
        <v/>
      </c>
      <c r="I631" s="71" t="str">
        <f aca="false">IF(A631="","",IFERROR(INDEX(السندات!$D$5:$D$504,MATCH(A631,السندات!$A$5:$A$504,0)),""))</f>
        <v/>
      </c>
      <c r="J631" s="72" t="str">
        <f aca="false">IF(A631="","",IF(ISNA(MATCH(A631,السندات!$A$5:$A$504,0)),"رقم سند غير موجود ✘",IF(AND(F631&lt;&gt;"",G631&lt;&gt;""),"اكتب مدين أو دائن فقط ✘",IF(AND(N(F631)=0,N(G631)=0),"بدون مبلغ ⚠",IF(B631&gt;12,"يتجاوز 12 بنداً في الطباعة ⚠","")))))</f>
        <v/>
      </c>
    </row>
    <row r="632" customFormat="false" ht="15" hidden="false" customHeight="false" outlineLevel="0" collapsed="false">
      <c r="A632" s="58"/>
      <c r="B632" s="73" t="str">
        <f aca="false">IF(A632="","",COUNTIF(A$5:A632,A632))</f>
        <v/>
      </c>
      <c r="C632" s="73" t="str">
        <f aca="false">IF(A632="","",A632&amp;"-"&amp;B632)</f>
        <v/>
      </c>
      <c r="D632" s="58"/>
      <c r="E632" s="57"/>
      <c r="F632" s="69"/>
      <c r="G632" s="69"/>
      <c r="H632" s="74" t="str">
        <f aca="false">IF(A632="","",IFERROR(INDEX(السندات!$C$5:$C$504,MATCH(A632,السندات!$A$5:$A$504,0)),""))</f>
        <v/>
      </c>
      <c r="I632" s="75" t="str">
        <f aca="false">IF(A632="","",IFERROR(INDEX(السندات!$D$5:$D$504,MATCH(A632,السندات!$A$5:$A$504,0)),""))</f>
        <v/>
      </c>
      <c r="J632" s="76" t="str">
        <f aca="false">IF(A632="","",IF(ISNA(MATCH(A632,السندات!$A$5:$A$504,0)),"رقم سند غير موجود ✘",IF(AND(F632&lt;&gt;"",G632&lt;&gt;""),"اكتب مدين أو دائن فقط ✘",IF(AND(N(F632)=0,N(G632)=0),"بدون مبلغ ⚠",IF(B632&gt;12,"يتجاوز 12 بنداً في الطباعة ⚠","")))))</f>
        <v/>
      </c>
    </row>
    <row r="633" customFormat="false" ht="15" hidden="false" customHeight="false" outlineLevel="0" collapsed="false">
      <c r="A633" s="58"/>
      <c r="B633" s="68" t="str">
        <f aca="false">IF(A633="","",COUNTIF(A$5:A633,A633))</f>
        <v/>
      </c>
      <c r="C633" s="68" t="str">
        <f aca="false">IF(A633="","",A633&amp;"-"&amp;B633)</f>
        <v/>
      </c>
      <c r="D633" s="58"/>
      <c r="E633" s="57"/>
      <c r="F633" s="69"/>
      <c r="G633" s="69"/>
      <c r="H633" s="70" t="str">
        <f aca="false">IF(A633="","",IFERROR(INDEX(السندات!$C$5:$C$504,MATCH(A633,السندات!$A$5:$A$504,0)),""))</f>
        <v/>
      </c>
      <c r="I633" s="71" t="str">
        <f aca="false">IF(A633="","",IFERROR(INDEX(السندات!$D$5:$D$504,MATCH(A633,السندات!$A$5:$A$504,0)),""))</f>
        <v/>
      </c>
      <c r="J633" s="72" t="str">
        <f aca="false">IF(A633="","",IF(ISNA(MATCH(A633,السندات!$A$5:$A$504,0)),"رقم سند غير موجود ✘",IF(AND(F633&lt;&gt;"",G633&lt;&gt;""),"اكتب مدين أو دائن فقط ✘",IF(AND(N(F633)=0,N(G633)=0),"بدون مبلغ ⚠",IF(B633&gt;12,"يتجاوز 12 بنداً في الطباعة ⚠","")))))</f>
        <v/>
      </c>
    </row>
    <row r="634" customFormat="false" ht="15" hidden="false" customHeight="false" outlineLevel="0" collapsed="false">
      <c r="A634" s="58"/>
      <c r="B634" s="73" t="str">
        <f aca="false">IF(A634="","",COUNTIF(A$5:A634,A634))</f>
        <v/>
      </c>
      <c r="C634" s="73" t="str">
        <f aca="false">IF(A634="","",A634&amp;"-"&amp;B634)</f>
        <v/>
      </c>
      <c r="D634" s="58"/>
      <c r="E634" s="57"/>
      <c r="F634" s="69"/>
      <c r="G634" s="69"/>
      <c r="H634" s="74" t="str">
        <f aca="false">IF(A634="","",IFERROR(INDEX(السندات!$C$5:$C$504,MATCH(A634,السندات!$A$5:$A$504,0)),""))</f>
        <v/>
      </c>
      <c r="I634" s="75" t="str">
        <f aca="false">IF(A634="","",IFERROR(INDEX(السندات!$D$5:$D$504,MATCH(A634,السندات!$A$5:$A$504,0)),""))</f>
        <v/>
      </c>
      <c r="J634" s="76" t="str">
        <f aca="false">IF(A634="","",IF(ISNA(MATCH(A634,السندات!$A$5:$A$504,0)),"رقم سند غير موجود ✘",IF(AND(F634&lt;&gt;"",G634&lt;&gt;""),"اكتب مدين أو دائن فقط ✘",IF(AND(N(F634)=0,N(G634)=0),"بدون مبلغ ⚠",IF(B634&gt;12,"يتجاوز 12 بنداً في الطباعة ⚠","")))))</f>
        <v/>
      </c>
    </row>
    <row r="635" customFormat="false" ht="15" hidden="false" customHeight="false" outlineLevel="0" collapsed="false">
      <c r="A635" s="58"/>
      <c r="B635" s="68" t="str">
        <f aca="false">IF(A635="","",COUNTIF(A$5:A635,A635))</f>
        <v/>
      </c>
      <c r="C635" s="68" t="str">
        <f aca="false">IF(A635="","",A635&amp;"-"&amp;B635)</f>
        <v/>
      </c>
      <c r="D635" s="58"/>
      <c r="E635" s="57"/>
      <c r="F635" s="69"/>
      <c r="G635" s="69"/>
      <c r="H635" s="70" t="str">
        <f aca="false">IF(A635="","",IFERROR(INDEX(السندات!$C$5:$C$504,MATCH(A635,السندات!$A$5:$A$504,0)),""))</f>
        <v/>
      </c>
      <c r="I635" s="71" t="str">
        <f aca="false">IF(A635="","",IFERROR(INDEX(السندات!$D$5:$D$504,MATCH(A635,السندات!$A$5:$A$504,0)),""))</f>
        <v/>
      </c>
      <c r="J635" s="72" t="str">
        <f aca="false">IF(A635="","",IF(ISNA(MATCH(A635,السندات!$A$5:$A$504,0)),"رقم سند غير موجود ✘",IF(AND(F635&lt;&gt;"",G635&lt;&gt;""),"اكتب مدين أو دائن فقط ✘",IF(AND(N(F635)=0,N(G635)=0),"بدون مبلغ ⚠",IF(B635&gt;12,"يتجاوز 12 بنداً في الطباعة ⚠","")))))</f>
        <v/>
      </c>
    </row>
    <row r="636" customFormat="false" ht="15" hidden="false" customHeight="false" outlineLevel="0" collapsed="false">
      <c r="A636" s="58"/>
      <c r="B636" s="73" t="str">
        <f aca="false">IF(A636="","",COUNTIF(A$5:A636,A636))</f>
        <v/>
      </c>
      <c r="C636" s="73" t="str">
        <f aca="false">IF(A636="","",A636&amp;"-"&amp;B636)</f>
        <v/>
      </c>
      <c r="D636" s="58"/>
      <c r="E636" s="57"/>
      <c r="F636" s="69"/>
      <c r="G636" s="69"/>
      <c r="H636" s="74" t="str">
        <f aca="false">IF(A636="","",IFERROR(INDEX(السندات!$C$5:$C$504,MATCH(A636,السندات!$A$5:$A$504,0)),""))</f>
        <v/>
      </c>
      <c r="I636" s="75" t="str">
        <f aca="false">IF(A636="","",IFERROR(INDEX(السندات!$D$5:$D$504,MATCH(A636,السندات!$A$5:$A$504,0)),""))</f>
        <v/>
      </c>
      <c r="J636" s="76" t="str">
        <f aca="false">IF(A636="","",IF(ISNA(MATCH(A636,السندات!$A$5:$A$504,0)),"رقم سند غير موجود ✘",IF(AND(F636&lt;&gt;"",G636&lt;&gt;""),"اكتب مدين أو دائن فقط ✘",IF(AND(N(F636)=0,N(G636)=0),"بدون مبلغ ⚠",IF(B636&gt;12,"يتجاوز 12 بنداً في الطباعة ⚠","")))))</f>
        <v/>
      </c>
    </row>
    <row r="637" customFormat="false" ht="15" hidden="false" customHeight="false" outlineLevel="0" collapsed="false">
      <c r="A637" s="58"/>
      <c r="B637" s="68" t="str">
        <f aca="false">IF(A637="","",COUNTIF(A$5:A637,A637))</f>
        <v/>
      </c>
      <c r="C637" s="68" t="str">
        <f aca="false">IF(A637="","",A637&amp;"-"&amp;B637)</f>
        <v/>
      </c>
      <c r="D637" s="58"/>
      <c r="E637" s="57"/>
      <c r="F637" s="69"/>
      <c r="G637" s="69"/>
      <c r="H637" s="70" t="str">
        <f aca="false">IF(A637="","",IFERROR(INDEX(السندات!$C$5:$C$504,MATCH(A637,السندات!$A$5:$A$504,0)),""))</f>
        <v/>
      </c>
      <c r="I637" s="71" t="str">
        <f aca="false">IF(A637="","",IFERROR(INDEX(السندات!$D$5:$D$504,MATCH(A637,السندات!$A$5:$A$504,0)),""))</f>
        <v/>
      </c>
      <c r="J637" s="72" t="str">
        <f aca="false">IF(A637="","",IF(ISNA(MATCH(A637,السندات!$A$5:$A$504,0)),"رقم سند غير موجود ✘",IF(AND(F637&lt;&gt;"",G637&lt;&gt;""),"اكتب مدين أو دائن فقط ✘",IF(AND(N(F637)=0,N(G637)=0),"بدون مبلغ ⚠",IF(B637&gt;12,"يتجاوز 12 بنداً في الطباعة ⚠","")))))</f>
        <v/>
      </c>
    </row>
    <row r="638" customFormat="false" ht="15" hidden="false" customHeight="false" outlineLevel="0" collapsed="false">
      <c r="A638" s="58"/>
      <c r="B638" s="73" t="str">
        <f aca="false">IF(A638="","",COUNTIF(A$5:A638,A638))</f>
        <v/>
      </c>
      <c r="C638" s="73" t="str">
        <f aca="false">IF(A638="","",A638&amp;"-"&amp;B638)</f>
        <v/>
      </c>
      <c r="D638" s="58"/>
      <c r="E638" s="57"/>
      <c r="F638" s="69"/>
      <c r="G638" s="69"/>
      <c r="H638" s="74" t="str">
        <f aca="false">IF(A638="","",IFERROR(INDEX(السندات!$C$5:$C$504,MATCH(A638,السندات!$A$5:$A$504,0)),""))</f>
        <v/>
      </c>
      <c r="I638" s="75" t="str">
        <f aca="false">IF(A638="","",IFERROR(INDEX(السندات!$D$5:$D$504,MATCH(A638,السندات!$A$5:$A$504,0)),""))</f>
        <v/>
      </c>
      <c r="J638" s="76" t="str">
        <f aca="false">IF(A638="","",IF(ISNA(MATCH(A638,السندات!$A$5:$A$504,0)),"رقم سند غير موجود ✘",IF(AND(F638&lt;&gt;"",G638&lt;&gt;""),"اكتب مدين أو دائن فقط ✘",IF(AND(N(F638)=0,N(G638)=0),"بدون مبلغ ⚠",IF(B638&gt;12,"يتجاوز 12 بنداً في الطباعة ⚠","")))))</f>
        <v/>
      </c>
    </row>
    <row r="639" customFormat="false" ht="15" hidden="false" customHeight="false" outlineLevel="0" collapsed="false">
      <c r="A639" s="58"/>
      <c r="B639" s="68" t="str">
        <f aca="false">IF(A639="","",COUNTIF(A$5:A639,A639))</f>
        <v/>
      </c>
      <c r="C639" s="68" t="str">
        <f aca="false">IF(A639="","",A639&amp;"-"&amp;B639)</f>
        <v/>
      </c>
      <c r="D639" s="58"/>
      <c r="E639" s="57"/>
      <c r="F639" s="69"/>
      <c r="G639" s="69"/>
      <c r="H639" s="70" t="str">
        <f aca="false">IF(A639="","",IFERROR(INDEX(السندات!$C$5:$C$504,MATCH(A639,السندات!$A$5:$A$504,0)),""))</f>
        <v/>
      </c>
      <c r="I639" s="71" t="str">
        <f aca="false">IF(A639="","",IFERROR(INDEX(السندات!$D$5:$D$504,MATCH(A639,السندات!$A$5:$A$504,0)),""))</f>
        <v/>
      </c>
      <c r="J639" s="72" t="str">
        <f aca="false">IF(A639="","",IF(ISNA(MATCH(A639,السندات!$A$5:$A$504,0)),"رقم سند غير موجود ✘",IF(AND(F639&lt;&gt;"",G639&lt;&gt;""),"اكتب مدين أو دائن فقط ✘",IF(AND(N(F639)=0,N(G639)=0),"بدون مبلغ ⚠",IF(B639&gt;12,"يتجاوز 12 بنداً في الطباعة ⚠","")))))</f>
        <v/>
      </c>
    </row>
    <row r="640" customFormat="false" ht="15" hidden="false" customHeight="false" outlineLevel="0" collapsed="false">
      <c r="A640" s="58"/>
      <c r="B640" s="73" t="str">
        <f aca="false">IF(A640="","",COUNTIF(A$5:A640,A640))</f>
        <v/>
      </c>
      <c r="C640" s="73" t="str">
        <f aca="false">IF(A640="","",A640&amp;"-"&amp;B640)</f>
        <v/>
      </c>
      <c r="D640" s="58"/>
      <c r="E640" s="57"/>
      <c r="F640" s="69"/>
      <c r="G640" s="69"/>
      <c r="H640" s="74" t="str">
        <f aca="false">IF(A640="","",IFERROR(INDEX(السندات!$C$5:$C$504,MATCH(A640,السندات!$A$5:$A$504,0)),""))</f>
        <v/>
      </c>
      <c r="I640" s="75" t="str">
        <f aca="false">IF(A640="","",IFERROR(INDEX(السندات!$D$5:$D$504,MATCH(A640,السندات!$A$5:$A$504,0)),""))</f>
        <v/>
      </c>
      <c r="J640" s="76" t="str">
        <f aca="false">IF(A640="","",IF(ISNA(MATCH(A640,السندات!$A$5:$A$504,0)),"رقم سند غير موجود ✘",IF(AND(F640&lt;&gt;"",G640&lt;&gt;""),"اكتب مدين أو دائن فقط ✘",IF(AND(N(F640)=0,N(G640)=0),"بدون مبلغ ⚠",IF(B640&gt;12,"يتجاوز 12 بنداً في الطباعة ⚠","")))))</f>
        <v/>
      </c>
    </row>
    <row r="641" customFormat="false" ht="15" hidden="false" customHeight="false" outlineLevel="0" collapsed="false">
      <c r="A641" s="58"/>
      <c r="B641" s="68" t="str">
        <f aca="false">IF(A641="","",COUNTIF(A$5:A641,A641))</f>
        <v/>
      </c>
      <c r="C641" s="68" t="str">
        <f aca="false">IF(A641="","",A641&amp;"-"&amp;B641)</f>
        <v/>
      </c>
      <c r="D641" s="58"/>
      <c r="E641" s="57"/>
      <c r="F641" s="69"/>
      <c r="G641" s="69"/>
      <c r="H641" s="70" t="str">
        <f aca="false">IF(A641="","",IFERROR(INDEX(السندات!$C$5:$C$504,MATCH(A641,السندات!$A$5:$A$504,0)),""))</f>
        <v/>
      </c>
      <c r="I641" s="71" t="str">
        <f aca="false">IF(A641="","",IFERROR(INDEX(السندات!$D$5:$D$504,MATCH(A641,السندات!$A$5:$A$504,0)),""))</f>
        <v/>
      </c>
      <c r="J641" s="72" t="str">
        <f aca="false">IF(A641="","",IF(ISNA(MATCH(A641,السندات!$A$5:$A$504,0)),"رقم سند غير موجود ✘",IF(AND(F641&lt;&gt;"",G641&lt;&gt;""),"اكتب مدين أو دائن فقط ✘",IF(AND(N(F641)=0,N(G641)=0),"بدون مبلغ ⚠",IF(B641&gt;12,"يتجاوز 12 بنداً في الطباعة ⚠","")))))</f>
        <v/>
      </c>
    </row>
    <row r="642" customFormat="false" ht="15" hidden="false" customHeight="false" outlineLevel="0" collapsed="false">
      <c r="A642" s="58"/>
      <c r="B642" s="73" t="str">
        <f aca="false">IF(A642="","",COUNTIF(A$5:A642,A642))</f>
        <v/>
      </c>
      <c r="C642" s="73" t="str">
        <f aca="false">IF(A642="","",A642&amp;"-"&amp;B642)</f>
        <v/>
      </c>
      <c r="D642" s="58"/>
      <c r="E642" s="57"/>
      <c r="F642" s="69"/>
      <c r="G642" s="69"/>
      <c r="H642" s="74" t="str">
        <f aca="false">IF(A642="","",IFERROR(INDEX(السندات!$C$5:$C$504,MATCH(A642,السندات!$A$5:$A$504,0)),""))</f>
        <v/>
      </c>
      <c r="I642" s="75" t="str">
        <f aca="false">IF(A642="","",IFERROR(INDEX(السندات!$D$5:$D$504,MATCH(A642,السندات!$A$5:$A$504,0)),""))</f>
        <v/>
      </c>
      <c r="J642" s="76" t="str">
        <f aca="false">IF(A642="","",IF(ISNA(MATCH(A642,السندات!$A$5:$A$504,0)),"رقم سند غير موجود ✘",IF(AND(F642&lt;&gt;"",G642&lt;&gt;""),"اكتب مدين أو دائن فقط ✘",IF(AND(N(F642)=0,N(G642)=0),"بدون مبلغ ⚠",IF(B642&gt;12,"يتجاوز 12 بنداً في الطباعة ⚠","")))))</f>
        <v/>
      </c>
    </row>
    <row r="643" customFormat="false" ht="15" hidden="false" customHeight="false" outlineLevel="0" collapsed="false">
      <c r="A643" s="58"/>
      <c r="B643" s="68" t="str">
        <f aca="false">IF(A643="","",COUNTIF(A$5:A643,A643))</f>
        <v/>
      </c>
      <c r="C643" s="68" t="str">
        <f aca="false">IF(A643="","",A643&amp;"-"&amp;B643)</f>
        <v/>
      </c>
      <c r="D643" s="58"/>
      <c r="E643" s="57"/>
      <c r="F643" s="69"/>
      <c r="G643" s="69"/>
      <c r="H643" s="70" t="str">
        <f aca="false">IF(A643="","",IFERROR(INDEX(السندات!$C$5:$C$504,MATCH(A643,السندات!$A$5:$A$504,0)),""))</f>
        <v/>
      </c>
      <c r="I643" s="71" t="str">
        <f aca="false">IF(A643="","",IFERROR(INDEX(السندات!$D$5:$D$504,MATCH(A643,السندات!$A$5:$A$504,0)),""))</f>
        <v/>
      </c>
      <c r="J643" s="72" t="str">
        <f aca="false">IF(A643="","",IF(ISNA(MATCH(A643,السندات!$A$5:$A$504,0)),"رقم سند غير موجود ✘",IF(AND(F643&lt;&gt;"",G643&lt;&gt;""),"اكتب مدين أو دائن فقط ✘",IF(AND(N(F643)=0,N(G643)=0),"بدون مبلغ ⚠",IF(B643&gt;12,"يتجاوز 12 بنداً في الطباعة ⚠","")))))</f>
        <v/>
      </c>
    </row>
    <row r="644" customFormat="false" ht="15" hidden="false" customHeight="false" outlineLevel="0" collapsed="false">
      <c r="A644" s="58"/>
      <c r="B644" s="73" t="str">
        <f aca="false">IF(A644="","",COUNTIF(A$5:A644,A644))</f>
        <v/>
      </c>
      <c r="C644" s="73" t="str">
        <f aca="false">IF(A644="","",A644&amp;"-"&amp;B644)</f>
        <v/>
      </c>
      <c r="D644" s="58"/>
      <c r="E644" s="57"/>
      <c r="F644" s="69"/>
      <c r="G644" s="69"/>
      <c r="H644" s="74" t="str">
        <f aca="false">IF(A644="","",IFERROR(INDEX(السندات!$C$5:$C$504,MATCH(A644,السندات!$A$5:$A$504,0)),""))</f>
        <v/>
      </c>
      <c r="I644" s="75" t="str">
        <f aca="false">IF(A644="","",IFERROR(INDEX(السندات!$D$5:$D$504,MATCH(A644,السندات!$A$5:$A$504,0)),""))</f>
        <v/>
      </c>
      <c r="J644" s="76" t="str">
        <f aca="false">IF(A644="","",IF(ISNA(MATCH(A644,السندات!$A$5:$A$504,0)),"رقم سند غير موجود ✘",IF(AND(F644&lt;&gt;"",G644&lt;&gt;""),"اكتب مدين أو دائن فقط ✘",IF(AND(N(F644)=0,N(G644)=0),"بدون مبلغ ⚠",IF(B644&gt;12,"يتجاوز 12 بنداً في الطباعة ⚠","")))))</f>
        <v/>
      </c>
    </row>
    <row r="645" customFormat="false" ht="15" hidden="false" customHeight="false" outlineLevel="0" collapsed="false">
      <c r="A645" s="58"/>
      <c r="B645" s="68" t="str">
        <f aca="false">IF(A645="","",COUNTIF(A$5:A645,A645))</f>
        <v/>
      </c>
      <c r="C645" s="68" t="str">
        <f aca="false">IF(A645="","",A645&amp;"-"&amp;B645)</f>
        <v/>
      </c>
      <c r="D645" s="58"/>
      <c r="E645" s="57"/>
      <c r="F645" s="69"/>
      <c r="G645" s="69"/>
      <c r="H645" s="70" t="str">
        <f aca="false">IF(A645="","",IFERROR(INDEX(السندات!$C$5:$C$504,MATCH(A645,السندات!$A$5:$A$504,0)),""))</f>
        <v/>
      </c>
      <c r="I645" s="71" t="str">
        <f aca="false">IF(A645="","",IFERROR(INDEX(السندات!$D$5:$D$504,MATCH(A645,السندات!$A$5:$A$504,0)),""))</f>
        <v/>
      </c>
      <c r="J645" s="72" t="str">
        <f aca="false">IF(A645="","",IF(ISNA(MATCH(A645,السندات!$A$5:$A$504,0)),"رقم سند غير موجود ✘",IF(AND(F645&lt;&gt;"",G645&lt;&gt;""),"اكتب مدين أو دائن فقط ✘",IF(AND(N(F645)=0,N(G645)=0),"بدون مبلغ ⚠",IF(B645&gt;12,"يتجاوز 12 بنداً في الطباعة ⚠","")))))</f>
        <v/>
      </c>
    </row>
    <row r="646" customFormat="false" ht="15" hidden="false" customHeight="false" outlineLevel="0" collapsed="false">
      <c r="A646" s="58"/>
      <c r="B646" s="73" t="str">
        <f aca="false">IF(A646="","",COUNTIF(A$5:A646,A646))</f>
        <v/>
      </c>
      <c r="C646" s="73" t="str">
        <f aca="false">IF(A646="","",A646&amp;"-"&amp;B646)</f>
        <v/>
      </c>
      <c r="D646" s="58"/>
      <c r="E646" s="57"/>
      <c r="F646" s="69"/>
      <c r="G646" s="69"/>
      <c r="H646" s="74" t="str">
        <f aca="false">IF(A646="","",IFERROR(INDEX(السندات!$C$5:$C$504,MATCH(A646,السندات!$A$5:$A$504,0)),""))</f>
        <v/>
      </c>
      <c r="I646" s="75" t="str">
        <f aca="false">IF(A646="","",IFERROR(INDEX(السندات!$D$5:$D$504,MATCH(A646,السندات!$A$5:$A$504,0)),""))</f>
        <v/>
      </c>
      <c r="J646" s="76" t="str">
        <f aca="false">IF(A646="","",IF(ISNA(MATCH(A646,السندات!$A$5:$A$504,0)),"رقم سند غير موجود ✘",IF(AND(F646&lt;&gt;"",G646&lt;&gt;""),"اكتب مدين أو دائن فقط ✘",IF(AND(N(F646)=0,N(G646)=0),"بدون مبلغ ⚠",IF(B646&gt;12,"يتجاوز 12 بنداً في الطباعة ⚠","")))))</f>
        <v/>
      </c>
    </row>
    <row r="647" customFormat="false" ht="15" hidden="false" customHeight="false" outlineLevel="0" collapsed="false">
      <c r="A647" s="58"/>
      <c r="B647" s="68" t="str">
        <f aca="false">IF(A647="","",COUNTIF(A$5:A647,A647))</f>
        <v/>
      </c>
      <c r="C647" s="68" t="str">
        <f aca="false">IF(A647="","",A647&amp;"-"&amp;B647)</f>
        <v/>
      </c>
      <c r="D647" s="58"/>
      <c r="E647" s="57"/>
      <c r="F647" s="69"/>
      <c r="G647" s="69"/>
      <c r="H647" s="70" t="str">
        <f aca="false">IF(A647="","",IFERROR(INDEX(السندات!$C$5:$C$504,MATCH(A647,السندات!$A$5:$A$504,0)),""))</f>
        <v/>
      </c>
      <c r="I647" s="71" t="str">
        <f aca="false">IF(A647="","",IFERROR(INDEX(السندات!$D$5:$D$504,MATCH(A647,السندات!$A$5:$A$504,0)),""))</f>
        <v/>
      </c>
      <c r="J647" s="72" t="str">
        <f aca="false">IF(A647="","",IF(ISNA(MATCH(A647,السندات!$A$5:$A$504,0)),"رقم سند غير موجود ✘",IF(AND(F647&lt;&gt;"",G647&lt;&gt;""),"اكتب مدين أو دائن فقط ✘",IF(AND(N(F647)=0,N(G647)=0),"بدون مبلغ ⚠",IF(B647&gt;12,"يتجاوز 12 بنداً في الطباعة ⚠","")))))</f>
        <v/>
      </c>
    </row>
    <row r="648" customFormat="false" ht="15" hidden="false" customHeight="false" outlineLevel="0" collapsed="false">
      <c r="A648" s="58"/>
      <c r="B648" s="73" t="str">
        <f aca="false">IF(A648="","",COUNTIF(A$5:A648,A648))</f>
        <v/>
      </c>
      <c r="C648" s="73" t="str">
        <f aca="false">IF(A648="","",A648&amp;"-"&amp;B648)</f>
        <v/>
      </c>
      <c r="D648" s="58"/>
      <c r="E648" s="57"/>
      <c r="F648" s="69"/>
      <c r="G648" s="69"/>
      <c r="H648" s="74" t="str">
        <f aca="false">IF(A648="","",IFERROR(INDEX(السندات!$C$5:$C$504,MATCH(A648,السندات!$A$5:$A$504,0)),""))</f>
        <v/>
      </c>
      <c r="I648" s="75" t="str">
        <f aca="false">IF(A648="","",IFERROR(INDEX(السندات!$D$5:$D$504,MATCH(A648,السندات!$A$5:$A$504,0)),""))</f>
        <v/>
      </c>
      <c r="J648" s="76" t="str">
        <f aca="false">IF(A648="","",IF(ISNA(MATCH(A648,السندات!$A$5:$A$504,0)),"رقم سند غير موجود ✘",IF(AND(F648&lt;&gt;"",G648&lt;&gt;""),"اكتب مدين أو دائن فقط ✘",IF(AND(N(F648)=0,N(G648)=0),"بدون مبلغ ⚠",IF(B648&gt;12,"يتجاوز 12 بنداً في الطباعة ⚠","")))))</f>
        <v/>
      </c>
    </row>
    <row r="649" customFormat="false" ht="15" hidden="false" customHeight="false" outlineLevel="0" collapsed="false">
      <c r="A649" s="58"/>
      <c r="B649" s="68" t="str">
        <f aca="false">IF(A649="","",COUNTIF(A$5:A649,A649))</f>
        <v/>
      </c>
      <c r="C649" s="68" t="str">
        <f aca="false">IF(A649="","",A649&amp;"-"&amp;B649)</f>
        <v/>
      </c>
      <c r="D649" s="58"/>
      <c r="E649" s="57"/>
      <c r="F649" s="69"/>
      <c r="G649" s="69"/>
      <c r="H649" s="70" t="str">
        <f aca="false">IF(A649="","",IFERROR(INDEX(السندات!$C$5:$C$504,MATCH(A649,السندات!$A$5:$A$504,0)),""))</f>
        <v/>
      </c>
      <c r="I649" s="71" t="str">
        <f aca="false">IF(A649="","",IFERROR(INDEX(السندات!$D$5:$D$504,MATCH(A649,السندات!$A$5:$A$504,0)),""))</f>
        <v/>
      </c>
      <c r="J649" s="72" t="str">
        <f aca="false">IF(A649="","",IF(ISNA(MATCH(A649,السندات!$A$5:$A$504,0)),"رقم سند غير موجود ✘",IF(AND(F649&lt;&gt;"",G649&lt;&gt;""),"اكتب مدين أو دائن فقط ✘",IF(AND(N(F649)=0,N(G649)=0),"بدون مبلغ ⚠",IF(B649&gt;12,"يتجاوز 12 بنداً في الطباعة ⚠","")))))</f>
        <v/>
      </c>
    </row>
    <row r="650" customFormat="false" ht="15" hidden="false" customHeight="false" outlineLevel="0" collapsed="false">
      <c r="A650" s="58"/>
      <c r="B650" s="73" t="str">
        <f aca="false">IF(A650="","",COUNTIF(A$5:A650,A650))</f>
        <v/>
      </c>
      <c r="C650" s="73" t="str">
        <f aca="false">IF(A650="","",A650&amp;"-"&amp;B650)</f>
        <v/>
      </c>
      <c r="D650" s="58"/>
      <c r="E650" s="57"/>
      <c r="F650" s="69"/>
      <c r="G650" s="69"/>
      <c r="H650" s="74" t="str">
        <f aca="false">IF(A650="","",IFERROR(INDEX(السندات!$C$5:$C$504,MATCH(A650,السندات!$A$5:$A$504,0)),""))</f>
        <v/>
      </c>
      <c r="I650" s="75" t="str">
        <f aca="false">IF(A650="","",IFERROR(INDEX(السندات!$D$5:$D$504,MATCH(A650,السندات!$A$5:$A$504,0)),""))</f>
        <v/>
      </c>
      <c r="J650" s="76" t="str">
        <f aca="false">IF(A650="","",IF(ISNA(MATCH(A650,السندات!$A$5:$A$504,0)),"رقم سند غير موجود ✘",IF(AND(F650&lt;&gt;"",G650&lt;&gt;""),"اكتب مدين أو دائن فقط ✘",IF(AND(N(F650)=0,N(G650)=0),"بدون مبلغ ⚠",IF(B650&gt;12,"يتجاوز 12 بنداً في الطباعة ⚠","")))))</f>
        <v/>
      </c>
    </row>
    <row r="651" customFormat="false" ht="15" hidden="false" customHeight="false" outlineLevel="0" collapsed="false">
      <c r="A651" s="58"/>
      <c r="B651" s="68" t="str">
        <f aca="false">IF(A651="","",COUNTIF(A$5:A651,A651))</f>
        <v/>
      </c>
      <c r="C651" s="68" t="str">
        <f aca="false">IF(A651="","",A651&amp;"-"&amp;B651)</f>
        <v/>
      </c>
      <c r="D651" s="58"/>
      <c r="E651" s="57"/>
      <c r="F651" s="69"/>
      <c r="G651" s="69"/>
      <c r="H651" s="70" t="str">
        <f aca="false">IF(A651="","",IFERROR(INDEX(السندات!$C$5:$C$504,MATCH(A651,السندات!$A$5:$A$504,0)),""))</f>
        <v/>
      </c>
      <c r="I651" s="71" t="str">
        <f aca="false">IF(A651="","",IFERROR(INDEX(السندات!$D$5:$D$504,MATCH(A651,السندات!$A$5:$A$504,0)),""))</f>
        <v/>
      </c>
      <c r="J651" s="72" t="str">
        <f aca="false">IF(A651="","",IF(ISNA(MATCH(A651,السندات!$A$5:$A$504,0)),"رقم سند غير موجود ✘",IF(AND(F651&lt;&gt;"",G651&lt;&gt;""),"اكتب مدين أو دائن فقط ✘",IF(AND(N(F651)=0,N(G651)=0),"بدون مبلغ ⚠",IF(B651&gt;12,"يتجاوز 12 بنداً في الطباعة ⚠","")))))</f>
        <v/>
      </c>
    </row>
    <row r="652" customFormat="false" ht="15" hidden="false" customHeight="false" outlineLevel="0" collapsed="false">
      <c r="A652" s="58"/>
      <c r="B652" s="73" t="str">
        <f aca="false">IF(A652="","",COUNTIF(A$5:A652,A652))</f>
        <v/>
      </c>
      <c r="C652" s="73" t="str">
        <f aca="false">IF(A652="","",A652&amp;"-"&amp;B652)</f>
        <v/>
      </c>
      <c r="D652" s="58"/>
      <c r="E652" s="57"/>
      <c r="F652" s="69"/>
      <c r="G652" s="69"/>
      <c r="H652" s="74" t="str">
        <f aca="false">IF(A652="","",IFERROR(INDEX(السندات!$C$5:$C$504,MATCH(A652,السندات!$A$5:$A$504,0)),""))</f>
        <v/>
      </c>
      <c r="I652" s="75" t="str">
        <f aca="false">IF(A652="","",IFERROR(INDEX(السندات!$D$5:$D$504,MATCH(A652,السندات!$A$5:$A$504,0)),""))</f>
        <v/>
      </c>
      <c r="J652" s="76" t="str">
        <f aca="false">IF(A652="","",IF(ISNA(MATCH(A652,السندات!$A$5:$A$504,0)),"رقم سند غير موجود ✘",IF(AND(F652&lt;&gt;"",G652&lt;&gt;""),"اكتب مدين أو دائن فقط ✘",IF(AND(N(F652)=0,N(G652)=0),"بدون مبلغ ⚠",IF(B652&gt;12,"يتجاوز 12 بنداً في الطباعة ⚠","")))))</f>
        <v/>
      </c>
    </row>
    <row r="653" customFormat="false" ht="15" hidden="false" customHeight="false" outlineLevel="0" collapsed="false">
      <c r="A653" s="58"/>
      <c r="B653" s="68" t="str">
        <f aca="false">IF(A653="","",COUNTIF(A$5:A653,A653))</f>
        <v/>
      </c>
      <c r="C653" s="68" t="str">
        <f aca="false">IF(A653="","",A653&amp;"-"&amp;B653)</f>
        <v/>
      </c>
      <c r="D653" s="58"/>
      <c r="E653" s="57"/>
      <c r="F653" s="69"/>
      <c r="G653" s="69"/>
      <c r="H653" s="70" t="str">
        <f aca="false">IF(A653="","",IFERROR(INDEX(السندات!$C$5:$C$504,MATCH(A653,السندات!$A$5:$A$504,0)),""))</f>
        <v/>
      </c>
      <c r="I653" s="71" t="str">
        <f aca="false">IF(A653="","",IFERROR(INDEX(السندات!$D$5:$D$504,MATCH(A653,السندات!$A$5:$A$504,0)),""))</f>
        <v/>
      </c>
      <c r="J653" s="72" t="str">
        <f aca="false">IF(A653="","",IF(ISNA(MATCH(A653,السندات!$A$5:$A$504,0)),"رقم سند غير موجود ✘",IF(AND(F653&lt;&gt;"",G653&lt;&gt;""),"اكتب مدين أو دائن فقط ✘",IF(AND(N(F653)=0,N(G653)=0),"بدون مبلغ ⚠",IF(B653&gt;12,"يتجاوز 12 بنداً في الطباعة ⚠","")))))</f>
        <v/>
      </c>
    </row>
    <row r="654" customFormat="false" ht="15" hidden="false" customHeight="false" outlineLevel="0" collapsed="false">
      <c r="A654" s="58"/>
      <c r="B654" s="73" t="str">
        <f aca="false">IF(A654="","",COUNTIF(A$5:A654,A654))</f>
        <v/>
      </c>
      <c r="C654" s="73" t="str">
        <f aca="false">IF(A654="","",A654&amp;"-"&amp;B654)</f>
        <v/>
      </c>
      <c r="D654" s="58"/>
      <c r="E654" s="57"/>
      <c r="F654" s="69"/>
      <c r="G654" s="69"/>
      <c r="H654" s="74" t="str">
        <f aca="false">IF(A654="","",IFERROR(INDEX(السندات!$C$5:$C$504,MATCH(A654,السندات!$A$5:$A$504,0)),""))</f>
        <v/>
      </c>
      <c r="I654" s="75" t="str">
        <f aca="false">IF(A654="","",IFERROR(INDEX(السندات!$D$5:$D$504,MATCH(A654,السندات!$A$5:$A$504,0)),""))</f>
        <v/>
      </c>
      <c r="J654" s="76" t="str">
        <f aca="false">IF(A654="","",IF(ISNA(MATCH(A654,السندات!$A$5:$A$504,0)),"رقم سند غير موجود ✘",IF(AND(F654&lt;&gt;"",G654&lt;&gt;""),"اكتب مدين أو دائن فقط ✘",IF(AND(N(F654)=0,N(G654)=0),"بدون مبلغ ⚠",IF(B654&gt;12,"يتجاوز 12 بنداً في الطباعة ⚠","")))))</f>
        <v/>
      </c>
    </row>
    <row r="655" customFormat="false" ht="15" hidden="false" customHeight="false" outlineLevel="0" collapsed="false">
      <c r="A655" s="58"/>
      <c r="B655" s="68" t="str">
        <f aca="false">IF(A655="","",COUNTIF(A$5:A655,A655))</f>
        <v/>
      </c>
      <c r="C655" s="68" t="str">
        <f aca="false">IF(A655="","",A655&amp;"-"&amp;B655)</f>
        <v/>
      </c>
      <c r="D655" s="58"/>
      <c r="E655" s="57"/>
      <c r="F655" s="69"/>
      <c r="G655" s="69"/>
      <c r="H655" s="70" t="str">
        <f aca="false">IF(A655="","",IFERROR(INDEX(السندات!$C$5:$C$504,MATCH(A655,السندات!$A$5:$A$504,0)),""))</f>
        <v/>
      </c>
      <c r="I655" s="71" t="str">
        <f aca="false">IF(A655="","",IFERROR(INDEX(السندات!$D$5:$D$504,MATCH(A655,السندات!$A$5:$A$504,0)),""))</f>
        <v/>
      </c>
      <c r="J655" s="72" t="str">
        <f aca="false">IF(A655="","",IF(ISNA(MATCH(A655,السندات!$A$5:$A$504,0)),"رقم سند غير موجود ✘",IF(AND(F655&lt;&gt;"",G655&lt;&gt;""),"اكتب مدين أو دائن فقط ✘",IF(AND(N(F655)=0,N(G655)=0),"بدون مبلغ ⚠",IF(B655&gt;12,"يتجاوز 12 بنداً في الطباعة ⚠","")))))</f>
        <v/>
      </c>
    </row>
    <row r="656" customFormat="false" ht="15" hidden="false" customHeight="false" outlineLevel="0" collapsed="false">
      <c r="A656" s="58"/>
      <c r="B656" s="73" t="str">
        <f aca="false">IF(A656="","",COUNTIF(A$5:A656,A656))</f>
        <v/>
      </c>
      <c r="C656" s="73" t="str">
        <f aca="false">IF(A656="","",A656&amp;"-"&amp;B656)</f>
        <v/>
      </c>
      <c r="D656" s="58"/>
      <c r="E656" s="57"/>
      <c r="F656" s="69"/>
      <c r="G656" s="69"/>
      <c r="H656" s="74" t="str">
        <f aca="false">IF(A656="","",IFERROR(INDEX(السندات!$C$5:$C$504,MATCH(A656,السندات!$A$5:$A$504,0)),""))</f>
        <v/>
      </c>
      <c r="I656" s="75" t="str">
        <f aca="false">IF(A656="","",IFERROR(INDEX(السندات!$D$5:$D$504,MATCH(A656,السندات!$A$5:$A$504,0)),""))</f>
        <v/>
      </c>
      <c r="J656" s="76" t="str">
        <f aca="false">IF(A656="","",IF(ISNA(MATCH(A656,السندات!$A$5:$A$504,0)),"رقم سند غير موجود ✘",IF(AND(F656&lt;&gt;"",G656&lt;&gt;""),"اكتب مدين أو دائن فقط ✘",IF(AND(N(F656)=0,N(G656)=0),"بدون مبلغ ⚠",IF(B656&gt;12,"يتجاوز 12 بنداً في الطباعة ⚠","")))))</f>
        <v/>
      </c>
    </row>
    <row r="657" customFormat="false" ht="15" hidden="false" customHeight="false" outlineLevel="0" collapsed="false">
      <c r="A657" s="58"/>
      <c r="B657" s="68" t="str">
        <f aca="false">IF(A657="","",COUNTIF(A$5:A657,A657))</f>
        <v/>
      </c>
      <c r="C657" s="68" t="str">
        <f aca="false">IF(A657="","",A657&amp;"-"&amp;B657)</f>
        <v/>
      </c>
      <c r="D657" s="58"/>
      <c r="E657" s="57"/>
      <c r="F657" s="69"/>
      <c r="G657" s="69"/>
      <c r="H657" s="70" t="str">
        <f aca="false">IF(A657="","",IFERROR(INDEX(السندات!$C$5:$C$504,MATCH(A657,السندات!$A$5:$A$504,0)),""))</f>
        <v/>
      </c>
      <c r="I657" s="71" t="str">
        <f aca="false">IF(A657="","",IFERROR(INDEX(السندات!$D$5:$D$504,MATCH(A657,السندات!$A$5:$A$504,0)),""))</f>
        <v/>
      </c>
      <c r="J657" s="72" t="str">
        <f aca="false">IF(A657="","",IF(ISNA(MATCH(A657,السندات!$A$5:$A$504,0)),"رقم سند غير موجود ✘",IF(AND(F657&lt;&gt;"",G657&lt;&gt;""),"اكتب مدين أو دائن فقط ✘",IF(AND(N(F657)=0,N(G657)=0),"بدون مبلغ ⚠",IF(B657&gt;12,"يتجاوز 12 بنداً في الطباعة ⚠","")))))</f>
        <v/>
      </c>
    </row>
    <row r="658" customFormat="false" ht="15" hidden="false" customHeight="false" outlineLevel="0" collapsed="false">
      <c r="A658" s="58"/>
      <c r="B658" s="73" t="str">
        <f aca="false">IF(A658="","",COUNTIF(A$5:A658,A658))</f>
        <v/>
      </c>
      <c r="C658" s="73" t="str">
        <f aca="false">IF(A658="","",A658&amp;"-"&amp;B658)</f>
        <v/>
      </c>
      <c r="D658" s="58"/>
      <c r="E658" s="57"/>
      <c r="F658" s="69"/>
      <c r="G658" s="69"/>
      <c r="H658" s="74" t="str">
        <f aca="false">IF(A658="","",IFERROR(INDEX(السندات!$C$5:$C$504,MATCH(A658,السندات!$A$5:$A$504,0)),""))</f>
        <v/>
      </c>
      <c r="I658" s="75" t="str">
        <f aca="false">IF(A658="","",IFERROR(INDEX(السندات!$D$5:$D$504,MATCH(A658,السندات!$A$5:$A$504,0)),""))</f>
        <v/>
      </c>
      <c r="J658" s="76" t="str">
        <f aca="false">IF(A658="","",IF(ISNA(MATCH(A658,السندات!$A$5:$A$504,0)),"رقم سند غير موجود ✘",IF(AND(F658&lt;&gt;"",G658&lt;&gt;""),"اكتب مدين أو دائن فقط ✘",IF(AND(N(F658)=0,N(G658)=0),"بدون مبلغ ⚠",IF(B658&gt;12,"يتجاوز 12 بنداً في الطباعة ⚠","")))))</f>
        <v/>
      </c>
    </row>
    <row r="659" customFormat="false" ht="15" hidden="false" customHeight="false" outlineLevel="0" collapsed="false">
      <c r="A659" s="58"/>
      <c r="B659" s="68" t="str">
        <f aca="false">IF(A659="","",COUNTIF(A$5:A659,A659))</f>
        <v/>
      </c>
      <c r="C659" s="68" t="str">
        <f aca="false">IF(A659="","",A659&amp;"-"&amp;B659)</f>
        <v/>
      </c>
      <c r="D659" s="58"/>
      <c r="E659" s="57"/>
      <c r="F659" s="69"/>
      <c r="G659" s="69"/>
      <c r="H659" s="70" t="str">
        <f aca="false">IF(A659="","",IFERROR(INDEX(السندات!$C$5:$C$504,MATCH(A659,السندات!$A$5:$A$504,0)),""))</f>
        <v/>
      </c>
      <c r="I659" s="71" t="str">
        <f aca="false">IF(A659="","",IFERROR(INDEX(السندات!$D$5:$D$504,MATCH(A659,السندات!$A$5:$A$504,0)),""))</f>
        <v/>
      </c>
      <c r="J659" s="72" t="str">
        <f aca="false">IF(A659="","",IF(ISNA(MATCH(A659,السندات!$A$5:$A$504,0)),"رقم سند غير موجود ✘",IF(AND(F659&lt;&gt;"",G659&lt;&gt;""),"اكتب مدين أو دائن فقط ✘",IF(AND(N(F659)=0,N(G659)=0),"بدون مبلغ ⚠",IF(B659&gt;12,"يتجاوز 12 بنداً في الطباعة ⚠","")))))</f>
        <v/>
      </c>
    </row>
    <row r="660" customFormat="false" ht="15" hidden="false" customHeight="false" outlineLevel="0" collapsed="false">
      <c r="A660" s="58"/>
      <c r="B660" s="73" t="str">
        <f aca="false">IF(A660="","",COUNTIF(A$5:A660,A660))</f>
        <v/>
      </c>
      <c r="C660" s="73" t="str">
        <f aca="false">IF(A660="","",A660&amp;"-"&amp;B660)</f>
        <v/>
      </c>
      <c r="D660" s="58"/>
      <c r="E660" s="57"/>
      <c r="F660" s="69"/>
      <c r="G660" s="69"/>
      <c r="H660" s="74" t="str">
        <f aca="false">IF(A660="","",IFERROR(INDEX(السندات!$C$5:$C$504,MATCH(A660,السندات!$A$5:$A$504,0)),""))</f>
        <v/>
      </c>
      <c r="I660" s="75" t="str">
        <f aca="false">IF(A660="","",IFERROR(INDEX(السندات!$D$5:$D$504,MATCH(A660,السندات!$A$5:$A$504,0)),""))</f>
        <v/>
      </c>
      <c r="J660" s="76" t="str">
        <f aca="false">IF(A660="","",IF(ISNA(MATCH(A660,السندات!$A$5:$A$504,0)),"رقم سند غير موجود ✘",IF(AND(F660&lt;&gt;"",G660&lt;&gt;""),"اكتب مدين أو دائن فقط ✘",IF(AND(N(F660)=0,N(G660)=0),"بدون مبلغ ⚠",IF(B660&gt;12,"يتجاوز 12 بنداً في الطباعة ⚠","")))))</f>
        <v/>
      </c>
    </row>
    <row r="661" customFormat="false" ht="15" hidden="false" customHeight="false" outlineLevel="0" collapsed="false">
      <c r="A661" s="58"/>
      <c r="B661" s="68" t="str">
        <f aca="false">IF(A661="","",COUNTIF(A$5:A661,A661))</f>
        <v/>
      </c>
      <c r="C661" s="68" t="str">
        <f aca="false">IF(A661="","",A661&amp;"-"&amp;B661)</f>
        <v/>
      </c>
      <c r="D661" s="58"/>
      <c r="E661" s="57"/>
      <c r="F661" s="69"/>
      <c r="G661" s="69"/>
      <c r="H661" s="70" t="str">
        <f aca="false">IF(A661="","",IFERROR(INDEX(السندات!$C$5:$C$504,MATCH(A661,السندات!$A$5:$A$504,0)),""))</f>
        <v/>
      </c>
      <c r="I661" s="71" t="str">
        <f aca="false">IF(A661="","",IFERROR(INDEX(السندات!$D$5:$D$504,MATCH(A661,السندات!$A$5:$A$504,0)),""))</f>
        <v/>
      </c>
      <c r="J661" s="72" t="str">
        <f aca="false">IF(A661="","",IF(ISNA(MATCH(A661,السندات!$A$5:$A$504,0)),"رقم سند غير موجود ✘",IF(AND(F661&lt;&gt;"",G661&lt;&gt;""),"اكتب مدين أو دائن فقط ✘",IF(AND(N(F661)=0,N(G661)=0),"بدون مبلغ ⚠",IF(B661&gt;12,"يتجاوز 12 بنداً في الطباعة ⚠","")))))</f>
        <v/>
      </c>
    </row>
    <row r="662" customFormat="false" ht="15" hidden="false" customHeight="false" outlineLevel="0" collapsed="false">
      <c r="A662" s="58"/>
      <c r="B662" s="73" t="str">
        <f aca="false">IF(A662="","",COUNTIF(A$5:A662,A662))</f>
        <v/>
      </c>
      <c r="C662" s="73" t="str">
        <f aca="false">IF(A662="","",A662&amp;"-"&amp;B662)</f>
        <v/>
      </c>
      <c r="D662" s="58"/>
      <c r="E662" s="57"/>
      <c r="F662" s="69"/>
      <c r="G662" s="69"/>
      <c r="H662" s="74" t="str">
        <f aca="false">IF(A662="","",IFERROR(INDEX(السندات!$C$5:$C$504,MATCH(A662,السندات!$A$5:$A$504,0)),""))</f>
        <v/>
      </c>
      <c r="I662" s="75" t="str">
        <f aca="false">IF(A662="","",IFERROR(INDEX(السندات!$D$5:$D$504,MATCH(A662,السندات!$A$5:$A$504,0)),""))</f>
        <v/>
      </c>
      <c r="J662" s="76" t="str">
        <f aca="false">IF(A662="","",IF(ISNA(MATCH(A662,السندات!$A$5:$A$504,0)),"رقم سند غير موجود ✘",IF(AND(F662&lt;&gt;"",G662&lt;&gt;""),"اكتب مدين أو دائن فقط ✘",IF(AND(N(F662)=0,N(G662)=0),"بدون مبلغ ⚠",IF(B662&gt;12,"يتجاوز 12 بنداً في الطباعة ⚠","")))))</f>
        <v/>
      </c>
    </row>
    <row r="663" customFormat="false" ht="15" hidden="false" customHeight="false" outlineLevel="0" collapsed="false">
      <c r="A663" s="58"/>
      <c r="B663" s="68" t="str">
        <f aca="false">IF(A663="","",COUNTIF(A$5:A663,A663))</f>
        <v/>
      </c>
      <c r="C663" s="68" t="str">
        <f aca="false">IF(A663="","",A663&amp;"-"&amp;B663)</f>
        <v/>
      </c>
      <c r="D663" s="58"/>
      <c r="E663" s="57"/>
      <c r="F663" s="69"/>
      <c r="G663" s="69"/>
      <c r="H663" s="70" t="str">
        <f aca="false">IF(A663="","",IFERROR(INDEX(السندات!$C$5:$C$504,MATCH(A663,السندات!$A$5:$A$504,0)),""))</f>
        <v/>
      </c>
      <c r="I663" s="71" t="str">
        <f aca="false">IF(A663="","",IFERROR(INDEX(السندات!$D$5:$D$504,MATCH(A663,السندات!$A$5:$A$504,0)),""))</f>
        <v/>
      </c>
      <c r="J663" s="72" t="str">
        <f aca="false">IF(A663="","",IF(ISNA(MATCH(A663,السندات!$A$5:$A$504,0)),"رقم سند غير موجود ✘",IF(AND(F663&lt;&gt;"",G663&lt;&gt;""),"اكتب مدين أو دائن فقط ✘",IF(AND(N(F663)=0,N(G663)=0),"بدون مبلغ ⚠",IF(B663&gt;12,"يتجاوز 12 بنداً في الطباعة ⚠","")))))</f>
        <v/>
      </c>
    </row>
    <row r="664" customFormat="false" ht="15" hidden="false" customHeight="false" outlineLevel="0" collapsed="false">
      <c r="A664" s="58"/>
      <c r="B664" s="73" t="str">
        <f aca="false">IF(A664="","",COUNTIF(A$5:A664,A664))</f>
        <v/>
      </c>
      <c r="C664" s="73" t="str">
        <f aca="false">IF(A664="","",A664&amp;"-"&amp;B664)</f>
        <v/>
      </c>
      <c r="D664" s="58"/>
      <c r="E664" s="57"/>
      <c r="F664" s="69"/>
      <c r="G664" s="69"/>
      <c r="H664" s="74" t="str">
        <f aca="false">IF(A664="","",IFERROR(INDEX(السندات!$C$5:$C$504,MATCH(A664,السندات!$A$5:$A$504,0)),""))</f>
        <v/>
      </c>
      <c r="I664" s="75" t="str">
        <f aca="false">IF(A664="","",IFERROR(INDEX(السندات!$D$5:$D$504,MATCH(A664,السندات!$A$5:$A$504,0)),""))</f>
        <v/>
      </c>
      <c r="J664" s="76" t="str">
        <f aca="false">IF(A664="","",IF(ISNA(MATCH(A664,السندات!$A$5:$A$504,0)),"رقم سند غير موجود ✘",IF(AND(F664&lt;&gt;"",G664&lt;&gt;""),"اكتب مدين أو دائن فقط ✘",IF(AND(N(F664)=0,N(G664)=0),"بدون مبلغ ⚠",IF(B664&gt;12,"يتجاوز 12 بنداً في الطباعة ⚠","")))))</f>
        <v/>
      </c>
    </row>
    <row r="665" customFormat="false" ht="15" hidden="false" customHeight="false" outlineLevel="0" collapsed="false">
      <c r="A665" s="58"/>
      <c r="B665" s="68" t="str">
        <f aca="false">IF(A665="","",COUNTIF(A$5:A665,A665))</f>
        <v/>
      </c>
      <c r="C665" s="68" t="str">
        <f aca="false">IF(A665="","",A665&amp;"-"&amp;B665)</f>
        <v/>
      </c>
      <c r="D665" s="58"/>
      <c r="E665" s="57"/>
      <c r="F665" s="69"/>
      <c r="G665" s="69"/>
      <c r="H665" s="70" t="str">
        <f aca="false">IF(A665="","",IFERROR(INDEX(السندات!$C$5:$C$504,MATCH(A665,السندات!$A$5:$A$504,0)),""))</f>
        <v/>
      </c>
      <c r="I665" s="71" t="str">
        <f aca="false">IF(A665="","",IFERROR(INDEX(السندات!$D$5:$D$504,MATCH(A665,السندات!$A$5:$A$504,0)),""))</f>
        <v/>
      </c>
      <c r="J665" s="72" t="str">
        <f aca="false">IF(A665="","",IF(ISNA(MATCH(A665,السندات!$A$5:$A$504,0)),"رقم سند غير موجود ✘",IF(AND(F665&lt;&gt;"",G665&lt;&gt;""),"اكتب مدين أو دائن فقط ✘",IF(AND(N(F665)=0,N(G665)=0),"بدون مبلغ ⚠",IF(B665&gt;12,"يتجاوز 12 بنداً في الطباعة ⚠","")))))</f>
        <v/>
      </c>
    </row>
    <row r="666" customFormat="false" ht="15" hidden="false" customHeight="false" outlineLevel="0" collapsed="false">
      <c r="A666" s="58"/>
      <c r="B666" s="73" t="str">
        <f aca="false">IF(A666="","",COUNTIF(A$5:A666,A666))</f>
        <v/>
      </c>
      <c r="C666" s="73" t="str">
        <f aca="false">IF(A666="","",A666&amp;"-"&amp;B666)</f>
        <v/>
      </c>
      <c r="D666" s="58"/>
      <c r="E666" s="57"/>
      <c r="F666" s="69"/>
      <c r="G666" s="69"/>
      <c r="H666" s="74" t="str">
        <f aca="false">IF(A666="","",IFERROR(INDEX(السندات!$C$5:$C$504,MATCH(A666,السندات!$A$5:$A$504,0)),""))</f>
        <v/>
      </c>
      <c r="I666" s="75" t="str">
        <f aca="false">IF(A666="","",IFERROR(INDEX(السندات!$D$5:$D$504,MATCH(A666,السندات!$A$5:$A$504,0)),""))</f>
        <v/>
      </c>
      <c r="J666" s="76" t="str">
        <f aca="false">IF(A666="","",IF(ISNA(MATCH(A666,السندات!$A$5:$A$504,0)),"رقم سند غير موجود ✘",IF(AND(F666&lt;&gt;"",G666&lt;&gt;""),"اكتب مدين أو دائن فقط ✘",IF(AND(N(F666)=0,N(G666)=0),"بدون مبلغ ⚠",IF(B666&gt;12,"يتجاوز 12 بنداً في الطباعة ⚠","")))))</f>
        <v/>
      </c>
    </row>
    <row r="667" customFormat="false" ht="15" hidden="false" customHeight="false" outlineLevel="0" collapsed="false">
      <c r="A667" s="58"/>
      <c r="B667" s="68" t="str">
        <f aca="false">IF(A667="","",COUNTIF(A$5:A667,A667))</f>
        <v/>
      </c>
      <c r="C667" s="68" t="str">
        <f aca="false">IF(A667="","",A667&amp;"-"&amp;B667)</f>
        <v/>
      </c>
      <c r="D667" s="58"/>
      <c r="E667" s="57"/>
      <c r="F667" s="69"/>
      <c r="G667" s="69"/>
      <c r="H667" s="70" t="str">
        <f aca="false">IF(A667="","",IFERROR(INDEX(السندات!$C$5:$C$504,MATCH(A667,السندات!$A$5:$A$504,0)),""))</f>
        <v/>
      </c>
      <c r="I667" s="71" t="str">
        <f aca="false">IF(A667="","",IFERROR(INDEX(السندات!$D$5:$D$504,MATCH(A667,السندات!$A$5:$A$504,0)),""))</f>
        <v/>
      </c>
      <c r="J667" s="72" t="str">
        <f aca="false">IF(A667="","",IF(ISNA(MATCH(A667,السندات!$A$5:$A$504,0)),"رقم سند غير موجود ✘",IF(AND(F667&lt;&gt;"",G667&lt;&gt;""),"اكتب مدين أو دائن فقط ✘",IF(AND(N(F667)=0,N(G667)=0),"بدون مبلغ ⚠",IF(B667&gt;12,"يتجاوز 12 بنداً في الطباعة ⚠","")))))</f>
        <v/>
      </c>
    </row>
    <row r="668" customFormat="false" ht="15" hidden="false" customHeight="false" outlineLevel="0" collapsed="false">
      <c r="A668" s="58"/>
      <c r="B668" s="73" t="str">
        <f aca="false">IF(A668="","",COUNTIF(A$5:A668,A668))</f>
        <v/>
      </c>
      <c r="C668" s="73" t="str">
        <f aca="false">IF(A668="","",A668&amp;"-"&amp;B668)</f>
        <v/>
      </c>
      <c r="D668" s="58"/>
      <c r="E668" s="57"/>
      <c r="F668" s="69"/>
      <c r="G668" s="69"/>
      <c r="H668" s="74" t="str">
        <f aca="false">IF(A668="","",IFERROR(INDEX(السندات!$C$5:$C$504,MATCH(A668,السندات!$A$5:$A$504,0)),""))</f>
        <v/>
      </c>
      <c r="I668" s="75" t="str">
        <f aca="false">IF(A668="","",IFERROR(INDEX(السندات!$D$5:$D$504,MATCH(A668,السندات!$A$5:$A$504,0)),""))</f>
        <v/>
      </c>
      <c r="J668" s="76" t="str">
        <f aca="false">IF(A668="","",IF(ISNA(MATCH(A668,السندات!$A$5:$A$504,0)),"رقم سند غير موجود ✘",IF(AND(F668&lt;&gt;"",G668&lt;&gt;""),"اكتب مدين أو دائن فقط ✘",IF(AND(N(F668)=0,N(G668)=0),"بدون مبلغ ⚠",IF(B668&gt;12,"يتجاوز 12 بنداً في الطباعة ⚠","")))))</f>
        <v/>
      </c>
    </row>
    <row r="669" customFormat="false" ht="15" hidden="false" customHeight="false" outlineLevel="0" collapsed="false">
      <c r="A669" s="58"/>
      <c r="B669" s="68" t="str">
        <f aca="false">IF(A669="","",COUNTIF(A$5:A669,A669))</f>
        <v/>
      </c>
      <c r="C669" s="68" t="str">
        <f aca="false">IF(A669="","",A669&amp;"-"&amp;B669)</f>
        <v/>
      </c>
      <c r="D669" s="58"/>
      <c r="E669" s="57"/>
      <c r="F669" s="69"/>
      <c r="G669" s="69"/>
      <c r="H669" s="70" t="str">
        <f aca="false">IF(A669="","",IFERROR(INDEX(السندات!$C$5:$C$504,MATCH(A669,السندات!$A$5:$A$504,0)),""))</f>
        <v/>
      </c>
      <c r="I669" s="71" t="str">
        <f aca="false">IF(A669="","",IFERROR(INDEX(السندات!$D$5:$D$504,MATCH(A669,السندات!$A$5:$A$504,0)),""))</f>
        <v/>
      </c>
      <c r="J669" s="72" t="str">
        <f aca="false">IF(A669="","",IF(ISNA(MATCH(A669,السندات!$A$5:$A$504,0)),"رقم سند غير موجود ✘",IF(AND(F669&lt;&gt;"",G669&lt;&gt;""),"اكتب مدين أو دائن فقط ✘",IF(AND(N(F669)=0,N(G669)=0),"بدون مبلغ ⚠",IF(B669&gt;12,"يتجاوز 12 بنداً في الطباعة ⚠","")))))</f>
        <v/>
      </c>
    </row>
    <row r="670" customFormat="false" ht="15" hidden="false" customHeight="false" outlineLevel="0" collapsed="false">
      <c r="A670" s="58"/>
      <c r="B670" s="73" t="str">
        <f aca="false">IF(A670="","",COUNTIF(A$5:A670,A670))</f>
        <v/>
      </c>
      <c r="C670" s="73" t="str">
        <f aca="false">IF(A670="","",A670&amp;"-"&amp;B670)</f>
        <v/>
      </c>
      <c r="D670" s="58"/>
      <c r="E670" s="57"/>
      <c r="F670" s="69"/>
      <c r="G670" s="69"/>
      <c r="H670" s="74" t="str">
        <f aca="false">IF(A670="","",IFERROR(INDEX(السندات!$C$5:$C$504,MATCH(A670,السندات!$A$5:$A$504,0)),""))</f>
        <v/>
      </c>
      <c r="I670" s="75" t="str">
        <f aca="false">IF(A670="","",IFERROR(INDEX(السندات!$D$5:$D$504,MATCH(A670,السندات!$A$5:$A$504,0)),""))</f>
        <v/>
      </c>
      <c r="J670" s="76" t="str">
        <f aca="false">IF(A670="","",IF(ISNA(MATCH(A670,السندات!$A$5:$A$504,0)),"رقم سند غير موجود ✘",IF(AND(F670&lt;&gt;"",G670&lt;&gt;""),"اكتب مدين أو دائن فقط ✘",IF(AND(N(F670)=0,N(G670)=0),"بدون مبلغ ⚠",IF(B670&gt;12,"يتجاوز 12 بنداً في الطباعة ⚠","")))))</f>
        <v/>
      </c>
    </row>
    <row r="671" customFormat="false" ht="15" hidden="false" customHeight="false" outlineLevel="0" collapsed="false">
      <c r="A671" s="58"/>
      <c r="B671" s="68" t="str">
        <f aca="false">IF(A671="","",COUNTIF(A$5:A671,A671))</f>
        <v/>
      </c>
      <c r="C671" s="68" t="str">
        <f aca="false">IF(A671="","",A671&amp;"-"&amp;B671)</f>
        <v/>
      </c>
      <c r="D671" s="58"/>
      <c r="E671" s="57"/>
      <c r="F671" s="69"/>
      <c r="G671" s="69"/>
      <c r="H671" s="70" t="str">
        <f aca="false">IF(A671="","",IFERROR(INDEX(السندات!$C$5:$C$504,MATCH(A671,السندات!$A$5:$A$504,0)),""))</f>
        <v/>
      </c>
      <c r="I671" s="71" t="str">
        <f aca="false">IF(A671="","",IFERROR(INDEX(السندات!$D$5:$D$504,MATCH(A671,السندات!$A$5:$A$504,0)),""))</f>
        <v/>
      </c>
      <c r="J671" s="72" t="str">
        <f aca="false">IF(A671="","",IF(ISNA(MATCH(A671,السندات!$A$5:$A$504,0)),"رقم سند غير موجود ✘",IF(AND(F671&lt;&gt;"",G671&lt;&gt;""),"اكتب مدين أو دائن فقط ✘",IF(AND(N(F671)=0,N(G671)=0),"بدون مبلغ ⚠",IF(B671&gt;12,"يتجاوز 12 بنداً في الطباعة ⚠","")))))</f>
        <v/>
      </c>
    </row>
    <row r="672" customFormat="false" ht="15" hidden="false" customHeight="false" outlineLevel="0" collapsed="false">
      <c r="A672" s="58"/>
      <c r="B672" s="73" t="str">
        <f aca="false">IF(A672="","",COUNTIF(A$5:A672,A672))</f>
        <v/>
      </c>
      <c r="C672" s="73" t="str">
        <f aca="false">IF(A672="","",A672&amp;"-"&amp;B672)</f>
        <v/>
      </c>
      <c r="D672" s="58"/>
      <c r="E672" s="57"/>
      <c r="F672" s="69"/>
      <c r="G672" s="69"/>
      <c r="H672" s="74" t="str">
        <f aca="false">IF(A672="","",IFERROR(INDEX(السندات!$C$5:$C$504,MATCH(A672,السندات!$A$5:$A$504,0)),""))</f>
        <v/>
      </c>
      <c r="I672" s="75" t="str">
        <f aca="false">IF(A672="","",IFERROR(INDEX(السندات!$D$5:$D$504,MATCH(A672,السندات!$A$5:$A$504,0)),""))</f>
        <v/>
      </c>
      <c r="J672" s="76" t="str">
        <f aca="false">IF(A672="","",IF(ISNA(MATCH(A672,السندات!$A$5:$A$504,0)),"رقم سند غير موجود ✘",IF(AND(F672&lt;&gt;"",G672&lt;&gt;""),"اكتب مدين أو دائن فقط ✘",IF(AND(N(F672)=0,N(G672)=0),"بدون مبلغ ⚠",IF(B672&gt;12,"يتجاوز 12 بنداً في الطباعة ⚠","")))))</f>
        <v/>
      </c>
    </row>
    <row r="673" customFormat="false" ht="15" hidden="false" customHeight="false" outlineLevel="0" collapsed="false">
      <c r="A673" s="58"/>
      <c r="B673" s="68" t="str">
        <f aca="false">IF(A673="","",COUNTIF(A$5:A673,A673))</f>
        <v/>
      </c>
      <c r="C673" s="68" t="str">
        <f aca="false">IF(A673="","",A673&amp;"-"&amp;B673)</f>
        <v/>
      </c>
      <c r="D673" s="58"/>
      <c r="E673" s="57"/>
      <c r="F673" s="69"/>
      <c r="G673" s="69"/>
      <c r="H673" s="70" t="str">
        <f aca="false">IF(A673="","",IFERROR(INDEX(السندات!$C$5:$C$504,MATCH(A673,السندات!$A$5:$A$504,0)),""))</f>
        <v/>
      </c>
      <c r="I673" s="71" t="str">
        <f aca="false">IF(A673="","",IFERROR(INDEX(السندات!$D$5:$D$504,MATCH(A673,السندات!$A$5:$A$504,0)),""))</f>
        <v/>
      </c>
      <c r="J673" s="72" t="str">
        <f aca="false">IF(A673="","",IF(ISNA(MATCH(A673,السندات!$A$5:$A$504,0)),"رقم سند غير موجود ✘",IF(AND(F673&lt;&gt;"",G673&lt;&gt;""),"اكتب مدين أو دائن فقط ✘",IF(AND(N(F673)=0,N(G673)=0),"بدون مبلغ ⚠",IF(B673&gt;12,"يتجاوز 12 بنداً في الطباعة ⚠","")))))</f>
        <v/>
      </c>
    </row>
    <row r="674" customFormat="false" ht="15" hidden="false" customHeight="false" outlineLevel="0" collapsed="false">
      <c r="A674" s="58"/>
      <c r="B674" s="73" t="str">
        <f aca="false">IF(A674="","",COUNTIF(A$5:A674,A674))</f>
        <v/>
      </c>
      <c r="C674" s="73" t="str">
        <f aca="false">IF(A674="","",A674&amp;"-"&amp;B674)</f>
        <v/>
      </c>
      <c r="D674" s="58"/>
      <c r="E674" s="57"/>
      <c r="F674" s="69"/>
      <c r="G674" s="69"/>
      <c r="H674" s="74" t="str">
        <f aca="false">IF(A674="","",IFERROR(INDEX(السندات!$C$5:$C$504,MATCH(A674,السندات!$A$5:$A$504,0)),""))</f>
        <v/>
      </c>
      <c r="I674" s="75" t="str">
        <f aca="false">IF(A674="","",IFERROR(INDEX(السندات!$D$5:$D$504,MATCH(A674,السندات!$A$5:$A$504,0)),""))</f>
        <v/>
      </c>
      <c r="J674" s="76" t="str">
        <f aca="false">IF(A674="","",IF(ISNA(MATCH(A674,السندات!$A$5:$A$504,0)),"رقم سند غير موجود ✘",IF(AND(F674&lt;&gt;"",G674&lt;&gt;""),"اكتب مدين أو دائن فقط ✘",IF(AND(N(F674)=0,N(G674)=0),"بدون مبلغ ⚠",IF(B674&gt;12,"يتجاوز 12 بنداً في الطباعة ⚠","")))))</f>
        <v/>
      </c>
    </row>
    <row r="675" customFormat="false" ht="15" hidden="false" customHeight="false" outlineLevel="0" collapsed="false">
      <c r="A675" s="58"/>
      <c r="B675" s="68" t="str">
        <f aca="false">IF(A675="","",COUNTIF(A$5:A675,A675))</f>
        <v/>
      </c>
      <c r="C675" s="68" t="str">
        <f aca="false">IF(A675="","",A675&amp;"-"&amp;B675)</f>
        <v/>
      </c>
      <c r="D675" s="58"/>
      <c r="E675" s="57"/>
      <c r="F675" s="69"/>
      <c r="G675" s="69"/>
      <c r="H675" s="70" t="str">
        <f aca="false">IF(A675="","",IFERROR(INDEX(السندات!$C$5:$C$504,MATCH(A675,السندات!$A$5:$A$504,0)),""))</f>
        <v/>
      </c>
      <c r="I675" s="71" t="str">
        <f aca="false">IF(A675="","",IFERROR(INDEX(السندات!$D$5:$D$504,MATCH(A675,السندات!$A$5:$A$504,0)),""))</f>
        <v/>
      </c>
      <c r="J675" s="72" t="str">
        <f aca="false">IF(A675="","",IF(ISNA(MATCH(A675,السندات!$A$5:$A$504,0)),"رقم سند غير موجود ✘",IF(AND(F675&lt;&gt;"",G675&lt;&gt;""),"اكتب مدين أو دائن فقط ✘",IF(AND(N(F675)=0,N(G675)=0),"بدون مبلغ ⚠",IF(B675&gt;12,"يتجاوز 12 بنداً في الطباعة ⚠","")))))</f>
        <v/>
      </c>
    </row>
    <row r="676" customFormat="false" ht="15" hidden="false" customHeight="false" outlineLevel="0" collapsed="false">
      <c r="A676" s="58"/>
      <c r="B676" s="73" t="str">
        <f aca="false">IF(A676="","",COUNTIF(A$5:A676,A676))</f>
        <v/>
      </c>
      <c r="C676" s="73" t="str">
        <f aca="false">IF(A676="","",A676&amp;"-"&amp;B676)</f>
        <v/>
      </c>
      <c r="D676" s="58"/>
      <c r="E676" s="57"/>
      <c r="F676" s="69"/>
      <c r="G676" s="69"/>
      <c r="H676" s="74" t="str">
        <f aca="false">IF(A676="","",IFERROR(INDEX(السندات!$C$5:$C$504,MATCH(A676,السندات!$A$5:$A$504,0)),""))</f>
        <v/>
      </c>
      <c r="I676" s="75" t="str">
        <f aca="false">IF(A676="","",IFERROR(INDEX(السندات!$D$5:$D$504,MATCH(A676,السندات!$A$5:$A$504,0)),""))</f>
        <v/>
      </c>
      <c r="J676" s="76" t="str">
        <f aca="false">IF(A676="","",IF(ISNA(MATCH(A676,السندات!$A$5:$A$504,0)),"رقم سند غير موجود ✘",IF(AND(F676&lt;&gt;"",G676&lt;&gt;""),"اكتب مدين أو دائن فقط ✘",IF(AND(N(F676)=0,N(G676)=0),"بدون مبلغ ⚠",IF(B676&gt;12,"يتجاوز 12 بنداً في الطباعة ⚠","")))))</f>
        <v/>
      </c>
    </row>
    <row r="677" customFormat="false" ht="15" hidden="false" customHeight="false" outlineLevel="0" collapsed="false">
      <c r="A677" s="58"/>
      <c r="B677" s="68" t="str">
        <f aca="false">IF(A677="","",COUNTIF(A$5:A677,A677))</f>
        <v/>
      </c>
      <c r="C677" s="68" t="str">
        <f aca="false">IF(A677="","",A677&amp;"-"&amp;B677)</f>
        <v/>
      </c>
      <c r="D677" s="58"/>
      <c r="E677" s="57"/>
      <c r="F677" s="69"/>
      <c r="G677" s="69"/>
      <c r="H677" s="70" t="str">
        <f aca="false">IF(A677="","",IFERROR(INDEX(السندات!$C$5:$C$504,MATCH(A677,السندات!$A$5:$A$504,0)),""))</f>
        <v/>
      </c>
      <c r="I677" s="71" t="str">
        <f aca="false">IF(A677="","",IFERROR(INDEX(السندات!$D$5:$D$504,MATCH(A677,السندات!$A$5:$A$504,0)),""))</f>
        <v/>
      </c>
      <c r="J677" s="72" t="str">
        <f aca="false">IF(A677="","",IF(ISNA(MATCH(A677,السندات!$A$5:$A$504,0)),"رقم سند غير موجود ✘",IF(AND(F677&lt;&gt;"",G677&lt;&gt;""),"اكتب مدين أو دائن فقط ✘",IF(AND(N(F677)=0,N(G677)=0),"بدون مبلغ ⚠",IF(B677&gt;12,"يتجاوز 12 بنداً في الطباعة ⚠","")))))</f>
        <v/>
      </c>
    </row>
    <row r="678" customFormat="false" ht="15" hidden="false" customHeight="false" outlineLevel="0" collapsed="false">
      <c r="A678" s="58"/>
      <c r="B678" s="73" t="str">
        <f aca="false">IF(A678="","",COUNTIF(A$5:A678,A678))</f>
        <v/>
      </c>
      <c r="C678" s="73" t="str">
        <f aca="false">IF(A678="","",A678&amp;"-"&amp;B678)</f>
        <v/>
      </c>
      <c r="D678" s="58"/>
      <c r="E678" s="57"/>
      <c r="F678" s="69"/>
      <c r="G678" s="69"/>
      <c r="H678" s="74" t="str">
        <f aca="false">IF(A678="","",IFERROR(INDEX(السندات!$C$5:$C$504,MATCH(A678,السندات!$A$5:$A$504,0)),""))</f>
        <v/>
      </c>
      <c r="I678" s="75" t="str">
        <f aca="false">IF(A678="","",IFERROR(INDEX(السندات!$D$5:$D$504,MATCH(A678,السندات!$A$5:$A$504,0)),""))</f>
        <v/>
      </c>
      <c r="J678" s="76" t="str">
        <f aca="false">IF(A678="","",IF(ISNA(MATCH(A678,السندات!$A$5:$A$504,0)),"رقم سند غير موجود ✘",IF(AND(F678&lt;&gt;"",G678&lt;&gt;""),"اكتب مدين أو دائن فقط ✘",IF(AND(N(F678)=0,N(G678)=0),"بدون مبلغ ⚠",IF(B678&gt;12,"يتجاوز 12 بنداً في الطباعة ⚠","")))))</f>
        <v/>
      </c>
    </row>
    <row r="679" customFormat="false" ht="15" hidden="false" customHeight="false" outlineLevel="0" collapsed="false">
      <c r="A679" s="58"/>
      <c r="B679" s="68" t="str">
        <f aca="false">IF(A679="","",COUNTIF(A$5:A679,A679))</f>
        <v/>
      </c>
      <c r="C679" s="68" t="str">
        <f aca="false">IF(A679="","",A679&amp;"-"&amp;B679)</f>
        <v/>
      </c>
      <c r="D679" s="58"/>
      <c r="E679" s="57"/>
      <c r="F679" s="69"/>
      <c r="G679" s="69"/>
      <c r="H679" s="70" t="str">
        <f aca="false">IF(A679="","",IFERROR(INDEX(السندات!$C$5:$C$504,MATCH(A679,السندات!$A$5:$A$504,0)),""))</f>
        <v/>
      </c>
      <c r="I679" s="71" t="str">
        <f aca="false">IF(A679="","",IFERROR(INDEX(السندات!$D$5:$D$504,MATCH(A679,السندات!$A$5:$A$504,0)),""))</f>
        <v/>
      </c>
      <c r="J679" s="72" t="str">
        <f aca="false">IF(A679="","",IF(ISNA(MATCH(A679,السندات!$A$5:$A$504,0)),"رقم سند غير موجود ✘",IF(AND(F679&lt;&gt;"",G679&lt;&gt;""),"اكتب مدين أو دائن فقط ✘",IF(AND(N(F679)=0,N(G679)=0),"بدون مبلغ ⚠",IF(B679&gt;12,"يتجاوز 12 بنداً في الطباعة ⚠","")))))</f>
        <v/>
      </c>
    </row>
    <row r="680" customFormat="false" ht="15" hidden="false" customHeight="false" outlineLevel="0" collapsed="false">
      <c r="A680" s="58"/>
      <c r="B680" s="73" t="str">
        <f aca="false">IF(A680="","",COUNTIF(A$5:A680,A680))</f>
        <v/>
      </c>
      <c r="C680" s="73" t="str">
        <f aca="false">IF(A680="","",A680&amp;"-"&amp;B680)</f>
        <v/>
      </c>
      <c r="D680" s="58"/>
      <c r="E680" s="57"/>
      <c r="F680" s="69"/>
      <c r="G680" s="69"/>
      <c r="H680" s="74" t="str">
        <f aca="false">IF(A680="","",IFERROR(INDEX(السندات!$C$5:$C$504,MATCH(A680,السندات!$A$5:$A$504,0)),""))</f>
        <v/>
      </c>
      <c r="I680" s="75" t="str">
        <f aca="false">IF(A680="","",IFERROR(INDEX(السندات!$D$5:$D$504,MATCH(A680,السندات!$A$5:$A$504,0)),""))</f>
        <v/>
      </c>
      <c r="J680" s="76" t="str">
        <f aca="false">IF(A680="","",IF(ISNA(MATCH(A680,السندات!$A$5:$A$504,0)),"رقم سند غير موجود ✘",IF(AND(F680&lt;&gt;"",G680&lt;&gt;""),"اكتب مدين أو دائن فقط ✘",IF(AND(N(F680)=0,N(G680)=0),"بدون مبلغ ⚠",IF(B680&gt;12,"يتجاوز 12 بنداً في الطباعة ⚠","")))))</f>
        <v/>
      </c>
    </row>
    <row r="681" customFormat="false" ht="15" hidden="false" customHeight="false" outlineLevel="0" collapsed="false">
      <c r="A681" s="58"/>
      <c r="B681" s="68" t="str">
        <f aca="false">IF(A681="","",COUNTIF(A$5:A681,A681))</f>
        <v/>
      </c>
      <c r="C681" s="68" t="str">
        <f aca="false">IF(A681="","",A681&amp;"-"&amp;B681)</f>
        <v/>
      </c>
      <c r="D681" s="58"/>
      <c r="E681" s="57"/>
      <c r="F681" s="69"/>
      <c r="G681" s="69"/>
      <c r="H681" s="70" t="str">
        <f aca="false">IF(A681="","",IFERROR(INDEX(السندات!$C$5:$C$504,MATCH(A681,السندات!$A$5:$A$504,0)),""))</f>
        <v/>
      </c>
      <c r="I681" s="71" t="str">
        <f aca="false">IF(A681="","",IFERROR(INDEX(السندات!$D$5:$D$504,MATCH(A681,السندات!$A$5:$A$504,0)),""))</f>
        <v/>
      </c>
      <c r="J681" s="72" t="str">
        <f aca="false">IF(A681="","",IF(ISNA(MATCH(A681,السندات!$A$5:$A$504,0)),"رقم سند غير موجود ✘",IF(AND(F681&lt;&gt;"",G681&lt;&gt;""),"اكتب مدين أو دائن فقط ✘",IF(AND(N(F681)=0,N(G681)=0),"بدون مبلغ ⚠",IF(B681&gt;12,"يتجاوز 12 بنداً في الطباعة ⚠","")))))</f>
        <v/>
      </c>
    </row>
    <row r="682" customFormat="false" ht="15" hidden="false" customHeight="false" outlineLevel="0" collapsed="false">
      <c r="A682" s="58"/>
      <c r="B682" s="73" t="str">
        <f aca="false">IF(A682="","",COUNTIF(A$5:A682,A682))</f>
        <v/>
      </c>
      <c r="C682" s="73" t="str">
        <f aca="false">IF(A682="","",A682&amp;"-"&amp;B682)</f>
        <v/>
      </c>
      <c r="D682" s="58"/>
      <c r="E682" s="57"/>
      <c r="F682" s="69"/>
      <c r="G682" s="69"/>
      <c r="H682" s="74" t="str">
        <f aca="false">IF(A682="","",IFERROR(INDEX(السندات!$C$5:$C$504,MATCH(A682,السندات!$A$5:$A$504,0)),""))</f>
        <v/>
      </c>
      <c r="I682" s="75" t="str">
        <f aca="false">IF(A682="","",IFERROR(INDEX(السندات!$D$5:$D$504,MATCH(A682,السندات!$A$5:$A$504,0)),""))</f>
        <v/>
      </c>
      <c r="J682" s="76" t="str">
        <f aca="false">IF(A682="","",IF(ISNA(MATCH(A682,السندات!$A$5:$A$504,0)),"رقم سند غير موجود ✘",IF(AND(F682&lt;&gt;"",G682&lt;&gt;""),"اكتب مدين أو دائن فقط ✘",IF(AND(N(F682)=0,N(G682)=0),"بدون مبلغ ⚠",IF(B682&gt;12,"يتجاوز 12 بنداً في الطباعة ⚠","")))))</f>
        <v/>
      </c>
    </row>
    <row r="683" customFormat="false" ht="15" hidden="false" customHeight="false" outlineLevel="0" collapsed="false">
      <c r="A683" s="58"/>
      <c r="B683" s="68" t="str">
        <f aca="false">IF(A683="","",COUNTIF(A$5:A683,A683))</f>
        <v/>
      </c>
      <c r="C683" s="68" t="str">
        <f aca="false">IF(A683="","",A683&amp;"-"&amp;B683)</f>
        <v/>
      </c>
      <c r="D683" s="58"/>
      <c r="E683" s="57"/>
      <c r="F683" s="69"/>
      <c r="G683" s="69"/>
      <c r="H683" s="70" t="str">
        <f aca="false">IF(A683="","",IFERROR(INDEX(السندات!$C$5:$C$504,MATCH(A683,السندات!$A$5:$A$504,0)),""))</f>
        <v/>
      </c>
      <c r="I683" s="71" t="str">
        <f aca="false">IF(A683="","",IFERROR(INDEX(السندات!$D$5:$D$504,MATCH(A683,السندات!$A$5:$A$504,0)),""))</f>
        <v/>
      </c>
      <c r="J683" s="72" t="str">
        <f aca="false">IF(A683="","",IF(ISNA(MATCH(A683,السندات!$A$5:$A$504,0)),"رقم سند غير موجود ✘",IF(AND(F683&lt;&gt;"",G683&lt;&gt;""),"اكتب مدين أو دائن فقط ✘",IF(AND(N(F683)=0,N(G683)=0),"بدون مبلغ ⚠",IF(B683&gt;12,"يتجاوز 12 بنداً في الطباعة ⚠","")))))</f>
        <v/>
      </c>
    </row>
    <row r="684" customFormat="false" ht="15" hidden="false" customHeight="false" outlineLevel="0" collapsed="false">
      <c r="A684" s="58"/>
      <c r="B684" s="73" t="str">
        <f aca="false">IF(A684="","",COUNTIF(A$5:A684,A684))</f>
        <v/>
      </c>
      <c r="C684" s="73" t="str">
        <f aca="false">IF(A684="","",A684&amp;"-"&amp;B684)</f>
        <v/>
      </c>
      <c r="D684" s="58"/>
      <c r="E684" s="57"/>
      <c r="F684" s="69"/>
      <c r="G684" s="69"/>
      <c r="H684" s="74" t="str">
        <f aca="false">IF(A684="","",IFERROR(INDEX(السندات!$C$5:$C$504,MATCH(A684,السندات!$A$5:$A$504,0)),""))</f>
        <v/>
      </c>
      <c r="I684" s="75" t="str">
        <f aca="false">IF(A684="","",IFERROR(INDEX(السندات!$D$5:$D$504,MATCH(A684,السندات!$A$5:$A$504,0)),""))</f>
        <v/>
      </c>
      <c r="J684" s="76" t="str">
        <f aca="false">IF(A684="","",IF(ISNA(MATCH(A684,السندات!$A$5:$A$504,0)),"رقم سند غير موجود ✘",IF(AND(F684&lt;&gt;"",G684&lt;&gt;""),"اكتب مدين أو دائن فقط ✘",IF(AND(N(F684)=0,N(G684)=0),"بدون مبلغ ⚠",IF(B684&gt;12,"يتجاوز 12 بنداً في الطباعة ⚠","")))))</f>
        <v/>
      </c>
    </row>
    <row r="685" customFormat="false" ht="15" hidden="false" customHeight="false" outlineLevel="0" collapsed="false">
      <c r="A685" s="58"/>
      <c r="B685" s="68" t="str">
        <f aca="false">IF(A685="","",COUNTIF(A$5:A685,A685))</f>
        <v/>
      </c>
      <c r="C685" s="68" t="str">
        <f aca="false">IF(A685="","",A685&amp;"-"&amp;B685)</f>
        <v/>
      </c>
      <c r="D685" s="58"/>
      <c r="E685" s="57"/>
      <c r="F685" s="69"/>
      <c r="G685" s="69"/>
      <c r="H685" s="70" t="str">
        <f aca="false">IF(A685="","",IFERROR(INDEX(السندات!$C$5:$C$504,MATCH(A685,السندات!$A$5:$A$504,0)),""))</f>
        <v/>
      </c>
      <c r="I685" s="71" t="str">
        <f aca="false">IF(A685="","",IFERROR(INDEX(السندات!$D$5:$D$504,MATCH(A685,السندات!$A$5:$A$504,0)),""))</f>
        <v/>
      </c>
      <c r="J685" s="72" t="str">
        <f aca="false">IF(A685="","",IF(ISNA(MATCH(A685,السندات!$A$5:$A$504,0)),"رقم سند غير موجود ✘",IF(AND(F685&lt;&gt;"",G685&lt;&gt;""),"اكتب مدين أو دائن فقط ✘",IF(AND(N(F685)=0,N(G685)=0),"بدون مبلغ ⚠",IF(B685&gt;12,"يتجاوز 12 بنداً في الطباعة ⚠","")))))</f>
        <v/>
      </c>
    </row>
    <row r="686" customFormat="false" ht="15" hidden="false" customHeight="false" outlineLevel="0" collapsed="false">
      <c r="A686" s="58"/>
      <c r="B686" s="73" t="str">
        <f aca="false">IF(A686="","",COUNTIF(A$5:A686,A686))</f>
        <v/>
      </c>
      <c r="C686" s="73" t="str">
        <f aca="false">IF(A686="","",A686&amp;"-"&amp;B686)</f>
        <v/>
      </c>
      <c r="D686" s="58"/>
      <c r="E686" s="57"/>
      <c r="F686" s="69"/>
      <c r="G686" s="69"/>
      <c r="H686" s="74" t="str">
        <f aca="false">IF(A686="","",IFERROR(INDEX(السندات!$C$5:$C$504,MATCH(A686,السندات!$A$5:$A$504,0)),""))</f>
        <v/>
      </c>
      <c r="I686" s="75" t="str">
        <f aca="false">IF(A686="","",IFERROR(INDEX(السندات!$D$5:$D$504,MATCH(A686,السندات!$A$5:$A$504,0)),""))</f>
        <v/>
      </c>
      <c r="J686" s="76" t="str">
        <f aca="false">IF(A686="","",IF(ISNA(MATCH(A686,السندات!$A$5:$A$504,0)),"رقم سند غير موجود ✘",IF(AND(F686&lt;&gt;"",G686&lt;&gt;""),"اكتب مدين أو دائن فقط ✘",IF(AND(N(F686)=0,N(G686)=0),"بدون مبلغ ⚠",IF(B686&gt;12,"يتجاوز 12 بنداً في الطباعة ⚠","")))))</f>
        <v/>
      </c>
    </row>
    <row r="687" customFormat="false" ht="15" hidden="false" customHeight="false" outlineLevel="0" collapsed="false">
      <c r="A687" s="58"/>
      <c r="B687" s="68" t="str">
        <f aca="false">IF(A687="","",COUNTIF(A$5:A687,A687))</f>
        <v/>
      </c>
      <c r="C687" s="68" t="str">
        <f aca="false">IF(A687="","",A687&amp;"-"&amp;B687)</f>
        <v/>
      </c>
      <c r="D687" s="58"/>
      <c r="E687" s="57"/>
      <c r="F687" s="69"/>
      <c r="G687" s="69"/>
      <c r="H687" s="70" t="str">
        <f aca="false">IF(A687="","",IFERROR(INDEX(السندات!$C$5:$C$504,MATCH(A687,السندات!$A$5:$A$504,0)),""))</f>
        <v/>
      </c>
      <c r="I687" s="71" t="str">
        <f aca="false">IF(A687="","",IFERROR(INDEX(السندات!$D$5:$D$504,MATCH(A687,السندات!$A$5:$A$504,0)),""))</f>
        <v/>
      </c>
      <c r="J687" s="72" t="str">
        <f aca="false">IF(A687="","",IF(ISNA(MATCH(A687,السندات!$A$5:$A$504,0)),"رقم سند غير موجود ✘",IF(AND(F687&lt;&gt;"",G687&lt;&gt;""),"اكتب مدين أو دائن فقط ✘",IF(AND(N(F687)=0,N(G687)=0),"بدون مبلغ ⚠",IF(B687&gt;12,"يتجاوز 12 بنداً في الطباعة ⚠","")))))</f>
        <v/>
      </c>
    </row>
    <row r="688" customFormat="false" ht="15" hidden="false" customHeight="false" outlineLevel="0" collapsed="false">
      <c r="A688" s="58"/>
      <c r="B688" s="73" t="str">
        <f aca="false">IF(A688="","",COUNTIF(A$5:A688,A688))</f>
        <v/>
      </c>
      <c r="C688" s="73" t="str">
        <f aca="false">IF(A688="","",A688&amp;"-"&amp;B688)</f>
        <v/>
      </c>
      <c r="D688" s="58"/>
      <c r="E688" s="57"/>
      <c r="F688" s="69"/>
      <c r="G688" s="69"/>
      <c r="H688" s="74" t="str">
        <f aca="false">IF(A688="","",IFERROR(INDEX(السندات!$C$5:$C$504,MATCH(A688,السندات!$A$5:$A$504,0)),""))</f>
        <v/>
      </c>
      <c r="I688" s="75" t="str">
        <f aca="false">IF(A688="","",IFERROR(INDEX(السندات!$D$5:$D$504,MATCH(A688,السندات!$A$5:$A$504,0)),""))</f>
        <v/>
      </c>
      <c r="J688" s="76" t="str">
        <f aca="false">IF(A688="","",IF(ISNA(MATCH(A688,السندات!$A$5:$A$504,0)),"رقم سند غير موجود ✘",IF(AND(F688&lt;&gt;"",G688&lt;&gt;""),"اكتب مدين أو دائن فقط ✘",IF(AND(N(F688)=0,N(G688)=0),"بدون مبلغ ⚠",IF(B688&gt;12,"يتجاوز 12 بنداً في الطباعة ⚠","")))))</f>
        <v/>
      </c>
    </row>
    <row r="689" customFormat="false" ht="15" hidden="false" customHeight="false" outlineLevel="0" collapsed="false">
      <c r="A689" s="58"/>
      <c r="B689" s="68" t="str">
        <f aca="false">IF(A689="","",COUNTIF(A$5:A689,A689))</f>
        <v/>
      </c>
      <c r="C689" s="68" t="str">
        <f aca="false">IF(A689="","",A689&amp;"-"&amp;B689)</f>
        <v/>
      </c>
      <c r="D689" s="58"/>
      <c r="E689" s="57"/>
      <c r="F689" s="69"/>
      <c r="G689" s="69"/>
      <c r="H689" s="70" t="str">
        <f aca="false">IF(A689="","",IFERROR(INDEX(السندات!$C$5:$C$504,MATCH(A689,السندات!$A$5:$A$504,0)),""))</f>
        <v/>
      </c>
      <c r="I689" s="71" t="str">
        <f aca="false">IF(A689="","",IFERROR(INDEX(السندات!$D$5:$D$504,MATCH(A689,السندات!$A$5:$A$504,0)),""))</f>
        <v/>
      </c>
      <c r="J689" s="72" t="str">
        <f aca="false">IF(A689="","",IF(ISNA(MATCH(A689,السندات!$A$5:$A$504,0)),"رقم سند غير موجود ✘",IF(AND(F689&lt;&gt;"",G689&lt;&gt;""),"اكتب مدين أو دائن فقط ✘",IF(AND(N(F689)=0,N(G689)=0),"بدون مبلغ ⚠",IF(B689&gt;12,"يتجاوز 12 بنداً في الطباعة ⚠","")))))</f>
        <v/>
      </c>
    </row>
    <row r="690" customFormat="false" ht="15" hidden="false" customHeight="false" outlineLevel="0" collapsed="false">
      <c r="A690" s="58"/>
      <c r="B690" s="73" t="str">
        <f aca="false">IF(A690="","",COUNTIF(A$5:A690,A690))</f>
        <v/>
      </c>
      <c r="C690" s="73" t="str">
        <f aca="false">IF(A690="","",A690&amp;"-"&amp;B690)</f>
        <v/>
      </c>
      <c r="D690" s="58"/>
      <c r="E690" s="57"/>
      <c r="F690" s="69"/>
      <c r="G690" s="69"/>
      <c r="H690" s="74" t="str">
        <f aca="false">IF(A690="","",IFERROR(INDEX(السندات!$C$5:$C$504,MATCH(A690,السندات!$A$5:$A$504,0)),""))</f>
        <v/>
      </c>
      <c r="I690" s="75" t="str">
        <f aca="false">IF(A690="","",IFERROR(INDEX(السندات!$D$5:$D$504,MATCH(A690,السندات!$A$5:$A$504,0)),""))</f>
        <v/>
      </c>
      <c r="J690" s="76" t="str">
        <f aca="false">IF(A690="","",IF(ISNA(MATCH(A690,السندات!$A$5:$A$504,0)),"رقم سند غير موجود ✘",IF(AND(F690&lt;&gt;"",G690&lt;&gt;""),"اكتب مدين أو دائن فقط ✘",IF(AND(N(F690)=0,N(G690)=0),"بدون مبلغ ⚠",IF(B690&gt;12,"يتجاوز 12 بنداً في الطباعة ⚠","")))))</f>
        <v/>
      </c>
    </row>
    <row r="691" customFormat="false" ht="15" hidden="false" customHeight="false" outlineLevel="0" collapsed="false">
      <c r="A691" s="58"/>
      <c r="B691" s="68" t="str">
        <f aca="false">IF(A691="","",COUNTIF(A$5:A691,A691))</f>
        <v/>
      </c>
      <c r="C691" s="68" t="str">
        <f aca="false">IF(A691="","",A691&amp;"-"&amp;B691)</f>
        <v/>
      </c>
      <c r="D691" s="58"/>
      <c r="E691" s="57"/>
      <c r="F691" s="69"/>
      <c r="G691" s="69"/>
      <c r="H691" s="70" t="str">
        <f aca="false">IF(A691="","",IFERROR(INDEX(السندات!$C$5:$C$504,MATCH(A691,السندات!$A$5:$A$504,0)),""))</f>
        <v/>
      </c>
      <c r="I691" s="71" t="str">
        <f aca="false">IF(A691="","",IFERROR(INDEX(السندات!$D$5:$D$504,MATCH(A691,السندات!$A$5:$A$504,0)),""))</f>
        <v/>
      </c>
      <c r="J691" s="72" t="str">
        <f aca="false">IF(A691="","",IF(ISNA(MATCH(A691,السندات!$A$5:$A$504,0)),"رقم سند غير موجود ✘",IF(AND(F691&lt;&gt;"",G691&lt;&gt;""),"اكتب مدين أو دائن فقط ✘",IF(AND(N(F691)=0,N(G691)=0),"بدون مبلغ ⚠",IF(B691&gt;12,"يتجاوز 12 بنداً في الطباعة ⚠","")))))</f>
        <v/>
      </c>
    </row>
    <row r="692" customFormat="false" ht="15" hidden="false" customHeight="false" outlineLevel="0" collapsed="false">
      <c r="A692" s="58"/>
      <c r="B692" s="73" t="str">
        <f aca="false">IF(A692="","",COUNTIF(A$5:A692,A692))</f>
        <v/>
      </c>
      <c r="C692" s="73" t="str">
        <f aca="false">IF(A692="","",A692&amp;"-"&amp;B692)</f>
        <v/>
      </c>
      <c r="D692" s="58"/>
      <c r="E692" s="57"/>
      <c r="F692" s="69"/>
      <c r="G692" s="69"/>
      <c r="H692" s="74" t="str">
        <f aca="false">IF(A692="","",IFERROR(INDEX(السندات!$C$5:$C$504,MATCH(A692,السندات!$A$5:$A$504,0)),""))</f>
        <v/>
      </c>
      <c r="I692" s="75" t="str">
        <f aca="false">IF(A692="","",IFERROR(INDEX(السندات!$D$5:$D$504,MATCH(A692,السندات!$A$5:$A$504,0)),""))</f>
        <v/>
      </c>
      <c r="J692" s="76" t="str">
        <f aca="false">IF(A692="","",IF(ISNA(MATCH(A692,السندات!$A$5:$A$504,0)),"رقم سند غير موجود ✘",IF(AND(F692&lt;&gt;"",G692&lt;&gt;""),"اكتب مدين أو دائن فقط ✘",IF(AND(N(F692)=0,N(G692)=0),"بدون مبلغ ⚠",IF(B692&gt;12,"يتجاوز 12 بنداً في الطباعة ⚠","")))))</f>
        <v/>
      </c>
    </row>
    <row r="693" customFormat="false" ht="15" hidden="false" customHeight="false" outlineLevel="0" collapsed="false">
      <c r="A693" s="58"/>
      <c r="B693" s="68" t="str">
        <f aca="false">IF(A693="","",COUNTIF(A$5:A693,A693))</f>
        <v/>
      </c>
      <c r="C693" s="68" t="str">
        <f aca="false">IF(A693="","",A693&amp;"-"&amp;B693)</f>
        <v/>
      </c>
      <c r="D693" s="58"/>
      <c r="E693" s="57"/>
      <c r="F693" s="69"/>
      <c r="G693" s="69"/>
      <c r="H693" s="70" t="str">
        <f aca="false">IF(A693="","",IFERROR(INDEX(السندات!$C$5:$C$504,MATCH(A693,السندات!$A$5:$A$504,0)),""))</f>
        <v/>
      </c>
      <c r="I693" s="71" t="str">
        <f aca="false">IF(A693="","",IFERROR(INDEX(السندات!$D$5:$D$504,MATCH(A693,السندات!$A$5:$A$504,0)),""))</f>
        <v/>
      </c>
      <c r="J693" s="72" t="str">
        <f aca="false">IF(A693="","",IF(ISNA(MATCH(A693,السندات!$A$5:$A$504,0)),"رقم سند غير موجود ✘",IF(AND(F693&lt;&gt;"",G693&lt;&gt;""),"اكتب مدين أو دائن فقط ✘",IF(AND(N(F693)=0,N(G693)=0),"بدون مبلغ ⚠",IF(B693&gt;12,"يتجاوز 12 بنداً في الطباعة ⚠","")))))</f>
        <v/>
      </c>
    </row>
    <row r="694" customFormat="false" ht="15" hidden="false" customHeight="false" outlineLevel="0" collapsed="false">
      <c r="A694" s="58"/>
      <c r="B694" s="73" t="str">
        <f aca="false">IF(A694="","",COUNTIF(A$5:A694,A694))</f>
        <v/>
      </c>
      <c r="C694" s="73" t="str">
        <f aca="false">IF(A694="","",A694&amp;"-"&amp;B694)</f>
        <v/>
      </c>
      <c r="D694" s="58"/>
      <c r="E694" s="57"/>
      <c r="F694" s="69"/>
      <c r="G694" s="69"/>
      <c r="H694" s="74" t="str">
        <f aca="false">IF(A694="","",IFERROR(INDEX(السندات!$C$5:$C$504,MATCH(A694,السندات!$A$5:$A$504,0)),""))</f>
        <v/>
      </c>
      <c r="I694" s="75" t="str">
        <f aca="false">IF(A694="","",IFERROR(INDEX(السندات!$D$5:$D$504,MATCH(A694,السندات!$A$5:$A$504,0)),""))</f>
        <v/>
      </c>
      <c r="J694" s="76" t="str">
        <f aca="false">IF(A694="","",IF(ISNA(MATCH(A694,السندات!$A$5:$A$504,0)),"رقم سند غير موجود ✘",IF(AND(F694&lt;&gt;"",G694&lt;&gt;""),"اكتب مدين أو دائن فقط ✘",IF(AND(N(F694)=0,N(G694)=0),"بدون مبلغ ⚠",IF(B694&gt;12,"يتجاوز 12 بنداً في الطباعة ⚠","")))))</f>
        <v/>
      </c>
    </row>
    <row r="695" customFormat="false" ht="15" hidden="false" customHeight="false" outlineLevel="0" collapsed="false">
      <c r="A695" s="58"/>
      <c r="B695" s="68" t="str">
        <f aca="false">IF(A695="","",COUNTIF(A$5:A695,A695))</f>
        <v/>
      </c>
      <c r="C695" s="68" t="str">
        <f aca="false">IF(A695="","",A695&amp;"-"&amp;B695)</f>
        <v/>
      </c>
      <c r="D695" s="58"/>
      <c r="E695" s="57"/>
      <c r="F695" s="69"/>
      <c r="G695" s="69"/>
      <c r="H695" s="70" t="str">
        <f aca="false">IF(A695="","",IFERROR(INDEX(السندات!$C$5:$C$504,MATCH(A695,السندات!$A$5:$A$504,0)),""))</f>
        <v/>
      </c>
      <c r="I695" s="71" t="str">
        <f aca="false">IF(A695="","",IFERROR(INDEX(السندات!$D$5:$D$504,MATCH(A695,السندات!$A$5:$A$504,0)),""))</f>
        <v/>
      </c>
      <c r="J695" s="72" t="str">
        <f aca="false">IF(A695="","",IF(ISNA(MATCH(A695,السندات!$A$5:$A$504,0)),"رقم سند غير موجود ✘",IF(AND(F695&lt;&gt;"",G695&lt;&gt;""),"اكتب مدين أو دائن فقط ✘",IF(AND(N(F695)=0,N(G695)=0),"بدون مبلغ ⚠",IF(B695&gt;12,"يتجاوز 12 بنداً في الطباعة ⚠","")))))</f>
        <v/>
      </c>
    </row>
    <row r="696" customFormat="false" ht="15" hidden="false" customHeight="false" outlineLevel="0" collapsed="false">
      <c r="A696" s="58"/>
      <c r="B696" s="73" t="str">
        <f aca="false">IF(A696="","",COUNTIF(A$5:A696,A696))</f>
        <v/>
      </c>
      <c r="C696" s="73" t="str">
        <f aca="false">IF(A696="","",A696&amp;"-"&amp;B696)</f>
        <v/>
      </c>
      <c r="D696" s="58"/>
      <c r="E696" s="57"/>
      <c r="F696" s="69"/>
      <c r="G696" s="69"/>
      <c r="H696" s="74" t="str">
        <f aca="false">IF(A696="","",IFERROR(INDEX(السندات!$C$5:$C$504,MATCH(A696,السندات!$A$5:$A$504,0)),""))</f>
        <v/>
      </c>
      <c r="I696" s="75" t="str">
        <f aca="false">IF(A696="","",IFERROR(INDEX(السندات!$D$5:$D$504,MATCH(A696,السندات!$A$5:$A$504,0)),""))</f>
        <v/>
      </c>
      <c r="J696" s="76" t="str">
        <f aca="false">IF(A696="","",IF(ISNA(MATCH(A696,السندات!$A$5:$A$504,0)),"رقم سند غير موجود ✘",IF(AND(F696&lt;&gt;"",G696&lt;&gt;""),"اكتب مدين أو دائن فقط ✘",IF(AND(N(F696)=0,N(G696)=0),"بدون مبلغ ⚠",IF(B696&gt;12,"يتجاوز 12 بنداً في الطباعة ⚠","")))))</f>
        <v/>
      </c>
    </row>
    <row r="697" customFormat="false" ht="15" hidden="false" customHeight="false" outlineLevel="0" collapsed="false">
      <c r="A697" s="58"/>
      <c r="B697" s="68" t="str">
        <f aca="false">IF(A697="","",COUNTIF(A$5:A697,A697))</f>
        <v/>
      </c>
      <c r="C697" s="68" t="str">
        <f aca="false">IF(A697="","",A697&amp;"-"&amp;B697)</f>
        <v/>
      </c>
      <c r="D697" s="58"/>
      <c r="E697" s="57"/>
      <c r="F697" s="69"/>
      <c r="G697" s="69"/>
      <c r="H697" s="70" t="str">
        <f aca="false">IF(A697="","",IFERROR(INDEX(السندات!$C$5:$C$504,MATCH(A697,السندات!$A$5:$A$504,0)),""))</f>
        <v/>
      </c>
      <c r="I697" s="71" t="str">
        <f aca="false">IF(A697="","",IFERROR(INDEX(السندات!$D$5:$D$504,MATCH(A697,السندات!$A$5:$A$504,0)),""))</f>
        <v/>
      </c>
      <c r="J697" s="72" t="str">
        <f aca="false">IF(A697="","",IF(ISNA(MATCH(A697,السندات!$A$5:$A$504,0)),"رقم سند غير موجود ✘",IF(AND(F697&lt;&gt;"",G697&lt;&gt;""),"اكتب مدين أو دائن فقط ✘",IF(AND(N(F697)=0,N(G697)=0),"بدون مبلغ ⚠",IF(B697&gt;12,"يتجاوز 12 بنداً في الطباعة ⚠","")))))</f>
        <v/>
      </c>
    </row>
    <row r="698" customFormat="false" ht="15" hidden="false" customHeight="false" outlineLevel="0" collapsed="false">
      <c r="A698" s="58"/>
      <c r="B698" s="73" t="str">
        <f aca="false">IF(A698="","",COUNTIF(A$5:A698,A698))</f>
        <v/>
      </c>
      <c r="C698" s="73" t="str">
        <f aca="false">IF(A698="","",A698&amp;"-"&amp;B698)</f>
        <v/>
      </c>
      <c r="D698" s="58"/>
      <c r="E698" s="57"/>
      <c r="F698" s="69"/>
      <c r="G698" s="69"/>
      <c r="H698" s="74" t="str">
        <f aca="false">IF(A698="","",IFERROR(INDEX(السندات!$C$5:$C$504,MATCH(A698,السندات!$A$5:$A$504,0)),""))</f>
        <v/>
      </c>
      <c r="I698" s="75" t="str">
        <f aca="false">IF(A698="","",IFERROR(INDEX(السندات!$D$5:$D$504,MATCH(A698,السندات!$A$5:$A$504,0)),""))</f>
        <v/>
      </c>
      <c r="J698" s="76" t="str">
        <f aca="false">IF(A698="","",IF(ISNA(MATCH(A698,السندات!$A$5:$A$504,0)),"رقم سند غير موجود ✘",IF(AND(F698&lt;&gt;"",G698&lt;&gt;""),"اكتب مدين أو دائن فقط ✘",IF(AND(N(F698)=0,N(G698)=0),"بدون مبلغ ⚠",IF(B698&gt;12,"يتجاوز 12 بنداً في الطباعة ⚠","")))))</f>
        <v/>
      </c>
    </row>
    <row r="699" customFormat="false" ht="15" hidden="false" customHeight="false" outlineLevel="0" collapsed="false">
      <c r="A699" s="58"/>
      <c r="B699" s="68" t="str">
        <f aca="false">IF(A699="","",COUNTIF(A$5:A699,A699))</f>
        <v/>
      </c>
      <c r="C699" s="68" t="str">
        <f aca="false">IF(A699="","",A699&amp;"-"&amp;B699)</f>
        <v/>
      </c>
      <c r="D699" s="58"/>
      <c r="E699" s="57"/>
      <c r="F699" s="69"/>
      <c r="G699" s="69"/>
      <c r="H699" s="70" t="str">
        <f aca="false">IF(A699="","",IFERROR(INDEX(السندات!$C$5:$C$504,MATCH(A699,السندات!$A$5:$A$504,0)),""))</f>
        <v/>
      </c>
      <c r="I699" s="71" t="str">
        <f aca="false">IF(A699="","",IFERROR(INDEX(السندات!$D$5:$D$504,MATCH(A699,السندات!$A$5:$A$504,0)),""))</f>
        <v/>
      </c>
      <c r="J699" s="72" t="str">
        <f aca="false">IF(A699="","",IF(ISNA(MATCH(A699,السندات!$A$5:$A$504,0)),"رقم سند غير موجود ✘",IF(AND(F699&lt;&gt;"",G699&lt;&gt;""),"اكتب مدين أو دائن فقط ✘",IF(AND(N(F699)=0,N(G699)=0),"بدون مبلغ ⚠",IF(B699&gt;12,"يتجاوز 12 بنداً في الطباعة ⚠","")))))</f>
        <v/>
      </c>
    </row>
    <row r="700" customFormat="false" ht="15" hidden="false" customHeight="false" outlineLevel="0" collapsed="false">
      <c r="A700" s="58"/>
      <c r="B700" s="73" t="str">
        <f aca="false">IF(A700="","",COUNTIF(A$5:A700,A700))</f>
        <v/>
      </c>
      <c r="C700" s="73" t="str">
        <f aca="false">IF(A700="","",A700&amp;"-"&amp;B700)</f>
        <v/>
      </c>
      <c r="D700" s="58"/>
      <c r="E700" s="57"/>
      <c r="F700" s="69"/>
      <c r="G700" s="69"/>
      <c r="H700" s="74" t="str">
        <f aca="false">IF(A700="","",IFERROR(INDEX(السندات!$C$5:$C$504,MATCH(A700,السندات!$A$5:$A$504,0)),""))</f>
        <v/>
      </c>
      <c r="I700" s="75" t="str">
        <f aca="false">IF(A700="","",IFERROR(INDEX(السندات!$D$5:$D$504,MATCH(A700,السندات!$A$5:$A$504,0)),""))</f>
        <v/>
      </c>
      <c r="J700" s="76" t="str">
        <f aca="false">IF(A700="","",IF(ISNA(MATCH(A700,السندات!$A$5:$A$504,0)),"رقم سند غير موجود ✘",IF(AND(F700&lt;&gt;"",G700&lt;&gt;""),"اكتب مدين أو دائن فقط ✘",IF(AND(N(F700)=0,N(G700)=0),"بدون مبلغ ⚠",IF(B700&gt;12,"يتجاوز 12 بنداً في الطباعة ⚠","")))))</f>
        <v/>
      </c>
    </row>
    <row r="701" customFormat="false" ht="15" hidden="false" customHeight="false" outlineLevel="0" collapsed="false">
      <c r="A701" s="58"/>
      <c r="B701" s="68" t="str">
        <f aca="false">IF(A701="","",COUNTIF(A$5:A701,A701))</f>
        <v/>
      </c>
      <c r="C701" s="68" t="str">
        <f aca="false">IF(A701="","",A701&amp;"-"&amp;B701)</f>
        <v/>
      </c>
      <c r="D701" s="58"/>
      <c r="E701" s="57"/>
      <c r="F701" s="69"/>
      <c r="G701" s="69"/>
      <c r="H701" s="70" t="str">
        <f aca="false">IF(A701="","",IFERROR(INDEX(السندات!$C$5:$C$504,MATCH(A701,السندات!$A$5:$A$504,0)),""))</f>
        <v/>
      </c>
      <c r="I701" s="71" t="str">
        <f aca="false">IF(A701="","",IFERROR(INDEX(السندات!$D$5:$D$504,MATCH(A701,السندات!$A$5:$A$504,0)),""))</f>
        <v/>
      </c>
      <c r="J701" s="72" t="str">
        <f aca="false">IF(A701="","",IF(ISNA(MATCH(A701,السندات!$A$5:$A$504,0)),"رقم سند غير موجود ✘",IF(AND(F701&lt;&gt;"",G701&lt;&gt;""),"اكتب مدين أو دائن فقط ✘",IF(AND(N(F701)=0,N(G701)=0),"بدون مبلغ ⚠",IF(B701&gt;12,"يتجاوز 12 بنداً في الطباعة ⚠","")))))</f>
        <v/>
      </c>
    </row>
    <row r="702" customFormat="false" ht="15" hidden="false" customHeight="false" outlineLevel="0" collapsed="false">
      <c r="A702" s="58"/>
      <c r="B702" s="73" t="str">
        <f aca="false">IF(A702="","",COUNTIF(A$5:A702,A702))</f>
        <v/>
      </c>
      <c r="C702" s="73" t="str">
        <f aca="false">IF(A702="","",A702&amp;"-"&amp;B702)</f>
        <v/>
      </c>
      <c r="D702" s="58"/>
      <c r="E702" s="57"/>
      <c r="F702" s="69"/>
      <c r="G702" s="69"/>
      <c r="H702" s="74" t="str">
        <f aca="false">IF(A702="","",IFERROR(INDEX(السندات!$C$5:$C$504,MATCH(A702,السندات!$A$5:$A$504,0)),""))</f>
        <v/>
      </c>
      <c r="I702" s="75" t="str">
        <f aca="false">IF(A702="","",IFERROR(INDEX(السندات!$D$5:$D$504,MATCH(A702,السندات!$A$5:$A$504,0)),""))</f>
        <v/>
      </c>
      <c r="J702" s="76" t="str">
        <f aca="false">IF(A702="","",IF(ISNA(MATCH(A702,السندات!$A$5:$A$504,0)),"رقم سند غير موجود ✘",IF(AND(F702&lt;&gt;"",G702&lt;&gt;""),"اكتب مدين أو دائن فقط ✘",IF(AND(N(F702)=0,N(G702)=0),"بدون مبلغ ⚠",IF(B702&gt;12,"يتجاوز 12 بنداً في الطباعة ⚠","")))))</f>
        <v/>
      </c>
    </row>
    <row r="703" customFormat="false" ht="15" hidden="false" customHeight="false" outlineLevel="0" collapsed="false">
      <c r="A703" s="58"/>
      <c r="B703" s="68" t="str">
        <f aca="false">IF(A703="","",COUNTIF(A$5:A703,A703))</f>
        <v/>
      </c>
      <c r="C703" s="68" t="str">
        <f aca="false">IF(A703="","",A703&amp;"-"&amp;B703)</f>
        <v/>
      </c>
      <c r="D703" s="58"/>
      <c r="E703" s="57"/>
      <c r="F703" s="69"/>
      <c r="G703" s="69"/>
      <c r="H703" s="70" t="str">
        <f aca="false">IF(A703="","",IFERROR(INDEX(السندات!$C$5:$C$504,MATCH(A703,السندات!$A$5:$A$504,0)),""))</f>
        <v/>
      </c>
      <c r="I703" s="71" t="str">
        <f aca="false">IF(A703="","",IFERROR(INDEX(السندات!$D$5:$D$504,MATCH(A703,السندات!$A$5:$A$504,0)),""))</f>
        <v/>
      </c>
      <c r="J703" s="72" t="str">
        <f aca="false">IF(A703="","",IF(ISNA(MATCH(A703,السندات!$A$5:$A$504,0)),"رقم سند غير موجود ✘",IF(AND(F703&lt;&gt;"",G703&lt;&gt;""),"اكتب مدين أو دائن فقط ✘",IF(AND(N(F703)=0,N(G703)=0),"بدون مبلغ ⚠",IF(B703&gt;12,"يتجاوز 12 بنداً في الطباعة ⚠","")))))</f>
        <v/>
      </c>
    </row>
    <row r="704" customFormat="false" ht="15" hidden="false" customHeight="false" outlineLevel="0" collapsed="false">
      <c r="A704" s="58"/>
      <c r="B704" s="73" t="str">
        <f aca="false">IF(A704="","",COUNTIF(A$5:A704,A704))</f>
        <v/>
      </c>
      <c r="C704" s="73" t="str">
        <f aca="false">IF(A704="","",A704&amp;"-"&amp;B704)</f>
        <v/>
      </c>
      <c r="D704" s="58"/>
      <c r="E704" s="57"/>
      <c r="F704" s="69"/>
      <c r="G704" s="69"/>
      <c r="H704" s="74" t="str">
        <f aca="false">IF(A704="","",IFERROR(INDEX(السندات!$C$5:$C$504,MATCH(A704,السندات!$A$5:$A$504,0)),""))</f>
        <v/>
      </c>
      <c r="I704" s="75" t="str">
        <f aca="false">IF(A704="","",IFERROR(INDEX(السندات!$D$5:$D$504,MATCH(A704,السندات!$A$5:$A$504,0)),""))</f>
        <v/>
      </c>
      <c r="J704" s="76" t="str">
        <f aca="false">IF(A704="","",IF(ISNA(MATCH(A704,السندات!$A$5:$A$504,0)),"رقم سند غير موجود ✘",IF(AND(F704&lt;&gt;"",G704&lt;&gt;""),"اكتب مدين أو دائن فقط ✘",IF(AND(N(F704)=0,N(G704)=0),"بدون مبلغ ⚠",IF(B704&gt;12,"يتجاوز 12 بنداً في الطباعة ⚠","")))))</f>
        <v/>
      </c>
    </row>
    <row r="705" customFormat="false" ht="15" hidden="false" customHeight="false" outlineLevel="0" collapsed="false">
      <c r="A705" s="58"/>
      <c r="B705" s="68" t="str">
        <f aca="false">IF(A705="","",COUNTIF(A$5:A705,A705))</f>
        <v/>
      </c>
      <c r="C705" s="68" t="str">
        <f aca="false">IF(A705="","",A705&amp;"-"&amp;B705)</f>
        <v/>
      </c>
      <c r="D705" s="58"/>
      <c r="E705" s="57"/>
      <c r="F705" s="69"/>
      <c r="G705" s="69"/>
      <c r="H705" s="70" t="str">
        <f aca="false">IF(A705="","",IFERROR(INDEX(السندات!$C$5:$C$504,MATCH(A705,السندات!$A$5:$A$504,0)),""))</f>
        <v/>
      </c>
      <c r="I705" s="71" t="str">
        <f aca="false">IF(A705="","",IFERROR(INDEX(السندات!$D$5:$D$504,MATCH(A705,السندات!$A$5:$A$504,0)),""))</f>
        <v/>
      </c>
      <c r="J705" s="72" t="str">
        <f aca="false">IF(A705="","",IF(ISNA(MATCH(A705,السندات!$A$5:$A$504,0)),"رقم سند غير موجود ✘",IF(AND(F705&lt;&gt;"",G705&lt;&gt;""),"اكتب مدين أو دائن فقط ✘",IF(AND(N(F705)=0,N(G705)=0),"بدون مبلغ ⚠",IF(B705&gt;12,"يتجاوز 12 بنداً في الطباعة ⚠","")))))</f>
        <v/>
      </c>
    </row>
    <row r="706" customFormat="false" ht="15" hidden="false" customHeight="false" outlineLevel="0" collapsed="false">
      <c r="A706" s="58"/>
      <c r="B706" s="73" t="str">
        <f aca="false">IF(A706="","",COUNTIF(A$5:A706,A706))</f>
        <v/>
      </c>
      <c r="C706" s="73" t="str">
        <f aca="false">IF(A706="","",A706&amp;"-"&amp;B706)</f>
        <v/>
      </c>
      <c r="D706" s="58"/>
      <c r="E706" s="57"/>
      <c r="F706" s="69"/>
      <c r="G706" s="69"/>
      <c r="H706" s="74" t="str">
        <f aca="false">IF(A706="","",IFERROR(INDEX(السندات!$C$5:$C$504,MATCH(A706,السندات!$A$5:$A$504,0)),""))</f>
        <v/>
      </c>
      <c r="I706" s="75" t="str">
        <f aca="false">IF(A706="","",IFERROR(INDEX(السندات!$D$5:$D$504,MATCH(A706,السندات!$A$5:$A$504,0)),""))</f>
        <v/>
      </c>
      <c r="J706" s="76" t="str">
        <f aca="false">IF(A706="","",IF(ISNA(MATCH(A706,السندات!$A$5:$A$504,0)),"رقم سند غير موجود ✘",IF(AND(F706&lt;&gt;"",G706&lt;&gt;""),"اكتب مدين أو دائن فقط ✘",IF(AND(N(F706)=0,N(G706)=0),"بدون مبلغ ⚠",IF(B706&gt;12,"يتجاوز 12 بنداً في الطباعة ⚠","")))))</f>
        <v/>
      </c>
    </row>
    <row r="707" customFormat="false" ht="15" hidden="false" customHeight="false" outlineLevel="0" collapsed="false">
      <c r="A707" s="58"/>
      <c r="B707" s="68" t="str">
        <f aca="false">IF(A707="","",COUNTIF(A$5:A707,A707))</f>
        <v/>
      </c>
      <c r="C707" s="68" t="str">
        <f aca="false">IF(A707="","",A707&amp;"-"&amp;B707)</f>
        <v/>
      </c>
      <c r="D707" s="58"/>
      <c r="E707" s="57"/>
      <c r="F707" s="69"/>
      <c r="G707" s="69"/>
      <c r="H707" s="70" t="str">
        <f aca="false">IF(A707="","",IFERROR(INDEX(السندات!$C$5:$C$504,MATCH(A707,السندات!$A$5:$A$504,0)),""))</f>
        <v/>
      </c>
      <c r="I707" s="71" t="str">
        <f aca="false">IF(A707="","",IFERROR(INDEX(السندات!$D$5:$D$504,MATCH(A707,السندات!$A$5:$A$504,0)),""))</f>
        <v/>
      </c>
      <c r="J707" s="72" t="str">
        <f aca="false">IF(A707="","",IF(ISNA(MATCH(A707,السندات!$A$5:$A$504,0)),"رقم سند غير موجود ✘",IF(AND(F707&lt;&gt;"",G707&lt;&gt;""),"اكتب مدين أو دائن فقط ✘",IF(AND(N(F707)=0,N(G707)=0),"بدون مبلغ ⚠",IF(B707&gt;12,"يتجاوز 12 بنداً في الطباعة ⚠","")))))</f>
        <v/>
      </c>
    </row>
    <row r="708" customFormat="false" ht="15" hidden="false" customHeight="false" outlineLevel="0" collapsed="false">
      <c r="A708" s="58"/>
      <c r="B708" s="73" t="str">
        <f aca="false">IF(A708="","",COUNTIF(A$5:A708,A708))</f>
        <v/>
      </c>
      <c r="C708" s="73" t="str">
        <f aca="false">IF(A708="","",A708&amp;"-"&amp;B708)</f>
        <v/>
      </c>
      <c r="D708" s="58"/>
      <c r="E708" s="57"/>
      <c r="F708" s="69"/>
      <c r="G708" s="69"/>
      <c r="H708" s="74" t="str">
        <f aca="false">IF(A708="","",IFERROR(INDEX(السندات!$C$5:$C$504,MATCH(A708,السندات!$A$5:$A$504,0)),""))</f>
        <v/>
      </c>
      <c r="I708" s="75" t="str">
        <f aca="false">IF(A708="","",IFERROR(INDEX(السندات!$D$5:$D$504,MATCH(A708,السندات!$A$5:$A$504,0)),""))</f>
        <v/>
      </c>
      <c r="J708" s="76" t="str">
        <f aca="false">IF(A708="","",IF(ISNA(MATCH(A708,السندات!$A$5:$A$504,0)),"رقم سند غير موجود ✘",IF(AND(F708&lt;&gt;"",G708&lt;&gt;""),"اكتب مدين أو دائن فقط ✘",IF(AND(N(F708)=0,N(G708)=0),"بدون مبلغ ⚠",IF(B708&gt;12,"يتجاوز 12 بنداً في الطباعة ⚠","")))))</f>
        <v/>
      </c>
    </row>
    <row r="709" customFormat="false" ht="15" hidden="false" customHeight="false" outlineLevel="0" collapsed="false">
      <c r="A709" s="58"/>
      <c r="B709" s="68" t="str">
        <f aca="false">IF(A709="","",COUNTIF(A$5:A709,A709))</f>
        <v/>
      </c>
      <c r="C709" s="68" t="str">
        <f aca="false">IF(A709="","",A709&amp;"-"&amp;B709)</f>
        <v/>
      </c>
      <c r="D709" s="58"/>
      <c r="E709" s="57"/>
      <c r="F709" s="69"/>
      <c r="G709" s="69"/>
      <c r="H709" s="70" t="str">
        <f aca="false">IF(A709="","",IFERROR(INDEX(السندات!$C$5:$C$504,MATCH(A709,السندات!$A$5:$A$504,0)),""))</f>
        <v/>
      </c>
      <c r="I709" s="71" t="str">
        <f aca="false">IF(A709="","",IFERROR(INDEX(السندات!$D$5:$D$504,MATCH(A709,السندات!$A$5:$A$504,0)),""))</f>
        <v/>
      </c>
      <c r="J709" s="72" t="str">
        <f aca="false">IF(A709="","",IF(ISNA(MATCH(A709,السندات!$A$5:$A$504,0)),"رقم سند غير موجود ✘",IF(AND(F709&lt;&gt;"",G709&lt;&gt;""),"اكتب مدين أو دائن فقط ✘",IF(AND(N(F709)=0,N(G709)=0),"بدون مبلغ ⚠",IF(B709&gt;12,"يتجاوز 12 بنداً في الطباعة ⚠","")))))</f>
        <v/>
      </c>
    </row>
    <row r="710" customFormat="false" ht="15" hidden="false" customHeight="false" outlineLevel="0" collapsed="false">
      <c r="A710" s="58"/>
      <c r="B710" s="73" t="str">
        <f aca="false">IF(A710="","",COUNTIF(A$5:A710,A710))</f>
        <v/>
      </c>
      <c r="C710" s="73" t="str">
        <f aca="false">IF(A710="","",A710&amp;"-"&amp;B710)</f>
        <v/>
      </c>
      <c r="D710" s="58"/>
      <c r="E710" s="57"/>
      <c r="F710" s="69"/>
      <c r="G710" s="69"/>
      <c r="H710" s="74" t="str">
        <f aca="false">IF(A710="","",IFERROR(INDEX(السندات!$C$5:$C$504,MATCH(A710,السندات!$A$5:$A$504,0)),""))</f>
        <v/>
      </c>
      <c r="I710" s="75" t="str">
        <f aca="false">IF(A710="","",IFERROR(INDEX(السندات!$D$5:$D$504,MATCH(A710,السندات!$A$5:$A$504,0)),""))</f>
        <v/>
      </c>
      <c r="J710" s="76" t="str">
        <f aca="false">IF(A710="","",IF(ISNA(MATCH(A710,السندات!$A$5:$A$504,0)),"رقم سند غير موجود ✘",IF(AND(F710&lt;&gt;"",G710&lt;&gt;""),"اكتب مدين أو دائن فقط ✘",IF(AND(N(F710)=0,N(G710)=0),"بدون مبلغ ⚠",IF(B710&gt;12,"يتجاوز 12 بنداً في الطباعة ⚠","")))))</f>
        <v/>
      </c>
    </row>
    <row r="711" customFormat="false" ht="15" hidden="false" customHeight="false" outlineLevel="0" collapsed="false">
      <c r="A711" s="58"/>
      <c r="B711" s="68" t="str">
        <f aca="false">IF(A711="","",COUNTIF(A$5:A711,A711))</f>
        <v/>
      </c>
      <c r="C711" s="68" t="str">
        <f aca="false">IF(A711="","",A711&amp;"-"&amp;B711)</f>
        <v/>
      </c>
      <c r="D711" s="58"/>
      <c r="E711" s="57"/>
      <c r="F711" s="69"/>
      <c r="G711" s="69"/>
      <c r="H711" s="70" t="str">
        <f aca="false">IF(A711="","",IFERROR(INDEX(السندات!$C$5:$C$504,MATCH(A711,السندات!$A$5:$A$504,0)),""))</f>
        <v/>
      </c>
      <c r="I711" s="71" t="str">
        <f aca="false">IF(A711="","",IFERROR(INDEX(السندات!$D$5:$D$504,MATCH(A711,السندات!$A$5:$A$504,0)),""))</f>
        <v/>
      </c>
      <c r="J711" s="72" t="str">
        <f aca="false">IF(A711="","",IF(ISNA(MATCH(A711,السندات!$A$5:$A$504,0)),"رقم سند غير موجود ✘",IF(AND(F711&lt;&gt;"",G711&lt;&gt;""),"اكتب مدين أو دائن فقط ✘",IF(AND(N(F711)=0,N(G711)=0),"بدون مبلغ ⚠",IF(B711&gt;12,"يتجاوز 12 بنداً في الطباعة ⚠","")))))</f>
        <v/>
      </c>
    </row>
    <row r="712" customFormat="false" ht="15" hidden="false" customHeight="false" outlineLevel="0" collapsed="false">
      <c r="A712" s="58"/>
      <c r="B712" s="73" t="str">
        <f aca="false">IF(A712="","",COUNTIF(A$5:A712,A712))</f>
        <v/>
      </c>
      <c r="C712" s="73" t="str">
        <f aca="false">IF(A712="","",A712&amp;"-"&amp;B712)</f>
        <v/>
      </c>
      <c r="D712" s="58"/>
      <c r="E712" s="57"/>
      <c r="F712" s="69"/>
      <c r="G712" s="69"/>
      <c r="H712" s="74" t="str">
        <f aca="false">IF(A712="","",IFERROR(INDEX(السندات!$C$5:$C$504,MATCH(A712,السندات!$A$5:$A$504,0)),""))</f>
        <v/>
      </c>
      <c r="I712" s="75" t="str">
        <f aca="false">IF(A712="","",IFERROR(INDEX(السندات!$D$5:$D$504,MATCH(A712,السندات!$A$5:$A$504,0)),""))</f>
        <v/>
      </c>
      <c r="J712" s="76" t="str">
        <f aca="false">IF(A712="","",IF(ISNA(MATCH(A712,السندات!$A$5:$A$504,0)),"رقم سند غير موجود ✘",IF(AND(F712&lt;&gt;"",G712&lt;&gt;""),"اكتب مدين أو دائن فقط ✘",IF(AND(N(F712)=0,N(G712)=0),"بدون مبلغ ⚠",IF(B712&gt;12,"يتجاوز 12 بنداً في الطباعة ⚠","")))))</f>
        <v/>
      </c>
    </row>
    <row r="713" customFormat="false" ht="15" hidden="false" customHeight="false" outlineLevel="0" collapsed="false">
      <c r="A713" s="58"/>
      <c r="B713" s="68" t="str">
        <f aca="false">IF(A713="","",COUNTIF(A$5:A713,A713))</f>
        <v/>
      </c>
      <c r="C713" s="68" t="str">
        <f aca="false">IF(A713="","",A713&amp;"-"&amp;B713)</f>
        <v/>
      </c>
      <c r="D713" s="58"/>
      <c r="E713" s="57"/>
      <c r="F713" s="69"/>
      <c r="G713" s="69"/>
      <c r="H713" s="70" t="str">
        <f aca="false">IF(A713="","",IFERROR(INDEX(السندات!$C$5:$C$504,MATCH(A713,السندات!$A$5:$A$504,0)),""))</f>
        <v/>
      </c>
      <c r="I713" s="71" t="str">
        <f aca="false">IF(A713="","",IFERROR(INDEX(السندات!$D$5:$D$504,MATCH(A713,السندات!$A$5:$A$504,0)),""))</f>
        <v/>
      </c>
      <c r="J713" s="72" t="str">
        <f aca="false">IF(A713="","",IF(ISNA(MATCH(A713,السندات!$A$5:$A$504,0)),"رقم سند غير موجود ✘",IF(AND(F713&lt;&gt;"",G713&lt;&gt;""),"اكتب مدين أو دائن فقط ✘",IF(AND(N(F713)=0,N(G713)=0),"بدون مبلغ ⚠",IF(B713&gt;12,"يتجاوز 12 بنداً في الطباعة ⚠","")))))</f>
        <v/>
      </c>
    </row>
    <row r="714" customFormat="false" ht="15" hidden="false" customHeight="false" outlineLevel="0" collapsed="false">
      <c r="A714" s="58"/>
      <c r="B714" s="73" t="str">
        <f aca="false">IF(A714="","",COUNTIF(A$5:A714,A714))</f>
        <v/>
      </c>
      <c r="C714" s="73" t="str">
        <f aca="false">IF(A714="","",A714&amp;"-"&amp;B714)</f>
        <v/>
      </c>
      <c r="D714" s="58"/>
      <c r="E714" s="57"/>
      <c r="F714" s="69"/>
      <c r="G714" s="69"/>
      <c r="H714" s="74" t="str">
        <f aca="false">IF(A714="","",IFERROR(INDEX(السندات!$C$5:$C$504,MATCH(A714,السندات!$A$5:$A$504,0)),""))</f>
        <v/>
      </c>
      <c r="I714" s="75" t="str">
        <f aca="false">IF(A714="","",IFERROR(INDEX(السندات!$D$5:$D$504,MATCH(A714,السندات!$A$5:$A$504,0)),""))</f>
        <v/>
      </c>
      <c r="J714" s="76" t="str">
        <f aca="false">IF(A714="","",IF(ISNA(MATCH(A714,السندات!$A$5:$A$504,0)),"رقم سند غير موجود ✘",IF(AND(F714&lt;&gt;"",G714&lt;&gt;""),"اكتب مدين أو دائن فقط ✘",IF(AND(N(F714)=0,N(G714)=0),"بدون مبلغ ⚠",IF(B714&gt;12,"يتجاوز 12 بنداً في الطباعة ⚠","")))))</f>
        <v/>
      </c>
    </row>
    <row r="715" customFormat="false" ht="15" hidden="false" customHeight="false" outlineLevel="0" collapsed="false">
      <c r="A715" s="58"/>
      <c r="B715" s="68" t="str">
        <f aca="false">IF(A715="","",COUNTIF(A$5:A715,A715))</f>
        <v/>
      </c>
      <c r="C715" s="68" t="str">
        <f aca="false">IF(A715="","",A715&amp;"-"&amp;B715)</f>
        <v/>
      </c>
      <c r="D715" s="58"/>
      <c r="E715" s="57"/>
      <c r="F715" s="69"/>
      <c r="G715" s="69"/>
      <c r="H715" s="70" t="str">
        <f aca="false">IF(A715="","",IFERROR(INDEX(السندات!$C$5:$C$504,MATCH(A715,السندات!$A$5:$A$504,0)),""))</f>
        <v/>
      </c>
      <c r="I715" s="71" t="str">
        <f aca="false">IF(A715="","",IFERROR(INDEX(السندات!$D$5:$D$504,MATCH(A715,السندات!$A$5:$A$504,0)),""))</f>
        <v/>
      </c>
      <c r="J715" s="72" t="str">
        <f aca="false">IF(A715="","",IF(ISNA(MATCH(A715,السندات!$A$5:$A$504,0)),"رقم سند غير موجود ✘",IF(AND(F715&lt;&gt;"",G715&lt;&gt;""),"اكتب مدين أو دائن فقط ✘",IF(AND(N(F715)=0,N(G715)=0),"بدون مبلغ ⚠",IF(B715&gt;12,"يتجاوز 12 بنداً في الطباعة ⚠","")))))</f>
        <v/>
      </c>
    </row>
    <row r="716" customFormat="false" ht="15" hidden="false" customHeight="false" outlineLevel="0" collapsed="false">
      <c r="A716" s="58"/>
      <c r="B716" s="73" t="str">
        <f aca="false">IF(A716="","",COUNTIF(A$5:A716,A716))</f>
        <v/>
      </c>
      <c r="C716" s="73" t="str">
        <f aca="false">IF(A716="","",A716&amp;"-"&amp;B716)</f>
        <v/>
      </c>
      <c r="D716" s="58"/>
      <c r="E716" s="57"/>
      <c r="F716" s="69"/>
      <c r="G716" s="69"/>
      <c r="H716" s="74" t="str">
        <f aca="false">IF(A716="","",IFERROR(INDEX(السندات!$C$5:$C$504,MATCH(A716,السندات!$A$5:$A$504,0)),""))</f>
        <v/>
      </c>
      <c r="I716" s="75" t="str">
        <f aca="false">IF(A716="","",IFERROR(INDEX(السندات!$D$5:$D$504,MATCH(A716,السندات!$A$5:$A$504,0)),""))</f>
        <v/>
      </c>
      <c r="J716" s="76" t="str">
        <f aca="false">IF(A716="","",IF(ISNA(MATCH(A716,السندات!$A$5:$A$504,0)),"رقم سند غير موجود ✘",IF(AND(F716&lt;&gt;"",G716&lt;&gt;""),"اكتب مدين أو دائن فقط ✘",IF(AND(N(F716)=0,N(G716)=0),"بدون مبلغ ⚠",IF(B716&gt;12,"يتجاوز 12 بنداً في الطباعة ⚠","")))))</f>
        <v/>
      </c>
    </row>
    <row r="717" customFormat="false" ht="15" hidden="false" customHeight="false" outlineLevel="0" collapsed="false">
      <c r="A717" s="58"/>
      <c r="B717" s="68" t="str">
        <f aca="false">IF(A717="","",COUNTIF(A$5:A717,A717))</f>
        <v/>
      </c>
      <c r="C717" s="68" t="str">
        <f aca="false">IF(A717="","",A717&amp;"-"&amp;B717)</f>
        <v/>
      </c>
      <c r="D717" s="58"/>
      <c r="E717" s="57"/>
      <c r="F717" s="69"/>
      <c r="G717" s="69"/>
      <c r="H717" s="70" t="str">
        <f aca="false">IF(A717="","",IFERROR(INDEX(السندات!$C$5:$C$504,MATCH(A717,السندات!$A$5:$A$504,0)),""))</f>
        <v/>
      </c>
      <c r="I717" s="71" t="str">
        <f aca="false">IF(A717="","",IFERROR(INDEX(السندات!$D$5:$D$504,MATCH(A717,السندات!$A$5:$A$504,0)),""))</f>
        <v/>
      </c>
      <c r="J717" s="72" t="str">
        <f aca="false">IF(A717="","",IF(ISNA(MATCH(A717,السندات!$A$5:$A$504,0)),"رقم سند غير موجود ✘",IF(AND(F717&lt;&gt;"",G717&lt;&gt;""),"اكتب مدين أو دائن فقط ✘",IF(AND(N(F717)=0,N(G717)=0),"بدون مبلغ ⚠",IF(B717&gt;12,"يتجاوز 12 بنداً في الطباعة ⚠","")))))</f>
        <v/>
      </c>
    </row>
    <row r="718" customFormat="false" ht="15" hidden="false" customHeight="false" outlineLevel="0" collapsed="false">
      <c r="A718" s="58"/>
      <c r="B718" s="73" t="str">
        <f aca="false">IF(A718="","",COUNTIF(A$5:A718,A718))</f>
        <v/>
      </c>
      <c r="C718" s="73" t="str">
        <f aca="false">IF(A718="","",A718&amp;"-"&amp;B718)</f>
        <v/>
      </c>
      <c r="D718" s="58"/>
      <c r="E718" s="57"/>
      <c r="F718" s="69"/>
      <c r="G718" s="69"/>
      <c r="H718" s="74" t="str">
        <f aca="false">IF(A718="","",IFERROR(INDEX(السندات!$C$5:$C$504,MATCH(A718,السندات!$A$5:$A$504,0)),""))</f>
        <v/>
      </c>
      <c r="I718" s="75" t="str">
        <f aca="false">IF(A718="","",IFERROR(INDEX(السندات!$D$5:$D$504,MATCH(A718,السندات!$A$5:$A$504,0)),""))</f>
        <v/>
      </c>
      <c r="J718" s="76" t="str">
        <f aca="false">IF(A718="","",IF(ISNA(MATCH(A718,السندات!$A$5:$A$504,0)),"رقم سند غير موجود ✘",IF(AND(F718&lt;&gt;"",G718&lt;&gt;""),"اكتب مدين أو دائن فقط ✘",IF(AND(N(F718)=0,N(G718)=0),"بدون مبلغ ⚠",IF(B718&gt;12,"يتجاوز 12 بنداً في الطباعة ⚠","")))))</f>
        <v/>
      </c>
    </row>
    <row r="719" customFormat="false" ht="15" hidden="false" customHeight="false" outlineLevel="0" collapsed="false">
      <c r="A719" s="58"/>
      <c r="B719" s="68" t="str">
        <f aca="false">IF(A719="","",COUNTIF(A$5:A719,A719))</f>
        <v/>
      </c>
      <c r="C719" s="68" t="str">
        <f aca="false">IF(A719="","",A719&amp;"-"&amp;B719)</f>
        <v/>
      </c>
      <c r="D719" s="58"/>
      <c r="E719" s="57"/>
      <c r="F719" s="69"/>
      <c r="G719" s="69"/>
      <c r="H719" s="70" t="str">
        <f aca="false">IF(A719="","",IFERROR(INDEX(السندات!$C$5:$C$504,MATCH(A719,السندات!$A$5:$A$504,0)),""))</f>
        <v/>
      </c>
      <c r="I719" s="71" t="str">
        <f aca="false">IF(A719="","",IFERROR(INDEX(السندات!$D$5:$D$504,MATCH(A719,السندات!$A$5:$A$504,0)),""))</f>
        <v/>
      </c>
      <c r="J719" s="72" t="str">
        <f aca="false">IF(A719="","",IF(ISNA(MATCH(A719,السندات!$A$5:$A$504,0)),"رقم سند غير موجود ✘",IF(AND(F719&lt;&gt;"",G719&lt;&gt;""),"اكتب مدين أو دائن فقط ✘",IF(AND(N(F719)=0,N(G719)=0),"بدون مبلغ ⚠",IF(B719&gt;12,"يتجاوز 12 بنداً في الطباعة ⚠","")))))</f>
        <v/>
      </c>
    </row>
    <row r="720" customFormat="false" ht="15" hidden="false" customHeight="false" outlineLevel="0" collapsed="false">
      <c r="A720" s="58"/>
      <c r="B720" s="73" t="str">
        <f aca="false">IF(A720="","",COUNTIF(A$5:A720,A720))</f>
        <v/>
      </c>
      <c r="C720" s="73" t="str">
        <f aca="false">IF(A720="","",A720&amp;"-"&amp;B720)</f>
        <v/>
      </c>
      <c r="D720" s="58"/>
      <c r="E720" s="57"/>
      <c r="F720" s="69"/>
      <c r="G720" s="69"/>
      <c r="H720" s="74" t="str">
        <f aca="false">IF(A720="","",IFERROR(INDEX(السندات!$C$5:$C$504,MATCH(A720,السندات!$A$5:$A$504,0)),""))</f>
        <v/>
      </c>
      <c r="I720" s="75" t="str">
        <f aca="false">IF(A720="","",IFERROR(INDEX(السندات!$D$5:$D$504,MATCH(A720,السندات!$A$5:$A$504,0)),""))</f>
        <v/>
      </c>
      <c r="J720" s="76" t="str">
        <f aca="false">IF(A720="","",IF(ISNA(MATCH(A720,السندات!$A$5:$A$504,0)),"رقم سند غير موجود ✘",IF(AND(F720&lt;&gt;"",G720&lt;&gt;""),"اكتب مدين أو دائن فقط ✘",IF(AND(N(F720)=0,N(G720)=0),"بدون مبلغ ⚠",IF(B720&gt;12,"يتجاوز 12 بنداً في الطباعة ⚠","")))))</f>
        <v/>
      </c>
    </row>
    <row r="721" customFormat="false" ht="15" hidden="false" customHeight="false" outlineLevel="0" collapsed="false">
      <c r="A721" s="58"/>
      <c r="B721" s="68" t="str">
        <f aca="false">IF(A721="","",COUNTIF(A$5:A721,A721))</f>
        <v/>
      </c>
      <c r="C721" s="68" t="str">
        <f aca="false">IF(A721="","",A721&amp;"-"&amp;B721)</f>
        <v/>
      </c>
      <c r="D721" s="58"/>
      <c r="E721" s="57"/>
      <c r="F721" s="69"/>
      <c r="G721" s="69"/>
      <c r="H721" s="70" t="str">
        <f aca="false">IF(A721="","",IFERROR(INDEX(السندات!$C$5:$C$504,MATCH(A721,السندات!$A$5:$A$504,0)),""))</f>
        <v/>
      </c>
      <c r="I721" s="71" t="str">
        <f aca="false">IF(A721="","",IFERROR(INDEX(السندات!$D$5:$D$504,MATCH(A721,السندات!$A$5:$A$504,0)),""))</f>
        <v/>
      </c>
      <c r="J721" s="72" t="str">
        <f aca="false">IF(A721="","",IF(ISNA(MATCH(A721,السندات!$A$5:$A$504,0)),"رقم سند غير موجود ✘",IF(AND(F721&lt;&gt;"",G721&lt;&gt;""),"اكتب مدين أو دائن فقط ✘",IF(AND(N(F721)=0,N(G721)=0),"بدون مبلغ ⚠",IF(B721&gt;12,"يتجاوز 12 بنداً في الطباعة ⚠","")))))</f>
        <v/>
      </c>
    </row>
    <row r="722" customFormat="false" ht="15" hidden="false" customHeight="false" outlineLevel="0" collapsed="false">
      <c r="A722" s="58"/>
      <c r="B722" s="73" t="str">
        <f aca="false">IF(A722="","",COUNTIF(A$5:A722,A722))</f>
        <v/>
      </c>
      <c r="C722" s="73" t="str">
        <f aca="false">IF(A722="","",A722&amp;"-"&amp;B722)</f>
        <v/>
      </c>
      <c r="D722" s="58"/>
      <c r="E722" s="57"/>
      <c r="F722" s="69"/>
      <c r="G722" s="69"/>
      <c r="H722" s="74" t="str">
        <f aca="false">IF(A722="","",IFERROR(INDEX(السندات!$C$5:$C$504,MATCH(A722,السندات!$A$5:$A$504,0)),""))</f>
        <v/>
      </c>
      <c r="I722" s="75" t="str">
        <f aca="false">IF(A722="","",IFERROR(INDEX(السندات!$D$5:$D$504,MATCH(A722,السندات!$A$5:$A$504,0)),""))</f>
        <v/>
      </c>
      <c r="J722" s="76" t="str">
        <f aca="false">IF(A722="","",IF(ISNA(MATCH(A722,السندات!$A$5:$A$504,0)),"رقم سند غير موجود ✘",IF(AND(F722&lt;&gt;"",G722&lt;&gt;""),"اكتب مدين أو دائن فقط ✘",IF(AND(N(F722)=0,N(G722)=0),"بدون مبلغ ⚠",IF(B722&gt;12,"يتجاوز 12 بنداً في الطباعة ⚠","")))))</f>
        <v/>
      </c>
    </row>
    <row r="723" customFormat="false" ht="15" hidden="false" customHeight="false" outlineLevel="0" collapsed="false">
      <c r="A723" s="58"/>
      <c r="B723" s="68" t="str">
        <f aca="false">IF(A723="","",COUNTIF(A$5:A723,A723))</f>
        <v/>
      </c>
      <c r="C723" s="68" t="str">
        <f aca="false">IF(A723="","",A723&amp;"-"&amp;B723)</f>
        <v/>
      </c>
      <c r="D723" s="58"/>
      <c r="E723" s="57"/>
      <c r="F723" s="69"/>
      <c r="G723" s="69"/>
      <c r="H723" s="70" t="str">
        <f aca="false">IF(A723="","",IFERROR(INDEX(السندات!$C$5:$C$504,MATCH(A723,السندات!$A$5:$A$504,0)),""))</f>
        <v/>
      </c>
      <c r="I723" s="71" t="str">
        <f aca="false">IF(A723="","",IFERROR(INDEX(السندات!$D$5:$D$504,MATCH(A723,السندات!$A$5:$A$504,0)),""))</f>
        <v/>
      </c>
      <c r="J723" s="72" t="str">
        <f aca="false">IF(A723="","",IF(ISNA(MATCH(A723,السندات!$A$5:$A$504,0)),"رقم سند غير موجود ✘",IF(AND(F723&lt;&gt;"",G723&lt;&gt;""),"اكتب مدين أو دائن فقط ✘",IF(AND(N(F723)=0,N(G723)=0),"بدون مبلغ ⚠",IF(B723&gt;12,"يتجاوز 12 بنداً في الطباعة ⚠","")))))</f>
        <v/>
      </c>
    </row>
    <row r="724" customFormat="false" ht="15" hidden="false" customHeight="false" outlineLevel="0" collapsed="false">
      <c r="A724" s="58"/>
      <c r="B724" s="73" t="str">
        <f aca="false">IF(A724="","",COUNTIF(A$5:A724,A724))</f>
        <v/>
      </c>
      <c r="C724" s="73" t="str">
        <f aca="false">IF(A724="","",A724&amp;"-"&amp;B724)</f>
        <v/>
      </c>
      <c r="D724" s="58"/>
      <c r="E724" s="57"/>
      <c r="F724" s="69"/>
      <c r="G724" s="69"/>
      <c r="H724" s="74" t="str">
        <f aca="false">IF(A724="","",IFERROR(INDEX(السندات!$C$5:$C$504,MATCH(A724,السندات!$A$5:$A$504,0)),""))</f>
        <v/>
      </c>
      <c r="I724" s="75" t="str">
        <f aca="false">IF(A724="","",IFERROR(INDEX(السندات!$D$5:$D$504,MATCH(A724,السندات!$A$5:$A$504,0)),""))</f>
        <v/>
      </c>
      <c r="J724" s="76" t="str">
        <f aca="false">IF(A724="","",IF(ISNA(MATCH(A724,السندات!$A$5:$A$504,0)),"رقم سند غير موجود ✘",IF(AND(F724&lt;&gt;"",G724&lt;&gt;""),"اكتب مدين أو دائن فقط ✘",IF(AND(N(F724)=0,N(G724)=0),"بدون مبلغ ⚠",IF(B724&gt;12,"يتجاوز 12 بنداً في الطباعة ⚠","")))))</f>
        <v/>
      </c>
    </row>
    <row r="725" customFormat="false" ht="15" hidden="false" customHeight="false" outlineLevel="0" collapsed="false">
      <c r="A725" s="58"/>
      <c r="B725" s="68" t="str">
        <f aca="false">IF(A725="","",COUNTIF(A$5:A725,A725))</f>
        <v/>
      </c>
      <c r="C725" s="68" t="str">
        <f aca="false">IF(A725="","",A725&amp;"-"&amp;B725)</f>
        <v/>
      </c>
      <c r="D725" s="58"/>
      <c r="E725" s="57"/>
      <c r="F725" s="69"/>
      <c r="G725" s="69"/>
      <c r="H725" s="70" t="str">
        <f aca="false">IF(A725="","",IFERROR(INDEX(السندات!$C$5:$C$504,MATCH(A725,السندات!$A$5:$A$504,0)),""))</f>
        <v/>
      </c>
      <c r="I725" s="71" t="str">
        <f aca="false">IF(A725="","",IFERROR(INDEX(السندات!$D$5:$D$504,MATCH(A725,السندات!$A$5:$A$504,0)),""))</f>
        <v/>
      </c>
      <c r="J725" s="72" t="str">
        <f aca="false">IF(A725="","",IF(ISNA(MATCH(A725,السندات!$A$5:$A$504,0)),"رقم سند غير موجود ✘",IF(AND(F725&lt;&gt;"",G725&lt;&gt;""),"اكتب مدين أو دائن فقط ✘",IF(AND(N(F725)=0,N(G725)=0),"بدون مبلغ ⚠",IF(B725&gt;12,"يتجاوز 12 بنداً في الطباعة ⚠","")))))</f>
        <v/>
      </c>
    </row>
    <row r="726" customFormat="false" ht="15" hidden="false" customHeight="false" outlineLevel="0" collapsed="false">
      <c r="A726" s="58"/>
      <c r="B726" s="73" t="str">
        <f aca="false">IF(A726="","",COUNTIF(A$5:A726,A726))</f>
        <v/>
      </c>
      <c r="C726" s="73" t="str">
        <f aca="false">IF(A726="","",A726&amp;"-"&amp;B726)</f>
        <v/>
      </c>
      <c r="D726" s="58"/>
      <c r="E726" s="57"/>
      <c r="F726" s="69"/>
      <c r="G726" s="69"/>
      <c r="H726" s="74" t="str">
        <f aca="false">IF(A726="","",IFERROR(INDEX(السندات!$C$5:$C$504,MATCH(A726,السندات!$A$5:$A$504,0)),""))</f>
        <v/>
      </c>
      <c r="I726" s="75" t="str">
        <f aca="false">IF(A726="","",IFERROR(INDEX(السندات!$D$5:$D$504,MATCH(A726,السندات!$A$5:$A$504,0)),""))</f>
        <v/>
      </c>
      <c r="J726" s="76" t="str">
        <f aca="false">IF(A726="","",IF(ISNA(MATCH(A726,السندات!$A$5:$A$504,0)),"رقم سند غير موجود ✘",IF(AND(F726&lt;&gt;"",G726&lt;&gt;""),"اكتب مدين أو دائن فقط ✘",IF(AND(N(F726)=0,N(G726)=0),"بدون مبلغ ⚠",IF(B726&gt;12,"يتجاوز 12 بنداً في الطباعة ⚠","")))))</f>
        <v/>
      </c>
    </row>
    <row r="727" customFormat="false" ht="15" hidden="false" customHeight="false" outlineLevel="0" collapsed="false">
      <c r="A727" s="58"/>
      <c r="B727" s="68" t="str">
        <f aca="false">IF(A727="","",COUNTIF(A$5:A727,A727))</f>
        <v/>
      </c>
      <c r="C727" s="68" t="str">
        <f aca="false">IF(A727="","",A727&amp;"-"&amp;B727)</f>
        <v/>
      </c>
      <c r="D727" s="58"/>
      <c r="E727" s="57"/>
      <c r="F727" s="69"/>
      <c r="G727" s="69"/>
      <c r="H727" s="70" t="str">
        <f aca="false">IF(A727="","",IFERROR(INDEX(السندات!$C$5:$C$504,MATCH(A727,السندات!$A$5:$A$504,0)),""))</f>
        <v/>
      </c>
      <c r="I727" s="71" t="str">
        <f aca="false">IF(A727="","",IFERROR(INDEX(السندات!$D$5:$D$504,MATCH(A727,السندات!$A$5:$A$504,0)),""))</f>
        <v/>
      </c>
      <c r="J727" s="72" t="str">
        <f aca="false">IF(A727="","",IF(ISNA(MATCH(A727,السندات!$A$5:$A$504,0)),"رقم سند غير موجود ✘",IF(AND(F727&lt;&gt;"",G727&lt;&gt;""),"اكتب مدين أو دائن فقط ✘",IF(AND(N(F727)=0,N(G727)=0),"بدون مبلغ ⚠",IF(B727&gt;12,"يتجاوز 12 بنداً في الطباعة ⚠","")))))</f>
        <v/>
      </c>
    </row>
    <row r="728" customFormat="false" ht="15" hidden="false" customHeight="false" outlineLevel="0" collapsed="false">
      <c r="A728" s="58"/>
      <c r="B728" s="73" t="str">
        <f aca="false">IF(A728="","",COUNTIF(A$5:A728,A728))</f>
        <v/>
      </c>
      <c r="C728" s="73" t="str">
        <f aca="false">IF(A728="","",A728&amp;"-"&amp;B728)</f>
        <v/>
      </c>
      <c r="D728" s="58"/>
      <c r="E728" s="57"/>
      <c r="F728" s="69"/>
      <c r="G728" s="69"/>
      <c r="H728" s="74" t="str">
        <f aca="false">IF(A728="","",IFERROR(INDEX(السندات!$C$5:$C$504,MATCH(A728,السندات!$A$5:$A$504,0)),""))</f>
        <v/>
      </c>
      <c r="I728" s="75" t="str">
        <f aca="false">IF(A728="","",IFERROR(INDEX(السندات!$D$5:$D$504,MATCH(A728,السندات!$A$5:$A$504,0)),""))</f>
        <v/>
      </c>
      <c r="J728" s="76" t="str">
        <f aca="false">IF(A728="","",IF(ISNA(MATCH(A728,السندات!$A$5:$A$504,0)),"رقم سند غير موجود ✘",IF(AND(F728&lt;&gt;"",G728&lt;&gt;""),"اكتب مدين أو دائن فقط ✘",IF(AND(N(F728)=0,N(G728)=0),"بدون مبلغ ⚠",IF(B728&gt;12,"يتجاوز 12 بنداً في الطباعة ⚠","")))))</f>
        <v/>
      </c>
    </row>
    <row r="729" customFormat="false" ht="15" hidden="false" customHeight="false" outlineLevel="0" collapsed="false">
      <c r="A729" s="58"/>
      <c r="B729" s="68" t="str">
        <f aca="false">IF(A729="","",COUNTIF(A$5:A729,A729))</f>
        <v/>
      </c>
      <c r="C729" s="68" t="str">
        <f aca="false">IF(A729="","",A729&amp;"-"&amp;B729)</f>
        <v/>
      </c>
      <c r="D729" s="58"/>
      <c r="E729" s="57"/>
      <c r="F729" s="69"/>
      <c r="G729" s="69"/>
      <c r="H729" s="70" t="str">
        <f aca="false">IF(A729="","",IFERROR(INDEX(السندات!$C$5:$C$504,MATCH(A729,السندات!$A$5:$A$504,0)),""))</f>
        <v/>
      </c>
      <c r="I729" s="71" t="str">
        <f aca="false">IF(A729="","",IFERROR(INDEX(السندات!$D$5:$D$504,MATCH(A729,السندات!$A$5:$A$504,0)),""))</f>
        <v/>
      </c>
      <c r="J729" s="72" t="str">
        <f aca="false">IF(A729="","",IF(ISNA(MATCH(A729,السندات!$A$5:$A$504,0)),"رقم سند غير موجود ✘",IF(AND(F729&lt;&gt;"",G729&lt;&gt;""),"اكتب مدين أو دائن فقط ✘",IF(AND(N(F729)=0,N(G729)=0),"بدون مبلغ ⚠",IF(B729&gt;12,"يتجاوز 12 بنداً في الطباعة ⚠","")))))</f>
        <v/>
      </c>
    </row>
    <row r="730" customFormat="false" ht="15" hidden="false" customHeight="false" outlineLevel="0" collapsed="false">
      <c r="A730" s="58"/>
      <c r="B730" s="73" t="str">
        <f aca="false">IF(A730="","",COUNTIF(A$5:A730,A730))</f>
        <v/>
      </c>
      <c r="C730" s="73" t="str">
        <f aca="false">IF(A730="","",A730&amp;"-"&amp;B730)</f>
        <v/>
      </c>
      <c r="D730" s="58"/>
      <c r="E730" s="57"/>
      <c r="F730" s="69"/>
      <c r="G730" s="69"/>
      <c r="H730" s="74" t="str">
        <f aca="false">IF(A730="","",IFERROR(INDEX(السندات!$C$5:$C$504,MATCH(A730,السندات!$A$5:$A$504,0)),""))</f>
        <v/>
      </c>
      <c r="I730" s="75" t="str">
        <f aca="false">IF(A730="","",IFERROR(INDEX(السندات!$D$5:$D$504,MATCH(A730,السندات!$A$5:$A$504,0)),""))</f>
        <v/>
      </c>
      <c r="J730" s="76" t="str">
        <f aca="false">IF(A730="","",IF(ISNA(MATCH(A730,السندات!$A$5:$A$504,0)),"رقم سند غير موجود ✘",IF(AND(F730&lt;&gt;"",G730&lt;&gt;""),"اكتب مدين أو دائن فقط ✘",IF(AND(N(F730)=0,N(G730)=0),"بدون مبلغ ⚠",IF(B730&gt;12,"يتجاوز 12 بنداً في الطباعة ⚠","")))))</f>
        <v/>
      </c>
    </row>
    <row r="731" customFormat="false" ht="15" hidden="false" customHeight="false" outlineLevel="0" collapsed="false">
      <c r="A731" s="58"/>
      <c r="B731" s="68" t="str">
        <f aca="false">IF(A731="","",COUNTIF(A$5:A731,A731))</f>
        <v/>
      </c>
      <c r="C731" s="68" t="str">
        <f aca="false">IF(A731="","",A731&amp;"-"&amp;B731)</f>
        <v/>
      </c>
      <c r="D731" s="58"/>
      <c r="E731" s="57"/>
      <c r="F731" s="69"/>
      <c r="G731" s="69"/>
      <c r="H731" s="70" t="str">
        <f aca="false">IF(A731="","",IFERROR(INDEX(السندات!$C$5:$C$504,MATCH(A731,السندات!$A$5:$A$504,0)),""))</f>
        <v/>
      </c>
      <c r="I731" s="71" t="str">
        <f aca="false">IF(A731="","",IFERROR(INDEX(السندات!$D$5:$D$504,MATCH(A731,السندات!$A$5:$A$504,0)),""))</f>
        <v/>
      </c>
      <c r="J731" s="72" t="str">
        <f aca="false">IF(A731="","",IF(ISNA(MATCH(A731,السندات!$A$5:$A$504,0)),"رقم سند غير موجود ✘",IF(AND(F731&lt;&gt;"",G731&lt;&gt;""),"اكتب مدين أو دائن فقط ✘",IF(AND(N(F731)=0,N(G731)=0),"بدون مبلغ ⚠",IF(B731&gt;12,"يتجاوز 12 بنداً في الطباعة ⚠","")))))</f>
        <v/>
      </c>
    </row>
    <row r="732" customFormat="false" ht="15" hidden="false" customHeight="false" outlineLevel="0" collapsed="false">
      <c r="A732" s="58"/>
      <c r="B732" s="73" t="str">
        <f aca="false">IF(A732="","",COUNTIF(A$5:A732,A732))</f>
        <v/>
      </c>
      <c r="C732" s="73" t="str">
        <f aca="false">IF(A732="","",A732&amp;"-"&amp;B732)</f>
        <v/>
      </c>
      <c r="D732" s="58"/>
      <c r="E732" s="57"/>
      <c r="F732" s="69"/>
      <c r="G732" s="69"/>
      <c r="H732" s="74" t="str">
        <f aca="false">IF(A732="","",IFERROR(INDEX(السندات!$C$5:$C$504,MATCH(A732,السندات!$A$5:$A$504,0)),""))</f>
        <v/>
      </c>
      <c r="I732" s="75" t="str">
        <f aca="false">IF(A732="","",IFERROR(INDEX(السندات!$D$5:$D$504,MATCH(A732,السندات!$A$5:$A$504,0)),""))</f>
        <v/>
      </c>
      <c r="J732" s="76" t="str">
        <f aca="false">IF(A732="","",IF(ISNA(MATCH(A732,السندات!$A$5:$A$504,0)),"رقم سند غير موجود ✘",IF(AND(F732&lt;&gt;"",G732&lt;&gt;""),"اكتب مدين أو دائن فقط ✘",IF(AND(N(F732)=0,N(G732)=0),"بدون مبلغ ⚠",IF(B732&gt;12,"يتجاوز 12 بنداً في الطباعة ⚠","")))))</f>
        <v/>
      </c>
    </row>
    <row r="733" customFormat="false" ht="15" hidden="false" customHeight="false" outlineLevel="0" collapsed="false">
      <c r="A733" s="58"/>
      <c r="B733" s="68" t="str">
        <f aca="false">IF(A733="","",COUNTIF(A$5:A733,A733))</f>
        <v/>
      </c>
      <c r="C733" s="68" t="str">
        <f aca="false">IF(A733="","",A733&amp;"-"&amp;B733)</f>
        <v/>
      </c>
      <c r="D733" s="58"/>
      <c r="E733" s="57"/>
      <c r="F733" s="69"/>
      <c r="G733" s="69"/>
      <c r="H733" s="70" t="str">
        <f aca="false">IF(A733="","",IFERROR(INDEX(السندات!$C$5:$C$504,MATCH(A733,السندات!$A$5:$A$504,0)),""))</f>
        <v/>
      </c>
      <c r="I733" s="71" t="str">
        <f aca="false">IF(A733="","",IFERROR(INDEX(السندات!$D$5:$D$504,MATCH(A733,السندات!$A$5:$A$504,0)),""))</f>
        <v/>
      </c>
      <c r="J733" s="72" t="str">
        <f aca="false">IF(A733="","",IF(ISNA(MATCH(A733,السندات!$A$5:$A$504,0)),"رقم سند غير موجود ✘",IF(AND(F733&lt;&gt;"",G733&lt;&gt;""),"اكتب مدين أو دائن فقط ✘",IF(AND(N(F733)=0,N(G733)=0),"بدون مبلغ ⚠",IF(B733&gt;12,"يتجاوز 12 بنداً في الطباعة ⚠","")))))</f>
        <v/>
      </c>
    </row>
    <row r="734" customFormat="false" ht="15" hidden="false" customHeight="false" outlineLevel="0" collapsed="false">
      <c r="A734" s="58"/>
      <c r="B734" s="73" t="str">
        <f aca="false">IF(A734="","",COUNTIF(A$5:A734,A734))</f>
        <v/>
      </c>
      <c r="C734" s="73" t="str">
        <f aca="false">IF(A734="","",A734&amp;"-"&amp;B734)</f>
        <v/>
      </c>
      <c r="D734" s="58"/>
      <c r="E734" s="57"/>
      <c r="F734" s="69"/>
      <c r="G734" s="69"/>
      <c r="H734" s="74" t="str">
        <f aca="false">IF(A734="","",IFERROR(INDEX(السندات!$C$5:$C$504,MATCH(A734,السندات!$A$5:$A$504,0)),""))</f>
        <v/>
      </c>
      <c r="I734" s="75" t="str">
        <f aca="false">IF(A734="","",IFERROR(INDEX(السندات!$D$5:$D$504,MATCH(A734,السندات!$A$5:$A$504,0)),""))</f>
        <v/>
      </c>
      <c r="J734" s="76" t="str">
        <f aca="false">IF(A734="","",IF(ISNA(MATCH(A734,السندات!$A$5:$A$504,0)),"رقم سند غير موجود ✘",IF(AND(F734&lt;&gt;"",G734&lt;&gt;""),"اكتب مدين أو دائن فقط ✘",IF(AND(N(F734)=0,N(G734)=0),"بدون مبلغ ⚠",IF(B734&gt;12,"يتجاوز 12 بنداً في الطباعة ⚠","")))))</f>
        <v/>
      </c>
    </row>
    <row r="735" customFormat="false" ht="15" hidden="false" customHeight="false" outlineLevel="0" collapsed="false">
      <c r="A735" s="58"/>
      <c r="B735" s="68" t="str">
        <f aca="false">IF(A735="","",COUNTIF(A$5:A735,A735))</f>
        <v/>
      </c>
      <c r="C735" s="68" t="str">
        <f aca="false">IF(A735="","",A735&amp;"-"&amp;B735)</f>
        <v/>
      </c>
      <c r="D735" s="58"/>
      <c r="E735" s="57"/>
      <c r="F735" s="69"/>
      <c r="G735" s="69"/>
      <c r="H735" s="70" t="str">
        <f aca="false">IF(A735="","",IFERROR(INDEX(السندات!$C$5:$C$504,MATCH(A735,السندات!$A$5:$A$504,0)),""))</f>
        <v/>
      </c>
      <c r="I735" s="71" t="str">
        <f aca="false">IF(A735="","",IFERROR(INDEX(السندات!$D$5:$D$504,MATCH(A735,السندات!$A$5:$A$504,0)),""))</f>
        <v/>
      </c>
      <c r="J735" s="72" t="str">
        <f aca="false">IF(A735="","",IF(ISNA(MATCH(A735,السندات!$A$5:$A$504,0)),"رقم سند غير موجود ✘",IF(AND(F735&lt;&gt;"",G735&lt;&gt;""),"اكتب مدين أو دائن فقط ✘",IF(AND(N(F735)=0,N(G735)=0),"بدون مبلغ ⚠",IF(B735&gt;12,"يتجاوز 12 بنداً في الطباعة ⚠","")))))</f>
        <v/>
      </c>
    </row>
    <row r="736" customFormat="false" ht="15" hidden="false" customHeight="false" outlineLevel="0" collapsed="false">
      <c r="A736" s="58"/>
      <c r="B736" s="73" t="str">
        <f aca="false">IF(A736="","",COUNTIF(A$5:A736,A736))</f>
        <v/>
      </c>
      <c r="C736" s="73" t="str">
        <f aca="false">IF(A736="","",A736&amp;"-"&amp;B736)</f>
        <v/>
      </c>
      <c r="D736" s="58"/>
      <c r="E736" s="57"/>
      <c r="F736" s="69"/>
      <c r="G736" s="69"/>
      <c r="H736" s="74" t="str">
        <f aca="false">IF(A736="","",IFERROR(INDEX(السندات!$C$5:$C$504,MATCH(A736,السندات!$A$5:$A$504,0)),""))</f>
        <v/>
      </c>
      <c r="I736" s="75" t="str">
        <f aca="false">IF(A736="","",IFERROR(INDEX(السندات!$D$5:$D$504,MATCH(A736,السندات!$A$5:$A$504,0)),""))</f>
        <v/>
      </c>
      <c r="J736" s="76" t="str">
        <f aca="false">IF(A736="","",IF(ISNA(MATCH(A736,السندات!$A$5:$A$504,0)),"رقم سند غير موجود ✘",IF(AND(F736&lt;&gt;"",G736&lt;&gt;""),"اكتب مدين أو دائن فقط ✘",IF(AND(N(F736)=0,N(G736)=0),"بدون مبلغ ⚠",IF(B736&gt;12,"يتجاوز 12 بنداً في الطباعة ⚠","")))))</f>
        <v/>
      </c>
    </row>
    <row r="737" customFormat="false" ht="15" hidden="false" customHeight="false" outlineLevel="0" collapsed="false">
      <c r="A737" s="58"/>
      <c r="B737" s="68" t="str">
        <f aca="false">IF(A737="","",COUNTIF(A$5:A737,A737))</f>
        <v/>
      </c>
      <c r="C737" s="68" t="str">
        <f aca="false">IF(A737="","",A737&amp;"-"&amp;B737)</f>
        <v/>
      </c>
      <c r="D737" s="58"/>
      <c r="E737" s="57"/>
      <c r="F737" s="69"/>
      <c r="G737" s="69"/>
      <c r="H737" s="70" t="str">
        <f aca="false">IF(A737="","",IFERROR(INDEX(السندات!$C$5:$C$504,MATCH(A737,السندات!$A$5:$A$504,0)),""))</f>
        <v/>
      </c>
      <c r="I737" s="71" t="str">
        <f aca="false">IF(A737="","",IFERROR(INDEX(السندات!$D$5:$D$504,MATCH(A737,السندات!$A$5:$A$504,0)),""))</f>
        <v/>
      </c>
      <c r="J737" s="72" t="str">
        <f aca="false">IF(A737="","",IF(ISNA(MATCH(A737,السندات!$A$5:$A$504,0)),"رقم سند غير موجود ✘",IF(AND(F737&lt;&gt;"",G737&lt;&gt;""),"اكتب مدين أو دائن فقط ✘",IF(AND(N(F737)=0,N(G737)=0),"بدون مبلغ ⚠",IF(B737&gt;12,"يتجاوز 12 بنداً في الطباعة ⚠","")))))</f>
        <v/>
      </c>
    </row>
    <row r="738" customFormat="false" ht="15" hidden="false" customHeight="false" outlineLevel="0" collapsed="false">
      <c r="A738" s="58"/>
      <c r="B738" s="73" t="str">
        <f aca="false">IF(A738="","",COUNTIF(A$5:A738,A738))</f>
        <v/>
      </c>
      <c r="C738" s="73" t="str">
        <f aca="false">IF(A738="","",A738&amp;"-"&amp;B738)</f>
        <v/>
      </c>
      <c r="D738" s="58"/>
      <c r="E738" s="57"/>
      <c r="F738" s="69"/>
      <c r="G738" s="69"/>
      <c r="H738" s="74" t="str">
        <f aca="false">IF(A738="","",IFERROR(INDEX(السندات!$C$5:$C$504,MATCH(A738,السندات!$A$5:$A$504,0)),""))</f>
        <v/>
      </c>
      <c r="I738" s="75" t="str">
        <f aca="false">IF(A738="","",IFERROR(INDEX(السندات!$D$5:$D$504,MATCH(A738,السندات!$A$5:$A$504,0)),""))</f>
        <v/>
      </c>
      <c r="J738" s="76" t="str">
        <f aca="false">IF(A738="","",IF(ISNA(MATCH(A738,السندات!$A$5:$A$504,0)),"رقم سند غير موجود ✘",IF(AND(F738&lt;&gt;"",G738&lt;&gt;""),"اكتب مدين أو دائن فقط ✘",IF(AND(N(F738)=0,N(G738)=0),"بدون مبلغ ⚠",IF(B738&gt;12,"يتجاوز 12 بنداً في الطباعة ⚠","")))))</f>
        <v/>
      </c>
    </row>
    <row r="739" customFormat="false" ht="15" hidden="false" customHeight="false" outlineLevel="0" collapsed="false">
      <c r="A739" s="58"/>
      <c r="B739" s="68" t="str">
        <f aca="false">IF(A739="","",COUNTIF(A$5:A739,A739))</f>
        <v/>
      </c>
      <c r="C739" s="68" t="str">
        <f aca="false">IF(A739="","",A739&amp;"-"&amp;B739)</f>
        <v/>
      </c>
      <c r="D739" s="58"/>
      <c r="E739" s="57"/>
      <c r="F739" s="69"/>
      <c r="G739" s="69"/>
      <c r="H739" s="70" t="str">
        <f aca="false">IF(A739="","",IFERROR(INDEX(السندات!$C$5:$C$504,MATCH(A739,السندات!$A$5:$A$504,0)),""))</f>
        <v/>
      </c>
      <c r="I739" s="71" t="str">
        <f aca="false">IF(A739="","",IFERROR(INDEX(السندات!$D$5:$D$504,MATCH(A739,السندات!$A$5:$A$504,0)),""))</f>
        <v/>
      </c>
      <c r="J739" s="72" t="str">
        <f aca="false">IF(A739="","",IF(ISNA(MATCH(A739,السندات!$A$5:$A$504,0)),"رقم سند غير موجود ✘",IF(AND(F739&lt;&gt;"",G739&lt;&gt;""),"اكتب مدين أو دائن فقط ✘",IF(AND(N(F739)=0,N(G739)=0),"بدون مبلغ ⚠",IF(B739&gt;12,"يتجاوز 12 بنداً في الطباعة ⚠","")))))</f>
        <v/>
      </c>
    </row>
    <row r="740" customFormat="false" ht="15" hidden="false" customHeight="false" outlineLevel="0" collapsed="false">
      <c r="A740" s="58"/>
      <c r="B740" s="73" t="str">
        <f aca="false">IF(A740="","",COUNTIF(A$5:A740,A740))</f>
        <v/>
      </c>
      <c r="C740" s="73" t="str">
        <f aca="false">IF(A740="","",A740&amp;"-"&amp;B740)</f>
        <v/>
      </c>
      <c r="D740" s="58"/>
      <c r="E740" s="57"/>
      <c r="F740" s="69"/>
      <c r="G740" s="69"/>
      <c r="H740" s="74" t="str">
        <f aca="false">IF(A740="","",IFERROR(INDEX(السندات!$C$5:$C$504,MATCH(A740,السندات!$A$5:$A$504,0)),""))</f>
        <v/>
      </c>
      <c r="I740" s="75" t="str">
        <f aca="false">IF(A740="","",IFERROR(INDEX(السندات!$D$5:$D$504,MATCH(A740,السندات!$A$5:$A$504,0)),""))</f>
        <v/>
      </c>
      <c r="J740" s="76" t="str">
        <f aca="false">IF(A740="","",IF(ISNA(MATCH(A740,السندات!$A$5:$A$504,0)),"رقم سند غير موجود ✘",IF(AND(F740&lt;&gt;"",G740&lt;&gt;""),"اكتب مدين أو دائن فقط ✘",IF(AND(N(F740)=0,N(G740)=0),"بدون مبلغ ⚠",IF(B740&gt;12,"يتجاوز 12 بنداً في الطباعة ⚠","")))))</f>
        <v/>
      </c>
    </row>
    <row r="741" customFormat="false" ht="15" hidden="false" customHeight="false" outlineLevel="0" collapsed="false">
      <c r="A741" s="58"/>
      <c r="B741" s="68" t="str">
        <f aca="false">IF(A741="","",COUNTIF(A$5:A741,A741))</f>
        <v/>
      </c>
      <c r="C741" s="68" t="str">
        <f aca="false">IF(A741="","",A741&amp;"-"&amp;B741)</f>
        <v/>
      </c>
      <c r="D741" s="58"/>
      <c r="E741" s="57"/>
      <c r="F741" s="69"/>
      <c r="G741" s="69"/>
      <c r="H741" s="70" t="str">
        <f aca="false">IF(A741="","",IFERROR(INDEX(السندات!$C$5:$C$504,MATCH(A741,السندات!$A$5:$A$504,0)),""))</f>
        <v/>
      </c>
      <c r="I741" s="71" t="str">
        <f aca="false">IF(A741="","",IFERROR(INDEX(السندات!$D$5:$D$504,MATCH(A741,السندات!$A$5:$A$504,0)),""))</f>
        <v/>
      </c>
      <c r="J741" s="72" t="str">
        <f aca="false">IF(A741="","",IF(ISNA(MATCH(A741,السندات!$A$5:$A$504,0)),"رقم سند غير موجود ✘",IF(AND(F741&lt;&gt;"",G741&lt;&gt;""),"اكتب مدين أو دائن فقط ✘",IF(AND(N(F741)=0,N(G741)=0),"بدون مبلغ ⚠",IF(B741&gt;12,"يتجاوز 12 بنداً في الطباعة ⚠","")))))</f>
        <v/>
      </c>
    </row>
    <row r="742" customFormat="false" ht="15" hidden="false" customHeight="false" outlineLevel="0" collapsed="false">
      <c r="A742" s="58"/>
      <c r="B742" s="73" t="str">
        <f aca="false">IF(A742="","",COUNTIF(A$5:A742,A742))</f>
        <v/>
      </c>
      <c r="C742" s="73" t="str">
        <f aca="false">IF(A742="","",A742&amp;"-"&amp;B742)</f>
        <v/>
      </c>
      <c r="D742" s="58"/>
      <c r="E742" s="57"/>
      <c r="F742" s="69"/>
      <c r="G742" s="69"/>
      <c r="H742" s="74" t="str">
        <f aca="false">IF(A742="","",IFERROR(INDEX(السندات!$C$5:$C$504,MATCH(A742,السندات!$A$5:$A$504,0)),""))</f>
        <v/>
      </c>
      <c r="I742" s="75" t="str">
        <f aca="false">IF(A742="","",IFERROR(INDEX(السندات!$D$5:$D$504,MATCH(A742,السندات!$A$5:$A$504,0)),""))</f>
        <v/>
      </c>
      <c r="J742" s="76" t="str">
        <f aca="false">IF(A742="","",IF(ISNA(MATCH(A742,السندات!$A$5:$A$504,0)),"رقم سند غير موجود ✘",IF(AND(F742&lt;&gt;"",G742&lt;&gt;""),"اكتب مدين أو دائن فقط ✘",IF(AND(N(F742)=0,N(G742)=0),"بدون مبلغ ⚠",IF(B742&gt;12,"يتجاوز 12 بنداً في الطباعة ⚠","")))))</f>
        <v/>
      </c>
    </row>
    <row r="743" customFormat="false" ht="15" hidden="false" customHeight="false" outlineLevel="0" collapsed="false">
      <c r="A743" s="58"/>
      <c r="B743" s="68" t="str">
        <f aca="false">IF(A743="","",COUNTIF(A$5:A743,A743))</f>
        <v/>
      </c>
      <c r="C743" s="68" t="str">
        <f aca="false">IF(A743="","",A743&amp;"-"&amp;B743)</f>
        <v/>
      </c>
      <c r="D743" s="58"/>
      <c r="E743" s="57"/>
      <c r="F743" s="69"/>
      <c r="G743" s="69"/>
      <c r="H743" s="70" t="str">
        <f aca="false">IF(A743="","",IFERROR(INDEX(السندات!$C$5:$C$504,MATCH(A743,السندات!$A$5:$A$504,0)),""))</f>
        <v/>
      </c>
      <c r="I743" s="71" t="str">
        <f aca="false">IF(A743="","",IFERROR(INDEX(السندات!$D$5:$D$504,MATCH(A743,السندات!$A$5:$A$504,0)),""))</f>
        <v/>
      </c>
      <c r="J743" s="72" t="str">
        <f aca="false">IF(A743="","",IF(ISNA(MATCH(A743,السندات!$A$5:$A$504,0)),"رقم سند غير موجود ✘",IF(AND(F743&lt;&gt;"",G743&lt;&gt;""),"اكتب مدين أو دائن فقط ✘",IF(AND(N(F743)=0,N(G743)=0),"بدون مبلغ ⚠",IF(B743&gt;12,"يتجاوز 12 بنداً في الطباعة ⚠","")))))</f>
        <v/>
      </c>
    </row>
    <row r="744" customFormat="false" ht="15" hidden="false" customHeight="false" outlineLevel="0" collapsed="false">
      <c r="A744" s="58"/>
      <c r="B744" s="73" t="str">
        <f aca="false">IF(A744="","",COUNTIF(A$5:A744,A744))</f>
        <v/>
      </c>
      <c r="C744" s="73" t="str">
        <f aca="false">IF(A744="","",A744&amp;"-"&amp;B744)</f>
        <v/>
      </c>
      <c r="D744" s="58"/>
      <c r="E744" s="57"/>
      <c r="F744" s="69"/>
      <c r="G744" s="69"/>
      <c r="H744" s="74" t="str">
        <f aca="false">IF(A744="","",IFERROR(INDEX(السندات!$C$5:$C$504,MATCH(A744,السندات!$A$5:$A$504,0)),""))</f>
        <v/>
      </c>
      <c r="I744" s="75" t="str">
        <f aca="false">IF(A744="","",IFERROR(INDEX(السندات!$D$5:$D$504,MATCH(A744,السندات!$A$5:$A$504,0)),""))</f>
        <v/>
      </c>
      <c r="J744" s="76" t="str">
        <f aca="false">IF(A744="","",IF(ISNA(MATCH(A744,السندات!$A$5:$A$504,0)),"رقم سند غير موجود ✘",IF(AND(F744&lt;&gt;"",G744&lt;&gt;""),"اكتب مدين أو دائن فقط ✘",IF(AND(N(F744)=0,N(G744)=0),"بدون مبلغ ⚠",IF(B744&gt;12,"يتجاوز 12 بنداً في الطباعة ⚠","")))))</f>
        <v/>
      </c>
    </row>
    <row r="745" customFormat="false" ht="15" hidden="false" customHeight="false" outlineLevel="0" collapsed="false">
      <c r="A745" s="58"/>
      <c r="B745" s="68" t="str">
        <f aca="false">IF(A745="","",COUNTIF(A$5:A745,A745))</f>
        <v/>
      </c>
      <c r="C745" s="68" t="str">
        <f aca="false">IF(A745="","",A745&amp;"-"&amp;B745)</f>
        <v/>
      </c>
      <c r="D745" s="58"/>
      <c r="E745" s="57"/>
      <c r="F745" s="69"/>
      <c r="G745" s="69"/>
      <c r="H745" s="70" t="str">
        <f aca="false">IF(A745="","",IFERROR(INDEX(السندات!$C$5:$C$504,MATCH(A745,السندات!$A$5:$A$504,0)),""))</f>
        <v/>
      </c>
      <c r="I745" s="71" t="str">
        <f aca="false">IF(A745="","",IFERROR(INDEX(السندات!$D$5:$D$504,MATCH(A745,السندات!$A$5:$A$504,0)),""))</f>
        <v/>
      </c>
      <c r="J745" s="72" t="str">
        <f aca="false">IF(A745="","",IF(ISNA(MATCH(A745,السندات!$A$5:$A$504,0)),"رقم سند غير موجود ✘",IF(AND(F745&lt;&gt;"",G745&lt;&gt;""),"اكتب مدين أو دائن فقط ✘",IF(AND(N(F745)=0,N(G745)=0),"بدون مبلغ ⚠",IF(B745&gt;12,"يتجاوز 12 بنداً في الطباعة ⚠","")))))</f>
        <v/>
      </c>
    </row>
    <row r="746" customFormat="false" ht="15" hidden="false" customHeight="false" outlineLevel="0" collapsed="false">
      <c r="A746" s="58"/>
      <c r="B746" s="73" t="str">
        <f aca="false">IF(A746="","",COUNTIF(A$5:A746,A746))</f>
        <v/>
      </c>
      <c r="C746" s="73" t="str">
        <f aca="false">IF(A746="","",A746&amp;"-"&amp;B746)</f>
        <v/>
      </c>
      <c r="D746" s="58"/>
      <c r="E746" s="57"/>
      <c r="F746" s="69"/>
      <c r="G746" s="69"/>
      <c r="H746" s="74" t="str">
        <f aca="false">IF(A746="","",IFERROR(INDEX(السندات!$C$5:$C$504,MATCH(A746,السندات!$A$5:$A$504,0)),""))</f>
        <v/>
      </c>
      <c r="I746" s="75" t="str">
        <f aca="false">IF(A746="","",IFERROR(INDEX(السندات!$D$5:$D$504,MATCH(A746,السندات!$A$5:$A$504,0)),""))</f>
        <v/>
      </c>
      <c r="J746" s="76" t="str">
        <f aca="false">IF(A746="","",IF(ISNA(MATCH(A746,السندات!$A$5:$A$504,0)),"رقم سند غير موجود ✘",IF(AND(F746&lt;&gt;"",G746&lt;&gt;""),"اكتب مدين أو دائن فقط ✘",IF(AND(N(F746)=0,N(G746)=0),"بدون مبلغ ⚠",IF(B746&gt;12,"يتجاوز 12 بنداً في الطباعة ⚠","")))))</f>
        <v/>
      </c>
    </row>
    <row r="747" customFormat="false" ht="15" hidden="false" customHeight="false" outlineLevel="0" collapsed="false">
      <c r="A747" s="58"/>
      <c r="B747" s="68" t="str">
        <f aca="false">IF(A747="","",COUNTIF(A$5:A747,A747))</f>
        <v/>
      </c>
      <c r="C747" s="68" t="str">
        <f aca="false">IF(A747="","",A747&amp;"-"&amp;B747)</f>
        <v/>
      </c>
      <c r="D747" s="58"/>
      <c r="E747" s="57"/>
      <c r="F747" s="69"/>
      <c r="G747" s="69"/>
      <c r="H747" s="70" t="str">
        <f aca="false">IF(A747="","",IFERROR(INDEX(السندات!$C$5:$C$504,MATCH(A747,السندات!$A$5:$A$504,0)),""))</f>
        <v/>
      </c>
      <c r="I747" s="71" t="str">
        <f aca="false">IF(A747="","",IFERROR(INDEX(السندات!$D$5:$D$504,MATCH(A747,السندات!$A$5:$A$504,0)),""))</f>
        <v/>
      </c>
      <c r="J747" s="72" t="str">
        <f aca="false">IF(A747="","",IF(ISNA(MATCH(A747,السندات!$A$5:$A$504,0)),"رقم سند غير موجود ✘",IF(AND(F747&lt;&gt;"",G747&lt;&gt;""),"اكتب مدين أو دائن فقط ✘",IF(AND(N(F747)=0,N(G747)=0),"بدون مبلغ ⚠",IF(B747&gt;12,"يتجاوز 12 بنداً في الطباعة ⚠","")))))</f>
        <v/>
      </c>
    </row>
    <row r="748" customFormat="false" ht="15" hidden="false" customHeight="false" outlineLevel="0" collapsed="false">
      <c r="A748" s="58"/>
      <c r="B748" s="73" t="str">
        <f aca="false">IF(A748="","",COUNTIF(A$5:A748,A748))</f>
        <v/>
      </c>
      <c r="C748" s="73" t="str">
        <f aca="false">IF(A748="","",A748&amp;"-"&amp;B748)</f>
        <v/>
      </c>
      <c r="D748" s="58"/>
      <c r="E748" s="57"/>
      <c r="F748" s="69"/>
      <c r="G748" s="69"/>
      <c r="H748" s="74" t="str">
        <f aca="false">IF(A748="","",IFERROR(INDEX(السندات!$C$5:$C$504,MATCH(A748,السندات!$A$5:$A$504,0)),""))</f>
        <v/>
      </c>
      <c r="I748" s="75" t="str">
        <f aca="false">IF(A748="","",IFERROR(INDEX(السندات!$D$5:$D$504,MATCH(A748,السندات!$A$5:$A$504,0)),""))</f>
        <v/>
      </c>
      <c r="J748" s="76" t="str">
        <f aca="false">IF(A748="","",IF(ISNA(MATCH(A748,السندات!$A$5:$A$504,0)),"رقم سند غير موجود ✘",IF(AND(F748&lt;&gt;"",G748&lt;&gt;""),"اكتب مدين أو دائن فقط ✘",IF(AND(N(F748)=0,N(G748)=0),"بدون مبلغ ⚠",IF(B748&gt;12,"يتجاوز 12 بنداً في الطباعة ⚠","")))))</f>
        <v/>
      </c>
    </row>
    <row r="749" customFormat="false" ht="15" hidden="false" customHeight="false" outlineLevel="0" collapsed="false">
      <c r="A749" s="58"/>
      <c r="B749" s="68" t="str">
        <f aca="false">IF(A749="","",COUNTIF(A$5:A749,A749))</f>
        <v/>
      </c>
      <c r="C749" s="68" t="str">
        <f aca="false">IF(A749="","",A749&amp;"-"&amp;B749)</f>
        <v/>
      </c>
      <c r="D749" s="58"/>
      <c r="E749" s="57"/>
      <c r="F749" s="69"/>
      <c r="G749" s="69"/>
      <c r="H749" s="70" t="str">
        <f aca="false">IF(A749="","",IFERROR(INDEX(السندات!$C$5:$C$504,MATCH(A749,السندات!$A$5:$A$504,0)),""))</f>
        <v/>
      </c>
      <c r="I749" s="71" t="str">
        <f aca="false">IF(A749="","",IFERROR(INDEX(السندات!$D$5:$D$504,MATCH(A749,السندات!$A$5:$A$504,0)),""))</f>
        <v/>
      </c>
      <c r="J749" s="72" t="str">
        <f aca="false">IF(A749="","",IF(ISNA(MATCH(A749,السندات!$A$5:$A$504,0)),"رقم سند غير موجود ✘",IF(AND(F749&lt;&gt;"",G749&lt;&gt;""),"اكتب مدين أو دائن فقط ✘",IF(AND(N(F749)=0,N(G749)=0),"بدون مبلغ ⚠",IF(B749&gt;12,"يتجاوز 12 بنداً في الطباعة ⚠","")))))</f>
        <v/>
      </c>
    </row>
    <row r="750" customFormat="false" ht="15" hidden="false" customHeight="false" outlineLevel="0" collapsed="false">
      <c r="A750" s="58"/>
      <c r="B750" s="73" t="str">
        <f aca="false">IF(A750="","",COUNTIF(A$5:A750,A750))</f>
        <v/>
      </c>
      <c r="C750" s="73" t="str">
        <f aca="false">IF(A750="","",A750&amp;"-"&amp;B750)</f>
        <v/>
      </c>
      <c r="D750" s="58"/>
      <c r="E750" s="57"/>
      <c r="F750" s="69"/>
      <c r="G750" s="69"/>
      <c r="H750" s="74" t="str">
        <f aca="false">IF(A750="","",IFERROR(INDEX(السندات!$C$5:$C$504,MATCH(A750,السندات!$A$5:$A$504,0)),""))</f>
        <v/>
      </c>
      <c r="I750" s="75" t="str">
        <f aca="false">IF(A750="","",IFERROR(INDEX(السندات!$D$5:$D$504,MATCH(A750,السندات!$A$5:$A$504,0)),""))</f>
        <v/>
      </c>
      <c r="J750" s="76" t="str">
        <f aca="false">IF(A750="","",IF(ISNA(MATCH(A750,السندات!$A$5:$A$504,0)),"رقم سند غير موجود ✘",IF(AND(F750&lt;&gt;"",G750&lt;&gt;""),"اكتب مدين أو دائن فقط ✘",IF(AND(N(F750)=0,N(G750)=0),"بدون مبلغ ⚠",IF(B750&gt;12,"يتجاوز 12 بنداً في الطباعة ⚠","")))))</f>
        <v/>
      </c>
    </row>
    <row r="751" customFormat="false" ht="15" hidden="false" customHeight="false" outlineLevel="0" collapsed="false">
      <c r="A751" s="58"/>
      <c r="B751" s="68" t="str">
        <f aca="false">IF(A751="","",COUNTIF(A$5:A751,A751))</f>
        <v/>
      </c>
      <c r="C751" s="68" t="str">
        <f aca="false">IF(A751="","",A751&amp;"-"&amp;B751)</f>
        <v/>
      </c>
      <c r="D751" s="58"/>
      <c r="E751" s="57"/>
      <c r="F751" s="69"/>
      <c r="G751" s="69"/>
      <c r="H751" s="70" t="str">
        <f aca="false">IF(A751="","",IFERROR(INDEX(السندات!$C$5:$C$504,MATCH(A751,السندات!$A$5:$A$504,0)),""))</f>
        <v/>
      </c>
      <c r="I751" s="71" t="str">
        <f aca="false">IF(A751="","",IFERROR(INDEX(السندات!$D$5:$D$504,MATCH(A751,السندات!$A$5:$A$504,0)),""))</f>
        <v/>
      </c>
      <c r="J751" s="72" t="str">
        <f aca="false">IF(A751="","",IF(ISNA(MATCH(A751,السندات!$A$5:$A$504,0)),"رقم سند غير موجود ✘",IF(AND(F751&lt;&gt;"",G751&lt;&gt;""),"اكتب مدين أو دائن فقط ✘",IF(AND(N(F751)=0,N(G751)=0),"بدون مبلغ ⚠",IF(B751&gt;12,"يتجاوز 12 بنداً في الطباعة ⚠","")))))</f>
        <v/>
      </c>
    </row>
    <row r="752" customFormat="false" ht="15" hidden="false" customHeight="false" outlineLevel="0" collapsed="false">
      <c r="A752" s="58"/>
      <c r="B752" s="73" t="str">
        <f aca="false">IF(A752="","",COUNTIF(A$5:A752,A752))</f>
        <v/>
      </c>
      <c r="C752" s="73" t="str">
        <f aca="false">IF(A752="","",A752&amp;"-"&amp;B752)</f>
        <v/>
      </c>
      <c r="D752" s="58"/>
      <c r="E752" s="57"/>
      <c r="F752" s="69"/>
      <c r="G752" s="69"/>
      <c r="H752" s="74" t="str">
        <f aca="false">IF(A752="","",IFERROR(INDEX(السندات!$C$5:$C$504,MATCH(A752,السندات!$A$5:$A$504,0)),""))</f>
        <v/>
      </c>
      <c r="I752" s="75" t="str">
        <f aca="false">IF(A752="","",IFERROR(INDEX(السندات!$D$5:$D$504,MATCH(A752,السندات!$A$5:$A$504,0)),""))</f>
        <v/>
      </c>
      <c r="J752" s="76" t="str">
        <f aca="false">IF(A752="","",IF(ISNA(MATCH(A752,السندات!$A$5:$A$504,0)),"رقم سند غير موجود ✘",IF(AND(F752&lt;&gt;"",G752&lt;&gt;""),"اكتب مدين أو دائن فقط ✘",IF(AND(N(F752)=0,N(G752)=0),"بدون مبلغ ⚠",IF(B752&gt;12,"يتجاوز 12 بنداً في الطباعة ⚠","")))))</f>
        <v/>
      </c>
    </row>
    <row r="753" customFormat="false" ht="15" hidden="false" customHeight="false" outlineLevel="0" collapsed="false">
      <c r="A753" s="58"/>
      <c r="B753" s="68" t="str">
        <f aca="false">IF(A753="","",COUNTIF(A$5:A753,A753))</f>
        <v/>
      </c>
      <c r="C753" s="68" t="str">
        <f aca="false">IF(A753="","",A753&amp;"-"&amp;B753)</f>
        <v/>
      </c>
      <c r="D753" s="58"/>
      <c r="E753" s="57"/>
      <c r="F753" s="69"/>
      <c r="G753" s="69"/>
      <c r="H753" s="70" t="str">
        <f aca="false">IF(A753="","",IFERROR(INDEX(السندات!$C$5:$C$504,MATCH(A753,السندات!$A$5:$A$504,0)),""))</f>
        <v/>
      </c>
      <c r="I753" s="71" t="str">
        <f aca="false">IF(A753="","",IFERROR(INDEX(السندات!$D$5:$D$504,MATCH(A753,السندات!$A$5:$A$504,0)),""))</f>
        <v/>
      </c>
      <c r="J753" s="72" t="str">
        <f aca="false">IF(A753="","",IF(ISNA(MATCH(A753,السندات!$A$5:$A$504,0)),"رقم سند غير موجود ✘",IF(AND(F753&lt;&gt;"",G753&lt;&gt;""),"اكتب مدين أو دائن فقط ✘",IF(AND(N(F753)=0,N(G753)=0),"بدون مبلغ ⚠",IF(B753&gt;12,"يتجاوز 12 بنداً في الطباعة ⚠","")))))</f>
        <v/>
      </c>
    </row>
    <row r="754" customFormat="false" ht="15" hidden="false" customHeight="false" outlineLevel="0" collapsed="false">
      <c r="A754" s="58"/>
      <c r="B754" s="73" t="str">
        <f aca="false">IF(A754="","",COUNTIF(A$5:A754,A754))</f>
        <v/>
      </c>
      <c r="C754" s="73" t="str">
        <f aca="false">IF(A754="","",A754&amp;"-"&amp;B754)</f>
        <v/>
      </c>
      <c r="D754" s="58"/>
      <c r="E754" s="57"/>
      <c r="F754" s="69"/>
      <c r="G754" s="69"/>
      <c r="H754" s="74" t="str">
        <f aca="false">IF(A754="","",IFERROR(INDEX(السندات!$C$5:$C$504,MATCH(A754,السندات!$A$5:$A$504,0)),""))</f>
        <v/>
      </c>
      <c r="I754" s="75" t="str">
        <f aca="false">IF(A754="","",IFERROR(INDEX(السندات!$D$5:$D$504,MATCH(A754,السندات!$A$5:$A$504,0)),""))</f>
        <v/>
      </c>
      <c r="J754" s="76" t="str">
        <f aca="false">IF(A754="","",IF(ISNA(MATCH(A754,السندات!$A$5:$A$504,0)),"رقم سند غير موجود ✘",IF(AND(F754&lt;&gt;"",G754&lt;&gt;""),"اكتب مدين أو دائن فقط ✘",IF(AND(N(F754)=0,N(G754)=0),"بدون مبلغ ⚠",IF(B754&gt;12,"يتجاوز 12 بنداً في الطباعة ⚠","")))))</f>
        <v/>
      </c>
    </row>
    <row r="755" customFormat="false" ht="15" hidden="false" customHeight="false" outlineLevel="0" collapsed="false">
      <c r="A755" s="58"/>
      <c r="B755" s="68" t="str">
        <f aca="false">IF(A755="","",COUNTIF(A$5:A755,A755))</f>
        <v/>
      </c>
      <c r="C755" s="68" t="str">
        <f aca="false">IF(A755="","",A755&amp;"-"&amp;B755)</f>
        <v/>
      </c>
      <c r="D755" s="58"/>
      <c r="E755" s="57"/>
      <c r="F755" s="69"/>
      <c r="G755" s="69"/>
      <c r="H755" s="70" t="str">
        <f aca="false">IF(A755="","",IFERROR(INDEX(السندات!$C$5:$C$504,MATCH(A755,السندات!$A$5:$A$504,0)),""))</f>
        <v/>
      </c>
      <c r="I755" s="71" t="str">
        <f aca="false">IF(A755="","",IFERROR(INDEX(السندات!$D$5:$D$504,MATCH(A755,السندات!$A$5:$A$504,0)),""))</f>
        <v/>
      </c>
      <c r="J755" s="72" t="str">
        <f aca="false">IF(A755="","",IF(ISNA(MATCH(A755,السندات!$A$5:$A$504,0)),"رقم سند غير موجود ✘",IF(AND(F755&lt;&gt;"",G755&lt;&gt;""),"اكتب مدين أو دائن فقط ✘",IF(AND(N(F755)=0,N(G755)=0),"بدون مبلغ ⚠",IF(B755&gt;12,"يتجاوز 12 بنداً في الطباعة ⚠","")))))</f>
        <v/>
      </c>
    </row>
    <row r="756" customFormat="false" ht="15" hidden="false" customHeight="false" outlineLevel="0" collapsed="false">
      <c r="A756" s="58"/>
      <c r="B756" s="73" t="str">
        <f aca="false">IF(A756="","",COUNTIF(A$5:A756,A756))</f>
        <v/>
      </c>
      <c r="C756" s="73" t="str">
        <f aca="false">IF(A756="","",A756&amp;"-"&amp;B756)</f>
        <v/>
      </c>
      <c r="D756" s="58"/>
      <c r="E756" s="57"/>
      <c r="F756" s="69"/>
      <c r="G756" s="69"/>
      <c r="H756" s="74" t="str">
        <f aca="false">IF(A756="","",IFERROR(INDEX(السندات!$C$5:$C$504,MATCH(A756,السندات!$A$5:$A$504,0)),""))</f>
        <v/>
      </c>
      <c r="I756" s="75" t="str">
        <f aca="false">IF(A756="","",IFERROR(INDEX(السندات!$D$5:$D$504,MATCH(A756,السندات!$A$5:$A$504,0)),""))</f>
        <v/>
      </c>
      <c r="J756" s="76" t="str">
        <f aca="false">IF(A756="","",IF(ISNA(MATCH(A756,السندات!$A$5:$A$504,0)),"رقم سند غير موجود ✘",IF(AND(F756&lt;&gt;"",G756&lt;&gt;""),"اكتب مدين أو دائن فقط ✘",IF(AND(N(F756)=0,N(G756)=0),"بدون مبلغ ⚠",IF(B756&gt;12,"يتجاوز 12 بنداً في الطباعة ⚠","")))))</f>
        <v/>
      </c>
    </row>
    <row r="757" customFormat="false" ht="15" hidden="false" customHeight="false" outlineLevel="0" collapsed="false">
      <c r="A757" s="58"/>
      <c r="B757" s="68" t="str">
        <f aca="false">IF(A757="","",COUNTIF(A$5:A757,A757))</f>
        <v/>
      </c>
      <c r="C757" s="68" t="str">
        <f aca="false">IF(A757="","",A757&amp;"-"&amp;B757)</f>
        <v/>
      </c>
      <c r="D757" s="58"/>
      <c r="E757" s="57"/>
      <c r="F757" s="69"/>
      <c r="G757" s="69"/>
      <c r="H757" s="70" t="str">
        <f aca="false">IF(A757="","",IFERROR(INDEX(السندات!$C$5:$C$504,MATCH(A757,السندات!$A$5:$A$504,0)),""))</f>
        <v/>
      </c>
      <c r="I757" s="71" t="str">
        <f aca="false">IF(A757="","",IFERROR(INDEX(السندات!$D$5:$D$504,MATCH(A757,السندات!$A$5:$A$504,0)),""))</f>
        <v/>
      </c>
      <c r="J757" s="72" t="str">
        <f aca="false">IF(A757="","",IF(ISNA(MATCH(A757,السندات!$A$5:$A$504,0)),"رقم سند غير موجود ✘",IF(AND(F757&lt;&gt;"",G757&lt;&gt;""),"اكتب مدين أو دائن فقط ✘",IF(AND(N(F757)=0,N(G757)=0),"بدون مبلغ ⚠",IF(B757&gt;12,"يتجاوز 12 بنداً في الطباعة ⚠","")))))</f>
        <v/>
      </c>
    </row>
    <row r="758" customFormat="false" ht="15" hidden="false" customHeight="false" outlineLevel="0" collapsed="false">
      <c r="A758" s="58"/>
      <c r="B758" s="73" t="str">
        <f aca="false">IF(A758="","",COUNTIF(A$5:A758,A758))</f>
        <v/>
      </c>
      <c r="C758" s="73" t="str">
        <f aca="false">IF(A758="","",A758&amp;"-"&amp;B758)</f>
        <v/>
      </c>
      <c r="D758" s="58"/>
      <c r="E758" s="57"/>
      <c r="F758" s="69"/>
      <c r="G758" s="69"/>
      <c r="H758" s="74" t="str">
        <f aca="false">IF(A758="","",IFERROR(INDEX(السندات!$C$5:$C$504,MATCH(A758,السندات!$A$5:$A$504,0)),""))</f>
        <v/>
      </c>
      <c r="I758" s="75" t="str">
        <f aca="false">IF(A758="","",IFERROR(INDEX(السندات!$D$5:$D$504,MATCH(A758,السندات!$A$5:$A$504,0)),""))</f>
        <v/>
      </c>
      <c r="J758" s="76" t="str">
        <f aca="false">IF(A758="","",IF(ISNA(MATCH(A758,السندات!$A$5:$A$504,0)),"رقم سند غير موجود ✘",IF(AND(F758&lt;&gt;"",G758&lt;&gt;""),"اكتب مدين أو دائن فقط ✘",IF(AND(N(F758)=0,N(G758)=0),"بدون مبلغ ⚠",IF(B758&gt;12,"يتجاوز 12 بنداً في الطباعة ⚠","")))))</f>
        <v/>
      </c>
    </row>
    <row r="759" customFormat="false" ht="15" hidden="false" customHeight="false" outlineLevel="0" collapsed="false">
      <c r="A759" s="58"/>
      <c r="B759" s="68" t="str">
        <f aca="false">IF(A759="","",COUNTIF(A$5:A759,A759))</f>
        <v/>
      </c>
      <c r="C759" s="68" t="str">
        <f aca="false">IF(A759="","",A759&amp;"-"&amp;B759)</f>
        <v/>
      </c>
      <c r="D759" s="58"/>
      <c r="E759" s="57"/>
      <c r="F759" s="69"/>
      <c r="G759" s="69"/>
      <c r="H759" s="70" t="str">
        <f aca="false">IF(A759="","",IFERROR(INDEX(السندات!$C$5:$C$504,MATCH(A759,السندات!$A$5:$A$504,0)),""))</f>
        <v/>
      </c>
      <c r="I759" s="71" t="str">
        <f aca="false">IF(A759="","",IFERROR(INDEX(السندات!$D$5:$D$504,MATCH(A759,السندات!$A$5:$A$504,0)),""))</f>
        <v/>
      </c>
      <c r="J759" s="72" t="str">
        <f aca="false">IF(A759="","",IF(ISNA(MATCH(A759,السندات!$A$5:$A$504,0)),"رقم سند غير موجود ✘",IF(AND(F759&lt;&gt;"",G759&lt;&gt;""),"اكتب مدين أو دائن فقط ✘",IF(AND(N(F759)=0,N(G759)=0),"بدون مبلغ ⚠",IF(B759&gt;12,"يتجاوز 12 بنداً في الطباعة ⚠","")))))</f>
        <v/>
      </c>
    </row>
    <row r="760" customFormat="false" ht="15" hidden="false" customHeight="false" outlineLevel="0" collapsed="false">
      <c r="A760" s="58"/>
      <c r="B760" s="73" t="str">
        <f aca="false">IF(A760="","",COUNTIF(A$5:A760,A760))</f>
        <v/>
      </c>
      <c r="C760" s="73" t="str">
        <f aca="false">IF(A760="","",A760&amp;"-"&amp;B760)</f>
        <v/>
      </c>
      <c r="D760" s="58"/>
      <c r="E760" s="57"/>
      <c r="F760" s="69"/>
      <c r="G760" s="69"/>
      <c r="H760" s="74" t="str">
        <f aca="false">IF(A760="","",IFERROR(INDEX(السندات!$C$5:$C$504,MATCH(A760,السندات!$A$5:$A$504,0)),""))</f>
        <v/>
      </c>
      <c r="I760" s="75" t="str">
        <f aca="false">IF(A760="","",IFERROR(INDEX(السندات!$D$5:$D$504,MATCH(A760,السندات!$A$5:$A$504,0)),""))</f>
        <v/>
      </c>
      <c r="J760" s="76" t="str">
        <f aca="false">IF(A760="","",IF(ISNA(MATCH(A760,السندات!$A$5:$A$504,0)),"رقم سند غير موجود ✘",IF(AND(F760&lt;&gt;"",G760&lt;&gt;""),"اكتب مدين أو دائن فقط ✘",IF(AND(N(F760)=0,N(G760)=0),"بدون مبلغ ⚠",IF(B760&gt;12,"يتجاوز 12 بنداً في الطباعة ⚠","")))))</f>
        <v/>
      </c>
    </row>
    <row r="761" customFormat="false" ht="15" hidden="false" customHeight="false" outlineLevel="0" collapsed="false">
      <c r="A761" s="58"/>
      <c r="B761" s="68" t="str">
        <f aca="false">IF(A761="","",COUNTIF(A$5:A761,A761))</f>
        <v/>
      </c>
      <c r="C761" s="68" t="str">
        <f aca="false">IF(A761="","",A761&amp;"-"&amp;B761)</f>
        <v/>
      </c>
      <c r="D761" s="58"/>
      <c r="E761" s="57"/>
      <c r="F761" s="69"/>
      <c r="G761" s="69"/>
      <c r="H761" s="70" t="str">
        <f aca="false">IF(A761="","",IFERROR(INDEX(السندات!$C$5:$C$504,MATCH(A761,السندات!$A$5:$A$504,0)),""))</f>
        <v/>
      </c>
      <c r="I761" s="71" t="str">
        <f aca="false">IF(A761="","",IFERROR(INDEX(السندات!$D$5:$D$504,MATCH(A761,السندات!$A$5:$A$504,0)),""))</f>
        <v/>
      </c>
      <c r="J761" s="72" t="str">
        <f aca="false">IF(A761="","",IF(ISNA(MATCH(A761,السندات!$A$5:$A$504,0)),"رقم سند غير موجود ✘",IF(AND(F761&lt;&gt;"",G761&lt;&gt;""),"اكتب مدين أو دائن فقط ✘",IF(AND(N(F761)=0,N(G761)=0),"بدون مبلغ ⚠",IF(B761&gt;12,"يتجاوز 12 بنداً في الطباعة ⚠","")))))</f>
        <v/>
      </c>
    </row>
    <row r="762" customFormat="false" ht="15" hidden="false" customHeight="false" outlineLevel="0" collapsed="false">
      <c r="A762" s="58"/>
      <c r="B762" s="73" t="str">
        <f aca="false">IF(A762="","",COUNTIF(A$5:A762,A762))</f>
        <v/>
      </c>
      <c r="C762" s="73" t="str">
        <f aca="false">IF(A762="","",A762&amp;"-"&amp;B762)</f>
        <v/>
      </c>
      <c r="D762" s="58"/>
      <c r="E762" s="57"/>
      <c r="F762" s="69"/>
      <c r="G762" s="69"/>
      <c r="H762" s="74" t="str">
        <f aca="false">IF(A762="","",IFERROR(INDEX(السندات!$C$5:$C$504,MATCH(A762,السندات!$A$5:$A$504,0)),""))</f>
        <v/>
      </c>
      <c r="I762" s="75" t="str">
        <f aca="false">IF(A762="","",IFERROR(INDEX(السندات!$D$5:$D$504,MATCH(A762,السندات!$A$5:$A$504,0)),""))</f>
        <v/>
      </c>
      <c r="J762" s="76" t="str">
        <f aca="false">IF(A762="","",IF(ISNA(MATCH(A762,السندات!$A$5:$A$504,0)),"رقم سند غير موجود ✘",IF(AND(F762&lt;&gt;"",G762&lt;&gt;""),"اكتب مدين أو دائن فقط ✘",IF(AND(N(F762)=0,N(G762)=0),"بدون مبلغ ⚠",IF(B762&gt;12,"يتجاوز 12 بنداً في الطباعة ⚠","")))))</f>
        <v/>
      </c>
    </row>
    <row r="763" customFormat="false" ht="15" hidden="false" customHeight="false" outlineLevel="0" collapsed="false">
      <c r="A763" s="58"/>
      <c r="B763" s="68" t="str">
        <f aca="false">IF(A763="","",COUNTIF(A$5:A763,A763))</f>
        <v/>
      </c>
      <c r="C763" s="68" t="str">
        <f aca="false">IF(A763="","",A763&amp;"-"&amp;B763)</f>
        <v/>
      </c>
      <c r="D763" s="58"/>
      <c r="E763" s="57"/>
      <c r="F763" s="69"/>
      <c r="G763" s="69"/>
      <c r="H763" s="70" t="str">
        <f aca="false">IF(A763="","",IFERROR(INDEX(السندات!$C$5:$C$504,MATCH(A763,السندات!$A$5:$A$504,0)),""))</f>
        <v/>
      </c>
      <c r="I763" s="71" t="str">
        <f aca="false">IF(A763="","",IFERROR(INDEX(السندات!$D$5:$D$504,MATCH(A763,السندات!$A$5:$A$504,0)),""))</f>
        <v/>
      </c>
      <c r="J763" s="72" t="str">
        <f aca="false">IF(A763="","",IF(ISNA(MATCH(A763,السندات!$A$5:$A$504,0)),"رقم سند غير موجود ✘",IF(AND(F763&lt;&gt;"",G763&lt;&gt;""),"اكتب مدين أو دائن فقط ✘",IF(AND(N(F763)=0,N(G763)=0),"بدون مبلغ ⚠",IF(B763&gt;12,"يتجاوز 12 بنداً في الطباعة ⚠","")))))</f>
        <v/>
      </c>
    </row>
    <row r="764" customFormat="false" ht="15" hidden="false" customHeight="false" outlineLevel="0" collapsed="false">
      <c r="A764" s="58"/>
      <c r="B764" s="73" t="str">
        <f aca="false">IF(A764="","",COUNTIF(A$5:A764,A764))</f>
        <v/>
      </c>
      <c r="C764" s="73" t="str">
        <f aca="false">IF(A764="","",A764&amp;"-"&amp;B764)</f>
        <v/>
      </c>
      <c r="D764" s="58"/>
      <c r="E764" s="57"/>
      <c r="F764" s="69"/>
      <c r="G764" s="69"/>
      <c r="H764" s="74" t="str">
        <f aca="false">IF(A764="","",IFERROR(INDEX(السندات!$C$5:$C$504,MATCH(A764,السندات!$A$5:$A$504,0)),""))</f>
        <v/>
      </c>
      <c r="I764" s="75" t="str">
        <f aca="false">IF(A764="","",IFERROR(INDEX(السندات!$D$5:$D$504,MATCH(A764,السندات!$A$5:$A$504,0)),""))</f>
        <v/>
      </c>
      <c r="J764" s="76" t="str">
        <f aca="false">IF(A764="","",IF(ISNA(MATCH(A764,السندات!$A$5:$A$504,0)),"رقم سند غير موجود ✘",IF(AND(F764&lt;&gt;"",G764&lt;&gt;""),"اكتب مدين أو دائن فقط ✘",IF(AND(N(F764)=0,N(G764)=0),"بدون مبلغ ⚠",IF(B764&gt;12,"يتجاوز 12 بنداً في الطباعة ⚠","")))))</f>
        <v/>
      </c>
    </row>
    <row r="765" customFormat="false" ht="15" hidden="false" customHeight="false" outlineLevel="0" collapsed="false">
      <c r="A765" s="58"/>
      <c r="B765" s="68" t="str">
        <f aca="false">IF(A765="","",COUNTIF(A$5:A765,A765))</f>
        <v/>
      </c>
      <c r="C765" s="68" t="str">
        <f aca="false">IF(A765="","",A765&amp;"-"&amp;B765)</f>
        <v/>
      </c>
      <c r="D765" s="58"/>
      <c r="E765" s="57"/>
      <c r="F765" s="69"/>
      <c r="G765" s="69"/>
      <c r="H765" s="70" t="str">
        <f aca="false">IF(A765="","",IFERROR(INDEX(السندات!$C$5:$C$504,MATCH(A765,السندات!$A$5:$A$504,0)),""))</f>
        <v/>
      </c>
      <c r="I765" s="71" t="str">
        <f aca="false">IF(A765="","",IFERROR(INDEX(السندات!$D$5:$D$504,MATCH(A765,السندات!$A$5:$A$504,0)),""))</f>
        <v/>
      </c>
      <c r="J765" s="72" t="str">
        <f aca="false">IF(A765="","",IF(ISNA(MATCH(A765,السندات!$A$5:$A$504,0)),"رقم سند غير موجود ✘",IF(AND(F765&lt;&gt;"",G765&lt;&gt;""),"اكتب مدين أو دائن فقط ✘",IF(AND(N(F765)=0,N(G765)=0),"بدون مبلغ ⚠",IF(B765&gt;12,"يتجاوز 12 بنداً في الطباعة ⚠","")))))</f>
        <v/>
      </c>
    </row>
    <row r="766" customFormat="false" ht="15" hidden="false" customHeight="false" outlineLevel="0" collapsed="false">
      <c r="A766" s="58"/>
      <c r="B766" s="73" t="str">
        <f aca="false">IF(A766="","",COUNTIF(A$5:A766,A766))</f>
        <v/>
      </c>
      <c r="C766" s="73" t="str">
        <f aca="false">IF(A766="","",A766&amp;"-"&amp;B766)</f>
        <v/>
      </c>
      <c r="D766" s="58"/>
      <c r="E766" s="57"/>
      <c r="F766" s="69"/>
      <c r="G766" s="69"/>
      <c r="H766" s="74" t="str">
        <f aca="false">IF(A766="","",IFERROR(INDEX(السندات!$C$5:$C$504,MATCH(A766,السندات!$A$5:$A$504,0)),""))</f>
        <v/>
      </c>
      <c r="I766" s="75" t="str">
        <f aca="false">IF(A766="","",IFERROR(INDEX(السندات!$D$5:$D$504,MATCH(A766,السندات!$A$5:$A$504,0)),""))</f>
        <v/>
      </c>
      <c r="J766" s="76" t="str">
        <f aca="false">IF(A766="","",IF(ISNA(MATCH(A766,السندات!$A$5:$A$504,0)),"رقم سند غير موجود ✘",IF(AND(F766&lt;&gt;"",G766&lt;&gt;""),"اكتب مدين أو دائن فقط ✘",IF(AND(N(F766)=0,N(G766)=0),"بدون مبلغ ⚠",IF(B766&gt;12,"يتجاوز 12 بنداً في الطباعة ⚠","")))))</f>
        <v/>
      </c>
    </row>
    <row r="767" customFormat="false" ht="15" hidden="false" customHeight="false" outlineLevel="0" collapsed="false">
      <c r="A767" s="58"/>
      <c r="B767" s="68" t="str">
        <f aca="false">IF(A767="","",COUNTIF(A$5:A767,A767))</f>
        <v/>
      </c>
      <c r="C767" s="68" t="str">
        <f aca="false">IF(A767="","",A767&amp;"-"&amp;B767)</f>
        <v/>
      </c>
      <c r="D767" s="58"/>
      <c r="E767" s="57"/>
      <c r="F767" s="69"/>
      <c r="G767" s="69"/>
      <c r="H767" s="70" t="str">
        <f aca="false">IF(A767="","",IFERROR(INDEX(السندات!$C$5:$C$504,MATCH(A767,السندات!$A$5:$A$504,0)),""))</f>
        <v/>
      </c>
      <c r="I767" s="71" t="str">
        <f aca="false">IF(A767="","",IFERROR(INDEX(السندات!$D$5:$D$504,MATCH(A767,السندات!$A$5:$A$504,0)),""))</f>
        <v/>
      </c>
      <c r="J767" s="72" t="str">
        <f aca="false">IF(A767="","",IF(ISNA(MATCH(A767,السندات!$A$5:$A$504,0)),"رقم سند غير موجود ✘",IF(AND(F767&lt;&gt;"",G767&lt;&gt;""),"اكتب مدين أو دائن فقط ✘",IF(AND(N(F767)=0,N(G767)=0),"بدون مبلغ ⚠",IF(B767&gt;12,"يتجاوز 12 بنداً في الطباعة ⚠","")))))</f>
        <v/>
      </c>
    </row>
    <row r="768" customFormat="false" ht="15" hidden="false" customHeight="false" outlineLevel="0" collapsed="false">
      <c r="A768" s="58"/>
      <c r="B768" s="73" t="str">
        <f aca="false">IF(A768="","",COUNTIF(A$5:A768,A768))</f>
        <v/>
      </c>
      <c r="C768" s="73" t="str">
        <f aca="false">IF(A768="","",A768&amp;"-"&amp;B768)</f>
        <v/>
      </c>
      <c r="D768" s="58"/>
      <c r="E768" s="57"/>
      <c r="F768" s="69"/>
      <c r="G768" s="69"/>
      <c r="H768" s="74" t="str">
        <f aca="false">IF(A768="","",IFERROR(INDEX(السندات!$C$5:$C$504,MATCH(A768,السندات!$A$5:$A$504,0)),""))</f>
        <v/>
      </c>
      <c r="I768" s="75" t="str">
        <f aca="false">IF(A768="","",IFERROR(INDEX(السندات!$D$5:$D$504,MATCH(A768,السندات!$A$5:$A$504,0)),""))</f>
        <v/>
      </c>
      <c r="J768" s="76" t="str">
        <f aca="false">IF(A768="","",IF(ISNA(MATCH(A768,السندات!$A$5:$A$504,0)),"رقم سند غير موجود ✘",IF(AND(F768&lt;&gt;"",G768&lt;&gt;""),"اكتب مدين أو دائن فقط ✘",IF(AND(N(F768)=0,N(G768)=0),"بدون مبلغ ⚠",IF(B768&gt;12,"يتجاوز 12 بنداً في الطباعة ⚠","")))))</f>
        <v/>
      </c>
    </row>
    <row r="769" customFormat="false" ht="15" hidden="false" customHeight="false" outlineLevel="0" collapsed="false">
      <c r="A769" s="58"/>
      <c r="B769" s="68" t="str">
        <f aca="false">IF(A769="","",COUNTIF(A$5:A769,A769))</f>
        <v/>
      </c>
      <c r="C769" s="68" t="str">
        <f aca="false">IF(A769="","",A769&amp;"-"&amp;B769)</f>
        <v/>
      </c>
      <c r="D769" s="58"/>
      <c r="E769" s="57"/>
      <c r="F769" s="69"/>
      <c r="G769" s="69"/>
      <c r="H769" s="70" t="str">
        <f aca="false">IF(A769="","",IFERROR(INDEX(السندات!$C$5:$C$504,MATCH(A769,السندات!$A$5:$A$504,0)),""))</f>
        <v/>
      </c>
      <c r="I769" s="71" t="str">
        <f aca="false">IF(A769="","",IFERROR(INDEX(السندات!$D$5:$D$504,MATCH(A769,السندات!$A$5:$A$504,0)),""))</f>
        <v/>
      </c>
      <c r="J769" s="72" t="str">
        <f aca="false">IF(A769="","",IF(ISNA(MATCH(A769,السندات!$A$5:$A$504,0)),"رقم سند غير موجود ✘",IF(AND(F769&lt;&gt;"",G769&lt;&gt;""),"اكتب مدين أو دائن فقط ✘",IF(AND(N(F769)=0,N(G769)=0),"بدون مبلغ ⚠",IF(B769&gt;12,"يتجاوز 12 بنداً في الطباعة ⚠","")))))</f>
        <v/>
      </c>
    </row>
    <row r="770" customFormat="false" ht="15" hidden="false" customHeight="false" outlineLevel="0" collapsed="false">
      <c r="A770" s="58"/>
      <c r="B770" s="73" t="str">
        <f aca="false">IF(A770="","",COUNTIF(A$5:A770,A770))</f>
        <v/>
      </c>
      <c r="C770" s="73" t="str">
        <f aca="false">IF(A770="","",A770&amp;"-"&amp;B770)</f>
        <v/>
      </c>
      <c r="D770" s="58"/>
      <c r="E770" s="57"/>
      <c r="F770" s="69"/>
      <c r="G770" s="69"/>
      <c r="H770" s="74" t="str">
        <f aca="false">IF(A770="","",IFERROR(INDEX(السندات!$C$5:$C$504,MATCH(A770,السندات!$A$5:$A$504,0)),""))</f>
        <v/>
      </c>
      <c r="I770" s="75" t="str">
        <f aca="false">IF(A770="","",IFERROR(INDEX(السندات!$D$5:$D$504,MATCH(A770,السندات!$A$5:$A$504,0)),""))</f>
        <v/>
      </c>
      <c r="J770" s="76" t="str">
        <f aca="false">IF(A770="","",IF(ISNA(MATCH(A770,السندات!$A$5:$A$504,0)),"رقم سند غير موجود ✘",IF(AND(F770&lt;&gt;"",G770&lt;&gt;""),"اكتب مدين أو دائن فقط ✘",IF(AND(N(F770)=0,N(G770)=0),"بدون مبلغ ⚠",IF(B770&gt;12,"يتجاوز 12 بنداً في الطباعة ⚠","")))))</f>
        <v/>
      </c>
    </row>
    <row r="771" customFormat="false" ht="15" hidden="false" customHeight="false" outlineLevel="0" collapsed="false">
      <c r="A771" s="58"/>
      <c r="B771" s="68" t="str">
        <f aca="false">IF(A771="","",COUNTIF(A$5:A771,A771))</f>
        <v/>
      </c>
      <c r="C771" s="68" t="str">
        <f aca="false">IF(A771="","",A771&amp;"-"&amp;B771)</f>
        <v/>
      </c>
      <c r="D771" s="58"/>
      <c r="E771" s="57"/>
      <c r="F771" s="69"/>
      <c r="G771" s="69"/>
      <c r="H771" s="70" t="str">
        <f aca="false">IF(A771="","",IFERROR(INDEX(السندات!$C$5:$C$504,MATCH(A771,السندات!$A$5:$A$504,0)),""))</f>
        <v/>
      </c>
      <c r="I771" s="71" t="str">
        <f aca="false">IF(A771="","",IFERROR(INDEX(السندات!$D$5:$D$504,MATCH(A771,السندات!$A$5:$A$504,0)),""))</f>
        <v/>
      </c>
      <c r="J771" s="72" t="str">
        <f aca="false">IF(A771="","",IF(ISNA(MATCH(A771,السندات!$A$5:$A$504,0)),"رقم سند غير موجود ✘",IF(AND(F771&lt;&gt;"",G771&lt;&gt;""),"اكتب مدين أو دائن فقط ✘",IF(AND(N(F771)=0,N(G771)=0),"بدون مبلغ ⚠",IF(B771&gt;12,"يتجاوز 12 بنداً في الطباعة ⚠","")))))</f>
        <v/>
      </c>
    </row>
    <row r="772" customFormat="false" ht="15" hidden="false" customHeight="false" outlineLevel="0" collapsed="false">
      <c r="A772" s="58"/>
      <c r="B772" s="73" t="str">
        <f aca="false">IF(A772="","",COUNTIF(A$5:A772,A772))</f>
        <v/>
      </c>
      <c r="C772" s="73" t="str">
        <f aca="false">IF(A772="","",A772&amp;"-"&amp;B772)</f>
        <v/>
      </c>
      <c r="D772" s="58"/>
      <c r="E772" s="57"/>
      <c r="F772" s="69"/>
      <c r="G772" s="69"/>
      <c r="H772" s="74" t="str">
        <f aca="false">IF(A772="","",IFERROR(INDEX(السندات!$C$5:$C$504,MATCH(A772,السندات!$A$5:$A$504,0)),""))</f>
        <v/>
      </c>
      <c r="I772" s="75" t="str">
        <f aca="false">IF(A772="","",IFERROR(INDEX(السندات!$D$5:$D$504,MATCH(A772,السندات!$A$5:$A$504,0)),""))</f>
        <v/>
      </c>
      <c r="J772" s="76" t="str">
        <f aca="false">IF(A772="","",IF(ISNA(MATCH(A772,السندات!$A$5:$A$504,0)),"رقم سند غير موجود ✘",IF(AND(F772&lt;&gt;"",G772&lt;&gt;""),"اكتب مدين أو دائن فقط ✘",IF(AND(N(F772)=0,N(G772)=0),"بدون مبلغ ⚠",IF(B772&gt;12,"يتجاوز 12 بنداً في الطباعة ⚠","")))))</f>
        <v/>
      </c>
    </row>
    <row r="773" customFormat="false" ht="15" hidden="false" customHeight="false" outlineLevel="0" collapsed="false">
      <c r="A773" s="58"/>
      <c r="B773" s="68" t="str">
        <f aca="false">IF(A773="","",COUNTIF(A$5:A773,A773))</f>
        <v/>
      </c>
      <c r="C773" s="68" t="str">
        <f aca="false">IF(A773="","",A773&amp;"-"&amp;B773)</f>
        <v/>
      </c>
      <c r="D773" s="58"/>
      <c r="E773" s="57"/>
      <c r="F773" s="69"/>
      <c r="G773" s="69"/>
      <c r="H773" s="70" t="str">
        <f aca="false">IF(A773="","",IFERROR(INDEX(السندات!$C$5:$C$504,MATCH(A773,السندات!$A$5:$A$504,0)),""))</f>
        <v/>
      </c>
      <c r="I773" s="71" t="str">
        <f aca="false">IF(A773="","",IFERROR(INDEX(السندات!$D$5:$D$504,MATCH(A773,السندات!$A$5:$A$504,0)),""))</f>
        <v/>
      </c>
      <c r="J773" s="72" t="str">
        <f aca="false">IF(A773="","",IF(ISNA(MATCH(A773,السندات!$A$5:$A$504,0)),"رقم سند غير موجود ✘",IF(AND(F773&lt;&gt;"",G773&lt;&gt;""),"اكتب مدين أو دائن فقط ✘",IF(AND(N(F773)=0,N(G773)=0),"بدون مبلغ ⚠",IF(B773&gt;12,"يتجاوز 12 بنداً في الطباعة ⚠","")))))</f>
        <v/>
      </c>
    </row>
    <row r="774" customFormat="false" ht="15" hidden="false" customHeight="false" outlineLevel="0" collapsed="false">
      <c r="A774" s="58"/>
      <c r="B774" s="73" t="str">
        <f aca="false">IF(A774="","",COUNTIF(A$5:A774,A774))</f>
        <v/>
      </c>
      <c r="C774" s="73" t="str">
        <f aca="false">IF(A774="","",A774&amp;"-"&amp;B774)</f>
        <v/>
      </c>
      <c r="D774" s="58"/>
      <c r="E774" s="57"/>
      <c r="F774" s="69"/>
      <c r="G774" s="69"/>
      <c r="H774" s="74" t="str">
        <f aca="false">IF(A774="","",IFERROR(INDEX(السندات!$C$5:$C$504,MATCH(A774,السندات!$A$5:$A$504,0)),""))</f>
        <v/>
      </c>
      <c r="I774" s="75" t="str">
        <f aca="false">IF(A774="","",IFERROR(INDEX(السندات!$D$5:$D$504,MATCH(A774,السندات!$A$5:$A$504,0)),""))</f>
        <v/>
      </c>
      <c r="J774" s="76" t="str">
        <f aca="false">IF(A774="","",IF(ISNA(MATCH(A774,السندات!$A$5:$A$504,0)),"رقم سند غير موجود ✘",IF(AND(F774&lt;&gt;"",G774&lt;&gt;""),"اكتب مدين أو دائن فقط ✘",IF(AND(N(F774)=0,N(G774)=0),"بدون مبلغ ⚠",IF(B774&gt;12,"يتجاوز 12 بنداً في الطباعة ⚠","")))))</f>
        <v/>
      </c>
    </row>
    <row r="775" customFormat="false" ht="15" hidden="false" customHeight="false" outlineLevel="0" collapsed="false">
      <c r="A775" s="58"/>
      <c r="B775" s="68" t="str">
        <f aca="false">IF(A775="","",COUNTIF(A$5:A775,A775))</f>
        <v/>
      </c>
      <c r="C775" s="68" t="str">
        <f aca="false">IF(A775="","",A775&amp;"-"&amp;B775)</f>
        <v/>
      </c>
      <c r="D775" s="58"/>
      <c r="E775" s="57"/>
      <c r="F775" s="69"/>
      <c r="G775" s="69"/>
      <c r="H775" s="70" t="str">
        <f aca="false">IF(A775="","",IFERROR(INDEX(السندات!$C$5:$C$504,MATCH(A775,السندات!$A$5:$A$504,0)),""))</f>
        <v/>
      </c>
      <c r="I775" s="71" t="str">
        <f aca="false">IF(A775="","",IFERROR(INDEX(السندات!$D$5:$D$504,MATCH(A775,السندات!$A$5:$A$504,0)),""))</f>
        <v/>
      </c>
      <c r="J775" s="72" t="str">
        <f aca="false">IF(A775="","",IF(ISNA(MATCH(A775,السندات!$A$5:$A$504,0)),"رقم سند غير موجود ✘",IF(AND(F775&lt;&gt;"",G775&lt;&gt;""),"اكتب مدين أو دائن فقط ✘",IF(AND(N(F775)=0,N(G775)=0),"بدون مبلغ ⚠",IF(B775&gt;12,"يتجاوز 12 بنداً في الطباعة ⚠","")))))</f>
        <v/>
      </c>
    </row>
    <row r="776" customFormat="false" ht="15" hidden="false" customHeight="false" outlineLevel="0" collapsed="false">
      <c r="A776" s="58"/>
      <c r="B776" s="73" t="str">
        <f aca="false">IF(A776="","",COUNTIF(A$5:A776,A776))</f>
        <v/>
      </c>
      <c r="C776" s="73" t="str">
        <f aca="false">IF(A776="","",A776&amp;"-"&amp;B776)</f>
        <v/>
      </c>
      <c r="D776" s="58"/>
      <c r="E776" s="57"/>
      <c r="F776" s="69"/>
      <c r="G776" s="69"/>
      <c r="H776" s="74" t="str">
        <f aca="false">IF(A776="","",IFERROR(INDEX(السندات!$C$5:$C$504,MATCH(A776,السندات!$A$5:$A$504,0)),""))</f>
        <v/>
      </c>
      <c r="I776" s="75" t="str">
        <f aca="false">IF(A776="","",IFERROR(INDEX(السندات!$D$5:$D$504,MATCH(A776,السندات!$A$5:$A$504,0)),""))</f>
        <v/>
      </c>
      <c r="J776" s="76" t="str">
        <f aca="false">IF(A776="","",IF(ISNA(MATCH(A776,السندات!$A$5:$A$504,0)),"رقم سند غير موجود ✘",IF(AND(F776&lt;&gt;"",G776&lt;&gt;""),"اكتب مدين أو دائن فقط ✘",IF(AND(N(F776)=0,N(G776)=0),"بدون مبلغ ⚠",IF(B776&gt;12,"يتجاوز 12 بنداً في الطباعة ⚠","")))))</f>
        <v/>
      </c>
    </row>
    <row r="777" customFormat="false" ht="15" hidden="false" customHeight="false" outlineLevel="0" collapsed="false">
      <c r="A777" s="58"/>
      <c r="B777" s="68" t="str">
        <f aca="false">IF(A777="","",COUNTIF(A$5:A777,A777))</f>
        <v/>
      </c>
      <c r="C777" s="68" t="str">
        <f aca="false">IF(A777="","",A777&amp;"-"&amp;B777)</f>
        <v/>
      </c>
      <c r="D777" s="58"/>
      <c r="E777" s="57"/>
      <c r="F777" s="69"/>
      <c r="G777" s="69"/>
      <c r="H777" s="70" t="str">
        <f aca="false">IF(A777="","",IFERROR(INDEX(السندات!$C$5:$C$504,MATCH(A777,السندات!$A$5:$A$504,0)),""))</f>
        <v/>
      </c>
      <c r="I777" s="71" t="str">
        <f aca="false">IF(A777="","",IFERROR(INDEX(السندات!$D$5:$D$504,MATCH(A777,السندات!$A$5:$A$504,0)),""))</f>
        <v/>
      </c>
      <c r="J777" s="72" t="str">
        <f aca="false">IF(A777="","",IF(ISNA(MATCH(A777,السندات!$A$5:$A$504,0)),"رقم سند غير موجود ✘",IF(AND(F777&lt;&gt;"",G777&lt;&gt;""),"اكتب مدين أو دائن فقط ✘",IF(AND(N(F777)=0,N(G777)=0),"بدون مبلغ ⚠",IF(B777&gt;12,"يتجاوز 12 بنداً في الطباعة ⚠","")))))</f>
        <v/>
      </c>
    </row>
    <row r="778" customFormat="false" ht="15" hidden="false" customHeight="false" outlineLevel="0" collapsed="false">
      <c r="A778" s="58"/>
      <c r="B778" s="73" t="str">
        <f aca="false">IF(A778="","",COUNTIF(A$5:A778,A778))</f>
        <v/>
      </c>
      <c r="C778" s="73" t="str">
        <f aca="false">IF(A778="","",A778&amp;"-"&amp;B778)</f>
        <v/>
      </c>
      <c r="D778" s="58"/>
      <c r="E778" s="57"/>
      <c r="F778" s="69"/>
      <c r="G778" s="69"/>
      <c r="H778" s="74" t="str">
        <f aca="false">IF(A778="","",IFERROR(INDEX(السندات!$C$5:$C$504,MATCH(A778,السندات!$A$5:$A$504,0)),""))</f>
        <v/>
      </c>
      <c r="I778" s="75" t="str">
        <f aca="false">IF(A778="","",IFERROR(INDEX(السندات!$D$5:$D$504,MATCH(A778,السندات!$A$5:$A$504,0)),""))</f>
        <v/>
      </c>
      <c r="J778" s="76" t="str">
        <f aca="false">IF(A778="","",IF(ISNA(MATCH(A778,السندات!$A$5:$A$504,0)),"رقم سند غير موجود ✘",IF(AND(F778&lt;&gt;"",G778&lt;&gt;""),"اكتب مدين أو دائن فقط ✘",IF(AND(N(F778)=0,N(G778)=0),"بدون مبلغ ⚠",IF(B778&gt;12,"يتجاوز 12 بنداً في الطباعة ⚠","")))))</f>
        <v/>
      </c>
    </row>
    <row r="779" customFormat="false" ht="15" hidden="false" customHeight="false" outlineLevel="0" collapsed="false">
      <c r="A779" s="58"/>
      <c r="B779" s="68" t="str">
        <f aca="false">IF(A779="","",COUNTIF(A$5:A779,A779))</f>
        <v/>
      </c>
      <c r="C779" s="68" t="str">
        <f aca="false">IF(A779="","",A779&amp;"-"&amp;B779)</f>
        <v/>
      </c>
      <c r="D779" s="58"/>
      <c r="E779" s="57"/>
      <c r="F779" s="69"/>
      <c r="G779" s="69"/>
      <c r="H779" s="70" t="str">
        <f aca="false">IF(A779="","",IFERROR(INDEX(السندات!$C$5:$C$504,MATCH(A779,السندات!$A$5:$A$504,0)),""))</f>
        <v/>
      </c>
      <c r="I779" s="71" t="str">
        <f aca="false">IF(A779="","",IFERROR(INDEX(السندات!$D$5:$D$504,MATCH(A779,السندات!$A$5:$A$504,0)),""))</f>
        <v/>
      </c>
      <c r="J779" s="72" t="str">
        <f aca="false">IF(A779="","",IF(ISNA(MATCH(A779,السندات!$A$5:$A$504,0)),"رقم سند غير موجود ✘",IF(AND(F779&lt;&gt;"",G779&lt;&gt;""),"اكتب مدين أو دائن فقط ✘",IF(AND(N(F779)=0,N(G779)=0),"بدون مبلغ ⚠",IF(B779&gt;12,"يتجاوز 12 بنداً في الطباعة ⚠","")))))</f>
        <v/>
      </c>
    </row>
    <row r="780" customFormat="false" ht="15" hidden="false" customHeight="false" outlineLevel="0" collapsed="false">
      <c r="A780" s="58"/>
      <c r="B780" s="73" t="str">
        <f aca="false">IF(A780="","",COUNTIF(A$5:A780,A780))</f>
        <v/>
      </c>
      <c r="C780" s="73" t="str">
        <f aca="false">IF(A780="","",A780&amp;"-"&amp;B780)</f>
        <v/>
      </c>
      <c r="D780" s="58"/>
      <c r="E780" s="57"/>
      <c r="F780" s="69"/>
      <c r="G780" s="69"/>
      <c r="H780" s="74" t="str">
        <f aca="false">IF(A780="","",IFERROR(INDEX(السندات!$C$5:$C$504,MATCH(A780,السندات!$A$5:$A$504,0)),""))</f>
        <v/>
      </c>
      <c r="I780" s="75" t="str">
        <f aca="false">IF(A780="","",IFERROR(INDEX(السندات!$D$5:$D$504,MATCH(A780,السندات!$A$5:$A$504,0)),""))</f>
        <v/>
      </c>
      <c r="J780" s="76" t="str">
        <f aca="false">IF(A780="","",IF(ISNA(MATCH(A780,السندات!$A$5:$A$504,0)),"رقم سند غير موجود ✘",IF(AND(F780&lt;&gt;"",G780&lt;&gt;""),"اكتب مدين أو دائن فقط ✘",IF(AND(N(F780)=0,N(G780)=0),"بدون مبلغ ⚠",IF(B780&gt;12,"يتجاوز 12 بنداً في الطباعة ⚠","")))))</f>
        <v/>
      </c>
    </row>
    <row r="781" customFormat="false" ht="15" hidden="false" customHeight="false" outlineLevel="0" collapsed="false">
      <c r="A781" s="58"/>
      <c r="B781" s="68" t="str">
        <f aca="false">IF(A781="","",COUNTIF(A$5:A781,A781))</f>
        <v/>
      </c>
      <c r="C781" s="68" t="str">
        <f aca="false">IF(A781="","",A781&amp;"-"&amp;B781)</f>
        <v/>
      </c>
      <c r="D781" s="58"/>
      <c r="E781" s="57"/>
      <c r="F781" s="69"/>
      <c r="G781" s="69"/>
      <c r="H781" s="70" t="str">
        <f aca="false">IF(A781="","",IFERROR(INDEX(السندات!$C$5:$C$504,MATCH(A781,السندات!$A$5:$A$504,0)),""))</f>
        <v/>
      </c>
      <c r="I781" s="71" t="str">
        <f aca="false">IF(A781="","",IFERROR(INDEX(السندات!$D$5:$D$504,MATCH(A781,السندات!$A$5:$A$504,0)),""))</f>
        <v/>
      </c>
      <c r="J781" s="72" t="str">
        <f aca="false">IF(A781="","",IF(ISNA(MATCH(A781,السندات!$A$5:$A$504,0)),"رقم سند غير موجود ✘",IF(AND(F781&lt;&gt;"",G781&lt;&gt;""),"اكتب مدين أو دائن فقط ✘",IF(AND(N(F781)=0,N(G781)=0),"بدون مبلغ ⚠",IF(B781&gt;12,"يتجاوز 12 بنداً في الطباعة ⚠","")))))</f>
        <v/>
      </c>
    </row>
    <row r="782" customFormat="false" ht="15" hidden="false" customHeight="false" outlineLevel="0" collapsed="false">
      <c r="A782" s="58"/>
      <c r="B782" s="73" t="str">
        <f aca="false">IF(A782="","",COUNTIF(A$5:A782,A782))</f>
        <v/>
      </c>
      <c r="C782" s="73" t="str">
        <f aca="false">IF(A782="","",A782&amp;"-"&amp;B782)</f>
        <v/>
      </c>
      <c r="D782" s="58"/>
      <c r="E782" s="57"/>
      <c r="F782" s="69"/>
      <c r="G782" s="69"/>
      <c r="H782" s="74" t="str">
        <f aca="false">IF(A782="","",IFERROR(INDEX(السندات!$C$5:$C$504,MATCH(A782,السندات!$A$5:$A$504,0)),""))</f>
        <v/>
      </c>
      <c r="I782" s="75" t="str">
        <f aca="false">IF(A782="","",IFERROR(INDEX(السندات!$D$5:$D$504,MATCH(A782,السندات!$A$5:$A$504,0)),""))</f>
        <v/>
      </c>
      <c r="J782" s="76" t="str">
        <f aca="false">IF(A782="","",IF(ISNA(MATCH(A782,السندات!$A$5:$A$504,0)),"رقم سند غير موجود ✘",IF(AND(F782&lt;&gt;"",G782&lt;&gt;""),"اكتب مدين أو دائن فقط ✘",IF(AND(N(F782)=0,N(G782)=0),"بدون مبلغ ⚠",IF(B782&gt;12,"يتجاوز 12 بنداً في الطباعة ⚠","")))))</f>
        <v/>
      </c>
    </row>
    <row r="783" customFormat="false" ht="15" hidden="false" customHeight="false" outlineLevel="0" collapsed="false">
      <c r="A783" s="58"/>
      <c r="B783" s="68" t="str">
        <f aca="false">IF(A783="","",COUNTIF(A$5:A783,A783))</f>
        <v/>
      </c>
      <c r="C783" s="68" t="str">
        <f aca="false">IF(A783="","",A783&amp;"-"&amp;B783)</f>
        <v/>
      </c>
      <c r="D783" s="58"/>
      <c r="E783" s="57"/>
      <c r="F783" s="69"/>
      <c r="G783" s="69"/>
      <c r="H783" s="70" t="str">
        <f aca="false">IF(A783="","",IFERROR(INDEX(السندات!$C$5:$C$504,MATCH(A783,السندات!$A$5:$A$504,0)),""))</f>
        <v/>
      </c>
      <c r="I783" s="71" t="str">
        <f aca="false">IF(A783="","",IFERROR(INDEX(السندات!$D$5:$D$504,MATCH(A783,السندات!$A$5:$A$504,0)),""))</f>
        <v/>
      </c>
      <c r="J783" s="72" t="str">
        <f aca="false">IF(A783="","",IF(ISNA(MATCH(A783,السندات!$A$5:$A$504,0)),"رقم سند غير موجود ✘",IF(AND(F783&lt;&gt;"",G783&lt;&gt;""),"اكتب مدين أو دائن فقط ✘",IF(AND(N(F783)=0,N(G783)=0),"بدون مبلغ ⚠",IF(B783&gt;12,"يتجاوز 12 بنداً في الطباعة ⚠","")))))</f>
        <v/>
      </c>
    </row>
    <row r="784" customFormat="false" ht="15" hidden="false" customHeight="false" outlineLevel="0" collapsed="false">
      <c r="A784" s="58"/>
      <c r="B784" s="73" t="str">
        <f aca="false">IF(A784="","",COUNTIF(A$5:A784,A784))</f>
        <v/>
      </c>
      <c r="C784" s="73" t="str">
        <f aca="false">IF(A784="","",A784&amp;"-"&amp;B784)</f>
        <v/>
      </c>
      <c r="D784" s="58"/>
      <c r="E784" s="57"/>
      <c r="F784" s="69"/>
      <c r="G784" s="69"/>
      <c r="H784" s="74" t="str">
        <f aca="false">IF(A784="","",IFERROR(INDEX(السندات!$C$5:$C$504,MATCH(A784,السندات!$A$5:$A$504,0)),""))</f>
        <v/>
      </c>
      <c r="I784" s="75" t="str">
        <f aca="false">IF(A784="","",IFERROR(INDEX(السندات!$D$5:$D$504,MATCH(A784,السندات!$A$5:$A$504,0)),""))</f>
        <v/>
      </c>
      <c r="J784" s="76" t="str">
        <f aca="false">IF(A784="","",IF(ISNA(MATCH(A784,السندات!$A$5:$A$504,0)),"رقم سند غير موجود ✘",IF(AND(F784&lt;&gt;"",G784&lt;&gt;""),"اكتب مدين أو دائن فقط ✘",IF(AND(N(F784)=0,N(G784)=0),"بدون مبلغ ⚠",IF(B784&gt;12,"يتجاوز 12 بنداً في الطباعة ⚠","")))))</f>
        <v/>
      </c>
    </row>
    <row r="785" customFormat="false" ht="15" hidden="false" customHeight="false" outlineLevel="0" collapsed="false">
      <c r="A785" s="58"/>
      <c r="B785" s="68" t="str">
        <f aca="false">IF(A785="","",COUNTIF(A$5:A785,A785))</f>
        <v/>
      </c>
      <c r="C785" s="68" t="str">
        <f aca="false">IF(A785="","",A785&amp;"-"&amp;B785)</f>
        <v/>
      </c>
      <c r="D785" s="58"/>
      <c r="E785" s="57"/>
      <c r="F785" s="69"/>
      <c r="G785" s="69"/>
      <c r="H785" s="70" t="str">
        <f aca="false">IF(A785="","",IFERROR(INDEX(السندات!$C$5:$C$504,MATCH(A785,السندات!$A$5:$A$504,0)),""))</f>
        <v/>
      </c>
      <c r="I785" s="71" t="str">
        <f aca="false">IF(A785="","",IFERROR(INDEX(السندات!$D$5:$D$504,MATCH(A785,السندات!$A$5:$A$504,0)),""))</f>
        <v/>
      </c>
      <c r="J785" s="72" t="str">
        <f aca="false">IF(A785="","",IF(ISNA(MATCH(A785,السندات!$A$5:$A$504,0)),"رقم سند غير موجود ✘",IF(AND(F785&lt;&gt;"",G785&lt;&gt;""),"اكتب مدين أو دائن فقط ✘",IF(AND(N(F785)=0,N(G785)=0),"بدون مبلغ ⚠",IF(B785&gt;12,"يتجاوز 12 بنداً في الطباعة ⚠","")))))</f>
        <v/>
      </c>
    </row>
    <row r="786" customFormat="false" ht="15" hidden="false" customHeight="false" outlineLevel="0" collapsed="false">
      <c r="A786" s="58"/>
      <c r="B786" s="73" t="str">
        <f aca="false">IF(A786="","",COUNTIF(A$5:A786,A786))</f>
        <v/>
      </c>
      <c r="C786" s="73" t="str">
        <f aca="false">IF(A786="","",A786&amp;"-"&amp;B786)</f>
        <v/>
      </c>
      <c r="D786" s="58"/>
      <c r="E786" s="57"/>
      <c r="F786" s="69"/>
      <c r="G786" s="69"/>
      <c r="H786" s="74" t="str">
        <f aca="false">IF(A786="","",IFERROR(INDEX(السندات!$C$5:$C$504,MATCH(A786,السندات!$A$5:$A$504,0)),""))</f>
        <v/>
      </c>
      <c r="I786" s="75" t="str">
        <f aca="false">IF(A786="","",IFERROR(INDEX(السندات!$D$5:$D$504,MATCH(A786,السندات!$A$5:$A$504,0)),""))</f>
        <v/>
      </c>
      <c r="J786" s="76" t="str">
        <f aca="false">IF(A786="","",IF(ISNA(MATCH(A786,السندات!$A$5:$A$504,0)),"رقم سند غير موجود ✘",IF(AND(F786&lt;&gt;"",G786&lt;&gt;""),"اكتب مدين أو دائن فقط ✘",IF(AND(N(F786)=0,N(G786)=0),"بدون مبلغ ⚠",IF(B786&gt;12,"يتجاوز 12 بنداً في الطباعة ⚠","")))))</f>
        <v/>
      </c>
    </row>
    <row r="787" customFormat="false" ht="15" hidden="false" customHeight="false" outlineLevel="0" collapsed="false">
      <c r="A787" s="58"/>
      <c r="B787" s="68" t="str">
        <f aca="false">IF(A787="","",COUNTIF(A$5:A787,A787))</f>
        <v/>
      </c>
      <c r="C787" s="68" t="str">
        <f aca="false">IF(A787="","",A787&amp;"-"&amp;B787)</f>
        <v/>
      </c>
      <c r="D787" s="58"/>
      <c r="E787" s="57"/>
      <c r="F787" s="69"/>
      <c r="G787" s="69"/>
      <c r="H787" s="70" t="str">
        <f aca="false">IF(A787="","",IFERROR(INDEX(السندات!$C$5:$C$504,MATCH(A787,السندات!$A$5:$A$504,0)),""))</f>
        <v/>
      </c>
      <c r="I787" s="71" t="str">
        <f aca="false">IF(A787="","",IFERROR(INDEX(السندات!$D$5:$D$504,MATCH(A787,السندات!$A$5:$A$504,0)),""))</f>
        <v/>
      </c>
      <c r="J787" s="72" t="str">
        <f aca="false">IF(A787="","",IF(ISNA(MATCH(A787,السندات!$A$5:$A$504,0)),"رقم سند غير موجود ✘",IF(AND(F787&lt;&gt;"",G787&lt;&gt;""),"اكتب مدين أو دائن فقط ✘",IF(AND(N(F787)=0,N(G787)=0),"بدون مبلغ ⚠",IF(B787&gt;12,"يتجاوز 12 بنداً في الطباعة ⚠","")))))</f>
        <v/>
      </c>
    </row>
    <row r="788" customFormat="false" ht="15" hidden="false" customHeight="false" outlineLevel="0" collapsed="false">
      <c r="A788" s="58"/>
      <c r="B788" s="73" t="str">
        <f aca="false">IF(A788="","",COUNTIF(A$5:A788,A788))</f>
        <v/>
      </c>
      <c r="C788" s="73" t="str">
        <f aca="false">IF(A788="","",A788&amp;"-"&amp;B788)</f>
        <v/>
      </c>
      <c r="D788" s="58"/>
      <c r="E788" s="57"/>
      <c r="F788" s="69"/>
      <c r="G788" s="69"/>
      <c r="H788" s="74" t="str">
        <f aca="false">IF(A788="","",IFERROR(INDEX(السندات!$C$5:$C$504,MATCH(A788,السندات!$A$5:$A$504,0)),""))</f>
        <v/>
      </c>
      <c r="I788" s="75" t="str">
        <f aca="false">IF(A788="","",IFERROR(INDEX(السندات!$D$5:$D$504,MATCH(A788,السندات!$A$5:$A$504,0)),""))</f>
        <v/>
      </c>
      <c r="J788" s="76" t="str">
        <f aca="false">IF(A788="","",IF(ISNA(MATCH(A788,السندات!$A$5:$A$504,0)),"رقم سند غير موجود ✘",IF(AND(F788&lt;&gt;"",G788&lt;&gt;""),"اكتب مدين أو دائن فقط ✘",IF(AND(N(F788)=0,N(G788)=0),"بدون مبلغ ⚠",IF(B788&gt;12,"يتجاوز 12 بنداً في الطباعة ⚠","")))))</f>
        <v/>
      </c>
    </row>
    <row r="789" customFormat="false" ht="15" hidden="false" customHeight="false" outlineLevel="0" collapsed="false">
      <c r="A789" s="58"/>
      <c r="B789" s="68" t="str">
        <f aca="false">IF(A789="","",COUNTIF(A$5:A789,A789))</f>
        <v/>
      </c>
      <c r="C789" s="68" t="str">
        <f aca="false">IF(A789="","",A789&amp;"-"&amp;B789)</f>
        <v/>
      </c>
      <c r="D789" s="58"/>
      <c r="E789" s="57"/>
      <c r="F789" s="69"/>
      <c r="G789" s="69"/>
      <c r="H789" s="70" t="str">
        <f aca="false">IF(A789="","",IFERROR(INDEX(السندات!$C$5:$C$504,MATCH(A789,السندات!$A$5:$A$504,0)),""))</f>
        <v/>
      </c>
      <c r="I789" s="71" t="str">
        <f aca="false">IF(A789="","",IFERROR(INDEX(السندات!$D$5:$D$504,MATCH(A789,السندات!$A$5:$A$504,0)),""))</f>
        <v/>
      </c>
      <c r="J789" s="72" t="str">
        <f aca="false">IF(A789="","",IF(ISNA(MATCH(A789,السندات!$A$5:$A$504,0)),"رقم سند غير موجود ✘",IF(AND(F789&lt;&gt;"",G789&lt;&gt;""),"اكتب مدين أو دائن فقط ✘",IF(AND(N(F789)=0,N(G789)=0),"بدون مبلغ ⚠",IF(B789&gt;12,"يتجاوز 12 بنداً في الطباعة ⚠","")))))</f>
        <v/>
      </c>
    </row>
    <row r="790" customFormat="false" ht="15" hidden="false" customHeight="false" outlineLevel="0" collapsed="false">
      <c r="A790" s="58"/>
      <c r="B790" s="73" t="str">
        <f aca="false">IF(A790="","",COUNTIF(A$5:A790,A790))</f>
        <v/>
      </c>
      <c r="C790" s="73" t="str">
        <f aca="false">IF(A790="","",A790&amp;"-"&amp;B790)</f>
        <v/>
      </c>
      <c r="D790" s="58"/>
      <c r="E790" s="57"/>
      <c r="F790" s="69"/>
      <c r="G790" s="69"/>
      <c r="H790" s="74" t="str">
        <f aca="false">IF(A790="","",IFERROR(INDEX(السندات!$C$5:$C$504,MATCH(A790,السندات!$A$5:$A$504,0)),""))</f>
        <v/>
      </c>
      <c r="I790" s="75" t="str">
        <f aca="false">IF(A790="","",IFERROR(INDEX(السندات!$D$5:$D$504,MATCH(A790,السندات!$A$5:$A$504,0)),""))</f>
        <v/>
      </c>
      <c r="J790" s="76" t="str">
        <f aca="false">IF(A790="","",IF(ISNA(MATCH(A790,السندات!$A$5:$A$504,0)),"رقم سند غير موجود ✘",IF(AND(F790&lt;&gt;"",G790&lt;&gt;""),"اكتب مدين أو دائن فقط ✘",IF(AND(N(F790)=0,N(G790)=0),"بدون مبلغ ⚠",IF(B790&gt;12,"يتجاوز 12 بنداً في الطباعة ⚠","")))))</f>
        <v/>
      </c>
    </row>
    <row r="791" customFormat="false" ht="15" hidden="false" customHeight="false" outlineLevel="0" collapsed="false">
      <c r="A791" s="58"/>
      <c r="B791" s="68" t="str">
        <f aca="false">IF(A791="","",COUNTIF(A$5:A791,A791))</f>
        <v/>
      </c>
      <c r="C791" s="68" t="str">
        <f aca="false">IF(A791="","",A791&amp;"-"&amp;B791)</f>
        <v/>
      </c>
      <c r="D791" s="58"/>
      <c r="E791" s="57"/>
      <c r="F791" s="69"/>
      <c r="G791" s="69"/>
      <c r="H791" s="70" t="str">
        <f aca="false">IF(A791="","",IFERROR(INDEX(السندات!$C$5:$C$504,MATCH(A791,السندات!$A$5:$A$504,0)),""))</f>
        <v/>
      </c>
      <c r="I791" s="71" t="str">
        <f aca="false">IF(A791="","",IFERROR(INDEX(السندات!$D$5:$D$504,MATCH(A791,السندات!$A$5:$A$504,0)),""))</f>
        <v/>
      </c>
      <c r="J791" s="72" t="str">
        <f aca="false">IF(A791="","",IF(ISNA(MATCH(A791,السندات!$A$5:$A$504,0)),"رقم سند غير موجود ✘",IF(AND(F791&lt;&gt;"",G791&lt;&gt;""),"اكتب مدين أو دائن فقط ✘",IF(AND(N(F791)=0,N(G791)=0),"بدون مبلغ ⚠",IF(B791&gt;12,"يتجاوز 12 بنداً في الطباعة ⚠","")))))</f>
        <v/>
      </c>
    </row>
    <row r="792" customFormat="false" ht="15" hidden="false" customHeight="false" outlineLevel="0" collapsed="false">
      <c r="A792" s="58"/>
      <c r="B792" s="73" t="str">
        <f aca="false">IF(A792="","",COUNTIF(A$5:A792,A792))</f>
        <v/>
      </c>
      <c r="C792" s="73" t="str">
        <f aca="false">IF(A792="","",A792&amp;"-"&amp;B792)</f>
        <v/>
      </c>
      <c r="D792" s="58"/>
      <c r="E792" s="57"/>
      <c r="F792" s="69"/>
      <c r="G792" s="69"/>
      <c r="H792" s="74" t="str">
        <f aca="false">IF(A792="","",IFERROR(INDEX(السندات!$C$5:$C$504,MATCH(A792,السندات!$A$5:$A$504,0)),""))</f>
        <v/>
      </c>
      <c r="I792" s="75" t="str">
        <f aca="false">IF(A792="","",IFERROR(INDEX(السندات!$D$5:$D$504,MATCH(A792,السندات!$A$5:$A$504,0)),""))</f>
        <v/>
      </c>
      <c r="J792" s="76" t="str">
        <f aca="false">IF(A792="","",IF(ISNA(MATCH(A792,السندات!$A$5:$A$504,0)),"رقم سند غير موجود ✘",IF(AND(F792&lt;&gt;"",G792&lt;&gt;""),"اكتب مدين أو دائن فقط ✘",IF(AND(N(F792)=0,N(G792)=0),"بدون مبلغ ⚠",IF(B792&gt;12,"يتجاوز 12 بنداً في الطباعة ⚠","")))))</f>
        <v/>
      </c>
    </row>
    <row r="793" customFormat="false" ht="15" hidden="false" customHeight="false" outlineLevel="0" collapsed="false">
      <c r="A793" s="58"/>
      <c r="B793" s="68" t="str">
        <f aca="false">IF(A793="","",COUNTIF(A$5:A793,A793))</f>
        <v/>
      </c>
      <c r="C793" s="68" t="str">
        <f aca="false">IF(A793="","",A793&amp;"-"&amp;B793)</f>
        <v/>
      </c>
      <c r="D793" s="58"/>
      <c r="E793" s="57"/>
      <c r="F793" s="69"/>
      <c r="G793" s="69"/>
      <c r="H793" s="70" t="str">
        <f aca="false">IF(A793="","",IFERROR(INDEX(السندات!$C$5:$C$504,MATCH(A793,السندات!$A$5:$A$504,0)),""))</f>
        <v/>
      </c>
      <c r="I793" s="71" t="str">
        <f aca="false">IF(A793="","",IFERROR(INDEX(السندات!$D$5:$D$504,MATCH(A793,السندات!$A$5:$A$504,0)),""))</f>
        <v/>
      </c>
      <c r="J793" s="72" t="str">
        <f aca="false">IF(A793="","",IF(ISNA(MATCH(A793,السندات!$A$5:$A$504,0)),"رقم سند غير موجود ✘",IF(AND(F793&lt;&gt;"",G793&lt;&gt;""),"اكتب مدين أو دائن فقط ✘",IF(AND(N(F793)=0,N(G793)=0),"بدون مبلغ ⚠",IF(B793&gt;12,"يتجاوز 12 بنداً في الطباعة ⚠","")))))</f>
        <v/>
      </c>
    </row>
    <row r="794" customFormat="false" ht="15" hidden="false" customHeight="false" outlineLevel="0" collapsed="false">
      <c r="A794" s="58"/>
      <c r="B794" s="73" t="str">
        <f aca="false">IF(A794="","",COUNTIF(A$5:A794,A794))</f>
        <v/>
      </c>
      <c r="C794" s="73" t="str">
        <f aca="false">IF(A794="","",A794&amp;"-"&amp;B794)</f>
        <v/>
      </c>
      <c r="D794" s="58"/>
      <c r="E794" s="57"/>
      <c r="F794" s="69"/>
      <c r="G794" s="69"/>
      <c r="H794" s="74" t="str">
        <f aca="false">IF(A794="","",IFERROR(INDEX(السندات!$C$5:$C$504,MATCH(A794,السندات!$A$5:$A$504,0)),""))</f>
        <v/>
      </c>
      <c r="I794" s="75" t="str">
        <f aca="false">IF(A794="","",IFERROR(INDEX(السندات!$D$5:$D$504,MATCH(A794,السندات!$A$5:$A$504,0)),""))</f>
        <v/>
      </c>
      <c r="J794" s="76" t="str">
        <f aca="false">IF(A794="","",IF(ISNA(MATCH(A794,السندات!$A$5:$A$504,0)),"رقم سند غير موجود ✘",IF(AND(F794&lt;&gt;"",G794&lt;&gt;""),"اكتب مدين أو دائن فقط ✘",IF(AND(N(F794)=0,N(G794)=0),"بدون مبلغ ⚠",IF(B794&gt;12,"يتجاوز 12 بنداً في الطباعة ⚠","")))))</f>
        <v/>
      </c>
    </row>
    <row r="795" customFormat="false" ht="15" hidden="false" customHeight="false" outlineLevel="0" collapsed="false">
      <c r="A795" s="58"/>
      <c r="B795" s="68" t="str">
        <f aca="false">IF(A795="","",COUNTIF(A$5:A795,A795))</f>
        <v/>
      </c>
      <c r="C795" s="68" t="str">
        <f aca="false">IF(A795="","",A795&amp;"-"&amp;B795)</f>
        <v/>
      </c>
      <c r="D795" s="58"/>
      <c r="E795" s="57"/>
      <c r="F795" s="69"/>
      <c r="G795" s="69"/>
      <c r="H795" s="70" t="str">
        <f aca="false">IF(A795="","",IFERROR(INDEX(السندات!$C$5:$C$504,MATCH(A795,السندات!$A$5:$A$504,0)),""))</f>
        <v/>
      </c>
      <c r="I795" s="71" t="str">
        <f aca="false">IF(A795="","",IFERROR(INDEX(السندات!$D$5:$D$504,MATCH(A795,السندات!$A$5:$A$504,0)),""))</f>
        <v/>
      </c>
      <c r="J795" s="72" t="str">
        <f aca="false">IF(A795="","",IF(ISNA(MATCH(A795,السندات!$A$5:$A$504,0)),"رقم سند غير موجود ✘",IF(AND(F795&lt;&gt;"",G795&lt;&gt;""),"اكتب مدين أو دائن فقط ✘",IF(AND(N(F795)=0,N(G795)=0),"بدون مبلغ ⚠",IF(B795&gt;12,"يتجاوز 12 بنداً في الطباعة ⚠","")))))</f>
        <v/>
      </c>
    </row>
    <row r="796" customFormat="false" ht="15" hidden="false" customHeight="false" outlineLevel="0" collapsed="false">
      <c r="A796" s="58"/>
      <c r="B796" s="73" t="str">
        <f aca="false">IF(A796="","",COUNTIF(A$5:A796,A796))</f>
        <v/>
      </c>
      <c r="C796" s="73" t="str">
        <f aca="false">IF(A796="","",A796&amp;"-"&amp;B796)</f>
        <v/>
      </c>
      <c r="D796" s="58"/>
      <c r="E796" s="57"/>
      <c r="F796" s="69"/>
      <c r="G796" s="69"/>
      <c r="H796" s="74" t="str">
        <f aca="false">IF(A796="","",IFERROR(INDEX(السندات!$C$5:$C$504,MATCH(A796,السندات!$A$5:$A$504,0)),""))</f>
        <v/>
      </c>
      <c r="I796" s="75" t="str">
        <f aca="false">IF(A796="","",IFERROR(INDEX(السندات!$D$5:$D$504,MATCH(A796,السندات!$A$5:$A$504,0)),""))</f>
        <v/>
      </c>
      <c r="J796" s="76" t="str">
        <f aca="false">IF(A796="","",IF(ISNA(MATCH(A796,السندات!$A$5:$A$504,0)),"رقم سند غير موجود ✘",IF(AND(F796&lt;&gt;"",G796&lt;&gt;""),"اكتب مدين أو دائن فقط ✘",IF(AND(N(F796)=0,N(G796)=0),"بدون مبلغ ⚠",IF(B796&gt;12,"يتجاوز 12 بنداً في الطباعة ⚠","")))))</f>
        <v/>
      </c>
    </row>
    <row r="797" customFormat="false" ht="15" hidden="false" customHeight="false" outlineLevel="0" collapsed="false">
      <c r="A797" s="58"/>
      <c r="B797" s="68" t="str">
        <f aca="false">IF(A797="","",COUNTIF(A$5:A797,A797))</f>
        <v/>
      </c>
      <c r="C797" s="68" t="str">
        <f aca="false">IF(A797="","",A797&amp;"-"&amp;B797)</f>
        <v/>
      </c>
      <c r="D797" s="58"/>
      <c r="E797" s="57"/>
      <c r="F797" s="69"/>
      <c r="G797" s="69"/>
      <c r="H797" s="70" t="str">
        <f aca="false">IF(A797="","",IFERROR(INDEX(السندات!$C$5:$C$504,MATCH(A797,السندات!$A$5:$A$504,0)),""))</f>
        <v/>
      </c>
      <c r="I797" s="71" t="str">
        <f aca="false">IF(A797="","",IFERROR(INDEX(السندات!$D$5:$D$504,MATCH(A797,السندات!$A$5:$A$504,0)),""))</f>
        <v/>
      </c>
      <c r="J797" s="72" t="str">
        <f aca="false">IF(A797="","",IF(ISNA(MATCH(A797,السندات!$A$5:$A$504,0)),"رقم سند غير موجود ✘",IF(AND(F797&lt;&gt;"",G797&lt;&gt;""),"اكتب مدين أو دائن فقط ✘",IF(AND(N(F797)=0,N(G797)=0),"بدون مبلغ ⚠",IF(B797&gt;12,"يتجاوز 12 بنداً في الطباعة ⚠","")))))</f>
        <v/>
      </c>
    </row>
    <row r="798" customFormat="false" ht="15" hidden="false" customHeight="false" outlineLevel="0" collapsed="false">
      <c r="A798" s="58"/>
      <c r="B798" s="73" t="str">
        <f aca="false">IF(A798="","",COUNTIF(A$5:A798,A798))</f>
        <v/>
      </c>
      <c r="C798" s="73" t="str">
        <f aca="false">IF(A798="","",A798&amp;"-"&amp;B798)</f>
        <v/>
      </c>
      <c r="D798" s="58"/>
      <c r="E798" s="57"/>
      <c r="F798" s="69"/>
      <c r="G798" s="69"/>
      <c r="H798" s="74" t="str">
        <f aca="false">IF(A798="","",IFERROR(INDEX(السندات!$C$5:$C$504,MATCH(A798,السندات!$A$5:$A$504,0)),""))</f>
        <v/>
      </c>
      <c r="I798" s="75" t="str">
        <f aca="false">IF(A798="","",IFERROR(INDEX(السندات!$D$5:$D$504,MATCH(A798,السندات!$A$5:$A$504,0)),""))</f>
        <v/>
      </c>
      <c r="J798" s="76" t="str">
        <f aca="false">IF(A798="","",IF(ISNA(MATCH(A798,السندات!$A$5:$A$504,0)),"رقم سند غير موجود ✘",IF(AND(F798&lt;&gt;"",G798&lt;&gt;""),"اكتب مدين أو دائن فقط ✘",IF(AND(N(F798)=0,N(G798)=0),"بدون مبلغ ⚠",IF(B798&gt;12,"يتجاوز 12 بنداً في الطباعة ⚠","")))))</f>
        <v/>
      </c>
    </row>
    <row r="799" customFormat="false" ht="15" hidden="false" customHeight="false" outlineLevel="0" collapsed="false">
      <c r="A799" s="58"/>
      <c r="B799" s="68" t="str">
        <f aca="false">IF(A799="","",COUNTIF(A$5:A799,A799))</f>
        <v/>
      </c>
      <c r="C799" s="68" t="str">
        <f aca="false">IF(A799="","",A799&amp;"-"&amp;B799)</f>
        <v/>
      </c>
      <c r="D799" s="58"/>
      <c r="E799" s="57"/>
      <c r="F799" s="69"/>
      <c r="G799" s="69"/>
      <c r="H799" s="70" t="str">
        <f aca="false">IF(A799="","",IFERROR(INDEX(السندات!$C$5:$C$504,MATCH(A799,السندات!$A$5:$A$504,0)),""))</f>
        <v/>
      </c>
      <c r="I799" s="71" t="str">
        <f aca="false">IF(A799="","",IFERROR(INDEX(السندات!$D$5:$D$504,MATCH(A799,السندات!$A$5:$A$504,0)),""))</f>
        <v/>
      </c>
      <c r="J799" s="72" t="str">
        <f aca="false">IF(A799="","",IF(ISNA(MATCH(A799,السندات!$A$5:$A$504,0)),"رقم سند غير موجود ✘",IF(AND(F799&lt;&gt;"",G799&lt;&gt;""),"اكتب مدين أو دائن فقط ✘",IF(AND(N(F799)=0,N(G799)=0),"بدون مبلغ ⚠",IF(B799&gt;12,"يتجاوز 12 بنداً في الطباعة ⚠","")))))</f>
        <v/>
      </c>
    </row>
    <row r="800" customFormat="false" ht="15" hidden="false" customHeight="false" outlineLevel="0" collapsed="false">
      <c r="A800" s="58"/>
      <c r="B800" s="73" t="str">
        <f aca="false">IF(A800="","",COUNTIF(A$5:A800,A800))</f>
        <v/>
      </c>
      <c r="C800" s="73" t="str">
        <f aca="false">IF(A800="","",A800&amp;"-"&amp;B800)</f>
        <v/>
      </c>
      <c r="D800" s="58"/>
      <c r="E800" s="57"/>
      <c r="F800" s="69"/>
      <c r="G800" s="69"/>
      <c r="H800" s="74" t="str">
        <f aca="false">IF(A800="","",IFERROR(INDEX(السندات!$C$5:$C$504,MATCH(A800,السندات!$A$5:$A$504,0)),""))</f>
        <v/>
      </c>
      <c r="I800" s="75" t="str">
        <f aca="false">IF(A800="","",IFERROR(INDEX(السندات!$D$5:$D$504,MATCH(A800,السندات!$A$5:$A$504,0)),""))</f>
        <v/>
      </c>
      <c r="J800" s="76" t="str">
        <f aca="false">IF(A800="","",IF(ISNA(MATCH(A800,السندات!$A$5:$A$504,0)),"رقم سند غير موجود ✘",IF(AND(F800&lt;&gt;"",G800&lt;&gt;""),"اكتب مدين أو دائن فقط ✘",IF(AND(N(F800)=0,N(G800)=0),"بدون مبلغ ⚠",IF(B800&gt;12,"يتجاوز 12 بنداً في الطباعة ⚠","")))))</f>
        <v/>
      </c>
    </row>
    <row r="801" customFormat="false" ht="15" hidden="false" customHeight="false" outlineLevel="0" collapsed="false">
      <c r="A801" s="58"/>
      <c r="B801" s="68" t="str">
        <f aca="false">IF(A801="","",COUNTIF(A$5:A801,A801))</f>
        <v/>
      </c>
      <c r="C801" s="68" t="str">
        <f aca="false">IF(A801="","",A801&amp;"-"&amp;B801)</f>
        <v/>
      </c>
      <c r="D801" s="58"/>
      <c r="E801" s="57"/>
      <c r="F801" s="69"/>
      <c r="G801" s="69"/>
      <c r="H801" s="70" t="str">
        <f aca="false">IF(A801="","",IFERROR(INDEX(السندات!$C$5:$C$504,MATCH(A801,السندات!$A$5:$A$504,0)),""))</f>
        <v/>
      </c>
      <c r="I801" s="71" t="str">
        <f aca="false">IF(A801="","",IFERROR(INDEX(السندات!$D$5:$D$504,MATCH(A801,السندات!$A$5:$A$504,0)),""))</f>
        <v/>
      </c>
      <c r="J801" s="72" t="str">
        <f aca="false">IF(A801="","",IF(ISNA(MATCH(A801,السندات!$A$5:$A$504,0)),"رقم سند غير موجود ✘",IF(AND(F801&lt;&gt;"",G801&lt;&gt;""),"اكتب مدين أو دائن فقط ✘",IF(AND(N(F801)=0,N(G801)=0),"بدون مبلغ ⚠",IF(B801&gt;12,"يتجاوز 12 بنداً في الطباعة ⚠","")))))</f>
        <v/>
      </c>
    </row>
    <row r="802" customFormat="false" ht="15" hidden="false" customHeight="false" outlineLevel="0" collapsed="false">
      <c r="A802" s="58"/>
      <c r="B802" s="73" t="str">
        <f aca="false">IF(A802="","",COUNTIF(A$5:A802,A802))</f>
        <v/>
      </c>
      <c r="C802" s="73" t="str">
        <f aca="false">IF(A802="","",A802&amp;"-"&amp;B802)</f>
        <v/>
      </c>
      <c r="D802" s="58"/>
      <c r="E802" s="57"/>
      <c r="F802" s="69"/>
      <c r="G802" s="69"/>
      <c r="H802" s="74" t="str">
        <f aca="false">IF(A802="","",IFERROR(INDEX(السندات!$C$5:$C$504,MATCH(A802,السندات!$A$5:$A$504,0)),""))</f>
        <v/>
      </c>
      <c r="I802" s="75" t="str">
        <f aca="false">IF(A802="","",IFERROR(INDEX(السندات!$D$5:$D$504,MATCH(A802,السندات!$A$5:$A$504,0)),""))</f>
        <v/>
      </c>
      <c r="J802" s="76" t="str">
        <f aca="false">IF(A802="","",IF(ISNA(MATCH(A802,السندات!$A$5:$A$504,0)),"رقم سند غير موجود ✘",IF(AND(F802&lt;&gt;"",G802&lt;&gt;""),"اكتب مدين أو دائن فقط ✘",IF(AND(N(F802)=0,N(G802)=0),"بدون مبلغ ⚠",IF(B802&gt;12,"يتجاوز 12 بنداً في الطباعة ⚠","")))))</f>
        <v/>
      </c>
    </row>
    <row r="803" customFormat="false" ht="15" hidden="false" customHeight="false" outlineLevel="0" collapsed="false">
      <c r="A803" s="58"/>
      <c r="B803" s="68" t="str">
        <f aca="false">IF(A803="","",COUNTIF(A$5:A803,A803))</f>
        <v/>
      </c>
      <c r="C803" s="68" t="str">
        <f aca="false">IF(A803="","",A803&amp;"-"&amp;B803)</f>
        <v/>
      </c>
      <c r="D803" s="58"/>
      <c r="E803" s="57"/>
      <c r="F803" s="69"/>
      <c r="G803" s="69"/>
      <c r="H803" s="70" t="str">
        <f aca="false">IF(A803="","",IFERROR(INDEX(السندات!$C$5:$C$504,MATCH(A803,السندات!$A$5:$A$504,0)),""))</f>
        <v/>
      </c>
      <c r="I803" s="71" t="str">
        <f aca="false">IF(A803="","",IFERROR(INDEX(السندات!$D$5:$D$504,MATCH(A803,السندات!$A$5:$A$504,0)),""))</f>
        <v/>
      </c>
      <c r="J803" s="72" t="str">
        <f aca="false">IF(A803="","",IF(ISNA(MATCH(A803,السندات!$A$5:$A$504,0)),"رقم سند غير موجود ✘",IF(AND(F803&lt;&gt;"",G803&lt;&gt;""),"اكتب مدين أو دائن فقط ✘",IF(AND(N(F803)=0,N(G803)=0),"بدون مبلغ ⚠",IF(B803&gt;12,"يتجاوز 12 بنداً في الطباعة ⚠","")))))</f>
        <v/>
      </c>
    </row>
    <row r="804" customFormat="false" ht="15" hidden="false" customHeight="false" outlineLevel="0" collapsed="false">
      <c r="A804" s="58"/>
      <c r="B804" s="73" t="str">
        <f aca="false">IF(A804="","",COUNTIF(A$5:A804,A804))</f>
        <v/>
      </c>
      <c r="C804" s="73" t="str">
        <f aca="false">IF(A804="","",A804&amp;"-"&amp;B804)</f>
        <v/>
      </c>
      <c r="D804" s="58"/>
      <c r="E804" s="57"/>
      <c r="F804" s="69"/>
      <c r="G804" s="69"/>
      <c r="H804" s="74" t="str">
        <f aca="false">IF(A804="","",IFERROR(INDEX(السندات!$C$5:$C$504,MATCH(A804,السندات!$A$5:$A$504,0)),""))</f>
        <v/>
      </c>
      <c r="I804" s="75" t="str">
        <f aca="false">IF(A804="","",IFERROR(INDEX(السندات!$D$5:$D$504,MATCH(A804,السندات!$A$5:$A$504,0)),""))</f>
        <v/>
      </c>
      <c r="J804" s="76" t="str">
        <f aca="false">IF(A804="","",IF(ISNA(MATCH(A804,السندات!$A$5:$A$504,0)),"رقم سند غير موجود ✘",IF(AND(F804&lt;&gt;"",G804&lt;&gt;""),"اكتب مدين أو دائن فقط ✘",IF(AND(N(F804)=0,N(G804)=0),"بدون مبلغ ⚠",IF(B804&gt;12,"يتجاوز 12 بنداً في الطباعة ⚠","")))))</f>
        <v/>
      </c>
    </row>
    <row r="805" customFormat="false" ht="15" hidden="false" customHeight="false" outlineLevel="0" collapsed="false">
      <c r="A805" s="58"/>
      <c r="B805" s="68" t="str">
        <f aca="false">IF(A805="","",COUNTIF(A$5:A805,A805))</f>
        <v/>
      </c>
      <c r="C805" s="68" t="str">
        <f aca="false">IF(A805="","",A805&amp;"-"&amp;B805)</f>
        <v/>
      </c>
      <c r="D805" s="58"/>
      <c r="E805" s="57"/>
      <c r="F805" s="69"/>
      <c r="G805" s="69"/>
      <c r="H805" s="70" t="str">
        <f aca="false">IF(A805="","",IFERROR(INDEX(السندات!$C$5:$C$504,MATCH(A805,السندات!$A$5:$A$504,0)),""))</f>
        <v/>
      </c>
      <c r="I805" s="71" t="str">
        <f aca="false">IF(A805="","",IFERROR(INDEX(السندات!$D$5:$D$504,MATCH(A805,السندات!$A$5:$A$504,0)),""))</f>
        <v/>
      </c>
      <c r="J805" s="72" t="str">
        <f aca="false">IF(A805="","",IF(ISNA(MATCH(A805,السندات!$A$5:$A$504,0)),"رقم سند غير موجود ✘",IF(AND(F805&lt;&gt;"",G805&lt;&gt;""),"اكتب مدين أو دائن فقط ✘",IF(AND(N(F805)=0,N(G805)=0),"بدون مبلغ ⚠",IF(B805&gt;12,"يتجاوز 12 بنداً في الطباعة ⚠","")))))</f>
        <v/>
      </c>
    </row>
    <row r="806" customFormat="false" ht="15" hidden="false" customHeight="false" outlineLevel="0" collapsed="false">
      <c r="A806" s="58"/>
      <c r="B806" s="73" t="str">
        <f aca="false">IF(A806="","",COUNTIF(A$5:A806,A806))</f>
        <v/>
      </c>
      <c r="C806" s="73" t="str">
        <f aca="false">IF(A806="","",A806&amp;"-"&amp;B806)</f>
        <v/>
      </c>
      <c r="D806" s="58"/>
      <c r="E806" s="57"/>
      <c r="F806" s="69"/>
      <c r="G806" s="69"/>
      <c r="H806" s="74" t="str">
        <f aca="false">IF(A806="","",IFERROR(INDEX(السندات!$C$5:$C$504,MATCH(A806,السندات!$A$5:$A$504,0)),""))</f>
        <v/>
      </c>
      <c r="I806" s="75" t="str">
        <f aca="false">IF(A806="","",IFERROR(INDEX(السندات!$D$5:$D$504,MATCH(A806,السندات!$A$5:$A$504,0)),""))</f>
        <v/>
      </c>
      <c r="J806" s="76" t="str">
        <f aca="false">IF(A806="","",IF(ISNA(MATCH(A806,السندات!$A$5:$A$504,0)),"رقم سند غير موجود ✘",IF(AND(F806&lt;&gt;"",G806&lt;&gt;""),"اكتب مدين أو دائن فقط ✘",IF(AND(N(F806)=0,N(G806)=0),"بدون مبلغ ⚠",IF(B806&gt;12,"يتجاوز 12 بنداً في الطباعة ⚠","")))))</f>
        <v/>
      </c>
    </row>
    <row r="807" customFormat="false" ht="15" hidden="false" customHeight="false" outlineLevel="0" collapsed="false">
      <c r="A807" s="58"/>
      <c r="B807" s="68" t="str">
        <f aca="false">IF(A807="","",COUNTIF(A$5:A807,A807))</f>
        <v/>
      </c>
      <c r="C807" s="68" t="str">
        <f aca="false">IF(A807="","",A807&amp;"-"&amp;B807)</f>
        <v/>
      </c>
      <c r="D807" s="58"/>
      <c r="E807" s="57"/>
      <c r="F807" s="69"/>
      <c r="G807" s="69"/>
      <c r="H807" s="70" t="str">
        <f aca="false">IF(A807="","",IFERROR(INDEX(السندات!$C$5:$C$504,MATCH(A807,السندات!$A$5:$A$504,0)),""))</f>
        <v/>
      </c>
      <c r="I807" s="71" t="str">
        <f aca="false">IF(A807="","",IFERROR(INDEX(السندات!$D$5:$D$504,MATCH(A807,السندات!$A$5:$A$504,0)),""))</f>
        <v/>
      </c>
      <c r="J807" s="72" t="str">
        <f aca="false">IF(A807="","",IF(ISNA(MATCH(A807,السندات!$A$5:$A$504,0)),"رقم سند غير موجود ✘",IF(AND(F807&lt;&gt;"",G807&lt;&gt;""),"اكتب مدين أو دائن فقط ✘",IF(AND(N(F807)=0,N(G807)=0),"بدون مبلغ ⚠",IF(B807&gt;12,"يتجاوز 12 بنداً في الطباعة ⚠","")))))</f>
        <v/>
      </c>
    </row>
    <row r="808" customFormat="false" ht="15" hidden="false" customHeight="false" outlineLevel="0" collapsed="false">
      <c r="A808" s="58"/>
      <c r="B808" s="73" t="str">
        <f aca="false">IF(A808="","",COUNTIF(A$5:A808,A808))</f>
        <v/>
      </c>
      <c r="C808" s="73" t="str">
        <f aca="false">IF(A808="","",A808&amp;"-"&amp;B808)</f>
        <v/>
      </c>
      <c r="D808" s="58"/>
      <c r="E808" s="57"/>
      <c r="F808" s="69"/>
      <c r="G808" s="69"/>
      <c r="H808" s="74" t="str">
        <f aca="false">IF(A808="","",IFERROR(INDEX(السندات!$C$5:$C$504,MATCH(A808,السندات!$A$5:$A$504,0)),""))</f>
        <v/>
      </c>
      <c r="I808" s="75" t="str">
        <f aca="false">IF(A808="","",IFERROR(INDEX(السندات!$D$5:$D$504,MATCH(A808,السندات!$A$5:$A$504,0)),""))</f>
        <v/>
      </c>
      <c r="J808" s="76" t="str">
        <f aca="false">IF(A808="","",IF(ISNA(MATCH(A808,السندات!$A$5:$A$504,0)),"رقم سند غير موجود ✘",IF(AND(F808&lt;&gt;"",G808&lt;&gt;""),"اكتب مدين أو دائن فقط ✘",IF(AND(N(F808)=0,N(G808)=0),"بدون مبلغ ⚠",IF(B808&gt;12,"يتجاوز 12 بنداً في الطباعة ⚠","")))))</f>
        <v/>
      </c>
    </row>
    <row r="809" customFormat="false" ht="15" hidden="false" customHeight="false" outlineLevel="0" collapsed="false">
      <c r="A809" s="58"/>
      <c r="B809" s="68" t="str">
        <f aca="false">IF(A809="","",COUNTIF(A$5:A809,A809))</f>
        <v/>
      </c>
      <c r="C809" s="68" t="str">
        <f aca="false">IF(A809="","",A809&amp;"-"&amp;B809)</f>
        <v/>
      </c>
      <c r="D809" s="58"/>
      <c r="E809" s="57"/>
      <c r="F809" s="69"/>
      <c r="G809" s="69"/>
      <c r="H809" s="70" t="str">
        <f aca="false">IF(A809="","",IFERROR(INDEX(السندات!$C$5:$C$504,MATCH(A809,السندات!$A$5:$A$504,0)),""))</f>
        <v/>
      </c>
      <c r="I809" s="71" t="str">
        <f aca="false">IF(A809="","",IFERROR(INDEX(السندات!$D$5:$D$504,MATCH(A809,السندات!$A$5:$A$504,0)),""))</f>
        <v/>
      </c>
      <c r="J809" s="72" t="str">
        <f aca="false">IF(A809="","",IF(ISNA(MATCH(A809,السندات!$A$5:$A$504,0)),"رقم سند غير موجود ✘",IF(AND(F809&lt;&gt;"",G809&lt;&gt;""),"اكتب مدين أو دائن فقط ✘",IF(AND(N(F809)=0,N(G809)=0),"بدون مبلغ ⚠",IF(B809&gt;12,"يتجاوز 12 بنداً في الطباعة ⚠","")))))</f>
        <v/>
      </c>
    </row>
    <row r="810" customFormat="false" ht="15" hidden="false" customHeight="false" outlineLevel="0" collapsed="false">
      <c r="A810" s="58"/>
      <c r="B810" s="73" t="str">
        <f aca="false">IF(A810="","",COUNTIF(A$5:A810,A810))</f>
        <v/>
      </c>
      <c r="C810" s="73" t="str">
        <f aca="false">IF(A810="","",A810&amp;"-"&amp;B810)</f>
        <v/>
      </c>
      <c r="D810" s="58"/>
      <c r="E810" s="57"/>
      <c r="F810" s="69"/>
      <c r="G810" s="69"/>
      <c r="H810" s="74" t="str">
        <f aca="false">IF(A810="","",IFERROR(INDEX(السندات!$C$5:$C$504,MATCH(A810,السندات!$A$5:$A$504,0)),""))</f>
        <v/>
      </c>
      <c r="I810" s="75" t="str">
        <f aca="false">IF(A810="","",IFERROR(INDEX(السندات!$D$5:$D$504,MATCH(A810,السندات!$A$5:$A$504,0)),""))</f>
        <v/>
      </c>
      <c r="J810" s="76" t="str">
        <f aca="false">IF(A810="","",IF(ISNA(MATCH(A810,السندات!$A$5:$A$504,0)),"رقم سند غير موجود ✘",IF(AND(F810&lt;&gt;"",G810&lt;&gt;""),"اكتب مدين أو دائن فقط ✘",IF(AND(N(F810)=0,N(G810)=0),"بدون مبلغ ⚠",IF(B810&gt;12,"يتجاوز 12 بنداً في الطباعة ⚠","")))))</f>
        <v/>
      </c>
    </row>
    <row r="811" customFormat="false" ht="15" hidden="false" customHeight="false" outlineLevel="0" collapsed="false">
      <c r="A811" s="58"/>
      <c r="B811" s="68" t="str">
        <f aca="false">IF(A811="","",COUNTIF(A$5:A811,A811))</f>
        <v/>
      </c>
      <c r="C811" s="68" t="str">
        <f aca="false">IF(A811="","",A811&amp;"-"&amp;B811)</f>
        <v/>
      </c>
      <c r="D811" s="58"/>
      <c r="E811" s="57"/>
      <c r="F811" s="69"/>
      <c r="G811" s="69"/>
      <c r="H811" s="70" t="str">
        <f aca="false">IF(A811="","",IFERROR(INDEX(السندات!$C$5:$C$504,MATCH(A811,السندات!$A$5:$A$504,0)),""))</f>
        <v/>
      </c>
      <c r="I811" s="71" t="str">
        <f aca="false">IF(A811="","",IFERROR(INDEX(السندات!$D$5:$D$504,MATCH(A811,السندات!$A$5:$A$504,0)),""))</f>
        <v/>
      </c>
      <c r="J811" s="72" t="str">
        <f aca="false">IF(A811="","",IF(ISNA(MATCH(A811,السندات!$A$5:$A$504,0)),"رقم سند غير موجود ✘",IF(AND(F811&lt;&gt;"",G811&lt;&gt;""),"اكتب مدين أو دائن فقط ✘",IF(AND(N(F811)=0,N(G811)=0),"بدون مبلغ ⚠",IF(B811&gt;12,"يتجاوز 12 بنداً في الطباعة ⚠","")))))</f>
        <v/>
      </c>
    </row>
    <row r="812" customFormat="false" ht="15" hidden="false" customHeight="false" outlineLevel="0" collapsed="false">
      <c r="A812" s="58"/>
      <c r="B812" s="73" t="str">
        <f aca="false">IF(A812="","",COUNTIF(A$5:A812,A812))</f>
        <v/>
      </c>
      <c r="C812" s="73" t="str">
        <f aca="false">IF(A812="","",A812&amp;"-"&amp;B812)</f>
        <v/>
      </c>
      <c r="D812" s="58"/>
      <c r="E812" s="57"/>
      <c r="F812" s="69"/>
      <c r="G812" s="69"/>
      <c r="H812" s="74" t="str">
        <f aca="false">IF(A812="","",IFERROR(INDEX(السندات!$C$5:$C$504,MATCH(A812,السندات!$A$5:$A$504,0)),""))</f>
        <v/>
      </c>
      <c r="I812" s="75" t="str">
        <f aca="false">IF(A812="","",IFERROR(INDEX(السندات!$D$5:$D$504,MATCH(A812,السندات!$A$5:$A$504,0)),""))</f>
        <v/>
      </c>
      <c r="J812" s="76" t="str">
        <f aca="false">IF(A812="","",IF(ISNA(MATCH(A812,السندات!$A$5:$A$504,0)),"رقم سند غير موجود ✘",IF(AND(F812&lt;&gt;"",G812&lt;&gt;""),"اكتب مدين أو دائن فقط ✘",IF(AND(N(F812)=0,N(G812)=0),"بدون مبلغ ⚠",IF(B812&gt;12,"يتجاوز 12 بنداً في الطباعة ⚠","")))))</f>
        <v/>
      </c>
    </row>
    <row r="813" customFormat="false" ht="15" hidden="false" customHeight="false" outlineLevel="0" collapsed="false">
      <c r="A813" s="58"/>
      <c r="B813" s="68" t="str">
        <f aca="false">IF(A813="","",COUNTIF(A$5:A813,A813))</f>
        <v/>
      </c>
      <c r="C813" s="68" t="str">
        <f aca="false">IF(A813="","",A813&amp;"-"&amp;B813)</f>
        <v/>
      </c>
      <c r="D813" s="58"/>
      <c r="E813" s="57"/>
      <c r="F813" s="69"/>
      <c r="G813" s="69"/>
      <c r="H813" s="70" t="str">
        <f aca="false">IF(A813="","",IFERROR(INDEX(السندات!$C$5:$C$504,MATCH(A813,السندات!$A$5:$A$504,0)),""))</f>
        <v/>
      </c>
      <c r="I813" s="71" t="str">
        <f aca="false">IF(A813="","",IFERROR(INDEX(السندات!$D$5:$D$504,MATCH(A813,السندات!$A$5:$A$504,0)),""))</f>
        <v/>
      </c>
      <c r="J813" s="72" t="str">
        <f aca="false">IF(A813="","",IF(ISNA(MATCH(A813,السندات!$A$5:$A$504,0)),"رقم سند غير موجود ✘",IF(AND(F813&lt;&gt;"",G813&lt;&gt;""),"اكتب مدين أو دائن فقط ✘",IF(AND(N(F813)=0,N(G813)=0),"بدون مبلغ ⚠",IF(B813&gt;12,"يتجاوز 12 بنداً في الطباعة ⚠","")))))</f>
        <v/>
      </c>
    </row>
    <row r="814" customFormat="false" ht="15" hidden="false" customHeight="false" outlineLevel="0" collapsed="false">
      <c r="A814" s="58"/>
      <c r="B814" s="73" t="str">
        <f aca="false">IF(A814="","",COUNTIF(A$5:A814,A814))</f>
        <v/>
      </c>
      <c r="C814" s="73" t="str">
        <f aca="false">IF(A814="","",A814&amp;"-"&amp;B814)</f>
        <v/>
      </c>
      <c r="D814" s="58"/>
      <c r="E814" s="57"/>
      <c r="F814" s="69"/>
      <c r="G814" s="69"/>
      <c r="H814" s="74" t="str">
        <f aca="false">IF(A814="","",IFERROR(INDEX(السندات!$C$5:$C$504,MATCH(A814,السندات!$A$5:$A$504,0)),""))</f>
        <v/>
      </c>
      <c r="I814" s="75" t="str">
        <f aca="false">IF(A814="","",IFERROR(INDEX(السندات!$D$5:$D$504,MATCH(A814,السندات!$A$5:$A$504,0)),""))</f>
        <v/>
      </c>
      <c r="J814" s="76" t="str">
        <f aca="false">IF(A814="","",IF(ISNA(MATCH(A814,السندات!$A$5:$A$504,0)),"رقم سند غير موجود ✘",IF(AND(F814&lt;&gt;"",G814&lt;&gt;""),"اكتب مدين أو دائن فقط ✘",IF(AND(N(F814)=0,N(G814)=0),"بدون مبلغ ⚠",IF(B814&gt;12,"يتجاوز 12 بنداً في الطباعة ⚠","")))))</f>
        <v/>
      </c>
    </row>
    <row r="815" customFormat="false" ht="15" hidden="false" customHeight="false" outlineLevel="0" collapsed="false">
      <c r="A815" s="58"/>
      <c r="B815" s="68" t="str">
        <f aca="false">IF(A815="","",COUNTIF(A$5:A815,A815))</f>
        <v/>
      </c>
      <c r="C815" s="68" t="str">
        <f aca="false">IF(A815="","",A815&amp;"-"&amp;B815)</f>
        <v/>
      </c>
      <c r="D815" s="58"/>
      <c r="E815" s="57"/>
      <c r="F815" s="69"/>
      <c r="G815" s="69"/>
      <c r="H815" s="70" t="str">
        <f aca="false">IF(A815="","",IFERROR(INDEX(السندات!$C$5:$C$504,MATCH(A815,السندات!$A$5:$A$504,0)),""))</f>
        <v/>
      </c>
      <c r="I815" s="71" t="str">
        <f aca="false">IF(A815="","",IFERROR(INDEX(السندات!$D$5:$D$504,MATCH(A815,السندات!$A$5:$A$504,0)),""))</f>
        <v/>
      </c>
      <c r="J815" s="72" t="str">
        <f aca="false">IF(A815="","",IF(ISNA(MATCH(A815,السندات!$A$5:$A$504,0)),"رقم سند غير موجود ✘",IF(AND(F815&lt;&gt;"",G815&lt;&gt;""),"اكتب مدين أو دائن فقط ✘",IF(AND(N(F815)=0,N(G815)=0),"بدون مبلغ ⚠",IF(B815&gt;12,"يتجاوز 12 بنداً في الطباعة ⚠","")))))</f>
        <v/>
      </c>
    </row>
    <row r="816" customFormat="false" ht="15" hidden="false" customHeight="false" outlineLevel="0" collapsed="false">
      <c r="A816" s="58"/>
      <c r="B816" s="73" t="str">
        <f aca="false">IF(A816="","",COUNTIF(A$5:A816,A816))</f>
        <v/>
      </c>
      <c r="C816" s="73" t="str">
        <f aca="false">IF(A816="","",A816&amp;"-"&amp;B816)</f>
        <v/>
      </c>
      <c r="D816" s="58"/>
      <c r="E816" s="57"/>
      <c r="F816" s="69"/>
      <c r="G816" s="69"/>
      <c r="H816" s="74" t="str">
        <f aca="false">IF(A816="","",IFERROR(INDEX(السندات!$C$5:$C$504,MATCH(A816,السندات!$A$5:$A$504,0)),""))</f>
        <v/>
      </c>
      <c r="I816" s="75" t="str">
        <f aca="false">IF(A816="","",IFERROR(INDEX(السندات!$D$5:$D$504,MATCH(A816,السندات!$A$5:$A$504,0)),""))</f>
        <v/>
      </c>
      <c r="J816" s="76" t="str">
        <f aca="false">IF(A816="","",IF(ISNA(MATCH(A816,السندات!$A$5:$A$504,0)),"رقم سند غير موجود ✘",IF(AND(F816&lt;&gt;"",G816&lt;&gt;""),"اكتب مدين أو دائن فقط ✘",IF(AND(N(F816)=0,N(G816)=0),"بدون مبلغ ⚠",IF(B816&gt;12,"يتجاوز 12 بنداً في الطباعة ⚠","")))))</f>
        <v/>
      </c>
    </row>
    <row r="817" customFormat="false" ht="15" hidden="false" customHeight="false" outlineLevel="0" collapsed="false">
      <c r="A817" s="58"/>
      <c r="B817" s="68" t="str">
        <f aca="false">IF(A817="","",COUNTIF(A$5:A817,A817))</f>
        <v/>
      </c>
      <c r="C817" s="68" t="str">
        <f aca="false">IF(A817="","",A817&amp;"-"&amp;B817)</f>
        <v/>
      </c>
      <c r="D817" s="58"/>
      <c r="E817" s="57"/>
      <c r="F817" s="69"/>
      <c r="G817" s="69"/>
      <c r="H817" s="70" t="str">
        <f aca="false">IF(A817="","",IFERROR(INDEX(السندات!$C$5:$C$504,MATCH(A817,السندات!$A$5:$A$504,0)),""))</f>
        <v/>
      </c>
      <c r="I817" s="71" t="str">
        <f aca="false">IF(A817="","",IFERROR(INDEX(السندات!$D$5:$D$504,MATCH(A817,السندات!$A$5:$A$504,0)),""))</f>
        <v/>
      </c>
      <c r="J817" s="72" t="str">
        <f aca="false">IF(A817="","",IF(ISNA(MATCH(A817,السندات!$A$5:$A$504,0)),"رقم سند غير موجود ✘",IF(AND(F817&lt;&gt;"",G817&lt;&gt;""),"اكتب مدين أو دائن فقط ✘",IF(AND(N(F817)=0,N(G817)=0),"بدون مبلغ ⚠",IF(B817&gt;12,"يتجاوز 12 بنداً في الطباعة ⚠","")))))</f>
        <v/>
      </c>
    </row>
    <row r="818" customFormat="false" ht="15" hidden="false" customHeight="false" outlineLevel="0" collapsed="false">
      <c r="A818" s="58"/>
      <c r="B818" s="73" t="str">
        <f aca="false">IF(A818="","",COUNTIF(A$5:A818,A818))</f>
        <v/>
      </c>
      <c r="C818" s="73" t="str">
        <f aca="false">IF(A818="","",A818&amp;"-"&amp;B818)</f>
        <v/>
      </c>
      <c r="D818" s="58"/>
      <c r="E818" s="57"/>
      <c r="F818" s="69"/>
      <c r="G818" s="69"/>
      <c r="H818" s="74" t="str">
        <f aca="false">IF(A818="","",IFERROR(INDEX(السندات!$C$5:$C$504,MATCH(A818,السندات!$A$5:$A$504,0)),""))</f>
        <v/>
      </c>
      <c r="I818" s="75" t="str">
        <f aca="false">IF(A818="","",IFERROR(INDEX(السندات!$D$5:$D$504,MATCH(A818,السندات!$A$5:$A$504,0)),""))</f>
        <v/>
      </c>
      <c r="J818" s="76" t="str">
        <f aca="false">IF(A818="","",IF(ISNA(MATCH(A818,السندات!$A$5:$A$504,0)),"رقم سند غير موجود ✘",IF(AND(F818&lt;&gt;"",G818&lt;&gt;""),"اكتب مدين أو دائن فقط ✘",IF(AND(N(F818)=0,N(G818)=0),"بدون مبلغ ⚠",IF(B818&gt;12,"يتجاوز 12 بنداً في الطباعة ⚠","")))))</f>
        <v/>
      </c>
    </row>
    <row r="819" customFormat="false" ht="15" hidden="false" customHeight="false" outlineLevel="0" collapsed="false">
      <c r="A819" s="58"/>
      <c r="B819" s="68" t="str">
        <f aca="false">IF(A819="","",COUNTIF(A$5:A819,A819))</f>
        <v/>
      </c>
      <c r="C819" s="68" t="str">
        <f aca="false">IF(A819="","",A819&amp;"-"&amp;B819)</f>
        <v/>
      </c>
      <c r="D819" s="58"/>
      <c r="E819" s="57"/>
      <c r="F819" s="69"/>
      <c r="G819" s="69"/>
      <c r="H819" s="70" t="str">
        <f aca="false">IF(A819="","",IFERROR(INDEX(السندات!$C$5:$C$504,MATCH(A819,السندات!$A$5:$A$504,0)),""))</f>
        <v/>
      </c>
      <c r="I819" s="71" t="str">
        <f aca="false">IF(A819="","",IFERROR(INDEX(السندات!$D$5:$D$504,MATCH(A819,السندات!$A$5:$A$504,0)),""))</f>
        <v/>
      </c>
      <c r="J819" s="72" t="str">
        <f aca="false">IF(A819="","",IF(ISNA(MATCH(A819,السندات!$A$5:$A$504,0)),"رقم سند غير موجود ✘",IF(AND(F819&lt;&gt;"",G819&lt;&gt;""),"اكتب مدين أو دائن فقط ✘",IF(AND(N(F819)=0,N(G819)=0),"بدون مبلغ ⚠",IF(B819&gt;12,"يتجاوز 12 بنداً في الطباعة ⚠","")))))</f>
        <v/>
      </c>
    </row>
    <row r="820" customFormat="false" ht="15" hidden="false" customHeight="false" outlineLevel="0" collapsed="false">
      <c r="A820" s="58"/>
      <c r="B820" s="73" t="str">
        <f aca="false">IF(A820="","",COUNTIF(A$5:A820,A820))</f>
        <v/>
      </c>
      <c r="C820" s="73" t="str">
        <f aca="false">IF(A820="","",A820&amp;"-"&amp;B820)</f>
        <v/>
      </c>
      <c r="D820" s="58"/>
      <c r="E820" s="57"/>
      <c r="F820" s="69"/>
      <c r="G820" s="69"/>
      <c r="H820" s="74" t="str">
        <f aca="false">IF(A820="","",IFERROR(INDEX(السندات!$C$5:$C$504,MATCH(A820,السندات!$A$5:$A$504,0)),""))</f>
        <v/>
      </c>
      <c r="I820" s="75" t="str">
        <f aca="false">IF(A820="","",IFERROR(INDEX(السندات!$D$5:$D$504,MATCH(A820,السندات!$A$5:$A$504,0)),""))</f>
        <v/>
      </c>
      <c r="J820" s="76" t="str">
        <f aca="false">IF(A820="","",IF(ISNA(MATCH(A820,السندات!$A$5:$A$504,0)),"رقم سند غير موجود ✘",IF(AND(F820&lt;&gt;"",G820&lt;&gt;""),"اكتب مدين أو دائن فقط ✘",IF(AND(N(F820)=0,N(G820)=0),"بدون مبلغ ⚠",IF(B820&gt;12,"يتجاوز 12 بنداً في الطباعة ⚠","")))))</f>
        <v/>
      </c>
    </row>
    <row r="821" customFormat="false" ht="15" hidden="false" customHeight="false" outlineLevel="0" collapsed="false">
      <c r="A821" s="58"/>
      <c r="B821" s="68" t="str">
        <f aca="false">IF(A821="","",COUNTIF(A$5:A821,A821))</f>
        <v/>
      </c>
      <c r="C821" s="68" t="str">
        <f aca="false">IF(A821="","",A821&amp;"-"&amp;B821)</f>
        <v/>
      </c>
      <c r="D821" s="58"/>
      <c r="E821" s="57"/>
      <c r="F821" s="69"/>
      <c r="G821" s="69"/>
      <c r="H821" s="70" t="str">
        <f aca="false">IF(A821="","",IFERROR(INDEX(السندات!$C$5:$C$504,MATCH(A821,السندات!$A$5:$A$504,0)),""))</f>
        <v/>
      </c>
      <c r="I821" s="71" t="str">
        <f aca="false">IF(A821="","",IFERROR(INDEX(السندات!$D$5:$D$504,MATCH(A821,السندات!$A$5:$A$504,0)),""))</f>
        <v/>
      </c>
      <c r="J821" s="72" t="str">
        <f aca="false">IF(A821="","",IF(ISNA(MATCH(A821,السندات!$A$5:$A$504,0)),"رقم سند غير موجود ✘",IF(AND(F821&lt;&gt;"",G821&lt;&gt;""),"اكتب مدين أو دائن فقط ✘",IF(AND(N(F821)=0,N(G821)=0),"بدون مبلغ ⚠",IF(B821&gt;12,"يتجاوز 12 بنداً في الطباعة ⚠","")))))</f>
        <v/>
      </c>
    </row>
    <row r="822" customFormat="false" ht="15" hidden="false" customHeight="false" outlineLevel="0" collapsed="false">
      <c r="A822" s="58"/>
      <c r="B822" s="73" t="str">
        <f aca="false">IF(A822="","",COUNTIF(A$5:A822,A822))</f>
        <v/>
      </c>
      <c r="C822" s="73" t="str">
        <f aca="false">IF(A822="","",A822&amp;"-"&amp;B822)</f>
        <v/>
      </c>
      <c r="D822" s="58"/>
      <c r="E822" s="57"/>
      <c r="F822" s="69"/>
      <c r="G822" s="69"/>
      <c r="H822" s="74" t="str">
        <f aca="false">IF(A822="","",IFERROR(INDEX(السندات!$C$5:$C$504,MATCH(A822,السندات!$A$5:$A$504,0)),""))</f>
        <v/>
      </c>
      <c r="I822" s="75" t="str">
        <f aca="false">IF(A822="","",IFERROR(INDEX(السندات!$D$5:$D$504,MATCH(A822,السندات!$A$5:$A$504,0)),""))</f>
        <v/>
      </c>
      <c r="J822" s="76" t="str">
        <f aca="false">IF(A822="","",IF(ISNA(MATCH(A822,السندات!$A$5:$A$504,0)),"رقم سند غير موجود ✘",IF(AND(F822&lt;&gt;"",G822&lt;&gt;""),"اكتب مدين أو دائن فقط ✘",IF(AND(N(F822)=0,N(G822)=0),"بدون مبلغ ⚠",IF(B822&gt;12,"يتجاوز 12 بنداً في الطباعة ⚠","")))))</f>
        <v/>
      </c>
    </row>
    <row r="823" customFormat="false" ht="15" hidden="false" customHeight="false" outlineLevel="0" collapsed="false">
      <c r="A823" s="58"/>
      <c r="B823" s="68" t="str">
        <f aca="false">IF(A823="","",COUNTIF(A$5:A823,A823))</f>
        <v/>
      </c>
      <c r="C823" s="68" t="str">
        <f aca="false">IF(A823="","",A823&amp;"-"&amp;B823)</f>
        <v/>
      </c>
      <c r="D823" s="58"/>
      <c r="E823" s="57"/>
      <c r="F823" s="69"/>
      <c r="G823" s="69"/>
      <c r="H823" s="70" t="str">
        <f aca="false">IF(A823="","",IFERROR(INDEX(السندات!$C$5:$C$504,MATCH(A823,السندات!$A$5:$A$504,0)),""))</f>
        <v/>
      </c>
      <c r="I823" s="71" t="str">
        <f aca="false">IF(A823="","",IFERROR(INDEX(السندات!$D$5:$D$504,MATCH(A823,السندات!$A$5:$A$504,0)),""))</f>
        <v/>
      </c>
      <c r="J823" s="72" t="str">
        <f aca="false">IF(A823="","",IF(ISNA(MATCH(A823,السندات!$A$5:$A$504,0)),"رقم سند غير موجود ✘",IF(AND(F823&lt;&gt;"",G823&lt;&gt;""),"اكتب مدين أو دائن فقط ✘",IF(AND(N(F823)=0,N(G823)=0),"بدون مبلغ ⚠",IF(B823&gt;12,"يتجاوز 12 بنداً في الطباعة ⚠","")))))</f>
        <v/>
      </c>
    </row>
    <row r="824" customFormat="false" ht="15" hidden="false" customHeight="false" outlineLevel="0" collapsed="false">
      <c r="A824" s="58"/>
      <c r="B824" s="73" t="str">
        <f aca="false">IF(A824="","",COUNTIF(A$5:A824,A824))</f>
        <v/>
      </c>
      <c r="C824" s="73" t="str">
        <f aca="false">IF(A824="","",A824&amp;"-"&amp;B824)</f>
        <v/>
      </c>
      <c r="D824" s="58"/>
      <c r="E824" s="57"/>
      <c r="F824" s="69"/>
      <c r="G824" s="69"/>
      <c r="H824" s="74" t="str">
        <f aca="false">IF(A824="","",IFERROR(INDEX(السندات!$C$5:$C$504,MATCH(A824,السندات!$A$5:$A$504,0)),""))</f>
        <v/>
      </c>
      <c r="I824" s="75" t="str">
        <f aca="false">IF(A824="","",IFERROR(INDEX(السندات!$D$5:$D$504,MATCH(A824,السندات!$A$5:$A$504,0)),""))</f>
        <v/>
      </c>
      <c r="J824" s="76" t="str">
        <f aca="false">IF(A824="","",IF(ISNA(MATCH(A824,السندات!$A$5:$A$504,0)),"رقم سند غير موجود ✘",IF(AND(F824&lt;&gt;"",G824&lt;&gt;""),"اكتب مدين أو دائن فقط ✘",IF(AND(N(F824)=0,N(G824)=0),"بدون مبلغ ⚠",IF(B824&gt;12,"يتجاوز 12 بنداً في الطباعة ⚠","")))))</f>
        <v/>
      </c>
    </row>
    <row r="825" customFormat="false" ht="15" hidden="false" customHeight="false" outlineLevel="0" collapsed="false">
      <c r="A825" s="58"/>
      <c r="B825" s="68" t="str">
        <f aca="false">IF(A825="","",COUNTIF(A$5:A825,A825))</f>
        <v/>
      </c>
      <c r="C825" s="68" t="str">
        <f aca="false">IF(A825="","",A825&amp;"-"&amp;B825)</f>
        <v/>
      </c>
      <c r="D825" s="58"/>
      <c r="E825" s="57"/>
      <c r="F825" s="69"/>
      <c r="G825" s="69"/>
      <c r="H825" s="70" t="str">
        <f aca="false">IF(A825="","",IFERROR(INDEX(السندات!$C$5:$C$504,MATCH(A825,السندات!$A$5:$A$504,0)),""))</f>
        <v/>
      </c>
      <c r="I825" s="71" t="str">
        <f aca="false">IF(A825="","",IFERROR(INDEX(السندات!$D$5:$D$504,MATCH(A825,السندات!$A$5:$A$504,0)),""))</f>
        <v/>
      </c>
      <c r="J825" s="72" t="str">
        <f aca="false">IF(A825="","",IF(ISNA(MATCH(A825,السندات!$A$5:$A$504,0)),"رقم سند غير موجود ✘",IF(AND(F825&lt;&gt;"",G825&lt;&gt;""),"اكتب مدين أو دائن فقط ✘",IF(AND(N(F825)=0,N(G825)=0),"بدون مبلغ ⚠",IF(B825&gt;12,"يتجاوز 12 بنداً في الطباعة ⚠","")))))</f>
        <v/>
      </c>
    </row>
    <row r="826" customFormat="false" ht="15" hidden="false" customHeight="false" outlineLevel="0" collapsed="false">
      <c r="A826" s="58"/>
      <c r="B826" s="73" t="str">
        <f aca="false">IF(A826="","",COUNTIF(A$5:A826,A826))</f>
        <v/>
      </c>
      <c r="C826" s="73" t="str">
        <f aca="false">IF(A826="","",A826&amp;"-"&amp;B826)</f>
        <v/>
      </c>
      <c r="D826" s="58"/>
      <c r="E826" s="57"/>
      <c r="F826" s="69"/>
      <c r="G826" s="69"/>
      <c r="H826" s="74" t="str">
        <f aca="false">IF(A826="","",IFERROR(INDEX(السندات!$C$5:$C$504,MATCH(A826,السندات!$A$5:$A$504,0)),""))</f>
        <v/>
      </c>
      <c r="I826" s="75" t="str">
        <f aca="false">IF(A826="","",IFERROR(INDEX(السندات!$D$5:$D$504,MATCH(A826,السندات!$A$5:$A$504,0)),""))</f>
        <v/>
      </c>
      <c r="J826" s="76" t="str">
        <f aca="false">IF(A826="","",IF(ISNA(MATCH(A826,السندات!$A$5:$A$504,0)),"رقم سند غير موجود ✘",IF(AND(F826&lt;&gt;"",G826&lt;&gt;""),"اكتب مدين أو دائن فقط ✘",IF(AND(N(F826)=0,N(G826)=0),"بدون مبلغ ⚠",IF(B826&gt;12,"يتجاوز 12 بنداً في الطباعة ⚠","")))))</f>
        <v/>
      </c>
    </row>
    <row r="827" customFormat="false" ht="15" hidden="false" customHeight="false" outlineLevel="0" collapsed="false">
      <c r="A827" s="58"/>
      <c r="B827" s="68" t="str">
        <f aca="false">IF(A827="","",COUNTIF(A$5:A827,A827))</f>
        <v/>
      </c>
      <c r="C827" s="68" t="str">
        <f aca="false">IF(A827="","",A827&amp;"-"&amp;B827)</f>
        <v/>
      </c>
      <c r="D827" s="58"/>
      <c r="E827" s="57"/>
      <c r="F827" s="69"/>
      <c r="G827" s="69"/>
      <c r="H827" s="70" t="str">
        <f aca="false">IF(A827="","",IFERROR(INDEX(السندات!$C$5:$C$504,MATCH(A827,السندات!$A$5:$A$504,0)),""))</f>
        <v/>
      </c>
      <c r="I827" s="71" t="str">
        <f aca="false">IF(A827="","",IFERROR(INDEX(السندات!$D$5:$D$504,MATCH(A827,السندات!$A$5:$A$504,0)),""))</f>
        <v/>
      </c>
      <c r="J827" s="72" t="str">
        <f aca="false">IF(A827="","",IF(ISNA(MATCH(A827,السندات!$A$5:$A$504,0)),"رقم سند غير موجود ✘",IF(AND(F827&lt;&gt;"",G827&lt;&gt;""),"اكتب مدين أو دائن فقط ✘",IF(AND(N(F827)=0,N(G827)=0),"بدون مبلغ ⚠",IF(B827&gt;12,"يتجاوز 12 بنداً في الطباعة ⚠","")))))</f>
        <v/>
      </c>
    </row>
    <row r="828" customFormat="false" ht="15" hidden="false" customHeight="false" outlineLevel="0" collapsed="false">
      <c r="A828" s="58"/>
      <c r="B828" s="73" t="str">
        <f aca="false">IF(A828="","",COUNTIF(A$5:A828,A828))</f>
        <v/>
      </c>
      <c r="C828" s="73" t="str">
        <f aca="false">IF(A828="","",A828&amp;"-"&amp;B828)</f>
        <v/>
      </c>
      <c r="D828" s="58"/>
      <c r="E828" s="57"/>
      <c r="F828" s="69"/>
      <c r="G828" s="69"/>
      <c r="H828" s="74" t="str">
        <f aca="false">IF(A828="","",IFERROR(INDEX(السندات!$C$5:$C$504,MATCH(A828,السندات!$A$5:$A$504,0)),""))</f>
        <v/>
      </c>
      <c r="I828" s="75" t="str">
        <f aca="false">IF(A828="","",IFERROR(INDEX(السندات!$D$5:$D$504,MATCH(A828,السندات!$A$5:$A$504,0)),""))</f>
        <v/>
      </c>
      <c r="J828" s="76" t="str">
        <f aca="false">IF(A828="","",IF(ISNA(MATCH(A828,السندات!$A$5:$A$504,0)),"رقم سند غير موجود ✘",IF(AND(F828&lt;&gt;"",G828&lt;&gt;""),"اكتب مدين أو دائن فقط ✘",IF(AND(N(F828)=0,N(G828)=0),"بدون مبلغ ⚠",IF(B828&gt;12,"يتجاوز 12 بنداً في الطباعة ⚠","")))))</f>
        <v/>
      </c>
    </row>
    <row r="829" customFormat="false" ht="15" hidden="false" customHeight="false" outlineLevel="0" collapsed="false">
      <c r="A829" s="58"/>
      <c r="B829" s="68" t="str">
        <f aca="false">IF(A829="","",COUNTIF(A$5:A829,A829))</f>
        <v/>
      </c>
      <c r="C829" s="68" t="str">
        <f aca="false">IF(A829="","",A829&amp;"-"&amp;B829)</f>
        <v/>
      </c>
      <c r="D829" s="58"/>
      <c r="E829" s="57"/>
      <c r="F829" s="69"/>
      <c r="G829" s="69"/>
      <c r="H829" s="70" t="str">
        <f aca="false">IF(A829="","",IFERROR(INDEX(السندات!$C$5:$C$504,MATCH(A829,السندات!$A$5:$A$504,0)),""))</f>
        <v/>
      </c>
      <c r="I829" s="71" t="str">
        <f aca="false">IF(A829="","",IFERROR(INDEX(السندات!$D$5:$D$504,MATCH(A829,السندات!$A$5:$A$504,0)),""))</f>
        <v/>
      </c>
      <c r="J829" s="72" t="str">
        <f aca="false">IF(A829="","",IF(ISNA(MATCH(A829,السندات!$A$5:$A$504,0)),"رقم سند غير موجود ✘",IF(AND(F829&lt;&gt;"",G829&lt;&gt;""),"اكتب مدين أو دائن فقط ✘",IF(AND(N(F829)=0,N(G829)=0),"بدون مبلغ ⚠",IF(B829&gt;12,"يتجاوز 12 بنداً في الطباعة ⚠","")))))</f>
        <v/>
      </c>
    </row>
    <row r="830" customFormat="false" ht="15" hidden="false" customHeight="false" outlineLevel="0" collapsed="false">
      <c r="A830" s="58"/>
      <c r="B830" s="73" t="str">
        <f aca="false">IF(A830="","",COUNTIF(A$5:A830,A830))</f>
        <v/>
      </c>
      <c r="C830" s="73" t="str">
        <f aca="false">IF(A830="","",A830&amp;"-"&amp;B830)</f>
        <v/>
      </c>
      <c r="D830" s="58"/>
      <c r="E830" s="57"/>
      <c r="F830" s="69"/>
      <c r="G830" s="69"/>
      <c r="H830" s="74" t="str">
        <f aca="false">IF(A830="","",IFERROR(INDEX(السندات!$C$5:$C$504,MATCH(A830,السندات!$A$5:$A$504,0)),""))</f>
        <v/>
      </c>
      <c r="I830" s="75" t="str">
        <f aca="false">IF(A830="","",IFERROR(INDEX(السندات!$D$5:$D$504,MATCH(A830,السندات!$A$5:$A$504,0)),""))</f>
        <v/>
      </c>
      <c r="J830" s="76" t="str">
        <f aca="false">IF(A830="","",IF(ISNA(MATCH(A830,السندات!$A$5:$A$504,0)),"رقم سند غير موجود ✘",IF(AND(F830&lt;&gt;"",G830&lt;&gt;""),"اكتب مدين أو دائن فقط ✘",IF(AND(N(F830)=0,N(G830)=0),"بدون مبلغ ⚠",IF(B830&gt;12,"يتجاوز 12 بنداً في الطباعة ⚠","")))))</f>
        <v/>
      </c>
    </row>
    <row r="831" customFormat="false" ht="15" hidden="false" customHeight="false" outlineLevel="0" collapsed="false">
      <c r="A831" s="58"/>
      <c r="B831" s="68" t="str">
        <f aca="false">IF(A831="","",COUNTIF(A$5:A831,A831))</f>
        <v/>
      </c>
      <c r="C831" s="68" t="str">
        <f aca="false">IF(A831="","",A831&amp;"-"&amp;B831)</f>
        <v/>
      </c>
      <c r="D831" s="58"/>
      <c r="E831" s="57"/>
      <c r="F831" s="69"/>
      <c r="G831" s="69"/>
      <c r="H831" s="70" t="str">
        <f aca="false">IF(A831="","",IFERROR(INDEX(السندات!$C$5:$C$504,MATCH(A831,السندات!$A$5:$A$504,0)),""))</f>
        <v/>
      </c>
      <c r="I831" s="71" t="str">
        <f aca="false">IF(A831="","",IFERROR(INDEX(السندات!$D$5:$D$504,MATCH(A831,السندات!$A$5:$A$504,0)),""))</f>
        <v/>
      </c>
      <c r="J831" s="72" t="str">
        <f aca="false">IF(A831="","",IF(ISNA(MATCH(A831,السندات!$A$5:$A$504,0)),"رقم سند غير موجود ✘",IF(AND(F831&lt;&gt;"",G831&lt;&gt;""),"اكتب مدين أو دائن فقط ✘",IF(AND(N(F831)=0,N(G831)=0),"بدون مبلغ ⚠",IF(B831&gt;12,"يتجاوز 12 بنداً في الطباعة ⚠","")))))</f>
        <v/>
      </c>
    </row>
    <row r="832" customFormat="false" ht="15" hidden="false" customHeight="false" outlineLevel="0" collapsed="false">
      <c r="A832" s="58"/>
      <c r="B832" s="73" t="str">
        <f aca="false">IF(A832="","",COUNTIF(A$5:A832,A832))</f>
        <v/>
      </c>
      <c r="C832" s="73" t="str">
        <f aca="false">IF(A832="","",A832&amp;"-"&amp;B832)</f>
        <v/>
      </c>
      <c r="D832" s="58"/>
      <c r="E832" s="57"/>
      <c r="F832" s="69"/>
      <c r="G832" s="69"/>
      <c r="H832" s="74" t="str">
        <f aca="false">IF(A832="","",IFERROR(INDEX(السندات!$C$5:$C$504,MATCH(A832,السندات!$A$5:$A$504,0)),""))</f>
        <v/>
      </c>
      <c r="I832" s="75" t="str">
        <f aca="false">IF(A832="","",IFERROR(INDEX(السندات!$D$5:$D$504,MATCH(A832,السندات!$A$5:$A$504,0)),""))</f>
        <v/>
      </c>
      <c r="J832" s="76" t="str">
        <f aca="false">IF(A832="","",IF(ISNA(MATCH(A832,السندات!$A$5:$A$504,0)),"رقم سند غير موجود ✘",IF(AND(F832&lt;&gt;"",G832&lt;&gt;""),"اكتب مدين أو دائن فقط ✘",IF(AND(N(F832)=0,N(G832)=0),"بدون مبلغ ⚠",IF(B832&gt;12,"يتجاوز 12 بنداً في الطباعة ⚠","")))))</f>
        <v/>
      </c>
    </row>
    <row r="833" customFormat="false" ht="15" hidden="false" customHeight="false" outlineLevel="0" collapsed="false">
      <c r="A833" s="58"/>
      <c r="B833" s="68" t="str">
        <f aca="false">IF(A833="","",COUNTIF(A$5:A833,A833))</f>
        <v/>
      </c>
      <c r="C833" s="68" t="str">
        <f aca="false">IF(A833="","",A833&amp;"-"&amp;B833)</f>
        <v/>
      </c>
      <c r="D833" s="58"/>
      <c r="E833" s="57"/>
      <c r="F833" s="69"/>
      <c r="G833" s="69"/>
      <c r="H833" s="70" t="str">
        <f aca="false">IF(A833="","",IFERROR(INDEX(السندات!$C$5:$C$504,MATCH(A833,السندات!$A$5:$A$504,0)),""))</f>
        <v/>
      </c>
      <c r="I833" s="71" t="str">
        <f aca="false">IF(A833="","",IFERROR(INDEX(السندات!$D$5:$D$504,MATCH(A833,السندات!$A$5:$A$504,0)),""))</f>
        <v/>
      </c>
      <c r="J833" s="72" t="str">
        <f aca="false">IF(A833="","",IF(ISNA(MATCH(A833,السندات!$A$5:$A$504,0)),"رقم سند غير موجود ✘",IF(AND(F833&lt;&gt;"",G833&lt;&gt;""),"اكتب مدين أو دائن فقط ✘",IF(AND(N(F833)=0,N(G833)=0),"بدون مبلغ ⚠",IF(B833&gt;12,"يتجاوز 12 بنداً في الطباعة ⚠","")))))</f>
        <v/>
      </c>
    </row>
    <row r="834" customFormat="false" ht="15" hidden="false" customHeight="false" outlineLevel="0" collapsed="false">
      <c r="A834" s="58"/>
      <c r="B834" s="73" t="str">
        <f aca="false">IF(A834="","",COUNTIF(A$5:A834,A834))</f>
        <v/>
      </c>
      <c r="C834" s="73" t="str">
        <f aca="false">IF(A834="","",A834&amp;"-"&amp;B834)</f>
        <v/>
      </c>
      <c r="D834" s="58"/>
      <c r="E834" s="57"/>
      <c r="F834" s="69"/>
      <c r="G834" s="69"/>
      <c r="H834" s="74" t="str">
        <f aca="false">IF(A834="","",IFERROR(INDEX(السندات!$C$5:$C$504,MATCH(A834,السندات!$A$5:$A$504,0)),""))</f>
        <v/>
      </c>
      <c r="I834" s="75" t="str">
        <f aca="false">IF(A834="","",IFERROR(INDEX(السندات!$D$5:$D$504,MATCH(A834,السندات!$A$5:$A$504,0)),""))</f>
        <v/>
      </c>
      <c r="J834" s="76" t="str">
        <f aca="false">IF(A834="","",IF(ISNA(MATCH(A834,السندات!$A$5:$A$504,0)),"رقم سند غير موجود ✘",IF(AND(F834&lt;&gt;"",G834&lt;&gt;""),"اكتب مدين أو دائن فقط ✘",IF(AND(N(F834)=0,N(G834)=0),"بدون مبلغ ⚠",IF(B834&gt;12,"يتجاوز 12 بنداً في الطباعة ⚠","")))))</f>
        <v/>
      </c>
    </row>
    <row r="835" customFormat="false" ht="15" hidden="false" customHeight="false" outlineLevel="0" collapsed="false">
      <c r="A835" s="58"/>
      <c r="B835" s="68" t="str">
        <f aca="false">IF(A835="","",COUNTIF(A$5:A835,A835))</f>
        <v/>
      </c>
      <c r="C835" s="68" t="str">
        <f aca="false">IF(A835="","",A835&amp;"-"&amp;B835)</f>
        <v/>
      </c>
      <c r="D835" s="58"/>
      <c r="E835" s="57"/>
      <c r="F835" s="69"/>
      <c r="G835" s="69"/>
      <c r="H835" s="70" t="str">
        <f aca="false">IF(A835="","",IFERROR(INDEX(السندات!$C$5:$C$504,MATCH(A835,السندات!$A$5:$A$504,0)),""))</f>
        <v/>
      </c>
      <c r="I835" s="71" t="str">
        <f aca="false">IF(A835="","",IFERROR(INDEX(السندات!$D$5:$D$504,MATCH(A835,السندات!$A$5:$A$504,0)),""))</f>
        <v/>
      </c>
      <c r="J835" s="72" t="str">
        <f aca="false">IF(A835="","",IF(ISNA(MATCH(A835,السندات!$A$5:$A$504,0)),"رقم سند غير موجود ✘",IF(AND(F835&lt;&gt;"",G835&lt;&gt;""),"اكتب مدين أو دائن فقط ✘",IF(AND(N(F835)=0,N(G835)=0),"بدون مبلغ ⚠",IF(B835&gt;12,"يتجاوز 12 بنداً في الطباعة ⚠","")))))</f>
        <v/>
      </c>
    </row>
    <row r="836" customFormat="false" ht="15" hidden="false" customHeight="false" outlineLevel="0" collapsed="false">
      <c r="A836" s="58"/>
      <c r="B836" s="73" t="str">
        <f aca="false">IF(A836="","",COUNTIF(A$5:A836,A836))</f>
        <v/>
      </c>
      <c r="C836" s="73" t="str">
        <f aca="false">IF(A836="","",A836&amp;"-"&amp;B836)</f>
        <v/>
      </c>
      <c r="D836" s="58"/>
      <c r="E836" s="57"/>
      <c r="F836" s="69"/>
      <c r="G836" s="69"/>
      <c r="H836" s="74" t="str">
        <f aca="false">IF(A836="","",IFERROR(INDEX(السندات!$C$5:$C$504,MATCH(A836,السندات!$A$5:$A$504,0)),""))</f>
        <v/>
      </c>
      <c r="I836" s="75" t="str">
        <f aca="false">IF(A836="","",IFERROR(INDEX(السندات!$D$5:$D$504,MATCH(A836,السندات!$A$5:$A$504,0)),""))</f>
        <v/>
      </c>
      <c r="J836" s="76" t="str">
        <f aca="false">IF(A836="","",IF(ISNA(MATCH(A836,السندات!$A$5:$A$504,0)),"رقم سند غير موجود ✘",IF(AND(F836&lt;&gt;"",G836&lt;&gt;""),"اكتب مدين أو دائن فقط ✘",IF(AND(N(F836)=0,N(G836)=0),"بدون مبلغ ⚠",IF(B836&gt;12,"يتجاوز 12 بنداً في الطباعة ⚠","")))))</f>
        <v/>
      </c>
    </row>
    <row r="837" customFormat="false" ht="15" hidden="false" customHeight="false" outlineLevel="0" collapsed="false">
      <c r="A837" s="58"/>
      <c r="B837" s="68" t="str">
        <f aca="false">IF(A837="","",COUNTIF(A$5:A837,A837))</f>
        <v/>
      </c>
      <c r="C837" s="68" t="str">
        <f aca="false">IF(A837="","",A837&amp;"-"&amp;B837)</f>
        <v/>
      </c>
      <c r="D837" s="58"/>
      <c r="E837" s="57"/>
      <c r="F837" s="69"/>
      <c r="G837" s="69"/>
      <c r="H837" s="70" t="str">
        <f aca="false">IF(A837="","",IFERROR(INDEX(السندات!$C$5:$C$504,MATCH(A837,السندات!$A$5:$A$504,0)),""))</f>
        <v/>
      </c>
      <c r="I837" s="71" t="str">
        <f aca="false">IF(A837="","",IFERROR(INDEX(السندات!$D$5:$D$504,MATCH(A837,السندات!$A$5:$A$504,0)),""))</f>
        <v/>
      </c>
      <c r="J837" s="72" t="str">
        <f aca="false">IF(A837="","",IF(ISNA(MATCH(A837,السندات!$A$5:$A$504,0)),"رقم سند غير موجود ✘",IF(AND(F837&lt;&gt;"",G837&lt;&gt;""),"اكتب مدين أو دائن فقط ✘",IF(AND(N(F837)=0,N(G837)=0),"بدون مبلغ ⚠",IF(B837&gt;12,"يتجاوز 12 بنداً في الطباعة ⚠","")))))</f>
        <v/>
      </c>
    </row>
    <row r="838" customFormat="false" ht="15" hidden="false" customHeight="false" outlineLevel="0" collapsed="false">
      <c r="A838" s="58"/>
      <c r="B838" s="73" t="str">
        <f aca="false">IF(A838="","",COUNTIF(A$5:A838,A838))</f>
        <v/>
      </c>
      <c r="C838" s="73" t="str">
        <f aca="false">IF(A838="","",A838&amp;"-"&amp;B838)</f>
        <v/>
      </c>
      <c r="D838" s="58"/>
      <c r="E838" s="57"/>
      <c r="F838" s="69"/>
      <c r="G838" s="69"/>
      <c r="H838" s="74" t="str">
        <f aca="false">IF(A838="","",IFERROR(INDEX(السندات!$C$5:$C$504,MATCH(A838,السندات!$A$5:$A$504,0)),""))</f>
        <v/>
      </c>
      <c r="I838" s="75" t="str">
        <f aca="false">IF(A838="","",IFERROR(INDEX(السندات!$D$5:$D$504,MATCH(A838,السندات!$A$5:$A$504,0)),""))</f>
        <v/>
      </c>
      <c r="J838" s="76" t="str">
        <f aca="false">IF(A838="","",IF(ISNA(MATCH(A838,السندات!$A$5:$A$504,0)),"رقم سند غير موجود ✘",IF(AND(F838&lt;&gt;"",G838&lt;&gt;""),"اكتب مدين أو دائن فقط ✘",IF(AND(N(F838)=0,N(G838)=0),"بدون مبلغ ⚠",IF(B838&gt;12,"يتجاوز 12 بنداً في الطباعة ⚠","")))))</f>
        <v/>
      </c>
    </row>
    <row r="839" customFormat="false" ht="15" hidden="false" customHeight="false" outlineLevel="0" collapsed="false">
      <c r="A839" s="58"/>
      <c r="B839" s="68" t="str">
        <f aca="false">IF(A839="","",COUNTIF(A$5:A839,A839))</f>
        <v/>
      </c>
      <c r="C839" s="68" t="str">
        <f aca="false">IF(A839="","",A839&amp;"-"&amp;B839)</f>
        <v/>
      </c>
      <c r="D839" s="58"/>
      <c r="E839" s="57"/>
      <c r="F839" s="69"/>
      <c r="G839" s="69"/>
      <c r="H839" s="70" t="str">
        <f aca="false">IF(A839="","",IFERROR(INDEX(السندات!$C$5:$C$504,MATCH(A839,السندات!$A$5:$A$504,0)),""))</f>
        <v/>
      </c>
      <c r="I839" s="71" t="str">
        <f aca="false">IF(A839="","",IFERROR(INDEX(السندات!$D$5:$D$504,MATCH(A839,السندات!$A$5:$A$504,0)),""))</f>
        <v/>
      </c>
      <c r="J839" s="72" t="str">
        <f aca="false">IF(A839="","",IF(ISNA(MATCH(A839,السندات!$A$5:$A$504,0)),"رقم سند غير موجود ✘",IF(AND(F839&lt;&gt;"",G839&lt;&gt;""),"اكتب مدين أو دائن فقط ✘",IF(AND(N(F839)=0,N(G839)=0),"بدون مبلغ ⚠",IF(B839&gt;12,"يتجاوز 12 بنداً في الطباعة ⚠","")))))</f>
        <v/>
      </c>
    </row>
    <row r="840" customFormat="false" ht="15" hidden="false" customHeight="false" outlineLevel="0" collapsed="false">
      <c r="A840" s="58"/>
      <c r="B840" s="73" t="str">
        <f aca="false">IF(A840="","",COUNTIF(A$5:A840,A840))</f>
        <v/>
      </c>
      <c r="C840" s="73" t="str">
        <f aca="false">IF(A840="","",A840&amp;"-"&amp;B840)</f>
        <v/>
      </c>
      <c r="D840" s="58"/>
      <c r="E840" s="57"/>
      <c r="F840" s="69"/>
      <c r="G840" s="69"/>
      <c r="H840" s="74" t="str">
        <f aca="false">IF(A840="","",IFERROR(INDEX(السندات!$C$5:$C$504,MATCH(A840,السندات!$A$5:$A$504,0)),""))</f>
        <v/>
      </c>
      <c r="I840" s="75" t="str">
        <f aca="false">IF(A840="","",IFERROR(INDEX(السندات!$D$5:$D$504,MATCH(A840,السندات!$A$5:$A$504,0)),""))</f>
        <v/>
      </c>
      <c r="J840" s="76" t="str">
        <f aca="false">IF(A840="","",IF(ISNA(MATCH(A840,السندات!$A$5:$A$504,0)),"رقم سند غير موجود ✘",IF(AND(F840&lt;&gt;"",G840&lt;&gt;""),"اكتب مدين أو دائن فقط ✘",IF(AND(N(F840)=0,N(G840)=0),"بدون مبلغ ⚠",IF(B840&gt;12,"يتجاوز 12 بنداً في الطباعة ⚠","")))))</f>
        <v/>
      </c>
    </row>
    <row r="841" customFormat="false" ht="15" hidden="false" customHeight="false" outlineLevel="0" collapsed="false">
      <c r="A841" s="58"/>
      <c r="B841" s="68" t="str">
        <f aca="false">IF(A841="","",COUNTIF(A$5:A841,A841))</f>
        <v/>
      </c>
      <c r="C841" s="68" t="str">
        <f aca="false">IF(A841="","",A841&amp;"-"&amp;B841)</f>
        <v/>
      </c>
      <c r="D841" s="58"/>
      <c r="E841" s="57"/>
      <c r="F841" s="69"/>
      <c r="G841" s="69"/>
      <c r="H841" s="70" t="str">
        <f aca="false">IF(A841="","",IFERROR(INDEX(السندات!$C$5:$C$504,MATCH(A841,السندات!$A$5:$A$504,0)),""))</f>
        <v/>
      </c>
      <c r="I841" s="71" t="str">
        <f aca="false">IF(A841="","",IFERROR(INDEX(السندات!$D$5:$D$504,MATCH(A841,السندات!$A$5:$A$504,0)),""))</f>
        <v/>
      </c>
      <c r="J841" s="72" t="str">
        <f aca="false">IF(A841="","",IF(ISNA(MATCH(A841,السندات!$A$5:$A$504,0)),"رقم سند غير موجود ✘",IF(AND(F841&lt;&gt;"",G841&lt;&gt;""),"اكتب مدين أو دائن فقط ✘",IF(AND(N(F841)=0,N(G841)=0),"بدون مبلغ ⚠",IF(B841&gt;12,"يتجاوز 12 بنداً في الطباعة ⚠","")))))</f>
        <v/>
      </c>
    </row>
    <row r="842" customFormat="false" ht="15" hidden="false" customHeight="false" outlineLevel="0" collapsed="false">
      <c r="A842" s="58"/>
      <c r="B842" s="73" t="str">
        <f aca="false">IF(A842="","",COUNTIF(A$5:A842,A842))</f>
        <v/>
      </c>
      <c r="C842" s="73" t="str">
        <f aca="false">IF(A842="","",A842&amp;"-"&amp;B842)</f>
        <v/>
      </c>
      <c r="D842" s="58"/>
      <c r="E842" s="57"/>
      <c r="F842" s="69"/>
      <c r="G842" s="69"/>
      <c r="H842" s="74" t="str">
        <f aca="false">IF(A842="","",IFERROR(INDEX(السندات!$C$5:$C$504,MATCH(A842,السندات!$A$5:$A$504,0)),""))</f>
        <v/>
      </c>
      <c r="I842" s="75" t="str">
        <f aca="false">IF(A842="","",IFERROR(INDEX(السندات!$D$5:$D$504,MATCH(A842,السندات!$A$5:$A$504,0)),""))</f>
        <v/>
      </c>
      <c r="J842" s="76" t="str">
        <f aca="false">IF(A842="","",IF(ISNA(MATCH(A842,السندات!$A$5:$A$504,0)),"رقم سند غير موجود ✘",IF(AND(F842&lt;&gt;"",G842&lt;&gt;""),"اكتب مدين أو دائن فقط ✘",IF(AND(N(F842)=0,N(G842)=0),"بدون مبلغ ⚠",IF(B842&gt;12,"يتجاوز 12 بنداً في الطباعة ⚠","")))))</f>
        <v/>
      </c>
    </row>
    <row r="843" customFormat="false" ht="15" hidden="false" customHeight="false" outlineLevel="0" collapsed="false">
      <c r="A843" s="58"/>
      <c r="B843" s="68" t="str">
        <f aca="false">IF(A843="","",COUNTIF(A$5:A843,A843))</f>
        <v/>
      </c>
      <c r="C843" s="68" t="str">
        <f aca="false">IF(A843="","",A843&amp;"-"&amp;B843)</f>
        <v/>
      </c>
      <c r="D843" s="58"/>
      <c r="E843" s="57"/>
      <c r="F843" s="69"/>
      <c r="G843" s="69"/>
      <c r="H843" s="70" t="str">
        <f aca="false">IF(A843="","",IFERROR(INDEX(السندات!$C$5:$C$504,MATCH(A843,السندات!$A$5:$A$504,0)),""))</f>
        <v/>
      </c>
      <c r="I843" s="71" t="str">
        <f aca="false">IF(A843="","",IFERROR(INDEX(السندات!$D$5:$D$504,MATCH(A843,السندات!$A$5:$A$504,0)),""))</f>
        <v/>
      </c>
      <c r="J843" s="72" t="str">
        <f aca="false">IF(A843="","",IF(ISNA(MATCH(A843,السندات!$A$5:$A$504,0)),"رقم سند غير موجود ✘",IF(AND(F843&lt;&gt;"",G843&lt;&gt;""),"اكتب مدين أو دائن فقط ✘",IF(AND(N(F843)=0,N(G843)=0),"بدون مبلغ ⚠",IF(B843&gt;12,"يتجاوز 12 بنداً في الطباعة ⚠","")))))</f>
        <v/>
      </c>
    </row>
    <row r="844" customFormat="false" ht="15" hidden="false" customHeight="false" outlineLevel="0" collapsed="false">
      <c r="A844" s="58"/>
      <c r="B844" s="73" t="str">
        <f aca="false">IF(A844="","",COUNTIF(A$5:A844,A844))</f>
        <v/>
      </c>
      <c r="C844" s="73" t="str">
        <f aca="false">IF(A844="","",A844&amp;"-"&amp;B844)</f>
        <v/>
      </c>
      <c r="D844" s="58"/>
      <c r="E844" s="57"/>
      <c r="F844" s="69"/>
      <c r="G844" s="69"/>
      <c r="H844" s="74" t="str">
        <f aca="false">IF(A844="","",IFERROR(INDEX(السندات!$C$5:$C$504,MATCH(A844,السندات!$A$5:$A$504,0)),""))</f>
        <v/>
      </c>
      <c r="I844" s="75" t="str">
        <f aca="false">IF(A844="","",IFERROR(INDEX(السندات!$D$5:$D$504,MATCH(A844,السندات!$A$5:$A$504,0)),""))</f>
        <v/>
      </c>
      <c r="J844" s="76" t="str">
        <f aca="false">IF(A844="","",IF(ISNA(MATCH(A844,السندات!$A$5:$A$504,0)),"رقم سند غير موجود ✘",IF(AND(F844&lt;&gt;"",G844&lt;&gt;""),"اكتب مدين أو دائن فقط ✘",IF(AND(N(F844)=0,N(G844)=0),"بدون مبلغ ⚠",IF(B844&gt;12,"يتجاوز 12 بنداً في الطباعة ⚠","")))))</f>
        <v/>
      </c>
    </row>
    <row r="845" customFormat="false" ht="15" hidden="false" customHeight="false" outlineLevel="0" collapsed="false">
      <c r="A845" s="58"/>
      <c r="B845" s="68" t="str">
        <f aca="false">IF(A845="","",COUNTIF(A$5:A845,A845))</f>
        <v/>
      </c>
      <c r="C845" s="68" t="str">
        <f aca="false">IF(A845="","",A845&amp;"-"&amp;B845)</f>
        <v/>
      </c>
      <c r="D845" s="58"/>
      <c r="E845" s="57"/>
      <c r="F845" s="69"/>
      <c r="G845" s="69"/>
      <c r="H845" s="70" t="str">
        <f aca="false">IF(A845="","",IFERROR(INDEX(السندات!$C$5:$C$504,MATCH(A845,السندات!$A$5:$A$504,0)),""))</f>
        <v/>
      </c>
      <c r="I845" s="71" t="str">
        <f aca="false">IF(A845="","",IFERROR(INDEX(السندات!$D$5:$D$504,MATCH(A845,السندات!$A$5:$A$504,0)),""))</f>
        <v/>
      </c>
      <c r="J845" s="72" t="str">
        <f aca="false">IF(A845="","",IF(ISNA(MATCH(A845,السندات!$A$5:$A$504,0)),"رقم سند غير موجود ✘",IF(AND(F845&lt;&gt;"",G845&lt;&gt;""),"اكتب مدين أو دائن فقط ✘",IF(AND(N(F845)=0,N(G845)=0),"بدون مبلغ ⚠",IF(B845&gt;12,"يتجاوز 12 بنداً في الطباعة ⚠","")))))</f>
        <v/>
      </c>
    </row>
    <row r="846" customFormat="false" ht="15" hidden="false" customHeight="false" outlineLevel="0" collapsed="false">
      <c r="A846" s="58"/>
      <c r="B846" s="73" t="str">
        <f aca="false">IF(A846="","",COUNTIF(A$5:A846,A846))</f>
        <v/>
      </c>
      <c r="C846" s="73" t="str">
        <f aca="false">IF(A846="","",A846&amp;"-"&amp;B846)</f>
        <v/>
      </c>
      <c r="D846" s="58"/>
      <c r="E846" s="57"/>
      <c r="F846" s="69"/>
      <c r="G846" s="69"/>
      <c r="H846" s="74" t="str">
        <f aca="false">IF(A846="","",IFERROR(INDEX(السندات!$C$5:$C$504,MATCH(A846,السندات!$A$5:$A$504,0)),""))</f>
        <v/>
      </c>
      <c r="I846" s="75" t="str">
        <f aca="false">IF(A846="","",IFERROR(INDEX(السندات!$D$5:$D$504,MATCH(A846,السندات!$A$5:$A$504,0)),""))</f>
        <v/>
      </c>
      <c r="J846" s="76" t="str">
        <f aca="false">IF(A846="","",IF(ISNA(MATCH(A846,السندات!$A$5:$A$504,0)),"رقم سند غير موجود ✘",IF(AND(F846&lt;&gt;"",G846&lt;&gt;""),"اكتب مدين أو دائن فقط ✘",IF(AND(N(F846)=0,N(G846)=0),"بدون مبلغ ⚠",IF(B846&gt;12,"يتجاوز 12 بنداً في الطباعة ⚠","")))))</f>
        <v/>
      </c>
    </row>
    <row r="847" customFormat="false" ht="15" hidden="false" customHeight="false" outlineLevel="0" collapsed="false">
      <c r="A847" s="58"/>
      <c r="B847" s="68" t="str">
        <f aca="false">IF(A847="","",COUNTIF(A$5:A847,A847))</f>
        <v/>
      </c>
      <c r="C847" s="68" t="str">
        <f aca="false">IF(A847="","",A847&amp;"-"&amp;B847)</f>
        <v/>
      </c>
      <c r="D847" s="58"/>
      <c r="E847" s="57"/>
      <c r="F847" s="69"/>
      <c r="G847" s="69"/>
      <c r="H847" s="70" t="str">
        <f aca="false">IF(A847="","",IFERROR(INDEX(السندات!$C$5:$C$504,MATCH(A847,السندات!$A$5:$A$504,0)),""))</f>
        <v/>
      </c>
      <c r="I847" s="71" t="str">
        <f aca="false">IF(A847="","",IFERROR(INDEX(السندات!$D$5:$D$504,MATCH(A847,السندات!$A$5:$A$504,0)),""))</f>
        <v/>
      </c>
      <c r="J847" s="72" t="str">
        <f aca="false">IF(A847="","",IF(ISNA(MATCH(A847,السندات!$A$5:$A$504,0)),"رقم سند غير موجود ✘",IF(AND(F847&lt;&gt;"",G847&lt;&gt;""),"اكتب مدين أو دائن فقط ✘",IF(AND(N(F847)=0,N(G847)=0),"بدون مبلغ ⚠",IF(B847&gt;12,"يتجاوز 12 بنداً في الطباعة ⚠","")))))</f>
        <v/>
      </c>
    </row>
    <row r="848" customFormat="false" ht="15" hidden="false" customHeight="false" outlineLevel="0" collapsed="false">
      <c r="A848" s="58"/>
      <c r="B848" s="73" t="str">
        <f aca="false">IF(A848="","",COUNTIF(A$5:A848,A848))</f>
        <v/>
      </c>
      <c r="C848" s="73" t="str">
        <f aca="false">IF(A848="","",A848&amp;"-"&amp;B848)</f>
        <v/>
      </c>
      <c r="D848" s="58"/>
      <c r="E848" s="57"/>
      <c r="F848" s="69"/>
      <c r="G848" s="69"/>
      <c r="H848" s="74" t="str">
        <f aca="false">IF(A848="","",IFERROR(INDEX(السندات!$C$5:$C$504,MATCH(A848,السندات!$A$5:$A$504,0)),""))</f>
        <v/>
      </c>
      <c r="I848" s="75" t="str">
        <f aca="false">IF(A848="","",IFERROR(INDEX(السندات!$D$5:$D$504,MATCH(A848,السندات!$A$5:$A$504,0)),""))</f>
        <v/>
      </c>
      <c r="J848" s="76" t="str">
        <f aca="false">IF(A848="","",IF(ISNA(MATCH(A848,السندات!$A$5:$A$504,0)),"رقم سند غير موجود ✘",IF(AND(F848&lt;&gt;"",G848&lt;&gt;""),"اكتب مدين أو دائن فقط ✘",IF(AND(N(F848)=0,N(G848)=0),"بدون مبلغ ⚠",IF(B848&gt;12,"يتجاوز 12 بنداً في الطباعة ⚠","")))))</f>
        <v/>
      </c>
    </row>
    <row r="849" customFormat="false" ht="15" hidden="false" customHeight="false" outlineLevel="0" collapsed="false">
      <c r="A849" s="58"/>
      <c r="B849" s="68" t="str">
        <f aca="false">IF(A849="","",COUNTIF(A$5:A849,A849))</f>
        <v/>
      </c>
      <c r="C849" s="68" t="str">
        <f aca="false">IF(A849="","",A849&amp;"-"&amp;B849)</f>
        <v/>
      </c>
      <c r="D849" s="58"/>
      <c r="E849" s="57"/>
      <c r="F849" s="69"/>
      <c r="G849" s="69"/>
      <c r="H849" s="70" t="str">
        <f aca="false">IF(A849="","",IFERROR(INDEX(السندات!$C$5:$C$504,MATCH(A849,السندات!$A$5:$A$504,0)),""))</f>
        <v/>
      </c>
      <c r="I849" s="71" t="str">
        <f aca="false">IF(A849="","",IFERROR(INDEX(السندات!$D$5:$D$504,MATCH(A849,السندات!$A$5:$A$504,0)),""))</f>
        <v/>
      </c>
      <c r="J849" s="72" t="str">
        <f aca="false">IF(A849="","",IF(ISNA(MATCH(A849,السندات!$A$5:$A$504,0)),"رقم سند غير موجود ✘",IF(AND(F849&lt;&gt;"",G849&lt;&gt;""),"اكتب مدين أو دائن فقط ✘",IF(AND(N(F849)=0,N(G849)=0),"بدون مبلغ ⚠",IF(B849&gt;12,"يتجاوز 12 بنداً في الطباعة ⚠","")))))</f>
        <v/>
      </c>
    </row>
    <row r="850" customFormat="false" ht="15" hidden="false" customHeight="false" outlineLevel="0" collapsed="false">
      <c r="A850" s="58"/>
      <c r="B850" s="73" t="str">
        <f aca="false">IF(A850="","",COUNTIF(A$5:A850,A850))</f>
        <v/>
      </c>
      <c r="C850" s="73" t="str">
        <f aca="false">IF(A850="","",A850&amp;"-"&amp;B850)</f>
        <v/>
      </c>
      <c r="D850" s="58"/>
      <c r="E850" s="57"/>
      <c r="F850" s="69"/>
      <c r="G850" s="69"/>
      <c r="H850" s="74" t="str">
        <f aca="false">IF(A850="","",IFERROR(INDEX(السندات!$C$5:$C$504,MATCH(A850,السندات!$A$5:$A$504,0)),""))</f>
        <v/>
      </c>
      <c r="I850" s="75" t="str">
        <f aca="false">IF(A850="","",IFERROR(INDEX(السندات!$D$5:$D$504,MATCH(A850,السندات!$A$5:$A$504,0)),""))</f>
        <v/>
      </c>
      <c r="J850" s="76" t="str">
        <f aca="false">IF(A850="","",IF(ISNA(MATCH(A850,السندات!$A$5:$A$504,0)),"رقم سند غير موجود ✘",IF(AND(F850&lt;&gt;"",G850&lt;&gt;""),"اكتب مدين أو دائن فقط ✘",IF(AND(N(F850)=0,N(G850)=0),"بدون مبلغ ⚠",IF(B850&gt;12,"يتجاوز 12 بنداً في الطباعة ⚠","")))))</f>
        <v/>
      </c>
    </row>
    <row r="851" customFormat="false" ht="15" hidden="false" customHeight="false" outlineLevel="0" collapsed="false">
      <c r="A851" s="58"/>
      <c r="B851" s="68" t="str">
        <f aca="false">IF(A851="","",COUNTIF(A$5:A851,A851))</f>
        <v/>
      </c>
      <c r="C851" s="68" t="str">
        <f aca="false">IF(A851="","",A851&amp;"-"&amp;B851)</f>
        <v/>
      </c>
      <c r="D851" s="58"/>
      <c r="E851" s="57"/>
      <c r="F851" s="69"/>
      <c r="G851" s="69"/>
      <c r="H851" s="70" t="str">
        <f aca="false">IF(A851="","",IFERROR(INDEX(السندات!$C$5:$C$504,MATCH(A851,السندات!$A$5:$A$504,0)),""))</f>
        <v/>
      </c>
      <c r="I851" s="71" t="str">
        <f aca="false">IF(A851="","",IFERROR(INDEX(السندات!$D$5:$D$504,MATCH(A851,السندات!$A$5:$A$504,0)),""))</f>
        <v/>
      </c>
      <c r="J851" s="72" t="str">
        <f aca="false">IF(A851="","",IF(ISNA(MATCH(A851,السندات!$A$5:$A$504,0)),"رقم سند غير موجود ✘",IF(AND(F851&lt;&gt;"",G851&lt;&gt;""),"اكتب مدين أو دائن فقط ✘",IF(AND(N(F851)=0,N(G851)=0),"بدون مبلغ ⚠",IF(B851&gt;12,"يتجاوز 12 بنداً في الطباعة ⚠","")))))</f>
        <v/>
      </c>
    </row>
    <row r="852" customFormat="false" ht="15" hidden="false" customHeight="false" outlineLevel="0" collapsed="false">
      <c r="A852" s="58"/>
      <c r="B852" s="73" t="str">
        <f aca="false">IF(A852="","",COUNTIF(A$5:A852,A852))</f>
        <v/>
      </c>
      <c r="C852" s="73" t="str">
        <f aca="false">IF(A852="","",A852&amp;"-"&amp;B852)</f>
        <v/>
      </c>
      <c r="D852" s="58"/>
      <c r="E852" s="57"/>
      <c r="F852" s="69"/>
      <c r="G852" s="69"/>
      <c r="H852" s="74" t="str">
        <f aca="false">IF(A852="","",IFERROR(INDEX(السندات!$C$5:$C$504,MATCH(A852,السندات!$A$5:$A$504,0)),""))</f>
        <v/>
      </c>
      <c r="I852" s="75" t="str">
        <f aca="false">IF(A852="","",IFERROR(INDEX(السندات!$D$5:$D$504,MATCH(A852,السندات!$A$5:$A$504,0)),""))</f>
        <v/>
      </c>
      <c r="J852" s="76" t="str">
        <f aca="false">IF(A852="","",IF(ISNA(MATCH(A852,السندات!$A$5:$A$504,0)),"رقم سند غير موجود ✘",IF(AND(F852&lt;&gt;"",G852&lt;&gt;""),"اكتب مدين أو دائن فقط ✘",IF(AND(N(F852)=0,N(G852)=0),"بدون مبلغ ⚠",IF(B852&gt;12,"يتجاوز 12 بنداً في الطباعة ⚠","")))))</f>
        <v/>
      </c>
    </row>
    <row r="853" customFormat="false" ht="15" hidden="false" customHeight="false" outlineLevel="0" collapsed="false">
      <c r="A853" s="58"/>
      <c r="B853" s="68" t="str">
        <f aca="false">IF(A853="","",COUNTIF(A$5:A853,A853))</f>
        <v/>
      </c>
      <c r="C853" s="68" t="str">
        <f aca="false">IF(A853="","",A853&amp;"-"&amp;B853)</f>
        <v/>
      </c>
      <c r="D853" s="58"/>
      <c r="E853" s="57"/>
      <c r="F853" s="69"/>
      <c r="G853" s="69"/>
      <c r="H853" s="70" t="str">
        <f aca="false">IF(A853="","",IFERROR(INDEX(السندات!$C$5:$C$504,MATCH(A853,السندات!$A$5:$A$504,0)),""))</f>
        <v/>
      </c>
      <c r="I853" s="71" t="str">
        <f aca="false">IF(A853="","",IFERROR(INDEX(السندات!$D$5:$D$504,MATCH(A853,السندات!$A$5:$A$504,0)),""))</f>
        <v/>
      </c>
      <c r="J853" s="72" t="str">
        <f aca="false">IF(A853="","",IF(ISNA(MATCH(A853,السندات!$A$5:$A$504,0)),"رقم سند غير موجود ✘",IF(AND(F853&lt;&gt;"",G853&lt;&gt;""),"اكتب مدين أو دائن فقط ✘",IF(AND(N(F853)=0,N(G853)=0),"بدون مبلغ ⚠",IF(B853&gt;12,"يتجاوز 12 بنداً في الطباعة ⚠","")))))</f>
        <v/>
      </c>
    </row>
    <row r="854" customFormat="false" ht="15" hidden="false" customHeight="false" outlineLevel="0" collapsed="false">
      <c r="A854" s="58"/>
      <c r="B854" s="73" t="str">
        <f aca="false">IF(A854="","",COUNTIF(A$5:A854,A854))</f>
        <v/>
      </c>
      <c r="C854" s="73" t="str">
        <f aca="false">IF(A854="","",A854&amp;"-"&amp;B854)</f>
        <v/>
      </c>
      <c r="D854" s="58"/>
      <c r="E854" s="57"/>
      <c r="F854" s="69"/>
      <c r="G854" s="69"/>
      <c r="H854" s="74" t="str">
        <f aca="false">IF(A854="","",IFERROR(INDEX(السندات!$C$5:$C$504,MATCH(A854,السندات!$A$5:$A$504,0)),""))</f>
        <v/>
      </c>
      <c r="I854" s="75" t="str">
        <f aca="false">IF(A854="","",IFERROR(INDEX(السندات!$D$5:$D$504,MATCH(A854,السندات!$A$5:$A$504,0)),""))</f>
        <v/>
      </c>
      <c r="J854" s="76" t="str">
        <f aca="false">IF(A854="","",IF(ISNA(MATCH(A854,السندات!$A$5:$A$504,0)),"رقم سند غير موجود ✘",IF(AND(F854&lt;&gt;"",G854&lt;&gt;""),"اكتب مدين أو دائن فقط ✘",IF(AND(N(F854)=0,N(G854)=0),"بدون مبلغ ⚠",IF(B854&gt;12,"يتجاوز 12 بنداً في الطباعة ⚠","")))))</f>
        <v/>
      </c>
    </row>
    <row r="855" customFormat="false" ht="15" hidden="false" customHeight="false" outlineLevel="0" collapsed="false">
      <c r="A855" s="58"/>
      <c r="B855" s="68" t="str">
        <f aca="false">IF(A855="","",COUNTIF(A$5:A855,A855))</f>
        <v/>
      </c>
      <c r="C855" s="68" t="str">
        <f aca="false">IF(A855="","",A855&amp;"-"&amp;B855)</f>
        <v/>
      </c>
      <c r="D855" s="58"/>
      <c r="E855" s="57"/>
      <c r="F855" s="69"/>
      <c r="G855" s="69"/>
      <c r="H855" s="70" t="str">
        <f aca="false">IF(A855="","",IFERROR(INDEX(السندات!$C$5:$C$504,MATCH(A855,السندات!$A$5:$A$504,0)),""))</f>
        <v/>
      </c>
      <c r="I855" s="71" t="str">
        <f aca="false">IF(A855="","",IFERROR(INDEX(السندات!$D$5:$D$504,MATCH(A855,السندات!$A$5:$A$504,0)),""))</f>
        <v/>
      </c>
      <c r="J855" s="72" t="str">
        <f aca="false">IF(A855="","",IF(ISNA(MATCH(A855,السندات!$A$5:$A$504,0)),"رقم سند غير موجود ✘",IF(AND(F855&lt;&gt;"",G855&lt;&gt;""),"اكتب مدين أو دائن فقط ✘",IF(AND(N(F855)=0,N(G855)=0),"بدون مبلغ ⚠",IF(B855&gt;12,"يتجاوز 12 بنداً في الطباعة ⚠","")))))</f>
        <v/>
      </c>
    </row>
    <row r="856" customFormat="false" ht="15" hidden="false" customHeight="false" outlineLevel="0" collapsed="false">
      <c r="A856" s="58"/>
      <c r="B856" s="73" t="str">
        <f aca="false">IF(A856="","",COUNTIF(A$5:A856,A856))</f>
        <v/>
      </c>
      <c r="C856" s="73" t="str">
        <f aca="false">IF(A856="","",A856&amp;"-"&amp;B856)</f>
        <v/>
      </c>
      <c r="D856" s="58"/>
      <c r="E856" s="57"/>
      <c r="F856" s="69"/>
      <c r="G856" s="69"/>
      <c r="H856" s="74" t="str">
        <f aca="false">IF(A856="","",IFERROR(INDEX(السندات!$C$5:$C$504,MATCH(A856,السندات!$A$5:$A$504,0)),""))</f>
        <v/>
      </c>
      <c r="I856" s="75" t="str">
        <f aca="false">IF(A856="","",IFERROR(INDEX(السندات!$D$5:$D$504,MATCH(A856,السندات!$A$5:$A$504,0)),""))</f>
        <v/>
      </c>
      <c r="J856" s="76" t="str">
        <f aca="false">IF(A856="","",IF(ISNA(MATCH(A856,السندات!$A$5:$A$504,0)),"رقم سند غير موجود ✘",IF(AND(F856&lt;&gt;"",G856&lt;&gt;""),"اكتب مدين أو دائن فقط ✘",IF(AND(N(F856)=0,N(G856)=0),"بدون مبلغ ⚠",IF(B856&gt;12,"يتجاوز 12 بنداً في الطباعة ⚠","")))))</f>
        <v/>
      </c>
    </row>
    <row r="857" customFormat="false" ht="15" hidden="false" customHeight="false" outlineLevel="0" collapsed="false">
      <c r="A857" s="58"/>
      <c r="B857" s="68" t="str">
        <f aca="false">IF(A857="","",COUNTIF(A$5:A857,A857))</f>
        <v/>
      </c>
      <c r="C857" s="68" t="str">
        <f aca="false">IF(A857="","",A857&amp;"-"&amp;B857)</f>
        <v/>
      </c>
      <c r="D857" s="58"/>
      <c r="E857" s="57"/>
      <c r="F857" s="69"/>
      <c r="G857" s="69"/>
      <c r="H857" s="70" t="str">
        <f aca="false">IF(A857="","",IFERROR(INDEX(السندات!$C$5:$C$504,MATCH(A857,السندات!$A$5:$A$504,0)),""))</f>
        <v/>
      </c>
      <c r="I857" s="71" t="str">
        <f aca="false">IF(A857="","",IFERROR(INDEX(السندات!$D$5:$D$504,MATCH(A857,السندات!$A$5:$A$504,0)),""))</f>
        <v/>
      </c>
      <c r="J857" s="72" t="str">
        <f aca="false">IF(A857="","",IF(ISNA(MATCH(A857,السندات!$A$5:$A$504,0)),"رقم سند غير موجود ✘",IF(AND(F857&lt;&gt;"",G857&lt;&gt;""),"اكتب مدين أو دائن فقط ✘",IF(AND(N(F857)=0,N(G857)=0),"بدون مبلغ ⚠",IF(B857&gt;12,"يتجاوز 12 بنداً في الطباعة ⚠","")))))</f>
        <v/>
      </c>
    </row>
    <row r="858" customFormat="false" ht="15" hidden="false" customHeight="false" outlineLevel="0" collapsed="false">
      <c r="A858" s="58"/>
      <c r="B858" s="73" t="str">
        <f aca="false">IF(A858="","",COUNTIF(A$5:A858,A858))</f>
        <v/>
      </c>
      <c r="C858" s="73" t="str">
        <f aca="false">IF(A858="","",A858&amp;"-"&amp;B858)</f>
        <v/>
      </c>
      <c r="D858" s="58"/>
      <c r="E858" s="57"/>
      <c r="F858" s="69"/>
      <c r="G858" s="69"/>
      <c r="H858" s="74" t="str">
        <f aca="false">IF(A858="","",IFERROR(INDEX(السندات!$C$5:$C$504,MATCH(A858,السندات!$A$5:$A$504,0)),""))</f>
        <v/>
      </c>
      <c r="I858" s="75" t="str">
        <f aca="false">IF(A858="","",IFERROR(INDEX(السندات!$D$5:$D$504,MATCH(A858,السندات!$A$5:$A$504,0)),""))</f>
        <v/>
      </c>
      <c r="J858" s="76" t="str">
        <f aca="false">IF(A858="","",IF(ISNA(MATCH(A858,السندات!$A$5:$A$504,0)),"رقم سند غير موجود ✘",IF(AND(F858&lt;&gt;"",G858&lt;&gt;""),"اكتب مدين أو دائن فقط ✘",IF(AND(N(F858)=0,N(G858)=0),"بدون مبلغ ⚠",IF(B858&gt;12,"يتجاوز 12 بنداً في الطباعة ⚠","")))))</f>
        <v/>
      </c>
    </row>
    <row r="859" customFormat="false" ht="15" hidden="false" customHeight="false" outlineLevel="0" collapsed="false">
      <c r="A859" s="58"/>
      <c r="B859" s="68" t="str">
        <f aca="false">IF(A859="","",COUNTIF(A$5:A859,A859))</f>
        <v/>
      </c>
      <c r="C859" s="68" t="str">
        <f aca="false">IF(A859="","",A859&amp;"-"&amp;B859)</f>
        <v/>
      </c>
      <c r="D859" s="58"/>
      <c r="E859" s="57"/>
      <c r="F859" s="69"/>
      <c r="G859" s="69"/>
      <c r="H859" s="70" t="str">
        <f aca="false">IF(A859="","",IFERROR(INDEX(السندات!$C$5:$C$504,MATCH(A859,السندات!$A$5:$A$504,0)),""))</f>
        <v/>
      </c>
      <c r="I859" s="71" t="str">
        <f aca="false">IF(A859="","",IFERROR(INDEX(السندات!$D$5:$D$504,MATCH(A859,السندات!$A$5:$A$504,0)),""))</f>
        <v/>
      </c>
      <c r="J859" s="72" t="str">
        <f aca="false">IF(A859="","",IF(ISNA(MATCH(A859,السندات!$A$5:$A$504,0)),"رقم سند غير موجود ✘",IF(AND(F859&lt;&gt;"",G859&lt;&gt;""),"اكتب مدين أو دائن فقط ✘",IF(AND(N(F859)=0,N(G859)=0),"بدون مبلغ ⚠",IF(B859&gt;12,"يتجاوز 12 بنداً في الطباعة ⚠","")))))</f>
        <v/>
      </c>
    </row>
    <row r="860" customFormat="false" ht="15" hidden="false" customHeight="false" outlineLevel="0" collapsed="false">
      <c r="A860" s="58"/>
      <c r="B860" s="73" t="str">
        <f aca="false">IF(A860="","",COUNTIF(A$5:A860,A860))</f>
        <v/>
      </c>
      <c r="C860" s="73" t="str">
        <f aca="false">IF(A860="","",A860&amp;"-"&amp;B860)</f>
        <v/>
      </c>
      <c r="D860" s="58"/>
      <c r="E860" s="57"/>
      <c r="F860" s="69"/>
      <c r="G860" s="69"/>
      <c r="H860" s="74" t="str">
        <f aca="false">IF(A860="","",IFERROR(INDEX(السندات!$C$5:$C$504,MATCH(A860,السندات!$A$5:$A$504,0)),""))</f>
        <v/>
      </c>
      <c r="I860" s="75" t="str">
        <f aca="false">IF(A860="","",IFERROR(INDEX(السندات!$D$5:$D$504,MATCH(A860,السندات!$A$5:$A$504,0)),""))</f>
        <v/>
      </c>
      <c r="J860" s="76" t="str">
        <f aca="false">IF(A860="","",IF(ISNA(MATCH(A860,السندات!$A$5:$A$504,0)),"رقم سند غير موجود ✘",IF(AND(F860&lt;&gt;"",G860&lt;&gt;""),"اكتب مدين أو دائن فقط ✘",IF(AND(N(F860)=0,N(G860)=0),"بدون مبلغ ⚠",IF(B860&gt;12,"يتجاوز 12 بنداً في الطباعة ⚠","")))))</f>
        <v/>
      </c>
    </row>
    <row r="861" customFormat="false" ht="15" hidden="false" customHeight="false" outlineLevel="0" collapsed="false">
      <c r="A861" s="58"/>
      <c r="B861" s="68" t="str">
        <f aca="false">IF(A861="","",COUNTIF(A$5:A861,A861))</f>
        <v/>
      </c>
      <c r="C861" s="68" t="str">
        <f aca="false">IF(A861="","",A861&amp;"-"&amp;B861)</f>
        <v/>
      </c>
      <c r="D861" s="58"/>
      <c r="E861" s="57"/>
      <c r="F861" s="69"/>
      <c r="G861" s="69"/>
      <c r="H861" s="70" t="str">
        <f aca="false">IF(A861="","",IFERROR(INDEX(السندات!$C$5:$C$504,MATCH(A861,السندات!$A$5:$A$504,0)),""))</f>
        <v/>
      </c>
      <c r="I861" s="71" t="str">
        <f aca="false">IF(A861="","",IFERROR(INDEX(السندات!$D$5:$D$504,MATCH(A861,السندات!$A$5:$A$504,0)),""))</f>
        <v/>
      </c>
      <c r="J861" s="72" t="str">
        <f aca="false">IF(A861="","",IF(ISNA(MATCH(A861,السندات!$A$5:$A$504,0)),"رقم سند غير موجود ✘",IF(AND(F861&lt;&gt;"",G861&lt;&gt;""),"اكتب مدين أو دائن فقط ✘",IF(AND(N(F861)=0,N(G861)=0),"بدون مبلغ ⚠",IF(B861&gt;12,"يتجاوز 12 بنداً في الطباعة ⚠","")))))</f>
        <v/>
      </c>
    </row>
    <row r="862" customFormat="false" ht="15" hidden="false" customHeight="false" outlineLevel="0" collapsed="false">
      <c r="A862" s="58"/>
      <c r="B862" s="73" t="str">
        <f aca="false">IF(A862="","",COUNTIF(A$5:A862,A862))</f>
        <v/>
      </c>
      <c r="C862" s="73" t="str">
        <f aca="false">IF(A862="","",A862&amp;"-"&amp;B862)</f>
        <v/>
      </c>
      <c r="D862" s="58"/>
      <c r="E862" s="57"/>
      <c r="F862" s="69"/>
      <c r="G862" s="69"/>
      <c r="H862" s="74" t="str">
        <f aca="false">IF(A862="","",IFERROR(INDEX(السندات!$C$5:$C$504,MATCH(A862,السندات!$A$5:$A$504,0)),""))</f>
        <v/>
      </c>
      <c r="I862" s="75" t="str">
        <f aca="false">IF(A862="","",IFERROR(INDEX(السندات!$D$5:$D$504,MATCH(A862,السندات!$A$5:$A$504,0)),""))</f>
        <v/>
      </c>
      <c r="J862" s="76" t="str">
        <f aca="false">IF(A862="","",IF(ISNA(MATCH(A862,السندات!$A$5:$A$504,0)),"رقم سند غير موجود ✘",IF(AND(F862&lt;&gt;"",G862&lt;&gt;""),"اكتب مدين أو دائن فقط ✘",IF(AND(N(F862)=0,N(G862)=0),"بدون مبلغ ⚠",IF(B862&gt;12,"يتجاوز 12 بنداً في الطباعة ⚠","")))))</f>
        <v/>
      </c>
    </row>
    <row r="863" customFormat="false" ht="15" hidden="false" customHeight="false" outlineLevel="0" collapsed="false">
      <c r="A863" s="58"/>
      <c r="B863" s="68" t="str">
        <f aca="false">IF(A863="","",COUNTIF(A$5:A863,A863))</f>
        <v/>
      </c>
      <c r="C863" s="68" t="str">
        <f aca="false">IF(A863="","",A863&amp;"-"&amp;B863)</f>
        <v/>
      </c>
      <c r="D863" s="58"/>
      <c r="E863" s="57"/>
      <c r="F863" s="69"/>
      <c r="G863" s="69"/>
      <c r="H863" s="70" t="str">
        <f aca="false">IF(A863="","",IFERROR(INDEX(السندات!$C$5:$C$504,MATCH(A863,السندات!$A$5:$A$504,0)),""))</f>
        <v/>
      </c>
      <c r="I863" s="71" t="str">
        <f aca="false">IF(A863="","",IFERROR(INDEX(السندات!$D$5:$D$504,MATCH(A863,السندات!$A$5:$A$504,0)),""))</f>
        <v/>
      </c>
      <c r="J863" s="72" t="str">
        <f aca="false">IF(A863="","",IF(ISNA(MATCH(A863,السندات!$A$5:$A$504,0)),"رقم سند غير موجود ✘",IF(AND(F863&lt;&gt;"",G863&lt;&gt;""),"اكتب مدين أو دائن فقط ✘",IF(AND(N(F863)=0,N(G863)=0),"بدون مبلغ ⚠",IF(B863&gt;12,"يتجاوز 12 بنداً في الطباعة ⚠","")))))</f>
        <v/>
      </c>
    </row>
    <row r="864" customFormat="false" ht="15" hidden="false" customHeight="false" outlineLevel="0" collapsed="false">
      <c r="A864" s="58"/>
      <c r="B864" s="73" t="str">
        <f aca="false">IF(A864="","",COUNTIF(A$5:A864,A864))</f>
        <v/>
      </c>
      <c r="C864" s="73" t="str">
        <f aca="false">IF(A864="","",A864&amp;"-"&amp;B864)</f>
        <v/>
      </c>
      <c r="D864" s="58"/>
      <c r="E864" s="57"/>
      <c r="F864" s="69"/>
      <c r="G864" s="69"/>
      <c r="H864" s="74" t="str">
        <f aca="false">IF(A864="","",IFERROR(INDEX(السندات!$C$5:$C$504,MATCH(A864,السندات!$A$5:$A$504,0)),""))</f>
        <v/>
      </c>
      <c r="I864" s="75" t="str">
        <f aca="false">IF(A864="","",IFERROR(INDEX(السندات!$D$5:$D$504,MATCH(A864,السندات!$A$5:$A$504,0)),""))</f>
        <v/>
      </c>
      <c r="J864" s="76" t="str">
        <f aca="false">IF(A864="","",IF(ISNA(MATCH(A864,السندات!$A$5:$A$504,0)),"رقم سند غير موجود ✘",IF(AND(F864&lt;&gt;"",G864&lt;&gt;""),"اكتب مدين أو دائن فقط ✘",IF(AND(N(F864)=0,N(G864)=0),"بدون مبلغ ⚠",IF(B864&gt;12,"يتجاوز 12 بنداً في الطباعة ⚠","")))))</f>
        <v/>
      </c>
    </row>
    <row r="865" customFormat="false" ht="15" hidden="false" customHeight="false" outlineLevel="0" collapsed="false">
      <c r="A865" s="58"/>
      <c r="B865" s="68" t="str">
        <f aca="false">IF(A865="","",COUNTIF(A$5:A865,A865))</f>
        <v/>
      </c>
      <c r="C865" s="68" t="str">
        <f aca="false">IF(A865="","",A865&amp;"-"&amp;B865)</f>
        <v/>
      </c>
      <c r="D865" s="58"/>
      <c r="E865" s="57"/>
      <c r="F865" s="69"/>
      <c r="G865" s="69"/>
      <c r="H865" s="70" t="str">
        <f aca="false">IF(A865="","",IFERROR(INDEX(السندات!$C$5:$C$504,MATCH(A865,السندات!$A$5:$A$504,0)),""))</f>
        <v/>
      </c>
      <c r="I865" s="71" t="str">
        <f aca="false">IF(A865="","",IFERROR(INDEX(السندات!$D$5:$D$504,MATCH(A865,السندات!$A$5:$A$504,0)),""))</f>
        <v/>
      </c>
      <c r="J865" s="72" t="str">
        <f aca="false">IF(A865="","",IF(ISNA(MATCH(A865,السندات!$A$5:$A$504,0)),"رقم سند غير موجود ✘",IF(AND(F865&lt;&gt;"",G865&lt;&gt;""),"اكتب مدين أو دائن فقط ✘",IF(AND(N(F865)=0,N(G865)=0),"بدون مبلغ ⚠",IF(B865&gt;12,"يتجاوز 12 بنداً في الطباعة ⚠","")))))</f>
        <v/>
      </c>
    </row>
    <row r="866" customFormat="false" ht="15" hidden="false" customHeight="false" outlineLevel="0" collapsed="false">
      <c r="A866" s="58"/>
      <c r="B866" s="73" t="str">
        <f aca="false">IF(A866="","",COUNTIF(A$5:A866,A866))</f>
        <v/>
      </c>
      <c r="C866" s="73" t="str">
        <f aca="false">IF(A866="","",A866&amp;"-"&amp;B866)</f>
        <v/>
      </c>
      <c r="D866" s="58"/>
      <c r="E866" s="57"/>
      <c r="F866" s="69"/>
      <c r="G866" s="69"/>
      <c r="H866" s="74" t="str">
        <f aca="false">IF(A866="","",IFERROR(INDEX(السندات!$C$5:$C$504,MATCH(A866,السندات!$A$5:$A$504,0)),""))</f>
        <v/>
      </c>
      <c r="I866" s="75" t="str">
        <f aca="false">IF(A866="","",IFERROR(INDEX(السندات!$D$5:$D$504,MATCH(A866,السندات!$A$5:$A$504,0)),""))</f>
        <v/>
      </c>
      <c r="J866" s="76" t="str">
        <f aca="false">IF(A866="","",IF(ISNA(MATCH(A866,السندات!$A$5:$A$504,0)),"رقم سند غير موجود ✘",IF(AND(F866&lt;&gt;"",G866&lt;&gt;""),"اكتب مدين أو دائن فقط ✘",IF(AND(N(F866)=0,N(G866)=0),"بدون مبلغ ⚠",IF(B866&gt;12,"يتجاوز 12 بنداً في الطباعة ⚠","")))))</f>
        <v/>
      </c>
    </row>
    <row r="867" customFormat="false" ht="15" hidden="false" customHeight="false" outlineLevel="0" collapsed="false">
      <c r="A867" s="58"/>
      <c r="B867" s="68" t="str">
        <f aca="false">IF(A867="","",COUNTIF(A$5:A867,A867))</f>
        <v/>
      </c>
      <c r="C867" s="68" t="str">
        <f aca="false">IF(A867="","",A867&amp;"-"&amp;B867)</f>
        <v/>
      </c>
      <c r="D867" s="58"/>
      <c r="E867" s="57"/>
      <c r="F867" s="69"/>
      <c r="G867" s="69"/>
      <c r="H867" s="70" t="str">
        <f aca="false">IF(A867="","",IFERROR(INDEX(السندات!$C$5:$C$504,MATCH(A867,السندات!$A$5:$A$504,0)),""))</f>
        <v/>
      </c>
      <c r="I867" s="71" t="str">
        <f aca="false">IF(A867="","",IFERROR(INDEX(السندات!$D$5:$D$504,MATCH(A867,السندات!$A$5:$A$504,0)),""))</f>
        <v/>
      </c>
      <c r="J867" s="72" t="str">
        <f aca="false">IF(A867="","",IF(ISNA(MATCH(A867,السندات!$A$5:$A$504,0)),"رقم سند غير موجود ✘",IF(AND(F867&lt;&gt;"",G867&lt;&gt;""),"اكتب مدين أو دائن فقط ✘",IF(AND(N(F867)=0,N(G867)=0),"بدون مبلغ ⚠",IF(B867&gt;12,"يتجاوز 12 بنداً في الطباعة ⚠","")))))</f>
        <v/>
      </c>
    </row>
    <row r="868" customFormat="false" ht="15" hidden="false" customHeight="false" outlineLevel="0" collapsed="false">
      <c r="A868" s="58"/>
      <c r="B868" s="73" t="str">
        <f aca="false">IF(A868="","",COUNTIF(A$5:A868,A868))</f>
        <v/>
      </c>
      <c r="C868" s="73" t="str">
        <f aca="false">IF(A868="","",A868&amp;"-"&amp;B868)</f>
        <v/>
      </c>
      <c r="D868" s="58"/>
      <c r="E868" s="57"/>
      <c r="F868" s="69"/>
      <c r="G868" s="69"/>
      <c r="H868" s="74" t="str">
        <f aca="false">IF(A868="","",IFERROR(INDEX(السندات!$C$5:$C$504,MATCH(A868,السندات!$A$5:$A$504,0)),""))</f>
        <v/>
      </c>
      <c r="I868" s="75" t="str">
        <f aca="false">IF(A868="","",IFERROR(INDEX(السندات!$D$5:$D$504,MATCH(A868,السندات!$A$5:$A$504,0)),""))</f>
        <v/>
      </c>
      <c r="J868" s="76" t="str">
        <f aca="false">IF(A868="","",IF(ISNA(MATCH(A868,السندات!$A$5:$A$504,0)),"رقم سند غير موجود ✘",IF(AND(F868&lt;&gt;"",G868&lt;&gt;""),"اكتب مدين أو دائن فقط ✘",IF(AND(N(F868)=0,N(G868)=0),"بدون مبلغ ⚠",IF(B868&gt;12,"يتجاوز 12 بنداً في الطباعة ⚠","")))))</f>
        <v/>
      </c>
    </row>
    <row r="869" customFormat="false" ht="15" hidden="false" customHeight="false" outlineLevel="0" collapsed="false">
      <c r="A869" s="58"/>
      <c r="B869" s="68" t="str">
        <f aca="false">IF(A869="","",COUNTIF(A$5:A869,A869))</f>
        <v/>
      </c>
      <c r="C869" s="68" t="str">
        <f aca="false">IF(A869="","",A869&amp;"-"&amp;B869)</f>
        <v/>
      </c>
      <c r="D869" s="58"/>
      <c r="E869" s="57"/>
      <c r="F869" s="69"/>
      <c r="G869" s="69"/>
      <c r="H869" s="70" t="str">
        <f aca="false">IF(A869="","",IFERROR(INDEX(السندات!$C$5:$C$504,MATCH(A869,السندات!$A$5:$A$504,0)),""))</f>
        <v/>
      </c>
      <c r="I869" s="71" t="str">
        <f aca="false">IF(A869="","",IFERROR(INDEX(السندات!$D$5:$D$504,MATCH(A869,السندات!$A$5:$A$504,0)),""))</f>
        <v/>
      </c>
      <c r="J869" s="72" t="str">
        <f aca="false">IF(A869="","",IF(ISNA(MATCH(A869,السندات!$A$5:$A$504,0)),"رقم سند غير موجود ✘",IF(AND(F869&lt;&gt;"",G869&lt;&gt;""),"اكتب مدين أو دائن فقط ✘",IF(AND(N(F869)=0,N(G869)=0),"بدون مبلغ ⚠",IF(B869&gt;12,"يتجاوز 12 بنداً في الطباعة ⚠","")))))</f>
        <v/>
      </c>
    </row>
    <row r="870" customFormat="false" ht="15" hidden="false" customHeight="false" outlineLevel="0" collapsed="false">
      <c r="A870" s="58"/>
      <c r="B870" s="73" t="str">
        <f aca="false">IF(A870="","",COUNTIF(A$5:A870,A870))</f>
        <v/>
      </c>
      <c r="C870" s="73" t="str">
        <f aca="false">IF(A870="","",A870&amp;"-"&amp;B870)</f>
        <v/>
      </c>
      <c r="D870" s="58"/>
      <c r="E870" s="57"/>
      <c r="F870" s="69"/>
      <c r="G870" s="69"/>
      <c r="H870" s="74" t="str">
        <f aca="false">IF(A870="","",IFERROR(INDEX(السندات!$C$5:$C$504,MATCH(A870,السندات!$A$5:$A$504,0)),""))</f>
        <v/>
      </c>
      <c r="I870" s="75" t="str">
        <f aca="false">IF(A870="","",IFERROR(INDEX(السندات!$D$5:$D$504,MATCH(A870,السندات!$A$5:$A$504,0)),""))</f>
        <v/>
      </c>
      <c r="J870" s="76" t="str">
        <f aca="false">IF(A870="","",IF(ISNA(MATCH(A870,السندات!$A$5:$A$504,0)),"رقم سند غير موجود ✘",IF(AND(F870&lt;&gt;"",G870&lt;&gt;""),"اكتب مدين أو دائن فقط ✘",IF(AND(N(F870)=0,N(G870)=0),"بدون مبلغ ⚠",IF(B870&gt;12,"يتجاوز 12 بنداً في الطباعة ⚠","")))))</f>
        <v/>
      </c>
    </row>
    <row r="871" customFormat="false" ht="15" hidden="false" customHeight="false" outlineLevel="0" collapsed="false">
      <c r="A871" s="58"/>
      <c r="B871" s="68" t="str">
        <f aca="false">IF(A871="","",COUNTIF(A$5:A871,A871))</f>
        <v/>
      </c>
      <c r="C871" s="68" t="str">
        <f aca="false">IF(A871="","",A871&amp;"-"&amp;B871)</f>
        <v/>
      </c>
      <c r="D871" s="58"/>
      <c r="E871" s="57"/>
      <c r="F871" s="69"/>
      <c r="G871" s="69"/>
      <c r="H871" s="70" t="str">
        <f aca="false">IF(A871="","",IFERROR(INDEX(السندات!$C$5:$C$504,MATCH(A871,السندات!$A$5:$A$504,0)),""))</f>
        <v/>
      </c>
      <c r="I871" s="71" t="str">
        <f aca="false">IF(A871="","",IFERROR(INDEX(السندات!$D$5:$D$504,MATCH(A871,السندات!$A$5:$A$504,0)),""))</f>
        <v/>
      </c>
      <c r="J871" s="72" t="str">
        <f aca="false">IF(A871="","",IF(ISNA(MATCH(A871,السندات!$A$5:$A$504,0)),"رقم سند غير موجود ✘",IF(AND(F871&lt;&gt;"",G871&lt;&gt;""),"اكتب مدين أو دائن فقط ✘",IF(AND(N(F871)=0,N(G871)=0),"بدون مبلغ ⚠",IF(B871&gt;12,"يتجاوز 12 بنداً في الطباعة ⚠","")))))</f>
        <v/>
      </c>
    </row>
    <row r="872" customFormat="false" ht="15" hidden="false" customHeight="false" outlineLevel="0" collapsed="false">
      <c r="A872" s="58"/>
      <c r="B872" s="73" t="str">
        <f aca="false">IF(A872="","",COUNTIF(A$5:A872,A872))</f>
        <v/>
      </c>
      <c r="C872" s="73" t="str">
        <f aca="false">IF(A872="","",A872&amp;"-"&amp;B872)</f>
        <v/>
      </c>
      <c r="D872" s="58"/>
      <c r="E872" s="57"/>
      <c r="F872" s="69"/>
      <c r="G872" s="69"/>
      <c r="H872" s="74" t="str">
        <f aca="false">IF(A872="","",IFERROR(INDEX(السندات!$C$5:$C$504,MATCH(A872,السندات!$A$5:$A$504,0)),""))</f>
        <v/>
      </c>
      <c r="I872" s="75" t="str">
        <f aca="false">IF(A872="","",IFERROR(INDEX(السندات!$D$5:$D$504,MATCH(A872,السندات!$A$5:$A$504,0)),""))</f>
        <v/>
      </c>
      <c r="J872" s="76" t="str">
        <f aca="false">IF(A872="","",IF(ISNA(MATCH(A872,السندات!$A$5:$A$504,0)),"رقم سند غير موجود ✘",IF(AND(F872&lt;&gt;"",G872&lt;&gt;""),"اكتب مدين أو دائن فقط ✘",IF(AND(N(F872)=0,N(G872)=0),"بدون مبلغ ⚠",IF(B872&gt;12,"يتجاوز 12 بنداً في الطباعة ⚠","")))))</f>
        <v/>
      </c>
    </row>
    <row r="873" customFormat="false" ht="15" hidden="false" customHeight="false" outlineLevel="0" collapsed="false">
      <c r="A873" s="58"/>
      <c r="B873" s="68" t="str">
        <f aca="false">IF(A873="","",COUNTIF(A$5:A873,A873))</f>
        <v/>
      </c>
      <c r="C873" s="68" t="str">
        <f aca="false">IF(A873="","",A873&amp;"-"&amp;B873)</f>
        <v/>
      </c>
      <c r="D873" s="58"/>
      <c r="E873" s="57"/>
      <c r="F873" s="69"/>
      <c r="G873" s="69"/>
      <c r="H873" s="70" t="str">
        <f aca="false">IF(A873="","",IFERROR(INDEX(السندات!$C$5:$C$504,MATCH(A873,السندات!$A$5:$A$504,0)),""))</f>
        <v/>
      </c>
      <c r="I873" s="71" t="str">
        <f aca="false">IF(A873="","",IFERROR(INDEX(السندات!$D$5:$D$504,MATCH(A873,السندات!$A$5:$A$504,0)),""))</f>
        <v/>
      </c>
      <c r="J873" s="72" t="str">
        <f aca="false">IF(A873="","",IF(ISNA(MATCH(A873,السندات!$A$5:$A$504,0)),"رقم سند غير موجود ✘",IF(AND(F873&lt;&gt;"",G873&lt;&gt;""),"اكتب مدين أو دائن فقط ✘",IF(AND(N(F873)=0,N(G873)=0),"بدون مبلغ ⚠",IF(B873&gt;12,"يتجاوز 12 بنداً في الطباعة ⚠","")))))</f>
        <v/>
      </c>
    </row>
    <row r="874" customFormat="false" ht="15" hidden="false" customHeight="false" outlineLevel="0" collapsed="false">
      <c r="A874" s="58"/>
      <c r="B874" s="73" t="str">
        <f aca="false">IF(A874="","",COUNTIF(A$5:A874,A874))</f>
        <v/>
      </c>
      <c r="C874" s="73" t="str">
        <f aca="false">IF(A874="","",A874&amp;"-"&amp;B874)</f>
        <v/>
      </c>
      <c r="D874" s="58"/>
      <c r="E874" s="57"/>
      <c r="F874" s="69"/>
      <c r="G874" s="69"/>
      <c r="H874" s="74" t="str">
        <f aca="false">IF(A874="","",IFERROR(INDEX(السندات!$C$5:$C$504,MATCH(A874,السندات!$A$5:$A$504,0)),""))</f>
        <v/>
      </c>
      <c r="I874" s="75" t="str">
        <f aca="false">IF(A874="","",IFERROR(INDEX(السندات!$D$5:$D$504,MATCH(A874,السندات!$A$5:$A$504,0)),""))</f>
        <v/>
      </c>
      <c r="J874" s="76" t="str">
        <f aca="false">IF(A874="","",IF(ISNA(MATCH(A874,السندات!$A$5:$A$504,0)),"رقم سند غير موجود ✘",IF(AND(F874&lt;&gt;"",G874&lt;&gt;""),"اكتب مدين أو دائن فقط ✘",IF(AND(N(F874)=0,N(G874)=0),"بدون مبلغ ⚠",IF(B874&gt;12,"يتجاوز 12 بنداً في الطباعة ⚠","")))))</f>
        <v/>
      </c>
    </row>
    <row r="875" customFormat="false" ht="15" hidden="false" customHeight="false" outlineLevel="0" collapsed="false">
      <c r="A875" s="58"/>
      <c r="B875" s="68" t="str">
        <f aca="false">IF(A875="","",COUNTIF(A$5:A875,A875))</f>
        <v/>
      </c>
      <c r="C875" s="68" t="str">
        <f aca="false">IF(A875="","",A875&amp;"-"&amp;B875)</f>
        <v/>
      </c>
      <c r="D875" s="58"/>
      <c r="E875" s="57"/>
      <c r="F875" s="69"/>
      <c r="G875" s="69"/>
      <c r="H875" s="70" t="str">
        <f aca="false">IF(A875="","",IFERROR(INDEX(السندات!$C$5:$C$504,MATCH(A875,السندات!$A$5:$A$504,0)),""))</f>
        <v/>
      </c>
      <c r="I875" s="71" t="str">
        <f aca="false">IF(A875="","",IFERROR(INDEX(السندات!$D$5:$D$504,MATCH(A875,السندات!$A$5:$A$504,0)),""))</f>
        <v/>
      </c>
      <c r="J875" s="72" t="str">
        <f aca="false">IF(A875="","",IF(ISNA(MATCH(A875,السندات!$A$5:$A$504,0)),"رقم سند غير موجود ✘",IF(AND(F875&lt;&gt;"",G875&lt;&gt;""),"اكتب مدين أو دائن فقط ✘",IF(AND(N(F875)=0,N(G875)=0),"بدون مبلغ ⚠",IF(B875&gt;12,"يتجاوز 12 بنداً في الطباعة ⚠","")))))</f>
        <v/>
      </c>
    </row>
    <row r="876" customFormat="false" ht="15" hidden="false" customHeight="false" outlineLevel="0" collapsed="false">
      <c r="A876" s="58"/>
      <c r="B876" s="73" t="str">
        <f aca="false">IF(A876="","",COUNTIF(A$5:A876,A876))</f>
        <v/>
      </c>
      <c r="C876" s="73" t="str">
        <f aca="false">IF(A876="","",A876&amp;"-"&amp;B876)</f>
        <v/>
      </c>
      <c r="D876" s="58"/>
      <c r="E876" s="57"/>
      <c r="F876" s="69"/>
      <c r="G876" s="69"/>
      <c r="H876" s="74" t="str">
        <f aca="false">IF(A876="","",IFERROR(INDEX(السندات!$C$5:$C$504,MATCH(A876,السندات!$A$5:$A$504,0)),""))</f>
        <v/>
      </c>
      <c r="I876" s="75" t="str">
        <f aca="false">IF(A876="","",IFERROR(INDEX(السندات!$D$5:$D$504,MATCH(A876,السندات!$A$5:$A$504,0)),""))</f>
        <v/>
      </c>
      <c r="J876" s="76" t="str">
        <f aca="false">IF(A876="","",IF(ISNA(MATCH(A876,السندات!$A$5:$A$504,0)),"رقم سند غير موجود ✘",IF(AND(F876&lt;&gt;"",G876&lt;&gt;""),"اكتب مدين أو دائن فقط ✘",IF(AND(N(F876)=0,N(G876)=0),"بدون مبلغ ⚠",IF(B876&gt;12,"يتجاوز 12 بنداً في الطباعة ⚠","")))))</f>
        <v/>
      </c>
    </row>
    <row r="877" customFormat="false" ht="15" hidden="false" customHeight="false" outlineLevel="0" collapsed="false">
      <c r="A877" s="58"/>
      <c r="B877" s="68" t="str">
        <f aca="false">IF(A877="","",COUNTIF(A$5:A877,A877))</f>
        <v/>
      </c>
      <c r="C877" s="68" t="str">
        <f aca="false">IF(A877="","",A877&amp;"-"&amp;B877)</f>
        <v/>
      </c>
      <c r="D877" s="58"/>
      <c r="E877" s="57"/>
      <c r="F877" s="69"/>
      <c r="G877" s="69"/>
      <c r="H877" s="70" t="str">
        <f aca="false">IF(A877="","",IFERROR(INDEX(السندات!$C$5:$C$504,MATCH(A877,السندات!$A$5:$A$504,0)),""))</f>
        <v/>
      </c>
      <c r="I877" s="71" t="str">
        <f aca="false">IF(A877="","",IFERROR(INDEX(السندات!$D$5:$D$504,MATCH(A877,السندات!$A$5:$A$504,0)),""))</f>
        <v/>
      </c>
      <c r="J877" s="72" t="str">
        <f aca="false">IF(A877="","",IF(ISNA(MATCH(A877,السندات!$A$5:$A$504,0)),"رقم سند غير موجود ✘",IF(AND(F877&lt;&gt;"",G877&lt;&gt;""),"اكتب مدين أو دائن فقط ✘",IF(AND(N(F877)=0,N(G877)=0),"بدون مبلغ ⚠",IF(B877&gt;12,"يتجاوز 12 بنداً في الطباعة ⚠","")))))</f>
        <v/>
      </c>
    </row>
    <row r="878" customFormat="false" ht="15" hidden="false" customHeight="false" outlineLevel="0" collapsed="false">
      <c r="A878" s="58"/>
      <c r="B878" s="73" t="str">
        <f aca="false">IF(A878="","",COUNTIF(A$5:A878,A878))</f>
        <v/>
      </c>
      <c r="C878" s="73" t="str">
        <f aca="false">IF(A878="","",A878&amp;"-"&amp;B878)</f>
        <v/>
      </c>
      <c r="D878" s="58"/>
      <c r="E878" s="57"/>
      <c r="F878" s="69"/>
      <c r="G878" s="69"/>
      <c r="H878" s="74" t="str">
        <f aca="false">IF(A878="","",IFERROR(INDEX(السندات!$C$5:$C$504,MATCH(A878,السندات!$A$5:$A$504,0)),""))</f>
        <v/>
      </c>
      <c r="I878" s="75" t="str">
        <f aca="false">IF(A878="","",IFERROR(INDEX(السندات!$D$5:$D$504,MATCH(A878,السندات!$A$5:$A$504,0)),""))</f>
        <v/>
      </c>
      <c r="J878" s="76" t="str">
        <f aca="false">IF(A878="","",IF(ISNA(MATCH(A878,السندات!$A$5:$A$504,0)),"رقم سند غير موجود ✘",IF(AND(F878&lt;&gt;"",G878&lt;&gt;""),"اكتب مدين أو دائن فقط ✘",IF(AND(N(F878)=0,N(G878)=0),"بدون مبلغ ⚠",IF(B878&gt;12,"يتجاوز 12 بنداً في الطباعة ⚠","")))))</f>
        <v/>
      </c>
    </row>
    <row r="879" customFormat="false" ht="15" hidden="false" customHeight="false" outlineLevel="0" collapsed="false">
      <c r="A879" s="58"/>
      <c r="B879" s="68" t="str">
        <f aca="false">IF(A879="","",COUNTIF(A$5:A879,A879))</f>
        <v/>
      </c>
      <c r="C879" s="68" t="str">
        <f aca="false">IF(A879="","",A879&amp;"-"&amp;B879)</f>
        <v/>
      </c>
      <c r="D879" s="58"/>
      <c r="E879" s="57"/>
      <c r="F879" s="69"/>
      <c r="G879" s="69"/>
      <c r="H879" s="70" t="str">
        <f aca="false">IF(A879="","",IFERROR(INDEX(السندات!$C$5:$C$504,MATCH(A879,السندات!$A$5:$A$504,0)),""))</f>
        <v/>
      </c>
      <c r="I879" s="71" t="str">
        <f aca="false">IF(A879="","",IFERROR(INDEX(السندات!$D$5:$D$504,MATCH(A879,السندات!$A$5:$A$504,0)),""))</f>
        <v/>
      </c>
      <c r="J879" s="72" t="str">
        <f aca="false">IF(A879="","",IF(ISNA(MATCH(A879,السندات!$A$5:$A$504,0)),"رقم سند غير موجود ✘",IF(AND(F879&lt;&gt;"",G879&lt;&gt;""),"اكتب مدين أو دائن فقط ✘",IF(AND(N(F879)=0,N(G879)=0),"بدون مبلغ ⚠",IF(B879&gt;12,"يتجاوز 12 بنداً في الطباعة ⚠","")))))</f>
        <v/>
      </c>
    </row>
    <row r="880" customFormat="false" ht="15" hidden="false" customHeight="false" outlineLevel="0" collapsed="false">
      <c r="A880" s="58"/>
      <c r="B880" s="73" t="str">
        <f aca="false">IF(A880="","",COUNTIF(A$5:A880,A880))</f>
        <v/>
      </c>
      <c r="C880" s="73" t="str">
        <f aca="false">IF(A880="","",A880&amp;"-"&amp;B880)</f>
        <v/>
      </c>
      <c r="D880" s="58"/>
      <c r="E880" s="57"/>
      <c r="F880" s="69"/>
      <c r="G880" s="69"/>
      <c r="H880" s="74" t="str">
        <f aca="false">IF(A880="","",IFERROR(INDEX(السندات!$C$5:$C$504,MATCH(A880,السندات!$A$5:$A$504,0)),""))</f>
        <v/>
      </c>
      <c r="I880" s="75" t="str">
        <f aca="false">IF(A880="","",IFERROR(INDEX(السندات!$D$5:$D$504,MATCH(A880,السندات!$A$5:$A$504,0)),""))</f>
        <v/>
      </c>
      <c r="J880" s="76" t="str">
        <f aca="false">IF(A880="","",IF(ISNA(MATCH(A880,السندات!$A$5:$A$504,0)),"رقم سند غير موجود ✘",IF(AND(F880&lt;&gt;"",G880&lt;&gt;""),"اكتب مدين أو دائن فقط ✘",IF(AND(N(F880)=0,N(G880)=0),"بدون مبلغ ⚠",IF(B880&gt;12,"يتجاوز 12 بنداً في الطباعة ⚠","")))))</f>
        <v/>
      </c>
    </row>
    <row r="881" customFormat="false" ht="15" hidden="false" customHeight="false" outlineLevel="0" collapsed="false">
      <c r="A881" s="58"/>
      <c r="B881" s="68" t="str">
        <f aca="false">IF(A881="","",COUNTIF(A$5:A881,A881))</f>
        <v/>
      </c>
      <c r="C881" s="68" t="str">
        <f aca="false">IF(A881="","",A881&amp;"-"&amp;B881)</f>
        <v/>
      </c>
      <c r="D881" s="58"/>
      <c r="E881" s="57"/>
      <c r="F881" s="69"/>
      <c r="G881" s="69"/>
      <c r="H881" s="70" t="str">
        <f aca="false">IF(A881="","",IFERROR(INDEX(السندات!$C$5:$C$504,MATCH(A881,السندات!$A$5:$A$504,0)),""))</f>
        <v/>
      </c>
      <c r="I881" s="71" t="str">
        <f aca="false">IF(A881="","",IFERROR(INDEX(السندات!$D$5:$D$504,MATCH(A881,السندات!$A$5:$A$504,0)),""))</f>
        <v/>
      </c>
      <c r="J881" s="72" t="str">
        <f aca="false">IF(A881="","",IF(ISNA(MATCH(A881,السندات!$A$5:$A$504,0)),"رقم سند غير موجود ✘",IF(AND(F881&lt;&gt;"",G881&lt;&gt;""),"اكتب مدين أو دائن فقط ✘",IF(AND(N(F881)=0,N(G881)=0),"بدون مبلغ ⚠",IF(B881&gt;12,"يتجاوز 12 بنداً في الطباعة ⚠","")))))</f>
        <v/>
      </c>
    </row>
    <row r="882" customFormat="false" ht="15" hidden="false" customHeight="false" outlineLevel="0" collapsed="false">
      <c r="A882" s="58"/>
      <c r="B882" s="73" t="str">
        <f aca="false">IF(A882="","",COUNTIF(A$5:A882,A882))</f>
        <v/>
      </c>
      <c r="C882" s="73" t="str">
        <f aca="false">IF(A882="","",A882&amp;"-"&amp;B882)</f>
        <v/>
      </c>
      <c r="D882" s="58"/>
      <c r="E882" s="57"/>
      <c r="F882" s="69"/>
      <c r="G882" s="69"/>
      <c r="H882" s="74" t="str">
        <f aca="false">IF(A882="","",IFERROR(INDEX(السندات!$C$5:$C$504,MATCH(A882,السندات!$A$5:$A$504,0)),""))</f>
        <v/>
      </c>
      <c r="I882" s="75" t="str">
        <f aca="false">IF(A882="","",IFERROR(INDEX(السندات!$D$5:$D$504,MATCH(A882,السندات!$A$5:$A$504,0)),""))</f>
        <v/>
      </c>
      <c r="J882" s="76" t="str">
        <f aca="false">IF(A882="","",IF(ISNA(MATCH(A882,السندات!$A$5:$A$504,0)),"رقم سند غير موجود ✘",IF(AND(F882&lt;&gt;"",G882&lt;&gt;""),"اكتب مدين أو دائن فقط ✘",IF(AND(N(F882)=0,N(G882)=0),"بدون مبلغ ⚠",IF(B882&gt;12,"يتجاوز 12 بنداً في الطباعة ⚠","")))))</f>
        <v/>
      </c>
    </row>
    <row r="883" customFormat="false" ht="15" hidden="false" customHeight="false" outlineLevel="0" collapsed="false">
      <c r="A883" s="58"/>
      <c r="B883" s="68" t="str">
        <f aca="false">IF(A883="","",COUNTIF(A$5:A883,A883))</f>
        <v/>
      </c>
      <c r="C883" s="68" t="str">
        <f aca="false">IF(A883="","",A883&amp;"-"&amp;B883)</f>
        <v/>
      </c>
      <c r="D883" s="58"/>
      <c r="E883" s="57"/>
      <c r="F883" s="69"/>
      <c r="G883" s="69"/>
      <c r="H883" s="70" t="str">
        <f aca="false">IF(A883="","",IFERROR(INDEX(السندات!$C$5:$C$504,MATCH(A883,السندات!$A$5:$A$504,0)),""))</f>
        <v/>
      </c>
      <c r="I883" s="71" t="str">
        <f aca="false">IF(A883="","",IFERROR(INDEX(السندات!$D$5:$D$504,MATCH(A883,السندات!$A$5:$A$504,0)),""))</f>
        <v/>
      </c>
      <c r="J883" s="72" t="str">
        <f aca="false">IF(A883="","",IF(ISNA(MATCH(A883,السندات!$A$5:$A$504,0)),"رقم سند غير موجود ✘",IF(AND(F883&lt;&gt;"",G883&lt;&gt;""),"اكتب مدين أو دائن فقط ✘",IF(AND(N(F883)=0,N(G883)=0),"بدون مبلغ ⚠",IF(B883&gt;12,"يتجاوز 12 بنداً في الطباعة ⚠","")))))</f>
        <v/>
      </c>
    </row>
    <row r="884" customFormat="false" ht="15" hidden="false" customHeight="false" outlineLevel="0" collapsed="false">
      <c r="A884" s="58"/>
      <c r="B884" s="73" t="str">
        <f aca="false">IF(A884="","",COUNTIF(A$5:A884,A884))</f>
        <v/>
      </c>
      <c r="C884" s="73" t="str">
        <f aca="false">IF(A884="","",A884&amp;"-"&amp;B884)</f>
        <v/>
      </c>
      <c r="D884" s="58"/>
      <c r="E884" s="57"/>
      <c r="F884" s="69"/>
      <c r="G884" s="69"/>
      <c r="H884" s="74" t="str">
        <f aca="false">IF(A884="","",IFERROR(INDEX(السندات!$C$5:$C$504,MATCH(A884,السندات!$A$5:$A$504,0)),""))</f>
        <v/>
      </c>
      <c r="I884" s="75" t="str">
        <f aca="false">IF(A884="","",IFERROR(INDEX(السندات!$D$5:$D$504,MATCH(A884,السندات!$A$5:$A$504,0)),""))</f>
        <v/>
      </c>
      <c r="J884" s="76" t="str">
        <f aca="false">IF(A884="","",IF(ISNA(MATCH(A884,السندات!$A$5:$A$504,0)),"رقم سند غير موجود ✘",IF(AND(F884&lt;&gt;"",G884&lt;&gt;""),"اكتب مدين أو دائن فقط ✘",IF(AND(N(F884)=0,N(G884)=0),"بدون مبلغ ⚠",IF(B884&gt;12,"يتجاوز 12 بنداً في الطباعة ⚠","")))))</f>
        <v/>
      </c>
    </row>
    <row r="885" customFormat="false" ht="15" hidden="false" customHeight="false" outlineLevel="0" collapsed="false">
      <c r="A885" s="58"/>
      <c r="B885" s="68" t="str">
        <f aca="false">IF(A885="","",COUNTIF(A$5:A885,A885))</f>
        <v/>
      </c>
      <c r="C885" s="68" t="str">
        <f aca="false">IF(A885="","",A885&amp;"-"&amp;B885)</f>
        <v/>
      </c>
      <c r="D885" s="58"/>
      <c r="E885" s="57"/>
      <c r="F885" s="69"/>
      <c r="G885" s="69"/>
      <c r="H885" s="70" t="str">
        <f aca="false">IF(A885="","",IFERROR(INDEX(السندات!$C$5:$C$504,MATCH(A885,السندات!$A$5:$A$504,0)),""))</f>
        <v/>
      </c>
      <c r="I885" s="71" t="str">
        <f aca="false">IF(A885="","",IFERROR(INDEX(السندات!$D$5:$D$504,MATCH(A885,السندات!$A$5:$A$504,0)),""))</f>
        <v/>
      </c>
      <c r="J885" s="72" t="str">
        <f aca="false">IF(A885="","",IF(ISNA(MATCH(A885,السندات!$A$5:$A$504,0)),"رقم سند غير موجود ✘",IF(AND(F885&lt;&gt;"",G885&lt;&gt;""),"اكتب مدين أو دائن فقط ✘",IF(AND(N(F885)=0,N(G885)=0),"بدون مبلغ ⚠",IF(B885&gt;12,"يتجاوز 12 بنداً في الطباعة ⚠","")))))</f>
        <v/>
      </c>
    </row>
    <row r="886" customFormat="false" ht="15" hidden="false" customHeight="false" outlineLevel="0" collapsed="false">
      <c r="A886" s="58"/>
      <c r="B886" s="73" t="str">
        <f aca="false">IF(A886="","",COUNTIF(A$5:A886,A886))</f>
        <v/>
      </c>
      <c r="C886" s="73" t="str">
        <f aca="false">IF(A886="","",A886&amp;"-"&amp;B886)</f>
        <v/>
      </c>
      <c r="D886" s="58"/>
      <c r="E886" s="57"/>
      <c r="F886" s="69"/>
      <c r="G886" s="69"/>
      <c r="H886" s="74" t="str">
        <f aca="false">IF(A886="","",IFERROR(INDEX(السندات!$C$5:$C$504,MATCH(A886,السندات!$A$5:$A$504,0)),""))</f>
        <v/>
      </c>
      <c r="I886" s="75" t="str">
        <f aca="false">IF(A886="","",IFERROR(INDEX(السندات!$D$5:$D$504,MATCH(A886,السندات!$A$5:$A$504,0)),""))</f>
        <v/>
      </c>
      <c r="J886" s="76" t="str">
        <f aca="false">IF(A886="","",IF(ISNA(MATCH(A886,السندات!$A$5:$A$504,0)),"رقم سند غير موجود ✘",IF(AND(F886&lt;&gt;"",G886&lt;&gt;""),"اكتب مدين أو دائن فقط ✘",IF(AND(N(F886)=0,N(G886)=0),"بدون مبلغ ⚠",IF(B886&gt;12,"يتجاوز 12 بنداً في الطباعة ⚠","")))))</f>
        <v/>
      </c>
    </row>
    <row r="887" customFormat="false" ht="15" hidden="false" customHeight="false" outlineLevel="0" collapsed="false">
      <c r="A887" s="58"/>
      <c r="B887" s="68" t="str">
        <f aca="false">IF(A887="","",COUNTIF(A$5:A887,A887))</f>
        <v/>
      </c>
      <c r="C887" s="68" t="str">
        <f aca="false">IF(A887="","",A887&amp;"-"&amp;B887)</f>
        <v/>
      </c>
      <c r="D887" s="58"/>
      <c r="E887" s="57"/>
      <c r="F887" s="69"/>
      <c r="G887" s="69"/>
      <c r="H887" s="70" t="str">
        <f aca="false">IF(A887="","",IFERROR(INDEX(السندات!$C$5:$C$504,MATCH(A887,السندات!$A$5:$A$504,0)),""))</f>
        <v/>
      </c>
      <c r="I887" s="71" t="str">
        <f aca="false">IF(A887="","",IFERROR(INDEX(السندات!$D$5:$D$504,MATCH(A887,السندات!$A$5:$A$504,0)),""))</f>
        <v/>
      </c>
      <c r="J887" s="72" t="str">
        <f aca="false">IF(A887="","",IF(ISNA(MATCH(A887,السندات!$A$5:$A$504,0)),"رقم سند غير موجود ✘",IF(AND(F887&lt;&gt;"",G887&lt;&gt;""),"اكتب مدين أو دائن فقط ✘",IF(AND(N(F887)=0,N(G887)=0),"بدون مبلغ ⚠",IF(B887&gt;12,"يتجاوز 12 بنداً في الطباعة ⚠","")))))</f>
        <v/>
      </c>
    </row>
    <row r="888" customFormat="false" ht="15" hidden="false" customHeight="false" outlineLevel="0" collapsed="false">
      <c r="A888" s="58"/>
      <c r="B888" s="73" t="str">
        <f aca="false">IF(A888="","",COUNTIF(A$5:A888,A888))</f>
        <v/>
      </c>
      <c r="C888" s="73" t="str">
        <f aca="false">IF(A888="","",A888&amp;"-"&amp;B888)</f>
        <v/>
      </c>
      <c r="D888" s="58"/>
      <c r="E888" s="57"/>
      <c r="F888" s="69"/>
      <c r="G888" s="69"/>
      <c r="H888" s="74" t="str">
        <f aca="false">IF(A888="","",IFERROR(INDEX(السندات!$C$5:$C$504,MATCH(A888,السندات!$A$5:$A$504,0)),""))</f>
        <v/>
      </c>
      <c r="I888" s="75" t="str">
        <f aca="false">IF(A888="","",IFERROR(INDEX(السندات!$D$5:$D$504,MATCH(A888,السندات!$A$5:$A$504,0)),""))</f>
        <v/>
      </c>
      <c r="J888" s="76" t="str">
        <f aca="false">IF(A888="","",IF(ISNA(MATCH(A888,السندات!$A$5:$A$504,0)),"رقم سند غير موجود ✘",IF(AND(F888&lt;&gt;"",G888&lt;&gt;""),"اكتب مدين أو دائن فقط ✘",IF(AND(N(F888)=0,N(G888)=0),"بدون مبلغ ⚠",IF(B888&gt;12,"يتجاوز 12 بنداً في الطباعة ⚠","")))))</f>
        <v/>
      </c>
    </row>
    <row r="889" customFormat="false" ht="15" hidden="false" customHeight="false" outlineLevel="0" collapsed="false">
      <c r="A889" s="58"/>
      <c r="B889" s="68" t="str">
        <f aca="false">IF(A889="","",COUNTIF(A$5:A889,A889))</f>
        <v/>
      </c>
      <c r="C889" s="68" t="str">
        <f aca="false">IF(A889="","",A889&amp;"-"&amp;B889)</f>
        <v/>
      </c>
      <c r="D889" s="58"/>
      <c r="E889" s="57"/>
      <c r="F889" s="69"/>
      <c r="G889" s="69"/>
      <c r="H889" s="70" t="str">
        <f aca="false">IF(A889="","",IFERROR(INDEX(السندات!$C$5:$C$504,MATCH(A889,السندات!$A$5:$A$504,0)),""))</f>
        <v/>
      </c>
      <c r="I889" s="71" t="str">
        <f aca="false">IF(A889="","",IFERROR(INDEX(السندات!$D$5:$D$504,MATCH(A889,السندات!$A$5:$A$504,0)),""))</f>
        <v/>
      </c>
      <c r="J889" s="72" t="str">
        <f aca="false">IF(A889="","",IF(ISNA(MATCH(A889,السندات!$A$5:$A$504,0)),"رقم سند غير موجود ✘",IF(AND(F889&lt;&gt;"",G889&lt;&gt;""),"اكتب مدين أو دائن فقط ✘",IF(AND(N(F889)=0,N(G889)=0),"بدون مبلغ ⚠",IF(B889&gt;12,"يتجاوز 12 بنداً في الطباعة ⚠","")))))</f>
        <v/>
      </c>
    </row>
    <row r="890" customFormat="false" ht="15" hidden="false" customHeight="false" outlineLevel="0" collapsed="false">
      <c r="A890" s="58"/>
      <c r="B890" s="73" t="str">
        <f aca="false">IF(A890="","",COUNTIF(A$5:A890,A890))</f>
        <v/>
      </c>
      <c r="C890" s="73" t="str">
        <f aca="false">IF(A890="","",A890&amp;"-"&amp;B890)</f>
        <v/>
      </c>
      <c r="D890" s="58"/>
      <c r="E890" s="57"/>
      <c r="F890" s="69"/>
      <c r="G890" s="69"/>
      <c r="H890" s="74" t="str">
        <f aca="false">IF(A890="","",IFERROR(INDEX(السندات!$C$5:$C$504,MATCH(A890,السندات!$A$5:$A$504,0)),""))</f>
        <v/>
      </c>
      <c r="I890" s="75" t="str">
        <f aca="false">IF(A890="","",IFERROR(INDEX(السندات!$D$5:$D$504,MATCH(A890,السندات!$A$5:$A$504,0)),""))</f>
        <v/>
      </c>
      <c r="J890" s="76" t="str">
        <f aca="false">IF(A890="","",IF(ISNA(MATCH(A890,السندات!$A$5:$A$504,0)),"رقم سند غير موجود ✘",IF(AND(F890&lt;&gt;"",G890&lt;&gt;""),"اكتب مدين أو دائن فقط ✘",IF(AND(N(F890)=0,N(G890)=0),"بدون مبلغ ⚠",IF(B890&gt;12,"يتجاوز 12 بنداً في الطباعة ⚠","")))))</f>
        <v/>
      </c>
    </row>
    <row r="891" customFormat="false" ht="15" hidden="false" customHeight="false" outlineLevel="0" collapsed="false">
      <c r="A891" s="58"/>
      <c r="B891" s="68" t="str">
        <f aca="false">IF(A891="","",COUNTIF(A$5:A891,A891))</f>
        <v/>
      </c>
      <c r="C891" s="68" t="str">
        <f aca="false">IF(A891="","",A891&amp;"-"&amp;B891)</f>
        <v/>
      </c>
      <c r="D891" s="58"/>
      <c r="E891" s="57"/>
      <c r="F891" s="69"/>
      <c r="G891" s="69"/>
      <c r="H891" s="70" t="str">
        <f aca="false">IF(A891="","",IFERROR(INDEX(السندات!$C$5:$C$504,MATCH(A891,السندات!$A$5:$A$504,0)),""))</f>
        <v/>
      </c>
      <c r="I891" s="71" t="str">
        <f aca="false">IF(A891="","",IFERROR(INDEX(السندات!$D$5:$D$504,MATCH(A891,السندات!$A$5:$A$504,0)),""))</f>
        <v/>
      </c>
      <c r="J891" s="72" t="str">
        <f aca="false">IF(A891="","",IF(ISNA(MATCH(A891,السندات!$A$5:$A$504,0)),"رقم سند غير موجود ✘",IF(AND(F891&lt;&gt;"",G891&lt;&gt;""),"اكتب مدين أو دائن فقط ✘",IF(AND(N(F891)=0,N(G891)=0),"بدون مبلغ ⚠",IF(B891&gt;12,"يتجاوز 12 بنداً في الطباعة ⚠","")))))</f>
        <v/>
      </c>
    </row>
    <row r="892" customFormat="false" ht="15" hidden="false" customHeight="false" outlineLevel="0" collapsed="false">
      <c r="A892" s="58"/>
      <c r="B892" s="73" t="str">
        <f aca="false">IF(A892="","",COUNTIF(A$5:A892,A892))</f>
        <v/>
      </c>
      <c r="C892" s="73" t="str">
        <f aca="false">IF(A892="","",A892&amp;"-"&amp;B892)</f>
        <v/>
      </c>
      <c r="D892" s="58"/>
      <c r="E892" s="57"/>
      <c r="F892" s="69"/>
      <c r="G892" s="69"/>
      <c r="H892" s="74" t="str">
        <f aca="false">IF(A892="","",IFERROR(INDEX(السندات!$C$5:$C$504,MATCH(A892,السندات!$A$5:$A$504,0)),""))</f>
        <v/>
      </c>
      <c r="I892" s="75" t="str">
        <f aca="false">IF(A892="","",IFERROR(INDEX(السندات!$D$5:$D$504,MATCH(A892,السندات!$A$5:$A$504,0)),""))</f>
        <v/>
      </c>
      <c r="J892" s="76" t="str">
        <f aca="false">IF(A892="","",IF(ISNA(MATCH(A892,السندات!$A$5:$A$504,0)),"رقم سند غير موجود ✘",IF(AND(F892&lt;&gt;"",G892&lt;&gt;""),"اكتب مدين أو دائن فقط ✘",IF(AND(N(F892)=0,N(G892)=0),"بدون مبلغ ⚠",IF(B892&gt;12,"يتجاوز 12 بنداً في الطباعة ⚠","")))))</f>
        <v/>
      </c>
    </row>
    <row r="893" customFormat="false" ht="15" hidden="false" customHeight="false" outlineLevel="0" collapsed="false">
      <c r="A893" s="58"/>
      <c r="B893" s="68" t="str">
        <f aca="false">IF(A893="","",COUNTIF(A$5:A893,A893))</f>
        <v/>
      </c>
      <c r="C893" s="68" t="str">
        <f aca="false">IF(A893="","",A893&amp;"-"&amp;B893)</f>
        <v/>
      </c>
      <c r="D893" s="58"/>
      <c r="E893" s="57"/>
      <c r="F893" s="69"/>
      <c r="G893" s="69"/>
      <c r="H893" s="70" t="str">
        <f aca="false">IF(A893="","",IFERROR(INDEX(السندات!$C$5:$C$504,MATCH(A893,السندات!$A$5:$A$504,0)),""))</f>
        <v/>
      </c>
      <c r="I893" s="71" t="str">
        <f aca="false">IF(A893="","",IFERROR(INDEX(السندات!$D$5:$D$504,MATCH(A893,السندات!$A$5:$A$504,0)),""))</f>
        <v/>
      </c>
      <c r="J893" s="72" t="str">
        <f aca="false">IF(A893="","",IF(ISNA(MATCH(A893,السندات!$A$5:$A$504,0)),"رقم سند غير موجود ✘",IF(AND(F893&lt;&gt;"",G893&lt;&gt;""),"اكتب مدين أو دائن فقط ✘",IF(AND(N(F893)=0,N(G893)=0),"بدون مبلغ ⚠",IF(B893&gt;12,"يتجاوز 12 بنداً في الطباعة ⚠","")))))</f>
        <v/>
      </c>
    </row>
    <row r="894" customFormat="false" ht="15" hidden="false" customHeight="false" outlineLevel="0" collapsed="false">
      <c r="A894" s="58"/>
      <c r="B894" s="73" t="str">
        <f aca="false">IF(A894="","",COUNTIF(A$5:A894,A894))</f>
        <v/>
      </c>
      <c r="C894" s="73" t="str">
        <f aca="false">IF(A894="","",A894&amp;"-"&amp;B894)</f>
        <v/>
      </c>
      <c r="D894" s="58"/>
      <c r="E894" s="57"/>
      <c r="F894" s="69"/>
      <c r="G894" s="69"/>
      <c r="H894" s="74" t="str">
        <f aca="false">IF(A894="","",IFERROR(INDEX(السندات!$C$5:$C$504,MATCH(A894,السندات!$A$5:$A$504,0)),""))</f>
        <v/>
      </c>
      <c r="I894" s="75" t="str">
        <f aca="false">IF(A894="","",IFERROR(INDEX(السندات!$D$5:$D$504,MATCH(A894,السندات!$A$5:$A$504,0)),""))</f>
        <v/>
      </c>
      <c r="J894" s="76" t="str">
        <f aca="false">IF(A894="","",IF(ISNA(MATCH(A894,السندات!$A$5:$A$504,0)),"رقم سند غير موجود ✘",IF(AND(F894&lt;&gt;"",G894&lt;&gt;""),"اكتب مدين أو دائن فقط ✘",IF(AND(N(F894)=0,N(G894)=0),"بدون مبلغ ⚠",IF(B894&gt;12,"يتجاوز 12 بنداً في الطباعة ⚠","")))))</f>
        <v/>
      </c>
    </row>
    <row r="895" customFormat="false" ht="15" hidden="false" customHeight="false" outlineLevel="0" collapsed="false">
      <c r="A895" s="58"/>
      <c r="B895" s="68" t="str">
        <f aca="false">IF(A895="","",COUNTIF(A$5:A895,A895))</f>
        <v/>
      </c>
      <c r="C895" s="68" t="str">
        <f aca="false">IF(A895="","",A895&amp;"-"&amp;B895)</f>
        <v/>
      </c>
      <c r="D895" s="58"/>
      <c r="E895" s="57"/>
      <c r="F895" s="69"/>
      <c r="G895" s="69"/>
      <c r="H895" s="70" t="str">
        <f aca="false">IF(A895="","",IFERROR(INDEX(السندات!$C$5:$C$504,MATCH(A895,السندات!$A$5:$A$504,0)),""))</f>
        <v/>
      </c>
      <c r="I895" s="71" t="str">
        <f aca="false">IF(A895="","",IFERROR(INDEX(السندات!$D$5:$D$504,MATCH(A895,السندات!$A$5:$A$504,0)),""))</f>
        <v/>
      </c>
      <c r="J895" s="72" t="str">
        <f aca="false">IF(A895="","",IF(ISNA(MATCH(A895,السندات!$A$5:$A$504,0)),"رقم سند غير موجود ✘",IF(AND(F895&lt;&gt;"",G895&lt;&gt;""),"اكتب مدين أو دائن فقط ✘",IF(AND(N(F895)=0,N(G895)=0),"بدون مبلغ ⚠",IF(B895&gt;12,"يتجاوز 12 بنداً في الطباعة ⚠","")))))</f>
        <v/>
      </c>
    </row>
    <row r="896" customFormat="false" ht="15" hidden="false" customHeight="false" outlineLevel="0" collapsed="false">
      <c r="A896" s="58"/>
      <c r="B896" s="73" t="str">
        <f aca="false">IF(A896="","",COUNTIF(A$5:A896,A896))</f>
        <v/>
      </c>
      <c r="C896" s="73" t="str">
        <f aca="false">IF(A896="","",A896&amp;"-"&amp;B896)</f>
        <v/>
      </c>
      <c r="D896" s="58"/>
      <c r="E896" s="57"/>
      <c r="F896" s="69"/>
      <c r="G896" s="69"/>
      <c r="H896" s="74" t="str">
        <f aca="false">IF(A896="","",IFERROR(INDEX(السندات!$C$5:$C$504,MATCH(A896,السندات!$A$5:$A$504,0)),""))</f>
        <v/>
      </c>
      <c r="I896" s="75" t="str">
        <f aca="false">IF(A896="","",IFERROR(INDEX(السندات!$D$5:$D$504,MATCH(A896,السندات!$A$5:$A$504,0)),""))</f>
        <v/>
      </c>
      <c r="J896" s="76" t="str">
        <f aca="false">IF(A896="","",IF(ISNA(MATCH(A896,السندات!$A$5:$A$504,0)),"رقم سند غير موجود ✘",IF(AND(F896&lt;&gt;"",G896&lt;&gt;""),"اكتب مدين أو دائن فقط ✘",IF(AND(N(F896)=0,N(G896)=0),"بدون مبلغ ⚠",IF(B896&gt;12,"يتجاوز 12 بنداً في الطباعة ⚠","")))))</f>
        <v/>
      </c>
    </row>
    <row r="897" customFormat="false" ht="15" hidden="false" customHeight="false" outlineLevel="0" collapsed="false">
      <c r="A897" s="58"/>
      <c r="B897" s="68" t="str">
        <f aca="false">IF(A897="","",COUNTIF(A$5:A897,A897))</f>
        <v/>
      </c>
      <c r="C897" s="68" t="str">
        <f aca="false">IF(A897="","",A897&amp;"-"&amp;B897)</f>
        <v/>
      </c>
      <c r="D897" s="58"/>
      <c r="E897" s="57"/>
      <c r="F897" s="69"/>
      <c r="G897" s="69"/>
      <c r="H897" s="70" t="str">
        <f aca="false">IF(A897="","",IFERROR(INDEX(السندات!$C$5:$C$504,MATCH(A897,السندات!$A$5:$A$504,0)),""))</f>
        <v/>
      </c>
      <c r="I897" s="71" t="str">
        <f aca="false">IF(A897="","",IFERROR(INDEX(السندات!$D$5:$D$504,MATCH(A897,السندات!$A$5:$A$504,0)),""))</f>
        <v/>
      </c>
      <c r="J897" s="72" t="str">
        <f aca="false">IF(A897="","",IF(ISNA(MATCH(A897,السندات!$A$5:$A$504,0)),"رقم سند غير موجود ✘",IF(AND(F897&lt;&gt;"",G897&lt;&gt;""),"اكتب مدين أو دائن فقط ✘",IF(AND(N(F897)=0,N(G897)=0),"بدون مبلغ ⚠",IF(B897&gt;12,"يتجاوز 12 بنداً في الطباعة ⚠","")))))</f>
        <v/>
      </c>
    </row>
    <row r="898" customFormat="false" ht="15" hidden="false" customHeight="false" outlineLevel="0" collapsed="false">
      <c r="A898" s="58"/>
      <c r="B898" s="73" t="str">
        <f aca="false">IF(A898="","",COUNTIF(A$5:A898,A898))</f>
        <v/>
      </c>
      <c r="C898" s="73" t="str">
        <f aca="false">IF(A898="","",A898&amp;"-"&amp;B898)</f>
        <v/>
      </c>
      <c r="D898" s="58"/>
      <c r="E898" s="57"/>
      <c r="F898" s="69"/>
      <c r="G898" s="69"/>
      <c r="H898" s="74" t="str">
        <f aca="false">IF(A898="","",IFERROR(INDEX(السندات!$C$5:$C$504,MATCH(A898,السندات!$A$5:$A$504,0)),""))</f>
        <v/>
      </c>
      <c r="I898" s="75" t="str">
        <f aca="false">IF(A898="","",IFERROR(INDEX(السندات!$D$5:$D$504,MATCH(A898,السندات!$A$5:$A$504,0)),""))</f>
        <v/>
      </c>
      <c r="J898" s="76" t="str">
        <f aca="false">IF(A898="","",IF(ISNA(MATCH(A898,السندات!$A$5:$A$504,0)),"رقم سند غير موجود ✘",IF(AND(F898&lt;&gt;"",G898&lt;&gt;""),"اكتب مدين أو دائن فقط ✘",IF(AND(N(F898)=0,N(G898)=0),"بدون مبلغ ⚠",IF(B898&gt;12,"يتجاوز 12 بنداً في الطباعة ⚠","")))))</f>
        <v/>
      </c>
    </row>
    <row r="899" customFormat="false" ht="15" hidden="false" customHeight="false" outlineLevel="0" collapsed="false">
      <c r="A899" s="58"/>
      <c r="B899" s="68" t="str">
        <f aca="false">IF(A899="","",COUNTIF(A$5:A899,A899))</f>
        <v/>
      </c>
      <c r="C899" s="68" t="str">
        <f aca="false">IF(A899="","",A899&amp;"-"&amp;B899)</f>
        <v/>
      </c>
      <c r="D899" s="58"/>
      <c r="E899" s="57"/>
      <c r="F899" s="69"/>
      <c r="G899" s="69"/>
      <c r="H899" s="70" t="str">
        <f aca="false">IF(A899="","",IFERROR(INDEX(السندات!$C$5:$C$504,MATCH(A899,السندات!$A$5:$A$504,0)),""))</f>
        <v/>
      </c>
      <c r="I899" s="71" t="str">
        <f aca="false">IF(A899="","",IFERROR(INDEX(السندات!$D$5:$D$504,MATCH(A899,السندات!$A$5:$A$504,0)),""))</f>
        <v/>
      </c>
      <c r="J899" s="72" t="str">
        <f aca="false">IF(A899="","",IF(ISNA(MATCH(A899,السندات!$A$5:$A$504,0)),"رقم سند غير موجود ✘",IF(AND(F899&lt;&gt;"",G899&lt;&gt;""),"اكتب مدين أو دائن فقط ✘",IF(AND(N(F899)=0,N(G899)=0),"بدون مبلغ ⚠",IF(B899&gt;12,"يتجاوز 12 بنداً في الطباعة ⚠","")))))</f>
        <v/>
      </c>
    </row>
    <row r="900" customFormat="false" ht="15" hidden="false" customHeight="false" outlineLevel="0" collapsed="false">
      <c r="A900" s="58"/>
      <c r="B900" s="73" t="str">
        <f aca="false">IF(A900="","",COUNTIF(A$5:A900,A900))</f>
        <v/>
      </c>
      <c r="C900" s="73" t="str">
        <f aca="false">IF(A900="","",A900&amp;"-"&amp;B900)</f>
        <v/>
      </c>
      <c r="D900" s="58"/>
      <c r="E900" s="57"/>
      <c r="F900" s="69"/>
      <c r="G900" s="69"/>
      <c r="H900" s="74" t="str">
        <f aca="false">IF(A900="","",IFERROR(INDEX(السندات!$C$5:$C$504,MATCH(A900,السندات!$A$5:$A$504,0)),""))</f>
        <v/>
      </c>
      <c r="I900" s="75" t="str">
        <f aca="false">IF(A900="","",IFERROR(INDEX(السندات!$D$5:$D$504,MATCH(A900,السندات!$A$5:$A$504,0)),""))</f>
        <v/>
      </c>
      <c r="J900" s="76" t="str">
        <f aca="false">IF(A900="","",IF(ISNA(MATCH(A900,السندات!$A$5:$A$504,0)),"رقم سند غير موجود ✘",IF(AND(F900&lt;&gt;"",G900&lt;&gt;""),"اكتب مدين أو دائن فقط ✘",IF(AND(N(F900)=0,N(G900)=0),"بدون مبلغ ⚠",IF(B900&gt;12,"يتجاوز 12 بنداً في الطباعة ⚠","")))))</f>
        <v/>
      </c>
    </row>
    <row r="901" customFormat="false" ht="15" hidden="false" customHeight="false" outlineLevel="0" collapsed="false">
      <c r="A901" s="58"/>
      <c r="B901" s="68" t="str">
        <f aca="false">IF(A901="","",COUNTIF(A$5:A901,A901))</f>
        <v/>
      </c>
      <c r="C901" s="68" t="str">
        <f aca="false">IF(A901="","",A901&amp;"-"&amp;B901)</f>
        <v/>
      </c>
      <c r="D901" s="58"/>
      <c r="E901" s="57"/>
      <c r="F901" s="69"/>
      <c r="G901" s="69"/>
      <c r="H901" s="70" t="str">
        <f aca="false">IF(A901="","",IFERROR(INDEX(السندات!$C$5:$C$504,MATCH(A901,السندات!$A$5:$A$504,0)),""))</f>
        <v/>
      </c>
      <c r="I901" s="71" t="str">
        <f aca="false">IF(A901="","",IFERROR(INDEX(السندات!$D$5:$D$504,MATCH(A901,السندات!$A$5:$A$504,0)),""))</f>
        <v/>
      </c>
      <c r="J901" s="72" t="str">
        <f aca="false">IF(A901="","",IF(ISNA(MATCH(A901,السندات!$A$5:$A$504,0)),"رقم سند غير موجود ✘",IF(AND(F901&lt;&gt;"",G901&lt;&gt;""),"اكتب مدين أو دائن فقط ✘",IF(AND(N(F901)=0,N(G901)=0),"بدون مبلغ ⚠",IF(B901&gt;12,"يتجاوز 12 بنداً في الطباعة ⚠","")))))</f>
        <v/>
      </c>
    </row>
    <row r="902" customFormat="false" ht="15" hidden="false" customHeight="false" outlineLevel="0" collapsed="false">
      <c r="A902" s="58"/>
      <c r="B902" s="73" t="str">
        <f aca="false">IF(A902="","",COUNTIF(A$5:A902,A902))</f>
        <v/>
      </c>
      <c r="C902" s="73" t="str">
        <f aca="false">IF(A902="","",A902&amp;"-"&amp;B902)</f>
        <v/>
      </c>
      <c r="D902" s="58"/>
      <c r="E902" s="57"/>
      <c r="F902" s="69"/>
      <c r="G902" s="69"/>
      <c r="H902" s="74" t="str">
        <f aca="false">IF(A902="","",IFERROR(INDEX(السندات!$C$5:$C$504,MATCH(A902,السندات!$A$5:$A$504,0)),""))</f>
        <v/>
      </c>
      <c r="I902" s="75" t="str">
        <f aca="false">IF(A902="","",IFERROR(INDEX(السندات!$D$5:$D$504,MATCH(A902,السندات!$A$5:$A$504,0)),""))</f>
        <v/>
      </c>
      <c r="J902" s="76" t="str">
        <f aca="false">IF(A902="","",IF(ISNA(MATCH(A902,السندات!$A$5:$A$504,0)),"رقم سند غير موجود ✘",IF(AND(F902&lt;&gt;"",G902&lt;&gt;""),"اكتب مدين أو دائن فقط ✘",IF(AND(N(F902)=0,N(G902)=0),"بدون مبلغ ⚠",IF(B902&gt;12,"يتجاوز 12 بنداً في الطباعة ⚠","")))))</f>
        <v/>
      </c>
    </row>
    <row r="903" customFormat="false" ht="15" hidden="false" customHeight="false" outlineLevel="0" collapsed="false">
      <c r="A903" s="58"/>
      <c r="B903" s="68" t="str">
        <f aca="false">IF(A903="","",COUNTIF(A$5:A903,A903))</f>
        <v/>
      </c>
      <c r="C903" s="68" t="str">
        <f aca="false">IF(A903="","",A903&amp;"-"&amp;B903)</f>
        <v/>
      </c>
      <c r="D903" s="58"/>
      <c r="E903" s="57"/>
      <c r="F903" s="69"/>
      <c r="G903" s="69"/>
      <c r="H903" s="70" t="str">
        <f aca="false">IF(A903="","",IFERROR(INDEX(السندات!$C$5:$C$504,MATCH(A903,السندات!$A$5:$A$504,0)),""))</f>
        <v/>
      </c>
      <c r="I903" s="71" t="str">
        <f aca="false">IF(A903="","",IFERROR(INDEX(السندات!$D$5:$D$504,MATCH(A903,السندات!$A$5:$A$504,0)),""))</f>
        <v/>
      </c>
      <c r="J903" s="72" t="str">
        <f aca="false">IF(A903="","",IF(ISNA(MATCH(A903,السندات!$A$5:$A$504,0)),"رقم سند غير موجود ✘",IF(AND(F903&lt;&gt;"",G903&lt;&gt;""),"اكتب مدين أو دائن فقط ✘",IF(AND(N(F903)=0,N(G903)=0),"بدون مبلغ ⚠",IF(B903&gt;12,"يتجاوز 12 بنداً في الطباعة ⚠","")))))</f>
        <v/>
      </c>
    </row>
    <row r="904" customFormat="false" ht="15" hidden="false" customHeight="false" outlineLevel="0" collapsed="false">
      <c r="A904" s="58"/>
      <c r="B904" s="73" t="str">
        <f aca="false">IF(A904="","",COUNTIF(A$5:A904,A904))</f>
        <v/>
      </c>
      <c r="C904" s="73" t="str">
        <f aca="false">IF(A904="","",A904&amp;"-"&amp;B904)</f>
        <v/>
      </c>
      <c r="D904" s="58"/>
      <c r="E904" s="57"/>
      <c r="F904" s="69"/>
      <c r="G904" s="69"/>
      <c r="H904" s="74" t="str">
        <f aca="false">IF(A904="","",IFERROR(INDEX(السندات!$C$5:$C$504,MATCH(A904,السندات!$A$5:$A$504,0)),""))</f>
        <v/>
      </c>
      <c r="I904" s="75" t="str">
        <f aca="false">IF(A904="","",IFERROR(INDEX(السندات!$D$5:$D$504,MATCH(A904,السندات!$A$5:$A$504,0)),""))</f>
        <v/>
      </c>
      <c r="J904" s="76" t="str">
        <f aca="false">IF(A904="","",IF(ISNA(MATCH(A904,السندات!$A$5:$A$504,0)),"رقم سند غير موجود ✘",IF(AND(F904&lt;&gt;"",G904&lt;&gt;""),"اكتب مدين أو دائن فقط ✘",IF(AND(N(F904)=0,N(G904)=0),"بدون مبلغ ⚠",IF(B904&gt;12,"يتجاوز 12 بنداً في الطباعة ⚠","")))))</f>
        <v/>
      </c>
    </row>
    <row r="905" customFormat="false" ht="15" hidden="false" customHeight="false" outlineLevel="0" collapsed="false">
      <c r="A905" s="58"/>
      <c r="B905" s="68" t="str">
        <f aca="false">IF(A905="","",COUNTIF(A$5:A905,A905))</f>
        <v/>
      </c>
      <c r="C905" s="68" t="str">
        <f aca="false">IF(A905="","",A905&amp;"-"&amp;B905)</f>
        <v/>
      </c>
      <c r="D905" s="58"/>
      <c r="E905" s="57"/>
      <c r="F905" s="69"/>
      <c r="G905" s="69"/>
      <c r="H905" s="70" t="str">
        <f aca="false">IF(A905="","",IFERROR(INDEX(السندات!$C$5:$C$504,MATCH(A905,السندات!$A$5:$A$504,0)),""))</f>
        <v/>
      </c>
      <c r="I905" s="71" t="str">
        <f aca="false">IF(A905="","",IFERROR(INDEX(السندات!$D$5:$D$504,MATCH(A905,السندات!$A$5:$A$504,0)),""))</f>
        <v/>
      </c>
      <c r="J905" s="72" t="str">
        <f aca="false">IF(A905="","",IF(ISNA(MATCH(A905,السندات!$A$5:$A$504,0)),"رقم سند غير موجود ✘",IF(AND(F905&lt;&gt;"",G905&lt;&gt;""),"اكتب مدين أو دائن فقط ✘",IF(AND(N(F905)=0,N(G905)=0),"بدون مبلغ ⚠",IF(B905&gt;12,"يتجاوز 12 بنداً في الطباعة ⚠","")))))</f>
        <v/>
      </c>
    </row>
    <row r="906" customFormat="false" ht="15" hidden="false" customHeight="false" outlineLevel="0" collapsed="false">
      <c r="A906" s="58"/>
      <c r="B906" s="73" t="str">
        <f aca="false">IF(A906="","",COUNTIF(A$5:A906,A906))</f>
        <v/>
      </c>
      <c r="C906" s="73" t="str">
        <f aca="false">IF(A906="","",A906&amp;"-"&amp;B906)</f>
        <v/>
      </c>
      <c r="D906" s="58"/>
      <c r="E906" s="57"/>
      <c r="F906" s="69"/>
      <c r="G906" s="69"/>
      <c r="H906" s="74" t="str">
        <f aca="false">IF(A906="","",IFERROR(INDEX(السندات!$C$5:$C$504,MATCH(A906,السندات!$A$5:$A$504,0)),""))</f>
        <v/>
      </c>
      <c r="I906" s="75" t="str">
        <f aca="false">IF(A906="","",IFERROR(INDEX(السندات!$D$5:$D$504,MATCH(A906,السندات!$A$5:$A$504,0)),""))</f>
        <v/>
      </c>
      <c r="J906" s="76" t="str">
        <f aca="false">IF(A906="","",IF(ISNA(MATCH(A906,السندات!$A$5:$A$504,0)),"رقم سند غير موجود ✘",IF(AND(F906&lt;&gt;"",G906&lt;&gt;""),"اكتب مدين أو دائن فقط ✘",IF(AND(N(F906)=0,N(G906)=0),"بدون مبلغ ⚠",IF(B906&gt;12,"يتجاوز 12 بنداً في الطباعة ⚠","")))))</f>
        <v/>
      </c>
    </row>
    <row r="907" customFormat="false" ht="15" hidden="false" customHeight="false" outlineLevel="0" collapsed="false">
      <c r="A907" s="58"/>
      <c r="B907" s="68" t="str">
        <f aca="false">IF(A907="","",COUNTIF(A$5:A907,A907))</f>
        <v/>
      </c>
      <c r="C907" s="68" t="str">
        <f aca="false">IF(A907="","",A907&amp;"-"&amp;B907)</f>
        <v/>
      </c>
      <c r="D907" s="58"/>
      <c r="E907" s="57"/>
      <c r="F907" s="69"/>
      <c r="G907" s="69"/>
      <c r="H907" s="70" t="str">
        <f aca="false">IF(A907="","",IFERROR(INDEX(السندات!$C$5:$C$504,MATCH(A907,السندات!$A$5:$A$504,0)),""))</f>
        <v/>
      </c>
      <c r="I907" s="71" t="str">
        <f aca="false">IF(A907="","",IFERROR(INDEX(السندات!$D$5:$D$504,MATCH(A907,السندات!$A$5:$A$504,0)),""))</f>
        <v/>
      </c>
      <c r="J907" s="72" t="str">
        <f aca="false">IF(A907="","",IF(ISNA(MATCH(A907,السندات!$A$5:$A$504,0)),"رقم سند غير موجود ✘",IF(AND(F907&lt;&gt;"",G907&lt;&gt;""),"اكتب مدين أو دائن فقط ✘",IF(AND(N(F907)=0,N(G907)=0),"بدون مبلغ ⚠",IF(B907&gt;12,"يتجاوز 12 بنداً في الطباعة ⚠","")))))</f>
        <v/>
      </c>
    </row>
    <row r="908" customFormat="false" ht="15" hidden="false" customHeight="false" outlineLevel="0" collapsed="false">
      <c r="A908" s="58"/>
      <c r="B908" s="73" t="str">
        <f aca="false">IF(A908="","",COUNTIF(A$5:A908,A908))</f>
        <v/>
      </c>
      <c r="C908" s="73" t="str">
        <f aca="false">IF(A908="","",A908&amp;"-"&amp;B908)</f>
        <v/>
      </c>
      <c r="D908" s="58"/>
      <c r="E908" s="57"/>
      <c r="F908" s="69"/>
      <c r="G908" s="69"/>
      <c r="H908" s="74" t="str">
        <f aca="false">IF(A908="","",IFERROR(INDEX(السندات!$C$5:$C$504,MATCH(A908,السندات!$A$5:$A$504,0)),""))</f>
        <v/>
      </c>
      <c r="I908" s="75" t="str">
        <f aca="false">IF(A908="","",IFERROR(INDEX(السندات!$D$5:$D$504,MATCH(A908,السندات!$A$5:$A$504,0)),""))</f>
        <v/>
      </c>
      <c r="J908" s="76" t="str">
        <f aca="false">IF(A908="","",IF(ISNA(MATCH(A908,السندات!$A$5:$A$504,0)),"رقم سند غير موجود ✘",IF(AND(F908&lt;&gt;"",G908&lt;&gt;""),"اكتب مدين أو دائن فقط ✘",IF(AND(N(F908)=0,N(G908)=0),"بدون مبلغ ⚠",IF(B908&gt;12,"يتجاوز 12 بنداً في الطباعة ⚠","")))))</f>
        <v/>
      </c>
    </row>
    <row r="909" customFormat="false" ht="15" hidden="false" customHeight="false" outlineLevel="0" collapsed="false">
      <c r="A909" s="58"/>
      <c r="B909" s="68" t="str">
        <f aca="false">IF(A909="","",COUNTIF(A$5:A909,A909))</f>
        <v/>
      </c>
      <c r="C909" s="68" t="str">
        <f aca="false">IF(A909="","",A909&amp;"-"&amp;B909)</f>
        <v/>
      </c>
      <c r="D909" s="58"/>
      <c r="E909" s="57"/>
      <c r="F909" s="69"/>
      <c r="G909" s="69"/>
      <c r="H909" s="70" t="str">
        <f aca="false">IF(A909="","",IFERROR(INDEX(السندات!$C$5:$C$504,MATCH(A909,السندات!$A$5:$A$504,0)),""))</f>
        <v/>
      </c>
      <c r="I909" s="71" t="str">
        <f aca="false">IF(A909="","",IFERROR(INDEX(السندات!$D$5:$D$504,MATCH(A909,السندات!$A$5:$A$504,0)),""))</f>
        <v/>
      </c>
      <c r="J909" s="72" t="str">
        <f aca="false">IF(A909="","",IF(ISNA(MATCH(A909,السندات!$A$5:$A$504,0)),"رقم سند غير موجود ✘",IF(AND(F909&lt;&gt;"",G909&lt;&gt;""),"اكتب مدين أو دائن فقط ✘",IF(AND(N(F909)=0,N(G909)=0),"بدون مبلغ ⚠",IF(B909&gt;12,"يتجاوز 12 بنداً في الطباعة ⚠","")))))</f>
        <v/>
      </c>
    </row>
    <row r="910" customFormat="false" ht="15" hidden="false" customHeight="false" outlineLevel="0" collapsed="false">
      <c r="A910" s="58"/>
      <c r="B910" s="73" t="str">
        <f aca="false">IF(A910="","",COUNTIF(A$5:A910,A910))</f>
        <v/>
      </c>
      <c r="C910" s="73" t="str">
        <f aca="false">IF(A910="","",A910&amp;"-"&amp;B910)</f>
        <v/>
      </c>
      <c r="D910" s="58"/>
      <c r="E910" s="57"/>
      <c r="F910" s="69"/>
      <c r="G910" s="69"/>
      <c r="H910" s="74" t="str">
        <f aca="false">IF(A910="","",IFERROR(INDEX(السندات!$C$5:$C$504,MATCH(A910,السندات!$A$5:$A$504,0)),""))</f>
        <v/>
      </c>
      <c r="I910" s="75" t="str">
        <f aca="false">IF(A910="","",IFERROR(INDEX(السندات!$D$5:$D$504,MATCH(A910,السندات!$A$5:$A$504,0)),""))</f>
        <v/>
      </c>
      <c r="J910" s="76" t="str">
        <f aca="false">IF(A910="","",IF(ISNA(MATCH(A910,السندات!$A$5:$A$504,0)),"رقم سند غير موجود ✘",IF(AND(F910&lt;&gt;"",G910&lt;&gt;""),"اكتب مدين أو دائن فقط ✘",IF(AND(N(F910)=0,N(G910)=0),"بدون مبلغ ⚠",IF(B910&gt;12,"يتجاوز 12 بنداً في الطباعة ⚠","")))))</f>
        <v/>
      </c>
    </row>
    <row r="911" customFormat="false" ht="15" hidden="false" customHeight="false" outlineLevel="0" collapsed="false">
      <c r="A911" s="58"/>
      <c r="B911" s="68" t="str">
        <f aca="false">IF(A911="","",COUNTIF(A$5:A911,A911))</f>
        <v/>
      </c>
      <c r="C911" s="68" t="str">
        <f aca="false">IF(A911="","",A911&amp;"-"&amp;B911)</f>
        <v/>
      </c>
      <c r="D911" s="58"/>
      <c r="E911" s="57"/>
      <c r="F911" s="69"/>
      <c r="G911" s="69"/>
      <c r="H911" s="70" t="str">
        <f aca="false">IF(A911="","",IFERROR(INDEX(السندات!$C$5:$C$504,MATCH(A911,السندات!$A$5:$A$504,0)),""))</f>
        <v/>
      </c>
      <c r="I911" s="71" t="str">
        <f aca="false">IF(A911="","",IFERROR(INDEX(السندات!$D$5:$D$504,MATCH(A911,السندات!$A$5:$A$504,0)),""))</f>
        <v/>
      </c>
      <c r="J911" s="72" t="str">
        <f aca="false">IF(A911="","",IF(ISNA(MATCH(A911,السندات!$A$5:$A$504,0)),"رقم سند غير موجود ✘",IF(AND(F911&lt;&gt;"",G911&lt;&gt;""),"اكتب مدين أو دائن فقط ✘",IF(AND(N(F911)=0,N(G911)=0),"بدون مبلغ ⚠",IF(B911&gt;12,"يتجاوز 12 بنداً في الطباعة ⚠","")))))</f>
        <v/>
      </c>
    </row>
    <row r="912" customFormat="false" ht="15" hidden="false" customHeight="false" outlineLevel="0" collapsed="false">
      <c r="A912" s="58"/>
      <c r="B912" s="73" t="str">
        <f aca="false">IF(A912="","",COUNTIF(A$5:A912,A912))</f>
        <v/>
      </c>
      <c r="C912" s="73" t="str">
        <f aca="false">IF(A912="","",A912&amp;"-"&amp;B912)</f>
        <v/>
      </c>
      <c r="D912" s="58"/>
      <c r="E912" s="57"/>
      <c r="F912" s="69"/>
      <c r="G912" s="69"/>
      <c r="H912" s="74" t="str">
        <f aca="false">IF(A912="","",IFERROR(INDEX(السندات!$C$5:$C$504,MATCH(A912,السندات!$A$5:$A$504,0)),""))</f>
        <v/>
      </c>
      <c r="I912" s="75" t="str">
        <f aca="false">IF(A912="","",IFERROR(INDEX(السندات!$D$5:$D$504,MATCH(A912,السندات!$A$5:$A$504,0)),""))</f>
        <v/>
      </c>
      <c r="J912" s="76" t="str">
        <f aca="false">IF(A912="","",IF(ISNA(MATCH(A912,السندات!$A$5:$A$504,0)),"رقم سند غير موجود ✘",IF(AND(F912&lt;&gt;"",G912&lt;&gt;""),"اكتب مدين أو دائن فقط ✘",IF(AND(N(F912)=0,N(G912)=0),"بدون مبلغ ⚠",IF(B912&gt;12,"يتجاوز 12 بنداً في الطباعة ⚠","")))))</f>
        <v/>
      </c>
    </row>
    <row r="913" customFormat="false" ht="15" hidden="false" customHeight="false" outlineLevel="0" collapsed="false">
      <c r="A913" s="58"/>
      <c r="B913" s="68" t="str">
        <f aca="false">IF(A913="","",COUNTIF(A$5:A913,A913))</f>
        <v/>
      </c>
      <c r="C913" s="68" t="str">
        <f aca="false">IF(A913="","",A913&amp;"-"&amp;B913)</f>
        <v/>
      </c>
      <c r="D913" s="58"/>
      <c r="E913" s="57"/>
      <c r="F913" s="69"/>
      <c r="G913" s="69"/>
      <c r="H913" s="70" t="str">
        <f aca="false">IF(A913="","",IFERROR(INDEX(السندات!$C$5:$C$504,MATCH(A913,السندات!$A$5:$A$504,0)),""))</f>
        <v/>
      </c>
      <c r="I913" s="71" t="str">
        <f aca="false">IF(A913="","",IFERROR(INDEX(السندات!$D$5:$D$504,MATCH(A913,السندات!$A$5:$A$504,0)),""))</f>
        <v/>
      </c>
      <c r="J913" s="72" t="str">
        <f aca="false">IF(A913="","",IF(ISNA(MATCH(A913,السندات!$A$5:$A$504,0)),"رقم سند غير موجود ✘",IF(AND(F913&lt;&gt;"",G913&lt;&gt;""),"اكتب مدين أو دائن فقط ✘",IF(AND(N(F913)=0,N(G913)=0),"بدون مبلغ ⚠",IF(B913&gt;12,"يتجاوز 12 بنداً في الطباعة ⚠","")))))</f>
        <v/>
      </c>
    </row>
    <row r="914" customFormat="false" ht="15" hidden="false" customHeight="false" outlineLevel="0" collapsed="false">
      <c r="A914" s="58"/>
      <c r="B914" s="73" t="str">
        <f aca="false">IF(A914="","",COUNTIF(A$5:A914,A914))</f>
        <v/>
      </c>
      <c r="C914" s="73" t="str">
        <f aca="false">IF(A914="","",A914&amp;"-"&amp;B914)</f>
        <v/>
      </c>
      <c r="D914" s="58"/>
      <c r="E914" s="57"/>
      <c r="F914" s="69"/>
      <c r="G914" s="69"/>
      <c r="H914" s="74" t="str">
        <f aca="false">IF(A914="","",IFERROR(INDEX(السندات!$C$5:$C$504,MATCH(A914,السندات!$A$5:$A$504,0)),""))</f>
        <v/>
      </c>
      <c r="I914" s="75" t="str">
        <f aca="false">IF(A914="","",IFERROR(INDEX(السندات!$D$5:$D$504,MATCH(A914,السندات!$A$5:$A$504,0)),""))</f>
        <v/>
      </c>
      <c r="J914" s="76" t="str">
        <f aca="false">IF(A914="","",IF(ISNA(MATCH(A914,السندات!$A$5:$A$504,0)),"رقم سند غير موجود ✘",IF(AND(F914&lt;&gt;"",G914&lt;&gt;""),"اكتب مدين أو دائن فقط ✘",IF(AND(N(F914)=0,N(G914)=0),"بدون مبلغ ⚠",IF(B914&gt;12,"يتجاوز 12 بنداً في الطباعة ⚠","")))))</f>
        <v/>
      </c>
    </row>
    <row r="915" customFormat="false" ht="15" hidden="false" customHeight="false" outlineLevel="0" collapsed="false">
      <c r="A915" s="58"/>
      <c r="B915" s="68" t="str">
        <f aca="false">IF(A915="","",COUNTIF(A$5:A915,A915))</f>
        <v/>
      </c>
      <c r="C915" s="68" t="str">
        <f aca="false">IF(A915="","",A915&amp;"-"&amp;B915)</f>
        <v/>
      </c>
      <c r="D915" s="58"/>
      <c r="E915" s="57"/>
      <c r="F915" s="69"/>
      <c r="G915" s="69"/>
      <c r="H915" s="70" t="str">
        <f aca="false">IF(A915="","",IFERROR(INDEX(السندات!$C$5:$C$504,MATCH(A915,السندات!$A$5:$A$504,0)),""))</f>
        <v/>
      </c>
      <c r="I915" s="71" t="str">
        <f aca="false">IF(A915="","",IFERROR(INDEX(السندات!$D$5:$D$504,MATCH(A915,السندات!$A$5:$A$504,0)),""))</f>
        <v/>
      </c>
      <c r="J915" s="72" t="str">
        <f aca="false">IF(A915="","",IF(ISNA(MATCH(A915,السندات!$A$5:$A$504,0)),"رقم سند غير موجود ✘",IF(AND(F915&lt;&gt;"",G915&lt;&gt;""),"اكتب مدين أو دائن فقط ✘",IF(AND(N(F915)=0,N(G915)=0),"بدون مبلغ ⚠",IF(B915&gt;12,"يتجاوز 12 بنداً في الطباعة ⚠","")))))</f>
        <v/>
      </c>
    </row>
    <row r="916" customFormat="false" ht="15" hidden="false" customHeight="false" outlineLevel="0" collapsed="false">
      <c r="A916" s="58"/>
      <c r="B916" s="73" t="str">
        <f aca="false">IF(A916="","",COUNTIF(A$5:A916,A916))</f>
        <v/>
      </c>
      <c r="C916" s="73" t="str">
        <f aca="false">IF(A916="","",A916&amp;"-"&amp;B916)</f>
        <v/>
      </c>
      <c r="D916" s="58"/>
      <c r="E916" s="57"/>
      <c r="F916" s="69"/>
      <c r="G916" s="69"/>
      <c r="H916" s="74" t="str">
        <f aca="false">IF(A916="","",IFERROR(INDEX(السندات!$C$5:$C$504,MATCH(A916,السندات!$A$5:$A$504,0)),""))</f>
        <v/>
      </c>
      <c r="I916" s="75" t="str">
        <f aca="false">IF(A916="","",IFERROR(INDEX(السندات!$D$5:$D$504,MATCH(A916,السندات!$A$5:$A$504,0)),""))</f>
        <v/>
      </c>
      <c r="J916" s="76" t="str">
        <f aca="false">IF(A916="","",IF(ISNA(MATCH(A916,السندات!$A$5:$A$504,0)),"رقم سند غير موجود ✘",IF(AND(F916&lt;&gt;"",G916&lt;&gt;""),"اكتب مدين أو دائن فقط ✘",IF(AND(N(F916)=0,N(G916)=0),"بدون مبلغ ⚠",IF(B916&gt;12,"يتجاوز 12 بنداً في الطباعة ⚠","")))))</f>
        <v/>
      </c>
    </row>
    <row r="917" customFormat="false" ht="15" hidden="false" customHeight="false" outlineLevel="0" collapsed="false">
      <c r="A917" s="58"/>
      <c r="B917" s="68" t="str">
        <f aca="false">IF(A917="","",COUNTIF(A$5:A917,A917))</f>
        <v/>
      </c>
      <c r="C917" s="68" t="str">
        <f aca="false">IF(A917="","",A917&amp;"-"&amp;B917)</f>
        <v/>
      </c>
      <c r="D917" s="58"/>
      <c r="E917" s="57"/>
      <c r="F917" s="69"/>
      <c r="G917" s="69"/>
      <c r="H917" s="70" t="str">
        <f aca="false">IF(A917="","",IFERROR(INDEX(السندات!$C$5:$C$504,MATCH(A917,السندات!$A$5:$A$504,0)),""))</f>
        <v/>
      </c>
      <c r="I917" s="71" t="str">
        <f aca="false">IF(A917="","",IFERROR(INDEX(السندات!$D$5:$D$504,MATCH(A917,السندات!$A$5:$A$504,0)),""))</f>
        <v/>
      </c>
      <c r="J917" s="72" t="str">
        <f aca="false">IF(A917="","",IF(ISNA(MATCH(A917,السندات!$A$5:$A$504,0)),"رقم سند غير موجود ✘",IF(AND(F917&lt;&gt;"",G917&lt;&gt;""),"اكتب مدين أو دائن فقط ✘",IF(AND(N(F917)=0,N(G917)=0),"بدون مبلغ ⚠",IF(B917&gt;12,"يتجاوز 12 بنداً في الطباعة ⚠","")))))</f>
        <v/>
      </c>
    </row>
    <row r="918" customFormat="false" ht="15" hidden="false" customHeight="false" outlineLevel="0" collapsed="false">
      <c r="A918" s="58"/>
      <c r="B918" s="73" t="str">
        <f aca="false">IF(A918="","",COUNTIF(A$5:A918,A918))</f>
        <v/>
      </c>
      <c r="C918" s="73" t="str">
        <f aca="false">IF(A918="","",A918&amp;"-"&amp;B918)</f>
        <v/>
      </c>
      <c r="D918" s="58"/>
      <c r="E918" s="57"/>
      <c r="F918" s="69"/>
      <c r="G918" s="69"/>
      <c r="H918" s="74" t="str">
        <f aca="false">IF(A918="","",IFERROR(INDEX(السندات!$C$5:$C$504,MATCH(A918,السندات!$A$5:$A$504,0)),""))</f>
        <v/>
      </c>
      <c r="I918" s="75" t="str">
        <f aca="false">IF(A918="","",IFERROR(INDEX(السندات!$D$5:$D$504,MATCH(A918,السندات!$A$5:$A$504,0)),""))</f>
        <v/>
      </c>
      <c r="J918" s="76" t="str">
        <f aca="false">IF(A918="","",IF(ISNA(MATCH(A918,السندات!$A$5:$A$504,0)),"رقم سند غير موجود ✘",IF(AND(F918&lt;&gt;"",G918&lt;&gt;""),"اكتب مدين أو دائن فقط ✘",IF(AND(N(F918)=0,N(G918)=0),"بدون مبلغ ⚠",IF(B918&gt;12,"يتجاوز 12 بنداً في الطباعة ⚠","")))))</f>
        <v/>
      </c>
    </row>
    <row r="919" customFormat="false" ht="15" hidden="false" customHeight="false" outlineLevel="0" collapsed="false">
      <c r="A919" s="58"/>
      <c r="B919" s="68" t="str">
        <f aca="false">IF(A919="","",COUNTIF(A$5:A919,A919))</f>
        <v/>
      </c>
      <c r="C919" s="68" t="str">
        <f aca="false">IF(A919="","",A919&amp;"-"&amp;B919)</f>
        <v/>
      </c>
      <c r="D919" s="58"/>
      <c r="E919" s="57"/>
      <c r="F919" s="69"/>
      <c r="G919" s="69"/>
      <c r="H919" s="70" t="str">
        <f aca="false">IF(A919="","",IFERROR(INDEX(السندات!$C$5:$C$504,MATCH(A919,السندات!$A$5:$A$504,0)),""))</f>
        <v/>
      </c>
      <c r="I919" s="71" t="str">
        <f aca="false">IF(A919="","",IFERROR(INDEX(السندات!$D$5:$D$504,MATCH(A919,السندات!$A$5:$A$504,0)),""))</f>
        <v/>
      </c>
      <c r="J919" s="72" t="str">
        <f aca="false">IF(A919="","",IF(ISNA(MATCH(A919,السندات!$A$5:$A$504,0)),"رقم سند غير موجود ✘",IF(AND(F919&lt;&gt;"",G919&lt;&gt;""),"اكتب مدين أو دائن فقط ✘",IF(AND(N(F919)=0,N(G919)=0),"بدون مبلغ ⚠",IF(B919&gt;12,"يتجاوز 12 بنداً في الطباعة ⚠","")))))</f>
        <v/>
      </c>
    </row>
    <row r="920" customFormat="false" ht="15" hidden="false" customHeight="false" outlineLevel="0" collapsed="false">
      <c r="A920" s="58"/>
      <c r="B920" s="73" t="str">
        <f aca="false">IF(A920="","",COUNTIF(A$5:A920,A920))</f>
        <v/>
      </c>
      <c r="C920" s="73" t="str">
        <f aca="false">IF(A920="","",A920&amp;"-"&amp;B920)</f>
        <v/>
      </c>
      <c r="D920" s="58"/>
      <c r="E920" s="57"/>
      <c r="F920" s="69"/>
      <c r="G920" s="69"/>
      <c r="H920" s="74" t="str">
        <f aca="false">IF(A920="","",IFERROR(INDEX(السندات!$C$5:$C$504,MATCH(A920,السندات!$A$5:$A$504,0)),""))</f>
        <v/>
      </c>
      <c r="I920" s="75" t="str">
        <f aca="false">IF(A920="","",IFERROR(INDEX(السندات!$D$5:$D$504,MATCH(A920,السندات!$A$5:$A$504,0)),""))</f>
        <v/>
      </c>
      <c r="J920" s="76" t="str">
        <f aca="false">IF(A920="","",IF(ISNA(MATCH(A920,السندات!$A$5:$A$504,0)),"رقم سند غير موجود ✘",IF(AND(F920&lt;&gt;"",G920&lt;&gt;""),"اكتب مدين أو دائن فقط ✘",IF(AND(N(F920)=0,N(G920)=0),"بدون مبلغ ⚠",IF(B920&gt;12,"يتجاوز 12 بنداً في الطباعة ⚠","")))))</f>
        <v/>
      </c>
    </row>
    <row r="921" customFormat="false" ht="15" hidden="false" customHeight="false" outlineLevel="0" collapsed="false">
      <c r="A921" s="58"/>
      <c r="B921" s="68" t="str">
        <f aca="false">IF(A921="","",COUNTIF(A$5:A921,A921))</f>
        <v/>
      </c>
      <c r="C921" s="68" t="str">
        <f aca="false">IF(A921="","",A921&amp;"-"&amp;B921)</f>
        <v/>
      </c>
      <c r="D921" s="58"/>
      <c r="E921" s="57"/>
      <c r="F921" s="69"/>
      <c r="G921" s="69"/>
      <c r="H921" s="70" t="str">
        <f aca="false">IF(A921="","",IFERROR(INDEX(السندات!$C$5:$C$504,MATCH(A921,السندات!$A$5:$A$504,0)),""))</f>
        <v/>
      </c>
      <c r="I921" s="71" t="str">
        <f aca="false">IF(A921="","",IFERROR(INDEX(السندات!$D$5:$D$504,MATCH(A921,السندات!$A$5:$A$504,0)),""))</f>
        <v/>
      </c>
      <c r="J921" s="72" t="str">
        <f aca="false">IF(A921="","",IF(ISNA(MATCH(A921,السندات!$A$5:$A$504,0)),"رقم سند غير موجود ✘",IF(AND(F921&lt;&gt;"",G921&lt;&gt;""),"اكتب مدين أو دائن فقط ✘",IF(AND(N(F921)=0,N(G921)=0),"بدون مبلغ ⚠",IF(B921&gt;12,"يتجاوز 12 بنداً في الطباعة ⚠","")))))</f>
        <v/>
      </c>
    </row>
    <row r="922" customFormat="false" ht="15" hidden="false" customHeight="false" outlineLevel="0" collapsed="false">
      <c r="A922" s="58"/>
      <c r="B922" s="73" t="str">
        <f aca="false">IF(A922="","",COUNTIF(A$5:A922,A922))</f>
        <v/>
      </c>
      <c r="C922" s="73" t="str">
        <f aca="false">IF(A922="","",A922&amp;"-"&amp;B922)</f>
        <v/>
      </c>
      <c r="D922" s="58"/>
      <c r="E922" s="57"/>
      <c r="F922" s="69"/>
      <c r="G922" s="69"/>
      <c r="H922" s="74" t="str">
        <f aca="false">IF(A922="","",IFERROR(INDEX(السندات!$C$5:$C$504,MATCH(A922,السندات!$A$5:$A$504,0)),""))</f>
        <v/>
      </c>
      <c r="I922" s="75" t="str">
        <f aca="false">IF(A922="","",IFERROR(INDEX(السندات!$D$5:$D$504,MATCH(A922,السندات!$A$5:$A$504,0)),""))</f>
        <v/>
      </c>
      <c r="J922" s="76" t="str">
        <f aca="false">IF(A922="","",IF(ISNA(MATCH(A922,السندات!$A$5:$A$504,0)),"رقم سند غير موجود ✘",IF(AND(F922&lt;&gt;"",G922&lt;&gt;""),"اكتب مدين أو دائن فقط ✘",IF(AND(N(F922)=0,N(G922)=0),"بدون مبلغ ⚠",IF(B922&gt;12,"يتجاوز 12 بنداً في الطباعة ⚠","")))))</f>
        <v/>
      </c>
    </row>
    <row r="923" customFormat="false" ht="15" hidden="false" customHeight="false" outlineLevel="0" collapsed="false">
      <c r="A923" s="58"/>
      <c r="B923" s="68" t="str">
        <f aca="false">IF(A923="","",COUNTIF(A$5:A923,A923))</f>
        <v/>
      </c>
      <c r="C923" s="68" t="str">
        <f aca="false">IF(A923="","",A923&amp;"-"&amp;B923)</f>
        <v/>
      </c>
      <c r="D923" s="58"/>
      <c r="E923" s="57"/>
      <c r="F923" s="69"/>
      <c r="G923" s="69"/>
      <c r="H923" s="70" t="str">
        <f aca="false">IF(A923="","",IFERROR(INDEX(السندات!$C$5:$C$504,MATCH(A923,السندات!$A$5:$A$504,0)),""))</f>
        <v/>
      </c>
      <c r="I923" s="71" t="str">
        <f aca="false">IF(A923="","",IFERROR(INDEX(السندات!$D$5:$D$504,MATCH(A923,السندات!$A$5:$A$504,0)),""))</f>
        <v/>
      </c>
      <c r="J923" s="72" t="str">
        <f aca="false">IF(A923="","",IF(ISNA(MATCH(A923,السندات!$A$5:$A$504,0)),"رقم سند غير موجود ✘",IF(AND(F923&lt;&gt;"",G923&lt;&gt;""),"اكتب مدين أو دائن فقط ✘",IF(AND(N(F923)=0,N(G923)=0),"بدون مبلغ ⚠",IF(B923&gt;12,"يتجاوز 12 بنداً في الطباعة ⚠","")))))</f>
        <v/>
      </c>
    </row>
    <row r="924" customFormat="false" ht="15" hidden="false" customHeight="false" outlineLevel="0" collapsed="false">
      <c r="A924" s="58"/>
      <c r="B924" s="73" t="str">
        <f aca="false">IF(A924="","",COUNTIF(A$5:A924,A924))</f>
        <v/>
      </c>
      <c r="C924" s="73" t="str">
        <f aca="false">IF(A924="","",A924&amp;"-"&amp;B924)</f>
        <v/>
      </c>
      <c r="D924" s="58"/>
      <c r="E924" s="57"/>
      <c r="F924" s="69"/>
      <c r="G924" s="69"/>
      <c r="H924" s="74" t="str">
        <f aca="false">IF(A924="","",IFERROR(INDEX(السندات!$C$5:$C$504,MATCH(A924,السندات!$A$5:$A$504,0)),""))</f>
        <v/>
      </c>
      <c r="I924" s="75" t="str">
        <f aca="false">IF(A924="","",IFERROR(INDEX(السندات!$D$5:$D$504,MATCH(A924,السندات!$A$5:$A$504,0)),""))</f>
        <v/>
      </c>
      <c r="J924" s="76" t="str">
        <f aca="false">IF(A924="","",IF(ISNA(MATCH(A924,السندات!$A$5:$A$504,0)),"رقم سند غير موجود ✘",IF(AND(F924&lt;&gt;"",G924&lt;&gt;""),"اكتب مدين أو دائن فقط ✘",IF(AND(N(F924)=0,N(G924)=0),"بدون مبلغ ⚠",IF(B924&gt;12,"يتجاوز 12 بنداً في الطباعة ⚠","")))))</f>
        <v/>
      </c>
    </row>
    <row r="925" customFormat="false" ht="15" hidden="false" customHeight="false" outlineLevel="0" collapsed="false">
      <c r="A925" s="58"/>
      <c r="B925" s="68" t="str">
        <f aca="false">IF(A925="","",COUNTIF(A$5:A925,A925))</f>
        <v/>
      </c>
      <c r="C925" s="68" t="str">
        <f aca="false">IF(A925="","",A925&amp;"-"&amp;B925)</f>
        <v/>
      </c>
      <c r="D925" s="58"/>
      <c r="E925" s="57"/>
      <c r="F925" s="69"/>
      <c r="G925" s="69"/>
      <c r="H925" s="70" t="str">
        <f aca="false">IF(A925="","",IFERROR(INDEX(السندات!$C$5:$C$504,MATCH(A925,السندات!$A$5:$A$504,0)),""))</f>
        <v/>
      </c>
      <c r="I925" s="71" t="str">
        <f aca="false">IF(A925="","",IFERROR(INDEX(السندات!$D$5:$D$504,MATCH(A925,السندات!$A$5:$A$504,0)),""))</f>
        <v/>
      </c>
      <c r="J925" s="72" t="str">
        <f aca="false">IF(A925="","",IF(ISNA(MATCH(A925,السندات!$A$5:$A$504,0)),"رقم سند غير موجود ✘",IF(AND(F925&lt;&gt;"",G925&lt;&gt;""),"اكتب مدين أو دائن فقط ✘",IF(AND(N(F925)=0,N(G925)=0),"بدون مبلغ ⚠",IF(B925&gt;12,"يتجاوز 12 بنداً في الطباعة ⚠","")))))</f>
        <v/>
      </c>
    </row>
    <row r="926" customFormat="false" ht="15" hidden="false" customHeight="false" outlineLevel="0" collapsed="false">
      <c r="A926" s="58"/>
      <c r="B926" s="73" t="str">
        <f aca="false">IF(A926="","",COUNTIF(A$5:A926,A926))</f>
        <v/>
      </c>
      <c r="C926" s="73" t="str">
        <f aca="false">IF(A926="","",A926&amp;"-"&amp;B926)</f>
        <v/>
      </c>
      <c r="D926" s="58"/>
      <c r="E926" s="57"/>
      <c r="F926" s="69"/>
      <c r="G926" s="69"/>
      <c r="H926" s="74" t="str">
        <f aca="false">IF(A926="","",IFERROR(INDEX(السندات!$C$5:$C$504,MATCH(A926,السندات!$A$5:$A$504,0)),""))</f>
        <v/>
      </c>
      <c r="I926" s="75" t="str">
        <f aca="false">IF(A926="","",IFERROR(INDEX(السندات!$D$5:$D$504,MATCH(A926,السندات!$A$5:$A$504,0)),""))</f>
        <v/>
      </c>
      <c r="J926" s="76" t="str">
        <f aca="false">IF(A926="","",IF(ISNA(MATCH(A926,السندات!$A$5:$A$504,0)),"رقم سند غير موجود ✘",IF(AND(F926&lt;&gt;"",G926&lt;&gt;""),"اكتب مدين أو دائن فقط ✘",IF(AND(N(F926)=0,N(G926)=0),"بدون مبلغ ⚠",IF(B926&gt;12,"يتجاوز 12 بنداً في الطباعة ⚠","")))))</f>
        <v/>
      </c>
    </row>
    <row r="927" customFormat="false" ht="15" hidden="false" customHeight="false" outlineLevel="0" collapsed="false">
      <c r="A927" s="58"/>
      <c r="B927" s="68" t="str">
        <f aca="false">IF(A927="","",COUNTIF(A$5:A927,A927))</f>
        <v/>
      </c>
      <c r="C927" s="68" t="str">
        <f aca="false">IF(A927="","",A927&amp;"-"&amp;B927)</f>
        <v/>
      </c>
      <c r="D927" s="58"/>
      <c r="E927" s="57"/>
      <c r="F927" s="69"/>
      <c r="G927" s="69"/>
      <c r="H927" s="70" t="str">
        <f aca="false">IF(A927="","",IFERROR(INDEX(السندات!$C$5:$C$504,MATCH(A927,السندات!$A$5:$A$504,0)),""))</f>
        <v/>
      </c>
      <c r="I927" s="71" t="str">
        <f aca="false">IF(A927="","",IFERROR(INDEX(السندات!$D$5:$D$504,MATCH(A927,السندات!$A$5:$A$504,0)),""))</f>
        <v/>
      </c>
      <c r="J927" s="72" t="str">
        <f aca="false">IF(A927="","",IF(ISNA(MATCH(A927,السندات!$A$5:$A$504,0)),"رقم سند غير موجود ✘",IF(AND(F927&lt;&gt;"",G927&lt;&gt;""),"اكتب مدين أو دائن فقط ✘",IF(AND(N(F927)=0,N(G927)=0),"بدون مبلغ ⚠",IF(B927&gt;12,"يتجاوز 12 بنداً في الطباعة ⚠","")))))</f>
        <v/>
      </c>
    </row>
    <row r="928" customFormat="false" ht="15" hidden="false" customHeight="false" outlineLevel="0" collapsed="false">
      <c r="A928" s="58"/>
      <c r="B928" s="73" t="str">
        <f aca="false">IF(A928="","",COUNTIF(A$5:A928,A928))</f>
        <v/>
      </c>
      <c r="C928" s="73" t="str">
        <f aca="false">IF(A928="","",A928&amp;"-"&amp;B928)</f>
        <v/>
      </c>
      <c r="D928" s="58"/>
      <c r="E928" s="57"/>
      <c r="F928" s="69"/>
      <c r="G928" s="69"/>
      <c r="H928" s="74" t="str">
        <f aca="false">IF(A928="","",IFERROR(INDEX(السندات!$C$5:$C$504,MATCH(A928,السندات!$A$5:$A$504,0)),""))</f>
        <v/>
      </c>
      <c r="I928" s="75" t="str">
        <f aca="false">IF(A928="","",IFERROR(INDEX(السندات!$D$5:$D$504,MATCH(A928,السندات!$A$5:$A$504,0)),""))</f>
        <v/>
      </c>
      <c r="J928" s="76" t="str">
        <f aca="false">IF(A928="","",IF(ISNA(MATCH(A928,السندات!$A$5:$A$504,0)),"رقم سند غير موجود ✘",IF(AND(F928&lt;&gt;"",G928&lt;&gt;""),"اكتب مدين أو دائن فقط ✘",IF(AND(N(F928)=0,N(G928)=0),"بدون مبلغ ⚠",IF(B928&gt;12,"يتجاوز 12 بنداً في الطباعة ⚠","")))))</f>
        <v/>
      </c>
    </row>
    <row r="929" customFormat="false" ht="15" hidden="false" customHeight="false" outlineLevel="0" collapsed="false">
      <c r="A929" s="58"/>
      <c r="B929" s="68" t="str">
        <f aca="false">IF(A929="","",COUNTIF(A$5:A929,A929))</f>
        <v/>
      </c>
      <c r="C929" s="68" t="str">
        <f aca="false">IF(A929="","",A929&amp;"-"&amp;B929)</f>
        <v/>
      </c>
      <c r="D929" s="58"/>
      <c r="E929" s="57"/>
      <c r="F929" s="69"/>
      <c r="G929" s="69"/>
      <c r="H929" s="70" t="str">
        <f aca="false">IF(A929="","",IFERROR(INDEX(السندات!$C$5:$C$504,MATCH(A929,السندات!$A$5:$A$504,0)),""))</f>
        <v/>
      </c>
      <c r="I929" s="71" t="str">
        <f aca="false">IF(A929="","",IFERROR(INDEX(السندات!$D$5:$D$504,MATCH(A929,السندات!$A$5:$A$504,0)),""))</f>
        <v/>
      </c>
      <c r="J929" s="72" t="str">
        <f aca="false">IF(A929="","",IF(ISNA(MATCH(A929,السندات!$A$5:$A$504,0)),"رقم سند غير موجود ✘",IF(AND(F929&lt;&gt;"",G929&lt;&gt;""),"اكتب مدين أو دائن فقط ✘",IF(AND(N(F929)=0,N(G929)=0),"بدون مبلغ ⚠",IF(B929&gt;12,"يتجاوز 12 بنداً في الطباعة ⚠","")))))</f>
        <v/>
      </c>
    </row>
    <row r="930" customFormat="false" ht="15" hidden="false" customHeight="false" outlineLevel="0" collapsed="false">
      <c r="A930" s="58"/>
      <c r="B930" s="73" t="str">
        <f aca="false">IF(A930="","",COUNTIF(A$5:A930,A930))</f>
        <v/>
      </c>
      <c r="C930" s="73" t="str">
        <f aca="false">IF(A930="","",A930&amp;"-"&amp;B930)</f>
        <v/>
      </c>
      <c r="D930" s="58"/>
      <c r="E930" s="57"/>
      <c r="F930" s="69"/>
      <c r="G930" s="69"/>
      <c r="H930" s="74" t="str">
        <f aca="false">IF(A930="","",IFERROR(INDEX(السندات!$C$5:$C$504,MATCH(A930,السندات!$A$5:$A$504,0)),""))</f>
        <v/>
      </c>
      <c r="I930" s="75" t="str">
        <f aca="false">IF(A930="","",IFERROR(INDEX(السندات!$D$5:$D$504,MATCH(A930,السندات!$A$5:$A$504,0)),""))</f>
        <v/>
      </c>
      <c r="J930" s="76" t="str">
        <f aca="false">IF(A930="","",IF(ISNA(MATCH(A930,السندات!$A$5:$A$504,0)),"رقم سند غير موجود ✘",IF(AND(F930&lt;&gt;"",G930&lt;&gt;""),"اكتب مدين أو دائن فقط ✘",IF(AND(N(F930)=0,N(G930)=0),"بدون مبلغ ⚠",IF(B930&gt;12,"يتجاوز 12 بنداً في الطباعة ⚠","")))))</f>
        <v/>
      </c>
    </row>
    <row r="931" customFormat="false" ht="15" hidden="false" customHeight="false" outlineLevel="0" collapsed="false">
      <c r="A931" s="58"/>
      <c r="B931" s="68" t="str">
        <f aca="false">IF(A931="","",COUNTIF(A$5:A931,A931))</f>
        <v/>
      </c>
      <c r="C931" s="68" t="str">
        <f aca="false">IF(A931="","",A931&amp;"-"&amp;B931)</f>
        <v/>
      </c>
      <c r="D931" s="58"/>
      <c r="E931" s="57"/>
      <c r="F931" s="69"/>
      <c r="G931" s="69"/>
      <c r="H931" s="70" t="str">
        <f aca="false">IF(A931="","",IFERROR(INDEX(السندات!$C$5:$C$504,MATCH(A931,السندات!$A$5:$A$504,0)),""))</f>
        <v/>
      </c>
      <c r="I931" s="71" t="str">
        <f aca="false">IF(A931="","",IFERROR(INDEX(السندات!$D$5:$D$504,MATCH(A931,السندات!$A$5:$A$504,0)),""))</f>
        <v/>
      </c>
      <c r="J931" s="72" t="str">
        <f aca="false">IF(A931="","",IF(ISNA(MATCH(A931,السندات!$A$5:$A$504,0)),"رقم سند غير موجود ✘",IF(AND(F931&lt;&gt;"",G931&lt;&gt;""),"اكتب مدين أو دائن فقط ✘",IF(AND(N(F931)=0,N(G931)=0),"بدون مبلغ ⚠",IF(B931&gt;12,"يتجاوز 12 بنداً في الطباعة ⚠","")))))</f>
        <v/>
      </c>
    </row>
    <row r="932" customFormat="false" ht="15" hidden="false" customHeight="false" outlineLevel="0" collapsed="false">
      <c r="A932" s="58"/>
      <c r="B932" s="73" t="str">
        <f aca="false">IF(A932="","",COUNTIF(A$5:A932,A932))</f>
        <v/>
      </c>
      <c r="C932" s="73" t="str">
        <f aca="false">IF(A932="","",A932&amp;"-"&amp;B932)</f>
        <v/>
      </c>
      <c r="D932" s="58"/>
      <c r="E932" s="57"/>
      <c r="F932" s="69"/>
      <c r="G932" s="69"/>
      <c r="H932" s="74" t="str">
        <f aca="false">IF(A932="","",IFERROR(INDEX(السندات!$C$5:$C$504,MATCH(A932,السندات!$A$5:$A$504,0)),""))</f>
        <v/>
      </c>
      <c r="I932" s="75" t="str">
        <f aca="false">IF(A932="","",IFERROR(INDEX(السندات!$D$5:$D$504,MATCH(A932,السندات!$A$5:$A$504,0)),""))</f>
        <v/>
      </c>
      <c r="J932" s="76" t="str">
        <f aca="false">IF(A932="","",IF(ISNA(MATCH(A932,السندات!$A$5:$A$504,0)),"رقم سند غير موجود ✘",IF(AND(F932&lt;&gt;"",G932&lt;&gt;""),"اكتب مدين أو دائن فقط ✘",IF(AND(N(F932)=0,N(G932)=0),"بدون مبلغ ⚠",IF(B932&gt;12,"يتجاوز 12 بنداً في الطباعة ⚠","")))))</f>
        <v/>
      </c>
    </row>
    <row r="933" customFormat="false" ht="15" hidden="false" customHeight="false" outlineLevel="0" collapsed="false">
      <c r="A933" s="58"/>
      <c r="B933" s="68" t="str">
        <f aca="false">IF(A933="","",COUNTIF(A$5:A933,A933))</f>
        <v/>
      </c>
      <c r="C933" s="68" t="str">
        <f aca="false">IF(A933="","",A933&amp;"-"&amp;B933)</f>
        <v/>
      </c>
      <c r="D933" s="58"/>
      <c r="E933" s="57"/>
      <c r="F933" s="69"/>
      <c r="G933" s="69"/>
      <c r="H933" s="70" t="str">
        <f aca="false">IF(A933="","",IFERROR(INDEX(السندات!$C$5:$C$504,MATCH(A933,السندات!$A$5:$A$504,0)),""))</f>
        <v/>
      </c>
      <c r="I933" s="71" t="str">
        <f aca="false">IF(A933="","",IFERROR(INDEX(السندات!$D$5:$D$504,MATCH(A933,السندات!$A$5:$A$504,0)),""))</f>
        <v/>
      </c>
      <c r="J933" s="72" t="str">
        <f aca="false">IF(A933="","",IF(ISNA(MATCH(A933,السندات!$A$5:$A$504,0)),"رقم سند غير موجود ✘",IF(AND(F933&lt;&gt;"",G933&lt;&gt;""),"اكتب مدين أو دائن فقط ✘",IF(AND(N(F933)=0,N(G933)=0),"بدون مبلغ ⚠",IF(B933&gt;12,"يتجاوز 12 بنداً في الطباعة ⚠","")))))</f>
        <v/>
      </c>
    </row>
    <row r="934" customFormat="false" ht="15" hidden="false" customHeight="false" outlineLevel="0" collapsed="false">
      <c r="A934" s="58"/>
      <c r="B934" s="73" t="str">
        <f aca="false">IF(A934="","",COUNTIF(A$5:A934,A934))</f>
        <v/>
      </c>
      <c r="C934" s="73" t="str">
        <f aca="false">IF(A934="","",A934&amp;"-"&amp;B934)</f>
        <v/>
      </c>
      <c r="D934" s="58"/>
      <c r="E934" s="57"/>
      <c r="F934" s="69"/>
      <c r="G934" s="69"/>
      <c r="H934" s="74" t="str">
        <f aca="false">IF(A934="","",IFERROR(INDEX(السندات!$C$5:$C$504,MATCH(A934,السندات!$A$5:$A$504,0)),""))</f>
        <v/>
      </c>
      <c r="I934" s="75" t="str">
        <f aca="false">IF(A934="","",IFERROR(INDEX(السندات!$D$5:$D$504,MATCH(A934,السندات!$A$5:$A$504,0)),""))</f>
        <v/>
      </c>
      <c r="J934" s="76" t="str">
        <f aca="false">IF(A934="","",IF(ISNA(MATCH(A934,السندات!$A$5:$A$504,0)),"رقم سند غير موجود ✘",IF(AND(F934&lt;&gt;"",G934&lt;&gt;""),"اكتب مدين أو دائن فقط ✘",IF(AND(N(F934)=0,N(G934)=0),"بدون مبلغ ⚠",IF(B934&gt;12,"يتجاوز 12 بنداً في الطباعة ⚠","")))))</f>
        <v/>
      </c>
    </row>
    <row r="935" customFormat="false" ht="15" hidden="false" customHeight="false" outlineLevel="0" collapsed="false">
      <c r="A935" s="58"/>
      <c r="B935" s="68" t="str">
        <f aca="false">IF(A935="","",COUNTIF(A$5:A935,A935))</f>
        <v/>
      </c>
      <c r="C935" s="68" t="str">
        <f aca="false">IF(A935="","",A935&amp;"-"&amp;B935)</f>
        <v/>
      </c>
      <c r="D935" s="58"/>
      <c r="E935" s="57"/>
      <c r="F935" s="69"/>
      <c r="G935" s="69"/>
      <c r="H935" s="70" t="str">
        <f aca="false">IF(A935="","",IFERROR(INDEX(السندات!$C$5:$C$504,MATCH(A935,السندات!$A$5:$A$504,0)),""))</f>
        <v/>
      </c>
      <c r="I935" s="71" t="str">
        <f aca="false">IF(A935="","",IFERROR(INDEX(السندات!$D$5:$D$504,MATCH(A935,السندات!$A$5:$A$504,0)),""))</f>
        <v/>
      </c>
      <c r="J935" s="72" t="str">
        <f aca="false">IF(A935="","",IF(ISNA(MATCH(A935,السندات!$A$5:$A$504,0)),"رقم سند غير موجود ✘",IF(AND(F935&lt;&gt;"",G935&lt;&gt;""),"اكتب مدين أو دائن فقط ✘",IF(AND(N(F935)=0,N(G935)=0),"بدون مبلغ ⚠",IF(B935&gt;12,"يتجاوز 12 بنداً في الطباعة ⚠","")))))</f>
        <v/>
      </c>
    </row>
    <row r="936" customFormat="false" ht="15" hidden="false" customHeight="false" outlineLevel="0" collapsed="false">
      <c r="A936" s="58"/>
      <c r="B936" s="73" t="str">
        <f aca="false">IF(A936="","",COUNTIF(A$5:A936,A936))</f>
        <v/>
      </c>
      <c r="C936" s="73" t="str">
        <f aca="false">IF(A936="","",A936&amp;"-"&amp;B936)</f>
        <v/>
      </c>
      <c r="D936" s="58"/>
      <c r="E936" s="57"/>
      <c r="F936" s="69"/>
      <c r="G936" s="69"/>
      <c r="H936" s="74" t="str">
        <f aca="false">IF(A936="","",IFERROR(INDEX(السندات!$C$5:$C$504,MATCH(A936,السندات!$A$5:$A$504,0)),""))</f>
        <v/>
      </c>
      <c r="I936" s="75" t="str">
        <f aca="false">IF(A936="","",IFERROR(INDEX(السندات!$D$5:$D$504,MATCH(A936,السندات!$A$5:$A$504,0)),""))</f>
        <v/>
      </c>
      <c r="J936" s="76" t="str">
        <f aca="false">IF(A936="","",IF(ISNA(MATCH(A936,السندات!$A$5:$A$504,0)),"رقم سند غير موجود ✘",IF(AND(F936&lt;&gt;"",G936&lt;&gt;""),"اكتب مدين أو دائن فقط ✘",IF(AND(N(F936)=0,N(G936)=0),"بدون مبلغ ⚠",IF(B936&gt;12,"يتجاوز 12 بنداً في الطباعة ⚠","")))))</f>
        <v/>
      </c>
    </row>
    <row r="937" customFormat="false" ht="15" hidden="false" customHeight="false" outlineLevel="0" collapsed="false">
      <c r="A937" s="58"/>
      <c r="B937" s="68" t="str">
        <f aca="false">IF(A937="","",COUNTIF(A$5:A937,A937))</f>
        <v/>
      </c>
      <c r="C937" s="68" t="str">
        <f aca="false">IF(A937="","",A937&amp;"-"&amp;B937)</f>
        <v/>
      </c>
      <c r="D937" s="58"/>
      <c r="E937" s="57"/>
      <c r="F937" s="69"/>
      <c r="G937" s="69"/>
      <c r="H937" s="70" t="str">
        <f aca="false">IF(A937="","",IFERROR(INDEX(السندات!$C$5:$C$504,MATCH(A937,السندات!$A$5:$A$504,0)),""))</f>
        <v/>
      </c>
      <c r="I937" s="71" t="str">
        <f aca="false">IF(A937="","",IFERROR(INDEX(السندات!$D$5:$D$504,MATCH(A937,السندات!$A$5:$A$504,0)),""))</f>
        <v/>
      </c>
      <c r="J937" s="72" t="str">
        <f aca="false">IF(A937="","",IF(ISNA(MATCH(A937,السندات!$A$5:$A$504,0)),"رقم سند غير موجود ✘",IF(AND(F937&lt;&gt;"",G937&lt;&gt;""),"اكتب مدين أو دائن فقط ✘",IF(AND(N(F937)=0,N(G937)=0),"بدون مبلغ ⚠",IF(B937&gt;12,"يتجاوز 12 بنداً في الطباعة ⚠","")))))</f>
        <v/>
      </c>
    </row>
    <row r="938" customFormat="false" ht="15" hidden="false" customHeight="false" outlineLevel="0" collapsed="false">
      <c r="A938" s="58"/>
      <c r="B938" s="73" t="str">
        <f aca="false">IF(A938="","",COUNTIF(A$5:A938,A938))</f>
        <v/>
      </c>
      <c r="C938" s="73" t="str">
        <f aca="false">IF(A938="","",A938&amp;"-"&amp;B938)</f>
        <v/>
      </c>
      <c r="D938" s="58"/>
      <c r="E938" s="57"/>
      <c r="F938" s="69"/>
      <c r="G938" s="69"/>
      <c r="H938" s="74" t="str">
        <f aca="false">IF(A938="","",IFERROR(INDEX(السندات!$C$5:$C$504,MATCH(A938,السندات!$A$5:$A$504,0)),""))</f>
        <v/>
      </c>
      <c r="I938" s="75" t="str">
        <f aca="false">IF(A938="","",IFERROR(INDEX(السندات!$D$5:$D$504,MATCH(A938,السندات!$A$5:$A$504,0)),""))</f>
        <v/>
      </c>
      <c r="J938" s="76" t="str">
        <f aca="false">IF(A938="","",IF(ISNA(MATCH(A938,السندات!$A$5:$A$504,0)),"رقم سند غير موجود ✘",IF(AND(F938&lt;&gt;"",G938&lt;&gt;""),"اكتب مدين أو دائن فقط ✘",IF(AND(N(F938)=0,N(G938)=0),"بدون مبلغ ⚠",IF(B938&gt;12,"يتجاوز 12 بنداً في الطباعة ⚠","")))))</f>
        <v/>
      </c>
    </row>
    <row r="939" customFormat="false" ht="15" hidden="false" customHeight="false" outlineLevel="0" collapsed="false">
      <c r="A939" s="58"/>
      <c r="B939" s="68" t="str">
        <f aca="false">IF(A939="","",COUNTIF(A$5:A939,A939))</f>
        <v/>
      </c>
      <c r="C939" s="68" t="str">
        <f aca="false">IF(A939="","",A939&amp;"-"&amp;B939)</f>
        <v/>
      </c>
      <c r="D939" s="58"/>
      <c r="E939" s="57"/>
      <c r="F939" s="69"/>
      <c r="G939" s="69"/>
      <c r="H939" s="70" t="str">
        <f aca="false">IF(A939="","",IFERROR(INDEX(السندات!$C$5:$C$504,MATCH(A939,السندات!$A$5:$A$504,0)),""))</f>
        <v/>
      </c>
      <c r="I939" s="71" t="str">
        <f aca="false">IF(A939="","",IFERROR(INDEX(السندات!$D$5:$D$504,MATCH(A939,السندات!$A$5:$A$504,0)),""))</f>
        <v/>
      </c>
      <c r="J939" s="72" t="str">
        <f aca="false">IF(A939="","",IF(ISNA(MATCH(A939,السندات!$A$5:$A$504,0)),"رقم سند غير موجود ✘",IF(AND(F939&lt;&gt;"",G939&lt;&gt;""),"اكتب مدين أو دائن فقط ✘",IF(AND(N(F939)=0,N(G939)=0),"بدون مبلغ ⚠",IF(B939&gt;12,"يتجاوز 12 بنداً في الطباعة ⚠","")))))</f>
        <v/>
      </c>
    </row>
    <row r="940" customFormat="false" ht="15" hidden="false" customHeight="false" outlineLevel="0" collapsed="false">
      <c r="A940" s="58"/>
      <c r="B940" s="73" t="str">
        <f aca="false">IF(A940="","",COUNTIF(A$5:A940,A940))</f>
        <v/>
      </c>
      <c r="C940" s="73" t="str">
        <f aca="false">IF(A940="","",A940&amp;"-"&amp;B940)</f>
        <v/>
      </c>
      <c r="D940" s="58"/>
      <c r="E940" s="57"/>
      <c r="F940" s="69"/>
      <c r="G940" s="69"/>
      <c r="H940" s="74" t="str">
        <f aca="false">IF(A940="","",IFERROR(INDEX(السندات!$C$5:$C$504,MATCH(A940,السندات!$A$5:$A$504,0)),""))</f>
        <v/>
      </c>
      <c r="I940" s="75" t="str">
        <f aca="false">IF(A940="","",IFERROR(INDEX(السندات!$D$5:$D$504,MATCH(A940,السندات!$A$5:$A$504,0)),""))</f>
        <v/>
      </c>
      <c r="J940" s="76" t="str">
        <f aca="false">IF(A940="","",IF(ISNA(MATCH(A940,السندات!$A$5:$A$504,0)),"رقم سند غير موجود ✘",IF(AND(F940&lt;&gt;"",G940&lt;&gt;""),"اكتب مدين أو دائن فقط ✘",IF(AND(N(F940)=0,N(G940)=0),"بدون مبلغ ⚠",IF(B940&gt;12,"يتجاوز 12 بنداً في الطباعة ⚠","")))))</f>
        <v/>
      </c>
    </row>
    <row r="941" customFormat="false" ht="15" hidden="false" customHeight="false" outlineLevel="0" collapsed="false">
      <c r="A941" s="58"/>
      <c r="B941" s="68" t="str">
        <f aca="false">IF(A941="","",COUNTIF(A$5:A941,A941))</f>
        <v/>
      </c>
      <c r="C941" s="68" t="str">
        <f aca="false">IF(A941="","",A941&amp;"-"&amp;B941)</f>
        <v/>
      </c>
      <c r="D941" s="58"/>
      <c r="E941" s="57"/>
      <c r="F941" s="69"/>
      <c r="G941" s="69"/>
      <c r="H941" s="70" t="str">
        <f aca="false">IF(A941="","",IFERROR(INDEX(السندات!$C$5:$C$504,MATCH(A941,السندات!$A$5:$A$504,0)),""))</f>
        <v/>
      </c>
      <c r="I941" s="71" t="str">
        <f aca="false">IF(A941="","",IFERROR(INDEX(السندات!$D$5:$D$504,MATCH(A941,السندات!$A$5:$A$504,0)),""))</f>
        <v/>
      </c>
      <c r="J941" s="72" t="str">
        <f aca="false">IF(A941="","",IF(ISNA(MATCH(A941,السندات!$A$5:$A$504,0)),"رقم سند غير موجود ✘",IF(AND(F941&lt;&gt;"",G941&lt;&gt;""),"اكتب مدين أو دائن فقط ✘",IF(AND(N(F941)=0,N(G941)=0),"بدون مبلغ ⚠",IF(B941&gt;12,"يتجاوز 12 بنداً في الطباعة ⚠","")))))</f>
        <v/>
      </c>
    </row>
    <row r="942" customFormat="false" ht="15" hidden="false" customHeight="false" outlineLevel="0" collapsed="false">
      <c r="A942" s="58"/>
      <c r="B942" s="73" t="str">
        <f aca="false">IF(A942="","",COUNTIF(A$5:A942,A942))</f>
        <v/>
      </c>
      <c r="C942" s="73" t="str">
        <f aca="false">IF(A942="","",A942&amp;"-"&amp;B942)</f>
        <v/>
      </c>
      <c r="D942" s="58"/>
      <c r="E942" s="57"/>
      <c r="F942" s="69"/>
      <c r="G942" s="69"/>
      <c r="H942" s="74" t="str">
        <f aca="false">IF(A942="","",IFERROR(INDEX(السندات!$C$5:$C$504,MATCH(A942,السندات!$A$5:$A$504,0)),""))</f>
        <v/>
      </c>
      <c r="I942" s="75" t="str">
        <f aca="false">IF(A942="","",IFERROR(INDEX(السندات!$D$5:$D$504,MATCH(A942,السندات!$A$5:$A$504,0)),""))</f>
        <v/>
      </c>
      <c r="J942" s="76" t="str">
        <f aca="false">IF(A942="","",IF(ISNA(MATCH(A942,السندات!$A$5:$A$504,0)),"رقم سند غير موجود ✘",IF(AND(F942&lt;&gt;"",G942&lt;&gt;""),"اكتب مدين أو دائن فقط ✘",IF(AND(N(F942)=0,N(G942)=0),"بدون مبلغ ⚠",IF(B942&gt;12,"يتجاوز 12 بنداً في الطباعة ⚠","")))))</f>
        <v/>
      </c>
    </row>
    <row r="943" customFormat="false" ht="15" hidden="false" customHeight="false" outlineLevel="0" collapsed="false">
      <c r="A943" s="58"/>
      <c r="B943" s="68" t="str">
        <f aca="false">IF(A943="","",COUNTIF(A$5:A943,A943))</f>
        <v/>
      </c>
      <c r="C943" s="68" t="str">
        <f aca="false">IF(A943="","",A943&amp;"-"&amp;B943)</f>
        <v/>
      </c>
      <c r="D943" s="58"/>
      <c r="E943" s="57"/>
      <c r="F943" s="69"/>
      <c r="G943" s="69"/>
      <c r="H943" s="70" t="str">
        <f aca="false">IF(A943="","",IFERROR(INDEX(السندات!$C$5:$C$504,MATCH(A943,السندات!$A$5:$A$504,0)),""))</f>
        <v/>
      </c>
      <c r="I943" s="71" t="str">
        <f aca="false">IF(A943="","",IFERROR(INDEX(السندات!$D$5:$D$504,MATCH(A943,السندات!$A$5:$A$504,0)),""))</f>
        <v/>
      </c>
      <c r="J943" s="72" t="str">
        <f aca="false">IF(A943="","",IF(ISNA(MATCH(A943,السندات!$A$5:$A$504,0)),"رقم سند غير موجود ✘",IF(AND(F943&lt;&gt;"",G943&lt;&gt;""),"اكتب مدين أو دائن فقط ✘",IF(AND(N(F943)=0,N(G943)=0),"بدون مبلغ ⚠",IF(B943&gt;12,"يتجاوز 12 بنداً في الطباعة ⚠","")))))</f>
        <v/>
      </c>
    </row>
    <row r="944" customFormat="false" ht="15" hidden="false" customHeight="false" outlineLevel="0" collapsed="false">
      <c r="A944" s="58"/>
      <c r="B944" s="73" t="str">
        <f aca="false">IF(A944="","",COUNTIF(A$5:A944,A944))</f>
        <v/>
      </c>
      <c r="C944" s="73" t="str">
        <f aca="false">IF(A944="","",A944&amp;"-"&amp;B944)</f>
        <v/>
      </c>
      <c r="D944" s="58"/>
      <c r="E944" s="57"/>
      <c r="F944" s="69"/>
      <c r="G944" s="69"/>
      <c r="H944" s="74" t="str">
        <f aca="false">IF(A944="","",IFERROR(INDEX(السندات!$C$5:$C$504,MATCH(A944,السندات!$A$5:$A$504,0)),""))</f>
        <v/>
      </c>
      <c r="I944" s="75" t="str">
        <f aca="false">IF(A944="","",IFERROR(INDEX(السندات!$D$5:$D$504,MATCH(A944,السندات!$A$5:$A$504,0)),""))</f>
        <v/>
      </c>
      <c r="J944" s="76" t="str">
        <f aca="false">IF(A944="","",IF(ISNA(MATCH(A944,السندات!$A$5:$A$504,0)),"رقم سند غير موجود ✘",IF(AND(F944&lt;&gt;"",G944&lt;&gt;""),"اكتب مدين أو دائن فقط ✘",IF(AND(N(F944)=0,N(G944)=0),"بدون مبلغ ⚠",IF(B944&gt;12,"يتجاوز 12 بنداً في الطباعة ⚠","")))))</f>
        <v/>
      </c>
    </row>
    <row r="945" customFormat="false" ht="15" hidden="false" customHeight="false" outlineLevel="0" collapsed="false">
      <c r="A945" s="58"/>
      <c r="B945" s="68" t="str">
        <f aca="false">IF(A945="","",COUNTIF(A$5:A945,A945))</f>
        <v/>
      </c>
      <c r="C945" s="68" t="str">
        <f aca="false">IF(A945="","",A945&amp;"-"&amp;B945)</f>
        <v/>
      </c>
      <c r="D945" s="58"/>
      <c r="E945" s="57"/>
      <c r="F945" s="69"/>
      <c r="G945" s="69"/>
      <c r="H945" s="70" t="str">
        <f aca="false">IF(A945="","",IFERROR(INDEX(السندات!$C$5:$C$504,MATCH(A945,السندات!$A$5:$A$504,0)),""))</f>
        <v/>
      </c>
      <c r="I945" s="71" t="str">
        <f aca="false">IF(A945="","",IFERROR(INDEX(السندات!$D$5:$D$504,MATCH(A945,السندات!$A$5:$A$504,0)),""))</f>
        <v/>
      </c>
      <c r="J945" s="72" t="str">
        <f aca="false">IF(A945="","",IF(ISNA(MATCH(A945,السندات!$A$5:$A$504,0)),"رقم سند غير موجود ✘",IF(AND(F945&lt;&gt;"",G945&lt;&gt;""),"اكتب مدين أو دائن فقط ✘",IF(AND(N(F945)=0,N(G945)=0),"بدون مبلغ ⚠",IF(B945&gt;12,"يتجاوز 12 بنداً في الطباعة ⚠","")))))</f>
        <v/>
      </c>
    </row>
    <row r="946" customFormat="false" ht="15" hidden="false" customHeight="false" outlineLevel="0" collapsed="false">
      <c r="A946" s="58"/>
      <c r="B946" s="73" t="str">
        <f aca="false">IF(A946="","",COUNTIF(A$5:A946,A946))</f>
        <v/>
      </c>
      <c r="C946" s="73" t="str">
        <f aca="false">IF(A946="","",A946&amp;"-"&amp;B946)</f>
        <v/>
      </c>
      <c r="D946" s="58"/>
      <c r="E946" s="57"/>
      <c r="F946" s="69"/>
      <c r="G946" s="69"/>
      <c r="H946" s="74" t="str">
        <f aca="false">IF(A946="","",IFERROR(INDEX(السندات!$C$5:$C$504,MATCH(A946,السندات!$A$5:$A$504,0)),""))</f>
        <v/>
      </c>
      <c r="I946" s="75" t="str">
        <f aca="false">IF(A946="","",IFERROR(INDEX(السندات!$D$5:$D$504,MATCH(A946,السندات!$A$5:$A$504,0)),""))</f>
        <v/>
      </c>
      <c r="J946" s="76" t="str">
        <f aca="false">IF(A946="","",IF(ISNA(MATCH(A946,السندات!$A$5:$A$504,0)),"رقم سند غير موجود ✘",IF(AND(F946&lt;&gt;"",G946&lt;&gt;""),"اكتب مدين أو دائن فقط ✘",IF(AND(N(F946)=0,N(G946)=0),"بدون مبلغ ⚠",IF(B946&gt;12,"يتجاوز 12 بنداً في الطباعة ⚠","")))))</f>
        <v/>
      </c>
    </row>
    <row r="947" customFormat="false" ht="15" hidden="false" customHeight="false" outlineLevel="0" collapsed="false">
      <c r="A947" s="58"/>
      <c r="B947" s="68" t="str">
        <f aca="false">IF(A947="","",COUNTIF(A$5:A947,A947))</f>
        <v/>
      </c>
      <c r="C947" s="68" t="str">
        <f aca="false">IF(A947="","",A947&amp;"-"&amp;B947)</f>
        <v/>
      </c>
      <c r="D947" s="58"/>
      <c r="E947" s="57"/>
      <c r="F947" s="69"/>
      <c r="G947" s="69"/>
      <c r="H947" s="70" t="str">
        <f aca="false">IF(A947="","",IFERROR(INDEX(السندات!$C$5:$C$504,MATCH(A947,السندات!$A$5:$A$504,0)),""))</f>
        <v/>
      </c>
      <c r="I947" s="71" t="str">
        <f aca="false">IF(A947="","",IFERROR(INDEX(السندات!$D$5:$D$504,MATCH(A947,السندات!$A$5:$A$504,0)),""))</f>
        <v/>
      </c>
      <c r="J947" s="72" t="str">
        <f aca="false">IF(A947="","",IF(ISNA(MATCH(A947,السندات!$A$5:$A$504,0)),"رقم سند غير موجود ✘",IF(AND(F947&lt;&gt;"",G947&lt;&gt;""),"اكتب مدين أو دائن فقط ✘",IF(AND(N(F947)=0,N(G947)=0),"بدون مبلغ ⚠",IF(B947&gt;12,"يتجاوز 12 بنداً في الطباعة ⚠","")))))</f>
        <v/>
      </c>
    </row>
    <row r="948" customFormat="false" ht="15" hidden="false" customHeight="false" outlineLevel="0" collapsed="false">
      <c r="A948" s="58"/>
      <c r="B948" s="73" t="str">
        <f aca="false">IF(A948="","",COUNTIF(A$5:A948,A948))</f>
        <v/>
      </c>
      <c r="C948" s="73" t="str">
        <f aca="false">IF(A948="","",A948&amp;"-"&amp;B948)</f>
        <v/>
      </c>
      <c r="D948" s="58"/>
      <c r="E948" s="57"/>
      <c r="F948" s="69"/>
      <c r="G948" s="69"/>
      <c r="H948" s="74" t="str">
        <f aca="false">IF(A948="","",IFERROR(INDEX(السندات!$C$5:$C$504,MATCH(A948,السندات!$A$5:$A$504,0)),""))</f>
        <v/>
      </c>
      <c r="I948" s="75" t="str">
        <f aca="false">IF(A948="","",IFERROR(INDEX(السندات!$D$5:$D$504,MATCH(A948,السندات!$A$5:$A$504,0)),""))</f>
        <v/>
      </c>
      <c r="J948" s="76" t="str">
        <f aca="false">IF(A948="","",IF(ISNA(MATCH(A948,السندات!$A$5:$A$504,0)),"رقم سند غير موجود ✘",IF(AND(F948&lt;&gt;"",G948&lt;&gt;""),"اكتب مدين أو دائن فقط ✘",IF(AND(N(F948)=0,N(G948)=0),"بدون مبلغ ⚠",IF(B948&gt;12,"يتجاوز 12 بنداً في الطباعة ⚠","")))))</f>
        <v/>
      </c>
    </row>
    <row r="949" customFormat="false" ht="15" hidden="false" customHeight="false" outlineLevel="0" collapsed="false">
      <c r="A949" s="58"/>
      <c r="B949" s="68" t="str">
        <f aca="false">IF(A949="","",COUNTIF(A$5:A949,A949))</f>
        <v/>
      </c>
      <c r="C949" s="68" t="str">
        <f aca="false">IF(A949="","",A949&amp;"-"&amp;B949)</f>
        <v/>
      </c>
      <c r="D949" s="58"/>
      <c r="E949" s="57"/>
      <c r="F949" s="69"/>
      <c r="G949" s="69"/>
      <c r="H949" s="70" t="str">
        <f aca="false">IF(A949="","",IFERROR(INDEX(السندات!$C$5:$C$504,MATCH(A949,السندات!$A$5:$A$504,0)),""))</f>
        <v/>
      </c>
      <c r="I949" s="71" t="str">
        <f aca="false">IF(A949="","",IFERROR(INDEX(السندات!$D$5:$D$504,MATCH(A949,السندات!$A$5:$A$504,0)),""))</f>
        <v/>
      </c>
      <c r="J949" s="72" t="str">
        <f aca="false">IF(A949="","",IF(ISNA(MATCH(A949,السندات!$A$5:$A$504,0)),"رقم سند غير موجود ✘",IF(AND(F949&lt;&gt;"",G949&lt;&gt;""),"اكتب مدين أو دائن فقط ✘",IF(AND(N(F949)=0,N(G949)=0),"بدون مبلغ ⚠",IF(B949&gt;12,"يتجاوز 12 بنداً في الطباعة ⚠","")))))</f>
        <v/>
      </c>
    </row>
    <row r="950" customFormat="false" ht="15" hidden="false" customHeight="false" outlineLevel="0" collapsed="false">
      <c r="A950" s="58"/>
      <c r="B950" s="73" t="str">
        <f aca="false">IF(A950="","",COUNTIF(A$5:A950,A950))</f>
        <v/>
      </c>
      <c r="C950" s="73" t="str">
        <f aca="false">IF(A950="","",A950&amp;"-"&amp;B950)</f>
        <v/>
      </c>
      <c r="D950" s="58"/>
      <c r="E950" s="57"/>
      <c r="F950" s="69"/>
      <c r="G950" s="69"/>
      <c r="H950" s="74" t="str">
        <f aca="false">IF(A950="","",IFERROR(INDEX(السندات!$C$5:$C$504,MATCH(A950,السندات!$A$5:$A$504,0)),""))</f>
        <v/>
      </c>
      <c r="I950" s="75" t="str">
        <f aca="false">IF(A950="","",IFERROR(INDEX(السندات!$D$5:$D$504,MATCH(A950,السندات!$A$5:$A$504,0)),""))</f>
        <v/>
      </c>
      <c r="J950" s="76" t="str">
        <f aca="false">IF(A950="","",IF(ISNA(MATCH(A950,السندات!$A$5:$A$504,0)),"رقم سند غير موجود ✘",IF(AND(F950&lt;&gt;"",G950&lt;&gt;""),"اكتب مدين أو دائن فقط ✘",IF(AND(N(F950)=0,N(G950)=0),"بدون مبلغ ⚠",IF(B950&gt;12,"يتجاوز 12 بنداً في الطباعة ⚠","")))))</f>
        <v/>
      </c>
    </row>
    <row r="951" customFormat="false" ht="15" hidden="false" customHeight="false" outlineLevel="0" collapsed="false">
      <c r="A951" s="58"/>
      <c r="B951" s="68" t="str">
        <f aca="false">IF(A951="","",COUNTIF(A$5:A951,A951))</f>
        <v/>
      </c>
      <c r="C951" s="68" t="str">
        <f aca="false">IF(A951="","",A951&amp;"-"&amp;B951)</f>
        <v/>
      </c>
      <c r="D951" s="58"/>
      <c r="E951" s="57"/>
      <c r="F951" s="69"/>
      <c r="G951" s="69"/>
      <c r="H951" s="70" t="str">
        <f aca="false">IF(A951="","",IFERROR(INDEX(السندات!$C$5:$C$504,MATCH(A951,السندات!$A$5:$A$504,0)),""))</f>
        <v/>
      </c>
      <c r="I951" s="71" t="str">
        <f aca="false">IF(A951="","",IFERROR(INDEX(السندات!$D$5:$D$504,MATCH(A951,السندات!$A$5:$A$504,0)),""))</f>
        <v/>
      </c>
      <c r="J951" s="72" t="str">
        <f aca="false">IF(A951="","",IF(ISNA(MATCH(A951,السندات!$A$5:$A$504,0)),"رقم سند غير موجود ✘",IF(AND(F951&lt;&gt;"",G951&lt;&gt;""),"اكتب مدين أو دائن فقط ✘",IF(AND(N(F951)=0,N(G951)=0),"بدون مبلغ ⚠",IF(B951&gt;12,"يتجاوز 12 بنداً في الطباعة ⚠","")))))</f>
        <v/>
      </c>
    </row>
    <row r="952" customFormat="false" ht="15" hidden="false" customHeight="false" outlineLevel="0" collapsed="false">
      <c r="A952" s="58"/>
      <c r="B952" s="73" t="str">
        <f aca="false">IF(A952="","",COUNTIF(A$5:A952,A952))</f>
        <v/>
      </c>
      <c r="C952" s="73" t="str">
        <f aca="false">IF(A952="","",A952&amp;"-"&amp;B952)</f>
        <v/>
      </c>
      <c r="D952" s="58"/>
      <c r="E952" s="57"/>
      <c r="F952" s="69"/>
      <c r="G952" s="69"/>
      <c r="H952" s="74" t="str">
        <f aca="false">IF(A952="","",IFERROR(INDEX(السندات!$C$5:$C$504,MATCH(A952,السندات!$A$5:$A$504,0)),""))</f>
        <v/>
      </c>
      <c r="I952" s="75" t="str">
        <f aca="false">IF(A952="","",IFERROR(INDEX(السندات!$D$5:$D$504,MATCH(A952,السندات!$A$5:$A$504,0)),""))</f>
        <v/>
      </c>
      <c r="J952" s="76" t="str">
        <f aca="false">IF(A952="","",IF(ISNA(MATCH(A952,السندات!$A$5:$A$504,0)),"رقم سند غير موجود ✘",IF(AND(F952&lt;&gt;"",G952&lt;&gt;""),"اكتب مدين أو دائن فقط ✘",IF(AND(N(F952)=0,N(G952)=0),"بدون مبلغ ⚠",IF(B952&gt;12,"يتجاوز 12 بنداً في الطباعة ⚠","")))))</f>
        <v/>
      </c>
    </row>
    <row r="953" customFormat="false" ht="15" hidden="false" customHeight="false" outlineLevel="0" collapsed="false">
      <c r="A953" s="58"/>
      <c r="B953" s="68" t="str">
        <f aca="false">IF(A953="","",COUNTIF(A$5:A953,A953))</f>
        <v/>
      </c>
      <c r="C953" s="68" t="str">
        <f aca="false">IF(A953="","",A953&amp;"-"&amp;B953)</f>
        <v/>
      </c>
      <c r="D953" s="58"/>
      <c r="E953" s="57"/>
      <c r="F953" s="69"/>
      <c r="G953" s="69"/>
      <c r="H953" s="70" t="str">
        <f aca="false">IF(A953="","",IFERROR(INDEX(السندات!$C$5:$C$504,MATCH(A953,السندات!$A$5:$A$504,0)),""))</f>
        <v/>
      </c>
      <c r="I953" s="71" t="str">
        <f aca="false">IF(A953="","",IFERROR(INDEX(السندات!$D$5:$D$504,MATCH(A953,السندات!$A$5:$A$504,0)),""))</f>
        <v/>
      </c>
      <c r="J953" s="72" t="str">
        <f aca="false">IF(A953="","",IF(ISNA(MATCH(A953,السندات!$A$5:$A$504,0)),"رقم سند غير موجود ✘",IF(AND(F953&lt;&gt;"",G953&lt;&gt;""),"اكتب مدين أو دائن فقط ✘",IF(AND(N(F953)=0,N(G953)=0),"بدون مبلغ ⚠",IF(B953&gt;12,"يتجاوز 12 بنداً في الطباعة ⚠","")))))</f>
        <v/>
      </c>
    </row>
    <row r="954" customFormat="false" ht="15" hidden="false" customHeight="false" outlineLevel="0" collapsed="false">
      <c r="A954" s="58"/>
      <c r="B954" s="73" t="str">
        <f aca="false">IF(A954="","",COUNTIF(A$5:A954,A954))</f>
        <v/>
      </c>
      <c r="C954" s="73" t="str">
        <f aca="false">IF(A954="","",A954&amp;"-"&amp;B954)</f>
        <v/>
      </c>
      <c r="D954" s="58"/>
      <c r="E954" s="57"/>
      <c r="F954" s="69"/>
      <c r="G954" s="69"/>
      <c r="H954" s="74" t="str">
        <f aca="false">IF(A954="","",IFERROR(INDEX(السندات!$C$5:$C$504,MATCH(A954,السندات!$A$5:$A$504,0)),""))</f>
        <v/>
      </c>
      <c r="I954" s="75" t="str">
        <f aca="false">IF(A954="","",IFERROR(INDEX(السندات!$D$5:$D$504,MATCH(A954,السندات!$A$5:$A$504,0)),""))</f>
        <v/>
      </c>
      <c r="J954" s="76" t="str">
        <f aca="false">IF(A954="","",IF(ISNA(MATCH(A954,السندات!$A$5:$A$504,0)),"رقم سند غير موجود ✘",IF(AND(F954&lt;&gt;"",G954&lt;&gt;""),"اكتب مدين أو دائن فقط ✘",IF(AND(N(F954)=0,N(G954)=0),"بدون مبلغ ⚠",IF(B954&gt;12,"يتجاوز 12 بنداً في الطباعة ⚠","")))))</f>
        <v/>
      </c>
    </row>
    <row r="955" customFormat="false" ht="15" hidden="false" customHeight="false" outlineLevel="0" collapsed="false">
      <c r="A955" s="58"/>
      <c r="B955" s="68" t="str">
        <f aca="false">IF(A955="","",COUNTIF(A$5:A955,A955))</f>
        <v/>
      </c>
      <c r="C955" s="68" t="str">
        <f aca="false">IF(A955="","",A955&amp;"-"&amp;B955)</f>
        <v/>
      </c>
      <c r="D955" s="58"/>
      <c r="E955" s="57"/>
      <c r="F955" s="69"/>
      <c r="G955" s="69"/>
      <c r="H955" s="70" t="str">
        <f aca="false">IF(A955="","",IFERROR(INDEX(السندات!$C$5:$C$504,MATCH(A955,السندات!$A$5:$A$504,0)),""))</f>
        <v/>
      </c>
      <c r="I955" s="71" t="str">
        <f aca="false">IF(A955="","",IFERROR(INDEX(السندات!$D$5:$D$504,MATCH(A955,السندات!$A$5:$A$504,0)),""))</f>
        <v/>
      </c>
      <c r="J955" s="72" t="str">
        <f aca="false">IF(A955="","",IF(ISNA(MATCH(A955,السندات!$A$5:$A$504,0)),"رقم سند غير موجود ✘",IF(AND(F955&lt;&gt;"",G955&lt;&gt;""),"اكتب مدين أو دائن فقط ✘",IF(AND(N(F955)=0,N(G955)=0),"بدون مبلغ ⚠",IF(B955&gt;12,"يتجاوز 12 بنداً في الطباعة ⚠","")))))</f>
        <v/>
      </c>
    </row>
    <row r="956" customFormat="false" ht="15" hidden="false" customHeight="false" outlineLevel="0" collapsed="false">
      <c r="A956" s="58"/>
      <c r="B956" s="73" t="str">
        <f aca="false">IF(A956="","",COUNTIF(A$5:A956,A956))</f>
        <v/>
      </c>
      <c r="C956" s="73" t="str">
        <f aca="false">IF(A956="","",A956&amp;"-"&amp;B956)</f>
        <v/>
      </c>
      <c r="D956" s="58"/>
      <c r="E956" s="57"/>
      <c r="F956" s="69"/>
      <c r="G956" s="69"/>
      <c r="H956" s="74" t="str">
        <f aca="false">IF(A956="","",IFERROR(INDEX(السندات!$C$5:$C$504,MATCH(A956,السندات!$A$5:$A$504,0)),""))</f>
        <v/>
      </c>
      <c r="I956" s="75" t="str">
        <f aca="false">IF(A956="","",IFERROR(INDEX(السندات!$D$5:$D$504,MATCH(A956,السندات!$A$5:$A$504,0)),""))</f>
        <v/>
      </c>
      <c r="J956" s="76" t="str">
        <f aca="false">IF(A956="","",IF(ISNA(MATCH(A956,السندات!$A$5:$A$504,0)),"رقم سند غير موجود ✘",IF(AND(F956&lt;&gt;"",G956&lt;&gt;""),"اكتب مدين أو دائن فقط ✘",IF(AND(N(F956)=0,N(G956)=0),"بدون مبلغ ⚠",IF(B956&gt;12,"يتجاوز 12 بنداً في الطباعة ⚠","")))))</f>
        <v/>
      </c>
    </row>
    <row r="957" customFormat="false" ht="15" hidden="false" customHeight="false" outlineLevel="0" collapsed="false">
      <c r="A957" s="58"/>
      <c r="B957" s="68" t="str">
        <f aca="false">IF(A957="","",COUNTIF(A$5:A957,A957))</f>
        <v/>
      </c>
      <c r="C957" s="68" t="str">
        <f aca="false">IF(A957="","",A957&amp;"-"&amp;B957)</f>
        <v/>
      </c>
      <c r="D957" s="58"/>
      <c r="E957" s="57"/>
      <c r="F957" s="69"/>
      <c r="G957" s="69"/>
      <c r="H957" s="70" t="str">
        <f aca="false">IF(A957="","",IFERROR(INDEX(السندات!$C$5:$C$504,MATCH(A957,السندات!$A$5:$A$504,0)),""))</f>
        <v/>
      </c>
      <c r="I957" s="71" t="str">
        <f aca="false">IF(A957="","",IFERROR(INDEX(السندات!$D$5:$D$504,MATCH(A957,السندات!$A$5:$A$504,0)),""))</f>
        <v/>
      </c>
      <c r="J957" s="72" t="str">
        <f aca="false">IF(A957="","",IF(ISNA(MATCH(A957,السندات!$A$5:$A$504,0)),"رقم سند غير موجود ✘",IF(AND(F957&lt;&gt;"",G957&lt;&gt;""),"اكتب مدين أو دائن فقط ✘",IF(AND(N(F957)=0,N(G957)=0),"بدون مبلغ ⚠",IF(B957&gt;12,"يتجاوز 12 بنداً في الطباعة ⚠","")))))</f>
        <v/>
      </c>
    </row>
    <row r="958" customFormat="false" ht="15" hidden="false" customHeight="false" outlineLevel="0" collapsed="false">
      <c r="A958" s="58"/>
      <c r="B958" s="73" t="str">
        <f aca="false">IF(A958="","",COUNTIF(A$5:A958,A958))</f>
        <v/>
      </c>
      <c r="C958" s="73" t="str">
        <f aca="false">IF(A958="","",A958&amp;"-"&amp;B958)</f>
        <v/>
      </c>
      <c r="D958" s="58"/>
      <c r="E958" s="57"/>
      <c r="F958" s="69"/>
      <c r="G958" s="69"/>
      <c r="H958" s="74" t="str">
        <f aca="false">IF(A958="","",IFERROR(INDEX(السندات!$C$5:$C$504,MATCH(A958,السندات!$A$5:$A$504,0)),""))</f>
        <v/>
      </c>
      <c r="I958" s="75" t="str">
        <f aca="false">IF(A958="","",IFERROR(INDEX(السندات!$D$5:$D$504,MATCH(A958,السندات!$A$5:$A$504,0)),""))</f>
        <v/>
      </c>
      <c r="J958" s="76" t="str">
        <f aca="false">IF(A958="","",IF(ISNA(MATCH(A958,السندات!$A$5:$A$504,0)),"رقم سند غير موجود ✘",IF(AND(F958&lt;&gt;"",G958&lt;&gt;""),"اكتب مدين أو دائن فقط ✘",IF(AND(N(F958)=0,N(G958)=0),"بدون مبلغ ⚠",IF(B958&gt;12,"يتجاوز 12 بنداً في الطباعة ⚠","")))))</f>
        <v/>
      </c>
    </row>
    <row r="959" customFormat="false" ht="15" hidden="false" customHeight="false" outlineLevel="0" collapsed="false">
      <c r="A959" s="58"/>
      <c r="B959" s="68" t="str">
        <f aca="false">IF(A959="","",COUNTIF(A$5:A959,A959))</f>
        <v/>
      </c>
      <c r="C959" s="68" t="str">
        <f aca="false">IF(A959="","",A959&amp;"-"&amp;B959)</f>
        <v/>
      </c>
      <c r="D959" s="58"/>
      <c r="E959" s="57"/>
      <c r="F959" s="69"/>
      <c r="G959" s="69"/>
      <c r="H959" s="70" t="str">
        <f aca="false">IF(A959="","",IFERROR(INDEX(السندات!$C$5:$C$504,MATCH(A959,السندات!$A$5:$A$504,0)),""))</f>
        <v/>
      </c>
      <c r="I959" s="71" t="str">
        <f aca="false">IF(A959="","",IFERROR(INDEX(السندات!$D$5:$D$504,MATCH(A959,السندات!$A$5:$A$504,0)),""))</f>
        <v/>
      </c>
      <c r="J959" s="72" t="str">
        <f aca="false">IF(A959="","",IF(ISNA(MATCH(A959,السندات!$A$5:$A$504,0)),"رقم سند غير موجود ✘",IF(AND(F959&lt;&gt;"",G959&lt;&gt;""),"اكتب مدين أو دائن فقط ✘",IF(AND(N(F959)=0,N(G959)=0),"بدون مبلغ ⚠",IF(B959&gt;12,"يتجاوز 12 بنداً في الطباعة ⚠","")))))</f>
        <v/>
      </c>
    </row>
    <row r="960" customFormat="false" ht="15" hidden="false" customHeight="false" outlineLevel="0" collapsed="false">
      <c r="A960" s="58"/>
      <c r="B960" s="73" t="str">
        <f aca="false">IF(A960="","",COUNTIF(A$5:A960,A960))</f>
        <v/>
      </c>
      <c r="C960" s="73" t="str">
        <f aca="false">IF(A960="","",A960&amp;"-"&amp;B960)</f>
        <v/>
      </c>
      <c r="D960" s="58"/>
      <c r="E960" s="57"/>
      <c r="F960" s="69"/>
      <c r="G960" s="69"/>
      <c r="H960" s="74" t="str">
        <f aca="false">IF(A960="","",IFERROR(INDEX(السندات!$C$5:$C$504,MATCH(A960,السندات!$A$5:$A$504,0)),""))</f>
        <v/>
      </c>
      <c r="I960" s="75" t="str">
        <f aca="false">IF(A960="","",IFERROR(INDEX(السندات!$D$5:$D$504,MATCH(A960,السندات!$A$5:$A$504,0)),""))</f>
        <v/>
      </c>
      <c r="J960" s="76" t="str">
        <f aca="false">IF(A960="","",IF(ISNA(MATCH(A960,السندات!$A$5:$A$504,0)),"رقم سند غير موجود ✘",IF(AND(F960&lt;&gt;"",G960&lt;&gt;""),"اكتب مدين أو دائن فقط ✘",IF(AND(N(F960)=0,N(G960)=0),"بدون مبلغ ⚠",IF(B960&gt;12,"يتجاوز 12 بنداً في الطباعة ⚠","")))))</f>
        <v/>
      </c>
    </row>
    <row r="961" customFormat="false" ht="15" hidden="false" customHeight="false" outlineLevel="0" collapsed="false">
      <c r="A961" s="58"/>
      <c r="B961" s="68" t="str">
        <f aca="false">IF(A961="","",COUNTIF(A$5:A961,A961))</f>
        <v/>
      </c>
      <c r="C961" s="68" t="str">
        <f aca="false">IF(A961="","",A961&amp;"-"&amp;B961)</f>
        <v/>
      </c>
      <c r="D961" s="58"/>
      <c r="E961" s="57"/>
      <c r="F961" s="69"/>
      <c r="G961" s="69"/>
      <c r="H961" s="70" t="str">
        <f aca="false">IF(A961="","",IFERROR(INDEX(السندات!$C$5:$C$504,MATCH(A961,السندات!$A$5:$A$504,0)),""))</f>
        <v/>
      </c>
      <c r="I961" s="71" t="str">
        <f aca="false">IF(A961="","",IFERROR(INDEX(السندات!$D$5:$D$504,MATCH(A961,السندات!$A$5:$A$504,0)),""))</f>
        <v/>
      </c>
      <c r="J961" s="72" t="str">
        <f aca="false">IF(A961="","",IF(ISNA(MATCH(A961,السندات!$A$5:$A$504,0)),"رقم سند غير موجود ✘",IF(AND(F961&lt;&gt;"",G961&lt;&gt;""),"اكتب مدين أو دائن فقط ✘",IF(AND(N(F961)=0,N(G961)=0),"بدون مبلغ ⚠",IF(B961&gt;12,"يتجاوز 12 بنداً في الطباعة ⚠","")))))</f>
        <v/>
      </c>
    </row>
    <row r="962" customFormat="false" ht="15" hidden="false" customHeight="false" outlineLevel="0" collapsed="false">
      <c r="A962" s="58"/>
      <c r="B962" s="73" t="str">
        <f aca="false">IF(A962="","",COUNTIF(A$5:A962,A962))</f>
        <v/>
      </c>
      <c r="C962" s="73" t="str">
        <f aca="false">IF(A962="","",A962&amp;"-"&amp;B962)</f>
        <v/>
      </c>
      <c r="D962" s="58"/>
      <c r="E962" s="57"/>
      <c r="F962" s="69"/>
      <c r="G962" s="69"/>
      <c r="H962" s="74" t="str">
        <f aca="false">IF(A962="","",IFERROR(INDEX(السندات!$C$5:$C$504,MATCH(A962,السندات!$A$5:$A$504,0)),""))</f>
        <v/>
      </c>
      <c r="I962" s="75" t="str">
        <f aca="false">IF(A962="","",IFERROR(INDEX(السندات!$D$5:$D$504,MATCH(A962,السندات!$A$5:$A$504,0)),""))</f>
        <v/>
      </c>
      <c r="J962" s="76" t="str">
        <f aca="false">IF(A962="","",IF(ISNA(MATCH(A962,السندات!$A$5:$A$504,0)),"رقم سند غير موجود ✘",IF(AND(F962&lt;&gt;"",G962&lt;&gt;""),"اكتب مدين أو دائن فقط ✘",IF(AND(N(F962)=0,N(G962)=0),"بدون مبلغ ⚠",IF(B962&gt;12,"يتجاوز 12 بنداً في الطباعة ⚠","")))))</f>
        <v/>
      </c>
    </row>
    <row r="963" customFormat="false" ht="15" hidden="false" customHeight="false" outlineLevel="0" collapsed="false">
      <c r="A963" s="58"/>
      <c r="B963" s="68" t="str">
        <f aca="false">IF(A963="","",COUNTIF(A$5:A963,A963))</f>
        <v/>
      </c>
      <c r="C963" s="68" t="str">
        <f aca="false">IF(A963="","",A963&amp;"-"&amp;B963)</f>
        <v/>
      </c>
      <c r="D963" s="58"/>
      <c r="E963" s="57"/>
      <c r="F963" s="69"/>
      <c r="G963" s="69"/>
      <c r="H963" s="70" t="str">
        <f aca="false">IF(A963="","",IFERROR(INDEX(السندات!$C$5:$C$504,MATCH(A963,السندات!$A$5:$A$504,0)),""))</f>
        <v/>
      </c>
      <c r="I963" s="71" t="str">
        <f aca="false">IF(A963="","",IFERROR(INDEX(السندات!$D$5:$D$504,MATCH(A963,السندات!$A$5:$A$504,0)),""))</f>
        <v/>
      </c>
      <c r="J963" s="72" t="str">
        <f aca="false">IF(A963="","",IF(ISNA(MATCH(A963,السندات!$A$5:$A$504,0)),"رقم سند غير موجود ✘",IF(AND(F963&lt;&gt;"",G963&lt;&gt;""),"اكتب مدين أو دائن فقط ✘",IF(AND(N(F963)=0,N(G963)=0),"بدون مبلغ ⚠",IF(B963&gt;12,"يتجاوز 12 بنداً في الطباعة ⚠","")))))</f>
        <v/>
      </c>
    </row>
    <row r="964" customFormat="false" ht="15" hidden="false" customHeight="false" outlineLevel="0" collapsed="false">
      <c r="A964" s="58"/>
      <c r="B964" s="73" t="str">
        <f aca="false">IF(A964="","",COUNTIF(A$5:A964,A964))</f>
        <v/>
      </c>
      <c r="C964" s="73" t="str">
        <f aca="false">IF(A964="","",A964&amp;"-"&amp;B964)</f>
        <v/>
      </c>
      <c r="D964" s="58"/>
      <c r="E964" s="57"/>
      <c r="F964" s="69"/>
      <c r="G964" s="69"/>
      <c r="H964" s="74" t="str">
        <f aca="false">IF(A964="","",IFERROR(INDEX(السندات!$C$5:$C$504,MATCH(A964,السندات!$A$5:$A$504,0)),""))</f>
        <v/>
      </c>
      <c r="I964" s="75" t="str">
        <f aca="false">IF(A964="","",IFERROR(INDEX(السندات!$D$5:$D$504,MATCH(A964,السندات!$A$5:$A$504,0)),""))</f>
        <v/>
      </c>
      <c r="J964" s="76" t="str">
        <f aca="false">IF(A964="","",IF(ISNA(MATCH(A964,السندات!$A$5:$A$504,0)),"رقم سند غير موجود ✘",IF(AND(F964&lt;&gt;"",G964&lt;&gt;""),"اكتب مدين أو دائن فقط ✘",IF(AND(N(F964)=0,N(G964)=0),"بدون مبلغ ⚠",IF(B964&gt;12,"يتجاوز 12 بنداً في الطباعة ⚠","")))))</f>
        <v/>
      </c>
    </row>
    <row r="965" customFormat="false" ht="15" hidden="false" customHeight="false" outlineLevel="0" collapsed="false">
      <c r="A965" s="58"/>
      <c r="B965" s="68" t="str">
        <f aca="false">IF(A965="","",COUNTIF(A$5:A965,A965))</f>
        <v/>
      </c>
      <c r="C965" s="68" t="str">
        <f aca="false">IF(A965="","",A965&amp;"-"&amp;B965)</f>
        <v/>
      </c>
      <c r="D965" s="58"/>
      <c r="E965" s="57"/>
      <c r="F965" s="69"/>
      <c r="G965" s="69"/>
      <c r="H965" s="70" t="str">
        <f aca="false">IF(A965="","",IFERROR(INDEX(السندات!$C$5:$C$504,MATCH(A965,السندات!$A$5:$A$504,0)),""))</f>
        <v/>
      </c>
      <c r="I965" s="71" t="str">
        <f aca="false">IF(A965="","",IFERROR(INDEX(السندات!$D$5:$D$504,MATCH(A965,السندات!$A$5:$A$504,0)),""))</f>
        <v/>
      </c>
      <c r="J965" s="72" t="str">
        <f aca="false">IF(A965="","",IF(ISNA(MATCH(A965,السندات!$A$5:$A$504,0)),"رقم سند غير موجود ✘",IF(AND(F965&lt;&gt;"",G965&lt;&gt;""),"اكتب مدين أو دائن فقط ✘",IF(AND(N(F965)=0,N(G965)=0),"بدون مبلغ ⚠",IF(B965&gt;12,"يتجاوز 12 بنداً في الطباعة ⚠","")))))</f>
        <v/>
      </c>
    </row>
    <row r="966" customFormat="false" ht="15" hidden="false" customHeight="false" outlineLevel="0" collapsed="false">
      <c r="A966" s="58"/>
      <c r="B966" s="73" t="str">
        <f aca="false">IF(A966="","",COUNTIF(A$5:A966,A966))</f>
        <v/>
      </c>
      <c r="C966" s="73" t="str">
        <f aca="false">IF(A966="","",A966&amp;"-"&amp;B966)</f>
        <v/>
      </c>
      <c r="D966" s="58"/>
      <c r="E966" s="57"/>
      <c r="F966" s="69"/>
      <c r="G966" s="69"/>
      <c r="H966" s="74" t="str">
        <f aca="false">IF(A966="","",IFERROR(INDEX(السندات!$C$5:$C$504,MATCH(A966,السندات!$A$5:$A$504,0)),""))</f>
        <v/>
      </c>
      <c r="I966" s="75" t="str">
        <f aca="false">IF(A966="","",IFERROR(INDEX(السندات!$D$5:$D$504,MATCH(A966,السندات!$A$5:$A$504,0)),""))</f>
        <v/>
      </c>
      <c r="J966" s="76" t="str">
        <f aca="false">IF(A966="","",IF(ISNA(MATCH(A966,السندات!$A$5:$A$504,0)),"رقم سند غير موجود ✘",IF(AND(F966&lt;&gt;"",G966&lt;&gt;""),"اكتب مدين أو دائن فقط ✘",IF(AND(N(F966)=0,N(G966)=0),"بدون مبلغ ⚠",IF(B966&gt;12,"يتجاوز 12 بنداً في الطباعة ⚠","")))))</f>
        <v/>
      </c>
    </row>
    <row r="967" customFormat="false" ht="15" hidden="false" customHeight="false" outlineLevel="0" collapsed="false">
      <c r="A967" s="58"/>
      <c r="B967" s="68" t="str">
        <f aca="false">IF(A967="","",COUNTIF(A$5:A967,A967))</f>
        <v/>
      </c>
      <c r="C967" s="68" t="str">
        <f aca="false">IF(A967="","",A967&amp;"-"&amp;B967)</f>
        <v/>
      </c>
      <c r="D967" s="58"/>
      <c r="E967" s="57"/>
      <c r="F967" s="69"/>
      <c r="G967" s="69"/>
      <c r="H967" s="70" t="str">
        <f aca="false">IF(A967="","",IFERROR(INDEX(السندات!$C$5:$C$504,MATCH(A967,السندات!$A$5:$A$504,0)),""))</f>
        <v/>
      </c>
      <c r="I967" s="71" t="str">
        <f aca="false">IF(A967="","",IFERROR(INDEX(السندات!$D$5:$D$504,MATCH(A967,السندات!$A$5:$A$504,0)),""))</f>
        <v/>
      </c>
      <c r="J967" s="72" t="str">
        <f aca="false">IF(A967="","",IF(ISNA(MATCH(A967,السندات!$A$5:$A$504,0)),"رقم سند غير موجود ✘",IF(AND(F967&lt;&gt;"",G967&lt;&gt;""),"اكتب مدين أو دائن فقط ✘",IF(AND(N(F967)=0,N(G967)=0),"بدون مبلغ ⚠",IF(B967&gt;12,"يتجاوز 12 بنداً في الطباعة ⚠","")))))</f>
        <v/>
      </c>
    </row>
    <row r="968" customFormat="false" ht="15" hidden="false" customHeight="false" outlineLevel="0" collapsed="false">
      <c r="A968" s="58"/>
      <c r="B968" s="73" t="str">
        <f aca="false">IF(A968="","",COUNTIF(A$5:A968,A968))</f>
        <v/>
      </c>
      <c r="C968" s="73" t="str">
        <f aca="false">IF(A968="","",A968&amp;"-"&amp;B968)</f>
        <v/>
      </c>
      <c r="D968" s="58"/>
      <c r="E968" s="57"/>
      <c r="F968" s="69"/>
      <c r="G968" s="69"/>
      <c r="H968" s="74" t="str">
        <f aca="false">IF(A968="","",IFERROR(INDEX(السندات!$C$5:$C$504,MATCH(A968,السندات!$A$5:$A$504,0)),""))</f>
        <v/>
      </c>
      <c r="I968" s="75" t="str">
        <f aca="false">IF(A968="","",IFERROR(INDEX(السندات!$D$5:$D$504,MATCH(A968,السندات!$A$5:$A$504,0)),""))</f>
        <v/>
      </c>
      <c r="J968" s="76" t="str">
        <f aca="false">IF(A968="","",IF(ISNA(MATCH(A968,السندات!$A$5:$A$504,0)),"رقم سند غير موجود ✘",IF(AND(F968&lt;&gt;"",G968&lt;&gt;""),"اكتب مدين أو دائن فقط ✘",IF(AND(N(F968)=0,N(G968)=0),"بدون مبلغ ⚠",IF(B968&gt;12,"يتجاوز 12 بنداً في الطباعة ⚠","")))))</f>
        <v/>
      </c>
    </row>
    <row r="969" customFormat="false" ht="15" hidden="false" customHeight="false" outlineLevel="0" collapsed="false">
      <c r="A969" s="58"/>
      <c r="B969" s="68" t="str">
        <f aca="false">IF(A969="","",COUNTIF(A$5:A969,A969))</f>
        <v/>
      </c>
      <c r="C969" s="68" t="str">
        <f aca="false">IF(A969="","",A969&amp;"-"&amp;B969)</f>
        <v/>
      </c>
      <c r="D969" s="58"/>
      <c r="E969" s="57"/>
      <c r="F969" s="69"/>
      <c r="G969" s="69"/>
      <c r="H969" s="70" t="str">
        <f aca="false">IF(A969="","",IFERROR(INDEX(السندات!$C$5:$C$504,MATCH(A969,السندات!$A$5:$A$504,0)),""))</f>
        <v/>
      </c>
      <c r="I969" s="71" t="str">
        <f aca="false">IF(A969="","",IFERROR(INDEX(السندات!$D$5:$D$504,MATCH(A969,السندات!$A$5:$A$504,0)),""))</f>
        <v/>
      </c>
      <c r="J969" s="72" t="str">
        <f aca="false">IF(A969="","",IF(ISNA(MATCH(A969,السندات!$A$5:$A$504,0)),"رقم سند غير موجود ✘",IF(AND(F969&lt;&gt;"",G969&lt;&gt;""),"اكتب مدين أو دائن فقط ✘",IF(AND(N(F969)=0,N(G969)=0),"بدون مبلغ ⚠",IF(B969&gt;12,"يتجاوز 12 بنداً في الطباعة ⚠","")))))</f>
        <v/>
      </c>
    </row>
    <row r="970" customFormat="false" ht="15" hidden="false" customHeight="false" outlineLevel="0" collapsed="false">
      <c r="A970" s="58"/>
      <c r="B970" s="73" t="str">
        <f aca="false">IF(A970="","",COUNTIF(A$5:A970,A970))</f>
        <v/>
      </c>
      <c r="C970" s="73" t="str">
        <f aca="false">IF(A970="","",A970&amp;"-"&amp;B970)</f>
        <v/>
      </c>
      <c r="D970" s="58"/>
      <c r="E970" s="57"/>
      <c r="F970" s="69"/>
      <c r="G970" s="69"/>
      <c r="H970" s="74" t="str">
        <f aca="false">IF(A970="","",IFERROR(INDEX(السندات!$C$5:$C$504,MATCH(A970,السندات!$A$5:$A$504,0)),""))</f>
        <v/>
      </c>
      <c r="I970" s="75" t="str">
        <f aca="false">IF(A970="","",IFERROR(INDEX(السندات!$D$5:$D$504,MATCH(A970,السندات!$A$5:$A$504,0)),""))</f>
        <v/>
      </c>
      <c r="J970" s="76" t="str">
        <f aca="false">IF(A970="","",IF(ISNA(MATCH(A970,السندات!$A$5:$A$504,0)),"رقم سند غير موجود ✘",IF(AND(F970&lt;&gt;"",G970&lt;&gt;""),"اكتب مدين أو دائن فقط ✘",IF(AND(N(F970)=0,N(G970)=0),"بدون مبلغ ⚠",IF(B970&gt;12,"يتجاوز 12 بنداً في الطباعة ⚠","")))))</f>
        <v/>
      </c>
    </row>
    <row r="971" customFormat="false" ht="15" hidden="false" customHeight="false" outlineLevel="0" collapsed="false">
      <c r="A971" s="58"/>
      <c r="B971" s="68" t="str">
        <f aca="false">IF(A971="","",COUNTIF(A$5:A971,A971))</f>
        <v/>
      </c>
      <c r="C971" s="68" t="str">
        <f aca="false">IF(A971="","",A971&amp;"-"&amp;B971)</f>
        <v/>
      </c>
      <c r="D971" s="58"/>
      <c r="E971" s="57"/>
      <c r="F971" s="69"/>
      <c r="G971" s="69"/>
      <c r="H971" s="70" t="str">
        <f aca="false">IF(A971="","",IFERROR(INDEX(السندات!$C$5:$C$504,MATCH(A971,السندات!$A$5:$A$504,0)),""))</f>
        <v/>
      </c>
      <c r="I971" s="71" t="str">
        <f aca="false">IF(A971="","",IFERROR(INDEX(السندات!$D$5:$D$504,MATCH(A971,السندات!$A$5:$A$504,0)),""))</f>
        <v/>
      </c>
      <c r="J971" s="72" t="str">
        <f aca="false">IF(A971="","",IF(ISNA(MATCH(A971,السندات!$A$5:$A$504,0)),"رقم سند غير موجود ✘",IF(AND(F971&lt;&gt;"",G971&lt;&gt;""),"اكتب مدين أو دائن فقط ✘",IF(AND(N(F971)=0,N(G971)=0),"بدون مبلغ ⚠",IF(B971&gt;12,"يتجاوز 12 بنداً في الطباعة ⚠","")))))</f>
        <v/>
      </c>
    </row>
    <row r="972" customFormat="false" ht="15" hidden="false" customHeight="false" outlineLevel="0" collapsed="false">
      <c r="A972" s="58"/>
      <c r="B972" s="73" t="str">
        <f aca="false">IF(A972="","",COUNTIF(A$5:A972,A972))</f>
        <v/>
      </c>
      <c r="C972" s="73" t="str">
        <f aca="false">IF(A972="","",A972&amp;"-"&amp;B972)</f>
        <v/>
      </c>
      <c r="D972" s="58"/>
      <c r="E972" s="57"/>
      <c r="F972" s="69"/>
      <c r="G972" s="69"/>
      <c r="H972" s="74" t="str">
        <f aca="false">IF(A972="","",IFERROR(INDEX(السندات!$C$5:$C$504,MATCH(A972,السندات!$A$5:$A$504,0)),""))</f>
        <v/>
      </c>
      <c r="I972" s="75" t="str">
        <f aca="false">IF(A972="","",IFERROR(INDEX(السندات!$D$5:$D$504,MATCH(A972,السندات!$A$5:$A$504,0)),""))</f>
        <v/>
      </c>
      <c r="J972" s="76" t="str">
        <f aca="false">IF(A972="","",IF(ISNA(MATCH(A972,السندات!$A$5:$A$504,0)),"رقم سند غير موجود ✘",IF(AND(F972&lt;&gt;"",G972&lt;&gt;""),"اكتب مدين أو دائن فقط ✘",IF(AND(N(F972)=0,N(G972)=0),"بدون مبلغ ⚠",IF(B972&gt;12,"يتجاوز 12 بنداً في الطباعة ⚠","")))))</f>
        <v/>
      </c>
    </row>
    <row r="973" customFormat="false" ht="15" hidden="false" customHeight="false" outlineLevel="0" collapsed="false">
      <c r="A973" s="58"/>
      <c r="B973" s="68" t="str">
        <f aca="false">IF(A973="","",COUNTIF(A$5:A973,A973))</f>
        <v/>
      </c>
      <c r="C973" s="68" t="str">
        <f aca="false">IF(A973="","",A973&amp;"-"&amp;B973)</f>
        <v/>
      </c>
      <c r="D973" s="58"/>
      <c r="E973" s="57"/>
      <c r="F973" s="69"/>
      <c r="G973" s="69"/>
      <c r="H973" s="70" t="str">
        <f aca="false">IF(A973="","",IFERROR(INDEX(السندات!$C$5:$C$504,MATCH(A973,السندات!$A$5:$A$504,0)),""))</f>
        <v/>
      </c>
      <c r="I973" s="71" t="str">
        <f aca="false">IF(A973="","",IFERROR(INDEX(السندات!$D$5:$D$504,MATCH(A973,السندات!$A$5:$A$504,0)),""))</f>
        <v/>
      </c>
      <c r="J973" s="72" t="str">
        <f aca="false">IF(A973="","",IF(ISNA(MATCH(A973,السندات!$A$5:$A$504,0)),"رقم سند غير موجود ✘",IF(AND(F973&lt;&gt;"",G973&lt;&gt;""),"اكتب مدين أو دائن فقط ✘",IF(AND(N(F973)=0,N(G973)=0),"بدون مبلغ ⚠",IF(B973&gt;12,"يتجاوز 12 بنداً في الطباعة ⚠","")))))</f>
        <v/>
      </c>
    </row>
    <row r="974" customFormat="false" ht="15" hidden="false" customHeight="false" outlineLevel="0" collapsed="false">
      <c r="A974" s="58"/>
      <c r="B974" s="73" t="str">
        <f aca="false">IF(A974="","",COUNTIF(A$5:A974,A974))</f>
        <v/>
      </c>
      <c r="C974" s="73" t="str">
        <f aca="false">IF(A974="","",A974&amp;"-"&amp;B974)</f>
        <v/>
      </c>
      <c r="D974" s="58"/>
      <c r="E974" s="57"/>
      <c r="F974" s="69"/>
      <c r="G974" s="69"/>
      <c r="H974" s="74" t="str">
        <f aca="false">IF(A974="","",IFERROR(INDEX(السندات!$C$5:$C$504,MATCH(A974,السندات!$A$5:$A$504,0)),""))</f>
        <v/>
      </c>
      <c r="I974" s="75" t="str">
        <f aca="false">IF(A974="","",IFERROR(INDEX(السندات!$D$5:$D$504,MATCH(A974,السندات!$A$5:$A$504,0)),""))</f>
        <v/>
      </c>
      <c r="J974" s="76" t="str">
        <f aca="false">IF(A974="","",IF(ISNA(MATCH(A974,السندات!$A$5:$A$504,0)),"رقم سند غير موجود ✘",IF(AND(F974&lt;&gt;"",G974&lt;&gt;""),"اكتب مدين أو دائن فقط ✘",IF(AND(N(F974)=0,N(G974)=0),"بدون مبلغ ⚠",IF(B974&gt;12,"يتجاوز 12 بنداً في الطباعة ⚠","")))))</f>
        <v/>
      </c>
    </row>
    <row r="975" customFormat="false" ht="15" hidden="false" customHeight="false" outlineLevel="0" collapsed="false">
      <c r="A975" s="58"/>
      <c r="B975" s="68" t="str">
        <f aca="false">IF(A975="","",COUNTIF(A$5:A975,A975))</f>
        <v/>
      </c>
      <c r="C975" s="68" t="str">
        <f aca="false">IF(A975="","",A975&amp;"-"&amp;B975)</f>
        <v/>
      </c>
      <c r="D975" s="58"/>
      <c r="E975" s="57"/>
      <c r="F975" s="69"/>
      <c r="G975" s="69"/>
      <c r="H975" s="70" t="str">
        <f aca="false">IF(A975="","",IFERROR(INDEX(السندات!$C$5:$C$504,MATCH(A975,السندات!$A$5:$A$504,0)),""))</f>
        <v/>
      </c>
      <c r="I975" s="71" t="str">
        <f aca="false">IF(A975="","",IFERROR(INDEX(السندات!$D$5:$D$504,MATCH(A975,السندات!$A$5:$A$504,0)),""))</f>
        <v/>
      </c>
      <c r="J975" s="72" t="str">
        <f aca="false">IF(A975="","",IF(ISNA(MATCH(A975,السندات!$A$5:$A$504,0)),"رقم سند غير موجود ✘",IF(AND(F975&lt;&gt;"",G975&lt;&gt;""),"اكتب مدين أو دائن فقط ✘",IF(AND(N(F975)=0,N(G975)=0),"بدون مبلغ ⚠",IF(B975&gt;12,"يتجاوز 12 بنداً في الطباعة ⚠","")))))</f>
        <v/>
      </c>
    </row>
    <row r="976" customFormat="false" ht="15" hidden="false" customHeight="false" outlineLevel="0" collapsed="false">
      <c r="A976" s="58"/>
      <c r="B976" s="73" t="str">
        <f aca="false">IF(A976="","",COUNTIF(A$5:A976,A976))</f>
        <v/>
      </c>
      <c r="C976" s="73" t="str">
        <f aca="false">IF(A976="","",A976&amp;"-"&amp;B976)</f>
        <v/>
      </c>
      <c r="D976" s="58"/>
      <c r="E976" s="57"/>
      <c r="F976" s="69"/>
      <c r="G976" s="69"/>
      <c r="H976" s="74" t="str">
        <f aca="false">IF(A976="","",IFERROR(INDEX(السندات!$C$5:$C$504,MATCH(A976,السندات!$A$5:$A$504,0)),""))</f>
        <v/>
      </c>
      <c r="I976" s="75" t="str">
        <f aca="false">IF(A976="","",IFERROR(INDEX(السندات!$D$5:$D$504,MATCH(A976,السندات!$A$5:$A$504,0)),""))</f>
        <v/>
      </c>
      <c r="J976" s="76" t="str">
        <f aca="false">IF(A976="","",IF(ISNA(MATCH(A976,السندات!$A$5:$A$504,0)),"رقم سند غير موجود ✘",IF(AND(F976&lt;&gt;"",G976&lt;&gt;""),"اكتب مدين أو دائن فقط ✘",IF(AND(N(F976)=0,N(G976)=0),"بدون مبلغ ⚠",IF(B976&gt;12,"يتجاوز 12 بنداً في الطباعة ⚠","")))))</f>
        <v/>
      </c>
    </row>
    <row r="977" customFormat="false" ht="15" hidden="false" customHeight="false" outlineLevel="0" collapsed="false">
      <c r="A977" s="58"/>
      <c r="B977" s="68" t="str">
        <f aca="false">IF(A977="","",COUNTIF(A$5:A977,A977))</f>
        <v/>
      </c>
      <c r="C977" s="68" t="str">
        <f aca="false">IF(A977="","",A977&amp;"-"&amp;B977)</f>
        <v/>
      </c>
      <c r="D977" s="58"/>
      <c r="E977" s="57"/>
      <c r="F977" s="69"/>
      <c r="G977" s="69"/>
      <c r="H977" s="70" t="str">
        <f aca="false">IF(A977="","",IFERROR(INDEX(السندات!$C$5:$C$504,MATCH(A977,السندات!$A$5:$A$504,0)),""))</f>
        <v/>
      </c>
      <c r="I977" s="71" t="str">
        <f aca="false">IF(A977="","",IFERROR(INDEX(السندات!$D$5:$D$504,MATCH(A977,السندات!$A$5:$A$504,0)),""))</f>
        <v/>
      </c>
      <c r="J977" s="72" t="str">
        <f aca="false">IF(A977="","",IF(ISNA(MATCH(A977,السندات!$A$5:$A$504,0)),"رقم سند غير موجود ✘",IF(AND(F977&lt;&gt;"",G977&lt;&gt;""),"اكتب مدين أو دائن فقط ✘",IF(AND(N(F977)=0,N(G977)=0),"بدون مبلغ ⚠",IF(B977&gt;12,"يتجاوز 12 بنداً في الطباعة ⚠","")))))</f>
        <v/>
      </c>
    </row>
    <row r="978" customFormat="false" ht="15" hidden="false" customHeight="false" outlineLevel="0" collapsed="false">
      <c r="A978" s="58"/>
      <c r="B978" s="73" t="str">
        <f aca="false">IF(A978="","",COUNTIF(A$5:A978,A978))</f>
        <v/>
      </c>
      <c r="C978" s="73" t="str">
        <f aca="false">IF(A978="","",A978&amp;"-"&amp;B978)</f>
        <v/>
      </c>
      <c r="D978" s="58"/>
      <c r="E978" s="57"/>
      <c r="F978" s="69"/>
      <c r="G978" s="69"/>
      <c r="H978" s="74" t="str">
        <f aca="false">IF(A978="","",IFERROR(INDEX(السندات!$C$5:$C$504,MATCH(A978,السندات!$A$5:$A$504,0)),""))</f>
        <v/>
      </c>
      <c r="I978" s="75" t="str">
        <f aca="false">IF(A978="","",IFERROR(INDEX(السندات!$D$5:$D$504,MATCH(A978,السندات!$A$5:$A$504,0)),""))</f>
        <v/>
      </c>
      <c r="J978" s="76" t="str">
        <f aca="false">IF(A978="","",IF(ISNA(MATCH(A978,السندات!$A$5:$A$504,0)),"رقم سند غير موجود ✘",IF(AND(F978&lt;&gt;"",G978&lt;&gt;""),"اكتب مدين أو دائن فقط ✘",IF(AND(N(F978)=0,N(G978)=0),"بدون مبلغ ⚠",IF(B978&gt;12,"يتجاوز 12 بنداً في الطباعة ⚠","")))))</f>
        <v/>
      </c>
    </row>
    <row r="979" customFormat="false" ht="15" hidden="false" customHeight="false" outlineLevel="0" collapsed="false">
      <c r="A979" s="58"/>
      <c r="B979" s="68" t="str">
        <f aca="false">IF(A979="","",COUNTIF(A$5:A979,A979))</f>
        <v/>
      </c>
      <c r="C979" s="68" t="str">
        <f aca="false">IF(A979="","",A979&amp;"-"&amp;B979)</f>
        <v/>
      </c>
      <c r="D979" s="58"/>
      <c r="E979" s="57"/>
      <c r="F979" s="69"/>
      <c r="G979" s="69"/>
      <c r="H979" s="70" t="str">
        <f aca="false">IF(A979="","",IFERROR(INDEX(السندات!$C$5:$C$504,MATCH(A979,السندات!$A$5:$A$504,0)),""))</f>
        <v/>
      </c>
      <c r="I979" s="71" t="str">
        <f aca="false">IF(A979="","",IFERROR(INDEX(السندات!$D$5:$D$504,MATCH(A979,السندات!$A$5:$A$504,0)),""))</f>
        <v/>
      </c>
      <c r="J979" s="72" t="str">
        <f aca="false">IF(A979="","",IF(ISNA(MATCH(A979,السندات!$A$5:$A$504,0)),"رقم سند غير موجود ✘",IF(AND(F979&lt;&gt;"",G979&lt;&gt;""),"اكتب مدين أو دائن فقط ✘",IF(AND(N(F979)=0,N(G979)=0),"بدون مبلغ ⚠",IF(B979&gt;12,"يتجاوز 12 بنداً في الطباعة ⚠","")))))</f>
        <v/>
      </c>
    </row>
    <row r="980" customFormat="false" ht="15" hidden="false" customHeight="false" outlineLevel="0" collapsed="false">
      <c r="A980" s="58"/>
      <c r="B980" s="73" t="str">
        <f aca="false">IF(A980="","",COUNTIF(A$5:A980,A980))</f>
        <v/>
      </c>
      <c r="C980" s="73" t="str">
        <f aca="false">IF(A980="","",A980&amp;"-"&amp;B980)</f>
        <v/>
      </c>
      <c r="D980" s="58"/>
      <c r="E980" s="57"/>
      <c r="F980" s="69"/>
      <c r="G980" s="69"/>
      <c r="H980" s="74" t="str">
        <f aca="false">IF(A980="","",IFERROR(INDEX(السندات!$C$5:$C$504,MATCH(A980,السندات!$A$5:$A$504,0)),""))</f>
        <v/>
      </c>
      <c r="I980" s="75" t="str">
        <f aca="false">IF(A980="","",IFERROR(INDEX(السندات!$D$5:$D$504,MATCH(A980,السندات!$A$5:$A$504,0)),""))</f>
        <v/>
      </c>
      <c r="J980" s="76" t="str">
        <f aca="false">IF(A980="","",IF(ISNA(MATCH(A980,السندات!$A$5:$A$504,0)),"رقم سند غير موجود ✘",IF(AND(F980&lt;&gt;"",G980&lt;&gt;""),"اكتب مدين أو دائن فقط ✘",IF(AND(N(F980)=0,N(G980)=0),"بدون مبلغ ⚠",IF(B980&gt;12,"يتجاوز 12 بنداً في الطباعة ⚠","")))))</f>
        <v/>
      </c>
    </row>
    <row r="981" customFormat="false" ht="15" hidden="false" customHeight="false" outlineLevel="0" collapsed="false">
      <c r="A981" s="58"/>
      <c r="B981" s="68" t="str">
        <f aca="false">IF(A981="","",COUNTIF(A$5:A981,A981))</f>
        <v/>
      </c>
      <c r="C981" s="68" t="str">
        <f aca="false">IF(A981="","",A981&amp;"-"&amp;B981)</f>
        <v/>
      </c>
      <c r="D981" s="58"/>
      <c r="E981" s="57"/>
      <c r="F981" s="69"/>
      <c r="G981" s="69"/>
      <c r="H981" s="70" t="str">
        <f aca="false">IF(A981="","",IFERROR(INDEX(السندات!$C$5:$C$504,MATCH(A981,السندات!$A$5:$A$504,0)),""))</f>
        <v/>
      </c>
      <c r="I981" s="71" t="str">
        <f aca="false">IF(A981="","",IFERROR(INDEX(السندات!$D$5:$D$504,MATCH(A981,السندات!$A$5:$A$504,0)),""))</f>
        <v/>
      </c>
      <c r="J981" s="72" t="str">
        <f aca="false">IF(A981="","",IF(ISNA(MATCH(A981,السندات!$A$5:$A$504,0)),"رقم سند غير موجود ✘",IF(AND(F981&lt;&gt;"",G981&lt;&gt;""),"اكتب مدين أو دائن فقط ✘",IF(AND(N(F981)=0,N(G981)=0),"بدون مبلغ ⚠",IF(B981&gt;12,"يتجاوز 12 بنداً في الطباعة ⚠","")))))</f>
        <v/>
      </c>
    </row>
    <row r="982" customFormat="false" ht="15" hidden="false" customHeight="false" outlineLevel="0" collapsed="false">
      <c r="A982" s="58"/>
      <c r="B982" s="73" t="str">
        <f aca="false">IF(A982="","",COUNTIF(A$5:A982,A982))</f>
        <v/>
      </c>
      <c r="C982" s="73" t="str">
        <f aca="false">IF(A982="","",A982&amp;"-"&amp;B982)</f>
        <v/>
      </c>
      <c r="D982" s="58"/>
      <c r="E982" s="57"/>
      <c r="F982" s="69"/>
      <c r="G982" s="69"/>
      <c r="H982" s="74" t="str">
        <f aca="false">IF(A982="","",IFERROR(INDEX(السندات!$C$5:$C$504,MATCH(A982,السندات!$A$5:$A$504,0)),""))</f>
        <v/>
      </c>
      <c r="I982" s="75" t="str">
        <f aca="false">IF(A982="","",IFERROR(INDEX(السندات!$D$5:$D$504,MATCH(A982,السندات!$A$5:$A$504,0)),""))</f>
        <v/>
      </c>
      <c r="J982" s="76" t="str">
        <f aca="false">IF(A982="","",IF(ISNA(MATCH(A982,السندات!$A$5:$A$504,0)),"رقم سند غير موجود ✘",IF(AND(F982&lt;&gt;"",G982&lt;&gt;""),"اكتب مدين أو دائن فقط ✘",IF(AND(N(F982)=0,N(G982)=0),"بدون مبلغ ⚠",IF(B982&gt;12,"يتجاوز 12 بنداً في الطباعة ⚠","")))))</f>
        <v/>
      </c>
    </row>
    <row r="983" customFormat="false" ht="15" hidden="false" customHeight="false" outlineLevel="0" collapsed="false">
      <c r="A983" s="58"/>
      <c r="B983" s="68" t="str">
        <f aca="false">IF(A983="","",COUNTIF(A$5:A983,A983))</f>
        <v/>
      </c>
      <c r="C983" s="68" t="str">
        <f aca="false">IF(A983="","",A983&amp;"-"&amp;B983)</f>
        <v/>
      </c>
      <c r="D983" s="58"/>
      <c r="E983" s="57"/>
      <c r="F983" s="69"/>
      <c r="G983" s="69"/>
      <c r="H983" s="70" t="str">
        <f aca="false">IF(A983="","",IFERROR(INDEX(السندات!$C$5:$C$504,MATCH(A983,السندات!$A$5:$A$504,0)),""))</f>
        <v/>
      </c>
      <c r="I983" s="71" t="str">
        <f aca="false">IF(A983="","",IFERROR(INDEX(السندات!$D$5:$D$504,MATCH(A983,السندات!$A$5:$A$504,0)),""))</f>
        <v/>
      </c>
      <c r="J983" s="72" t="str">
        <f aca="false">IF(A983="","",IF(ISNA(MATCH(A983,السندات!$A$5:$A$504,0)),"رقم سند غير موجود ✘",IF(AND(F983&lt;&gt;"",G983&lt;&gt;""),"اكتب مدين أو دائن فقط ✘",IF(AND(N(F983)=0,N(G983)=0),"بدون مبلغ ⚠",IF(B983&gt;12,"يتجاوز 12 بنداً في الطباعة ⚠","")))))</f>
        <v/>
      </c>
    </row>
    <row r="984" customFormat="false" ht="15" hidden="false" customHeight="false" outlineLevel="0" collapsed="false">
      <c r="A984" s="58"/>
      <c r="B984" s="73" t="str">
        <f aca="false">IF(A984="","",COUNTIF(A$5:A984,A984))</f>
        <v/>
      </c>
      <c r="C984" s="73" t="str">
        <f aca="false">IF(A984="","",A984&amp;"-"&amp;B984)</f>
        <v/>
      </c>
      <c r="D984" s="58"/>
      <c r="E984" s="57"/>
      <c r="F984" s="69"/>
      <c r="G984" s="69"/>
      <c r="H984" s="74" t="str">
        <f aca="false">IF(A984="","",IFERROR(INDEX(السندات!$C$5:$C$504,MATCH(A984,السندات!$A$5:$A$504,0)),""))</f>
        <v/>
      </c>
      <c r="I984" s="75" t="str">
        <f aca="false">IF(A984="","",IFERROR(INDEX(السندات!$D$5:$D$504,MATCH(A984,السندات!$A$5:$A$504,0)),""))</f>
        <v/>
      </c>
      <c r="J984" s="76" t="str">
        <f aca="false">IF(A984="","",IF(ISNA(MATCH(A984,السندات!$A$5:$A$504,0)),"رقم سند غير موجود ✘",IF(AND(F984&lt;&gt;"",G984&lt;&gt;""),"اكتب مدين أو دائن فقط ✘",IF(AND(N(F984)=0,N(G984)=0),"بدون مبلغ ⚠",IF(B984&gt;12,"يتجاوز 12 بنداً في الطباعة ⚠","")))))</f>
        <v/>
      </c>
    </row>
    <row r="985" customFormat="false" ht="15" hidden="false" customHeight="false" outlineLevel="0" collapsed="false">
      <c r="A985" s="58"/>
      <c r="B985" s="68" t="str">
        <f aca="false">IF(A985="","",COUNTIF(A$5:A985,A985))</f>
        <v/>
      </c>
      <c r="C985" s="68" t="str">
        <f aca="false">IF(A985="","",A985&amp;"-"&amp;B985)</f>
        <v/>
      </c>
      <c r="D985" s="58"/>
      <c r="E985" s="57"/>
      <c r="F985" s="69"/>
      <c r="G985" s="69"/>
      <c r="H985" s="70" t="str">
        <f aca="false">IF(A985="","",IFERROR(INDEX(السندات!$C$5:$C$504,MATCH(A985,السندات!$A$5:$A$504,0)),""))</f>
        <v/>
      </c>
      <c r="I985" s="71" t="str">
        <f aca="false">IF(A985="","",IFERROR(INDEX(السندات!$D$5:$D$504,MATCH(A985,السندات!$A$5:$A$504,0)),""))</f>
        <v/>
      </c>
      <c r="J985" s="72" t="str">
        <f aca="false">IF(A985="","",IF(ISNA(MATCH(A985,السندات!$A$5:$A$504,0)),"رقم سند غير موجود ✘",IF(AND(F985&lt;&gt;"",G985&lt;&gt;""),"اكتب مدين أو دائن فقط ✘",IF(AND(N(F985)=0,N(G985)=0),"بدون مبلغ ⚠",IF(B985&gt;12,"يتجاوز 12 بنداً في الطباعة ⚠","")))))</f>
        <v/>
      </c>
    </row>
    <row r="986" customFormat="false" ht="15" hidden="false" customHeight="false" outlineLevel="0" collapsed="false">
      <c r="A986" s="58"/>
      <c r="B986" s="73" t="str">
        <f aca="false">IF(A986="","",COUNTIF(A$5:A986,A986))</f>
        <v/>
      </c>
      <c r="C986" s="73" t="str">
        <f aca="false">IF(A986="","",A986&amp;"-"&amp;B986)</f>
        <v/>
      </c>
      <c r="D986" s="58"/>
      <c r="E986" s="57"/>
      <c r="F986" s="69"/>
      <c r="G986" s="69"/>
      <c r="H986" s="74" t="str">
        <f aca="false">IF(A986="","",IFERROR(INDEX(السندات!$C$5:$C$504,MATCH(A986,السندات!$A$5:$A$504,0)),""))</f>
        <v/>
      </c>
      <c r="I986" s="75" t="str">
        <f aca="false">IF(A986="","",IFERROR(INDEX(السندات!$D$5:$D$504,MATCH(A986,السندات!$A$5:$A$504,0)),""))</f>
        <v/>
      </c>
      <c r="J986" s="76" t="str">
        <f aca="false">IF(A986="","",IF(ISNA(MATCH(A986,السندات!$A$5:$A$504,0)),"رقم سند غير موجود ✘",IF(AND(F986&lt;&gt;"",G986&lt;&gt;""),"اكتب مدين أو دائن فقط ✘",IF(AND(N(F986)=0,N(G986)=0),"بدون مبلغ ⚠",IF(B986&gt;12,"يتجاوز 12 بنداً في الطباعة ⚠","")))))</f>
        <v/>
      </c>
    </row>
    <row r="987" customFormat="false" ht="15" hidden="false" customHeight="false" outlineLevel="0" collapsed="false">
      <c r="A987" s="58"/>
      <c r="B987" s="68" t="str">
        <f aca="false">IF(A987="","",COUNTIF(A$5:A987,A987))</f>
        <v/>
      </c>
      <c r="C987" s="68" t="str">
        <f aca="false">IF(A987="","",A987&amp;"-"&amp;B987)</f>
        <v/>
      </c>
      <c r="D987" s="58"/>
      <c r="E987" s="57"/>
      <c r="F987" s="69"/>
      <c r="G987" s="69"/>
      <c r="H987" s="70" t="str">
        <f aca="false">IF(A987="","",IFERROR(INDEX(السندات!$C$5:$C$504,MATCH(A987,السندات!$A$5:$A$504,0)),""))</f>
        <v/>
      </c>
      <c r="I987" s="71" t="str">
        <f aca="false">IF(A987="","",IFERROR(INDEX(السندات!$D$5:$D$504,MATCH(A987,السندات!$A$5:$A$504,0)),""))</f>
        <v/>
      </c>
      <c r="J987" s="72" t="str">
        <f aca="false">IF(A987="","",IF(ISNA(MATCH(A987,السندات!$A$5:$A$504,0)),"رقم سند غير موجود ✘",IF(AND(F987&lt;&gt;"",G987&lt;&gt;""),"اكتب مدين أو دائن فقط ✘",IF(AND(N(F987)=0,N(G987)=0),"بدون مبلغ ⚠",IF(B987&gt;12,"يتجاوز 12 بنداً في الطباعة ⚠","")))))</f>
        <v/>
      </c>
    </row>
    <row r="988" customFormat="false" ht="15" hidden="false" customHeight="false" outlineLevel="0" collapsed="false">
      <c r="A988" s="58"/>
      <c r="B988" s="73" t="str">
        <f aca="false">IF(A988="","",COUNTIF(A$5:A988,A988))</f>
        <v/>
      </c>
      <c r="C988" s="73" t="str">
        <f aca="false">IF(A988="","",A988&amp;"-"&amp;B988)</f>
        <v/>
      </c>
      <c r="D988" s="58"/>
      <c r="E988" s="57"/>
      <c r="F988" s="69"/>
      <c r="G988" s="69"/>
      <c r="H988" s="74" t="str">
        <f aca="false">IF(A988="","",IFERROR(INDEX(السندات!$C$5:$C$504,MATCH(A988,السندات!$A$5:$A$504,0)),""))</f>
        <v/>
      </c>
      <c r="I988" s="75" t="str">
        <f aca="false">IF(A988="","",IFERROR(INDEX(السندات!$D$5:$D$504,MATCH(A988,السندات!$A$5:$A$504,0)),""))</f>
        <v/>
      </c>
      <c r="J988" s="76" t="str">
        <f aca="false">IF(A988="","",IF(ISNA(MATCH(A988,السندات!$A$5:$A$504,0)),"رقم سند غير موجود ✘",IF(AND(F988&lt;&gt;"",G988&lt;&gt;""),"اكتب مدين أو دائن فقط ✘",IF(AND(N(F988)=0,N(G988)=0),"بدون مبلغ ⚠",IF(B988&gt;12,"يتجاوز 12 بنداً في الطباعة ⚠","")))))</f>
        <v/>
      </c>
    </row>
    <row r="989" customFormat="false" ht="15" hidden="false" customHeight="false" outlineLevel="0" collapsed="false">
      <c r="A989" s="58"/>
      <c r="B989" s="68" t="str">
        <f aca="false">IF(A989="","",COUNTIF(A$5:A989,A989))</f>
        <v/>
      </c>
      <c r="C989" s="68" t="str">
        <f aca="false">IF(A989="","",A989&amp;"-"&amp;B989)</f>
        <v/>
      </c>
      <c r="D989" s="58"/>
      <c r="E989" s="57"/>
      <c r="F989" s="69"/>
      <c r="G989" s="69"/>
      <c r="H989" s="70" t="str">
        <f aca="false">IF(A989="","",IFERROR(INDEX(السندات!$C$5:$C$504,MATCH(A989,السندات!$A$5:$A$504,0)),""))</f>
        <v/>
      </c>
      <c r="I989" s="71" t="str">
        <f aca="false">IF(A989="","",IFERROR(INDEX(السندات!$D$5:$D$504,MATCH(A989,السندات!$A$5:$A$504,0)),""))</f>
        <v/>
      </c>
      <c r="J989" s="72" t="str">
        <f aca="false">IF(A989="","",IF(ISNA(MATCH(A989,السندات!$A$5:$A$504,0)),"رقم سند غير موجود ✘",IF(AND(F989&lt;&gt;"",G989&lt;&gt;""),"اكتب مدين أو دائن فقط ✘",IF(AND(N(F989)=0,N(G989)=0),"بدون مبلغ ⚠",IF(B989&gt;12,"يتجاوز 12 بنداً في الطباعة ⚠","")))))</f>
        <v/>
      </c>
    </row>
    <row r="990" customFormat="false" ht="15" hidden="false" customHeight="false" outlineLevel="0" collapsed="false">
      <c r="A990" s="58"/>
      <c r="B990" s="73" t="str">
        <f aca="false">IF(A990="","",COUNTIF(A$5:A990,A990))</f>
        <v/>
      </c>
      <c r="C990" s="73" t="str">
        <f aca="false">IF(A990="","",A990&amp;"-"&amp;B990)</f>
        <v/>
      </c>
      <c r="D990" s="58"/>
      <c r="E990" s="57"/>
      <c r="F990" s="69"/>
      <c r="G990" s="69"/>
      <c r="H990" s="74" t="str">
        <f aca="false">IF(A990="","",IFERROR(INDEX(السندات!$C$5:$C$504,MATCH(A990,السندات!$A$5:$A$504,0)),""))</f>
        <v/>
      </c>
      <c r="I990" s="75" t="str">
        <f aca="false">IF(A990="","",IFERROR(INDEX(السندات!$D$5:$D$504,MATCH(A990,السندات!$A$5:$A$504,0)),""))</f>
        <v/>
      </c>
      <c r="J990" s="76" t="str">
        <f aca="false">IF(A990="","",IF(ISNA(MATCH(A990,السندات!$A$5:$A$504,0)),"رقم سند غير موجود ✘",IF(AND(F990&lt;&gt;"",G990&lt;&gt;""),"اكتب مدين أو دائن فقط ✘",IF(AND(N(F990)=0,N(G990)=0),"بدون مبلغ ⚠",IF(B990&gt;12,"يتجاوز 12 بنداً في الطباعة ⚠","")))))</f>
        <v/>
      </c>
    </row>
    <row r="991" customFormat="false" ht="15" hidden="false" customHeight="false" outlineLevel="0" collapsed="false">
      <c r="A991" s="58"/>
      <c r="B991" s="68" t="str">
        <f aca="false">IF(A991="","",COUNTIF(A$5:A991,A991))</f>
        <v/>
      </c>
      <c r="C991" s="68" t="str">
        <f aca="false">IF(A991="","",A991&amp;"-"&amp;B991)</f>
        <v/>
      </c>
      <c r="D991" s="58"/>
      <c r="E991" s="57"/>
      <c r="F991" s="69"/>
      <c r="G991" s="69"/>
      <c r="H991" s="70" t="str">
        <f aca="false">IF(A991="","",IFERROR(INDEX(السندات!$C$5:$C$504,MATCH(A991,السندات!$A$5:$A$504,0)),""))</f>
        <v/>
      </c>
      <c r="I991" s="71" t="str">
        <f aca="false">IF(A991="","",IFERROR(INDEX(السندات!$D$5:$D$504,MATCH(A991,السندات!$A$5:$A$504,0)),""))</f>
        <v/>
      </c>
      <c r="J991" s="72" t="str">
        <f aca="false">IF(A991="","",IF(ISNA(MATCH(A991,السندات!$A$5:$A$504,0)),"رقم سند غير موجود ✘",IF(AND(F991&lt;&gt;"",G991&lt;&gt;""),"اكتب مدين أو دائن فقط ✘",IF(AND(N(F991)=0,N(G991)=0),"بدون مبلغ ⚠",IF(B991&gt;12,"يتجاوز 12 بنداً في الطباعة ⚠","")))))</f>
        <v/>
      </c>
    </row>
    <row r="992" customFormat="false" ht="15" hidden="false" customHeight="false" outlineLevel="0" collapsed="false">
      <c r="A992" s="58"/>
      <c r="B992" s="73" t="str">
        <f aca="false">IF(A992="","",COUNTIF(A$5:A992,A992))</f>
        <v/>
      </c>
      <c r="C992" s="73" t="str">
        <f aca="false">IF(A992="","",A992&amp;"-"&amp;B992)</f>
        <v/>
      </c>
      <c r="D992" s="58"/>
      <c r="E992" s="57"/>
      <c r="F992" s="69"/>
      <c r="G992" s="69"/>
      <c r="H992" s="74" t="str">
        <f aca="false">IF(A992="","",IFERROR(INDEX(السندات!$C$5:$C$504,MATCH(A992,السندات!$A$5:$A$504,0)),""))</f>
        <v/>
      </c>
      <c r="I992" s="75" t="str">
        <f aca="false">IF(A992="","",IFERROR(INDEX(السندات!$D$5:$D$504,MATCH(A992,السندات!$A$5:$A$504,0)),""))</f>
        <v/>
      </c>
      <c r="J992" s="76" t="str">
        <f aca="false">IF(A992="","",IF(ISNA(MATCH(A992,السندات!$A$5:$A$504,0)),"رقم سند غير موجود ✘",IF(AND(F992&lt;&gt;"",G992&lt;&gt;""),"اكتب مدين أو دائن فقط ✘",IF(AND(N(F992)=0,N(G992)=0),"بدون مبلغ ⚠",IF(B992&gt;12,"يتجاوز 12 بنداً في الطباعة ⚠","")))))</f>
        <v/>
      </c>
    </row>
    <row r="993" customFormat="false" ht="15" hidden="false" customHeight="false" outlineLevel="0" collapsed="false">
      <c r="A993" s="58"/>
      <c r="B993" s="68" t="str">
        <f aca="false">IF(A993="","",COUNTIF(A$5:A993,A993))</f>
        <v/>
      </c>
      <c r="C993" s="68" t="str">
        <f aca="false">IF(A993="","",A993&amp;"-"&amp;B993)</f>
        <v/>
      </c>
      <c r="D993" s="58"/>
      <c r="E993" s="57"/>
      <c r="F993" s="69"/>
      <c r="G993" s="69"/>
      <c r="H993" s="70" t="str">
        <f aca="false">IF(A993="","",IFERROR(INDEX(السندات!$C$5:$C$504,MATCH(A993,السندات!$A$5:$A$504,0)),""))</f>
        <v/>
      </c>
      <c r="I993" s="71" t="str">
        <f aca="false">IF(A993="","",IFERROR(INDEX(السندات!$D$5:$D$504,MATCH(A993,السندات!$A$5:$A$504,0)),""))</f>
        <v/>
      </c>
      <c r="J993" s="72" t="str">
        <f aca="false">IF(A993="","",IF(ISNA(MATCH(A993,السندات!$A$5:$A$504,0)),"رقم سند غير موجود ✘",IF(AND(F993&lt;&gt;"",G993&lt;&gt;""),"اكتب مدين أو دائن فقط ✘",IF(AND(N(F993)=0,N(G993)=0),"بدون مبلغ ⚠",IF(B993&gt;12,"يتجاوز 12 بنداً في الطباعة ⚠","")))))</f>
        <v/>
      </c>
    </row>
    <row r="994" customFormat="false" ht="15" hidden="false" customHeight="false" outlineLevel="0" collapsed="false">
      <c r="A994" s="58"/>
      <c r="B994" s="73" t="str">
        <f aca="false">IF(A994="","",COUNTIF(A$5:A994,A994))</f>
        <v/>
      </c>
      <c r="C994" s="73" t="str">
        <f aca="false">IF(A994="","",A994&amp;"-"&amp;B994)</f>
        <v/>
      </c>
      <c r="D994" s="58"/>
      <c r="E994" s="57"/>
      <c r="F994" s="69"/>
      <c r="G994" s="69"/>
      <c r="H994" s="74" t="str">
        <f aca="false">IF(A994="","",IFERROR(INDEX(السندات!$C$5:$C$504,MATCH(A994,السندات!$A$5:$A$504,0)),""))</f>
        <v/>
      </c>
      <c r="I994" s="75" t="str">
        <f aca="false">IF(A994="","",IFERROR(INDEX(السندات!$D$5:$D$504,MATCH(A994,السندات!$A$5:$A$504,0)),""))</f>
        <v/>
      </c>
      <c r="J994" s="76" t="str">
        <f aca="false">IF(A994="","",IF(ISNA(MATCH(A994,السندات!$A$5:$A$504,0)),"رقم سند غير موجود ✘",IF(AND(F994&lt;&gt;"",G994&lt;&gt;""),"اكتب مدين أو دائن فقط ✘",IF(AND(N(F994)=0,N(G994)=0),"بدون مبلغ ⚠",IF(B994&gt;12,"يتجاوز 12 بنداً في الطباعة ⚠","")))))</f>
        <v/>
      </c>
    </row>
    <row r="995" customFormat="false" ht="15" hidden="false" customHeight="false" outlineLevel="0" collapsed="false">
      <c r="A995" s="58"/>
      <c r="B995" s="68" t="str">
        <f aca="false">IF(A995="","",COUNTIF(A$5:A995,A995))</f>
        <v/>
      </c>
      <c r="C995" s="68" t="str">
        <f aca="false">IF(A995="","",A995&amp;"-"&amp;B995)</f>
        <v/>
      </c>
      <c r="D995" s="58"/>
      <c r="E995" s="57"/>
      <c r="F995" s="69"/>
      <c r="G995" s="69"/>
      <c r="H995" s="70" t="str">
        <f aca="false">IF(A995="","",IFERROR(INDEX(السندات!$C$5:$C$504,MATCH(A995,السندات!$A$5:$A$504,0)),""))</f>
        <v/>
      </c>
      <c r="I995" s="71" t="str">
        <f aca="false">IF(A995="","",IFERROR(INDEX(السندات!$D$5:$D$504,MATCH(A995,السندات!$A$5:$A$504,0)),""))</f>
        <v/>
      </c>
      <c r="J995" s="72" t="str">
        <f aca="false">IF(A995="","",IF(ISNA(MATCH(A995,السندات!$A$5:$A$504,0)),"رقم سند غير موجود ✘",IF(AND(F995&lt;&gt;"",G995&lt;&gt;""),"اكتب مدين أو دائن فقط ✘",IF(AND(N(F995)=0,N(G995)=0),"بدون مبلغ ⚠",IF(B995&gt;12,"يتجاوز 12 بنداً في الطباعة ⚠","")))))</f>
        <v/>
      </c>
    </row>
    <row r="996" customFormat="false" ht="15" hidden="false" customHeight="false" outlineLevel="0" collapsed="false">
      <c r="A996" s="58"/>
      <c r="B996" s="73" t="str">
        <f aca="false">IF(A996="","",COUNTIF(A$5:A996,A996))</f>
        <v/>
      </c>
      <c r="C996" s="73" t="str">
        <f aca="false">IF(A996="","",A996&amp;"-"&amp;B996)</f>
        <v/>
      </c>
      <c r="D996" s="58"/>
      <c r="E996" s="57"/>
      <c r="F996" s="69"/>
      <c r="G996" s="69"/>
      <c r="H996" s="74" t="str">
        <f aca="false">IF(A996="","",IFERROR(INDEX(السندات!$C$5:$C$504,MATCH(A996,السندات!$A$5:$A$504,0)),""))</f>
        <v/>
      </c>
      <c r="I996" s="75" t="str">
        <f aca="false">IF(A996="","",IFERROR(INDEX(السندات!$D$5:$D$504,MATCH(A996,السندات!$A$5:$A$504,0)),""))</f>
        <v/>
      </c>
      <c r="J996" s="76" t="str">
        <f aca="false">IF(A996="","",IF(ISNA(MATCH(A996,السندات!$A$5:$A$504,0)),"رقم سند غير موجود ✘",IF(AND(F996&lt;&gt;"",G996&lt;&gt;""),"اكتب مدين أو دائن فقط ✘",IF(AND(N(F996)=0,N(G996)=0),"بدون مبلغ ⚠",IF(B996&gt;12,"يتجاوز 12 بنداً في الطباعة ⚠","")))))</f>
        <v/>
      </c>
    </row>
    <row r="997" customFormat="false" ht="15" hidden="false" customHeight="false" outlineLevel="0" collapsed="false">
      <c r="A997" s="58"/>
      <c r="B997" s="68" t="str">
        <f aca="false">IF(A997="","",COUNTIF(A$5:A997,A997))</f>
        <v/>
      </c>
      <c r="C997" s="68" t="str">
        <f aca="false">IF(A997="","",A997&amp;"-"&amp;B997)</f>
        <v/>
      </c>
      <c r="D997" s="58"/>
      <c r="E997" s="57"/>
      <c r="F997" s="69"/>
      <c r="G997" s="69"/>
      <c r="H997" s="70" t="str">
        <f aca="false">IF(A997="","",IFERROR(INDEX(السندات!$C$5:$C$504,MATCH(A997,السندات!$A$5:$A$504,0)),""))</f>
        <v/>
      </c>
      <c r="I997" s="71" t="str">
        <f aca="false">IF(A997="","",IFERROR(INDEX(السندات!$D$5:$D$504,MATCH(A997,السندات!$A$5:$A$504,0)),""))</f>
        <v/>
      </c>
      <c r="J997" s="72" t="str">
        <f aca="false">IF(A997="","",IF(ISNA(MATCH(A997,السندات!$A$5:$A$504,0)),"رقم سند غير موجود ✘",IF(AND(F997&lt;&gt;"",G997&lt;&gt;""),"اكتب مدين أو دائن فقط ✘",IF(AND(N(F997)=0,N(G997)=0),"بدون مبلغ ⚠",IF(B997&gt;12,"يتجاوز 12 بنداً في الطباعة ⚠","")))))</f>
        <v/>
      </c>
    </row>
    <row r="998" customFormat="false" ht="15" hidden="false" customHeight="false" outlineLevel="0" collapsed="false">
      <c r="A998" s="58"/>
      <c r="B998" s="73" t="str">
        <f aca="false">IF(A998="","",COUNTIF(A$5:A998,A998))</f>
        <v/>
      </c>
      <c r="C998" s="73" t="str">
        <f aca="false">IF(A998="","",A998&amp;"-"&amp;B998)</f>
        <v/>
      </c>
      <c r="D998" s="58"/>
      <c r="E998" s="57"/>
      <c r="F998" s="69"/>
      <c r="G998" s="69"/>
      <c r="H998" s="74" t="str">
        <f aca="false">IF(A998="","",IFERROR(INDEX(السندات!$C$5:$C$504,MATCH(A998,السندات!$A$5:$A$504,0)),""))</f>
        <v/>
      </c>
      <c r="I998" s="75" t="str">
        <f aca="false">IF(A998="","",IFERROR(INDEX(السندات!$D$5:$D$504,MATCH(A998,السندات!$A$5:$A$504,0)),""))</f>
        <v/>
      </c>
      <c r="J998" s="76" t="str">
        <f aca="false">IF(A998="","",IF(ISNA(MATCH(A998,السندات!$A$5:$A$504,0)),"رقم سند غير موجود ✘",IF(AND(F998&lt;&gt;"",G998&lt;&gt;""),"اكتب مدين أو دائن فقط ✘",IF(AND(N(F998)=0,N(G998)=0),"بدون مبلغ ⚠",IF(B998&gt;12,"يتجاوز 12 بنداً في الطباعة ⚠","")))))</f>
        <v/>
      </c>
    </row>
    <row r="999" customFormat="false" ht="15" hidden="false" customHeight="false" outlineLevel="0" collapsed="false">
      <c r="A999" s="58"/>
      <c r="B999" s="68" t="str">
        <f aca="false">IF(A999="","",COUNTIF(A$5:A999,A999))</f>
        <v/>
      </c>
      <c r="C999" s="68" t="str">
        <f aca="false">IF(A999="","",A999&amp;"-"&amp;B999)</f>
        <v/>
      </c>
      <c r="D999" s="58"/>
      <c r="E999" s="57"/>
      <c r="F999" s="69"/>
      <c r="G999" s="69"/>
      <c r="H999" s="70" t="str">
        <f aca="false">IF(A999="","",IFERROR(INDEX(السندات!$C$5:$C$504,MATCH(A999,السندات!$A$5:$A$504,0)),""))</f>
        <v/>
      </c>
      <c r="I999" s="71" t="str">
        <f aca="false">IF(A999="","",IFERROR(INDEX(السندات!$D$5:$D$504,MATCH(A999,السندات!$A$5:$A$504,0)),""))</f>
        <v/>
      </c>
      <c r="J999" s="72" t="str">
        <f aca="false">IF(A999="","",IF(ISNA(MATCH(A999,السندات!$A$5:$A$504,0)),"رقم سند غير موجود ✘",IF(AND(F999&lt;&gt;"",G999&lt;&gt;""),"اكتب مدين أو دائن فقط ✘",IF(AND(N(F999)=0,N(G999)=0),"بدون مبلغ ⚠",IF(B999&gt;12,"يتجاوز 12 بنداً في الطباعة ⚠","")))))</f>
        <v/>
      </c>
    </row>
    <row r="1000" customFormat="false" ht="15" hidden="false" customHeight="false" outlineLevel="0" collapsed="false">
      <c r="A1000" s="58"/>
      <c r="B1000" s="73" t="str">
        <f aca="false">IF(A1000="","",COUNTIF(A$5:A1000,A1000))</f>
        <v/>
      </c>
      <c r="C1000" s="73" t="str">
        <f aca="false">IF(A1000="","",A1000&amp;"-"&amp;B1000)</f>
        <v/>
      </c>
      <c r="D1000" s="58"/>
      <c r="E1000" s="57"/>
      <c r="F1000" s="69"/>
      <c r="G1000" s="69"/>
      <c r="H1000" s="74" t="str">
        <f aca="false">IF(A1000="","",IFERROR(INDEX(السندات!$C$5:$C$504,MATCH(A1000,السندات!$A$5:$A$504,0)),""))</f>
        <v/>
      </c>
      <c r="I1000" s="75" t="str">
        <f aca="false">IF(A1000="","",IFERROR(INDEX(السندات!$D$5:$D$504,MATCH(A1000,السندات!$A$5:$A$504,0)),""))</f>
        <v/>
      </c>
      <c r="J1000" s="76" t="str">
        <f aca="false">IF(A1000="","",IF(ISNA(MATCH(A1000,السندات!$A$5:$A$504,0)),"رقم سند غير موجود ✘",IF(AND(F1000&lt;&gt;"",G1000&lt;&gt;""),"اكتب مدين أو دائن فقط ✘",IF(AND(N(F1000)=0,N(G1000)=0),"بدون مبلغ ⚠",IF(B1000&gt;12,"يتجاوز 12 بنداً في الطباعة ⚠","")))))</f>
        <v/>
      </c>
    </row>
    <row r="1001" customFormat="false" ht="15" hidden="false" customHeight="false" outlineLevel="0" collapsed="false">
      <c r="A1001" s="58"/>
      <c r="B1001" s="68" t="str">
        <f aca="false">IF(A1001="","",COUNTIF(A$5:A1001,A1001))</f>
        <v/>
      </c>
      <c r="C1001" s="68" t="str">
        <f aca="false">IF(A1001="","",A1001&amp;"-"&amp;B1001)</f>
        <v/>
      </c>
      <c r="D1001" s="58"/>
      <c r="E1001" s="57"/>
      <c r="F1001" s="69"/>
      <c r="G1001" s="69"/>
      <c r="H1001" s="70" t="str">
        <f aca="false">IF(A1001="","",IFERROR(INDEX(السندات!$C$5:$C$504,MATCH(A1001,السندات!$A$5:$A$504,0)),""))</f>
        <v/>
      </c>
      <c r="I1001" s="71" t="str">
        <f aca="false">IF(A1001="","",IFERROR(INDEX(السندات!$D$5:$D$504,MATCH(A1001,السندات!$A$5:$A$504,0)),""))</f>
        <v/>
      </c>
      <c r="J1001" s="72" t="str">
        <f aca="false">IF(A1001="","",IF(ISNA(MATCH(A1001,السندات!$A$5:$A$504,0)),"رقم سند غير موجود ✘",IF(AND(F1001&lt;&gt;"",G1001&lt;&gt;""),"اكتب مدين أو دائن فقط ✘",IF(AND(N(F1001)=0,N(G1001)=0),"بدون مبلغ ⚠",IF(B1001&gt;12,"يتجاوز 12 بنداً في الطباعة ⚠","")))))</f>
        <v/>
      </c>
    </row>
    <row r="1002" customFormat="false" ht="15" hidden="false" customHeight="false" outlineLevel="0" collapsed="false">
      <c r="A1002" s="58"/>
      <c r="B1002" s="73" t="str">
        <f aca="false">IF(A1002="","",COUNTIF(A$5:A1002,A1002))</f>
        <v/>
      </c>
      <c r="C1002" s="73" t="str">
        <f aca="false">IF(A1002="","",A1002&amp;"-"&amp;B1002)</f>
        <v/>
      </c>
      <c r="D1002" s="58"/>
      <c r="E1002" s="57"/>
      <c r="F1002" s="69"/>
      <c r="G1002" s="69"/>
      <c r="H1002" s="74" t="str">
        <f aca="false">IF(A1002="","",IFERROR(INDEX(السندات!$C$5:$C$504,MATCH(A1002,السندات!$A$5:$A$504,0)),""))</f>
        <v/>
      </c>
      <c r="I1002" s="75" t="str">
        <f aca="false">IF(A1002="","",IFERROR(INDEX(السندات!$D$5:$D$504,MATCH(A1002,السندات!$A$5:$A$504,0)),""))</f>
        <v/>
      </c>
      <c r="J1002" s="76" t="str">
        <f aca="false">IF(A1002="","",IF(ISNA(MATCH(A1002,السندات!$A$5:$A$504,0)),"رقم سند غير موجود ✘",IF(AND(F1002&lt;&gt;"",G1002&lt;&gt;""),"اكتب مدين أو دائن فقط ✘",IF(AND(N(F1002)=0,N(G1002)=0),"بدون مبلغ ⚠",IF(B1002&gt;12,"يتجاوز 12 بنداً في الطباعة ⚠","")))))</f>
        <v/>
      </c>
    </row>
    <row r="1003" customFormat="false" ht="15" hidden="false" customHeight="false" outlineLevel="0" collapsed="false">
      <c r="A1003" s="58"/>
      <c r="B1003" s="68" t="str">
        <f aca="false">IF(A1003="","",COUNTIF(A$5:A1003,A1003))</f>
        <v/>
      </c>
      <c r="C1003" s="68" t="str">
        <f aca="false">IF(A1003="","",A1003&amp;"-"&amp;B1003)</f>
        <v/>
      </c>
      <c r="D1003" s="58"/>
      <c r="E1003" s="57"/>
      <c r="F1003" s="69"/>
      <c r="G1003" s="69"/>
      <c r="H1003" s="70" t="str">
        <f aca="false">IF(A1003="","",IFERROR(INDEX(السندات!$C$5:$C$504,MATCH(A1003,السندات!$A$5:$A$504,0)),""))</f>
        <v/>
      </c>
      <c r="I1003" s="71" t="str">
        <f aca="false">IF(A1003="","",IFERROR(INDEX(السندات!$D$5:$D$504,MATCH(A1003,السندات!$A$5:$A$504,0)),""))</f>
        <v/>
      </c>
      <c r="J1003" s="72" t="str">
        <f aca="false">IF(A1003="","",IF(ISNA(MATCH(A1003,السندات!$A$5:$A$504,0)),"رقم سند غير موجود ✘",IF(AND(F1003&lt;&gt;"",G1003&lt;&gt;""),"اكتب مدين أو دائن فقط ✘",IF(AND(N(F1003)=0,N(G1003)=0),"بدون مبلغ ⚠",IF(B1003&gt;12,"يتجاوز 12 بنداً في الطباعة ⚠","")))))</f>
        <v/>
      </c>
    </row>
    <row r="1004" customFormat="false" ht="15" hidden="false" customHeight="false" outlineLevel="0" collapsed="false">
      <c r="A1004" s="58"/>
      <c r="B1004" s="73" t="str">
        <f aca="false">IF(A1004="","",COUNTIF(A$5:A1004,A1004))</f>
        <v/>
      </c>
      <c r="C1004" s="73" t="str">
        <f aca="false">IF(A1004="","",A1004&amp;"-"&amp;B1004)</f>
        <v/>
      </c>
      <c r="D1004" s="58"/>
      <c r="E1004" s="57"/>
      <c r="F1004" s="69"/>
      <c r="G1004" s="69"/>
      <c r="H1004" s="74" t="str">
        <f aca="false">IF(A1004="","",IFERROR(INDEX(السندات!$C$5:$C$504,MATCH(A1004,السندات!$A$5:$A$504,0)),""))</f>
        <v/>
      </c>
      <c r="I1004" s="75" t="str">
        <f aca="false">IF(A1004="","",IFERROR(INDEX(السندات!$D$5:$D$504,MATCH(A1004,السندات!$A$5:$A$504,0)),""))</f>
        <v/>
      </c>
      <c r="J1004" s="76" t="str">
        <f aca="false">IF(A1004="","",IF(ISNA(MATCH(A1004,السندات!$A$5:$A$504,0)),"رقم سند غير موجود ✘",IF(AND(F1004&lt;&gt;"",G1004&lt;&gt;""),"اكتب مدين أو دائن فقط ✘",IF(AND(N(F1004)=0,N(G1004)=0),"بدون مبلغ ⚠",IF(B1004&gt;12,"يتجاوز 12 بنداً في الطباعة ⚠","")))))</f>
        <v/>
      </c>
    </row>
    <row r="1005" customFormat="false" ht="15" hidden="false" customHeight="false" outlineLevel="0" collapsed="false">
      <c r="A1005" s="58"/>
      <c r="B1005" s="68" t="str">
        <f aca="false">IF(A1005="","",COUNTIF(A$5:A1005,A1005))</f>
        <v/>
      </c>
      <c r="C1005" s="68" t="str">
        <f aca="false">IF(A1005="","",A1005&amp;"-"&amp;B1005)</f>
        <v/>
      </c>
      <c r="D1005" s="58"/>
      <c r="E1005" s="57"/>
      <c r="F1005" s="69"/>
      <c r="G1005" s="69"/>
      <c r="H1005" s="70" t="str">
        <f aca="false">IF(A1005="","",IFERROR(INDEX(السندات!$C$5:$C$504,MATCH(A1005,السندات!$A$5:$A$504,0)),""))</f>
        <v/>
      </c>
      <c r="I1005" s="71" t="str">
        <f aca="false">IF(A1005="","",IFERROR(INDEX(السندات!$D$5:$D$504,MATCH(A1005,السندات!$A$5:$A$504,0)),""))</f>
        <v/>
      </c>
      <c r="J1005" s="72" t="str">
        <f aca="false">IF(A1005="","",IF(ISNA(MATCH(A1005,السندات!$A$5:$A$504,0)),"رقم سند غير موجود ✘",IF(AND(F1005&lt;&gt;"",G1005&lt;&gt;""),"اكتب مدين أو دائن فقط ✘",IF(AND(N(F1005)=0,N(G1005)=0),"بدون مبلغ ⚠",IF(B1005&gt;12,"يتجاوز 12 بنداً في الطباعة ⚠","")))))</f>
        <v/>
      </c>
    </row>
    <row r="1006" customFormat="false" ht="15" hidden="false" customHeight="false" outlineLevel="0" collapsed="false">
      <c r="A1006" s="58"/>
      <c r="B1006" s="73" t="str">
        <f aca="false">IF(A1006="","",COUNTIF(A$5:A1006,A1006))</f>
        <v/>
      </c>
      <c r="C1006" s="73" t="str">
        <f aca="false">IF(A1006="","",A1006&amp;"-"&amp;B1006)</f>
        <v/>
      </c>
      <c r="D1006" s="58"/>
      <c r="E1006" s="57"/>
      <c r="F1006" s="69"/>
      <c r="G1006" s="69"/>
      <c r="H1006" s="74" t="str">
        <f aca="false">IF(A1006="","",IFERROR(INDEX(السندات!$C$5:$C$504,MATCH(A1006,السندات!$A$5:$A$504,0)),""))</f>
        <v/>
      </c>
      <c r="I1006" s="75" t="str">
        <f aca="false">IF(A1006="","",IFERROR(INDEX(السندات!$D$5:$D$504,MATCH(A1006,السندات!$A$5:$A$504,0)),""))</f>
        <v/>
      </c>
      <c r="J1006" s="76" t="str">
        <f aca="false">IF(A1006="","",IF(ISNA(MATCH(A1006,السندات!$A$5:$A$504,0)),"رقم سند غير موجود ✘",IF(AND(F1006&lt;&gt;"",G1006&lt;&gt;""),"اكتب مدين أو دائن فقط ✘",IF(AND(N(F1006)=0,N(G1006)=0),"بدون مبلغ ⚠",IF(B1006&gt;12,"يتجاوز 12 بنداً في الطباعة ⚠","")))))</f>
        <v/>
      </c>
    </row>
    <row r="1007" customFormat="false" ht="15" hidden="false" customHeight="false" outlineLevel="0" collapsed="false">
      <c r="A1007" s="58"/>
      <c r="B1007" s="68" t="str">
        <f aca="false">IF(A1007="","",COUNTIF(A$5:A1007,A1007))</f>
        <v/>
      </c>
      <c r="C1007" s="68" t="str">
        <f aca="false">IF(A1007="","",A1007&amp;"-"&amp;B1007)</f>
        <v/>
      </c>
      <c r="D1007" s="58"/>
      <c r="E1007" s="57"/>
      <c r="F1007" s="69"/>
      <c r="G1007" s="69"/>
      <c r="H1007" s="70" t="str">
        <f aca="false">IF(A1007="","",IFERROR(INDEX(السندات!$C$5:$C$504,MATCH(A1007,السندات!$A$5:$A$504,0)),""))</f>
        <v/>
      </c>
      <c r="I1007" s="71" t="str">
        <f aca="false">IF(A1007="","",IFERROR(INDEX(السندات!$D$5:$D$504,MATCH(A1007,السندات!$A$5:$A$504,0)),""))</f>
        <v/>
      </c>
      <c r="J1007" s="72" t="str">
        <f aca="false">IF(A1007="","",IF(ISNA(MATCH(A1007,السندات!$A$5:$A$504,0)),"رقم سند غير موجود ✘",IF(AND(F1007&lt;&gt;"",G1007&lt;&gt;""),"اكتب مدين أو دائن فقط ✘",IF(AND(N(F1007)=0,N(G1007)=0),"بدون مبلغ ⚠",IF(B1007&gt;12,"يتجاوز 12 بنداً في الطباعة ⚠","")))))</f>
        <v/>
      </c>
    </row>
    <row r="1008" customFormat="false" ht="15" hidden="false" customHeight="false" outlineLevel="0" collapsed="false">
      <c r="A1008" s="58"/>
      <c r="B1008" s="73" t="str">
        <f aca="false">IF(A1008="","",COUNTIF(A$5:A1008,A1008))</f>
        <v/>
      </c>
      <c r="C1008" s="73" t="str">
        <f aca="false">IF(A1008="","",A1008&amp;"-"&amp;B1008)</f>
        <v/>
      </c>
      <c r="D1008" s="58"/>
      <c r="E1008" s="57"/>
      <c r="F1008" s="69"/>
      <c r="G1008" s="69"/>
      <c r="H1008" s="74" t="str">
        <f aca="false">IF(A1008="","",IFERROR(INDEX(السندات!$C$5:$C$504,MATCH(A1008,السندات!$A$5:$A$504,0)),""))</f>
        <v/>
      </c>
      <c r="I1008" s="75" t="str">
        <f aca="false">IF(A1008="","",IFERROR(INDEX(السندات!$D$5:$D$504,MATCH(A1008,السندات!$A$5:$A$504,0)),""))</f>
        <v/>
      </c>
      <c r="J1008" s="76" t="str">
        <f aca="false">IF(A1008="","",IF(ISNA(MATCH(A1008,السندات!$A$5:$A$504,0)),"رقم سند غير موجود ✘",IF(AND(F1008&lt;&gt;"",G1008&lt;&gt;""),"اكتب مدين أو دائن فقط ✘",IF(AND(N(F1008)=0,N(G1008)=0),"بدون مبلغ ⚠",IF(B1008&gt;12,"يتجاوز 12 بنداً في الطباعة ⚠","")))))</f>
        <v/>
      </c>
    </row>
    <row r="1009" customFormat="false" ht="15" hidden="false" customHeight="false" outlineLevel="0" collapsed="false">
      <c r="A1009" s="58"/>
      <c r="B1009" s="68" t="str">
        <f aca="false">IF(A1009="","",COUNTIF(A$5:A1009,A1009))</f>
        <v/>
      </c>
      <c r="C1009" s="68" t="str">
        <f aca="false">IF(A1009="","",A1009&amp;"-"&amp;B1009)</f>
        <v/>
      </c>
      <c r="D1009" s="58"/>
      <c r="E1009" s="57"/>
      <c r="F1009" s="69"/>
      <c r="G1009" s="69"/>
      <c r="H1009" s="70" t="str">
        <f aca="false">IF(A1009="","",IFERROR(INDEX(السندات!$C$5:$C$504,MATCH(A1009,السندات!$A$5:$A$504,0)),""))</f>
        <v/>
      </c>
      <c r="I1009" s="71" t="str">
        <f aca="false">IF(A1009="","",IFERROR(INDEX(السندات!$D$5:$D$504,MATCH(A1009,السندات!$A$5:$A$504,0)),""))</f>
        <v/>
      </c>
      <c r="J1009" s="72" t="str">
        <f aca="false">IF(A1009="","",IF(ISNA(MATCH(A1009,السندات!$A$5:$A$504,0)),"رقم سند غير موجود ✘",IF(AND(F1009&lt;&gt;"",G1009&lt;&gt;""),"اكتب مدين أو دائن فقط ✘",IF(AND(N(F1009)=0,N(G1009)=0),"بدون مبلغ ⚠",IF(B1009&gt;12,"يتجاوز 12 بنداً في الطباعة ⚠","")))))</f>
        <v/>
      </c>
    </row>
    <row r="1010" customFormat="false" ht="15" hidden="false" customHeight="false" outlineLevel="0" collapsed="false">
      <c r="A1010" s="58"/>
      <c r="B1010" s="73" t="str">
        <f aca="false">IF(A1010="","",COUNTIF(A$5:A1010,A1010))</f>
        <v/>
      </c>
      <c r="C1010" s="73" t="str">
        <f aca="false">IF(A1010="","",A1010&amp;"-"&amp;B1010)</f>
        <v/>
      </c>
      <c r="D1010" s="58"/>
      <c r="E1010" s="57"/>
      <c r="F1010" s="69"/>
      <c r="G1010" s="69"/>
      <c r="H1010" s="74" t="str">
        <f aca="false">IF(A1010="","",IFERROR(INDEX(السندات!$C$5:$C$504,MATCH(A1010,السندات!$A$5:$A$504,0)),""))</f>
        <v/>
      </c>
      <c r="I1010" s="75" t="str">
        <f aca="false">IF(A1010="","",IFERROR(INDEX(السندات!$D$5:$D$504,MATCH(A1010,السندات!$A$5:$A$504,0)),""))</f>
        <v/>
      </c>
      <c r="J1010" s="76" t="str">
        <f aca="false">IF(A1010="","",IF(ISNA(MATCH(A1010,السندات!$A$5:$A$504,0)),"رقم سند غير موجود ✘",IF(AND(F1010&lt;&gt;"",G1010&lt;&gt;""),"اكتب مدين أو دائن فقط ✘",IF(AND(N(F1010)=0,N(G1010)=0),"بدون مبلغ ⚠",IF(B1010&gt;12,"يتجاوز 12 بنداً في الطباعة ⚠","")))))</f>
        <v/>
      </c>
    </row>
    <row r="1011" customFormat="false" ht="15" hidden="false" customHeight="false" outlineLevel="0" collapsed="false">
      <c r="A1011" s="58"/>
      <c r="B1011" s="68" t="str">
        <f aca="false">IF(A1011="","",COUNTIF(A$5:A1011,A1011))</f>
        <v/>
      </c>
      <c r="C1011" s="68" t="str">
        <f aca="false">IF(A1011="","",A1011&amp;"-"&amp;B1011)</f>
        <v/>
      </c>
      <c r="D1011" s="58"/>
      <c r="E1011" s="57"/>
      <c r="F1011" s="69"/>
      <c r="G1011" s="69"/>
      <c r="H1011" s="70" t="str">
        <f aca="false">IF(A1011="","",IFERROR(INDEX(السندات!$C$5:$C$504,MATCH(A1011,السندات!$A$5:$A$504,0)),""))</f>
        <v/>
      </c>
      <c r="I1011" s="71" t="str">
        <f aca="false">IF(A1011="","",IFERROR(INDEX(السندات!$D$5:$D$504,MATCH(A1011,السندات!$A$5:$A$504,0)),""))</f>
        <v/>
      </c>
      <c r="J1011" s="72" t="str">
        <f aca="false">IF(A1011="","",IF(ISNA(MATCH(A1011,السندات!$A$5:$A$504,0)),"رقم سند غير موجود ✘",IF(AND(F1011&lt;&gt;"",G1011&lt;&gt;""),"اكتب مدين أو دائن فقط ✘",IF(AND(N(F1011)=0,N(G1011)=0),"بدون مبلغ ⚠",IF(B1011&gt;12,"يتجاوز 12 بنداً في الطباعة ⚠","")))))</f>
        <v/>
      </c>
    </row>
    <row r="1012" customFormat="false" ht="15" hidden="false" customHeight="false" outlineLevel="0" collapsed="false">
      <c r="A1012" s="58"/>
      <c r="B1012" s="73" t="str">
        <f aca="false">IF(A1012="","",COUNTIF(A$5:A1012,A1012))</f>
        <v/>
      </c>
      <c r="C1012" s="73" t="str">
        <f aca="false">IF(A1012="","",A1012&amp;"-"&amp;B1012)</f>
        <v/>
      </c>
      <c r="D1012" s="58"/>
      <c r="E1012" s="57"/>
      <c r="F1012" s="69"/>
      <c r="G1012" s="69"/>
      <c r="H1012" s="74" t="str">
        <f aca="false">IF(A1012="","",IFERROR(INDEX(السندات!$C$5:$C$504,MATCH(A1012,السندات!$A$5:$A$504,0)),""))</f>
        <v/>
      </c>
      <c r="I1012" s="75" t="str">
        <f aca="false">IF(A1012="","",IFERROR(INDEX(السندات!$D$5:$D$504,MATCH(A1012,السندات!$A$5:$A$504,0)),""))</f>
        <v/>
      </c>
      <c r="J1012" s="76" t="str">
        <f aca="false">IF(A1012="","",IF(ISNA(MATCH(A1012,السندات!$A$5:$A$504,0)),"رقم سند غير موجود ✘",IF(AND(F1012&lt;&gt;"",G1012&lt;&gt;""),"اكتب مدين أو دائن فقط ✘",IF(AND(N(F1012)=0,N(G1012)=0),"بدون مبلغ ⚠",IF(B1012&gt;12,"يتجاوز 12 بنداً في الطباعة ⚠","")))))</f>
        <v/>
      </c>
    </row>
    <row r="1013" customFormat="false" ht="15" hidden="false" customHeight="false" outlineLevel="0" collapsed="false">
      <c r="A1013" s="58"/>
      <c r="B1013" s="68" t="str">
        <f aca="false">IF(A1013="","",COUNTIF(A$5:A1013,A1013))</f>
        <v/>
      </c>
      <c r="C1013" s="68" t="str">
        <f aca="false">IF(A1013="","",A1013&amp;"-"&amp;B1013)</f>
        <v/>
      </c>
      <c r="D1013" s="58"/>
      <c r="E1013" s="57"/>
      <c r="F1013" s="69"/>
      <c r="G1013" s="69"/>
      <c r="H1013" s="70" t="str">
        <f aca="false">IF(A1013="","",IFERROR(INDEX(السندات!$C$5:$C$504,MATCH(A1013,السندات!$A$5:$A$504,0)),""))</f>
        <v/>
      </c>
      <c r="I1013" s="71" t="str">
        <f aca="false">IF(A1013="","",IFERROR(INDEX(السندات!$D$5:$D$504,MATCH(A1013,السندات!$A$5:$A$504,0)),""))</f>
        <v/>
      </c>
      <c r="J1013" s="72" t="str">
        <f aca="false">IF(A1013="","",IF(ISNA(MATCH(A1013,السندات!$A$5:$A$504,0)),"رقم سند غير موجود ✘",IF(AND(F1013&lt;&gt;"",G1013&lt;&gt;""),"اكتب مدين أو دائن فقط ✘",IF(AND(N(F1013)=0,N(G1013)=0),"بدون مبلغ ⚠",IF(B1013&gt;12,"يتجاوز 12 بنداً في الطباعة ⚠","")))))</f>
        <v/>
      </c>
    </row>
    <row r="1014" customFormat="false" ht="15" hidden="false" customHeight="false" outlineLevel="0" collapsed="false">
      <c r="A1014" s="58"/>
      <c r="B1014" s="73" t="str">
        <f aca="false">IF(A1014="","",COUNTIF(A$5:A1014,A1014))</f>
        <v/>
      </c>
      <c r="C1014" s="73" t="str">
        <f aca="false">IF(A1014="","",A1014&amp;"-"&amp;B1014)</f>
        <v/>
      </c>
      <c r="D1014" s="58"/>
      <c r="E1014" s="57"/>
      <c r="F1014" s="69"/>
      <c r="G1014" s="69"/>
      <c r="H1014" s="74" t="str">
        <f aca="false">IF(A1014="","",IFERROR(INDEX(السندات!$C$5:$C$504,MATCH(A1014,السندات!$A$5:$A$504,0)),""))</f>
        <v/>
      </c>
      <c r="I1014" s="75" t="str">
        <f aca="false">IF(A1014="","",IFERROR(INDEX(السندات!$D$5:$D$504,MATCH(A1014,السندات!$A$5:$A$504,0)),""))</f>
        <v/>
      </c>
      <c r="J1014" s="76" t="str">
        <f aca="false">IF(A1014="","",IF(ISNA(MATCH(A1014,السندات!$A$5:$A$504,0)),"رقم سند غير موجود ✘",IF(AND(F1014&lt;&gt;"",G1014&lt;&gt;""),"اكتب مدين أو دائن فقط ✘",IF(AND(N(F1014)=0,N(G1014)=0),"بدون مبلغ ⚠",IF(B1014&gt;12,"يتجاوز 12 بنداً في الطباعة ⚠","")))))</f>
        <v/>
      </c>
    </row>
    <row r="1015" customFormat="false" ht="15" hidden="false" customHeight="false" outlineLevel="0" collapsed="false">
      <c r="A1015" s="58"/>
      <c r="B1015" s="68" t="str">
        <f aca="false">IF(A1015="","",COUNTIF(A$5:A1015,A1015))</f>
        <v/>
      </c>
      <c r="C1015" s="68" t="str">
        <f aca="false">IF(A1015="","",A1015&amp;"-"&amp;B1015)</f>
        <v/>
      </c>
      <c r="D1015" s="58"/>
      <c r="E1015" s="57"/>
      <c r="F1015" s="69"/>
      <c r="G1015" s="69"/>
      <c r="H1015" s="70" t="str">
        <f aca="false">IF(A1015="","",IFERROR(INDEX(السندات!$C$5:$C$504,MATCH(A1015,السندات!$A$5:$A$504,0)),""))</f>
        <v/>
      </c>
      <c r="I1015" s="71" t="str">
        <f aca="false">IF(A1015="","",IFERROR(INDEX(السندات!$D$5:$D$504,MATCH(A1015,السندات!$A$5:$A$504,0)),""))</f>
        <v/>
      </c>
      <c r="J1015" s="72" t="str">
        <f aca="false">IF(A1015="","",IF(ISNA(MATCH(A1015,السندات!$A$5:$A$504,0)),"رقم سند غير موجود ✘",IF(AND(F1015&lt;&gt;"",G1015&lt;&gt;""),"اكتب مدين أو دائن فقط ✘",IF(AND(N(F1015)=0,N(G1015)=0),"بدون مبلغ ⚠",IF(B1015&gt;12,"يتجاوز 12 بنداً في الطباعة ⚠","")))))</f>
        <v/>
      </c>
    </row>
    <row r="1016" customFormat="false" ht="15" hidden="false" customHeight="false" outlineLevel="0" collapsed="false">
      <c r="A1016" s="58"/>
      <c r="B1016" s="73" t="str">
        <f aca="false">IF(A1016="","",COUNTIF(A$5:A1016,A1016))</f>
        <v/>
      </c>
      <c r="C1016" s="73" t="str">
        <f aca="false">IF(A1016="","",A1016&amp;"-"&amp;B1016)</f>
        <v/>
      </c>
      <c r="D1016" s="58"/>
      <c r="E1016" s="57"/>
      <c r="F1016" s="69"/>
      <c r="G1016" s="69"/>
      <c r="H1016" s="74" t="str">
        <f aca="false">IF(A1016="","",IFERROR(INDEX(السندات!$C$5:$C$504,MATCH(A1016,السندات!$A$5:$A$504,0)),""))</f>
        <v/>
      </c>
      <c r="I1016" s="75" t="str">
        <f aca="false">IF(A1016="","",IFERROR(INDEX(السندات!$D$5:$D$504,MATCH(A1016,السندات!$A$5:$A$504,0)),""))</f>
        <v/>
      </c>
      <c r="J1016" s="76" t="str">
        <f aca="false">IF(A1016="","",IF(ISNA(MATCH(A1016,السندات!$A$5:$A$504,0)),"رقم سند غير موجود ✘",IF(AND(F1016&lt;&gt;"",G1016&lt;&gt;""),"اكتب مدين أو دائن فقط ✘",IF(AND(N(F1016)=0,N(G1016)=0),"بدون مبلغ ⚠",IF(B1016&gt;12,"يتجاوز 12 بنداً في الطباعة ⚠","")))))</f>
        <v/>
      </c>
    </row>
    <row r="1017" customFormat="false" ht="15" hidden="false" customHeight="false" outlineLevel="0" collapsed="false">
      <c r="A1017" s="58"/>
      <c r="B1017" s="68" t="str">
        <f aca="false">IF(A1017="","",COUNTIF(A$5:A1017,A1017))</f>
        <v/>
      </c>
      <c r="C1017" s="68" t="str">
        <f aca="false">IF(A1017="","",A1017&amp;"-"&amp;B1017)</f>
        <v/>
      </c>
      <c r="D1017" s="58"/>
      <c r="E1017" s="57"/>
      <c r="F1017" s="69"/>
      <c r="G1017" s="69"/>
      <c r="H1017" s="70" t="str">
        <f aca="false">IF(A1017="","",IFERROR(INDEX(السندات!$C$5:$C$504,MATCH(A1017,السندات!$A$5:$A$504,0)),""))</f>
        <v/>
      </c>
      <c r="I1017" s="71" t="str">
        <f aca="false">IF(A1017="","",IFERROR(INDEX(السندات!$D$5:$D$504,MATCH(A1017,السندات!$A$5:$A$504,0)),""))</f>
        <v/>
      </c>
      <c r="J1017" s="72" t="str">
        <f aca="false">IF(A1017="","",IF(ISNA(MATCH(A1017,السندات!$A$5:$A$504,0)),"رقم سند غير موجود ✘",IF(AND(F1017&lt;&gt;"",G1017&lt;&gt;""),"اكتب مدين أو دائن فقط ✘",IF(AND(N(F1017)=0,N(G1017)=0),"بدون مبلغ ⚠",IF(B1017&gt;12,"يتجاوز 12 بنداً في الطباعة ⚠","")))))</f>
        <v/>
      </c>
    </row>
    <row r="1018" customFormat="false" ht="15" hidden="false" customHeight="false" outlineLevel="0" collapsed="false">
      <c r="A1018" s="58"/>
      <c r="B1018" s="73" t="str">
        <f aca="false">IF(A1018="","",COUNTIF(A$5:A1018,A1018))</f>
        <v/>
      </c>
      <c r="C1018" s="73" t="str">
        <f aca="false">IF(A1018="","",A1018&amp;"-"&amp;B1018)</f>
        <v/>
      </c>
      <c r="D1018" s="58"/>
      <c r="E1018" s="57"/>
      <c r="F1018" s="69"/>
      <c r="G1018" s="69"/>
      <c r="H1018" s="74" t="str">
        <f aca="false">IF(A1018="","",IFERROR(INDEX(السندات!$C$5:$C$504,MATCH(A1018,السندات!$A$5:$A$504,0)),""))</f>
        <v/>
      </c>
      <c r="I1018" s="75" t="str">
        <f aca="false">IF(A1018="","",IFERROR(INDEX(السندات!$D$5:$D$504,MATCH(A1018,السندات!$A$5:$A$504,0)),""))</f>
        <v/>
      </c>
      <c r="J1018" s="76" t="str">
        <f aca="false">IF(A1018="","",IF(ISNA(MATCH(A1018,السندات!$A$5:$A$504,0)),"رقم سند غير موجود ✘",IF(AND(F1018&lt;&gt;"",G1018&lt;&gt;""),"اكتب مدين أو دائن فقط ✘",IF(AND(N(F1018)=0,N(G1018)=0),"بدون مبلغ ⚠",IF(B1018&gt;12,"يتجاوز 12 بنداً في الطباعة ⚠","")))))</f>
        <v/>
      </c>
    </row>
    <row r="1019" customFormat="false" ht="15" hidden="false" customHeight="false" outlineLevel="0" collapsed="false">
      <c r="A1019" s="58"/>
      <c r="B1019" s="68" t="str">
        <f aca="false">IF(A1019="","",COUNTIF(A$5:A1019,A1019))</f>
        <v/>
      </c>
      <c r="C1019" s="68" t="str">
        <f aca="false">IF(A1019="","",A1019&amp;"-"&amp;B1019)</f>
        <v/>
      </c>
      <c r="D1019" s="58"/>
      <c r="E1019" s="57"/>
      <c r="F1019" s="69"/>
      <c r="G1019" s="69"/>
      <c r="H1019" s="70" t="str">
        <f aca="false">IF(A1019="","",IFERROR(INDEX(السندات!$C$5:$C$504,MATCH(A1019,السندات!$A$5:$A$504,0)),""))</f>
        <v/>
      </c>
      <c r="I1019" s="71" t="str">
        <f aca="false">IF(A1019="","",IFERROR(INDEX(السندات!$D$5:$D$504,MATCH(A1019,السندات!$A$5:$A$504,0)),""))</f>
        <v/>
      </c>
      <c r="J1019" s="72" t="str">
        <f aca="false">IF(A1019="","",IF(ISNA(MATCH(A1019,السندات!$A$5:$A$504,0)),"رقم سند غير موجود ✘",IF(AND(F1019&lt;&gt;"",G1019&lt;&gt;""),"اكتب مدين أو دائن فقط ✘",IF(AND(N(F1019)=0,N(G1019)=0),"بدون مبلغ ⚠",IF(B1019&gt;12,"يتجاوز 12 بنداً في الطباعة ⚠","")))))</f>
        <v/>
      </c>
    </row>
    <row r="1020" customFormat="false" ht="15" hidden="false" customHeight="false" outlineLevel="0" collapsed="false">
      <c r="A1020" s="58"/>
      <c r="B1020" s="73" t="str">
        <f aca="false">IF(A1020="","",COUNTIF(A$5:A1020,A1020))</f>
        <v/>
      </c>
      <c r="C1020" s="73" t="str">
        <f aca="false">IF(A1020="","",A1020&amp;"-"&amp;B1020)</f>
        <v/>
      </c>
      <c r="D1020" s="58"/>
      <c r="E1020" s="57"/>
      <c r="F1020" s="69"/>
      <c r="G1020" s="69"/>
      <c r="H1020" s="74" t="str">
        <f aca="false">IF(A1020="","",IFERROR(INDEX(السندات!$C$5:$C$504,MATCH(A1020,السندات!$A$5:$A$504,0)),""))</f>
        <v/>
      </c>
      <c r="I1020" s="75" t="str">
        <f aca="false">IF(A1020="","",IFERROR(INDEX(السندات!$D$5:$D$504,MATCH(A1020,السندات!$A$5:$A$504,0)),""))</f>
        <v/>
      </c>
      <c r="J1020" s="76" t="str">
        <f aca="false">IF(A1020="","",IF(ISNA(MATCH(A1020,السندات!$A$5:$A$504,0)),"رقم سند غير موجود ✘",IF(AND(F1020&lt;&gt;"",G1020&lt;&gt;""),"اكتب مدين أو دائن فقط ✘",IF(AND(N(F1020)=0,N(G1020)=0),"بدون مبلغ ⚠",IF(B1020&gt;12,"يتجاوز 12 بنداً في الطباعة ⚠","")))))</f>
        <v/>
      </c>
    </row>
    <row r="1021" customFormat="false" ht="15" hidden="false" customHeight="false" outlineLevel="0" collapsed="false">
      <c r="A1021" s="58"/>
      <c r="B1021" s="68" t="str">
        <f aca="false">IF(A1021="","",COUNTIF(A$5:A1021,A1021))</f>
        <v/>
      </c>
      <c r="C1021" s="68" t="str">
        <f aca="false">IF(A1021="","",A1021&amp;"-"&amp;B1021)</f>
        <v/>
      </c>
      <c r="D1021" s="58"/>
      <c r="E1021" s="57"/>
      <c r="F1021" s="69"/>
      <c r="G1021" s="69"/>
      <c r="H1021" s="70" t="str">
        <f aca="false">IF(A1021="","",IFERROR(INDEX(السندات!$C$5:$C$504,MATCH(A1021,السندات!$A$5:$A$504,0)),""))</f>
        <v/>
      </c>
      <c r="I1021" s="71" t="str">
        <f aca="false">IF(A1021="","",IFERROR(INDEX(السندات!$D$5:$D$504,MATCH(A1021,السندات!$A$5:$A$504,0)),""))</f>
        <v/>
      </c>
      <c r="J1021" s="72" t="str">
        <f aca="false">IF(A1021="","",IF(ISNA(MATCH(A1021,السندات!$A$5:$A$504,0)),"رقم سند غير موجود ✘",IF(AND(F1021&lt;&gt;"",G1021&lt;&gt;""),"اكتب مدين أو دائن فقط ✘",IF(AND(N(F1021)=0,N(G1021)=0),"بدون مبلغ ⚠",IF(B1021&gt;12,"يتجاوز 12 بنداً في الطباعة ⚠","")))))</f>
        <v/>
      </c>
    </row>
    <row r="1022" customFormat="false" ht="15" hidden="false" customHeight="false" outlineLevel="0" collapsed="false">
      <c r="A1022" s="58"/>
      <c r="B1022" s="73" t="str">
        <f aca="false">IF(A1022="","",COUNTIF(A$5:A1022,A1022))</f>
        <v/>
      </c>
      <c r="C1022" s="73" t="str">
        <f aca="false">IF(A1022="","",A1022&amp;"-"&amp;B1022)</f>
        <v/>
      </c>
      <c r="D1022" s="58"/>
      <c r="E1022" s="57"/>
      <c r="F1022" s="69"/>
      <c r="G1022" s="69"/>
      <c r="H1022" s="74" t="str">
        <f aca="false">IF(A1022="","",IFERROR(INDEX(السندات!$C$5:$C$504,MATCH(A1022,السندات!$A$5:$A$504,0)),""))</f>
        <v/>
      </c>
      <c r="I1022" s="75" t="str">
        <f aca="false">IF(A1022="","",IFERROR(INDEX(السندات!$D$5:$D$504,MATCH(A1022,السندات!$A$5:$A$504,0)),""))</f>
        <v/>
      </c>
      <c r="J1022" s="76" t="str">
        <f aca="false">IF(A1022="","",IF(ISNA(MATCH(A1022,السندات!$A$5:$A$504,0)),"رقم سند غير موجود ✘",IF(AND(F1022&lt;&gt;"",G1022&lt;&gt;""),"اكتب مدين أو دائن فقط ✘",IF(AND(N(F1022)=0,N(G1022)=0),"بدون مبلغ ⚠",IF(B1022&gt;12,"يتجاوز 12 بنداً في الطباعة ⚠","")))))</f>
        <v/>
      </c>
    </row>
    <row r="1023" customFormat="false" ht="15" hidden="false" customHeight="false" outlineLevel="0" collapsed="false">
      <c r="A1023" s="58"/>
      <c r="B1023" s="68" t="str">
        <f aca="false">IF(A1023="","",COUNTIF(A$5:A1023,A1023))</f>
        <v/>
      </c>
      <c r="C1023" s="68" t="str">
        <f aca="false">IF(A1023="","",A1023&amp;"-"&amp;B1023)</f>
        <v/>
      </c>
      <c r="D1023" s="58"/>
      <c r="E1023" s="57"/>
      <c r="F1023" s="69"/>
      <c r="G1023" s="69"/>
      <c r="H1023" s="70" t="str">
        <f aca="false">IF(A1023="","",IFERROR(INDEX(السندات!$C$5:$C$504,MATCH(A1023,السندات!$A$5:$A$504,0)),""))</f>
        <v/>
      </c>
      <c r="I1023" s="71" t="str">
        <f aca="false">IF(A1023="","",IFERROR(INDEX(السندات!$D$5:$D$504,MATCH(A1023,السندات!$A$5:$A$504,0)),""))</f>
        <v/>
      </c>
      <c r="J1023" s="72" t="str">
        <f aca="false">IF(A1023="","",IF(ISNA(MATCH(A1023,السندات!$A$5:$A$504,0)),"رقم سند غير موجود ✘",IF(AND(F1023&lt;&gt;"",G1023&lt;&gt;""),"اكتب مدين أو دائن فقط ✘",IF(AND(N(F1023)=0,N(G1023)=0),"بدون مبلغ ⚠",IF(B1023&gt;12,"يتجاوز 12 بنداً في الطباعة ⚠","")))))</f>
        <v/>
      </c>
    </row>
    <row r="1024" customFormat="false" ht="15" hidden="false" customHeight="false" outlineLevel="0" collapsed="false">
      <c r="A1024" s="58"/>
      <c r="B1024" s="73" t="str">
        <f aca="false">IF(A1024="","",COUNTIF(A$5:A1024,A1024))</f>
        <v/>
      </c>
      <c r="C1024" s="73" t="str">
        <f aca="false">IF(A1024="","",A1024&amp;"-"&amp;B1024)</f>
        <v/>
      </c>
      <c r="D1024" s="58"/>
      <c r="E1024" s="57"/>
      <c r="F1024" s="69"/>
      <c r="G1024" s="69"/>
      <c r="H1024" s="74" t="str">
        <f aca="false">IF(A1024="","",IFERROR(INDEX(السندات!$C$5:$C$504,MATCH(A1024,السندات!$A$5:$A$504,0)),""))</f>
        <v/>
      </c>
      <c r="I1024" s="75" t="str">
        <f aca="false">IF(A1024="","",IFERROR(INDEX(السندات!$D$5:$D$504,MATCH(A1024,السندات!$A$5:$A$504,0)),""))</f>
        <v/>
      </c>
      <c r="J1024" s="76" t="str">
        <f aca="false">IF(A1024="","",IF(ISNA(MATCH(A1024,السندات!$A$5:$A$504,0)),"رقم سند غير موجود ✘",IF(AND(F1024&lt;&gt;"",G1024&lt;&gt;""),"اكتب مدين أو دائن فقط ✘",IF(AND(N(F1024)=0,N(G1024)=0),"بدون مبلغ ⚠",IF(B1024&gt;12,"يتجاوز 12 بنداً في الطباعة ⚠","")))))</f>
        <v/>
      </c>
    </row>
    <row r="1025" customFormat="false" ht="15" hidden="false" customHeight="false" outlineLevel="0" collapsed="false">
      <c r="A1025" s="58"/>
      <c r="B1025" s="68" t="str">
        <f aca="false">IF(A1025="","",COUNTIF(A$5:A1025,A1025))</f>
        <v/>
      </c>
      <c r="C1025" s="68" t="str">
        <f aca="false">IF(A1025="","",A1025&amp;"-"&amp;B1025)</f>
        <v/>
      </c>
      <c r="D1025" s="58"/>
      <c r="E1025" s="57"/>
      <c r="F1025" s="69"/>
      <c r="G1025" s="69"/>
      <c r="H1025" s="70" t="str">
        <f aca="false">IF(A1025="","",IFERROR(INDEX(السندات!$C$5:$C$504,MATCH(A1025,السندات!$A$5:$A$504,0)),""))</f>
        <v/>
      </c>
      <c r="I1025" s="71" t="str">
        <f aca="false">IF(A1025="","",IFERROR(INDEX(السندات!$D$5:$D$504,MATCH(A1025,السندات!$A$5:$A$504,0)),""))</f>
        <v/>
      </c>
      <c r="J1025" s="72" t="str">
        <f aca="false">IF(A1025="","",IF(ISNA(MATCH(A1025,السندات!$A$5:$A$504,0)),"رقم سند غير موجود ✘",IF(AND(F1025&lt;&gt;"",G1025&lt;&gt;""),"اكتب مدين أو دائن فقط ✘",IF(AND(N(F1025)=0,N(G1025)=0),"بدون مبلغ ⚠",IF(B1025&gt;12,"يتجاوز 12 بنداً في الطباعة ⚠","")))))</f>
        <v/>
      </c>
    </row>
    <row r="1026" customFormat="false" ht="15" hidden="false" customHeight="false" outlineLevel="0" collapsed="false">
      <c r="A1026" s="58"/>
      <c r="B1026" s="73" t="str">
        <f aca="false">IF(A1026="","",COUNTIF(A$5:A1026,A1026))</f>
        <v/>
      </c>
      <c r="C1026" s="73" t="str">
        <f aca="false">IF(A1026="","",A1026&amp;"-"&amp;B1026)</f>
        <v/>
      </c>
      <c r="D1026" s="58"/>
      <c r="E1026" s="57"/>
      <c r="F1026" s="69"/>
      <c r="G1026" s="69"/>
      <c r="H1026" s="74" t="str">
        <f aca="false">IF(A1026="","",IFERROR(INDEX(السندات!$C$5:$C$504,MATCH(A1026,السندات!$A$5:$A$504,0)),""))</f>
        <v/>
      </c>
      <c r="I1026" s="75" t="str">
        <f aca="false">IF(A1026="","",IFERROR(INDEX(السندات!$D$5:$D$504,MATCH(A1026,السندات!$A$5:$A$504,0)),""))</f>
        <v/>
      </c>
      <c r="J1026" s="76" t="str">
        <f aca="false">IF(A1026="","",IF(ISNA(MATCH(A1026,السندات!$A$5:$A$504,0)),"رقم سند غير موجود ✘",IF(AND(F1026&lt;&gt;"",G1026&lt;&gt;""),"اكتب مدين أو دائن فقط ✘",IF(AND(N(F1026)=0,N(G1026)=0),"بدون مبلغ ⚠",IF(B1026&gt;12,"يتجاوز 12 بنداً في الطباعة ⚠","")))))</f>
        <v/>
      </c>
    </row>
    <row r="1027" customFormat="false" ht="15" hidden="false" customHeight="false" outlineLevel="0" collapsed="false">
      <c r="A1027" s="58"/>
      <c r="B1027" s="68" t="str">
        <f aca="false">IF(A1027="","",COUNTIF(A$5:A1027,A1027))</f>
        <v/>
      </c>
      <c r="C1027" s="68" t="str">
        <f aca="false">IF(A1027="","",A1027&amp;"-"&amp;B1027)</f>
        <v/>
      </c>
      <c r="D1027" s="58"/>
      <c r="E1027" s="57"/>
      <c r="F1027" s="69"/>
      <c r="G1027" s="69"/>
      <c r="H1027" s="70" t="str">
        <f aca="false">IF(A1027="","",IFERROR(INDEX(السندات!$C$5:$C$504,MATCH(A1027,السندات!$A$5:$A$504,0)),""))</f>
        <v/>
      </c>
      <c r="I1027" s="71" t="str">
        <f aca="false">IF(A1027="","",IFERROR(INDEX(السندات!$D$5:$D$504,MATCH(A1027,السندات!$A$5:$A$504,0)),""))</f>
        <v/>
      </c>
      <c r="J1027" s="72" t="str">
        <f aca="false">IF(A1027="","",IF(ISNA(MATCH(A1027,السندات!$A$5:$A$504,0)),"رقم سند غير موجود ✘",IF(AND(F1027&lt;&gt;"",G1027&lt;&gt;""),"اكتب مدين أو دائن فقط ✘",IF(AND(N(F1027)=0,N(G1027)=0),"بدون مبلغ ⚠",IF(B1027&gt;12,"يتجاوز 12 بنداً في الطباعة ⚠","")))))</f>
        <v/>
      </c>
    </row>
    <row r="1028" customFormat="false" ht="15" hidden="false" customHeight="false" outlineLevel="0" collapsed="false">
      <c r="A1028" s="58"/>
      <c r="B1028" s="73" t="str">
        <f aca="false">IF(A1028="","",COUNTIF(A$5:A1028,A1028))</f>
        <v/>
      </c>
      <c r="C1028" s="73" t="str">
        <f aca="false">IF(A1028="","",A1028&amp;"-"&amp;B1028)</f>
        <v/>
      </c>
      <c r="D1028" s="58"/>
      <c r="E1028" s="57"/>
      <c r="F1028" s="69"/>
      <c r="G1028" s="69"/>
      <c r="H1028" s="74" t="str">
        <f aca="false">IF(A1028="","",IFERROR(INDEX(السندات!$C$5:$C$504,MATCH(A1028,السندات!$A$5:$A$504,0)),""))</f>
        <v/>
      </c>
      <c r="I1028" s="75" t="str">
        <f aca="false">IF(A1028="","",IFERROR(INDEX(السندات!$D$5:$D$504,MATCH(A1028,السندات!$A$5:$A$504,0)),""))</f>
        <v/>
      </c>
      <c r="J1028" s="76" t="str">
        <f aca="false">IF(A1028="","",IF(ISNA(MATCH(A1028,السندات!$A$5:$A$504,0)),"رقم سند غير موجود ✘",IF(AND(F1028&lt;&gt;"",G1028&lt;&gt;""),"اكتب مدين أو دائن فقط ✘",IF(AND(N(F1028)=0,N(G1028)=0),"بدون مبلغ ⚠",IF(B1028&gt;12,"يتجاوز 12 بنداً في الطباعة ⚠","")))))</f>
        <v/>
      </c>
    </row>
    <row r="1029" customFormat="false" ht="15" hidden="false" customHeight="false" outlineLevel="0" collapsed="false">
      <c r="A1029" s="58"/>
      <c r="B1029" s="68" t="str">
        <f aca="false">IF(A1029="","",COUNTIF(A$5:A1029,A1029))</f>
        <v/>
      </c>
      <c r="C1029" s="68" t="str">
        <f aca="false">IF(A1029="","",A1029&amp;"-"&amp;B1029)</f>
        <v/>
      </c>
      <c r="D1029" s="58"/>
      <c r="E1029" s="57"/>
      <c r="F1029" s="69"/>
      <c r="G1029" s="69"/>
      <c r="H1029" s="70" t="str">
        <f aca="false">IF(A1029="","",IFERROR(INDEX(السندات!$C$5:$C$504,MATCH(A1029,السندات!$A$5:$A$504,0)),""))</f>
        <v/>
      </c>
      <c r="I1029" s="71" t="str">
        <f aca="false">IF(A1029="","",IFERROR(INDEX(السندات!$D$5:$D$504,MATCH(A1029,السندات!$A$5:$A$504,0)),""))</f>
        <v/>
      </c>
      <c r="J1029" s="72" t="str">
        <f aca="false">IF(A1029="","",IF(ISNA(MATCH(A1029,السندات!$A$5:$A$504,0)),"رقم سند غير موجود ✘",IF(AND(F1029&lt;&gt;"",G1029&lt;&gt;""),"اكتب مدين أو دائن فقط ✘",IF(AND(N(F1029)=0,N(G1029)=0),"بدون مبلغ ⚠",IF(B1029&gt;12,"يتجاوز 12 بنداً في الطباعة ⚠","")))))</f>
        <v/>
      </c>
    </row>
    <row r="1030" customFormat="false" ht="15" hidden="false" customHeight="false" outlineLevel="0" collapsed="false">
      <c r="A1030" s="58"/>
      <c r="B1030" s="73" t="str">
        <f aca="false">IF(A1030="","",COUNTIF(A$5:A1030,A1030))</f>
        <v/>
      </c>
      <c r="C1030" s="73" t="str">
        <f aca="false">IF(A1030="","",A1030&amp;"-"&amp;B1030)</f>
        <v/>
      </c>
      <c r="D1030" s="58"/>
      <c r="E1030" s="57"/>
      <c r="F1030" s="69"/>
      <c r="G1030" s="69"/>
      <c r="H1030" s="74" t="str">
        <f aca="false">IF(A1030="","",IFERROR(INDEX(السندات!$C$5:$C$504,MATCH(A1030,السندات!$A$5:$A$504,0)),""))</f>
        <v/>
      </c>
      <c r="I1030" s="75" t="str">
        <f aca="false">IF(A1030="","",IFERROR(INDEX(السندات!$D$5:$D$504,MATCH(A1030,السندات!$A$5:$A$504,0)),""))</f>
        <v/>
      </c>
      <c r="J1030" s="76" t="str">
        <f aca="false">IF(A1030="","",IF(ISNA(MATCH(A1030,السندات!$A$5:$A$504,0)),"رقم سند غير موجود ✘",IF(AND(F1030&lt;&gt;"",G1030&lt;&gt;""),"اكتب مدين أو دائن فقط ✘",IF(AND(N(F1030)=0,N(G1030)=0),"بدون مبلغ ⚠",IF(B1030&gt;12,"يتجاوز 12 بنداً في الطباعة ⚠","")))))</f>
        <v/>
      </c>
    </row>
    <row r="1031" customFormat="false" ht="15" hidden="false" customHeight="false" outlineLevel="0" collapsed="false">
      <c r="A1031" s="58"/>
      <c r="B1031" s="68" t="str">
        <f aca="false">IF(A1031="","",COUNTIF(A$5:A1031,A1031))</f>
        <v/>
      </c>
      <c r="C1031" s="68" t="str">
        <f aca="false">IF(A1031="","",A1031&amp;"-"&amp;B1031)</f>
        <v/>
      </c>
      <c r="D1031" s="58"/>
      <c r="E1031" s="57"/>
      <c r="F1031" s="69"/>
      <c r="G1031" s="69"/>
      <c r="H1031" s="70" t="str">
        <f aca="false">IF(A1031="","",IFERROR(INDEX(السندات!$C$5:$C$504,MATCH(A1031,السندات!$A$5:$A$504,0)),""))</f>
        <v/>
      </c>
      <c r="I1031" s="71" t="str">
        <f aca="false">IF(A1031="","",IFERROR(INDEX(السندات!$D$5:$D$504,MATCH(A1031,السندات!$A$5:$A$504,0)),""))</f>
        <v/>
      </c>
      <c r="J1031" s="72" t="str">
        <f aca="false">IF(A1031="","",IF(ISNA(MATCH(A1031,السندات!$A$5:$A$504,0)),"رقم سند غير موجود ✘",IF(AND(F1031&lt;&gt;"",G1031&lt;&gt;""),"اكتب مدين أو دائن فقط ✘",IF(AND(N(F1031)=0,N(G1031)=0),"بدون مبلغ ⚠",IF(B1031&gt;12,"يتجاوز 12 بنداً في الطباعة ⚠","")))))</f>
        <v/>
      </c>
    </row>
    <row r="1032" customFormat="false" ht="15" hidden="false" customHeight="false" outlineLevel="0" collapsed="false">
      <c r="A1032" s="58"/>
      <c r="B1032" s="73" t="str">
        <f aca="false">IF(A1032="","",COUNTIF(A$5:A1032,A1032))</f>
        <v/>
      </c>
      <c r="C1032" s="73" t="str">
        <f aca="false">IF(A1032="","",A1032&amp;"-"&amp;B1032)</f>
        <v/>
      </c>
      <c r="D1032" s="58"/>
      <c r="E1032" s="57"/>
      <c r="F1032" s="69"/>
      <c r="G1032" s="69"/>
      <c r="H1032" s="74" t="str">
        <f aca="false">IF(A1032="","",IFERROR(INDEX(السندات!$C$5:$C$504,MATCH(A1032,السندات!$A$5:$A$504,0)),""))</f>
        <v/>
      </c>
      <c r="I1032" s="75" t="str">
        <f aca="false">IF(A1032="","",IFERROR(INDEX(السندات!$D$5:$D$504,MATCH(A1032,السندات!$A$5:$A$504,0)),""))</f>
        <v/>
      </c>
      <c r="J1032" s="76" t="str">
        <f aca="false">IF(A1032="","",IF(ISNA(MATCH(A1032,السندات!$A$5:$A$504,0)),"رقم سند غير موجود ✘",IF(AND(F1032&lt;&gt;"",G1032&lt;&gt;""),"اكتب مدين أو دائن فقط ✘",IF(AND(N(F1032)=0,N(G1032)=0),"بدون مبلغ ⚠",IF(B1032&gt;12,"يتجاوز 12 بنداً في الطباعة ⚠","")))))</f>
        <v/>
      </c>
    </row>
    <row r="1033" customFormat="false" ht="15" hidden="false" customHeight="false" outlineLevel="0" collapsed="false">
      <c r="A1033" s="58"/>
      <c r="B1033" s="68" t="str">
        <f aca="false">IF(A1033="","",COUNTIF(A$5:A1033,A1033))</f>
        <v/>
      </c>
      <c r="C1033" s="68" t="str">
        <f aca="false">IF(A1033="","",A1033&amp;"-"&amp;B1033)</f>
        <v/>
      </c>
      <c r="D1033" s="58"/>
      <c r="E1033" s="57"/>
      <c r="F1033" s="69"/>
      <c r="G1033" s="69"/>
      <c r="H1033" s="70" t="str">
        <f aca="false">IF(A1033="","",IFERROR(INDEX(السندات!$C$5:$C$504,MATCH(A1033,السندات!$A$5:$A$504,0)),""))</f>
        <v/>
      </c>
      <c r="I1033" s="71" t="str">
        <f aca="false">IF(A1033="","",IFERROR(INDEX(السندات!$D$5:$D$504,MATCH(A1033,السندات!$A$5:$A$504,0)),""))</f>
        <v/>
      </c>
      <c r="J1033" s="72" t="str">
        <f aca="false">IF(A1033="","",IF(ISNA(MATCH(A1033,السندات!$A$5:$A$504,0)),"رقم سند غير موجود ✘",IF(AND(F1033&lt;&gt;"",G1033&lt;&gt;""),"اكتب مدين أو دائن فقط ✘",IF(AND(N(F1033)=0,N(G1033)=0),"بدون مبلغ ⚠",IF(B1033&gt;12,"يتجاوز 12 بنداً في الطباعة ⚠","")))))</f>
        <v/>
      </c>
    </row>
    <row r="1034" customFormat="false" ht="15" hidden="false" customHeight="false" outlineLevel="0" collapsed="false">
      <c r="A1034" s="58"/>
      <c r="B1034" s="73" t="str">
        <f aca="false">IF(A1034="","",COUNTIF(A$5:A1034,A1034))</f>
        <v/>
      </c>
      <c r="C1034" s="73" t="str">
        <f aca="false">IF(A1034="","",A1034&amp;"-"&amp;B1034)</f>
        <v/>
      </c>
      <c r="D1034" s="58"/>
      <c r="E1034" s="57"/>
      <c r="F1034" s="69"/>
      <c r="G1034" s="69"/>
      <c r="H1034" s="74" t="str">
        <f aca="false">IF(A1034="","",IFERROR(INDEX(السندات!$C$5:$C$504,MATCH(A1034,السندات!$A$5:$A$504,0)),""))</f>
        <v/>
      </c>
      <c r="I1034" s="75" t="str">
        <f aca="false">IF(A1034="","",IFERROR(INDEX(السندات!$D$5:$D$504,MATCH(A1034,السندات!$A$5:$A$504,0)),""))</f>
        <v/>
      </c>
      <c r="J1034" s="76" t="str">
        <f aca="false">IF(A1034="","",IF(ISNA(MATCH(A1034,السندات!$A$5:$A$504,0)),"رقم سند غير موجود ✘",IF(AND(F1034&lt;&gt;"",G1034&lt;&gt;""),"اكتب مدين أو دائن فقط ✘",IF(AND(N(F1034)=0,N(G1034)=0),"بدون مبلغ ⚠",IF(B1034&gt;12,"يتجاوز 12 بنداً في الطباعة ⚠","")))))</f>
        <v/>
      </c>
    </row>
    <row r="1035" customFormat="false" ht="15" hidden="false" customHeight="false" outlineLevel="0" collapsed="false">
      <c r="A1035" s="58"/>
      <c r="B1035" s="68" t="str">
        <f aca="false">IF(A1035="","",COUNTIF(A$5:A1035,A1035))</f>
        <v/>
      </c>
      <c r="C1035" s="68" t="str">
        <f aca="false">IF(A1035="","",A1035&amp;"-"&amp;B1035)</f>
        <v/>
      </c>
      <c r="D1035" s="58"/>
      <c r="E1035" s="57"/>
      <c r="F1035" s="69"/>
      <c r="G1035" s="69"/>
      <c r="H1035" s="70" t="str">
        <f aca="false">IF(A1035="","",IFERROR(INDEX(السندات!$C$5:$C$504,MATCH(A1035,السندات!$A$5:$A$504,0)),""))</f>
        <v/>
      </c>
      <c r="I1035" s="71" t="str">
        <f aca="false">IF(A1035="","",IFERROR(INDEX(السندات!$D$5:$D$504,MATCH(A1035,السندات!$A$5:$A$504,0)),""))</f>
        <v/>
      </c>
      <c r="J1035" s="72" t="str">
        <f aca="false">IF(A1035="","",IF(ISNA(MATCH(A1035,السندات!$A$5:$A$504,0)),"رقم سند غير موجود ✘",IF(AND(F1035&lt;&gt;"",G1035&lt;&gt;""),"اكتب مدين أو دائن فقط ✘",IF(AND(N(F1035)=0,N(G1035)=0),"بدون مبلغ ⚠",IF(B1035&gt;12,"يتجاوز 12 بنداً في الطباعة ⚠","")))))</f>
        <v/>
      </c>
    </row>
    <row r="1036" customFormat="false" ht="15" hidden="false" customHeight="false" outlineLevel="0" collapsed="false">
      <c r="A1036" s="58"/>
      <c r="B1036" s="73" t="str">
        <f aca="false">IF(A1036="","",COUNTIF(A$5:A1036,A1036))</f>
        <v/>
      </c>
      <c r="C1036" s="73" t="str">
        <f aca="false">IF(A1036="","",A1036&amp;"-"&amp;B1036)</f>
        <v/>
      </c>
      <c r="D1036" s="58"/>
      <c r="E1036" s="57"/>
      <c r="F1036" s="69"/>
      <c r="G1036" s="69"/>
      <c r="H1036" s="74" t="str">
        <f aca="false">IF(A1036="","",IFERROR(INDEX(السندات!$C$5:$C$504,MATCH(A1036,السندات!$A$5:$A$504,0)),""))</f>
        <v/>
      </c>
      <c r="I1036" s="75" t="str">
        <f aca="false">IF(A1036="","",IFERROR(INDEX(السندات!$D$5:$D$504,MATCH(A1036,السندات!$A$5:$A$504,0)),""))</f>
        <v/>
      </c>
      <c r="J1036" s="76" t="str">
        <f aca="false">IF(A1036="","",IF(ISNA(MATCH(A1036,السندات!$A$5:$A$504,0)),"رقم سند غير موجود ✘",IF(AND(F1036&lt;&gt;"",G1036&lt;&gt;""),"اكتب مدين أو دائن فقط ✘",IF(AND(N(F1036)=0,N(G1036)=0),"بدون مبلغ ⚠",IF(B1036&gt;12,"يتجاوز 12 بنداً في الطباعة ⚠","")))))</f>
        <v/>
      </c>
    </row>
    <row r="1037" customFormat="false" ht="15" hidden="false" customHeight="false" outlineLevel="0" collapsed="false">
      <c r="A1037" s="58"/>
      <c r="B1037" s="68" t="str">
        <f aca="false">IF(A1037="","",COUNTIF(A$5:A1037,A1037))</f>
        <v/>
      </c>
      <c r="C1037" s="68" t="str">
        <f aca="false">IF(A1037="","",A1037&amp;"-"&amp;B1037)</f>
        <v/>
      </c>
      <c r="D1037" s="58"/>
      <c r="E1037" s="57"/>
      <c r="F1037" s="69"/>
      <c r="G1037" s="69"/>
      <c r="H1037" s="70" t="str">
        <f aca="false">IF(A1037="","",IFERROR(INDEX(السندات!$C$5:$C$504,MATCH(A1037,السندات!$A$5:$A$504,0)),""))</f>
        <v/>
      </c>
      <c r="I1037" s="71" t="str">
        <f aca="false">IF(A1037="","",IFERROR(INDEX(السندات!$D$5:$D$504,MATCH(A1037,السندات!$A$5:$A$504,0)),""))</f>
        <v/>
      </c>
      <c r="J1037" s="72" t="str">
        <f aca="false">IF(A1037="","",IF(ISNA(MATCH(A1037,السندات!$A$5:$A$504,0)),"رقم سند غير موجود ✘",IF(AND(F1037&lt;&gt;"",G1037&lt;&gt;""),"اكتب مدين أو دائن فقط ✘",IF(AND(N(F1037)=0,N(G1037)=0),"بدون مبلغ ⚠",IF(B1037&gt;12,"يتجاوز 12 بنداً في الطباعة ⚠","")))))</f>
        <v/>
      </c>
    </row>
    <row r="1038" customFormat="false" ht="15" hidden="false" customHeight="false" outlineLevel="0" collapsed="false">
      <c r="A1038" s="58"/>
      <c r="B1038" s="73" t="str">
        <f aca="false">IF(A1038="","",COUNTIF(A$5:A1038,A1038))</f>
        <v/>
      </c>
      <c r="C1038" s="73" t="str">
        <f aca="false">IF(A1038="","",A1038&amp;"-"&amp;B1038)</f>
        <v/>
      </c>
      <c r="D1038" s="58"/>
      <c r="E1038" s="57"/>
      <c r="F1038" s="69"/>
      <c r="G1038" s="69"/>
      <c r="H1038" s="74" t="str">
        <f aca="false">IF(A1038="","",IFERROR(INDEX(السندات!$C$5:$C$504,MATCH(A1038,السندات!$A$5:$A$504,0)),""))</f>
        <v/>
      </c>
      <c r="I1038" s="75" t="str">
        <f aca="false">IF(A1038="","",IFERROR(INDEX(السندات!$D$5:$D$504,MATCH(A1038,السندات!$A$5:$A$504,0)),""))</f>
        <v/>
      </c>
      <c r="J1038" s="76" t="str">
        <f aca="false">IF(A1038="","",IF(ISNA(MATCH(A1038,السندات!$A$5:$A$504,0)),"رقم سند غير موجود ✘",IF(AND(F1038&lt;&gt;"",G1038&lt;&gt;""),"اكتب مدين أو دائن فقط ✘",IF(AND(N(F1038)=0,N(G1038)=0),"بدون مبلغ ⚠",IF(B1038&gt;12,"يتجاوز 12 بنداً في الطباعة ⚠","")))))</f>
        <v/>
      </c>
    </row>
    <row r="1039" customFormat="false" ht="15" hidden="false" customHeight="false" outlineLevel="0" collapsed="false">
      <c r="A1039" s="58"/>
      <c r="B1039" s="68" t="str">
        <f aca="false">IF(A1039="","",COUNTIF(A$5:A1039,A1039))</f>
        <v/>
      </c>
      <c r="C1039" s="68" t="str">
        <f aca="false">IF(A1039="","",A1039&amp;"-"&amp;B1039)</f>
        <v/>
      </c>
      <c r="D1039" s="58"/>
      <c r="E1039" s="57"/>
      <c r="F1039" s="69"/>
      <c r="G1039" s="69"/>
      <c r="H1039" s="70" t="str">
        <f aca="false">IF(A1039="","",IFERROR(INDEX(السندات!$C$5:$C$504,MATCH(A1039,السندات!$A$5:$A$504,0)),""))</f>
        <v/>
      </c>
      <c r="I1039" s="71" t="str">
        <f aca="false">IF(A1039="","",IFERROR(INDEX(السندات!$D$5:$D$504,MATCH(A1039,السندات!$A$5:$A$504,0)),""))</f>
        <v/>
      </c>
      <c r="J1039" s="72" t="str">
        <f aca="false">IF(A1039="","",IF(ISNA(MATCH(A1039,السندات!$A$5:$A$504,0)),"رقم سند غير موجود ✘",IF(AND(F1039&lt;&gt;"",G1039&lt;&gt;""),"اكتب مدين أو دائن فقط ✘",IF(AND(N(F1039)=0,N(G1039)=0),"بدون مبلغ ⚠",IF(B1039&gt;12,"يتجاوز 12 بنداً في الطباعة ⚠","")))))</f>
        <v/>
      </c>
    </row>
    <row r="1040" customFormat="false" ht="15" hidden="false" customHeight="false" outlineLevel="0" collapsed="false">
      <c r="A1040" s="58"/>
      <c r="B1040" s="73" t="str">
        <f aca="false">IF(A1040="","",COUNTIF(A$5:A1040,A1040))</f>
        <v/>
      </c>
      <c r="C1040" s="73" t="str">
        <f aca="false">IF(A1040="","",A1040&amp;"-"&amp;B1040)</f>
        <v/>
      </c>
      <c r="D1040" s="58"/>
      <c r="E1040" s="57"/>
      <c r="F1040" s="69"/>
      <c r="G1040" s="69"/>
      <c r="H1040" s="74" t="str">
        <f aca="false">IF(A1040="","",IFERROR(INDEX(السندات!$C$5:$C$504,MATCH(A1040,السندات!$A$5:$A$504,0)),""))</f>
        <v/>
      </c>
      <c r="I1040" s="75" t="str">
        <f aca="false">IF(A1040="","",IFERROR(INDEX(السندات!$D$5:$D$504,MATCH(A1040,السندات!$A$5:$A$504,0)),""))</f>
        <v/>
      </c>
      <c r="J1040" s="76" t="str">
        <f aca="false">IF(A1040="","",IF(ISNA(MATCH(A1040,السندات!$A$5:$A$504,0)),"رقم سند غير موجود ✘",IF(AND(F1040&lt;&gt;"",G1040&lt;&gt;""),"اكتب مدين أو دائن فقط ✘",IF(AND(N(F1040)=0,N(G1040)=0),"بدون مبلغ ⚠",IF(B1040&gt;12,"يتجاوز 12 بنداً في الطباعة ⚠","")))))</f>
        <v/>
      </c>
    </row>
    <row r="1041" customFormat="false" ht="15" hidden="false" customHeight="false" outlineLevel="0" collapsed="false">
      <c r="A1041" s="58"/>
      <c r="B1041" s="68" t="str">
        <f aca="false">IF(A1041="","",COUNTIF(A$5:A1041,A1041))</f>
        <v/>
      </c>
      <c r="C1041" s="68" t="str">
        <f aca="false">IF(A1041="","",A1041&amp;"-"&amp;B1041)</f>
        <v/>
      </c>
      <c r="D1041" s="58"/>
      <c r="E1041" s="57"/>
      <c r="F1041" s="69"/>
      <c r="G1041" s="69"/>
      <c r="H1041" s="70" t="str">
        <f aca="false">IF(A1041="","",IFERROR(INDEX(السندات!$C$5:$C$504,MATCH(A1041,السندات!$A$5:$A$504,0)),""))</f>
        <v/>
      </c>
      <c r="I1041" s="71" t="str">
        <f aca="false">IF(A1041="","",IFERROR(INDEX(السندات!$D$5:$D$504,MATCH(A1041,السندات!$A$5:$A$504,0)),""))</f>
        <v/>
      </c>
      <c r="J1041" s="72" t="str">
        <f aca="false">IF(A1041="","",IF(ISNA(MATCH(A1041,السندات!$A$5:$A$504,0)),"رقم سند غير موجود ✘",IF(AND(F1041&lt;&gt;"",G1041&lt;&gt;""),"اكتب مدين أو دائن فقط ✘",IF(AND(N(F1041)=0,N(G1041)=0),"بدون مبلغ ⚠",IF(B1041&gt;12,"يتجاوز 12 بنداً في الطباعة ⚠","")))))</f>
        <v/>
      </c>
    </row>
    <row r="1042" customFormat="false" ht="15" hidden="false" customHeight="false" outlineLevel="0" collapsed="false">
      <c r="A1042" s="58"/>
      <c r="B1042" s="73" t="str">
        <f aca="false">IF(A1042="","",COUNTIF(A$5:A1042,A1042))</f>
        <v/>
      </c>
      <c r="C1042" s="73" t="str">
        <f aca="false">IF(A1042="","",A1042&amp;"-"&amp;B1042)</f>
        <v/>
      </c>
      <c r="D1042" s="58"/>
      <c r="E1042" s="57"/>
      <c r="F1042" s="69"/>
      <c r="G1042" s="69"/>
      <c r="H1042" s="74" t="str">
        <f aca="false">IF(A1042="","",IFERROR(INDEX(السندات!$C$5:$C$504,MATCH(A1042,السندات!$A$5:$A$504,0)),""))</f>
        <v/>
      </c>
      <c r="I1042" s="75" t="str">
        <f aca="false">IF(A1042="","",IFERROR(INDEX(السندات!$D$5:$D$504,MATCH(A1042,السندات!$A$5:$A$504,0)),""))</f>
        <v/>
      </c>
      <c r="J1042" s="76" t="str">
        <f aca="false">IF(A1042="","",IF(ISNA(MATCH(A1042,السندات!$A$5:$A$504,0)),"رقم سند غير موجود ✘",IF(AND(F1042&lt;&gt;"",G1042&lt;&gt;""),"اكتب مدين أو دائن فقط ✘",IF(AND(N(F1042)=0,N(G1042)=0),"بدون مبلغ ⚠",IF(B1042&gt;12,"يتجاوز 12 بنداً في الطباعة ⚠","")))))</f>
        <v/>
      </c>
    </row>
    <row r="1043" customFormat="false" ht="15" hidden="false" customHeight="false" outlineLevel="0" collapsed="false">
      <c r="A1043" s="58"/>
      <c r="B1043" s="68" t="str">
        <f aca="false">IF(A1043="","",COUNTIF(A$5:A1043,A1043))</f>
        <v/>
      </c>
      <c r="C1043" s="68" t="str">
        <f aca="false">IF(A1043="","",A1043&amp;"-"&amp;B1043)</f>
        <v/>
      </c>
      <c r="D1043" s="58"/>
      <c r="E1043" s="57"/>
      <c r="F1043" s="69"/>
      <c r="G1043" s="69"/>
      <c r="H1043" s="70" t="str">
        <f aca="false">IF(A1043="","",IFERROR(INDEX(السندات!$C$5:$C$504,MATCH(A1043,السندات!$A$5:$A$504,0)),""))</f>
        <v/>
      </c>
      <c r="I1043" s="71" t="str">
        <f aca="false">IF(A1043="","",IFERROR(INDEX(السندات!$D$5:$D$504,MATCH(A1043,السندات!$A$5:$A$504,0)),""))</f>
        <v/>
      </c>
      <c r="J1043" s="72" t="str">
        <f aca="false">IF(A1043="","",IF(ISNA(MATCH(A1043,السندات!$A$5:$A$504,0)),"رقم سند غير موجود ✘",IF(AND(F1043&lt;&gt;"",G1043&lt;&gt;""),"اكتب مدين أو دائن فقط ✘",IF(AND(N(F1043)=0,N(G1043)=0),"بدون مبلغ ⚠",IF(B1043&gt;12,"يتجاوز 12 بنداً في الطباعة ⚠","")))))</f>
        <v/>
      </c>
    </row>
    <row r="1044" customFormat="false" ht="15" hidden="false" customHeight="false" outlineLevel="0" collapsed="false">
      <c r="A1044" s="58"/>
      <c r="B1044" s="73" t="str">
        <f aca="false">IF(A1044="","",COUNTIF(A$5:A1044,A1044))</f>
        <v/>
      </c>
      <c r="C1044" s="73" t="str">
        <f aca="false">IF(A1044="","",A1044&amp;"-"&amp;B1044)</f>
        <v/>
      </c>
      <c r="D1044" s="58"/>
      <c r="E1044" s="57"/>
      <c r="F1044" s="69"/>
      <c r="G1044" s="69"/>
      <c r="H1044" s="74" t="str">
        <f aca="false">IF(A1044="","",IFERROR(INDEX(السندات!$C$5:$C$504,MATCH(A1044,السندات!$A$5:$A$504,0)),""))</f>
        <v/>
      </c>
      <c r="I1044" s="75" t="str">
        <f aca="false">IF(A1044="","",IFERROR(INDEX(السندات!$D$5:$D$504,MATCH(A1044,السندات!$A$5:$A$504,0)),""))</f>
        <v/>
      </c>
      <c r="J1044" s="76" t="str">
        <f aca="false">IF(A1044="","",IF(ISNA(MATCH(A1044,السندات!$A$5:$A$504,0)),"رقم سند غير موجود ✘",IF(AND(F1044&lt;&gt;"",G1044&lt;&gt;""),"اكتب مدين أو دائن فقط ✘",IF(AND(N(F1044)=0,N(G1044)=0),"بدون مبلغ ⚠",IF(B1044&gt;12,"يتجاوز 12 بنداً في الطباعة ⚠","")))))</f>
        <v/>
      </c>
    </row>
    <row r="1045" customFormat="false" ht="15" hidden="false" customHeight="false" outlineLevel="0" collapsed="false">
      <c r="A1045" s="58"/>
      <c r="B1045" s="68" t="str">
        <f aca="false">IF(A1045="","",COUNTIF(A$5:A1045,A1045))</f>
        <v/>
      </c>
      <c r="C1045" s="68" t="str">
        <f aca="false">IF(A1045="","",A1045&amp;"-"&amp;B1045)</f>
        <v/>
      </c>
      <c r="D1045" s="58"/>
      <c r="E1045" s="57"/>
      <c r="F1045" s="69"/>
      <c r="G1045" s="69"/>
      <c r="H1045" s="70" t="str">
        <f aca="false">IF(A1045="","",IFERROR(INDEX(السندات!$C$5:$C$504,MATCH(A1045,السندات!$A$5:$A$504,0)),""))</f>
        <v/>
      </c>
      <c r="I1045" s="71" t="str">
        <f aca="false">IF(A1045="","",IFERROR(INDEX(السندات!$D$5:$D$504,MATCH(A1045,السندات!$A$5:$A$504,0)),""))</f>
        <v/>
      </c>
      <c r="J1045" s="72" t="str">
        <f aca="false">IF(A1045="","",IF(ISNA(MATCH(A1045,السندات!$A$5:$A$504,0)),"رقم سند غير موجود ✘",IF(AND(F1045&lt;&gt;"",G1045&lt;&gt;""),"اكتب مدين أو دائن فقط ✘",IF(AND(N(F1045)=0,N(G1045)=0),"بدون مبلغ ⚠",IF(B1045&gt;12,"يتجاوز 12 بنداً في الطباعة ⚠","")))))</f>
        <v/>
      </c>
    </row>
    <row r="1046" customFormat="false" ht="15" hidden="false" customHeight="false" outlineLevel="0" collapsed="false">
      <c r="A1046" s="58"/>
      <c r="B1046" s="73" t="str">
        <f aca="false">IF(A1046="","",COUNTIF(A$5:A1046,A1046))</f>
        <v/>
      </c>
      <c r="C1046" s="73" t="str">
        <f aca="false">IF(A1046="","",A1046&amp;"-"&amp;B1046)</f>
        <v/>
      </c>
      <c r="D1046" s="58"/>
      <c r="E1046" s="57"/>
      <c r="F1046" s="69"/>
      <c r="G1046" s="69"/>
      <c r="H1046" s="74" t="str">
        <f aca="false">IF(A1046="","",IFERROR(INDEX(السندات!$C$5:$C$504,MATCH(A1046,السندات!$A$5:$A$504,0)),""))</f>
        <v/>
      </c>
      <c r="I1046" s="75" t="str">
        <f aca="false">IF(A1046="","",IFERROR(INDEX(السندات!$D$5:$D$504,MATCH(A1046,السندات!$A$5:$A$504,0)),""))</f>
        <v/>
      </c>
      <c r="J1046" s="76" t="str">
        <f aca="false">IF(A1046="","",IF(ISNA(MATCH(A1046,السندات!$A$5:$A$504,0)),"رقم سند غير موجود ✘",IF(AND(F1046&lt;&gt;"",G1046&lt;&gt;""),"اكتب مدين أو دائن فقط ✘",IF(AND(N(F1046)=0,N(G1046)=0),"بدون مبلغ ⚠",IF(B1046&gt;12,"يتجاوز 12 بنداً في الطباعة ⚠","")))))</f>
        <v/>
      </c>
    </row>
    <row r="1047" customFormat="false" ht="15" hidden="false" customHeight="false" outlineLevel="0" collapsed="false">
      <c r="A1047" s="58"/>
      <c r="B1047" s="68" t="str">
        <f aca="false">IF(A1047="","",COUNTIF(A$5:A1047,A1047))</f>
        <v/>
      </c>
      <c r="C1047" s="68" t="str">
        <f aca="false">IF(A1047="","",A1047&amp;"-"&amp;B1047)</f>
        <v/>
      </c>
      <c r="D1047" s="58"/>
      <c r="E1047" s="57"/>
      <c r="F1047" s="69"/>
      <c r="G1047" s="69"/>
      <c r="H1047" s="70" t="str">
        <f aca="false">IF(A1047="","",IFERROR(INDEX(السندات!$C$5:$C$504,MATCH(A1047,السندات!$A$5:$A$504,0)),""))</f>
        <v/>
      </c>
      <c r="I1047" s="71" t="str">
        <f aca="false">IF(A1047="","",IFERROR(INDEX(السندات!$D$5:$D$504,MATCH(A1047,السندات!$A$5:$A$504,0)),""))</f>
        <v/>
      </c>
      <c r="J1047" s="72" t="str">
        <f aca="false">IF(A1047="","",IF(ISNA(MATCH(A1047,السندات!$A$5:$A$504,0)),"رقم سند غير موجود ✘",IF(AND(F1047&lt;&gt;"",G1047&lt;&gt;""),"اكتب مدين أو دائن فقط ✘",IF(AND(N(F1047)=0,N(G1047)=0),"بدون مبلغ ⚠",IF(B1047&gt;12,"يتجاوز 12 بنداً في الطباعة ⚠","")))))</f>
        <v/>
      </c>
    </row>
    <row r="1048" customFormat="false" ht="15" hidden="false" customHeight="false" outlineLevel="0" collapsed="false">
      <c r="A1048" s="58"/>
      <c r="B1048" s="73" t="str">
        <f aca="false">IF(A1048="","",COUNTIF(A$5:A1048,A1048))</f>
        <v/>
      </c>
      <c r="C1048" s="73" t="str">
        <f aca="false">IF(A1048="","",A1048&amp;"-"&amp;B1048)</f>
        <v/>
      </c>
      <c r="D1048" s="58"/>
      <c r="E1048" s="57"/>
      <c r="F1048" s="69"/>
      <c r="G1048" s="69"/>
      <c r="H1048" s="74" t="str">
        <f aca="false">IF(A1048="","",IFERROR(INDEX(السندات!$C$5:$C$504,MATCH(A1048,السندات!$A$5:$A$504,0)),""))</f>
        <v/>
      </c>
      <c r="I1048" s="75" t="str">
        <f aca="false">IF(A1048="","",IFERROR(INDEX(السندات!$D$5:$D$504,MATCH(A1048,السندات!$A$5:$A$504,0)),""))</f>
        <v/>
      </c>
      <c r="J1048" s="76" t="str">
        <f aca="false">IF(A1048="","",IF(ISNA(MATCH(A1048,السندات!$A$5:$A$504,0)),"رقم سند غير موجود ✘",IF(AND(F1048&lt;&gt;"",G1048&lt;&gt;""),"اكتب مدين أو دائن فقط ✘",IF(AND(N(F1048)=0,N(G1048)=0),"بدون مبلغ ⚠",IF(B1048&gt;12,"يتجاوز 12 بنداً في الطباعة ⚠","")))))</f>
        <v/>
      </c>
    </row>
    <row r="1049" customFormat="false" ht="15" hidden="false" customHeight="false" outlineLevel="0" collapsed="false">
      <c r="A1049" s="58"/>
      <c r="B1049" s="68" t="str">
        <f aca="false">IF(A1049="","",COUNTIF(A$5:A1049,A1049))</f>
        <v/>
      </c>
      <c r="C1049" s="68" t="str">
        <f aca="false">IF(A1049="","",A1049&amp;"-"&amp;B1049)</f>
        <v/>
      </c>
      <c r="D1049" s="58"/>
      <c r="E1049" s="57"/>
      <c r="F1049" s="69"/>
      <c r="G1049" s="69"/>
      <c r="H1049" s="70" t="str">
        <f aca="false">IF(A1049="","",IFERROR(INDEX(السندات!$C$5:$C$504,MATCH(A1049,السندات!$A$5:$A$504,0)),""))</f>
        <v/>
      </c>
      <c r="I1049" s="71" t="str">
        <f aca="false">IF(A1049="","",IFERROR(INDEX(السندات!$D$5:$D$504,MATCH(A1049,السندات!$A$5:$A$504,0)),""))</f>
        <v/>
      </c>
      <c r="J1049" s="72" t="str">
        <f aca="false">IF(A1049="","",IF(ISNA(MATCH(A1049,السندات!$A$5:$A$504,0)),"رقم سند غير موجود ✘",IF(AND(F1049&lt;&gt;"",G1049&lt;&gt;""),"اكتب مدين أو دائن فقط ✘",IF(AND(N(F1049)=0,N(G1049)=0),"بدون مبلغ ⚠",IF(B1049&gt;12,"يتجاوز 12 بنداً في الطباعة ⚠","")))))</f>
        <v/>
      </c>
    </row>
    <row r="1050" customFormat="false" ht="15" hidden="false" customHeight="false" outlineLevel="0" collapsed="false">
      <c r="A1050" s="58"/>
      <c r="B1050" s="73" t="str">
        <f aca="false">IF(A1050="","",COUNTIF(A$5:A1050,A1050))</f>
        <v/>
      </c>
      <c r="C1050" s="73" t="str">
        <f aca="false">IF(A1050="","",A1050&amp;"-"&amp;B1050)</f>
        <v/>
      </c>
      <c r="D1050" s="58"/>
      <c r="E1050" s="57"/>
      <c r="F1050" s="69"/>
      <c r="G1050" s="69"/>
      <c r="H1050" s="74" t="str">
        <f aca="false">IF(A1050="","",IFERROR(INDEX(السندات!$C$5:$C$504,MATCH(A1050,السندات!$A$5:$A$504,0)),""))</f>
        <v/>
      </c>
      <c r="I1050" s="75" t="str">
        <f aca="false">IF(A1050="","",IFERROR(INDEX(السندات!$D$5:$D$504,MATCH(A1050,السندات!$A$5:$A$504,0)),""))</f>
        <v/>
      </c>
      <c r="J1050" s="76" t="str">
        <f aca="false">IF(A1050="","",IF(ISNA(MATCH(A1050,السندات!$A$5:$A$504,0)),"رقم سند غير موجود ✘",IF(AND(F1050&lt;&gt;"",G1050&lt;&gt;""),"اكتب مدين أو دائن فقط ✘",IF(AND(N(F1050)=0,N(G1050)=0),"بدون مبلغ ⚠",IF(B1050&gt;12,"يتجاوز 12 بنداً في الطباعة ⚠","")))))</f>
        <v/>
      </c>
    </row>
    <row r="1051" customFormat="false" ht="15" hidden="false" customHeight="false" outlineLevel="0" collapsed="false">
      <c r="A1051" s="58"/>
      <c r="B1051" s="68" t="str">
        <f aca="false">IF(A1051="","",COUNTIF(A$5:A1051,A1051))</f>
        <v/>
      </c>
      <c r="C1051" s="68" t="str">
        <f aca="false">IF(A1051="","",A1051&amp;"-"&amp;B1051)</f>
        <v/>
      </c>
      <c r="D1051" s="58"/>
      <c r="E1051" s="57"/>
      <c r="F1051" s="69"/>
      <c r="G1051" s="69"/>
      <c r="H1051" s="70" t="str">
        <f aca="false">IF(A1051="","",IFERROR(INDEX(السندات!$C$5:$C$504,MATCH(A1051,السندات!$A$5:$A$504,0)),""))</f>
        <v/>
      </c>
      <c r="I1051" s="71" t="str">
        <f aca="false">IF(A1051="","",IFERROR(INDEX(السندات!$D$5:$D$504,MATCH(A1051,السندات!$A$5:$A$504,0)),""))</f>
        <v/>
      </c>
      <c r="J1051" s="72" t="str">
        <f aca="false">IF(A1051="","",IF(ISNA(MATCH(A1051,السندات!$A$5:$A$504,0)),"رقم سند غير موجود ✘",IF(AND(F1051&lt;&gt;"",G1051&lt;&gt;""),"اكتب مدين أو دائن فقط ✘",IF(AND(N(F1051)=0,N(G1051)=0),"بدون مبلغ ⚠",IF(B1051&gt;12,"يتجاوز 12 بنداً في الطباعة ⚠","")))))</f>
        <v/>
      </c>
    </row>
    <row r="1052" customFormat="false" ht="15" hidden="false" customHeight="false" outlineLevel="0" collapsed="false">
      <c r="A1052" s="58"/>
      <c r="B1052" s="73" t="str">
        <f aca="false">IF(A1052="","",COUNTIF(A$5:A1052,A1052))</f>
        <v/>
      </c>
      <c r="C1052" s="73" t="str">
        <f aca="false">IF(A1052="","",A1052&amp;"-"&amp;B1052)</f>
        <v/>
      </c>
      <c r="D1052" s="58"/>
      <c r="E1052" s="57"/>
      <c r="F1052" s="69"/>
      <c r="G1052" s="69"/>
      <c r="H1052" s="74" t="str">
        <f aca="false">IF(A1052="","",IFERROR(INDEX(السندات!$C$5:$C$504,MATCH(A1052,السندات!$A$5:$A$504,0)),""))</f>
        <v/>
      </c>
      <c r="I1052" s="75" t="str">
        <f aca="false">IF(A1052="","",IFERROR(INDEX(السندات!$D$5:$D$504,MATCH(A1052,السندات!$A$5:$A$504,0)),""))</f>
        <v/>
      </c>
      <c r="J1052" s="76" t="str">
        <f aca="false">IF(A1052="","",IF(ISNA(MATCH(A1052,السندات!$A$5:$A$504,0)),"رقم سند غير موجود ✘",IF(AND(F1052&lt;&gt;"",G1052&lt;&gt;""),"اكتب مدين أو دائن فقط ✘",IF(AND(N(F1052)=0,N(G1052)=0),"بدون مبلغ ⚠",IF(B1052&gt;12,"يتجاوز 12 بنداً في الطباعة ⚠","")))))</f>
        <v/>
      </c>
    </row>
    <row r="1053" customFormat="false" ht="15" hidden="false" customHeight="false" outlineLevel="0" collapsed="false">
      <c r="A1053" s="58"/>
      <c r="B1053" s="68" t="str">
        <f aca="false">IF(A1053="","",COUNTIF(A$5:A1053,A1053))</f>
        <v/>
      </c>
      <c r="C1053" s="68" t="str">
        <f aca="false">IF(A1053="","",A1053&amp;"-"&amp;B1053)</f>
        <v/>
      </c>
      <c r="D1053" s="58"/>
      <c r="E1053" s="57"/>
      <c r="F1053" s="69"/>
      <c r="G1053" s="69"/>
      <c r="H1053" s="70" t="str">
        <f aca="false">IF(A1053="","",IFERROR(INDEX(السندات!$C$5:$C$504,MATCH(A1053,السندات!$A$5:$A$504,0)),""))</f>
        <v/>
      </c>
      <c r="I1053" s="71" t="str">
        <f aca="false">IF(A1053="","",IFERROR(INDEX(السندات!$D$5:$D$504,MATCH(A1053,السندات!$A$5:$A$504,0)),""))</f>
        <v/>
      </c>
      <c r="J1053" s="72" t="str">
        <f aca="false">IF(A1053="","",IF(ISNA(MATCH(A1053,السندات!$A$5:$A$504,0)),"رقم سند غير موجود ✘",IF(AND(F1053&lt;&gt;"",G1053&lt;&gt;""),"اكتب مدين أو دائن فقط ✘",IF(AND(N(F1053)=0,N(G1053)=0),"بدون مبلغ ⚠",IF(B1053&gt;12,"يتجاوز 12 بنداً في الطباعة ⚠","")))))</f>
        <v/>
      </c>
    </row>
    <row r="1054" customFormat="false" ht="15" hidden="false" customHeight="false" outlineLevel="0" collapsed="false">
      <c r="A1054" s="58"/>
      <c r="B1054" s="73" t="str">
        <f aca="false">IF(A1054="","",COUNTIF(A$5:A1054,A1054))</f>
        <v/>
      </c>
      <c r="C1054" s="73" t="str">
        <f aca="false">IF(A1054="","",A1054&amp;"-"&amp;B1054)</f>
        <v/>
      </c>
      <c r="D1054" s="58"/>
      <c r="E1054" s="57"/>
      <c r="F1054" s="69"/>
      <c r="G1054" s="69"/>
      <c r="H1054" s="74" t="str">
        <f aca="false">IF(A1054="","",IFERROR(INDEX(السندات!$C$5:$C$504,MATCH(A1054,السندات!$A$5:$A$504,0)),""))</f>
        <v/>
      </c>
      <c r="I1054" s="75" t="str">
        <f aca="false">IF(A1054="","",IFERROR(INDEX(السندات!$D$5:$D$504,MATCH(A1054,السندات!$A$5:$A$504,0)),""))</f>
        <v/>
      </c>
      <c r="J1054" s="76" t="str">
        <f aca="false">IF(A1054="","",IF(ISNA(MATCH(A1054,السندات!$A$5:$A$504,0)),"رقم سند غير موجود ✘",IF(AND(F1054&lt;&gt;"",G1054&lt;&gt;""),"اكتب مدين أو دائن فقط ✘",IF(AND(N(F1054)=0,N(G1054)=0),"بدون مبلغ ⚠",IF(B1054&gt;12,"يتجاوز 12 بنداً في الطباعة ⚠","")))))</f>
        <v/>
      </c>
    </row>
    <row r="1055" customFormat="false" ht="15" hidden="false" customHeight="false" outlineLevel="0" collapsed="false">
      <c r="A1055" s="58"/>
      <c r="B1055" s="68" t="str">
        <f aca="false">IF(A1055="","",COUNTIF(A$5:A1055,A1055))</f>
        <v/>
      </c>
      <c r="C1055" s="68" t="str">
        <f aca="false">IF(A1055="","",A1055&amp;"-"&amp;B1055)</f>
        <v/>
      </c>
      <c r="D1055" s="58"/>
      <c r="E1055" s="57"/>
      <c r="F1055" s="69"/>
      <c r="G1055" s="69"/>
      <c r="H1055" s="70" t="str">
        <f aca="false">IF(A1055="","",IFERROR(INDEX(السندات!$C$5:$C$504,MATCH(A1055,السندات!$A$5:$A$504,0)),""))</f>
        <v/>
      </c>
      <c r="I1055" s="71" t="str">
        <f aca="false">IF(A1055="","",IFERROR(INDEX(السندات!$D$5:$D$504,MATCH(A1055,السندات!$A$5:$A$504,0)),""))</f>
        <v/>
      </c>
      <c r="J1055" s="72" t="str">
        <f aca="false">IF(A1055="","",IF(ISNA(MATCH(A1055,السندات!$A$5:$A$504,0)),"رقم سند غير موجود ✘",IF(AND(F1055&lt;&gt;"",G1055&lt;&gt;""),"اكتب مدين أو دائن فقط ✘",IF(AND(N(F1055)=0,N(G1055)=0),"بدون مبلغ ⚠",IF(B1055&gt;12,"يتجاوز 12 بنداً في الطباعة ⚠","")))))</f>
        <v/>
      </c>
    </row>
    <row r="1056" customFormat="false" ht="15" hidden="false" customHeight="false" outlineLevel="0" collapsed="false">
      <c r="A1056" s="58"/>
      <c r="B1056" s="73" t="str">
        <f aca="false">IF(A1056="","",COUNTIF(A$5:A1056,A1056))</f>
        <v/>
      </c>
      <c r="C1056" s="73" t="str">
        <f aca="false">IF(A1056="","",A1056&amp;"-"&amp;B1056)</f>
        <v/>
      </c>
      <c r="D1056" s="58"/>
      <c r="E1056" s="57"/>
      <c r="F1056" s="69"/>
      <c r="G1056" s="69"/>
      <c r="H1056" s="74" t="str">
        <f aca="false">IF(A1056="","",IFERROR(INDEX(السندات!$C$5:$C$504,MATCH(A1056,السندات!$A$5:$A$504,0)),""))</f>
        <v/>
      </c>
      <c r="I1056" s="75" t="str">
        <f aca="false">IF(A1056="","",IFERROR(INDEX(السندات!$D$5:$D$504,MATCH(A1056,السندات!$A$5:$A$504,0)),""))</f>
        <v/>
      </c>
      <c r="J1056" s="76" t="str">
        <f aca="false">IF(A1056="","",IF(ISNA(MATCH(A1056,السندات!$A$5:$A$504,0)),"رقم سند غير موجود ✘",IF(AND(F1056&lt;&gt;"",G1056&lt;&gt;""),"اكتب مدين أو دائن فقط ✘",IF(AND(N(F1056)=0,N(G1056)=0),"بدون مبلغ ⚠",IF(B1056&gt;12,"يتجاوز 12 بنداً في الطباعة ⚠","")))))</f>
        <v/>
      </c>
    </row>
    <row r="1057" customFormat="false" ht="15" hidden="false" customHeight="false" outlineLevel="0" collapsed="false">
      <c r="A1057" s="58"/>
      <c r="B1057" s="68" t="str">
        <f aca="false">IF(A1057="","",COUNTIF(A$5:A1057,A1057))</f>
        <v/>
      </c>
      <c r="C1057" s="68" t="str">
        <f aca="false">IF(A1057="","",A1057&amp;"-"&amp;B1057)</f>
        <v/>
      </c>
      <c r="D1057" s="58"/>
      <c r="E1057" s="57"/>
      <c r="F1057" s="69"/>
      <c r="G1057" s="69"/>
      <c r="H1057" s="70" t="str">
        <f aca="false">IF(A1057="","",IFERROR(INDEX(السندات!$C$5:$C$504,MATCH(A1057,السندات!$A$5:$A$504,0)),""))</f>
        <v/>
      </c>
      <c r="I1057" s="71" t="str">
        <f aca="false">IF(A1057="","",IFERROR(INDEX(السندات!$D$5:$D$504,MATCH(A1057,السندات!$A$5:$A$504,0)),""))</f>
        <v/>
      </c>
      <c r="J1057" s="72" t="str">
        <f aca="false">IF(A1057="","",IF(ISNA(MATCH(A1057,السندات!$A$5:$A$504,0)),"رقم سند غير موجود ✘",IF(AND(F1057&lt;&gt;"",G1057&lt;&gt;""),"اكتب مدين أو دائن فقط ✘",IF(AND(N(F1057)=0,N(G1057)=0),"بدون مبلغ ⚠",IF(B1057&gt;12,"يتجاوز 12 بنداً في الطباعة ⚠","")))))</f>
        <v/>
      </c>
    </row>
    <row r="1058" customFormat="false" ht="15" hidden="false" customHeight="false" outlineLevel="0" collapsed="false">
      <c r="A1058" s="58"/>
      <c r="B1058" s="73" t="str">
        <f aca="false">IF(A1058="","",COUNTIF(A$5:A1058,A1058))</f>
        <v/>
      </c>
      <c r="C1058" s="73" t="str">
        <f aca="false">IF(A1058="","",A1058&amp;"-"&amp;B1058)</f>
        <v/>
      </c>
      <c r="D1058" s="58"/>
      <c r="E1058" s="57"/>
      <c r="F1058" s="69"/>
      <c r="G1058" s="69"/>
      <c r="H1058" s="74" t="str">
        <f aca="false">IF(A1058="","",IFERROR(INDEX(السندات!$C$5:$C$504,MATCH(A1058,السندات!$A$5:$A$504,0)),""))</f>
        <v/>
      </c>
      <c r="I1058" s="75" t="str">
        <f aca="false">IF(A1058="","",IFERROR(INDEX(السندات!$D$5:$D$504,MATCH(A1058,السندات!$A$5:$A$504,0)),""))</f>
        <v/>
      </c>
      <c r="J1058" s="76" t="str">
        <f aca="false">IF(A1058="","",IF(ISNA(MATCH(A1058,السندات!$A$5:$A$504,0)),"رقم سند غير موجود ✘",IF(AND(F1058&lt;&gt;"",G1058&lt;&gt;""),"اكتب مدين أو دائن فقط ✘",IF(AND(N(F1058)=0,N(G1058)=0),"بدون مبلغ ⚠",IF(B1058&gt;12,"يتجاوز 12 بنداً في الطباعة ⚠","")))))</f>
        <v/>
      </c>
    </row>
    <row r="1059" customFormat="false" ht="15" hidden="false" customHeight="false" outlineLevel="0" collapsed="false">
      <c r="A1059" s="58"/>
      <c r="B1059" s="68" t="str">
        <f aca="false">IF(A1059="","",COUNTIF(A$5:A1059,A1059))</f>
        <v/>
      </c>
      <c r="C1059" s="68" t="str">
        <f aca="false">IF(A1059="","",A1059&amp;"-"&amp;B1059)</f>
        <v/>
      </c>
      <c r="D1059" s="58"/>
      <c r="E1059" s="57"/>
      <c r="F1059" s="69"/>
      <c r="G1059" s="69"/>
      <c r="H1059" s="70" t="str">
        <f aca="false">IF(A1059="","",IFERROR(INDEX(السندات!$C$5:$C$504,MATCH(A1059,السندات!$A$5:$A$504,0)),""))</f>
        <v/>
      </c>
      <c r="I1059" s="71" t="str">
        <f aca="false">IF(A1059="","",IFERROR(INDEX(السندات!$D$5:$D$504,MATCH(A1059,السندات!$A$5:$A$504,0)),""))</f>
        <v/>
      </c>
      <c r="J1059" s="72" t="str">
        <f aca="false">IF(A1059="","",IF(ISNA(MATCH(A1059,السندات!$A$5:$A$504,0)),"رقم سند غير موجود ✘",IF(AND(F1059&lt;&gt;"",G1059&lt;&gt;""),"اكتب مدين أو دائن فقط ✘",IF(AND(N(F1059)=0,N(G1059)=0),"بدون مبلغ ⚠",IF(B1059&gt;12,"يتجاوز 12 بنداً في الطباعة ⚠","")))))</f>
        <v/>
      </c>
    </row>
    <row r="1060" customFormat="false" ht="15" hidden="false" customHeight="false" outlineLevel="0" collapsed="false">
      <c r="A1060" s="58"/>
      <c r="B1060" s="73" t="str">
        <f aca="false">IF(A1060="","",COUNTIF(A$5:A1060,A1060))</f>
        <v/>
      </c>
      <c r="C1060" s="73" t="str">
        <f aca="false">IF(A1060="","",A1060&amp;"-"&amp;B1060)</f>
        <v/>
      </c>
      <c r="D1060" s="58"/>
      <c r="E1060" s="57"/>
      <c r="F1060" s="69"/>
      <c r="G1060" s="69"/>
      <c r="H1060" s="74" t="str">
        <f aca="false">IF(A1060="","",IFERROR(INDEX(السندات!$C$5:$C$504,MATCH(A1060,السندات!$A$5:$A$504,0)),""))</f>
        <v/>
      </c>
      <c r="I1060" s="75" t="str">
        <f aca="false">IF(A1060="","",IFERROR(INDEX(السندات!$D$5:$D$504,MATCH(A1060,السندات!$A$5:$A$504,0)),""))</f>
        <v/>
      </c>
      <c r="J1060" s="76" t="str">
        <f aca="false">IF(A1060="","",IF(ISNA(MATCH(A1060,السندات!$A$5:$A$504,0)),"رقم سند غير موجود ✘",IF(AND(F1060&lt;&gt;"",G1060&lt;&gt;""),"اكتب مدين أو دائن فقط ✘",IF(AND(N(F1060)=0,N(G1060)=0),"بدون مبلغ ⚠",IF(B1060&gt;12,"يتجاوز 12 بنداً في الطباعة ⚠","")))))</f>
        <v/>
      </c>
    </row>
    <row r="1061" customFormat="false" ht="15" hidden="false" customHeight="false" outlineLevel="0" collapsed="false">
      <c r="A1061" s="58"/>
      <c r="B1061" s="68" t="str">
        <f aca="false">IF(A1061="","",COUNTIF(A$5:A1061,A1061))</f>
        <v/>
      </c>
      <c r="C1061" s="68" t="str">
        <f aca="false">IF(A1061="","",A1061&amp;"-"&amp;B1061)</f>
        <v/>
      </c>
      <c r="D1061" s="58"/>
      <c r="E1061" s="57"/>
      <c r="F1061" s="69"/>
      <c r="G1061" s="69"/>
      <c r="H1061" s="70" t="str">
        <f aca="false">IF(A1061="","",IFERROR(INDEX(السندات!$C$5:$C$504,MATCH(A1061,السندات!$A$5:$A$504,0)),""))</f>
        <v/>
      </c>
      <c r="I1061" s="71" t="str">
        <f aca="false">IF(A1061="","",IFERROR(INDEX(السندات!$D$5:$D$504,MATCH(A1061,السندات!$A$5:$A$504,0)),""))</f>
        <v/>
      </c>
      <c r="J1061" s="72" t="str">
        <f aca="false">IF(A1061="","",IF(ISNA(MATCH(A1061,السندات!$A$5:$A$504,0)),"رقم سند غير موجود ✘",IF(AND(F1061&lt;&gt;"",G1061&lt;&gt;""),"اكتب مدين أو دائن فقط ✘",IF(AND(N(F1061)=0,N(G1061)=0),"بدون مبلغ ⚠",IF(B1061&gt;12,"يتجاوز 12 بنداً في الطباعة ⚠","")))))</f>
        <v/>
      </c>
    </row>
    <row r="1062" customFormat="false" ht="15" hidden="false" customHeight="false" outlineLevel="0" collapsed="false">
      <c r="A1062" s="58"/>
      <c r="B1062" s="73" t="str">
        <f aca="false">IF(A1062="","",COUNTIF(A$5:A1062,A1062))</f>
        <v/>
      </c>
      <c r="C1062" s="73" t="str">
        <f aca="false">IF(A1062="","",A1062&amp;"-"&amp;B1062)</f>
        <v/>
      </c>
      <c r="D1062" s="58"/>
      <c r="E1062" s="57"/>
      <c r="F1062" s="69"/>
      <c r="G1062" s="69"/>
      <c r="H1062" s="74" t="str">
        <f aca="false">IF(A1062="","",IFERROR(INDEX(السندات!$C$5:$C$504,MATCH(A1062,السندات!$A$5:$A$504,0)),""))</f>
        <v/>
      </c>
      <c r="I1062" s="75" t="str">
        <f aca="false">IF(A1062="","",IFERROR(INDEX(السندات!$D$5:$D$504,MATCH(A1062,السندات!$A$5:$A$504,0)),""))</f>
        <v/>
      </c>
      <c r="J1062" s="76" t="str">
        <f aca="false">IF(A1062="","",IF(ISNA(MATCH(A1062,السندات!$A$5:$A$504,0)),"رقم سند غير موجود ✘",IF(AND(F1062&lt;&gt;"",G1062&lt;&gt;""),"اكتب مدين أو دائن فقط ✘",IF(AND(N(F1062)=0,N(G1062)=0),"بدون مبلغ ⚠",IF(B1062&gt;12,"يتجاوز 12 بنداً في الطباعة ⚠","")))))</f>
        <v/>
      </c>
    </row>
    <row r="1063" customFormat="false" ht="15" hidden="false" customHeight="false" outlineLevel="0" collapsed="false">
      <c r="A1063" s="58"/>
      <c r="B1063" s="68" t="str">
        <f aca="false">IF(A1063="","",COUNTIF(A$5:A1063,A1063))</f>
        <v/>
      </c>
      <c r="C1063" s="68" t="str">
        <f aca="false">IF(A1063="","",A1063&amp;"-"&amp;B1063)</f>
        <v/>
      </c>
      <c r="D1063" s="58"/>
      <c r="E1063" s="57"/>
      <c r="F1063" s="69"/>
      <c r="G1063" s="69"/>
      <c r="H1063" s="70" t="str">
        <f aca="false">IF(A1063="","",IFERROR(INDEX(السندات!$C$5:$C$504,MATCH(A1063,السندات!$A$5:$A$504,0)),""))</f>
        <v/>
      </c>
      <c r="I1063" s="71" t="str">
        <f aca="false">IF(A1063="","",IFERROR(INDEX(السندات!$D$5:$D$504,MATCH(A1063,السندات!$A$5:$A$504,0)),""))</f>
        <v/>
      </c>
      <c r="J1063" s="72" t="str">
        <f aca="false">IF(A1063="","",IF(ISNA(MATCH(A1063,السندات!$A$5:$A$504,0)),"رقم سند غير موجود ✘",IF(AND(F1063&lt;&gt;"",G1063&lt;&gt;""),"اكتب مدين أو دائن فقط ✘",IF(AND(N(F1063)=0,N(G1063)=0),"بدون مبلغ ⚠",IF(B1063&gt;12,"يتجاوز 12 بنداً في الطباعة ⚠","")))))</f>
        <v/>
      </c>
    </row>
    <row r="1064" customFormat="false" ht="15" hidden="false" customHeight="false" outlineLevel="0" collapsed="false">
      <c r="A1064" s="58"/>
      <c r="B1064" s="73" t="str">
        <f aca="false">IF(A1064="","",COUNTIF(A$5:A1064,A1064))</f>
        <v/>
      </c>
      <c r="C1064" s="73" t="str">
        <f aca="false">IF(A1064="","",A1064&amp;"-"&amp;B1064)</f>
        <v/>
      </c>
      <c r="D1064" s="58"/>
      <c r="E1064" s="57"/>
      <c r="F1064" s="69"/>
      <c r="G1064" s="69"/>
      <c r="H1064" s="74" t="str">
        <f aca="false">IF(A1064="","",IFERROR(INDEX(السندات!$C$5:$C$504,MATCH(A1064,السندات!$A$5:$A$504,0)),""))</f>
        <v/>
      </c>
      <c r="I1064" s="75" t="str">
        <f aca="false">IF(A1064="","",IFERROR(INDEX(السندات!$D$5:$D$504,MATCH(A1064,السندات!$A$5:$A$504,0)),""))</f>
        <v/>
      </c>
      <c r="J1064" s="76" t="str">
        <f aca="false">IF(A1064="","",IF(ISNA(MATCH(A1064,السندات!$A$5:$A$504,0)),"رقم سند غير موجود ✘",IF(AND(F1064&lt;&gt;"",G1064&lt;&gt;""),"اكتب مدين أو دائن فقط ✘",IF(AND(N(F1064)=0,N(G1064)=0),"بدون مبلغ ⚠",IF(B1064&gt;12,"يتجاوز 12 بنداً في الطباعة ⚠","")))))</f>
        <v/>
      </c>
    </row>
    <row r="1065" customFormat="false" ht="15" hidden="false" customHeight="false" outlineLevel="0" collapsed="false">
      <c r="A1065" s="58"/>
      <c r="B1065" s="68" t="str">
        <f aca="false">IF(A1065="","",COUNTIF(A$5:A1065,A1065))</f>
        <v/>
      </c>
      <c r="C1065" s="68" t="str">
        <f aca="false">IF(A1065="","",A1065&amp;"-"&amp;B1065)</f>
        <v/>
      </c>
      <c r="D1065" s="58"/>
      <c r="E1065" s="57"/>
      <c r="F1065" s="69"/>
      <c r="G1065" s="69"/>
      <c r="H1065" s="70" t="str">
        <f aca="false">IF(A1065="","",IFERROR(INDEX(السندات!$C$5:$C$504,MATCH(A1065,السندات!$A$5:$A$504,0)),""))</f>
        <v/>
      </c>
      <c r="I1065" s="71" t="str">
        <f aca="false">IF(A1065="","",IFERROR(INDEX(السندات!$D$5:$D$504,MATCH(A1065,السندات!$A$5:$A$504,0)),""))</f>
        <v/>
      </c>
      <c r="J1065" s="72" t="str">
        <f aca="false">IF(A1065="","",IF(ISNA(MATCH(A1065,السندات!$A$5:$A$504,0)),"رقم سند غير موجود ✘",IF(AND(F1065&lt;&gt;"",G1065&lt;&gt;""),"اكتب مدين أو دائن فقط ✘",IF(AND(N(F1065)=0,N(G1065)=0),"بدون مبلغ ⚠",IF(B1065&gt;12,"يتجاوز 12 بنداً في الطباعة ⚠","")))))</f>
        <v/>
      </c>
    </row>
    <row r="1066" customFormat="false" ht="15" hidden="false" customHeight="false" outlineLevel="0" collapsed="false">
      <c r="A1066" s="58"/>
      <c r="B1066" s="73" t="str">
        <f aca="false">IF(A1066="","",COUNTIF(A$5:A1066,A1066))</f>
        <v/>
      </c>
      <c r="C1066" s="73" t="str">
        <f aca="false">IF(A1066="","",A1066&amp;"-"&amp;B1066)</f>
        <v/>
      </c>
      <c r="D1066" s="58"/>
      <c r="E1066" s="57"/>
      <c r="F1066" s="69"/>
      <c r="G1066" s="69"/>
      <c r="H1066" s="74" t="str">
        <f aca="false">IF(A1066="","",IFERROR(INDEX(السندات!$C$5:$C$504,MATCH(A1066,السندات!$A$5:$A$504,0)),""))</f>
        <v/>
      </c>
      <c r="I1066" s="75" t="str">
        <f aca="false">IF(A1066="","",IFERROR(INDEX(السندات!$D$5:$D$504,MATCH(A1066,السندات!$A$5:$A$504,0)),""))</f>
        <v/>
      </c>
      <c r="J1066" s="76" t="str">
        <f aca="false">IF(A1066="","",IF(ISNA(MATCH(A1066,السندات!$A$5:$A$504,0)),"رقم سند غير موجود ✘",IF(AND(F1066&lt;&gt;"",G1066&lt;&gt;""),"اكتب مدين أو دائن فقط ✘",IF(AND(N(F1066)=0,N(G1066)=0),"بدون مبلغ ⚠",IF(B1066&gt;12,"يتجاوز 12 بنداً في الطباعة ⚠","")))))</f>
        <v/>
      </c>
    </row>
    <row r="1067" customFormat="false" ht="15" hidden="false" customHeight="false" outlineLevel="0" collapsed="false">
      <c r="A1067" s="58"/>
      <c r="B1067" s="68" t="str">
        <f aca="false">IF(A1067="","",COUNTIF(A$5:A1067,A1067))</f>
        <v/>
      </c>
      <c r="C1067" s="68" t="str">
        <f aca="false">IF(A1067="","",A1067&amp;"-"&amp;B1067)</f>
        <v/>
      </c>
      <c r="D1067" s="58"/>
      <c r="E1067" s="57"/>
      <c r="F1067" s="69"/>
      <c r="G1067" s="69"/>
      <c r="H1067" s="70" t="str">
        <f aca="false">IF(A1067="","",IFERROR(INDEX(السندات!$C$5:$C$504,MATCH(A1067,السندات!$A$5:$A$504,0)),""))</f>
        <v/>
      </c>
      <c r="I1067" s="71" t="str">
        <f aca="false">IF(A1067="","",IFERROR(INDEX(السندات!$D$5:$D$504,MATCH(A1067,السندات!$A$5:$A$504,0)),""))</f>
        <v/>
      </c>
      <c r="J1067" s="72" t="str">
        <f aca="false">IF(A1067="","",IF(ISNA(MATCH(A1067,السندات!$A$5:$A$504,0)),"رقم سند غير موجود ✘",IF(AND(F1067&lt;&gt;"",G1067&lt;&gt;""),"اكتب مدين أو دائن فقط ✘",IF(AND(N(F1067)=0,N(G1067)=0),"بدون مبلغ ⚠",IF(B1067&gt;12,"يتجاوز 12 بنداً في الطباعة ⚠","")))))</f>
        <v/>
      </c>
    </row>
    <row r="1068" customFormat="false" ht="15" hidden="false" customHeight="false" outlineLevel="0" collapsed="false">
      <c r="A1068" s="58"/>
      <c r="B1068" s="73" t="str">
        <f aca="false">IF(A1068="","",COUNTIF(A$5:A1068,A1068))</f>
        <v/>
      </c>
      <c r="C1068" s="73" t="str">
        <f aca="false">IF(A1068="","",A1068&amp;"-"&amp;B1068)</f>
        <v/>
      </c>
      <c r="D1068" s="58"/>
      <c r="E1068" s="57"/>
      <c r="F1068" s="69"/>
      <c r="G1068" s="69"/>
      <c r="H1068" s="74" t="str">
        <f aca="false">IF(A1068="","",IFERROR(INDEX(السندات!$C$5:$C$504,MATCH(A1068,السندات!$A$5:$A$504,0)),""))</f>
        <v/>
      </c>
      <c r="I1068" s="75" t="str">
        <f aca="false">IF(A1068="","",IFERROR(INDEX(السندات!$D$5:$D$504,MATCH(A1068,السندات!$A$5:$A$504,0)),""))</f>
        <v/>
      </c>
      <c r="J1068" s="76" t="str">
        <f aca="false">IF(A1068="","",IF(ISNA(MATCH(A1068,السندات!$A$5:$A$504,0)),"رقم سند غير موجود ✘",IF(AND(F1068&lt;&gt;"",G1068&lt;&gt;""),"اكتب مدين أو دائن فقط ✘",IF(AND(N(F1068)=0,N(G1068)=0),"بدون مبلغ ⚠",IF(B1068&gt;12,"يتجاوز 12 بنداً في الطباعة ⚠","")))))</f>
        <v/>
      </c>
    </row>
    <row r="1069" customFormat="false" ht="15" hidden="false" customHeight="false" outlineLevel="0" collapsed="false">
      <c r="A1069" s="58"/>
      <c r="B1069" s="68" t="str">
        <f aca="false">IF(A1069="","",COUNTIF(A$5:A1069,A1069))</f>
        <v/>
      </c>
      <c r="C1069" s="68" t="str">
        <f aca="false">IF(A1069="","",A1069&amp;"-"&amp;B1069)</f>
        <v/>
      </c>
      <c r="D1069" s="58"/>
      <c r="E1069" s="57"/>
      <c r="F1069" s="69"/>
      <c r="G1069" s="69"/>
      <c r="H1069" s="70" t="str">
        <f aca="false">IF(A1069="","",IFERROR(INDEX(السندات!$C$5:$C$504,MATCH(A1069,السندات!$A$5:$A$504,0)),""))</f>
        <v/>
      </c>
      <c r="I1069" s="71" t="str">
        <f aca="false">IF(A1069="","",IFERROR(INDEX(السندات!$D$5:$D$504,MATCH(A1069,السندات!$A$5:$A$504,0)),""))</f>
        <v/>
      </c>
      <c r="J1069" s="72" t="str">
        <f aca="false">IF(A1069="","",IF(ISNA(MATCH(A1069,السندات!$A$5:$A$504,0)),"رقم سند غير موجود ✘",IF(AND(F1069&lt;&gt;"",G1069&lt;&gt;""),"اكتب مدين أو دائن فقط ✘",IF(AND(N(F1069)=0,N(G1069)=0),"بدون مبلغ ⚠",IF(B1069&gt;12,"يتجاوز 12 بنداً في الطباعة ⚠","")))))</f>
        <v/>
      </c>
    </row>
    <row r="1070" customFormat="false" ht="15" hidden="false" customHeight="false" outlineLevel="0" collapsed="false">
      <c r="A1070" s="58"/>
      <c r="B1070" s="73" t="str">
        <f aca="false">IF(A1070="","",COUNTIF(A$5:A1070,A1070))</f>
        <v/>
      </c>
      <c r="C1070" s="73" t="str">
        <f aca="false">IF(A1070="","",A1070&amp;"-"&amp;B1070)</f>
        <v/>
      </c>
      <c r="D1070" s="58"/>
      <c r="E1070" s="57"/>
      <c r="F1070" s="69"/>
      <c r="G1070" s="69"/>
      <c r="H1070" s="74" t="str">
        <f aca="false">IF(A1070="","",IFERROR(INDEX(السندات!$C$5:$C$504,MATCH(A1070,السندات!$A$5:$A$504,0)),""))</f>
        <v/>
      </c>
      <c r="I1070" s="75" t="str">
        <f aca="false">IF(A1070="","",IFERROR(INDEX(السندات!$D$5:$D$504,MATCH(A1070,السندات!$A$5:$A$504,0)),""))</f>
        <v/>
      </c>
      <c r="J1070" s="76" t="str">
        <f aca="false">IF(A1070="","",IF(ISNA(MATCH(A1070,السندات!$A$5:$A$504,0)),"رقم سند غير موجود ✘",IF(AND(F1070&lt;&gt;"",G1070&lt;&gt;""),"اكتب مدين أو دائن فقط ✘",IF(AND(N(F1070)=0,N(G1070)=0),"بدون مبلغ ⚠",IF(B1070&gt;12,"يتجاوز 12 بنداً في الطباعة ⚠","")))))</f>
        <v/>
      </c>
    </row>
    <row r="1071" customFormat="false" ht="15" hidden="false" customHeight="false" outlineLevel="0" collapsed="false">
      <c r="A1071" s="58"/>
      <c r="B1071" s="68" t="str">
        <f aca="false">IF(A1071="","",COUNTIF(A$5:A1071,A1071))</f>
        <v/>
      </c>
      <c r="C1071" s="68" t="str">
        <f aca="false">IF(A1071="","",A1071&amp;"-"&amp;B1071)</f>
        <v/>
      </c>
      <c r="D1071" s="58"/>
      <c r="E1071" s="57"/>
      <c r="F1071" s="69"/>
      <c r="G1071" s="69"/>
      <c r="H1071" s="70" t="str">
        <f aca="false">IF(A1071="","",IFERROR(INDEX(السندات!$C$5:$C$504,MATCH(A1071,السندات!$A$5:$A$504,0)),""))</f>
        <v/>
      </c>
      <c r="I1071" s="71" t="str">
        <f aca="false">IF(A1071="","",IFERROR(INDEX(السندات!$D$5:$D$504,MATCH(A1071,السندات!$A$5:$A$504,0)),""))</f>
        <v/>
      </c>
      <c r="J1071" s="72" t="str">
        <f aca="false">IF(A1071="","",IF(ISNA(MATCH(A1071,السندات!$A$5:$A$504,0)),"رقم سند غير موجود ✘",IF(AND(F1071&lt;&gt;"",G1071&lt;&gt;""),"اكتب مدين أو دائن فقط ✘",IF(AND(N(F1071)=0,N(G1071)=0),"بدون مبلغ ⚠",IF(B1071&gt;12,"يتجاوز 12 بنداً في الطباعة ⚠","")))))</f>
        <v/>
      </c>
    </row>
    <row r="1072" customFormat="false" ht="15" hidden="false" customHeight="false" outlineLevel="0" collapsed="false">
      <c r="A1072" s="58"/>
      <c r="B1072" s="73" t="str">
        <f aca="false">IF(A1072="","",COUNTIF(A$5:A1072,A1072))</f>
        <v/>
      </c>
      <c r="C1072" s="73" t="str">
        <f aca="false">IF(A1072="","",A1072&amp;"-"&amp;B1072)</f>
        <v/>
      </c>
      <c r="D1072" s="58"/>
      <c r="E1072" s="57"/>
      <c r="F1072" s="69"/>
      <c r="G1072" s="69"/>
      <c r="H1072" s="74" t="str">
        <f aca="false">IF(A1072="","",IFERROR(INDEX(السندات!$C$5:$C$504,MATCH(A1072,السندات!$A$5:$A$504,0)),""))</f>
        <v/>
      </c>
      <c r="I1072" s="75" t="str">
        <f aca="false">IF(A1072="","",IFERROR(INDEX(السندات!$D$5:$D$504,MATCH(A1072,السندات!$A$5:$A$504,0)),""))</f>
        <v/>
      </c>
      <c r="J1072" s="76" t="str">
        <f aca="false">IF(A1072="","",IF(ISNA(MATCH(A1072,السندات!$A$5:$A$504,0)),"رقم سند غير موجود ✘",IF(AND(F1072&lt;&gt;"",G1072&lt;&gt;""),"اكتب مدين أو دائن فقط ✘",IF(AND(N(F1072)=0,N(G1072)=0),"بدون مبلغ ⚠",IF(B1072&gt;12,"يتجاوز 12 بنداً في الطباعة ⚠","")))))</f>
        <v/>
      </c>
    </row>
    <row r="1073" customFormat="false" ht="15" hidden="false" customHeight="false" outlineLevel="0" collapsed="false">
      <c r="A1073" s="58"/>
      <c r="B1073" s="68" t="str">
        <f aca="false">IF(A1073="","",COUNTIF(A$5:A1073,A1073))</f>
        <v/>
      </c>
      <c r="C1073" s="68" t="str">
        <f aca="false">IF(A1073="","",A1073&amp;"-"&amp;B1073)</f>
        <v/>
      </c>
      <c r="D1073" s="58"/>
      <c r="E1073" s="57"/>
      <c r="F1073" s="69"/>
      <c r="G1073" s="69"/>
      <c r="H1073" s="70" t="str">
        <f aca="false">IF(A1073="","",IFERROR(INDEX(السندات!$C$5:$C$504,MATCH(A1073,السندات!$A$5:$A$504,0)),""))</f>
        <v/>
      </c>
      <c r="I1073" s="71" t="str">
        <f aca="false">IF(A1073="","",IFERROR(INDEX(السندات!$D$5:$D$504,MATCH(A1073,السندات!$A$5:$A$504,0)),""))</f>
        <v/>
      </c>
      <c r="J1073" s="72" t="str">
        <f aca="false">IF(A1073="","",IF(ISNA(MATCH(A1073,السندات!$A$5:$A$504,0)),"رقم سند غير موجود ✘",IF(AND(F1073&lt;&gt;"",G1073&lt;&gt;""),"اكتب مدين أو دائن فقط ✘",IF(AND(N(F1073)=0,N(G1073)=0),"بدون مبلغ ⚠",IF(B1073&gt;12,"يتجاوز 12 بنداً في الطباعة ⚠","")))))</f>
        <v/>
      </c>
    </row>
    <row r="1074" customFormat="false" ht="15" hidden="false" customHeight="false" outlineLevel="0" collapsed="false">
      <c r="A1074" s="58"/>
      <c r="B1074" s="73" t="str">
        <f aca="false">IF(A1074="","",COUNTIF(A$5:A1074,A1074))</f>
        <v/>
      </c>
      <c r="C1074" s="73" t="str">
        <f aca="false">IF(A1074="","",A1074&amp;"-"&amp;B1074)</f>
        <v/>
      </c>
      <c r="D1074" s="58"/>
      <c r="E1074" s="57"/>
      <c r="F1074" s="69"/>
      <c r="G1074" s="69"/>
      <c r="H1074" s="74" t="str">
        <f aca="false">IF(A1074="","",IFERROR(INDEX(السندات!$C$5:$C$504,MATCH(A1074,السندات!$A$5:$A$504,0)),""))</f>
        <v/>
      </c>
      <c r="I1074" s="75" t="str">
        <f aca="false">IF(A1074="","",IFERROR(INDEX(السندات!$D$5:$D$504,MATCH(A1074,السندات!$A$5:$A$504,0)),""))</f>
        <v/>
      </c>
      <c r="J1074" s="76" t="str">
        <f aca="false">IF(A1074="","",IF(ISNA(MATCH(A1074,السندات!$A$5:$A$504,0)),"رقم سند غير موجود ✘",IF(AND(F1074&lt;&gt;"",G1074&lt;&gt;""),"اكتب مدين أو دائن فقط ✘",IF(AND(N(F1074)=0,N(G1074)=0),"بدون مبلغ ⚠",IF(B1074&gt;12,"يتجاوز 12 بنداً في الطباعة ⚠","")))))</f>
        <v/>
      </c>
    </row>
    <row r="1075" customFormat="false" ht="15" hidden="false" customHeight="false" outlineLevel="0" collapsed="false">
      <c r="A1075" s="58"/>
      <c r="B1075" s="68" t="str">
        <f aca="false">IF(A1075="","",COUNTIF(A$5:A1075,A1075))</f>
        <v/>
      </c>
      <c r="C1075" s="68" t="str">
        <f aca="false">IF(A1075="","",A1075&amp;"-"&amp;B1075)</f>
        <v/>
      </c>
      <c r="D1075" s="58"/>
      <c r="E1075" s="57"/>
      <c r="F1075" s="69"/>
      <c r="G1075" s="69"/>
      <c r="H1075" s="70" t="str">
        <f aca="false">IF(A1075="","",IFERROR(INDEX(السندات!$C$5:$C$504,MATCH(A1075,السندات!$A$5:$A$504,0)),""))</f>
        <v/>
      </c>
      <c r="I1075" s="71" t="str">
        <f aca="false">IF(A1075="","",IFERROR(INDEX(السندات!$D$5:$D$504,MATCH(A1075,السندات!$A$5:$A$504,0)),""))</f>
        <v/>
      </c>
      <c r="J1075" s="72" t="str">
        <f aca="false">IF(A1075="","",IF(ISNA(MATCH(A1075,السندات!$A$5:$A$504,0)),"رقم سند غير موجود ✘",IF(AND(F1075&lt;&gt;"",G1075&lt;&gt;""),"اكتب مدين أو دائن فقط ✘",IF(AND(N(F1075)=0,N(G1075)=0),"بدون مبلغ ⚠",IF(B1075&gt;12,"يتجاوز 12 بنداً في الطباعة ⚠","")))))</f>
        <v/>
      </c>
    </row>
    <row r="1076" customFormat="false" ht="15" hidden="false" customHeight="false" outlineLevel="0" collapsed="false">
      <c r="A1076" s="58"/>
      <c r="B1076" s="73" t="str">
        <f aca="false">IF(A1076="","",COUNTIF(A$5:A1076,A1076))</f>
        <v/>
      </c>
      <c r="C1076" s="73" t="str">
        <f aca="false">IF(A1076="","",A1076&amp;"-"&amp;B1076)</f>
        <v/>
      </c>
      <c r="D1076" s="58"/>
      <c r="E1076" s="57"/>
      <c r="F1076" s="69"/>
      <c r="G1076" s="69"/>
      <c r="H1076" s="74" t="str">
        <f aca="false">IF(A1076="","",IFERROR(INDEX(السندات!$C$5:$C$504,MATCH(A1076,السندات!$A$5:$A$504,0)),""))</f>
        <v/>
      </c>
      <c r="I1076" s="75" t="str">
        <f aca="false">IF(A1076="","",IFERROR(INDEX(السندات!$D$5:$D$504,MATCH(A1076,السندات!$A$5:$A$504,0)),""))</f>
        <v/>
      </c>
      <c r="J1076" s="76" t="str">
        <f aca="false">IF(A1076="","",IF(ISNA(MATCH(A1076,السندات!$A$5:$A$504,0)),"رقم سند غير موجود ✘",IF(AND(F1076&lt;&gt;"",G1076&lt;&gt;""),"اكتب مدين أو دائن فقط ✘",IF(AND(N(F1076)=0,N(G1076)=0),"بدون مبلغ ⚠",IF(B1076&gt;12,"يتجاوز 12 بنداً في الطباعة ⚠","")))))</f>
        <v/>
      </c>
    </row>
    <row r="1077" customFormat="false" ht="15" hidden="false" customHeight="false" outlineLevel="0" collapsed="false">
      <c r="A1077" s="58"/>
      <c r="B1077" s="68" t="str">
        <f aca="false">IF(A1077="","",COUNTIF(A$5:A1077,A1077))</f>
        <v/>
      </c>
      <c r="C1077" s="68" t="str">
        <f aca="false">IF(A1077="","",A1077&amp;"-"&amp;B1077)</f>
        <v/>
      </c>
      <c r="D1077" s="58"/>
      <c r="E1077" s="57"/>
      <c r="F1077" s="69"/>
      <c r="G1077" s="69"/>
      <c r="H1077" s="70" t="str">
        <f aca="false">IF(A1077="","",IFERROR(INDEX(السندات!$C$5:$C$504,MATCH(A1077,السندات!$A$5:$A$504,0)),""))</f>
        <v/>
      </c>
      <c r="I1077" s="71" t="str">
        <f aca="false">IF(A1077="","",IFERROR(INDEX(السندات!$D$5:$D$504,MATCH(A1077,السندات!$A$5:$A$504,0)),""))</f>
        <v/>
      </c>
      <c r="J1077" s="72" t="str">
        <f aca="false">IF(A1077="","",IF(ISNA(MATCH(A1077,السندات!$A$5:$A$504,0)),"رقم سند غير موجود ✘",IF(AND(F1077&lt;&gt;"",G1077&lt;&gt;""),"اكتب مدين أو دائن فقط ✘",IF(AND(N(F1077)=0,N(G1077)=0),"بدون مبلغ ⚠",IF(B1077&gt;12,"يتجاوز 12 بنداً في الطباعة ⚠","")))))</f>
        <v/>
      </c>
    </row>
    <row r="1078" customFormat="false" ht="15" hidden="false" customHeight="false" outlineLevel="0" collapsed="false">
      <c r="A1078" s="58"/>
      <c r="B1078" s="73" t="str">
        <f aca="false">IF(A1078="","",COUNTIF(A$5:A1078,A1078))</f>
        <v/>
      </c>
      <c r="C1078" s="73" t="str">
        <f aca="false">IF(A1078="","",A1078&amp;"-"&amp;B1078)</f>
        <v/>
      </c>
      <c r="D1078" s="58"/>
      <c r="E1078" s="57"/>
      <c r="F1078" s="69"/>
      <c r="G1078" s="69"/>
      <c r="H1078" s="74" t="str">
        <f aca="false">IF(A1078="","",IFERROR(INDEX(السندات!$C$5:$C$504,MATCH(A1078,السندات!$A$5:$A$504,0)),""))</f>
        <v/>
      </c>
      <c r="I1078" s="75" t="str">
        <f aca="false">IF(A1078="","",IFERROR(INDEX(السندات!$D$5:$D$504,MATCH(A1078,السندات!$A$5:$A$504,0)),""))</f>
        <v/>
      </c>
      <c r="J1078" s="76" t="str">
        <f aca="false">IF(A1078="","",IF(ISNA(MATCH(A1078,السندات!$A$5:$A$504,0)),"رقم سند غير موجود ✘",IF(AND(F1078&lt;&gt;"",G1078&lt;&gt;""),"اكتب مدين أو دائن فقط ✘",IF(AND(N(F1078)=0,N(G1078)=0),"بدون مبلغ ⚠",IF(B1078&gt;12,"يتجاوز 12 بنداً في الطباعة ⚠","")))))</f>
        <v/>
      </c>
    </row>
    <row r="1079" customFormat="false" ht="15" hidden="false" customHeight="false" outlineLevel="0" collapsed="false">
      <c r="A1079" s="58"/>
      <c r="B1079" s="68" t="str">
        <f aca="false">IF(A1079="","",COUNTIF(A$5:A1079,A1079))</f>
        <v/>
      </c>
      <c r="C1079" s="68" t="str">
        <f aca="false">IF(A1079="","",A1079&amp;"-"&amp;B1079)</f>
        <v/>
      </c>
      <c r="D1079" s="58"/>
      <c r="E1079" s="57"/>
      <c r="F1079" s="69"/>
      <c r="G1079" s="69"/>
      <c r="H1079" s="70" t="str">
        <f aca="false">IF(A1079="","",IFERROR(INDEX(السندات!$C$5:$C$504,MATCH(A1079,السندات!$A$5:$A$504,0)),""))</f>
        <v/>
      </c>
      <c r="I1079" s="71" t="str">
        <f aca="false">IF(A1079="","",IFERROR(INDEX(السندات!$D$5:$D$504,MATCH(A1079,السندات!$A$5:$A$504,0)),""))</f>
        <v/>
      </c>
      <c r="J1079" s="72" t="str">
        <f aca="false">IF(A1079="","",IF(ISNA(MATCH(A1079,السندات!$A$5:$A$504,0)),"رقم سند غير موجود ✘",IF(AND(F1079&lt;&gt;"",G1079&lt;&gt;""),"اكتب مدين أو دائن فقط ✘",IF(AND(N(F1079)=0,N(G1079)=0),"بدون مبلغ ⚠",IF(B1079&gt;12,"يتجاوز 12 بنداً في الطباعة ⚠","")))))</f>
        <v/>
      </c>
    </row>
    <row r="1080" customFormat="false" ht="15" hidden="false" customHeight="false" outlineLevel="0" collapsed="false">
      <c r="A1080" s="58"/>
      <c r="B1080" s="73" t="str">
        <f aca="false">IF(A1080="","",COUNTIF(A$5:A1080,A1080))</f>
        <v/>
      </c>
      <c r="C1080" s="73" t="str">
        <f aca="false">IF(A1080="","",A1080&amp;"-"&amp;B1080)</f>
        <v/>
      </c>
      <c r="D1080" s="58"/>
      <c r="E1080" s="57"/>
      <c r="F1080" s="69"/>
      <c r="G1080" s="69"/>
      <c r="H1080" s="74" t="str">
        <f aca="false">IF(A1080="","",IFERROR(INDEX(السندات!$C$5:$C$504,MATCH(A1080,السندات!$A$5:$A$504,0)),""))</f>
        <v/>
      </c>
      <c r="I1080" s="75" t="str">
        <f aca="false">IF(A1080="","",IFERROR(INDEX(السندات!$D$5:$D$504,MATCH(A1080,السندات!$A$5:$A$504,0)),""))</f>
        <v/>
      </c>
      <c r="J1080" s="76" t="str">
        <f aca="false">IF(A1080="","",IF(ISNA(MATCH(A1080,السندات!$A$5:$A$504,0)),"رقم سند غير موجود ✘",IF(AND(F1080&lt;&gt;"",G1080&lt;&gt;""),"اكتب مدين أو دائن فقط ✘",IF(AND(N(F1080)=0,N(G1080)=0),"بدون مبلغ ⚠",IF(B1080&gt;12,"يتجاوز 12 بنداً في الطباعة ⚠","")))))</f>
        <v/>
      </c>
    </row>
    <row r="1081" customFormat="false" ht="15" hidden="false" customHeight="false" outlineLevel="0" collapsed="false">
      <c r="A1081" s="58"/>
      <c r="B1081" s="68" t="str">
        <f aca="false">IF(A1081="","",COUNTIF(A$5:A1081,A1081))</f>
        <v/>
      </c>
      <c r="C1081" s="68" t="str">
        <f aca="false">IF(A1081="","",A1081&amp;"-"&amp;B1081)</f>
        <v/>
      </c>
      <c r="D1081" s="58"/>
      <c r="E1081" s="57"/>
      <c r="F1081" s="69"/>
      <c r="G1081" s="69"/>
      <c r="H1081" s="70" t="str">
        <f aca="false">IF(A1081="","",IFERROR(INDEX(السندات!$C$5:$C$504,MATCH(A1081,السندات!$A$5:$A$504,0)),""))</f>
        <v/>
      </c>
      <c r="I1081" s="71" t="str">
        <f aca="false">IF(A1081="","",IFERROR(INDEX(السندات!$D$5:$D$504,MATCH(A1081,السندات!$A$5:$A$504,0)),""))</f>
        <v/>
      </c>
      <c r="J1081" s="72" t="str">
        <f aca="false">IF(A1081="","",IF(ISNA(MATCH(A1081,السندات!$A$5:$A$504,0)),"رقم سند غير موجود ✘",IF(AND(F1081&lt;&gt;"",G1081&lt;&gt;""),"اكتب مدين أو دائن فقط ✘",IF(AND(N(F1081)=0,N(G1081)=0),"بدون مبلغ ⚠",IF(B1081&gt;12,"يتجاوز 12 بنداً في الطباعة ⚠","")))))</f>
        <v/>
      </c>
    </row>
    <row r="1082" customFormat="false" ht="15" hidden="false" customHeight="false" outlineLevel="0" collapsed="false">
      <c r="A1082" s="58"/>
      <c r="B1082" s="73" t="str">
        <f aca="false">IF(A1082="","",COUNTIF(A$5:A1082,A1082))</f>
        <v/>
      </c>
      <c r="C1082" s="73" t="str">
        <f aca="false">IF(A1082="","",A1082&amp;"-"&amp;B1082)</f>
        <v/>
      </c>
      <c r="D1082" s="58"/>
      <c r="E1082" s="57"/>
      <c r="F1082" s="69"/>
      <c r="G1082" s="69"/>
      <c r="H1082" s="74" t="str">
        <f aca="false">IF(A1082="","",IFERROR(INDEX(السندات!$C$5:$C$504,MATCH(A1082,السندات!$A$5:$A$504,0)),""))</f>
        <v/>
      </c>
      <c r="I1082" s="75" t="str">
        <f aca="false">IF(A1082="","",IFERROR(INDEX(السندات!$D$5:$D$504,MATCH(A1082,السندات!$A$5:$A$504,0)),""))</f>
        <v/>
      </c>
      <c r="J1082" s="76" t="str">
        <f aca="false">IF(A1082="","",IF(ISNA(MATCH(A1082,السندات!$A$5:$A$504,0)),"رقم سند غير موجود ✘",IF(AND(F1082&lt;&gt;"",G1082&lt;&gt;""),"اكتب مدين أو دائن فقط ✘",IF(AND(N(F1082)=0,N(G1082)=0),"بدون مبلغ ⚠",IF(B1082&gt;12,"يتجاوز 12 بنداً في الطباعة ⚠","")))))</f>
        <v/>
      </c>
    </row>
    <row r="1083" customFormat="false" ht="15" hidden="false" customHeight="false" outlineLevel="0" collapsed="false">
      <c r="A1083" s="58"/>
      <c r="B1083" s="68" t="str">
        <f aca="false">IF(A1083="","",COUNTIF(A$5:A1083,A1083))</f>
        <v/>
      </c>
      <c r="C1083" s="68" t="str">
        <f aca="false">IF(A1083="","",A1083&amp;"-"&amp;B1083)</f>
        <v/>
      </c>
      <c r="D1083" s="58"/>
      <c r="E1083" s="57"/>
      <c r="F1083" s="69"/>
      <c r="G1083" s="69"/>
      <c r="H1083" s="70" t="str">
        <f aca="false">IF(A1083="","",IFERROR(INDEX(السندات!$C$5:$C$504,MATCH(A1083,السندات!$A$5:$A$504,0)),""))</f>
        <v/>
      </c>
      <c r="I1083" s="71" t="str">
        <f aca="false">IF(A1083="","",IFERROR(INDEX(السندات!$D$5:$D$504,MATCH(A1083,السندات!$A$5:$A$504,0)),""))</f>
        <v/>
      </c>
      <c r="J1083" s="72" t="str">
        <f aca="false">IF(A1083="","",IF(ISNA(MATCH(A1083,السندات!$A$5:$A$504,0)),"رقم سند غير موجود ✘",IF(AND(F1083&lt;&gt;"",G1083&lt;&gt;""),"اكتب مدين أو دائن فقط ✘",IF(AND(N(F1083)=0,N(G1083)=0),"بدون مبلغ ⚠",IF(B1083&gt;12,"يتجاوز 12 بنداً في الطباعة ⚠","")))))</f>
        <v/>
      </c>
    </row>
    <row r="1084" customFormat="false" ht="15" hidden="false" customHeight="false" outlineLevel="0" collapsed="false">
      <c r="A1084" s="58"/>
      <c r="B1084" s="73" t="str">
        <f aca="false">IF(A1084="","",COUNTIF(A$5:A1084,A1084))</f>
        <v/>
      </c>
      <c r="C1084" s="73" t="str">
        <f aca="false">IF(A1084="","",A1084&amp;"-"&amp;B1084)</f>
        <v/>
      </c>
      <c r="D1084" s="58"/>
      <c r="E1084" s="57"/>
      <c r="F1084" s="69"/>
      <c r="G1084" s="69"/>
      <c r="H1084" s="74" t="str">
        <f aca="false">IF(A1084="","",IFERROR(INDEX(السندات!$C$5:$C$504,MATCH(A1084,السندات!$A$5:$A$504,0)),""))</f>
        <v/>
      </c>
      <c r="I1084" s="75" t="str">
        <f aca="false">IF(A1084="","",IFERROR(INDEX(السندات!$D$5:$D$504,MATCH(A1084,السندات!$A$5:$A$504,0)),""))</f>
        <v/>
      </c>
      <c r="J1084" s="76" t="str">
        <f aca="false">IF(A1084="","",IF(ISNA(MATCH(A1084,السندات!$A$5:$A$504,0)),"رقم سند غير موجود ✘",IF(AND(F1084&lt;&gt;"",G1084&lt;&gt;""),"اكتب مدين أو دائن فقط ✘",IF(AND(N(F1084)=0,N(G1084)=0),"بدون مبلغ ⚠",IF(B1084&gt;12,"يتجاوز 12 بنداً في الطباعة ⚠","")))))</f>
        <v/>
      </c>
    </row>
    <row r="1085" customFormat="false" ht="15" hidden="false" customHeight="false" outlineLevel="0" collapsed="false">
      <c r="A1085" s="58"/>
      <c r="B1085" s="68" t="str">
        <f aca="false">IF(A1085="","",COUNTIF(A$5:A1085,A1085))</f>
        <v/>
      </c>
      <c r="C1085" s="68" t="str">
        <f aca="false">IF(A1085="","",A1085&amp;"-"&amp;B1085)</f>
        <v/>
      </c>
      <c r="D1085" s="58"/>
      <c r="E1085" s="57"/>
      <c r="F1085" s="69"/>
      <c r="G1085" s="69"/>
      <c r="H1085" s="70" t="str">
        <f aca="false">IF(A1085="","",IFERROR(INDEX(السندات!$C$5:$C$504,MATCH(A1085,السندات!$A$5:$A$504,0)),""))</f>
        <v/>
      </c>
      <c r="I1085" s="71" t="str">
        <f aca="false">IF(A1085="","",IFERROR(INDEX(السندات!$D$5:$D$504,MATCH(A1085,السندات!$A$5:$A$504,0)),""))</f>
        <v/>
      </c>
      <c r="J1085" s="72" t="str">
        <f aca="false">IF(A1085="","",IF(ISNA(MATCH(A1085,السندات!$A$5:$A$504,0)),"رقم سند غير موجود ✘",IF(AND(F1085&lt;&gt;"",G1085&lt;&gt;""),"اكتب مدين أو دائن فقط ✘",IF(AND(N(F1085)=0,N(G1085)=0),"بدون مبلغ ⚠",IF(B1085&gt;12,"يتجاوز 12 بنداً في الطباعة ⚠","")))))</f>
        <v/>
      </c>
    </row>
    <row r="1086" customFormat="false" ht="15" hidden="false" customHeight="false" outlineLevel="0" collapsed="false">
      <c r="A1086" s="58"/>
      <c r="B1086" s="73" t="str">
        <f aca="false">IF(A1086="","",COUNTIF(A$5:A1086,A1086))</f>
        <v/>
      </c>
      <c r="C1086" s="73" t="str">
        <f aca="false">IF(A1086="","",A1086&amp;"-"&amp;B1086)</f>
        <v/>
      </c>
      <c r="D1086" s="58"/>
      <c r="E1086" s="57"/>
      <c r="F1086" s="69"/>
      <c r="G1086" s="69"/>
      <c r="H1086" s="74" t="str">
        <f aca="false">IF(A1086="","",IFERROR(INDEX(السندات!$C$5:$C$504,MATCH(A1086,السندات!$A$5:$A$504,0)),""))</f>
        <v/>
      </c>
      <c r="I1086" s="75" t="str">
        <f aca="false">IF(A1086="","",IFERROR(INDEX(السندات!$D$5:$D$504,MATCH(A1086,السندات!$A$5:$A$504,0)),""))</f>
        <v/>
      </c>
      <c r="J1086" s="76" t="str">
        <f aca="false">IF(A1086="","",IF(ISNA(MATCH(A1086,السندات!$A$5:$A$504,0)),"رقم سند غير موجود ✘",IF(AND(F1086&lt;&gt;"",G1086&lt;&gt;""),"اكتب مدين أو دائن فقط ✘",IF(AND(N(F1086)=0,N(G1086)=0),"بدون مبلغ ⚠",IF(B1086&gt;12,"يتجاوز 12 بنداً في الطباعة ⚠","")))))</f>
        <v/>
      </c>
    </row>
    <row r="1087" customFormat="false" ht="15" hidden="false" customHeight="false" outlineLevel="0" collapsed="false">
      <c r="A1087" s="58"/>
      <c r="B1087" s="68" t="str">
        <f aca="false">IF(A1087="","",COUNTIF(A$5:A1087,A1087))</f>
        <v/>
      </c>
      <c r="C1087" s="68" t="str">
        <f aca="false">IF(A1087="","",A1087&amp;"-"&amp;B1087)</f>
        <v/>
      </c>
      <c r="D1087" s="58"/>
      <c r="E1087" s="57"/>
      <c r="F1087" s="69"/>
      <c r="G1087" s="69"/>
      <c r="H1087" s="70" t="str">
        <f aca="false">IF(A1087="","",IFERROR(INDEX(السندات!$C$5:$C$504,MATCH(A1087,السندات!$A$5:$A$504,0)),""))</f>
        <v/>
      </c>
      <c r="I1087" s="71" t="str">
        <f aca="false">IF(A1087="","",IFERROR(INDEX(السندات!$D$5:$D$504,MATCH(A1087,السندات!$A$5:$A$504,0)),""))</f>
        <v/>
      </c>
      <c r="J1087" s="72" t="str">
        <f aca="false">IF(A1087="","",IF(ISNA(MATCH(A1087,السندات!$A$5:$A$504,0)),"رقم سند غير موجود ✘",IF(AND(F1087&lt;&gt;"",G1087&lt;&gt;""),"اكتب مدين أو دائن فقط ✘",IF(AND(N(F1087)=0,N(G1087)=0),"بدون مبلغ ⚠",IF(B1087&gt;12,"يتجاوز 12 بنداً في الطباعة ⚠","")))))</f>
        <v/>
      </c>
    </row>
    <row r="1088" customFormat="false" ht="15" hidden="false" customHeight="false" outlineLevel="0" collapsed="false">
      <c r="A1088" s="58"/>
      <c r="B1088" s="73" t="str">
        <f aca="false">IF(A1088="","",COUNTIF(A$5:A1088,A1088))</f>
        <v/>
      </c>
      <c r="C1088" s="73" t="str">
        <f aca="false">IF(A1088="","",A1088&amp;"-"&amp;B1088)</f>
        <v/>
      </c>
      <c r="D1088" s="58"/>
      <c r="E1088" s="57"/>
      <c r="F1088" s="69"/>
      <c r="G1088" s="69"/>
      <c r="H1088" s="74" t="str">
        <f aca="false">IF(A1088="","",IFERROR(INDEX(السندات!$C$5:$C$504,MATCH(A1088,السندات!$A$5:$A$504,0)),""))</f>
        <v/>
      </c>
      <c r="I1088" s="75" t="str">
        <f aca="false">IF(A1088="","",IFERROR(INDEX(السندات!$D$5:$D$504,MATCH(A1088,السندات!$A$5:$A$504,0)),""))</f>
        <v/>
      </c>
      <c r="J1088" s="76" t="str">
        <f aca="false">IF(A1088="","",IF(ISNA(MATCH(A1088,السندات!$A$5:$A$504,0)),"رقم سند غير موجود ✘",IF(AND(F1088&lt;&gt;"",G1088&lt;&gt;""),"اكتب مدين أو دائن فقط ✘",IF(AND(N(F1088)=0,N(G1088)=0),"بدون مبلغ ⚠",IF(B1088&gt;12,"يتجاوز 12 بنداً في الطباعة ⚠","")))))</f>
        <v/>
      </c>
    </row>
    <row r="1089" customFormat="false" ht="15" hidden="false" customHeight="false" outlineLevel="0" collapsed="false">
      <c r="A1089" s="58"/>
      <c r="B1089" s="68" t="str">
        <f aca="false">IF(A1089="","",COUNTIF(A$5:A1089,A1089))</f>
        <v/>
      </c>
      <c r="C1089" s="68" t="str">
        <f aca="false">IF(A1089="","",A1089&amp;"-"&amp;B1089)</f>
        <v/>
      </c>
      <c r="D1089" s="58"/>
      <c r="E1089" s="57"/>
      <c r="F1089" s="69"/>
      <c r="G1089" s="69"/>
      <c r="H1089" s="70" t="str">
        <f aca="false">IF(A1089="","",IFERROR(INDEX(السندات!$C$5:$C$504,MATCH(A1089,السندات!$A$5:$A$504,0)),""))</f>
        <v/>
      </c>
      <c r="I1089" s="71" t="str">
        <f aca="false">IF(A1089="","",IFERROR(INDEX(السندات!$D$5:$D$504,MATCH(A1089,السندات!$A$5:$A$504,0)),""))</f>
        <v/>
      </c>
      <c r="J1089" s="72" t="str">
        <f aca="false">IF(A1089="","",IF(ISNA(MATCH(A1089,السندات!$A$5:$A$504,0)),"رقم سند غير موجود ✘",IF(AND(F1089&lt;&gt;"",G1089&lt;&gt;""),"اكتب مدين أو دائن فقط ✘",IF(AND(N(F1089)=0,N(G1089)=0),"بدون مبلغ ⚠",IF(B1089&gt;12,"يتجاوز 12 بنداً في الطباعة ⚠","")))))</f>
        <v/>
      </c>
    </row>
    <row r="1090" customFormat="false" ht="15" hidden="false" customHeight="false" outlineLevel="0" collapsed="false">
      <c r="A1090" s="58"/>
      <c r="B1090" s="73" t="str">
        <f aca="false">IF(A1090="","",COUNTIF(A$5:A1090,A1090))</f>
        <v/>
      </c>
      <c r="C1090" s="73" t="str">
        <f aca="false">IF(A1090="","",A1090&amp;"-"&amp;B1090)</f>
        <v/>
      </c>
      <c r="D1090" s="58"/>
      <c r="E1090" s="57"/>
      <c r="F1090" s="69"/>
      <c r="G1090" s="69"/>
      <c r="H1090" s="74" t="str">
        <f aca="false">IF(A1090="","",IFERROR(INDEX(السندات!$C$5:$C$504,MATCH(A1090,السندات!$A$5:$A$504,0)),""))</f>
        <v/>
      </c>
      <c r="I1090" s="75" t="str">
        <f aca="false">IF(A1090="","",IFERROR(INDEX(السندات!$D$5:$D$504,MATCH(A1090,السندات!$A$5:$A$504,0)),""))</f>
        <v/>
      </c>
      <c r="J1090" s="76" t="str">
        <f aca="false">IF(A1090="","",IF(ISNA(MATCH(A1090,السندات!$A$5:$A$504,0)),"رقم سند غير موجود ✘",IF(AND(F1090&lt;&gt;"",G1090&lt;&gt;""),"اكتب مدين أو دائن فقط ✘",IF(AND(N(F1090)=0,N(G1090)=0),"بدون مبلغ ⚠",IF(B1090&gt;12,"يتجاوز 12 بنداً في الطباعة ⚠","")))))</f>
        <v/>
      </c>
    </row>
    <row r="1091" customFormat="false" ht="15" hidden="false" customHeight="false" outlineLevel="0" collapsed="false">
      <c r="A1091" s="58"/>
      <c r="B1091" s="68" t="str">
        <f aca="false">IF(A1091="","",COUNTIF(A$5:A1091,A1091))</f>
        <v/>
      </c>
      <c r="C1091" s="68" t="str">
        <f aca="false">IF(A1091="","",A1091&amp;"-"&amp;B1091)</f>
        <v/>
      </c>
      <c r="D1091" s="58"/>
      <c r="E1091" s="57"/>
      <c r="F1091" s="69"/>
      <c r="G1091" s="69"/>
      <c r="H1091" s="70" t="str">
        <f aca="false">IF(A1091="","",IFERROR(INDEX(السندات!$C$5:$C$504,MATCH(A1091,السندات!$A$5:$A$504,0)),""))</f>
        <v/>
      </c>
      <c r="I1091" s="71" t="str">
        <f aca="false">IF(A1091="","",IFERROR(INDEX(السندات!$D$5:$D$504,MATCH(A1091,السندات!$A$5:$A$504,0)),""))</f>
        <v/>
      </c>
      <c r="J1091" s="72" t="str">
        <f aca="false">IF(A1091="","",IF(ISNA(MATCH(A1091,السندات!$A$5:$A$504,0)),"رقم سند غير موجود ✘",IF(AND(F1091&lt;&gt;"",G1091&lt;&gt;""),"اكتب مدين أو دائن فقط ✘",IF(AND(N(F1091)=0,N(G1091)=0),"بدون مبلغ ⚠",IF(B1091&gt;12,"يتجاوز 12 بنداً في الطباعة ⚠","")))))</f>
        <v/>
      </c>
    </row>
    <row r="1092" customFormat="false" ht="15" hidden="false" customHeight="false" outlineLevel="0" collapsed="false">
      <c r="A1092" s="58"/>
      <c r="B1092" s="73" t="str">
        <f aca="false">IF(A1092="","",COUNTIF(A$5:A1092,A1092))</f>
        <v/>
      </c>
      <c r="C1092" s="73" t="str">
        <f aca="false">IF(A1092="","",A1092&amp;"-"&amp;B1092)</f>
        <v/>
      </c>
      <c r="D1092" s="58"/>
      <c r="E1092" s="57"/>
      <c r="F1092" s="69"/>
      <c r="G1092" s="69"/>
      <c r="H1092" s="74" t="str">
        <f aca="false">IF(A1092="","",IFERROR(INDEX(السندات!$C$5:$C$504,MATCH(A1092,السندات!$A$5:$A$504,0)),""))</f>
        <v/>
      </c>
      <c r="I1092" s="75" t="str">
        <f aca="false">IF(A1092="","",IFERROR(INDEX(السندات!$D$5:$D$504,MATCH(A1092,السندات!$A$5:$A$504,0)),""))</f>
        <v/>
      </c>
      <c r="J1092" s="76" t="str">
        <f aca="false">IF(A1092="","",IF(ISNA(MATCH(A1092,السندات!$A$5:$A$504,0)),"رقم سند غير موجود ✘",IF(AND(F1092&lt;&gt;"",G1092&lt;&gt;""),"اكتب مدين أو دائن فقط ✘",IF(AND(N(F1092)=0,N(G1092)=0),"بدون مبلغ ⚠",IF(B1092&gt;12,"يتجاوز 12 بنداً في الطباعة ⚠","")))))</f>
        <v/>
      </c>
    </row>
    <row r="1093" customFormat="false" ht="15" hidden="false" customHeight="false" outlineLevel="0" collapsed="false">
      <c r="A1093" s="58"/>
      <c r="B1093" s="68" t="str">
        <f aca="false">IF(A1093="","",COUNTIF(A$5:A1093,A1093))</f>
        <v/>
      </c>
      <c r="C1093" s="68" t="str">
        <f aca="false">IF(A1093="","",A1093&amp;"-"&amp;B1093)</f>
        <v/>
      </c>
      <c r="D1093" s="58"/>
      <c r="E1093" s="57"/>
      <c r="F1093" s="69"/>
      <c r="G1093" s="69"/>
      <c r="H1093" s="70" t="str">
        <f aca="false">IF(A1093="","",IFERROR(INDEX(السندات!$C$5:$C$504,MATCH(A1093,السندات!$A$5:$A$504,0)),""))</f>
        <v/>
      </c>
      <c r="I1093" s="71" t="str">
        <f aca="false">IF(A1093="","",IFERROR(INDEX(السندات!$D$5:$D$504,MATCH(A1093,السندات!$A$5:$A$504,0)),""))</f>
        <v/>
      </c>
      <c r="J1093" s="72" t="str">
        <f aca="false">IF(A1093="","",IF(ISNA(MATCH(A1093,السندات!$A$5:$A$504,0)),"رقم سند غير موجود ✘",IF(AND(F1093&lt;&gt;"",G1093&lt;&gt;""),"اكتب مدين أو دائن فقط ✘",IF(AND(N(F1093)=0,N(G1093)=0),"بدون مبلغ ⚠",IF(B1093&gt;12,"يتجاوز 12 بنداً في الطباعة ⚠","")))))</f>
        <v/>
      </c>
    </row>
    <row r="1094" customFormat="false" ht="15" hidden="false" customHeight="false" outlineLevel="0" collapsed="false">
      <c r="A1094" s="58"/>
      <c r="B1094" s="73" t="str">
        <f aca="false">IF(A1094="","",COUNTIF(A$5:A1094,A1094))</f>
        <v/>
      </c>
      <c r="C1094" s="73" t="str">
        <f aca="false">IF(A1094="","",A1094&amp;"-"&amp;B1094)</f>
        <v/>
      </c>
      <c r="D1094" s="58"/>
      <c r="E1094" s="57"/>
      <c r="F1094" s="69"/>
      <c r="G1094" s="69"/>
      <c r="H1094" s="74" t="str">
        <f aca="false">IF(A1094="","",IFERROR(INDEX(السندات!$C$5:$C$504,MATCH(A1094,السندات!$A$5:$A$504,0)),""))</f>
        <v/>
      </c>
      <c r="I1094" s="75" t="str">
        <f aca="false">IF(A1094="","",IFERROR(INDEX(السندات!$D$5:$D$504,MATCH(A1094,السندات!$A$5:$A$504,0)),""))</f>
        <v/>
      </c>
      <c r="J1094" s="76" t="str">
        <f aca="false">IF(A1094="","",IF(ISNA(MATCH(A1094,السندات!$A$5:$A$504,0)),"رقم سند غير موجود ✘",IF(AND(F1094&lt;&gt;"",G1094&lt;&gt;""),"اكتب مدين أو دائن فقط ✘",IF(AND(N(F1094)=0,N(G1094)=0),"بدون مبلغ ⚠",IF(B1094&gt;12,"يتجاوز 12 بنداً في الطباعة ⚠","")))))</f>
        <v/>
      </c>
    </row>
    <row r="1095" customFormat="false" ht="15" hidden="false" customHeight="false" outlineLevel="0" collapsed="false">
      <c r="A1095" s="58"/>
      <c r="B1095" s="68" t="str">
        <f aca="false">IF(A1095="","",COUNTIF(A$5:A1095,A1095))</f>
        <v/>
      </c>
      <c r="C1095" s="68" t="str">
        <f aca="false">IF(A1095="","",A1095&amp;"-"&amp;B1095)</f>
        <v/>
      </c>
      <c r="D1095" s="58"/>
      <c r="E1095" s="57"/>
      <c r="F1095" s="69"/>
      <c r="G1095" s="69"/>
      <c r="H1095" s="70" t="str">
        <f aca="false">IF(A1095="","",IFERROR(INDEX(السندات!$C$5:$C$504,MATCH(A1095,السندات!$A$5:$A$504,0)),""))</f>
        <v/>
      </c>
      <c r="I1095" s="71" t="str">
        <f aca="false">IF(A1095="","",IFERROR(INDEX(السندات!$D$5:$D$504,MATCH(A1095,السندات!$A$5:$A$504,0)),""))</f>
        <v/>
      </c>
      <c r="J1095" s="72" t="str">
        <f aca="false">IF(A1095="","",IF(ISNA(MATCH(A1095,السندات!$A$5:$A$504,0)),"رقم سند غير موجود ✘",IF(AND(F1095&lt;&gt;"",G1095&lt;&gt;""),"اكتب مدين أو دائن فقط ✘",IF(AND(N(F1095)=0,N(G1095)=0),"بدون مبلغ ⚠",IF(B1095&gt;12,"يتجاوز 12 بنداً في الطباعة ⚠","")))))</f>
        <v/>
      </c>
    </row>
    <row r="1096" customFormat="false" ht="15" hidden="false" customHeight="false" outlineLevel="0" collapsed="false">
      <c r="A1096" s="58"/>
      <c r="B1096" s="73" t="str">
        <f aca="false">IF(A1096="","",COUNTIF(A$5:A1096,A1096))</f>
        <v/>
      </c>
      <c r="C1096" s="73" t="str">
        <f aca="false">IF(A1096="","",A1096&amp;"-"&amp;B1096)</f>
        <v/>
      </c>
      <c r="D1096" s="58"/>
      <c r="E1096" s="57"/>
      <c r="F1096" s="69"/>
      <c r="G1096" s="69"/>
      <c r="H1096" s="74" t="str">
        <f aca="false">IF(A1096="","",IFERROR(INDEX(السندات!$C$5:$C$504,MATCH(A1096,السندات!$A$5:$A$504,0)),""))</f>
        <v/>
      </c>
      <c r="I1096" s="75" t="str">
        <f aca="false">IF(A1096="","",IFERROR(INDEX(السندات!$D$5:$D$504,MATCH(A1096,السندات!$A$5:$A$504,0)),""))</f>
        <v/>
      </c>
      <c r="J1096" s="76" t="str">
        <f aca="false">IF(A1096="","",IF(ISNA(MATCH(A1096,السندات!$A$5:$A$504,0)),"رقم سند غير موجود ✘",IF(AND(F1096&lt;&gt;"",G1096&lt;&gt;""),"اكتب مدين أو دائن فقط ✘",IF(AND(N(F1096)=0,N(G1096)=0),"بدون مبلغ ⚠",IF(B1096&gt;12,"يتجاوز 12 بنداً في الطباعة ⚠","")))))</f>
        <v/>
      </c>
    </row>
    <row r="1097" customFormat="false" ht="15" hidden="false" customHeight="false" outlineLevel="0" collapsed="false">
      <c r="A1097" s="58"/>
      <c r="B1097" s="68" t="str">
        <f aca="false">IF(A1097="","",COUNTIF(A$5:A1097,A1097))</f>
        <v/>
      </c>
      <c r="C1097" s="68" t="str">
        <f aca="false">IF(A1097="","",A1097&amp;"-"&amp;B1097)</f>
        <v/>
      </c>
      <c r="D1097" s="58"/>
      <c r="E1097" s="57"/>
      <c r="F1097" s="69"/>
      <c r="G1097" s="69"/>
      <c r="H1097" s="70" t="str">
        <f aca="false">IF(A1097="","",IFERROR(INDEX(السندات!$C$5:$C$504,MATCH(A1097,السندات!$A$5:$A$504,0)),""))</f>
        <v/>
      </c>
      <c r="I1097" s="71" t="str">
        <f aca="false">IF(A1097="","",IFERROR(INDEX(السندات!$D$5:$D$504,MATCH(A1097,السندات!$A$5:$A$504,0)),""))</f>
        <v/>
      </c>
      <c r="J1097" s="72" t="str">
        <f aca="false">IF(A1097="","",IF(ISNA(MATCH(A1097,السندات!$A$5:$A$504,0)),"رقم سند غير موجود ✘",IF(AND(F1097&lt;&gt;"",G1097&lt;&gt;""),"اكتب مدين أو دائن فقط ✘",IF(AND(N(F1097)=0,N(G1097)=0),"بدون مبلغ ⚠",IF(B1097&gt;12,"يتجاوز 12 بنداً في الطباعة ⚠","")))))</f>
        <v/>
      </c>
    </row>
    <row r="1098" customFormat="false" ht="15" hidden="false" customHeight="false" outlineLevel="0" collapsed="false">
      <c r="A1098" s="58"/>
      <c r="B1098" s="73" t="str">
        <f aca="false">IF(A1098="","",COUNTIF(A$5:A1098,A1098))</f>
        <v/>
      </c>
      <c r="C1098" s="73" t="str">
        <f aca="false">IF(A1098="","",A1098&amp;"-"&amp;B1098)</f>
        <v/>
      </c>
      <c r="D1098" s="58"/>
      <c r="E1098" s="57"/>
      <c r="F1098" s="69"/>
      <c r="G1098" s="69"/>
      <c r="H1098" s="74" t="str">
        <f aca="false">IF(A1098="","",IFERROR(INDEX(السندات!$C$5:$C$504,MATCH(A1098,السندات!$A$5:$A$504,0)),""))</f>
        <v/>
      </c>
      <c r="I1098" s="75" t="str">
        <f aca="false">IF(A1098="","",IFERROR(INDEX(السندات!$D$5:$D$504,MATCH(A1098,السندات!$A$5:$A$504,0)),""))</f>
        <v/>
      </c>
      <c r="J1098" s="76" t="str">
        <f aca="false">IF(A1098="","",IF(ISNA(MATCH(A1098,السندات!$A$5:$A$504,0)),"رقم سند غير موجود ✘",IF(AND(F1098&lt;&gt;"",G1098&lt;&gt;""),"اكتب مدين أو دائن فقط ✘",IF(AND(N(F1098)=0,N(G1098)=0),"بدون مبلغ ⚠",IF(B1098&gt;12,"يتجاوز 12 بنداً في الطباعة ⚠","")))))</f>
        <v/>
      </c>
    </row>
    <row r="1099" customFormat="false" ht="15" hidden="false" customHeight="false" outlineLevel="0" collapsed="false">
      <c r="A1099" s="58"/>
      <c r="B1099" s="68" t="str">
        <f aca="false">IF(A1099="","",COUNTIF(A$5:A1099,A1099))</f>
        <v/>
      </c>
      <c r="C1099" s="68" t="str">
        <f aca="false">IF(A1099="","",A1099&amp;"-"&amp;B1099)</f>
        <v/>
      </c>
      <c r="D1099" s="58"/>
      <c r="E1099" s="57"/>
      <c r="F1099" s="69"/>
      <c r="G1099" s="69"/>
      <c r="H1099" s="70" t="str">
        <f aca="false">IF(A1099="","",IFERROR(INDEX(السندات!$C$5:$C$504,MATCH(A1099,السندات!$A$5:$A$504,0)),""))</f>
        <v/>
      </c>
      <c r="I1099" s="71" t="str">
        <f aca="false">IF(A1099="","",IFERROR(INDEX(السندات!$D$5:$D$504,MATCH(A1099,السندات!$A$5:$A$504,0)),""))</f>
        <v/>
      </c>
      <c r="J1099" s="72" t="str">
        <f aca="false">IF(A1099="","",IF(ISNA(MATCH(A1099,السندات!$A$5:$A$504,0)),"رقم سند غير موجود ✘",IF(AND(F1099&lt;&gt;"",G1099&lt;&gt;""),"اكتب مدين أو دائن فقط ✘",IF(AND(N(F1099)=0,N(G1099)=0),"بدون مبلغ ⚠",IF(B1099&gt;12,"يتجاوز 12 بنداً في الطباعة ⚠","")))))</f>
        <v/>
      </c>
    </row>
    <row r="1100" customFormat="false" ht="15" hidden="false" customHeight="false" outlineLevel="0" collapsed="false">
      <c r="A1100" s="58"/>
      <c r="B1100" s="73" t="str">
        <f aca="false">IF(A1100="","",COUNTIF(A$5:A1100,A1100))</f>
        <v/>
      </c>
      <c r="C1100" s="73" t="str">
        <f aca="false">IF(A1100="","",A1100&amp;"-"&amp;B1100)</f>
        <v/>
      </c>
      <c r="D1100" s="58"/>
      <c r="E1100" s="57"/>
      <c r="F1100" s="69"/>
      <c r="G1100" s="69"/>
      <c r="H1100" s="74" t="str">
        <f aca="false">IF(A1100="","",IFERROR(INDEX(السندات!$C$5:$C$504,MATCH(A1100,السندات!$A$5:$A$504,0)),""))</f>
        <v/>
      </c>
      <c r="I1100" s="75" t="str">
        <f aca="false">IF(A1100="","",IFERROR(INDEX(السندات!$D$5:$D$504,MATCH(A1100,السندات!$A$5:$A$504,0)),""))</f>
        <v/>
      </c>
      <c r="J1100" s="76" t="str">
        <f aca="false">IF(A1100="","",IF(ISNA(MATCH(A1100,السندات!$A$5:$A$504,0)),"رقم سند غير موجود ✘",IF(AND(F1100&lt;&gt;"",G1100&lt;&gt;""),"اكتب مدين أو دائن فقط ✘",IF(AND(N(F1100)=0,N(G1100)=0),"بدون مبلغ ⚠",IF(B1100&gt;12,"يتجاوز 12 بنداً في الطباعة ⚠","")))))</f>
        <v/>
      </c>
    </row>
    <row r="1101" customFormat="false" ht="15" hidden="false" customHeight="false" outlineLevel="0" collapsed="false">
      <c r="A1101" s="58"/>
      <c r="B1101" s="68" t="str">
        <f aca="false">IF(A1101="","",COUNTIF(A$5:A1101,A1101))</f>
        <v/>
      </c>
      <c r="C1101" s="68" t="str">
        <f aca="false">IF(A1101="","",A1101&amp;"-"&amp;B1101)</f>
        <v/>
      </c>
      <c r="D1101" s="58"/>
      <c r="E1101" s="57"/>
      <c r="F1101" s="69"/>
      <c r="G1101" s="69"/>
      <c r="H1101" s="70" t="str">
        <f aca="false">IF(A1101="","",IFERROR(INDEX(السندات!$C$5:$C$504,MATCH(A1101,السندات!$A$5:$A$504,0)),""))</f>
        <v/>
      </c>
      <c r="I1101" s="71" t="str">
        <f aca="false">IF(A1101="","",IFERROR(INDEX(السندات!$D$5:$D$504,MATCH(A1101,السندات!$A$5:$A$504,0)),""))</f>
        <v/>
      </c>
      <c r="J1101" s="72" t="str">
        <f aca="false">IF(A1101="","",IF(ISNA(MATCH(A1101,السندات!$A$5:$A$504,0)),"رقم سند غير موجود ✘",IF(AND(F1101&lt;&gt;"",G1101&lt;&gt;""),"اكتب مدين أو دائن فقط ✘",IF(AND(N(F1101)=0,N(G1101)=0),"بدون مبلغ ⚠",IF(B1101&gt;12,"يتجاوز 12 بنداً في الطباعة ⚠","")))))</f>
        <v/>
      </c>
    </row>
    <row r="1102" customFormat="false" ht="15" hidden="false" customHeight="false" outlineLevel="0" collapsed="false">
      <c r="A1102" s="58"/>
      <c r="B1102" s="73" t="str">
        <f aca="false">IF(A1102="","",COUNTIF(A$5:A1102,A1102))</f>
        <v/>
      </c>
      <c r="C1102" s="73" t="str">
        <f aca="false">IF(A1102="","",A1102&amp;"-"&amp;B1102)</f>
        <v/>
      </c>
      <c r="D1102" s="58"/>
      <c r="E1102" s="57"/>
      <c r="F1102" s="69"/>
      <c r="G1102" s="69"/>
      <c r="H1102" s="74" t="str">
        <f aca="false">IF(A1102="","",IFERROR(INDEX(السندات!$C$5:$C$504,MATCH(A1102,السندات!$A$5:$A$504,0)),""))</f>
        <v/>
      </c>
      <c r="I1102" s="75" t="str">
        <f aca="false">IF(A1102="","",IFERROR(INDEX(السندات!$D$5:$D$504,MATCH(A1102,السندات!$A$5:$A$504,0)),""))</f>
        <v/>
      </c>
      <c r="J1102" s="76" t="str">
        <f aca="false">IF(A1102="","",IF(ISNA(MATCH(A1102,السندات!$A$5:$A$504,0)),"رقم سند غير موجود ✘",IF(AND(F1102&lt;&gt;"",G1102&lt;&gt;""),"اكتب مدين أو دائن فقط ✘",IF(AND(N(F1102)=0,N(G1102)=0),"بدون مبلغ ⚠",IF(B1102&gt;12,"يتجاوز 12 بنداً في الطباعة ⚠","")))))</f>
        <v/>
      </c>
    </row>
    <row r="1103" customFormat="false" ht="15" hidden="false" customHeight="false" outlineLevel="0" collapsed="false">
      <c r="A1103" s="58"/>
      <c r="B1103" s="68" t="str">
        <f aca="false">IF(A1103="","",COUNTIF(A$5:A1103,A1103))</f>
        <v/>
      </c>
      <c r="C1103" s="68" t="str">
        <f aca="false">IF(A1103="","",A1103&amp;"-"&amp;B1103)</f>
        <v/>
      </c>
      <c r="D1103" s="58"/>
      <c r="E1103" s="57"/>
      <c r="F1103" s="69"/>
      <c r="G1103" s="69"/>
      <c r="H1103" s="70" t="str">
        <f aca="false">IF(A1103="","",IFERROR(INDEX(السندات!$C$5:$C$504,MATCH(A1103,السندات!$A$5:$A$504,0)),""))</f>
        <v/>
      </c>
      <c r="I1103" s="71" t="str">
        <f aca="false">IF(A1103="","",IFERROR(INDEX(السندات!$D$5:$D$504,MATCH(A1103,السندات!$A$5:$A$504,0)),""))</f>
        <v/>
      </c>
      <c r="J1103" s="72" t="str">
        <f aca="false">IF(A1103="","",IF(ISNA(MATCH(A1103,السندات!$A$5:$A$504,0)),"رقم سند غير موجود ✘",IF(AND(F1103&lt;&gt;"",G1103&lt;&gt;""),"اكتب مدين أو دائن فقط ✘",IF(AND(N(F1103)=0,N(G1103)=0),"بدون مبلغ ⚠",IF(B1103&gt;12,"يتجاوز 12 بنداً في الطباعة ⚠","")))))</f>
        <v/>
      </c>
    </row>
    <row r="1104" customFormat="false" ht="15" hidden="false" customHeight="false" outlineLevel="0" collapsed="false">
      <c r="A1104" s="58"/>
      <c r="B1104" s="73" t="str">
        <f aca="false">IF(A1104="","",COUNTIF(A$5:A1104,A1104))</f>
        <v/>
      </c>
      <c r="C1104" s="73" t="str">
        <f aca="false">IF(A1104="","",A1104&amp;"-"&amp;B1104)</f>
        <v/>
      </c>
      <c r="D1104" s="58"/>
      <c r="E1104" s="57"/>
      <c r="F1104" s="69"/>
      <c r="G1104" s="69"/>
      <c r="H1104" s="74" t="str">
        <f aca="false">IF(A1104="","",IFERROR(INDEX(السندات!$C$5:$C$504,MATCH(A1104,السندات!$A$5:$A$504,0)),""))</f>
        <v/>
      </c>
      <c r="I1104" s="75" t="str">
        <f aca="false">IF(A1104="","",IFERROR(INDEX(السندات!$D$5:$D$504,MATCH(A1104,السندات!$A$5:$A$504,0)),""))</f>
        <v/>
      </c>
      <c r="J1104" s="76" t="str">
        <f aca="false">IF(A1104="","",IF(ISNA(MATCH(A1104,السندات!$A$5:$A$504,0)),"رقم سند غير موجود ✘",IF(AND(F1104&lt;&gt;"",G1104&lt;&gt;""),"اكتب مدين أو دائن فقط ✘",IF(AND(N(F1104)=0,N(G1104)=0),"بدون مبلغ ⚠",IF(B1104&gt;12,"يتجاوز 12 بنداً في الطباعة ⚠","")))))</f>
        <v/>
      </c>
    </row>
    <row r="1105" customFormat="false" ht="15" hidden="false" customHeight="false" outlineLevel="0" collapsed="false">
      <c r="A1105" s="58"/>
      <c r="B1105" s="68" t="str">
        <f aca="false">IF(A1105="","",COUNTIF(A$5:A1105,A1105))</f>
        <v/>
      </c>
      <c r="C1105" s="68" t="str">
        <f aca="false">IF(A1105="","",A1105&amp;"-"&amp;B1105)</f>
        <v/>
      </c>
      <c r="D1105" s="58"/>
      <c r="E1105" s="57"/>
      <c r="F1105" s="69"/>
      <c r="G1105" s="69"/>
      <c r="H1105" s="70" t="str">
        <f aca="false">IF(A1105="","",IFERROR(INDEX(السندات!$C$5:$C$504,MATCH(A1105,السندات!$A$5:$A$504,0)),""))</f>
        <v/>
      </c>
      <c r="I1105" s="71" t="str">
        <f aca="false">IF(A1105="","",IFERROR(INDEX(السندات!$D$5:$D$504,MATCH(A1105,السندات!$A$5:$A$504,0)),""))</f>
        <v/>
      </c>
      <c r="J1105" s="72" t="str">
        <f aca="false">IF(A1105="","",IF(ISNA(MATCH(A1105,السندات!$A$5:$A$504,0)),"رقم سند غير موجود ✘",IF(AND(F1105&lt;&gt;"",G1105&lt;&gt;""),"اكتب مدين أو دائن فقط ✘",IF(AND(N(F1105)=0,N(G1105)=0),"بدون مبلغ ⚠",IF(B1105&gt;12,"يتجاوز 12 بنداً في الطباعة ⚠","")))))</f>
        <v/>
      </c>
    </row>
    <row r="1106" customFormat="false" ht="15" hidden="false" customHeight="false" outlineLevel="0" collapsed="false">
      <c r="A1106" s="58"/>
      <c r="B1106" s="73" t="str">
        <f aca="false">IF(A1106="","",COUNTIF(A$5:A1106,A1106))</f>
        <v/>
      </c>
      <c r="C1106" s="73" t="str">
        <f aca="false">IF(A1106="","",A1106&amp;"-"&amp;B1106)</f>
        <v/>
      </c>
      <c r="D1106" s="58"/>
      <c r="E1106" s="57"/>
      <c r="F1106" s="69"/>
      <c r="G1106" s="69"/>
      <c r="H1106" s="74" t="str">
        <f aca="false">IF(A1106="","",IFERROR(INDEX(السندات!$C$5:$C$504,MATCH(A1106,السندات!$A$5:$A$504,0)),""))</f>
        <v/>
      </c>
      <c r="I1106" s="75" t="str">
        <f aca="false">IF(A1106="","",IFERROR(INDEX(السندات!$D$5:$D$504,MATCH(A1106,السندات!$A$5:$A$504,0)),""))</f>
        <v/>
      </c>
      <c r="J1106" s="76" t="str">
        <f aca="false">IF(A1106="","",IF(ISNA(MATCH(A1106,السندات!$A$5:$A$504,0)),"رقم سند غير موجود ✘",IF(AND(F1106&lt;&gt;"",G1106&lt;&gt;""),"اكتب مدين أو دائن فقط ✘",IF(AND(N(F1106)=0,N(G1106)=0),"بدون مبلغ ⚠",IF(B1106&gt;12,"يتجاوز 12 بنداً في الطباعة ⚠","")))))</f>
        <v/>
      </c>
    </row>
    <row r="1107" customFormat="false" ht="15" hidden="false" customHeight="false" outlineLevel="0" collapsed="false">
      <c r="A1107" s="58"/>
      <c r="B1107" s="68" t="str">
        <f aca="false">IF(A1107="","",COUNTIF(A$5:A1107,A1107))</f>
        <v/>
      </c>
      <c r="C1107" s="68" t="str">
        <f aca="false">IF(A1107="","",A1107&amp;"-"&amp;B1107)</f>
        <v/>
      </c>
      <c r="D1107" s="58"/>
      <c r="E1107" s="57"/>
      <c r="F1107" s="69"/>
      <c r="G1107" s="69"/>
      <c r="H1107" s="70" t="str">
        <f aca="false">IF(A1107="","",IFERROR(INDEX(السندات!$C$5:$C$504,MATCH(A1107,السندات!$A$5:$A$504,0)),""))</f>
        <v/>
      </c>
      <c r="I1107" s="71" t="str">
        <f aca="false">IF(A1107="","",IFERROR(INDEX(السندات!$D$5:$D$504,MATCH(A1107,السندات!$A$5:$A$504,0)),""))</f>
        <v/>
      </c>
      <c r="J1107" s="72" t="str">
        <f aca="false">IF(A1107="","",IF(ISNA(MATCH(A1107,السندات!$A$5:$A$504,0)),"رقم سند غير موجود ✘",IF(AND(F1107&lt;&gt;"",G1107&lt;&gt;""),"اكتب مدين أو دائن فقط ✘",IF(AND(N(F1107)=0,N(G1107)=0),"بدون مبلغ ⚠",IF(B1107&gt;12,"يتجاوز 12 بنداً في الطباعة ⚠","")))))</f>
        <v/>
      </c>
    </row>
    <row r="1108" customFormat="false" ht="15" hidden="false" customHeight="false" outlineLevel="0" collapsed="false">
      <c r="A1108" s="58"/>
      <c r="B1108" s="73" t="str">
        <f aca="false">IF(A1108="","",COUNTIF(A$5:A1108,A1108))</f>
        <v/>
      </c>
      <c r="C1108" s="73" t="str">
        <f aca="false">IF(A1108="","",A1108&amp;"-"&amp;B1108)</f>
        <v/>
      </c>
      <c r="D1108" s="58"/>
      <c r="E1108" s="57"/>
      <c r="F1108" s="69"/>
      <c r="G1108" s="69"/>
      <c r="H1108" s="74" t="str">
        <f aca="false">IF(A1108="","",IFERROR(INDEX(السندات!$C$5:$C$504,MATCH(A1108,السندات!$A$5:$A$504,0)),""))</f>
        <v/>
      </c>
      <c r="I1108" s="75" t="str">
        <f aca="false">IF(A1108="","",IFERROR(INDEX(السندات!$D$5:$D$504,MATCH(A1108,السندات!$A$5:$A$504,0)),""))</f>
        <v/>
      </c>
      <c r="J1108" s="76" t="str">
        <f aca="false">IF(A1108="","",IF(ISNA(MATCH(A1108,السندات!$A$5:$A$504,0)),"رقم سند غير موجود ✘",IF(AND(F1108&lt;&gt;"",G1108&lt;&gt;""),"اكتب مدين أو دائن فقط ✘",IF(AND(N(F1108)=0,N(G1108)=0),"بدون مبلغ ⚠",IF(B1108&gt;12,"يتجاوز 12 بنداً في الطباعة ⚠","")))))</f>
        <v/>
      </c>
    </row>
    <row r="1109" customFormat="false" ht="15" hidden="false" customHeight="false" outlineLevel="0" collapsed="false">
      <c r="A1109" s="58"/>
      <c r="B1109" s="68" t="str">
        <f aca="false">IF(A1109="","",COUNTIF(A$5:A1109,A1109))</f>
        <v/>
      </c>
      <c r="C1109" s="68" t="str">
        <f aca="false">IF(A1109="","",A1109&amp;"-"&amp;B1109)</f>
        <v/>
      </c>
      <c r="D1109" s="58"/>
      <c r="E1109" s="57"/>
      <c r="F1109" s="69"/>
      <c r="G1109" s="69"/>
      <c r="H1109" s="70" t="str">
        <f aca="false">IF(A1109="","",IFERROR(INDEX(السندات!$C$5:$C$504,MATCH(A1109,السندات!$A$5:$A$504,0)),""))</f>
        <v/>
      </c>
      <c r="I1109" s="71" t="str">
        <f aca="false">IF(A1109="","",IFERROR(INDEX(السندات!$D$5:$D$504,MATCH(A1109,السندات!$A$5:$A$504,0)),""))</f>
        <v/>
      </c>
      <c r="J1109" s="72" t="str">
        <f aca="false">IF(A1109="","",IF(ISNA(MATCH(A1109,السندات!$A$5:$A$504,0)),"رقم سند غير موجود ✘",IF(AND(F1109&lt;&gt;"",G1109&lt;&gt;""),"اكتب مدين أو دائن فقط ✘",IF(AND(N(F1109)=0,N(G1109)=0),"بدون مبلغ ⚠",IF(B1109&gt;12,"يتجاوز 12 بنداً في الطباعة ⚠","")))))</f>
        <v/>
      </c>
    </row>
    <row r="1110" customFormat="false" ht="15" hidden="false" customHeight="false" outlineLevel="0" collapsed="false">
      <c r="A1110" s="58"/>
      <c r="B1110" s="73" t="str">
        <f aca="false">IF(A1110="","",COUNTIF(A$5:A1110,A1110))</f>
        <v/>
      </c>
      <c r="C1110" s="73" t="str">
        <f aca="false">IF(A1110="","",A1110&amp;"-"&amp;B1110)</f>
        <v/>
      </c>
      <c r="D1110" s="58"/>
      <c r="E1110" s="57"/>
      <c r="F1110" s="69"/>
      <c r="G1110" s="69"/>
      <c r="H1110" s="74" t="str">
        <f aca="false">IF(A1110="","",IFERROR(INDEX(السندات!$C$5:$C$504,MATCH(A1110,السندات!$A$5:$A$504,0)),""))</f>
        <v/>
      </c>
      <c r="I1110" s="75" t="str">
        <f aca="false">IF(A1110="","",IFERROR(INDEX(السندات!$D$5:$D$504,MATCH(A1110,السندات!$A$5:$A$504,0)),""))</f>
        <v/>
      </c>
      <c r="J1110" s="76" t="str">
        <f aca="false">IF(A1110="","",IF(ISNA(MATCH(A1110,السندات!$A$5:$A$504,0)),"رقم سند غير موجود ✘",IF(AND(F1110&lt;&gt;"",G1110&lt;&gt;""),"اكتب مدين أو دائن فقط ✘",IF(AND(N(F1110)=0,N(G1110)=0),"بدون مبلغ ⚠",IF(B1110&gt;12,"يتجاوز 12 بنداً في الطباعة ⚠","")))))</f>
        <v/>
      </c>
    </row>
    <row r="1111" customFormat="false" ht="15" hidden="false" customHeight="false" outlineLevel="0" collapsed="false">
      <c r="A1111" s="58"/>
      <c r="B1111" s="68" t="str">
        <f aca="false">IF(A1111="","",COUNTIF(A$5:A1111,A1111))</f>
        <v/>
      </c>
      <c r="C1111" s="68" t="str">
        <f aca="false">IF(A1111="","",A1111&amp;"-"&amp;B1111)</f>
        <v/>
      </c>
      <c r="D1111" s="58"/>
      <c r="E1111" s="57"/>
      <c r="F1111" s="69"/>
      <c r="G1111" s="69"/>
      <c r="H1111" s="70" t="str">
        <f aca="false">IF(A1111="","",IFERROR(INDEX(السندات!$C$5:$C$504,MATCH(A1111,السندات!$A$5:$A$504,0)),""))</f>
        <v/>
      </c>
      <c r="I1111" s="71" t="str">
        <f aca="false">IF(A1111="","",IFERROR(INDEX(السندات!$D$5:$D$504,MATCH(A1111,السندات!$A$5:$A$504,0)),""))</f>
        <v/>
      </c>
      <c r="J1111" s="72" t="str">
        <f aca="false">IF(A1111="","",IF(ISNA(MATCH(A1111,السندات!$A$5:$A$504,0)),"رقم سند غير موجود ✘",IF(AND(F1111&lt;&gt;"",G1111&lt;&gt;""),"اكتب مدين أو دائن فقط ✘",IF(AND(N(F1111)=0,N(G1111)=0),"بدون مبلغ ⚠",IF(B1111&gt;12,"يتجاوز 12 بنداً في الطباعة ⚠","")))))</f>
        <v/>
      </c>
    </row>
    <row r="1112" customFormat="false" ht="15" hidden="false" customHeight="false" outlineLevel="0" collapsed="false">
      <c r="A1112" s="58"/>
      <c r="B1112" s="73" t="str">
        <f aca="false">IF(A1112="","",COUNTIF(A$5:A1112,A1112))</f>
        <v/>
      </c>
      <c r="C1112" s="73" t="str">
        <f aca="false">IF(A1112="","",A1112&amp;"-"&amp;B1112)</f>
        <v/>
      </c>
      <c r="D1112" s="58"/>
      <c r="E1112" s="57"/>
      <c r="F1112" s="69"/>
      <c r="G1112" s="69"/>
      <c r="H1112" s="74" t="str">
        <f aca="false">IF(A1112="","",IFERROR(INDEX(السندات!$C$5:$C$504,MATCH(A1112,السندات!$A$5:$A$504,0)),""))</f>
        <v/>
      </c>
      <c r="I1112" s="75" t="str">
        <f aca="false">IF(A1112="","",IFERROR(INDEX(السندات!$D$5:$D$504,MATCH(A1112,السندات!$A$5:$A$504,0)),""))</f>
        <v/>
      </c>
      <c r="J1112" s="76" t="str">
        <f aca="false">IF(A1112="","",IF(ISNA(MATCH(A1112,السندات!$A$5:$A$504,0)),"رقم سند غير موجود ✘",IF(AND(F1112&lt;&gt;"",G1112&lt;&gt;""),"اكتب مدين أو دائن فقط ✘",IF(AND(N(F1112)=0,N(G1112)=0),"بدون مبلغ ⚠",IF(B1112&gt;12,"يتجاوز 12 بنداً في الطباعة ⚠","")))))</f>
        <v/>
      </c>
    </row>
    <row r="1113" customFormat="false" ht="15" hidden="false" customHeight="false" outlineLevel="0" collapsed="false">
      <c r="A1113" s="58"/>
      <c r="B1113" s="68" t="str">
        <f aca="false">IF(A1113="","",COUNTIF(A$5:A1113,A1113))</f>
        <v/>
      </c>
      <c r="C1113" s="68" t="str">
        <f aca="false">IF(A1113="","",A1113&amp;"-"&amp;B1113)</f>
        <v/>
      </c>
      <c r="D1113" s="58"/>
      <c r="E1113" s="57"/>
      <c r="F1113" s="69"/>
      <c r="G1113" s="69"/>
      <c r="H1113" s="70" t="str">
        <f aca="false">IF(A1113="","",IFERROR(INDEX(السندات!$C$5:$C$504,MATCH(A1113,السندات!$A$5:$A$504,0)),""))</f>
        <v/>
      </c>
      <c r="I1113" s="71" t="str">
        <f aca="false">IF(A1113="","",IFERROR(INDEX(السندات!$D$5:$D$504,MATCH(A1113,السندات!$A$5:$A$504,0)),""))</f>
        <v/>
      </c>
      <c r="J1113" s="72" t="str">
        <f aca="false">IF(A1113="","",IF(ISNA(MATCH(A1113,السندات!$A$5:$A$504,0)),"رقم سند غير موجود ✘",IF(AND(F1113&lt;&gt;"",G1113&lt;&gt;""),"اكتب مدين أو دائن فقط ✘",IF(AND(N(F1113)=0,N(G1113)=0),"بدون مبلغ ⚠",IF(B1113&gt;12,"يتجاوز 12 بنداً في الطباعة ⚠","")))))</f>
        <v/>
      </c>
    </row>
    <row r="1114" customFormat="false" ht="15" hidden="false" customHeight="false" outlineLevel="0" collapsed="false">
      <c r="A1114" s="58"/>
      <c r="B1114" s="73" t="str">
        <f aca="false">IF(A1114="","",COUNTIF(A$5:A1114,A1114))</f>
        <v/>
      </c>
      <c r="C1114" s="73" t="str">
        <f aca="false">IF(A1114="","",A1114&amp;"-"&amp;B1114)</f>
        <v/>
      </c>
      <c r="D1114" s="58"/>
      <c r="E1114" s="57"/>
      <c r="F1114" s="69"/>
      <c r="G1114" s="69"/>
      <c r="H1114" s="74" t="str">
        <f aca="false">IF(A1114="","",IFERROR(INDEX(السندات!$C$5:$C$504,MATCH(A1114,السندات!$A$5:$A$504,0)),""))</f>
        <v/>
      </c>
      <c r="I1114" s="75" t="str">
        <f aca="false">IF(A1114="","",IFERROR(INDEX(السندات!$D$5:$D$504,MATCH(A1114,السندات!$A$5:$A$504,0)),""))</f>
        <v/>
      </c>
      <c r="J1114" s="76" t="str">
        <f aca="false">IF(A1114="","",IF(ISNA(MATCH(A1114,السندات!$A$5:$A$504,0)),"رقم سند غير موجود ✘",IF(AND(F1114&lt;&gt;"",G1114&lt;&gt;""),"اكتب مدين أو دائن فقط ✘",IF(AND(N(F1114)=0,N(G1114)=0),"بدون مبلغ ⚠",IF(B1114&gt;12,"يتجاوز 12 بنداً في الطباعة ⚠","")))))</f>
        <v/>
      </c>
    </row>
    <row r="1115" customFormat="false" ht="15" hidden="false" customHeight="false" outlineLevel="0" collapsed="false">
      <c r="A1115" s="58"/>
      <c r="B1115" s="68" t="str">
        <f aca="false">IF(A1115="","",COUNTIF(A$5:A1115,A1115))</f>
        <v/>
      </c>
      <c r="C1115" s="68" t="str">
        <f aca="false">IF(A1115="","",A1115&amp;"-"&amp;B1115)</f>
        <v/>
      </c>
      <c r="D1115" s="58"/>
      <c r="E1115" s="57"/>
      <c r="F1115" s="69"/>
      <c r="G1115" s="69"/>
      <c r="H1115" s="70" t="str">
        <f aca="false">IF(A1115="","",IFERROR(INDEX(السندات!$C$5:$C$504,MATCH(A1115,السندات!$A$5:$A$504,0)),""))</f>
        <v/>
      </c>
      <c r="I1115" s="71" t="str">
        <f aca="false">IF(A1115="","",IFERROR(INDEX(السندات!$D$5:$D$504,MATCH(A1115,السندات!$A$5:$A$504,0)),""))</f>
        <v/>
      </c>
      <c r="J1115" s="72" t="str">
        <f aca="false">IF(A1115="","",IF(ISNA(MATCH(A1115,السندات!$A$5:$A$504,0)),"رقم سند غير موجود ✘",IF(AND(F1115&lt;&gt;"",G1115&lt;&gt;""),"اكتب مدين أو دائن فقط ✘",IF(AND(N(F1115)=0,N(G1115)=0),"بدون مبلغ ⚠",IF(B1115&gt;12,"يتجاوز 12 بنداً في الطباعة ⚠","")))))</f>
        <v/>
      </c>
    </row>
    <row r="1116" customFormat="false" ht="15" hidden="false" customHeight="false" outlineLevel="0" collapsed="false">
      <c r="A1116" s="58"/>
      <c r="B1116" s="73" t="str">
        <f aca="false">IF(A1116="","",COUNTIF(A$5:A1116,A1116))</f>
        <v/>
      </c>
      <c r="C1116" s="73" t="str">
        <f aca="false">IF(A1116="","",A1116&amp;"-"&amp;B1116)</f>
        <v/>
      </c>
      <c r="D1116" s="58"/>
      <c r="E1116" s="57"/>
      <c r="F1116" s="69"/>
      <c r="G1116" s="69"/>
      <c r="H1116" s="74" t="str">
        <f aca="false">IF(A1116="","",IFERROR(INDEX(السندات!$C$5:$C$504,MATCH(A1116,السندات!$A$5:$A$504,0)),""))</f>
        <v/>
      </c>
      <c r="I1116" s="75" t="str">
        <f aca="false">IF(A1116="","",IFERROR(INDEX(السندات!$D$5:$D$504,MATCH(A1116,السندات!$A$5:$A$504,0)),""))</f>
        <v/>
      </c>
      <c r="J1116" s="76" t="str">
        <f aca="false">IF(A1116="","",IF(ISNA(MATCH(A1116,السندات!$A$5:$A$504,0)),"رقم سند غير موجود ✘",IF(AND(F1116&lt;&gt;"",G1116&lt;&gt;""),"اكتب مدين أو دائن فقط ✘",IF(AND(N(F1116)=0,N(G1116)=0),"بدون مبلغ ⚠",IF(B1116&gt;12,"يتجاوز 12 بنداً في الطباعة ⚠","")))))</f>
        <v/>
      </c>
    </row>
    <row r="1117" customFormat="false" ht="15" hidden="false" customHeight="false" outlineLevel="0" collapsed="false">
      <c r="A1117" s="58"/>
      <c r="B1117" s="68" t="str">
        <f aca="false">IF(A1117="","",COUNTIF(A$5:A1117,A1117))</f>
        <v/>
      </c>
      <c r="C1117" s="68" t="str">
        <f aca="false">IF(A1117="","",A1117&amp;"-"&amp;B1117)</f>
        <v/>
      </c>
      <c r="D1117" s="58"/>
      <c r="E1117" s="57"/>
      <c r="F1117" s="69"/>
      <c r="G1117" s="69"/>
      <c r="H1117" s="70" t="str">
        <f aca="false">IF(A1117="","",IFERROR(INDEX(السندات!$C$5:$C$504,MATCH(A1117,السندات!$A$5:$A$504,0)),""))</f>
        <v/>
      </c>
      <c r="I1117" s="71" t="str">
        <f aca="false">IF(A1117="","",IFERROR(INDEX(السندات!$D$5:$D$504,MATCH(A1117,السندات!$A$5:$A$504,0)),""))</f>
        <v/>
      </c>
      <c r="J1117" s="72" t="str">
        <f aca="false">IF(A1117="","",IF(ISNA(MATCH(A1117,السندات!$A$5:$A$504,0)),"رقم سند غير موجود ✘",IF(AND(F1117&lt;&gt;"",G1117&lt;&gt;""),"اكتب مدين أو دائن فقط ✘",IF(AND(N(F1117)=0,N(G1117)=0),"بدون مبلغ ⚠",IF(B1117&gt;12,"يتجاوز 12 بنداً في الطباعة ⚠","")))))</f>
        <v/>
      </c>
    </row>
    <row r="1118" customFormat="false" ht="15" hidden="false" customHeight="false" outlineLevel="0" collapsed="false">
      <c r="A1118" s="58"/>
      <c r="B1118" s="73" t="str">
        <f aca="false">IF(A1118="","",COUNTIF(A$5:A1118,A1118))</f>
        <v/>
      </c>
      <c r="C1118" s="73" t="str">
        <f aca="false">IF(A1118="","",A1118&amp;"-"&amp;B1118)</f>
        <v/>
      </c>
      <c r="D1118" s="58"/>
      <c r="E1118" s="57"/>
      <c r="F1118" s="69"/>
      <c r="G1118" s="69"/>
      <c r="H1118" s="74" t="str">
        <f aca="false">IF(A1118="","",IFERROR(INDEX(السندات!$C$5:$C$504,MATCH(A1118,السندات!$A$5:$A$504,0)),""))</f>
        <v/>
      </c>
      <c r="I1118" s="75" t="str">
        <f aca="false">IF(A1118="","",IFERROR(INDEX(السندات!$D$5:$D$504,MATCH(A1118,السندات!$A$5:$A$504,0)),""))</f>
        <v/>
      </c>
      <c r="J1118" s="76" t="str">
        <f aca="false">IF(A1118="","",IF(ISNA(MATCH(A1118,السندات!$A$5:$A$504,0)),"رقم سند غير موجود ✘",IF(AND(F1118&lt;&gt;"",G1118&lt;&gt;""),"اكتب مدين أو دائن فقط ✘",IF(AND(N(F1118)=0,N(G1118)=0),"بدون مبلغ ⚠",IF(B1118&gt;12,"يتجاوز 12 بنداً في الطباعة ⚠","")))))</f>
        <v/>
      </c>
    </row>
    <row r="1119" customFormat="false" ht="15" hidden="false" customHeight="false" outlineLevel="0" collapsed="false">
      <c r="A1119" s="58"/>
      <c r="B1119" s="68" t="str">
        <f aca="false">IF(A1119="","",COUNTIF(A$5:A1119,A1119))</f>
        <v/>
      </c>
      <c r="C1119" s="68" t="str">
        <f aca="false">IF(A1119="","",A1119&amp;"-"&amp;B1119)</f>
        <v/>
      </c>
      <c r="D1119" s="58"/>
      <c r="E1119" s="57"/>
      <c r="F1119" s="69"/>
      <c r="G1119" s="69"/>
      <c r="H1119" s="70" t="str">
        <f aca="false">IF(A1119="","",IFERROR(INDEX(السندات!$C$5:$C$504,MATCH(A1119,السندات!$A$5:$A$504,0)),""))</f>
        <v/>
      </c>
      <c r="I1119" s="71" t="str">
        <f aca="false">IF(A1119="","",IFERROR(INDEX(السندات!$D$5:$D$504,MATCH(A1119,السندات!$A$5:$A$504,0)),""))</f>
        <v/>
      </c>
      <c r="J1119" s="72" t="str">
        <f aca="false">IF(A1119="","",IF(ISNA(MATCH(A1119,السندات!$A$5:$A$504,0)),"رقم سند غير موجود ✘",IF(AND(F1119&lt;&gt;"",G1119&lt;&gt;""),"اكتب مدين أو دائن فقط ✘",IF(AND(N(F1119)=0,N(G1119)=0),"بدون مبلغ ⚠",IF(B1119&gt;12,"يتجاوز 12 بنداً في الطباعة ⚠","")))))</f>
        <v/>
      </c>
    </row>
    <row r="1120" customFormat="false" ht="15" hidden="false" customHeight="false" outlineLevel="0" collapsed="false">
      <c r="A1120" s="58"/>
      <c r="B1120" s="73" t="str">
        <f aca="false">IF(A1120="","",COUNTIF(A$5:A1120,A1120))</f>
        <v/>
      </c>
      <c r="C1120" s="73" t="str">
        <f aca="false">IF(A1120="","",A1120&amp;"-"&amp;B1120)</f>
        <v/>
      </c>
      <c r="D1120" s="58"/>
      <c r="E1120" s="57"/>
      <c r="F1120" s="69"/>
      <c r="G1120" s="69"/>
      <c r="H1120" s="74" t="str">
        <f aca="false">IF(A1120="","",IFERROR(INDEX(السندات!$C$5:$C$504,MATCH(A1120,السندات!$A$5:$A$504,0)),""))</f>
        <v/>
      </c>
      <c r="I1120" s="75" t="str">
        <f aca="false">IF(A1120="","",IFERROR(INDEX(السندات!$D$5:$D$504,MATCH(A1120,السندات!$A$5:$A$504,0)),""))</f>
        <v/>
      </c>
      <c r="J1120" s="76" t="str">
        <f aca="false">IF(A1120="","",IF(ISNA(MATCH(A1120,السندات!$A$5:$A$504,0)),"رقم سند غير موجود ✘",IF(AND(F1120&lt;&gt;"",G1120&lt;&gt;""),"اكتب مدين أو دائن فقط ✘",IF(AND(N(F1120)=0,N(G1120)=0),"بدون مبلغ ⚠",IF(B1120&gt;12,"يتجاوز 12 بنداً في الطباعة ⚠","")))))</f>
        <v/>
      </c>
    </row>
    <row r="1121" customFormat="false" ht="15" hidden="false" customHeight="false" outlineLevel="0" collapsed="false">
      <c r="A1121" s="58"/>
      <c r="B1121" s="68" t="str">
        <f aca="false">IF(A1121="","",COUNTIF(A$5:A1121,A1121))</f>
        <v/>
      </c>
      <c r="C1121" s="68" t="str">
        <f aca="false">IF(A1121="","",A1121&amp;"-"&amp;B1121)</f>
        <v/>
      </c>
      <c r="D1121" s="58"/>
      <c r="E1121" s="57"/>
      <c r="F1121" s="69"/>
      <c r="G1121" s="69"/>
      <c r="H1121" s="70" t="str">
        <f aca="false">IF(A1121="","",IFERROR(INDEX(السندات!$C$5:$C$504,MATCH(A1121,السندات!$A$5:$A$504,0)),""))</f>
        <v/>
      </c>
      <c r="I1121" s="71" t="str">
        <f aca="false">IF(A1121="","",IFERROR(INDEX(السندات!$D$5:$D$504,MATCH(A1121,السندات!$A$5:$A$504,0)),""))</f>
        <v/>
      </c>
      <c r="J1121" s="72" t="str">
        <f aca="false">IF(A1121="","",IF(ISNA(MATCH(A1121,السندات!$A$5:$A$504,0)),"رقم سند غير موجود ✘",IF(AND(F1121&lt;&gt;"",G1121&lt;&gt;""),"اكتب مدين أو دائن فقط ✘",IF(AND(N(F1121)=0,N(G1121)=0),"بدون مبلغ ⚠",IF(B1121&gt;12,"يتجاوز 12 بنداً في الطباعة ⚠","")))))</f>
        <v/>
      </c>
    </row>
    <row r="1122" customFormat="false" ht="15" hidden="false" customHeight="false" outlineLevel="0" collapsed="false">
      <c r="A1122" s="58"/>
      <c r="B1122" s="73" t="str">
        <f aca="false">IF(A1122="","",COUNTIF(A$5:A1122,A1122))</f>
        <v/>
      </c>
      <c r="C1122" s="73" t="str">
        <f aca="false">IF(A1122="","",A1122&amp;"-"&amp;B1122)</f>
        <v/>
      </c>
      <c r="D1122" s="58"/>
      <c r="E1122" s="57"/>
      <c r="F1122" s="69"/>
      <c r="G1122" s="69"/>
      <c r="H1122" s="74" t="str">
        <f aca="false">IF(A1122="","",IFERROR(INDEX(السندات!$C$5:$C$504,MATCH(A1122,السندات!$A$5:$A$504,0)),""))</f>
        <v/>
      </c>
      <c r="I1122" s="75" t="str">
        <f aca="false">IF(A1122="","",IFERROR(INDEX(السندات!$D$5:$D$504,MATCH(A1122,السندات!$A$5:$A$504,0)),""))</f>
        <v/>
      </c>
      <c r="J1122" s="76" t="str">
        <f aca="false">IF(A1122="","",IF(ISNA(MATCH(A1122,السندات!$A$5:$A$504,0)),"رقم سند غير موجود ✘",IF(AND(F1122&lt;&gt;"",G1122&lt;&gt;""),"اكتب مدين أو دائن فقط ✘",IF(AND(N(F1122)=0,N(G1122)=0),"بدون مبلغ ⚠",IF(B1122&gt;12,"يتجاوز 12 بنداً في الطباعة ⚠","")))))</f>
        <v/>
      </c>
    </row>
    <row r="1123" customFormat="false" ht="15" hidden="false" customHeight="false" outlineLevel="0" collapsed="false">
      <c r="A1123" s="58"/>
      <c r="B1123" s="68" t="str">
        <f aca="false">IF(A1123="","",COUNTIF(A$5:A1123,A1123))</f>
        <v/>
      </c>
      <c r="C1123" s="68" t="str">
        <f aca="false">IF(A1123="","",A1123&amp;"-"&amp;B1123)</f>
        <v/>
      </c>
      <c r="D1123" s="58"/>
      <c r="E1123" s="57"/>
      <c r="F1123" s="69"/>
      <c r="G1123" s="69"/>
      <c r="H1123" s="70" t="str">
        <f aca="false">IF(A1123="","",IFERROR(INDEX(السندات!$C$5:$C$504,MATCH(A1123,السندات!$A$5:$A$504,0)),""))</f>
        <v/>
      </c>
      <c r="I1123" s="71" t="str">
        <f aca="false">IF(A1123="","",IFERROR(INDEX(السندات!$D$5:$D$504,MATCH(A1123,السندات!$A$5:$A$504,0)),""))</f>
        <v/>
      </c>
      <c r="J1123" s="72" t="str">
        <f aca="false">IF(A1123="","",IF(ISNA(MATCH(A1123,السندات!$A$5:$A$504,0)),"رقم سند غير موجود ✘",IF(AND(F1123&lt;&gt;"",G1123&lt;&gt;""),"اكتب مدين أو دائن فقط ✘",IF(AND(N(F1123)=0,N(G1123)=0),"بدون مبلغ ⚠",IF(B1123&gt;12,"يتجاوز 12 بنداً في الطباعة ⚠","")))))</f>
        <v/>
      </c>
    </row>
    <row r="1124" customFormat="false" ht="15" hidden="false" customHeight="false" outlineLevel="0" collapsed="false">
      <c r="A1124" s="58"/>
      <c r="B1124" s="73" t="str">
        <f aca="false">IF(A1124="","",COUNTIF(A$5:A1124,A1124))</f>
        <v/>
      </c>
      <c r="C1124" s="73" t="str">
        <f aca="false">IF(A1124="","",A1124&amp;"-"&amp;B1124)</f>
        <v/>
      </c>
      <c r="D1124" s="58"/>
      <c r="E1124" s="57"/>
      <c r="F1124" s="69"/>
      <c r="G1124" s="69"/>
      <c r="H1124" s="74" t="str">
        <f aca="false">IF(A1124="","",IFERROR(INDEX(السندات!$C$5:$C$504,MATCH(A1124,السندات!$A$5:$A$504,0)),""))</f>
        <v/>
      </c>
      <c r="I1124" s="75" t="str">
        <f aca="false">IF(A1124="","",IFERROR(INDEX(السندات!$D$5:$D$504,MATCH(A1124,السندات!$A$5:$A$504,0)),""))</f>
        <v/>
      </c>
      <c r="J1124" s="76" t="str">
        <f aca="false">IF(A1124="","",IF(ISNA(MATCH(A1124,السندات!$A$5:$A$504,0)),"رقم سند غير موجود ✘",IF(AND(F1124&lt;&gt;"",G1124&lt;&gt;""),"اكتب مدين أو دائن فقط ✘",IF(AND(N(F1124)=0,N(G1124)=0),"بدون مبلغ ⚠",IF(B1124&gt;12,"يتجاوز 12 بنداً في الطباعة ⚠","")))))</f>
        <v/>
      </c>
    </row>
    <row r="1125" customFormat="false" ht="15" hidden="false" customHeight="false" outlineLevel="0" collapsed="false">
      <c r="A1125" s="58"/>
      <c r="B1125" s="68" t="str">
        <f aca="false">IF(A1125="","",COUNTIF(A$5:A1125,A1125))</f>
        <v/>
      </c>
      <c r="C1125" s="68" t="str">
        <f aca="false">IF(A1125="","",A1125&amp;"-"&amp;B1125)</f>
        <v/>
      </c>
      <c r="D1125" s="58"/>
      <c r="E1125" s="57"/>
      <c r="F1125" s="69"/>
      <c r="G1125" s="69"/>
      <c r="H1125" s="70" t="str">
        <f aca="false">IF(A1125="","",IFERROR(INDEX(السندات!$C$5:$C$504,MATCH(A1125,السندات!$A$5:$A$504,0)),""))</f>
        <v/>
      </c>
      <c r="I1125" s="71" t="str">
        <f aca="false">IF(A1125="","",IFERROR(INDEX(السندات!$D$5:$D$504,MATCH(A1125,السندات!$A$5:$A$504,0)),""))</f>
        <v/>
      </c>
      <c r="J1125" s="72" t="str">
        <f aca="false">IF(A1125="","",IF(ISNA(MATCH(A1125,السندات!$A$5:$A$504,0)),"رقم سند غير موجود ✘",IF(AND(F1125&lt;&gt;"",G1125&lt;&gt;""),"اكتب مدين أو دائن فقط ✘",IF(AND(N(F1125)=0,N(G1125)=0),"بدون مبلغ ⚠",IF(B1125&gt;12,"يتجاوز 12 بنداً في الطباعة ⚠","")))))</f>
        <v/>
      </c>
    </row>
    <row r="1126" customFormat="false" ht="15" hidden="false" customHeight="false" outlineLevel="0" collapsed="false">
      <c r="A1126" s="58"/>
      <c r="B1126" s="73" t="str">
        <f aca="false">IF(A1126="","",COUNTIF(A$5:A1126,A1126))</f>
        <v/>
      </c>
      <c r="C1126" s="73" t="str">
        <f aca="false">IF(A1126="","",A1126&amp;"-"&amp;B1126)</f>
        <v/>
      </c>
      <c r="D1126" s="58"/>
      <c r="E1126" s="57"/>
      <c r="F1126" s="69"/>
      <c r="G1126" s="69"/>
      <c r="H1126" s="74" t="str">
        <f aca="false">IF(A1126="","",IFERROR(INDEX(السندات!$C$5:$C$504,MATCH(A1126,السندات!$A$5:$A$504,0)),""))</f>
        <v/>
      </c>
      <c r="I1126" s="75" t="str">
        <f aca="false">IF(A1126="","",IFERROR(INDEX(السندات!$D$5:$D$504,MATCH(A1126,السندات!$A$5:$A$504,0)),""))</f>
        <v/>
      </c>
      <c r="J1126" s="76" t="str">
        <f aca="false">IF(A1126="","",IF(ISNA(MATCH(A1126,السندات!$A$5:$A$504,0)),"رقم سند غير موجود ✘",IF(AND(F1126&lt;&gt;"",G1126&lt;&gt;""),"اكتب مدين أو دائن فقط ✘",IF(AND(N(F1126)=0,N(G1126)=0),"بدون مبلغ ⚠",IF(B1126&gt;12,"يتجاوز 12 بنداً في الطباعة ⚠","")))))</f>
        <v/>
      </c>
    </row>
    <row r="1127" customFormat="false" ht="15" hidden="false" customHeight="false" outlineLevel="0" collapsed="false">
      <c r="A1127" s="58"/>
      <c r="B1127" s="68" t="str">
        <f aca="false">IF(A1127="","",COUNTIF(A$5:A1127,A1127))</f>
        <v/>
      </c>
      <c r="C1127" s="68" t="str">
        <f aca="false">IF(A1127="","",A1127&amp;"-"&amp;B1127)</f>
        <v/>
      </c>
      <c r="D1127" s="58"/>
      <c r="E1127" s="57"/>
      <c r="F1127" s="69"/>
      <c r="G1127" s="69"/>
      <c r="H1127" s="70" t="str">
        <f aca="false">IF(A1127="","",IFERROR(INDEX(السندات!$C$5:$C$504,MATCH(A1127,السندات!$A$5:$A$504,0)),""))</f>
        <v/>
      </c>
      <c r="I1127" s="71" t="str">
        <f aca="false">IF(A1127="","",IFERROR(INDEX(السندات!$D$5:$D$504,MATCH(A1127,السندات!$A$5:$A$504,0)),""))</f>
        <v/>
      </c>
      <c r="J1127" s="72" t="str">
        <f aca="false">IF(A1127="","",IF(ISNA(MATCH(A1127,السندات!$A$5:$A$504,0)),"رقم سند غير موجود ✘",IF(AND(F1127&lt;&gt;"",G1127&lt;&gt;""),"اكتب مدين أو دائن فقط ✘",IF(AND(N(F1127)=0,N(G1127)=0),"بدون مبلغ ⚠",IF(B1127&gt;12,"يتجاوز 12 بنداً في الطباعة ⚠","")))))</f>
        <v/>
      </c>
    </row>
    <row r="1128" customFormat="false" ht="15" hidden="false" customHeight="false" outlineLevel="0" collapsed="false">
      <c r="A1128" s="58"/>
      <c r="B1128" s="73" t="str">
        <f aca="false">IF(A1128="","",COUNTIF(A$5:A1128,A1128))</f>
        <v/>
      </c>
      <c r="C1128" s="73" t="str">
        <f aca="false">IF(A1128="","",A1128&amp;"-"&amp;B1128)</f>
        <v/>
      </c>
      <c r="D1128" s="58"/>
      <c r="E1128" s="57"/>
      <c r="F1128" s="69"/>
      <c r="G1128" s="69"/>
      <c r="H1128" s="74" t="str">
        <f aca="false">IF(A1128="","",IFERROR(INDEX(السندات!$C$5:$C$504,MATCH(A1128,السندات!$A$5:$A$504,0)),""))</f>
        <v/>
      </c>
      <c r="I1128" s="75" t="str">
        <f aca="false">IF(A1128="","",IFERROR(INDEX(السندات!$D$5:$D$504,MATCH(A1128,السندات!$A$5:$A$504,0)),""))</f>
        <v/>
      </c>
      <c r="J1128" s="76" t="str">
        <f aca="false">IF(A1128="","",IF(ISNA(MATCH(A1128,السندات!$A$5:$A$504,0)),"رقم سند غير موجود ✘",IF(AND(F1128&lt;&gt;"",G1128&lt;&gt;""),"اكتب مدين أو دائن فقط ✘",IF(AND(N(F1128)=0,N(G1128)=0),"بدون مبلغ ⚠",IF(B1128&gt;12,"يتجاوز 12 بنداً في الطباعة ⚠","")))))</f>
        <v/>
      </c>
    </row>
    <row r="1129" customFormat="false" ht="15" hidden="false" customHeight="false" outlineLevel="0" collapsed="false">
      <c r="A1129" s="58"/>
      <c r="B1129" s="68" t="str">
        <f aca="false">IF(A1129="","",COUNTIF(A$5:A1129,A1129))</f>
        <v/>
      </c>
      <c r="C1129" s="68" t="str">
        <f aca="false">IF(A1129="","",A1129&amp;"-"&amp;B1129)</f>
        <v/>
      </c>
      <c r="D1129" s="58"/>
      <c r="E1129" s="57"/>
      <c r="F1129" s="69"/>
      <c r="G1129" s="69"/>
      <c r="H1129" s="70" t="str">
        <f aca="false">IF(A1129="","",IFERROR(INDEX(السندات!$C$5:$C$504,MATCH(A1129,السندات!$A$5:$A$504,0)),""))</f>
        <v/>
      </c>
      <c r="I1129" s="71" t="str">
        <f aca="false">IF(A1129="","",IFERROR(INDEX(السندات!$D$5:$D$504,MATCH(A1129,السندات!$A$5:$A$504,0)),""))</f>
        <v/>
      </c>
      <c r="J1129" s="72" t="str">
        <f aca="false">IF(A1129="","",IF(ISNA(MATCH(A1129,السندات!$A$5:$A$504,0)),"رقم سند غير موجود ✘",IF(AND(F1129&lt;&gt;"",G1129&lt;&gt;""),"اكتب مدين أو دائن فقط ✘",IF(AND(N(F1129)=0,N(G1129)=0),"بدون مبلغ ⚠",IF(B1129&gt;12,"يتجاوز 12 بنداً في الطباعة ⚠","")))))</f>
        <v/>
      </c>
    </row>
    <row r="1130" customFormat="false" ht="15" hidden="false" customHeight="false" outlineLevel="0" collapsed="false">
      <c r="A1130" s="58"/>
      <c r="B1130" s="73" t="str">
        <f aca="false">IF(A1130="","",COUNTIF(A$5:A1130,A1130))</f>
        <v/>
      </c>
      <c r="C1130" s="73" t="str">
        <f aca="false">IF(A1130="","",A1130&amp;"-"&amp;B1130)</f>
        <v/>
      </c>
      <c r="D1130" s="58"/>
      <c r="E1130" s="57"/>
      <c r="F1130" s="69"/>
      <c r="G1130" s="69"/>
      <c r="H1130" s="74" t="str">
        <f aca="false">IF(A1130="","",IFERROR(INDEX(السندات!$C$5:$C$504,MATCH(A1130,السندات!$A$5:$A$504,0)),""))</f>
        <v/>
      </c>
      <c r="I1130" s="75" t="str">
        <f aca="false">IF(A1130="","",IFERROR(INDEX(السندات!$D$5:$D$504,MATCH(A1130,السندات!$A$5:$A$504,0)),""))</f>
        <v/>
      </c>
      <c r="J1130" s="76" t="str">
        <f aca="false">IF(A1130="","",IF(ISNA(MATCH(A1130,السندات!$A$5:$A$504,0)),"رقم سند غير موجود ✘",IF(AND(F1130&lt;&gt;"",G1130&lt;&gt;""),"اكتب مدين أو دائن فقط ✘",IF(AND(N(F1130)=0,N(G1130)=0),"بدون مبلغ ⚠",IF(B1130&gt;12,"يتجاوز 12 بنداً في الطباعة ⚠","")))))</f>
        <v/>
      </c>
    </row>
    <row r="1131" customFormat="false" ht="15" hidden="false" customHeight="false" outlineLevel="0" collapsed="false">
      <c r="A1131" s="58"/>
      <c r="B1131" s="68" t="str">
        <f aca="false">IF(A1131="","",COUNTIF(A$5:A1131,A1131))</f>
        <v/>
      </c>
      <c r="C1131" s="68" t="str">
        <f aca="false">IF(A1131="","",A1131&amp;"-"&amp;B1131)</f>
        <v/>
      </c>
      <c r="D1131" s="58"/>
      <c r="E1131" s="57"/>
      <c r="F1131" s="69"/>
      <c r="G1131" s="69"/>
      <c r="H1131" s="70" t="str">
        <f aca="false">IF(A1131="","",IFERROR(INDEX(السندات!$C$5:$C$504,MATCH(A1131,السندات!$A$5:$A$504,0)),""))</f>
        <v/>
      </c>
      <c r="I1131" s="71" t="str">
        <f aca="false">IF(A1131="","",IFERROR(INDEX(السندات!$D$5:$D$504,MATCH(A1131,السندات!$A$5:$A$504,0)),""))</f>
        <v/>
      </c>
      <c r="J1131" s="72" t="str">
        <f aca="false">IF(A1131="","",IF(ISNA(MATCH(A1131,السندات!$A$5:$A$504,0)),"رقم سند غير موجود ✘",IF(AND(F1131&lt;&gt;"",G1131&lt;&gt;""),"اكتب مدين أو دائن فقط ✘",IF(AND(N(F1131)=0,N(G1131)=0),"بدون مبلغ ⚠",IF(B1131&gt;12,"يتجاوز 12 بنداً في الطباعة ⚠","")))))</f>
        <v/>
      </c>
    </row>
    <row r="1132" customFormat="false" ht="15" hidden="false" customHeight="false" outlineLevel="0" collapsed="false">
      <c r="A1132" s="58"/>
      <c r="B1132" s="73" t="str">
        <f aca="false">IF(A1132="","",COUNTIF(A$5:A1132,A1132))</f>
        <v/>
      </c>
      <c r="C1132" s="73" t="str">
        <f aca="false">IF(A1132="","",A1132&amp;"-"&amp;B1132)</f>
        <v/>
      </c>
      <c r="D1132" s="58"/>
      <c r="E1132" s="57"/>
      <c r="F1132" s="69"/>
      <c r="G1132" s="69"/>
      <c r="H1132" s="74" t="str">
        <f aca="false">IF(A1132="","",IFERROR(INDEX(السندات!$C$5:$C$504,MATCH(A1132,السندات!$A$5:$A$504,0)),""))</f>
        <v/>
      </c>
      <c r="I1132" s="75" t="str">
        <f aca="false">IF(A1132="","",IFERROR(INDEX(السندات!$D$5:$D$504,MATCH(A1132,السندات!$A$5:$A$504,0)),""))</f>
        <v/>
      </c>
      <c r="J1132" s="76" t="str">
        <f aca="false">IF(A1132="","",IF(ISNA(MATCH(A1132,السندات!$A$5:$A$504,0)),"رقم سند غير موجود ✘",IF(AND(F1132&lt;&gt;"",G1132&lt;&gt;""),"اكتب مدين أو دائن فقط ✘",IF(AND(N(F1132)=0,N(G1132)=0),"بدون مبلغ ⚠",IF(B1132&gt;12,"يتجاوز 12 بنداً في الطباعة ⚠","")))))</f>
        <v/>
      </c>
    </row>
    <row r="1133" customFormat="false" ht="15" hidden="false" customHeight="false" outlineLevel="0" collapsed="false">
      <c r="A1133" s="58"/>
      <c r="B1133" s="68" t="str">
        <f aca="false">IF(A1133="","",COUNTIF(A$5:A1133,A1133))</f>
        <v/>
      </c>
      <c r="C1133" s="68" t="str">
        <f aca="false">IF(A1133="","",A1133&amp;"-"&amp;B1133)</f>
        <v/>
      </c>
      <c r="D1133" s="58"/>
      <c r="E1133" s="57"/>
      <c r="F1133" s="69"/>
      <c r="G1133" s="69"/>
      <c r="H1133" s="70" t="str">
        <f aca="false">IF(A1133="","",IFERROR(INDEX(السندات!$C$5:$C$504,MATCH(A1133,السندات!$A$5:$A$504,0)),""))</f>
        <v/>
      </c>
      <c r="I1133" s="71" t="str">
        <f aca="false">IF(A1133="","",IFERROR(INDEX(السندات!$D$5:$D$504,MATCH(A1133,السندات!$A$5:$A$504,0)),""))</f>
        <v/>
      </c>
      <c r="J1133" s="72" t="str">
        <f aca="false">IF(A1133="","",IF(ISNA(MATCH(A1133,السندات!$A$5:$A$504,0)),"رقم سند غير موجود ✘",IF(AND(F1133&lt;&gt;"",G1133&lt;&gt;""),"اكتب مدين أو دائن فقط ✘",IF(AND(N(F1133)=0,N(G1133)=0),"بدون مبلغ ⚠",IF(B1133&gt;12,"يتجاوز 12 بنداً في الطباعة ⚠","")))))</f>
        <v/>
      </c>
    </row>
    <row r="1134" customFormat="false" ht="15" hidden="false" customHeight="false" outlineLevel="0" collapsed="false">
      <c r="A1134" s="58"/>
      <c r="B1134" s="73" t="str">
        <f aca="false">IF(A1134="","",COUNTIF(A$5:A1134,A1134))</f>
        <v/>
      </c>
      <c r="C1134" s="73" t="str">
        <f aca="false">IF(A1134="","",A1134&amp;"-"&amp;B1134)</f>
        <v/>
      </c>
      <c r="D1134" s="58"/>
      <c r="E1134" s="57"/>
      <c r="F1134" s="69"/>
      <c r="G1134" s="69"/>
      <c r="H1134" s="74" t="str">
        <f aca="false">IF(A1134="","",IFERROR(INDEX(السندات!$C$5:$C$504,MATCH(A1134,السندات!$A$5:$A$504,0)),""))</f>
        <v/>
      </c>
      <c r="I1134" s="75" t="str">
        <f aca="false">IF(A1134="","",IFERROR(INDEX(السندات!$D$5:$D$504,MATCH(A1134,السندات!$A$5:$A$504,0)),""))</f>
        <v/>
      </c>
      <c r="J1134" s="76" t="str">
        <f aca="false">IF(A1134="","",IF(ISNA(MATCH(A1134,السندات!$A$5:$A$504,0)),"رقم سند غير موجود ✘",IF(AND(F1134&lt;&gt;"",G1134&lt;&gt;""),"اكتب مدين أو دائن فقط ✘",IF(AND(N(F1134)=0,N(G1134)=0),"بدون مبلغ ⚠",IF(B1134&gt;12,"يتجاوز 12 بنداً في الطباعة ⚠","")))))</f>
        <v/>
      </c>
    </row>
    <row r="1135" customFormat="false" ht="15" hidden="false" customHeight="false" outlineLevel="0" collapsed="false">
      <c r="A1135" s="58"/>
      <c r="B1135" s="68" t="str">
        <f aca="false">IF(A1135="","",COUNTIF(A$5:A1135,A1135))</f>
        <v/>
      </c>
      <c r="C1135" s="68" t="str">
        <f aca="false">IF(A1135="","",A1135&amp;"-"&amp;B1135)</f>
        <v/>
      </c>
      <c r="D1135" s="58"/>
      <c r="E1135" s="57"/>
      <c r="F1135" s="69"/>
      <c r="G1135" s="69"/>
      <c r="H1135" s="70" t="str">
        <f aca="false">IF(A1135="","",IFERROR(INDEX(السندات!$C$5:$C$504,MATCH(A1135,السندات!$A$5:$A$504,0)),""))</f>
        <v/>
      </c>
      <c r="I1135" s="71" t="str">
        <f aca="false">IF(A1135="","",IFERROR(INDEX(السندات!$D$5:$D$504,MATCH(A1135,السندات!$A$5:$A$504,0)),""))</f>
        <v/>
      </c>
      <c r="J1135" s="72" t="str">
        <f aca="false">IF(A1135="","",IF(ISNA(MATCH(A1135,السندات!$A$5:$A$504,0)),"رقم سند غير موجود ✘",IF(AND(F1135&lt;&gt;"",G1135&lt;&gt;""),"اكتب مدين أو دائن فقط ✘",IF(AND(N(F1135)=0,N(G1135)=0),"بدون مبلغ ⚠",IF(B1135&gt;12,"يتجاوز 12 بنداً في الطباعة ⚠","")))))</f>
        <v/>
      </c>
    </row>
    <row r="1136" customFormat="false" ht="15" hidden="false" customHeight="false" outlineLevel="0" collapsed="false">
      <c r="A1136" s="58"/>
      <c r="B1136" s="73" t="str">
        <f aca="false">IF(A1136="","",COUNTIF(A$5:A1136,A1136))</f>
        <v/>
      </c>
      <c r="C1136" s="73" t="str">
        <f aca="false">IF(A1136="","",A1136&amp;"-"&amp;B1136)</f>
        <v/>
      </c>
      <c r="D1136" s="58"/>
      <c r="E1136" s="57"/>
      <c r="F1136" s="69"/>
      <c r="G1136" s="69"/>
      <c r="H1136" s="74" t="str">
        <f aca="false">IF(A1136="","",IFERROR(INDEX(السندات!$C$5:$C$504,MATCH(A1136,السندات!$A$5:$A$504,0)),""))</f>
        <v/>
      </c>
      <c r="I1136" s="75" t="str">
        <f aca="false">IF(A1136="","",IFERROR(INDEX(السندات!$D$5:$D$504,MATCH(A1136,السندات!$A$5:$A$504,0)),""))</f>
        <v/>
      </c>
      <c r="J1136" s="76" t="str">
        <f aca="false">IF(A1136="","",IF(ISNA(MATCH(A1136,السندات!$A$5:$A$504,0)),"رقم سند غير موجود ✘",IF(AND(F1136&lt;&gt;"",G1136&lt;&gt;""),"اكتب مدين أو دائن فقط ✘",IF(AND(N(F1136)=0,N(G1136)=0),"بدون مبلغ ⚠",IF(B1136&gt;12,"يتجاوز 12 بنداً في الطباعة ⚠","")))))</f>
        <v/>
      </c>
    </row>
    <row r="1137" customFormat="false" ht="15" hidden="false" customHeight="false" outlineLevel="0" collapsed="false">
      <c r="A1137" s="58"/>
      <c r="B1137" s="68" t="str">
        <f aca="false">IF(A1137="","",COUNTIF(A$5:A1137,A1137))</f>
        <v/>
      </c>
      <c r="C1137" s="68" t="str">
        <f aca="false">IF(A1137="","",A1137&amp;"-"&amp;B1137)</f>
        <v/>
      </c>
      <c r="D1137" s="58"/>
      <c r="E1137" s="57"/>
      <c r="F1137" s="69"/>
      <c r="G1137" s="69"/>
      <c r="H1137" s="70" t="str">
        <f aca="false">IF(A1137="","",IFERROR(INDEX(السندات!$C$5:$C$504,MATCH(A1137,السندات!$A$5:$A$504,0)),""))</f>
        <v/>
      </c>
      <c r="I1137" s="71" t="str">
        <f aca="false">IF(A1137="","",IFERROR(INDEX(السندات!$D$5:$D$504,MATCH(A1137,السندات!$A$5:$A$504,0)),""))</f>
        <v/>
      </c>
      <c r="J1137" s="72" t="str">
        <f aca="false">IF(A1137="","",IF(ISNA(MATCH(A1137,السندات!$A$5:$A$504,0)),"رقم سند غير موجود ✘",IF(AND(F1137&lt;&gt;"",G1137&lt;&gt;""),"اكتب مدين أو دائن فقط ✘",IF(AND(N(F1137)=0,N(G1137)=0),"بدون مبلغ ⚠",IF(B1137&gt;12,"يتجاوز 12 بنداً في الطباعة ⚠","")))))</f>
        <v/>
      </c>
    </row>
    <row r="1138" customFormat="false" ht="15" hidden="false" customHeight="false" outlineLevel="0" collapsed="false">
      <c r="A1138" s="58"/>
      <c r="B1138" s="73" t="str">
        <f aca="false">IF(A1138="","",COUNTIF(A$5:A1138,A1138))</f>
        <v/>
      </c>
      <c r="C1138" s="73" t="str">
        <f aca="false">IF(A1138="","",A1138&amp;"-"&amp;B1138)</f>
        <v/>
      </c>
      <c r="D1138" s="58"/>
      <c r="E1138" s="57"/>
      <c r="F1138" s="69"/>
      <c r="G1138" s="69"/>
      <c r="H1138" s="74" t="str">
        <f aca="false">IF(A1138="","",IFERROR(INDEX(السندات!$C$5:$C$504,MATCH(A1138,السندات!$A$5:$A$504,0)),""))</f>
        <v/>
      </c>
      <c r="I1138" s="75" t="str">
        <f aca="false">IF(A1138="","",IFERROR(INDEX(السندات!$D$5:$D$504,MATCH(A1138,السندات!$A$5:$A$504,0)),""))</f>
        <v/>
      </c>
      <c r="J1138" s="76" t="str">
        <f aca="false">IF(A1138="","",IF(ISNA(MATCH(A1138,السندات!$A$5:$A$504,0)),"رقم سند غير موجود ✘",IF(AND(F1138&lt;&gt;"",G1138&lt;&gt;""),"اكتب مدين أو دائن فقط ✘",IF(AND(N(F1138)=0,N(G1138)=0),"بدون مبلغ ⚠",IF(B1138&gt;12,"يتجاوز 12 بنداً في الطباعة ⚠","")))))</f>
        <v/>
      </c>
    </row>
    <row r="1139" customFormat="false" ht="15" hidden="false" customHeight="false" outlineLevel="0" collapsed="false">
      <c r="A1139" s="58"/>
      <c r="B1139" s="68" t="str">
        <f aca="false">IF(A1139="","",COUNTIF(A$5:A1139,A1139))</f>
        <v/>
      </c>
      <c r="C1139" s="68" t="str">
        <f aca="false">IF(A1139="","",A1139&amp;"-"&amp;B1139)</f>
        <v/>
      </c>
      <c r="D1139" s="58"/>
      <c r="E1139" s="57"/>
      <c r="F1139" s="69"/>
      <c r="G1139" s="69"/>
      <c r="H1139" s="70" t="str">
        <f aca="false">IF(A1139="","",IFERROR(INDEX(السندات!$C$5:$C$504,MATCH(A1139,السندات!$A$5:$A$504,0)),""))</f>
        <v/>
      </c>
      <c r="I1139" s="71" t="str">
        <f aca="false">IF(A1139="","",IFERROR(INDEX(السندات!$D$5:$D$504,MATCH(A1139,السندات!$A$5:$A$504,0)),""))</f>
        <v/>
      </c>
      <c r="J1139" s="72" t="str">
        <f aca="false">IF(A1139="","",IF(ISNA(MATCH(A1139,السندات!$A$5:$A$504,0)),"رقم سند غير موجود ✘",IF(AND(F1139&lt;&gt;"",G1139&lt;&gt;""),"اكتب مدين أو دائن فقط ✘",IF(AND(N(F1139)=0,N(G1139)=0),"بدون مبلغ ⚠",IF(B1139&gt;12,"يتجاوز 12 بنداً في الطباعة ⚠","")))))</f>
        <v/>
      </c>
    </row>
    <row r="1140" customFormat="false" ht="15" hidden="false" customHeight="false" outlineLevel="0" collapsed="false">
      <c r="A1140" s="58"/>
      <c r="B1140" s="73" t="str">
        <f aca="false">IF(A1140="","",COUNTIF(A$5:A1140,A1140))</f>
        <v/>
      </c>
      <c r="C1140" s="73" t="str">
        <f aca="false">IF(A1140="","",A1140&amp;"-"&amp;B1140)</f>
        <v/>
      </c>
      <c r="D1140" s="58"/>
      <c r="E1140" s="57"/>
      <c r="F1140" s="69"/>
      <c r="G1140" s="69"/>
      <c r="H1140" s="74" t="str">
        <f aca="false">IF(A1140="","",IFERROR(INDEX(السندات!$C$5:$C$504,MATCH(A1140,السندات!$A$5:$A$504,0)),""))</f>
        <v/>
      </c>
      <c r="I1140" s="75" t="str">
        <f aca="false">IF(A1140="","",IFERROR(INDEX(السندات!$D$5:$D$504,MATCH(A1140,السندات!$A$5:$A$504,0)),""))</f>
        <v/>
      </c>
      <c r="J1140" s="76" t="str">
        <f aca="false">IF(A1140="","",IF(ISNA(MATCH(A1140,السندات!$A$5:$A$504,0)),"رقم سند غير موجود ✘",IF(AND(F1140&lt;&gt;"",G1140&lt;&gt;""),"اكتب مدين أو دائن فقط ✘",IF(AND(N(F1140)=0,N(G1140)=0),"بدون مبلغ ⚠",IF(B1140&gt;12,"يتجاوز 12 بنداً في الطباعة ⚠","")))))</f>
        <v/>
      </c>
    </row>
    <row r="1141" customFormat="false" ht="15" hidden="false" customHeight="false" outlineLevel="0" collapsed="false">
      <c r="A1141" s="58"/>
      <c r="B1141" s="68" t="str">
        <f aca="false">IF(A1141="","",COUNTIF(A$5:A1141,A1141))</f>
        <v/>
      </c>
      <c r="C1141" s="68" t="str">
        <f aca="false">IF(A1141="","",A1141&amp;"-"&amp;B1141)</f>
        <v/>
      </c>
      <c r="D1141" s="58"/>
      <c r="E1141" s="57"/>
      <c r="F1141" s="69"/>
      <c r="G1141" s="69"/>
      <c r="H1141" s="70" t="str">
        <f aca="false">IF(A1141="","",IFERROR(INDEX(السندات!$C$5:$C$504,MATCH(A1141,السندات!$A$5:$A$504,0)),""))</f>
        <v/>
      </c>
      <c r="I1141" s="71" t="str">
        <f aca="false">IF(A1141="","",IFERROR(INDEX(السندات!$D$5:$D$504,MATCH(A1141,السندات!$A$5:$A$504,0)),""))</f>
        <v/>
      </c>
      <c r="J1141" s="72" t="str">
        <f aca="false">IF(A1141="","",IF(ISNA(MATCH(A1141,السندات!$A$5:$A$504,0)),"رقم سند غير موجود ✘",IF(AND(F1141&lt;&gt;"",G1141&lt;&gt;""),"اكتب مدين أو دائن فقط ✘",IF(AND(N(F1141)=0,N(G1141)=0),"بدون مبلغ ⚠",IF(B1141&gt;12,"يتجاوز 12 بنداً في الطباعة ⚠","")))))</f>
        <v/>
      </c>
    </row>
    <row r="1142" customFormat="false" ht="15" hidden="false" customHeight="false" outlineLevel="0" collapsed="false">
      <c r="A1142" s="58"/>
      <c r="B1142" s="73" t="str">
        <f aca="false">IF(A1142="","",COUNTIF(A$5:A1142,A1142))</f>
        <v/>
      </c>
      <c r="C1142" s="73" t="str">
        <f aca="false">IF(A1142="","",A1142&amp;"-"&amp;B1142)</f>
        <v/>
      </c>
      <c r="D1142" s="58"/>
      <c r="E1142" s="57"/>
      <c r="F1142" s="69"/>
      <c r="G1142" s="69"/>
      <c r="H1142" s="74" t="str">
        <f aca="false">IF(A1142="","",IFERROR(INDEX(السندات!$C$5:$C$504,MATCH(A1142,السندات!$A$5:$A$504,0)),""))</f>
        <v/>
      </c>
      <c r="I1142" s="75" t="str">
        <f aca="false">IF(A1142="","",IFERROR(INDEX(السندات!$D$5:$D$504,MATCH(A1142,السندات!$A$5:$A$504,0)),""))</f>
        <v/>
      </c>
      <c r="J1142" s="76" t="str">
        <f aca="false">IF(A1142="","",IF(ISNA(MATCH(A1142,السندات!$A$5:$A$504,0)),"رقم سند غير موجود ✘",IF(AND(F1142&lt;&gt;"",G1142&lt;&gt;""),"اكتب مدين أو دائن فقط ✘",IF(AND(N(F1142)=0,N(G1142)=0),"بدون مبلغ ⚠",IF(B1142&gt;12,"يتجاوز 12 بنداً في الطباعة ⚠","")))))</f>
        <v/>
      </c>
    </row>
    <row r="1143" customFormat="false" ht="15" hidden="false" customHeight="false" outlineLevel="0" collapsed="false">
      <c r="A1143" s="58"/>
      <c r="B1143" s="68" t="str">
        <f aca="false">IF(A1143="","",COUNTIF(A$5:A1143,A1143))</f>
        <v/>
      </c>
      <c r="C1143" s="68" t="str">
        <f aca="false">IF(A1143="","",A1143&amp;"-"&amp;B1143)</f>
        <v/>
      </c>
      <c r="D1143" s="58"/>
      <c r="E1143" s="57"/>
      <c r="F1143" s="69"/>
      <c r="G1143" s="69"/>
      <c r="H1143" s="70" t="str">
        <f aca="false">IF(A1143="","",IFERROR(INDEX(السندات!$C$5:$C$504,MATCH(A1143,السندات!$A$5:$A$504,0)),""))</f>
        <v/>
      </c>
      <c r="I1143" s="71" t="str">
        <f aca="false">IF(A1143="","",IFERROR(INDEX(السندات!$D$5:$D$504,MATCH(A1143,السندات!$A$5:$A$504,0)),""))</f>
        <v/>
      </c>
      <c r="J1143" s="72" t="str">
        <f aca="false">IF(A1143="","",IF(ISNA(MATCH(A1143,السندات!$A$5:$A$504,0)),"رقم سند غير موجود ✘",IF(AND(F1143&lt;&gt;"",G1143&lt;&gt;""),"اكتب مدين أو دائن فقط ✘",IF(AND(N(F1143)=0,N(G1143)=0),"بدون مبلغ ⚠",IF(B1143&gt;12,"يتجاوز 12 بنداً في الطباعة ⚠","")))))</f>
        <v/>
      </c>
    </row>
    <row r="1144" customFormat="false" ht="15" hidden="false" customHeight="false" outlineLevel="0" collapsed="false">
      <c r="A1144" s="58"/>
      <c r="B1144" s="73" t="str">
        <f aca="false">IF(A1144="","",COUNTIF(A$5:A1144,A1144))</f>
        <v/>
      </c>
      <c r="C1144" s="73" t="str">
        <f aca="false">IF(A1144="","",A1144&amp;"-"&amp;B1144)</f>
        <v/>
      </c>
      <c r="D1144" s="58"/>
      <c r="E1144" s="57"/>
      <c r="F1144" s="69"/>
      <c r="G1144" s="69"/>
      <c r="H1144" s="74" t="str">
        <f aca="false">IF(A1144="","",IFERROR(INDEX(السندات!$C$5:$C$504,MATCH(A1144,السندات!$A$5:$A$504,0)),""))</f>
        <v/>
      </c>
      <c r="I1144" s="75" t="str">
        <f aca="false">IF(A1144="","",IFERROR(INDEX(السندات!$D$5:$D$504,MATCH(A1144,السندات!$A$5:$A$504,0)),""))</f>
        <v/>
      </c>
      <c r="J1144" s="76" t="str">
        <f aca="false">IF(A1144="","",IF(ISNA(MATCH(A1144,السندات!$A$5:$A$504,0)),"رقم سند غير موجود ✘",IF(AND(F1144&lt;&gt;"",G1144&lt;&gt;""),"اكتب مدين أو دائن فقط ✘",IF(AND(N(F1144)=0,N(G1144)=0),"بدون مبلغ ⚠",IF(B1144&gt;12,"يتجاوز 12 بنداً في الطباعة ⚠","")))))</f>
        <v/>
      </c>
    </row>
    <row r="1145" customFormat="false" ht="15" hidden="false" customHeight="false" outlineLevel="0" collapsed="false">
      <c r="A1145" s="58"/>
      <c r="B1145" s="68" t="str">
        <f aca="false">IF(A1145="","",COUNTIF(A$5:A1145,A1145))</f>
        <v/>
      </c>
      <c r="C1145" s="68" t="str">
        <f aca="false">IF(A1145="","",A1145&amp;"-"&amp;B1145)</f>
        <v/>
      </c>
      <c r="D1145" s="58"/>
      <c r="E1145" s="57"/>
      <c r="F1145" s="69"/>
      <c r="G1145" s="69"/>
      <c r="H1145" s="70" t="str">
        <f aca="false">IF(A1145="","",IFERROR(INDEX(السندات!$C$5:$C$504,MATCH(A1145,السندات!$A$5:$A$504,0)),""))</f>
        <v/>
      </c>
      <c r="I1145" s="71" t="str">
        <f aca="false">IF(A1145="","",IFERROR(INDEX(السندات!$D$5:$D$504,MATCH(A1145,السندات!$A$5:$A$504,0)),""))</f>
        <v/>
      </c>
      <c r="J1145" s="72" t="str">
        <f aca="false">IF(A1145="","",IF(ISNA(MATCH(A1145,السندات!$A$5:$A$504,0)),"رقم سند غير موجود ✘",IF(AND(F1145&lt;&gt;"",G1145&lt;&gt;""),"اكتب مدين أو دائن فقط ✘",IF(AND(N(F1145)=0,N(G1145)=0),"بدون مبلغ ⚠",IF(B1145&gt;12,"يتجاوز 12 بنداً في الطباعة ⚠","")))))</f>
        <v/>
      </c>
    </row>
    <row r="1146" customFormat="false" ht="15" hidden="false" customHeight="false" outlineLevel="0" collapsed="false">
      <c r="A1146" s="58"/>
      <c r="B1146" s="73" t="str">
        <f aca="false">IF(A1146="","",COUNTIF(A$5:A1146,A1146))</f>
        <v/>
      </c>
      <c r="C1146" s="73" t="str">
        <f aca="false">IF(A1146="","",A1146&amp;"-"&amp;B1146)</f>
        <v/>
      </c>
      <c r="D1146" s="58"/>
      <c r="E1146" s="57"/>
      <c r="F1146" s="69"/>
      <c r="G1146" s="69"/>
      <c r="H1146" s="74" t="str">
        <f aca="false">IF(A1146="","",IFERROR(INDEX(السندات!$C$5:$C$504,MATCH(A1146,السندات!$A$5:$A$504,0)),""))</f>
        <v/>
      </c>
      <c r="I1146" s="75" t="str">
        <f aca="false">IF(A1146="","",IFERROR(INDEX(السندات!$D$5:$D$504,MATCH(A1146,السندات!$A$5:$A$504,0)),""))</f>
        <v/>
      </c>
      <c r="J1146" s="76" t="str">
        <f aca="false">IF(A1146="","",IF(ISNA(MATCH(A1146,السندات!$A$5:$A$504,0)),"رقم سند غير موجود ✘",IF(AND(F1146&lt;&gt;"",G1146&lt;&gt;""),"اكتب مدين أو دائن فقط ✘",IF(AND(N(F1146)=0,N(G1146)=0),"بدون مبلغ ⚠",IF(B1146&gt;12,"يتجاوز 12 بنداً في الطباعة ⚠","")))))</f>
        <v/>
      </c>
    </row>
    <row r="1147" customFormat="false" ht="15" hidden="false" customHeight="false" outlineLevel="0" collapsed="false">
      <c r="A1147" s="58"/>
      <c r="B1147" s="68" t="str">
        <f aca="false">IF(A1147="","",COUNTIF(A$5:A1147,A1147))</f>
        <v/>
      </c>
      <c r="C1147" s="68" t="str">
        <f aca="false">IF(A1147="","",A1147&amp;"-"&amp;B1147)</f>
        <v/>
      </c>
      <c r="D1147" s="58"/>
      <c r="E1147" s="57"/>
      <c r="F1147" s="69"/>
      <c r="G1147" s="69"/>
      <c r="H1147" s="70" t="str">
        <f aca="false">IF(A1147="","",IFERROR(INDEX(السندات!$C$5:$C$504,MATCH(A1147,السندات!$A$5:$A$504,0)),""))</f>
        <v/>
      </c>
      <c r="I1147" s="71" t="str">
        <f aca="false">IF(A1147="","",IFERROR(INDEX(السندات!$D$5:$D$504,MATCH(A1147,السندات!$A$5:$A$504,0)),""))</f>
        <v/>
      </c>
      <c r="J1147" s="72" t="str">
        <f aca="false">IF(A1147="","",IF(ISNA(MATCH(A1147,السندات!$A$5:$A$504,0)),"رقم سند غير موجود ✘",IF(AND(F1147&lt;&gt;"",G1147&lt;&gt;""),"اكتب مدين أو دائن فقط ✘",IF(AND(N(F1147)=0,N(G1147)=0),"بدون مبلغ ⚠",IF(B1147&gt;12,"يتجاوز 12 بنداً في الطباعة ⚠","")))))</f>
        <v/>
      </c>
    </row>
    <row r="1148" customFormat="false" ht="15" hidden="false" customHeight="false" outlineLevel="0" collapsed="false">
      <c r="A1148" s="58"/>
      <c r="B1148" s="73" t="str">
        <f aca="false">IF(A1148="","",COUNTIF(A$5:A1148,A1148))</f>
        <v/>
      </c>
      <c r="C1148" s="73" t="str">
        <f aca="false">IF(A1148="","",A1148&amp;"-"&amp;B1148)</f>
        <v/>
      </c>
      <c r="D1148" s="58"/>
      <c r="E1148" s="57"/>
      <c r="F1148" s="69"/>
      <c r="G1148" s="69"/>
      <c r="H1148" s="74" t="str">
        <f aca="false">IF(A1148="","",IFERROR(INDEX(السندات!$C$5:$C$504,MATCH(A1148,السندات!$A$5:$A$504,0)),""))</f>
        <v/>
      </c>
      <c r="I1148" s="75" t="str">
        <f aca="false">IF(A1148="","",IFERROR(INDEX(السندات!$D$5:$D$504,MATCH(A1148,السندات!$A$5:$A$504,0)),""))</f>
        <v/>
      </c>
      <c r="J1148" s="76" t="str">
        <f aca="false">IF(A1148="","",IF(ISNA(MATCH(A1148,السندات!$A$5:$A$504,0)),"رقم سند غير موجود ✘",IF(AND(F1148&lt;&gt;"",G1148&lt;&gt;""),"اكتب مدين أو دائن فقط ✘",IF(AND(N(F1148)=0,N(G1148)=0),"بدون مبلغ ⚠",IF(B1148&gt;12,"يتجاوز 12 بنداً في الطباعة ⚠","")))))</f>
        <v/>
      </c>
    </row>
    <row r="1149" customFormat="false" ht="15" hidden="false" customHeight="false" outlineLevel="0" collapsed="false">
      <c r="A1149" s="58"/>
      <c r="B1149" s="68" t="str">
        <f aca="false">IF(A1149="","",COUNTIF(A$5:A1149,A1149))</f>
        <v/>
      </c>
      <c r="C1149" s="68" t="str">
        <f aca="false">IF(A1149="","",A1149&amp;"-"&amp;B1149)</f>
        <v/>
      </c>
      <c r="D1149" s="58"/>
      <c r="E1149" s="57"/>
      <c r="F1149" s="69"/>
      <c r="G1149" s="69"/>
      <c r="H1149" s="70" t="str">
        <f aca="false">IF(A1149="","",IFERROR(INDEX(السندات!$C$5:$C$504,MATCH(A1149,السندات!$A$5:$A$504,0)),""))</f>
        <v/>
      </c>
      <c r="I1149" s="71" t="str">
        <f aca="false">IF(A1149="","",IFERROR(INDEX(السندات!$D$5:$D$504,MATCH(A1149,السندات!$A$5:$A$504,0)),""))</f>
        <v/>
      </c>
      <c r="J1149" s="72" t="str">
        <f aca="false">IF(A1149="","",IF(ISNA(MATCH(A1149,السندات!$A$5:$A$504,0)),"رقم سند غير موجود ✘",IF(AND(F1149&lt;&gt;"",G1149&lt;&gt;""),"اكتب مدين أو دائن فقط ✘",IF(AND(N(F1149)=0,N(G1149)=0),"بدون مبلغ ⚠",IF(B1149&gt;12,"يتجاوز 12 بنداً في الطباعة ⚠","")))))</f>
        <v/>
      </c>
    </row>
    <row r="1150" customFormat="false" ht="15" hidden="false" customHeight="false" outlineLevel="0" collapsed="false">
      <c r="A1150" s="58"/>
      <c r="B1150" s="73" t="str">
        <f aca="false">IF(A1150="","",COUNTIF(A$5:A1150,A1150))</f>
        <v/>
      </c>
      <c r="C1150" s="73" t="str">
        <f aca="false">IF(A1150="","",A1150&amp;"-"&amp;B1150)</f>
        <v/>
      </c>
      <c r="D1150" s="58"/>
      <c r="E1150" s="57"/>
      <c r="F1150" s="69"/>
      <c r="G1150" s="69"/>
      <c r="H1150" s="74" t="str">
        <f aca="false">IF(A1150="","",IFERROR(INDEX(السندات!$C$5:$C$504,MATCH(A1150,السندات!$A$5:$A$504,0)),""))</f>
        <v/>
      </c>
      <c r="I1150" s="75" t="str">
        <f aca="false">IF(A1150="","",IFERROR(INDEX(السندات!$D$5:$D$504,MATCH(A1150,السندات!$A$5:$A$504,0)),""))</f>
        <v/>
      </c>
      <c r="J1150" s="76" t="str">
        <f aca="false">IF(A1150="","",IF(ISNA(MATCH(A1150,السندات!$A$5:$A$504,0)),"رقم سند غير موجود ✘",IF(AND(F1150&lt;&gt;"",G1150&lt;&gt;""),"اكتب مدين أو دائن فقط ✘",IF(AND(N(F1150)=0,N(G1150)=0),"بدون مبلغ ⚠",IF(B1150&gt;12,"يتجاوز 12 بنداً في الطباعة ⚠","")))))</f>
        <v/>
      </c>
    </row>
    <row r="1151" customFormat="false" ht="15" hidden="false" customHeight="false" outlineLevel="0" collapsed="false">
      <c r="A1151" s="58"/>
      <c r="B1151" s="68" t="str">
        <f aca="false">IF(A1151="","",COUNTIF(A$5:A1151,A1151))</f>
        <v/>
      </c>
      <c r="C1151" s="68" t="str">
        <f aca="false">IF(A1151="","",A1151&amp;"-"&amp;B1151)</f>
        <v/>
      </c>
      <c r="D1151" s="58"/>
      <c r="E1151" s="57"/>
      <c r="F1151" s="69"/>
      <c r="G1151" s="69"/>
      <c r="H1151" s="70" t="str">
        <f aca="false">IF(A1151="","",IFERROR(INDEX(السندات!$C$5:$C$504,MATCH(A1151,السندات!$A$5:$A$504,0)),""))</f>
        <v/>
      </c>
      <c r="I1151" s="71" t="str">
        <f aca="false">IF(A1151="","",IFERROR(INDEX(السندات!$D$5:$D$504,MATCH(A1151,السندات!$A$5:$A$504,0)),""))</f>
        <v/>
      </c>
      <c r="J1151" s="72" t="str">
        <f aca="false">IF(A1151="","",IF(ISNA(MATCH(A1151,السندات!$A$5:$A$504,0)),"رقم سند غير موجود ✘",IF(AND(F1151&lt;&gt;"",G1151&lt;&gt;""),"اكتب مدين أو دائن فقط ✘",IF(AND(N(F1151)=0,N(G1151)=0),"بدون مبلغ ⚠",IF(B1151&gt;12,"يتجاوز 12 بنداً في الطباعة ⚠","")))))</f>
        <v/>
      </c>
    </row>
    <row r="1152" customFormat="false" ht="15" hidden="false" customHeight="false" outlineLevel="0" collapsed="false">
      <c r="A1152" s="58"/>
      <c r="B1152" s="73" t="str">
        <f aca="false">IF(A1152="","",COUNTIF(A$5:A1152,A1152))</f>
        <v/>
      </c>
      <c r="C1152" s="73" t="str">
        <f aca="false">IF(A1152="","",A1152&amp;"-"&amp;B1152)</f>
        <v/>
      </c>
      <c r="D1152" s="58"/>
      <c r="E1152" s="57"/>
      <c r="F1152" s="69"/>
      <c r="G1152" s="69"/>
      <c r="H1152" s="74" t="str">
        <f aca="false">IF(A1152="","",IFERROR(INDEX(السندات!$C$5:$C$504,MATCH(A1152,السندات!$A$5:$A$504,0)),""))</f>
        <v/>
      </c>
      <c r="I1152" s="75" t="str">
        <f aca="false">IF(A1152="","",IFERROR(INDEX(السندات!$D$5:$D$504,MATCH(A1152,السندات!$A$5:$A$504,0)),""))</f>
        <v/>
      </c>
      <c r="J1152" s="76" t="str">
        <f aca="false">IF(A1152="","",IF(ISNA(MATCH(A1152,السندات!$A$5:$A$504,0)),"رقم سند غير موجود ✘",IF(AND(F1152&lt;&gt;"",G1152&lt;&gt;""),"اكتب مدين أو دائن فقط ✘",IF(AND(N(F1152)=0,N(G1152)=0),"بدون مبلغ ⚠",IF(B1152&gt;12,"يتجاوز 12 بنداً في الطباعة ⚠","")))))</f>
        <v/>
      </c>
    </row>
    <row r="1153" customFormat="false" ht="15" hidden="false" customHeight="false" outlineLevel="0" collapsed="false">
      <c r="A1153" s="58"/>
      <c r="B1153" s="68" t="str">
        <f aca="false">IF(A1153="","",COUNTIF(A$5:A1153,A1153))</f>
        <v/>
      </c>
      <c r="C1153" s="68" t="str">
        <f aca="false">IF(A1153="","",A1153&amp;"-"&amp;B1153)</f>
        <v/>
      </c>
      <c r="D1153" s="58"/>
      <c r="E1153" s="57"/>
      <c r="F1153" s="69"/>
      <c r="G1153" s="69"/>
      <c r="H1153" s="70" t="str">
        <f aca="false">IF(A1153="","",IFERROR(INDEX(السندات!$C$5:$C$504,MATCH(A1153,السندات!$A$5:$A$504,0)),""))</f>
        <v/>
      </c>
      <c r="I1153" s="71" t="str">
        <f aca="false">IF(A1153="","",IFERROR(INDEX(السندات!$D$5:$D$504,MATCH(A1153,السندات!$A$5:$A$504,0)),""))</f>
        <v/>
      </c>
      <c r="J1153" s="72" t="str">
        <f aca="false">IF(A1153="","",IF(ISNA(MATCH(A1153,السندات!$A$5:$A$504,0)),"رقم سند غير موجود ✘",IF(AND(F1153&lt;&gt;"",G1153&lt;&gt;""),"اكتب مدين أو دائن فقط ✘",IF(AND(N(F1153)=0,N(G1153)=0),"بدون مبلغ ⚠",IF(B1153&gt;12,"يتجاوز 12 بنداً في الطباعة ⚠","")))))</f>
        <v/>
      </c>
    </row>
    <row r="1154" customFormat="false" ht="15" hidden="false" customHeight="false" outlineLevel="0" collapsed="false">
      <c r="A1154" s="58"/>
      <c r="B1154" s="73" t="str">
        <f aca="false">IF(A1154="","",COUNTIF(A$5:A1154,A1154))</f>
        <v/>
      </c>
      <c r="C1154" s="73" t="str">
        <f aca="false">IF(A1154="","",A1154&amp;"-"&amp;B1154)</f>
        <v/>
      </c>
      <c r="D1154" s="58"/>
      <c r="E1154" s="57"/>
      <c r="F1154" s="69"/>
      <c r="G1154" s="69"/>
      <c r="H1154" s="74" t="str">
        <f aca="false">IF(A1154="","",IFERROR(INDEX(السندات!$C$5:$C$504,MATCH(A1154,السندات!$A$5:$A$504,0)),""))</f>
        <v/>
      </c>
      <c r="I1154" s="75" t="str">
        <f aca="false">IF(A1154="","",IFERROR(INDEX(السندات!$D$5:$D$504,MATCH(A1154,السندات!$A$5:$A$504,0)),""))</f>
        <v/>
      </c>
      <c r="J1154" s="76" t="str">
        <f aca="false">IF(A1154="","",IF(ISNA(MATCH(A1154,السندات!$A$5:$A$504,0)),"رقم سند غير موجود ✘",IF(AND(F1154&lt;&gt;"",G1154&lt;&gt;""),"اكتب مدين أو دائن فقط ✘",IF(AND(N(F1154)=0,N(G1154)=0),"بدون مبلغ ⚠",IF(B1154&gt;12,"يتجاوز 12 بنداً في الطباعة ⚠","")))))</f>
        <v/>
      </c>
    </row>
    <row r="1155" customFormat="false" ht="15" hidden="false" customHeight="false" outlineLevel="0" collapsed="false">
      <c r="A1155" s="58"/>
      <c r="B1155" s="68" t="str">
        <f aca="false">IF(A1155="","",COUNTIF(A$5:A1155,A1155))</f>
        <v/>
      </c>
      <c r="C1155" s="68" t="str">
        <f aca="false">IF(A1155="","",A1155&amp;"-"&amp;B1155)</f>
        <v/>
      </c>
      <c r="D1155" s="58"/>
      <c r="E1155" s="57"/>
      <c r="F1155" s="69"/>
      <c r="G1155" s="69"/>
      <c r="H1155" s="70" t="str">
        <f aca="false">IF(A1155="","",IFERROR(INDEX(السندات!$C$5:$C$504,MATCH(A1155,السندات!$A$5:$A$504,0)),""))</f>
        <v/>
      </c>
      <c r="I1155" s="71" t="str">
        <f aca="false">IF(A1155="","",IFERROR(INDEX(السندات!$D$5:$D$504,MATCH(A1155,السندات!$A$5:$A$504,0)),""))</f>
        <v/>
      </c>
      <c r="J1155" s="72" t="str">
        <f aca="false">IF(A1155="","",IF(ISNA(MATCH(A1155,السندات!$A$5:$A$504,0)),"رقم سند غير موجود ✘",IF(AND(F1155&lt;&gt;"",G1155&lt;&gt;""),"اكتب مدين أو دائن فقط ✘",IF(AND(N(F1155)=0,N(G1155)=0),"بدون مبلغ ⚠",IF(B1155&gt;12,"يتجاوز 12 بنداً في الطباعة ⚠","")))))</f>
        <v/>
      </c>
    </row>
    <row r="1156" customFormat="false" ht="15" hidden="false" customHeight="false" outlineLevel="0" collapsed="false">
      <c r="A1156" s="58"/>
      <c r="B1156" s="73" t="str">
        <f aca="false">IF(A1156="","",COUNTIF(A$5:A1156,A1156))</f>
        <v/>
      </c>
      <c r="C1156" s="73" t="str">
        <f aca="false">IF(A1156="","",A1156&amp;"-"&amp;B1156)</f>
        <v/>
      </c>
      <c r="D1156" s="58"/>
      <c r="E1156" s="57"/>
      <c r="F1156" s="69"/>
      <c r="G1156" s="69"/>
      <c r="H1156" s="74" t="str">
        <f aca="false">IF(A1156="","",IFERROR(INDEX(السندات!$C$5:$C$504,MATCH(A1156,السندات!$A$5:$A$504,0)),""))</f>
        <v/>
      </c>
      <c r="I1156" s="75" t="str">
        <f aca="false">IF(A1156="","",IFERROR(INDEX(السندات!$D$5:$D$504,MATCH(A1156,السندات!$A$5:$A$504,0)),""))</f>
        <v/>
      </c>
      <c r="J1156" s="76" t="str">
        <f aca="false">IF(A1156="","",IF(ISNA(MATCH(A1156,السندات!$A$5:$A$504,0)),"رقم سند غير موجود ✘",IF(AND(F1156&lt;&gt;"",G1156&lt;&gt;""),"اكتب مدين أو دائن فقط ✘",IF(AND(N(F1156)=0,N(G1156)=0),"بدون مبلغ ⚠",IF(B1156&gt;12,"يتجاوز 12 بنداً في الطباعة ⚠","")))))</f>
        <v/>
      </c>
    </row>
    <row r="1157" customFormat="false" ht="15" hidden="false" customHeight="false" outlineLevel="0" collapsed="false">
      <c r="A1157" s="58"/>
      <c r="B1157" s="68" t="str">
        <f aca="false">IF(A1157="","",COUNTIF(A$5:A1157,A1157))</f>
        <v/>
      </c>
      <c r="C1157" s="68" t="str">
        <f aca="false">IF(A1157="","",A1157&amp;"-"&amp;B1157)</f>
        <v/>
      </c>
      <c r="D1157" s="58"/>
      <c r="E1157" s="57"/>
      <c r="F1157" s="69"/>
      <c r="G1157" s="69"/>
      <c r="H1157" s="70" t="str">
        <f aca="false">IF(A1157="","",IFERROR(INDEX(السندات!$C$5:$C$504,MATCH(A1157,السندات!$A$5:$A$504,0)),""))</f>
        <v/>
      </c>
      <c r="I1157" s="71" t="str">
        <f aca="false">IF(A1157="","",IFERROR(INDEX(السندات!$D$5:$D$504,MATCH(A1157,السندات!$A$5:$A$504,0)),""))</f>
        <v/>
      </c>
      <c r="J1157" s="72" t="str">
        <f aca="false">IF(A1157="","",IF(ISNA(MATCH(A1157,السندات!$A$5:$A$504,0)),"رقم سند غير موجود ✘",IF(AND(F1157&lt;&gt;"",G1157&lt;&gt;""),"اكتب مدين أو دائن فقط ✘",IF(AND(N(F1157)=0,N(G1157)=0),"بدون مبلغ ⚠",IF(B1157&gt;12,"يتجاوز 12 بنداً في الطباعة ⚠","")))))</f>
        <v/>
      </c>
    </row>
    <row r="1158" customFormat="false" ht="15" hidden="false" customHeight="false" outlineLevel="0" collapsed="false">
      <c r="A1158" s="58"/>
      <c r="B1158" s="73" t="str">
        <f aca="false">IF(A1158="","",COUNTIF(A$5:A1158,A1158))</f>
        <v/>
      </c>
      <c r="C1158" s="73" t="str">
        <f aca="false">IF(A1158="","",A1158&amp;"-"&amp;B1158)</f>
        <v/>
      </c>
      <c r="D1158" s="58"/>
      <c r="E1158" s="57"/>
      <c r="F1158" s="69"/>
      <c r="G1158" s="69"/>
      <c r="H1158" s="74" t="str">
        <f aca="false">IF(A1158="","",IFERROR(INDEX(السندات!$C$5:$C$504,MATCH(A1158,السندات!$A$5:$A$504,0)),""))</f>
        <v/>
      </c>
      <c r="I1158" s="75" t="str">
        <f aca="false">IF(A1158="","",IFERROR(INDEX(السندات!$D$5:$D$504,MATCH(A1158,السندات!$A$5:$A$504,0)),""))</f>
        <v/>
      </c>
      <c r="J1158" s="76" t="str">
        <f aca="false">IF(A1158="","",IF(ISNA(MATCH(A1158,السندات!$A$5:$A$504,0)),"رقم سند غير موجود ✘",IF(AND(F1158&lt;&gt;"",G1158&lt;&gt;""),"اكتب مدين أو دائن فقط ✘",IF(AND(N(F1158)=0,N(G1158)=0),"بدون مبلغ ⚠",IF(B1158&gt;12,"يتجاوز 12 بنداً في الطباعة ⚠","")))))</f>
        <v/>
      </c>
    </row>
    <row r="1159" customFormat="false" ht="15" hidden="false" customHeight="false" outlineLevel="0" collapsed="false">
      <c r="A1159" s="58"/>
      <c r="B1159" s="68" t="str">
        <f aca="false">IF(A1159="","",COUNTIF(A$5:A1159,A1159))</f>
        <v/>
      </c>
      <c r="C1159" s="68" t="str">
        <f aca="false">IF(A1159="","",A1159&amp;"-"&amp;B1159)</f>
        <v/>
      </c>
      <c r="D1159" s="58"/>
      <c r="E1159" s="57"/>
      <c r="F1159" s="69"/>
      <c r="G1159" s="69"/>
      <c r="H1159" s="70" t="str">
        <f aca="false">IF(A1159="","",IFERROR(INDEX(السندات!$C$5:$C$504,MATCH(A1159,السندات!$A$5:$A$504,0)),""))</f>
        <v/>
      </c>
      <c r="I1159" s="71" t="str">
        <f aca="false">IF(A1159="","",IFERROR(INDEX(السندات!$D$5:$D$504,MATCH(A1159,السندات!$A$5:$A$504,0)),""))</f>
        <v/>
      </c>
      <c r="J1159" s="72" t="str">
        <f aca="false">IF(A1159="","",IF(ISNA(MATCH(A1159,السندات!$A$5:$A$504,0)),"رقم سند غير موجود ✘",IF(AND(F1159&lt;&gt;"",G1159&lt;&gt;""),"اكتب مدين أو دائن فقط ✘",IF(AND(N(F1159)=0,N(G1159)=0),"بدون مبلغ ⚠",IF(B1159&gt;12,"يتجاوز 12 بنداً في الطباعة ⚠","")))))</f>
        <v/>
      </c>
    </row>
    <row r="1160" customFormat="false" ht="15" hidden="false" customHeight="false" outlineLevel="0" collapsed="false">
      <c r="A1160" s="58"/>
      <c r="B1160" s="73" t="str">
        <f aca="false">IF(A1160="","",COUNTIF(A$5:A1160,A1160))</f>
        <v/>
      </c>
      <c r="C1160" s="73" t="str">
        <f aca="false">IF(A1160="","",A1160&amp;"-"&amp;B1160)</f>
        <v/>
      </c>
      <c r="D1160" s="58"/>
      <c r="E1160" s="57"/>
      <c r="F1160" s="69"/>
      <c r="G1160" s="69"/>
      <c r="H1160" s="74" t="str">
        <f aca="false">IF(A1160="","",IFERROR(INDEX(السندات!$C$5:$C$504,MATCH(A1160,السندات!$A$5:$A$504,0)),""))</f>
        <v/>
      </c>
      <c r="I1160" s="75" t="str">
        <f aca="false">IF(A1160="","",IFERROR(INDEX(السندات!$D$5:$D$504,MATCH(A1160,السندات!$A$5:$A$504,0)),""))</f>
        <v/>
      </c>
      <c r="J1160" s="76" t="str">
        <f aca="false">IF(A1160="","",IF(ISNA(MATCH(A1160,السندات!$A$5:$A$504,0)),"رقم سند غير موجود ✘",IF(AND(F1160&lt;&gt;"",G1160&lt;&gt;""),"اكتب مدين أو دائن فقط ✘",IF(AND(N(F1160)=0,N(G1160)=0),"بدون مبلغ ⚠",IF(B1160&gt;12,"يتجاوز 12 بنداً في الطباعة ⚠","")))))</f>
        <v/>
      </c>
    </row>
    <row r="1161" customFormat="false" ht="15" hidden="false" customHeight="false" outlineLevel="0" collapsed="false">
      <c r="A1161" s="58"/>
      <c r="B1161" s="68" t="str">
        <f aca="false">IF(A1161="","",COUNTIF(A$5:A1161,A1161))</f>
        <v/>
      </c>
      <c r="C1161" s="68" t="str">
        <f aca="false">IF(A1161="","",A1161&amp;"-"&amp;B1161)</f>
        <v/>
      </c>
      <c r="D1161" s="58"/>
      <c r="E1161" s="57"/>
      <c r="F1161" s="69"/>
      <c r="G1161" s="69"/>
      <c r="H1161" s="70" t="str">
        <f aca="false">IF(A1161="","",IFERROR(INDEX(السندات!$C$5:$C$504,MATCH(A1161,السندات!$A$5:$A$504,0)),""))</f>
        <v/>
      </c>
      <c r="I1161" s="71" t="str">
        <f aca="false">IF(A1161="","",IFERROR(INDEX(السندات!$D$5:$D$504,MATCH(A1161,السندات!$A$5:$A$504,0)),""))</f>
        <v/>
      </c>
      <c r="J1161" s="72" t="str">
        <f aca="false">IF(A1161="","",IF(ISNA(MATCH(A1161,السندات!$A$5:$A$504,0)),"رقم سند غير موجود ✘",IF(AND(F1161&lt;&gt;"",G1161&lt;&gt;""),"اكتب مدين أو دائن فقط ✘",IF(AND(N(F1161)=0,N(G1161)=0),"بدون مبلغ ⚠",IF(B1161&gt;12,"يتجاوز 12 بنداً في الطباعة ⚠","")))))</f>
        <v/>
      </c>
    </row>
    <row r="1162" customFormat="false" ht="15" hidden="false" customHeight="false" outlineLevel="0" collapsed="false">
      <c r="A1162" s="58"/>
      <c r="B1162" s="73" t="str">
        <f aca="false">IF(A1162="","",COUNTIF(A$5:A1162,A1162))</f>
        <v/>
      </c>
      <c r="C1162" s="73" t="str">
        <f aca="false">IF(A1162="","",A1162&amp;"-"&amp;B1162)</f>
        <v/>
      </c>
      <c r="D1162" s="58"/>
      <c r="E1162" s="57"/>
      <c r="F1162" s="69"/>
      <c r="G1162" s="69"/>
      <c r="H1162" s="74" t="str">
        <f aca="false">IF(A1162="","",IFERROR(INDEX(السندات!$C$5:$C$504,MATCH(A1162,السندات!$A$5:$A$504,0)),""))</f>
        <v/>
      </c>
      <c r="I1162" s="75" t="str">
        <f aca="false">IF(A1162="","",IFERROR(INDEX(السندات!$D$5:$D$504,MATCH(A1162,السندات!$A$5:$A$504,0)),""))</f>
        <v/>
      </c>
      <c r="J1162" s="76" t="str">
        <f aca="false">IF(A1162="","",IF(ISNA(MATCH(A1162,السندات!$A$5:$A$504,0)),"رقم سند غير موجود ✘",IF(AND(F1162&lt;&gt;"",G1162&lt;&gt;""),"اكتب مدين أو دائن فقط ✘",IF(AND(N(F1162)=0,N(G1162)=0),"بدون مبلغ ⚠",IF(B1162&gt;12,"يتجاوز 12 بنداً في الطباعة ⚠","")))))</f>
        <v/>
      </c>
    </row>
    <row r="1163" customFormat="false" ht="15" hidden="false" customHeight="false" outlineLevel="0" collapsed="false">
      <c r="A1163" s="58"/>
      <c r="B1163" s="68" t="str">
        <f aca="false">IF(A1163="","",COUNTIF(A$5:A1163,A1163))</f>
        <v/>
      </c>
      <c r="C1163" s="68" t="str">
        <f aca="false">IF(A1163="","",A1163&amp;"-"&amp;B1163)</f>
        <v/>
      </c>
      <c r="D1163" s="58"/>
      <c r="E1163" s="57"/>
      <c r="F1163" s="69"/>
      <c r="G1163" s="69"/>
      <c r="H1163" s="70" t="str">
        <f aca="false">IF(A1163="","",IFERROR(INDEX(السندات!$C$5:$C$504,MATCH(A1163,السندات!$A$5:$A$504,0)),""))</f>
        <v/>
      </c>
      <c r="I1163" s="71" t="str">
        <f aca="false">IF(A1163="","",IFERROR(INDEX(السندات!$D$5:$D$504,MATCH(A1163,السندات!$A$5:$A$504,0)),""))</f>
        <v/>
      </c>
      <c r="J1163" s="72" t="str">
        <f aca="false">IF(A1163="","",IF(ISNA(MATCH(A1163,السندات!$A$5:$A$504,0)),"رقم سند غير موجود ✘",IF(AND(F1163&lt;&gt;"",G1163&lt;&gt;""),"اكتب مدين أو دائن فقط ✘",IF(AND(N(F1163)=0,N(G1163)=0),"بدون مبلغ ⚠",IF(B1163&gt;12,"يتجاوز 12 بنداً في الطباعة ⚠","")))))</f>
        <v/>
      </c>
    </row>
    <row r="1164" customFormat="false" ht="15" hidden="false" customHeight="false" outlineLevel="0" collapsed="false">
      <c r="A1164" s="58"/>
      <c r="B1164" s="73" t="str">
        <f aca="false">IF(A1164="","",COUNTIF(A$5:A1164,A1164))</f>
        <v/>
      </c>
      <c r="C1164" s="73" t="str">
        <f aca="false">IF(A1164="","",A1164&amp;"-"&amp;B1164)</f>
        <v/>
      </c>
      <c r="D1164" s="58"/>
      <c r="E1164" s="57"/>
      <c r="F1164" s="69"/>
      <c r="G1164" s="69"/>
      <c r="H1164" s="74" t="str">
        <f aca="false">IF(A1164="","",IFERROR(INDEX(السندات!$C$5:$C$504,MATCH(A1164,السندات!$A$5:$A$504,0)),""))</f>
        <v/>
      </c>
      <c r="I1164" s="75" t="str">
        <f aca="false">IF(A1164="","",IFERROR(INDEX(السندات!$D$5:$D$504,MATCH(A1164,السندات!$A$5:$A$504,0)),""))</f>
        <v/>
      </c>
      <c r="J1164" s="76" t="str">
        <f aca="false">IF(A1164="","",IF(ISNA(MATCH(A1164,السندات!$A$5:$A$504,0)),"رقم سند غير موجود ✘",IF(AND(F1164&lt;&gt;"",G1164&lt;&gt;""),"اكتب مدين أو دائن فقط ✘",IF(AND(N(F1164)=0,N(G1164)=0),"بدون مبلغ ⚠",IF(B1164&gt;12,"يتجاوز 12 بنداً في الطباعة ⚠","")))))</f>
        <v/>
      </c>
    </row>
    <row r="1165" customFormat="false" ht="15" hidden="false" customHeight="false" outlineLevel="0" collapsed="false">
      <c r="A1165" s="58"/>
      <c r="B1165" s="68" t="str">
        <f aca="false">IF(A1165="","",COUNTIF(A$5:A1165,A1165))</f>
        <v/>
      </c>
      <c r="C1165" s="68" t="str">
        <f aca="false">IF(A1165="","",A1165&amp;"-"&amp;B1165)</f>
        <v/>
      </c>
      <c r="D1165" s="58"/>
      <c r="E1165" s="57"/>
      <c r="F1165" s="69"/>
      <c r="G1165" s="69"/>
      <c r="H1165" s="70" t="str">
        <f aca="false">IF(A1165="","",IFERROR(INDEX(السندات!$C$5:$C$504,MATCH(A1165,السندات!$A$5:$A$504,0)),""))</f>
        <v/>
      </c>
      <c r="I1165" s="71" t="str">
        <f aca="false">IF(A1165="","",IFERROR(INDEX(السندات!$D$5:$D$504,MATCH(A1165,السندات!$A$5:$A$504,0)),""))</f>
        <v/>
      </c>
      <c r="J1165" s="72" t="str">
        <f aca="false">IF(A1165="","",IF(ISNA(MATCH(A1165,السندات!$A$5:$A$504,0)),"رقم سند غير موجود ✘",IF(AND(F1165&lt;&gt;"",G1165&lt;&gt;""),"اكتب مدين أو دائن فقط ✘",IF(AND(N(F1165)=0,N(G1165)=0),"بدون مبلغ ⚠",IF(B1165&gt;12,"يتجاوز 12 بنداً في الطباعة ⚠","")))))</f>
        <v/>
      </c>
    </row>
    <row r="1166" customFormat="false" ht="15" hidden="false" customHeight="false" outlineLevel="0" collapsed="false">
      <c r="A1166" s="58"/>
      <c r="B1166" s="73" t="str">
        <f aca="false">IF(A1166="","",COUNTIF(A$5:A1166,A1166))</f>
        <v/>
      </c>
      <c r="C1166" s="73" t="str">
        <f aca="false">IF(A1166="","",A1166&amp;"-"&amp;B1166)</f>
        <v/>
      </c>
      <c r="D1166" s="58"/>
      <c r="E1166" s="57"/>
      <c r="F1166" s="69"/>
      <c r="G1166" s="69"/>
      <c r="H1166" s="74" t="str">
        <f aca="false">IF(A1166="","",IFERROR(INDEX(السندات!$C$5:$C$504,MATCH(A1166,السندات!$A$5:$A$504,0)),""))</f>
        <v/>
      </c>
      <c r="I1166" s="75" t="str">
        <f aca="false">IF(A1166="","",IFERROR(INDEX(السندات!$D$5:$D$504,MATCH(A1166,السندات!$A$5:$A$504,0)),""))</f>
        <v/>
      </c>
      <c r="J1166" s="76" t="str">
        <f aca="false">IF(A1166="","",IF(ISNA(MATCH(A1166,السندات!$A$5:$A$504,0)),"رقم سند غير موجود ✘",IF(AND(F1166&lt;&gt;"",G1166&lt;&gt;""),"اكتب مدين أو دائن فقط ✘",IF(AND(N(F1166)=0,N(G1166)=0),"بدون مبلغ ⚠",IF(B1166&gt;12,"يتجاوز 12 بنداً في الطباعة ⚠","")))))</f>
        <v/>
      </c>
    </row>
    <row r="1167" customFormat="false" ht="15" hidden="false" customHeight="false" outlineLevel="0" collapsed="false">
      <c r="A1167" s="58"/>
      <c r="B1167" s="68" t="str">
        <f aca="false">IF(A1167="","",COUNTIF(A$5:A1167,A1167))</f>
        <v/>
      </c>
      <c r="C1167" s="68" t="str">
        <f aca="false">IF(A1167="","",A1167&amp;"-"&amp;B1167)</f>
        <v/>
      </c>
      <c r="D1167" s="58"/>
      <c r="E1167" s="57"/>
      <c r="F1167" s="69"/>
      <c r="G1167" s="69"/>
      <c r="H1167" s="70" t="str">
        <f aca="false">IF(A1167="","",IFERROR(INDEX(السندات!$C$5:$C$504,MATCH(A1167,السندات!$A$5:$A$504,0)),""))</f>
        <v/>
      </c>
      <c r="I1167" s="71" t="str">
        <f aca="false">IF(A1167="","",IFERROR(INDEX(السندات!$D$5:$D$504,MATCH(A1167,السندات!$A$5:$A$504,0)),""))</f>
        <v/>
      </c>
      <c r="J1167" s="72" t="str">
        <f aca="false">IF(A1167="","",IF(ISNA(MATCH(A1167,السندات!$A$5:$A$504,0)),"رقم سند غير موجود ✘",IF(AND(F1167&lt;&gt;"",G1167&lt;&gt;""),"اكتب مدين أو دائن فقط ✘",IF(AND(N(F1167)=0,N(G1167)=0),"بدون مبلغ ⚠",IF(B1167&gt;12,"يتجاوز 12 بنداً في الطباعة ⚠","")))))</f>
        <v/>
      </c>
    </row>
    <row r="1168" customFormat="false" ht="15" hidden="false" customHeight="false" outlineLevel="0" collapsed="false">
      <c r="A1168" s="58"/>
      <c r="B1168" s="73" t="str">
        <f aca="false">IF(A1168="","",COUNTIF(A$5:A1168,A1168))</f>
        <v/>
      </c>
      <c r="C1168" s="73" t="str">
        <f aca="false">IF(A1168="","",A1168&amp;"-"&amp;B1168)</f>
        <v/>
      </c>
      <c r="D1168" s="58"/>
      <c r="E1168" s="57"/>
      <c r="F1168" s="69"/>
      <c r="G1168" s="69"/>
      <c r="H1168" s="74" t="str">
        <f aca="false">IF(A1168="","",IFERROR(INDEX(السندات!$C$5:$C$504,MATCH(A1168,السندات!$A$5:$A$504,0)),""))</f>
        <v/>
      </c>
      <c r="I1168" s="75" t="str">
        <f aca="false">IF(A1168="","",IFERROR(INDEX(السندات!$D$5:$D$504,MATCH(A1168,السندات!$A$5:$A$504,0)),""))</f>
        <v/>
      </c>
      <c r="J1168" s="76" t="str">
        <f aca="false">IF(A1168="","",IF(ISNA(MATCH(A1168,السندات!$A$5:$A$504,0)),"رقم سند غير موجود ✘",IF(AND(F1168&lt;&gt;"",G1168&lt;&gt;""),"اكتب مدين أو دائن فقط ✘",IF(AND(N(F1168)=0,N(G1168)=0),"بدون مبلغ ⚠",IF(B1168&gt;12,"يتجاوز 12 بنداً في الطباعة ⚠","")))))</f>
        <v/>
      </c>
    </row>
    <row r="1169" customFormat="false" ht="15" hidden="false" customHeight="false" outlineLevel="0" collapsed="false">
      <c r="A1169" s="58"/>
      <c r="B1169" s="68" t="str">
        <f aca="false">IF(A1169="","",COUNTIF(A$5:A1169,A1169))</f>
        <v/>
      </c>
      <c r="C1169" s="68" t="str">
        <f aca="false">IF(A1169="","",A1169&amp;"-"&amp;B1169)</f>
        <v/>
      </c>
      <c r="D1169" s="58"/>
      <c r="E1169" s="57"/>
      <c r="F1169" s="69"/>
      <c r="G1169" s="69"/>
      <c r="H1169" s="70" t="str">
        <f aca="false">IF(A1169="","",IFERROR(INDEX(السندات!$C$5:$C$504,MATCH(A1169,السندات!$A$5:$A$504,0)),""))</f>
        <v/>
      </c>
      <c r="I1169" s="71" t="str">
        <f aca="false">IF(A1169="","",IFERROR(INDEX(السندات!$D$5:$D$504,MATCH(A1169,السندات!$A$5:$A$504,0)),""))</f>
        <v/>
      </c>
      <c r="J1169" s="72" t="str">
        <f aca="false">IF(A1169="","",IF(ISNA(MATCH(A1169,السندات!$A$5:$A$504,0)),"رقم سند غير موجود ✘",IF(AND(F1169&lt;&gt;"",G1169&lt;&gt;""),"اكتب مدين أو دائن فقط ✘",IF(AND(N(F1169)=0,N(G1169)=0),"بدون مبلغ ⚠",IF(B1169&gt;12,"يتجاوز 12 بنداً في الطباعة ⚠","")))))</f>
        <v/>
      </c>
    </row>
    <row r="1170" customFormat="false" ht="15" hidden="false" customHeight="false" outlineLevel="0" collapsed="false">
      <c r="A1170" s="58"/>
      <c r="B1170" s="73" t="str">
        <f aca="false">IF(A1170="","",COUNTIF(A$5:A1170,A1170))</f>
        <v/>
      </c>
      <c r="C1170" s="73" t="str">
        <f aca="false">IF(A1170="","",A1170&amp;"-"&amp;B1170)</f>
        <v/>
      </c>
      <c r="D1170" s="58"/>
      <c r="E1170" s="57"/>
      <c r="F1170" s="69"/>
      <c r="G1170" s="69"/>
      <c r="H1170" s="74" t="str">
        <f aca="false">IF(A1170="","",IFERROR(INDEX(السندات!$C$5:$C$504,MATCH(A1170,السندات!$A$5:$A$504,0)),""))</f>
        <v/>
      </c>
      <c r="I1170" s="75" t="str">
        <f aca="false">IF(A1170="","",IFERROR(INDEX(السندات!$D$5:$D$504,MATCH(A1170,السندات!$A$5:$A$504,0)),""))</f>
        <v/>
      </c>
      <c r="J1170" s="76" t="str">
        <f aca="false">IF(A1170="","",IF(ISNA(MATCH(A1170,السندات!$A$5:$A$504,0)),"رقم سند غير موجود ✘",IF(AND(F1170&lt;&gt;"",G1170&lt;&gt;""),"اكتب مدين أو دائن فقط ✘",IF(AND(N(F1170)=0,N(G1170)=0),"بدون مبلغ ⚠",IF(B1170&gt;12,"يتجاوز 12 بنداً في الطباعة ⚠","")))))</f>
        <v/>
      </c>
    </row>
    <row r="1171" customFormat="false" ht="15" hidden="false" customHeight="false" outlineLevel="0" collapsed="false">
      <c r="A1171" s="58"/>
      <c r="B1171" s="68" t="str">
        <f aca="false">IF(A1171="","",COUNTIF(A$5:A1171,A1171))</f>
        <v/>
      </c>
      <c r="C1171" s="68" t="str">
        <f aca="false">IF(A1171="","",A1171&amp;"-"&amp;B1171)</f>
        <v/>
      </c>
      <c r="D1171" s="58"/>
      <c r="E1171" s="57"/>
      <c r="F1171" s="69"/>
      <c r="G1171" s="69"/>
      <c r="H1171" s="70" t="str">
        <f aca="false">IF(A1171="","",IFERROR(INDEX(السندات!$C$5:$C$504,MATCH(A1171,السندات!$A$5:$A$504,0)),""))</f>
        <v/>
      </c>
      <c r="I1171" s="71" t="str">
        <f aca="false">IF(A1171="","",IFERROR(INDEX(السندات!$D$5:$D$504,MATCH(A1171,السندات!$A$5:$A$504,0)),""))</f>
        <v/>
      </c>
      <c r="J1171" s="72" t="str">
        <f aca="false">IF(A1171="","",IF(ISNA(MATCH(A1171,السندات!$A$5:$A$504,0)),"رقم سند غير موجود ✘",IF(AND(F1171&lt;&gt;"",G1171&lt;&gt;""),"اكتب مدين أو دائن فقط ✘",IF(AND(N(F1171)=0,N(G1171)=0),"بدون مبلغ ⚠",IF(B1171&gt;12,"يتجاوز 12 بنداً في الطباعة ⚠","")))))</f>
        <v/>
      </c>
    </row>
    <row r="1172" customFormat="false" ht="15" hidden="false" customHeight="false" outlineLevel="0" collapsed="false">
      <c r="A1172" s="58"/>
      <c r="B1172" s="73" t="str">
        <f aca="false">IF(A1172="","",COUNTIF(A$5:A1172,A1172))</f>
        <v/>
      </c>
      <c r="C1172" s="73" t="str">
        <f aca="false">IF(A1172="","",A1172&amp;"-"&amp;B1172)</f>
        <v/>
      </c>
      <c r="D1172" s="58"/>
      <c r="E1172" s="57"/>
      <c r="F1172" s="69"/>
      <c r="G1172" s="69"/>
      <c r="H1172" s="74" t="str">
        <f aca="false">IF(A1172="","",IFERROR(INDEX(السندات!$C$5:$C$504,MATCH(A1172,السندات!$A$5:$A$504,0)),""))</f>
        <v/>
      </c>
      <c r="I1172" s="75" t="str">
        <f aca="false">IF(A1172="","",IFERROR(INDEX(السندات!$D$5:$D$504,MATCH(A1172,السندات!$A$5:$A$504,0)),""))</f>
        <v/>
      </c>
      <c r="J1172" s="76" t="str">
        <f aca="false">IF(A1172="","",IF(ISNA(MATCH(A1172,السندات!$A$5:$A$504,0)),"رقم سند غير موجود ✘",IF(AND(F1172&lt;&gt;"",G1172&lt;&gt;""),"اكتب مدين أو دائن فقط ✘",IF(AND(N(F1172)=0,N(G1172)=0),"بدون مبلغ ⚠",IF(B1172&gt;12,"يتجاوز 12 بنداً في الطباعة ⚠","")))))</f>
        <v/>
      </c>
    </row>
    <row r="1173" customFormat="false" ht="15" hidden="false" customHeight="false" outlineLevel="0" collapsed="false">
      <c r="A1173" s="58"/>
      <c r="B1173" s="68" t="str">
        <f aca="false">IF(A1173="","",COUNTIF(A$5:A1173,A1173))</f>
        <v/>
      </c>
      <c r="C1173" s="68" t="str">
        <f aca="false">IF(A1173="","",A1173&amp;"-"&amp;B1173)</f>
        <v/>
      </c>
      <c r="D1173" s="58"/>
      <c r="E1173" s="57"/>
      <c r="F1173" s="69"/>
      <c r="G1173" s="69"/>
      <c r="H1173" s="70" t="str">
        <f aca="false">IF(A1173="","",IFERROR(INDEX(السندات!$C$5:$C$504,MATCH(A1173,السندات!$A$5:$A$504,0)),""))</f>
        <v/>
      </c>
      <c r="I1173" s="71" t="str">
        <f aca="false">IF(A1173="","",IFERROR(INDEX(السندات!$D$5:$D$504,MATCH(A1173,السندات!$A$5:$A$504,0)),""))</f>
        <v/>
      </c>
      <c r="J1173" s="72" t="str">
        <f aca="false">IF(A1173="","",IF(ISNA(MATCH(A1173,السندات!$A$5:$A$504,0)),"رقم سند غير موجود ✘",IF(AND(F1173&lt;&gt;"",G1173&lt;&gt;""),"اكتب مدين أو دائن فقط ✘",IF(AND(N(F1173)=0,N(G1173)=0),"بدون مبلغ ⚠",IF(B1173&gt;12,"يتجاوز 12 بنداً في الطباعة ⚠","")))))</f>
        <v/>
      </c>
    </row>
    <row r="1174" customFormat="false" ht="15" hidden="false" customHeight="false" outlineLevel="0" collapsed="false">
      <c r="A1174" s="58"/>
      <c r="B1174" s="73" t="str">
        <f aca="false">IF(A1174="","",COUNTIF(A$5:A1174,A1174))</f>
        <v/>
      </c>
      <c r="C1174" s="73" t="str">
        <f aca="false">IF(A1174="","",A1174&amp;"-"&amp;B1174)</f>
        <v/>
      </c>
      <c r="D1174" s="58"/>
      <c r="E1174" s="57"/>
      <c r="F1174" s="69"/>
      <c r="G1174" s="69"/>
      <c r="H1174" s="74" t="str">
        <f aca="false">IF(A1174="","",IFERROR(INDEX(السندات!$C$5:$C$504,MATCH(A1174,السندات!$A$5:$A$504,0)),""))</f>
        <v/>
      </c>
      <c r="I1174" s="75" t="str">
        <f aca="false">IF(A1174="","",IFERROR(INDEX(السندات!$D$5:$D$504,MATCH(A1174,السندات!$A$5:$A$504,0)),""))</f>
        <v/>
      </c>
      <c r="J1174" s="76" t="str">
        <f aca="false">IF(A1174="","",IF(ISNA(MATCH(A1174,السندات!$A$5:$A$504,0)),"رقم سند غير موجود ✘",IF(AND(F1174&lt;&gt;"",G1174&lt;&gt;""),"اكتب مدين أو دائن فقط ✘",IF(AND(N(F1174)=0,N(G1174)=0),"بدون مبلغ ⚠",IF(B1174&gt;12,"يتجاوز 12 بنداً في الطباعة ⚠","")))))</f>
        <v/>
      </c>
    </row>
    <row r="1175" customFormat="false" ht="15" hidden="false" customHeight="false" outlineLevel="0" collapsed="false">
      <c r="A1175" s="58"/>
      <c r="B1175" s="68" t="str">
        <f aca="false">IF(A1175="","",COUNTIF(A$5:A1175,A1175))</f>
        <v/>
      </c>
      <c r="C1175" s="68" t="str">
        <f aca="false">IF(A1175="","",A1175&amp;"-"&amp;B1175)</f>
        <v/>
      </c>
      <c r="D1175" s="58"/>
      <c r="E1175" s="57"/>
      <c r="F1175" s="69"/>
      <c r="G1175" s="69"/>
      <c r="H1175" s="70" t="str">
        <f aca="false">IF(A1175="","",IFERROR(INDEX(السندات!$C$5:$C$504,MATCH(A1175,السندات!$A$5:$A$504,0)),""))</f>
        <v/>
      </c>
      <c r="I1175" s="71" t="str">
        <f aca="false">IF(A1175="","",IFERROR(INDEX(السندات!$D$5:$D$504,MATCH(A1175,السندات!$A$5:$A$504,0)),""))</f>
        <v/>
      </c>
      <c r="J1175" s="72" t="str">
        <f aca="false">IF(A1175="","",IF(ISNA(MATCH(A1175,السندات!$A$5:$A$504,0)),"رقم سند غير موجود ✘",IF(AND(F1175&lt;&gt;"",G1175&lt;&gt;""),"اكتب مدين أو دائن فقط ✘",IF(AND(N(F1175)=0,N(G1175)=0),"بدون مبلغ ⚠",IF(B1175&gt;12,"يتجاوز 12 بنداً في الطباعة ⚠","")))))</f>
        <v/>
      </c>
    </row>
    <row r="1176" customFormat="false" ht="15" hidden="false" customHeight="false" outlineLevel="0" collapsed="false">
      <c r="A1176" s="58"/>
      <c r="B1176" s="73" t="str">
        <f aca="false">IF(A1176="","",COUNTIF(A$5:A1176,A1176))</f>
        <v/>
      </c>
      <c r="C1176" s="73" t="str">
        <f aca="false">IF(A1176="","",A1176&amp;"-"&amp;B1176)</f>
        <v/>
      </c>
      <c r="D1176" s="58"/>
      <c r="E1176" s="57"/>
      <c r="F1176" s="69"/>
      <c r="G1176" s="69"/>
      <c r="H1176" s="74" t="str">
        <f aca="false">IF(A1176="","",IFERROR(INDEX(السندات!$C$5:$C$504,MATCH(A1176,السندات!$A$5:$A$504,0)),""))</f>
        <v/>
      </c>
      <c r="I1176" s="75" t="str">
        <f aca="false">IF(A1176="","",IFERROR(INDEX(السندات!$D$5:$D$504,MATCH(A1176,السندات!$A$5:$A$504,0)),""))</f>
        <v/>
      </c>
      <c r="J1176" s="76" t="str">
        <f aca="false">IF(A1176="","",IF(ISNA(MATCH(A1176,السندات!$A$5:$A$504,0)),"رقم سند غير موجود ✘",IF(AND(F1176&lt;&gt;"",G1176&lt;&gt;""),"اكتب مدين أو دائن فقط ✘",IF(AND(N(F1176)=0,N(G1176)=0),"بدون مبلغ ⚠",IF(B1176&gt;12,"يتجاوز 12 بنداً في الطباعة ⚠","")))))</f>
        <v/>
      </c>
    </row>
    <row r="1177" customFormat="false" ht="15" hidden="false" customHeight="false" outlineLevel="0" collapsed="false">
      <c r="A1177" s="58"/>
      <c r="B1177" s="68" t="str">
        <f aca="false">IF(A1177="","",COUNTIF(A$5:A1177,A1177))</f>
        <v/>
      </c>
      <c r="C1177" s="68" t="str">
        <f aca="false">IF(A1177="","",A1177&amp;"-"&amp;B1177)</f>
        <v/>
      </c>
      <c r="D1177" s="58"/>
      <c r="E1177" s="57"/>
      <c r="F1177" s="69"/>
      <c r="G1177" s="69"/>
      <c r="H1177" s="70" t="str">
        <f aca="false">IF(A1177="","",IFERROR(INDEX(السندات!$C$5:$C$504,MATCH(A1177,السندات!$A$5:$A$504,0)),""))</f>
        <v/>
      </c>
      <c r="I1177" s="71" t="str">
        <f aca="false">IF(A1177="","",IFERROR(INDEX(السندات!$D$5:$D$504,MATCH(A1177,السندات!$A$5:$A$504,0)),""))</f>
        <v/>
      </c>
      <c r="J1177" s="72" t="str">
        <f aca="false">IF(A1177="","",IF(ISNA(MATCH(A1177,السندات!$A$5:$A$504,0)),"رقم سند غير موجود ✘",IF(AND(F1177&lt;&gt;"",G1177&lt;&gt;""),"اكتب مدين أو دائن فقط ✘",IF(AND(N(F1177)=0,N(G1177)=0),"بدون مبلغ ⚠",IF(B1177&gt;12,"يتجاوز 12 بنداً في الطباعة ⚠","")))))</f>
        <v/>
      </c>
    </row>
    <row r="1178" customFormat="false" ht="15" hidden="false" customHeight="false" outlineLevel="0" collapsed="false">
      <c r="A1178" s="58"/>
      <c r="B1178" s="73" t="str">
        <f aca="false">IF(A1178="","",COUNTIF(A$5:A1178,A1178))</f>
        <v/>
      </c>
      <c r="C1178" s="73" t="str">
        <f aca="false">IF(A1178="","",A1178&amp;"-"&amp;B1178)</f>
        <v/>
      </c>
      <c r="D1178" s="58"/>
      <c r="E1178" s="57"/>
      <c r="F1178" s="69"/>
      <c r="G1178" s="69"/>
      <c r="H1178" s="74" t="str">
        <f aca="false">IF(A1178="","",IFERROR(INDEX(السندات!$C$5:$C$504,MATCH(A1178,السندات!$A$5:$A$504,0)),""))</f>
        <v/>
      </c>
      <c r="I1178" s="75" t="str">
        <f aca="false">IF(A1178="","",IFERROR(INDEX(السندات!$D$5:$D$504,MATCH(A1178,السندات!$A$5:$A$504,0)),""))</f>
        <v/>
      </c>
      <c r="J1178" s="76" t="str">
        <f aca="false">IF(A1178="","",IF(ISNA(MATCH(A1178,السندات!$A$5:$A$504,0)),"رقم سند غير موجود ✘",IF(AND(F1178&lt;&gt;"",G1178&lt;&gt;""),"اكتب مدين أو دائن فقط ✘",IF(AND(N(F1178)=0,N(G1178)=0),"بدون مبلغ ⚠",IF(B1178&gt;12,"يتجاوز 12 بنداً في الطباعة ⚠","")))))</f>
        <v/>
      </c>
    </row>
    <row r="1179" customFormat="false" ht="15" hidden="false" customHeight="false" outlineLevel="0" collapsed="false">
      <c r="A1179" s="58"/>
      <c r="B1179" s="68" t="str">
        <f aca="false">IF(A1179="","",COUNTIF(A$5:A1179,A1179))</f>
        <v/>
      </c>
      <c r="C1179" s="68" t="str">
        <f aca="false">IF(A1179="","",A1179&amp;"-"&amp;B1179)</f>
        <v/>
      </c>
      <c r="D1179" s="58"/>
      <c r="E1179" s="57"/>
      <c r="F1179" s="69"/>
      <c r="G1179" s="69"/>
      <c r="H1179" s="70" t="str">
        <f aca="false">IF(A1179="","",IFERROR(INDEX(السندات!$C$5:$C$504,MATCH(A1179,السندات!$A$5:$A$504,0)),""))</f>
        <v/>
      </c>
      <c r="I1179" s="71" t="str">
        <f aca="false">IF(A1179="","",IFERROR(INDEX(السندات!$D$5:$D$504,MATCH(A1179,السندات!$A$5:$A$504,0)),""))</f>
        <v/>
      </c>
      <c r="J1179" s="72" t="str">
        <f aca="false">IF(A1179="","",IF(ISNA(MATCH(A1179,السندات!$A$5:$A$504,0)),"رقم سند غير موجود ✘",IF(AND(F1179&lt;&gt;"",G1179&lt;&gt;""),"اكتب مدين أو دائن فقط ✘",IF(AND(N(F1179)=0,N(G1179)=0),"بدون مبلغ ⚠",IF(B1179&gt;12,"يتجاوز 12 بنداً في الطباعة ⚠","")))))</f>
        <v/>
      </c>
    </row>
    <row r="1180" customFormat="false" ht="15" hidden="false" customHeight="false" outlineLevel="0" collapsed="false">
      <c r="A1180" s="58"/>
      <c r="B1180" s="73" t="str">
        <f aca="false">IF(A1180="","",COUNTIF(A$5:A1180,A1180))</f>
        <v/>
      </c>
      <c r="C1180" s="73" t="str">
        <f aca="false">IF(A1180="","",A1180&amp;"-"&amp;B1180)</f>
        <v/>
      </c>
      <c r="D1180" s="58"/>
      <c r="E1180" s="57"/>
      <c r="F1180" s="69"/>
      <c r="G1180" s="69"/>
      <c r="H1180" s="74" t="str">
        <f aca="false">IF(A1180="","",IFERROR(INDEX(السندات!$C$5:$C$504,MATCH(A1180,السندات!$A$5:$A$504,0)),""))</f>
        <v/>
      </c>
      <c r="I1180" s="75" t="str">
        <f aca="false">IF(A1180="","",IFERROR(INDEX(السندات!$D$5:$D$504,MATCH(A1180,السندات!$A$5:$A$504,0)),""))</f>
        <v/>
      </c>
      <c r="J1180" s="76" t="str">
        <f aca="false">IF(A1180="","",IF(ISNA(MATCH(A1180,السندات!$A$5:$A$504,0)),"رقم سند غير موجود ✘",IF(AND(F1180&lt;&gt;"",G1180&lt;&gt;""),"اكتب مدين أو دائن فقط ✘",IF(AND(N(F1180)=0,N(G1180)=0),"بدون مبلغ ⚠",IF(B1180&gt;12,"يتجاوز 12 بنداً في الطباعة ⚠","")))))</f>
        <v/>
      </c>
    </row>
    <row r="1181" customFormat="false" ht="15" hidden="false" customHeight="false" outlineLevel="0" collapsed="false">
      <c r="A1181" s="58"/>
      <c r="B1181" s="68" t="str">
        <f aca="false">IF(A1181="","",COUNTIF(A$5:A1181,A1181))</f>
        <v/>
      </c>
      <c r="C1181" s="68" t="str">
        <f aca="false">IF(A1181="","",A1181&amp;"-"&amp;B1181)</f>
        <v/>
      </c>
      <c r="D1181" s="58"/>
      <c r="E1181" s="57"/>
      <c r="F1181" s="69"/>
      <c r="G1181" s="69"/>
      <c r="H1181" s="70" t="str">
        <f aca="false">IF(A1181="","",IFERROR(INDEX(السندات!$C$5:$C$504,MATCH(A1181,السندات!$A$5:$A$504,0)),""))</f>
        <v/>
      </c>
      <c r="I1181" s="71" t="str">
        <f aca="false">IF(A1181="","",IFERROR(INDEX(السندات!$D$5:$D$504,MATCH(A1181,السندات!$A$5:$A$504,0)),""))</f>
        <v/>
      </c>
      <c r="J1181" s="72" t="str">
        <f aca="false">IF(A1181="","",IF(ISNA(MATCH(A1181,السندات!$A$5:$A$504,0)),"رقم سند غير موجود ✘",IF(AND(F1181&lt;&gt;"",G1181&lt;&gt;""),"اكتب مدين أو دائن فقط ✘",IF(AND(N(F1181)=0,N(G1181)=0),"بدون مبلغ ⚠",IF(B1181&gt;12,"يتجاوز 12 بنداً في الطباعة ⚠","")))))</f>
        <v/>
      </c>
    </row>
    <row r="1182" customFormat="false" ht="15" hidden="false" customHeight="false" outlineLevel="0" collapsed="false">
      <c r="A1182" s="58"/>
      <c r="B1182" s="73" t="str">
        <f aca="false">IF(A1182="","",COUNTIF(A$5:A1182,A1182))</f>
        <v/>
      </c>
      <c r="C1182" s="73" t="str">
        <f aca="false">IF(A1182="","",A1182&amp;"-"&amp;B1182)</f>
        <v/>
      </c>
      <c r="D1182" s="58"/>
      <c r="E1182" s="57"/>
      <c r="F1182" s="69"/>
      <c r="G1182" s="69"/>
      <c r="H1182" s="74" t="str">
        <f aca="false">IF(A1182="","",IFERROR(INDEX(السندات!$C$5:$C$504,MATCH(A1182,السندات!$A$5:$A$504,0)),""))</f>
        <v/>
      </c>
      <c r="I1182" s="75" t="str">
        <f aca="false">IF(A1182="","",IFERROR(INDEX(السندات!$D$5:$D$504,MATCH(A1182,السندات!$A$5:$A$504,0)),""))</f>
        <v/>
      </c>
      <c r="J1182" s="76" t="str">
        <f aca="false">IF(A1182="","",IF(ISNA(MATCH(A1182,السندات!$A$5:$A$504,0)),"رقم سند غير موجود ✘",IF(AND(F1182&lt;&gt;"",G1182&lt;&gt;""),"اكتب مدين أو دائن فقط ✘",IF(AND(N(F1182)=0,N(G1182)=0),"بدون مبلغ ⚠",IF(B1182&gt;12,"يتجاوز 12 بنداً في الطباعة ⚠","")))))</f>
        <v/>
      </c>
    </row>
    <row r="1183" customFormat="false" ht="15" hidden="false" customHeight="false" outlineLevel="0" collapsed="false">
      <c r="A1183" s="58"/>
      <c r="B1183" s="68" t="str">
        <f aca="false">IF(A1183="","",COUNTIF(A$5:A1183,A1183))</f>
        <v/>
      </c>
      <c r="C1183" s="68" t="str">
        <f aca="false">IF(A1183="","",A1183&amp;"-"&amp;B1183)</f>
        <v/>
      </c>
      <c r="D1183" s="58"/>
      <c r="E1183" s="57"/>
      <c r="F1183" s="69"/>
      <c r="G1183" s="69"/>
      <c r="H1183" s="70" t="str">
        <f aca="false">IF(A1183="","",IFERROR(INDEX(السندات!$C$5:$C$504,MATCH(A1183,السندات!$A$5:$A$504,0)),""))</f>
        <v/>
      </c>
      <c r="I1183" s="71" t="str">
        <f aca="false">IF(A1183="","",IFERROR(INDEX(السندات!$D$5:$D$504,MATCH(A1183,السندات!$A$5:$A$504,0)),""))</f>
        <v/>
      </c>
      <c r="J1183" s="72" t="str">
        <f aca="false">IF(A1183="","",IF(ISNA(MATCH(A1183,السندات!$A$5:$A$504,0)),"رقم سند غير موجود ✘",IF(AND(F1183&lt;&gt;"",G1183&lt;&gt;""),"اكتب مدين أو دائن فقط ✘",IF(AND(N(F1183)=0,N(G1183)=0),"بدون مبلغ ⚠",IF(B1183&gt;12,"يتجاوز 12 بنداً في الطباعة ⚠","")))))</f>
        <v/>
      </c>
    </row>
    <row r="1184" customFormat="false" ht="15" hidden="false" customHeight="false" outlineLevel="0" collapsed="false">
      <c r="A1184" s="58"/>
      <c r="B1184" s="73" t="str">
        <f aca="false">IF(A1184="","",COUNTIF(A$5:A1184,A1184))</f>
        <v/>
      </c>
      <c r="C1184" s="73" t="str">
        <f aca="false">IF(A1184="","",A1184&amp;"-"&amp;B1184)</f>
        <v/>
      </c>
      <c r="D1184" s="58"/>
      <c r="E1184" s="57"/>
      <c r="F1184" s="69"/>
      <c r="G1184" s="69"/>
      <c r="H1184" s="74" t="str">
        <f aca="false">IF(A1184="","",IFERROR(INDEX(السندات!$C$5:$C$504,MATCH(A1184,السندات!$A$5:$A$504,0)),""))</f>
        <v/>
      </c>
      <c r="I1184" s="75" t="str">
        <f aca="false">IF(A1184="","",IFERROR(INDEX(السندات!$D$5:$D$504,MATCH(A1184,السندات!$A$5:$A$504,0)),""))</f>
        <v/>
      </c>
      <c r="J1184" s="76" t="str">
        <f aca="false">IF(A1184="","",IF(ISNA(MATCH(A1184,السندات!$A$5:$A$504,0)),"رقم سند غير موجود ✘",IF(AND(F1184&lt;&gt;"",G1184&lt;&gt;""),"اكتب مدين أو دائن فقط ✘",IF(AND(N(F1184)=0,N(G1184)=0),"بدون مبلغ ⚠",IF(B1184&gt;12,"يتجاوز 12 بنداً في الطباعة ⚠","")))))</f>
        <v/>
      </c>
    </row>
    <row r="1185" customFormat="false" ht="15" hidden="false" customHeight="false" outlineLevel="0" collapsed="false">
      <c r="A1185" s="58"/>
      <c r="B1185" s="68" t="str">
        <f aca="false">IF(A1185="","",COUNTIF(A$5:A1185,A1185))</f>
        <v/>
      </c>
      <c r="C1185" s="68" t="str">
        <f aca="false">IF(A1185="","",A1185&amp;"-"&amp;B1185)</f>
        <v/>
      </c>
      <c r="D1185" s="58"/>
      <c r="E1185" s="57"/>
      <c r="F1185" s="69"/>
      <c r="G1185" s="69"/>
      <c r="H1185" s="70" t="str">
        <f aca="false">IF(A1185="","",IFERROR(INDEX(السندات!$C$5:$C$504,MATCH(A1185,السندات!$A$5:$A$504,0)),""))</f>
        <v/>
      </c>
      <c r="I1185" s="71" t="str">
        <f aca="false">IF(A1185="","",IFERROR(INDEX(السندات!$D$5:$D$504,MATCH(A1185,السندات!$A$5:$A$504,0)),""))</f>
        <v/>
      </c>
      <c r="J1185" s="72" t="str">
        <f aca="false">IF(A1185="","",IF(ISNA(MATCH(A1185,السندات!$A$5:$A$504,0)),"رقم سند غير موجود ✘",IF(AND(F1185&lt;&gt;"",G1185&lt;&gt;""),"اكتب مدين أو دائن فقط ✘",IF(AND(N(F1185)=0,N(G1185)=0),"بدون مبلغ ⚠",IF(B1185&gt;12,"يتجاوز 12 بنداً في الطباعة ⚠","")))))</f>
        <v/>
      </c>
    </row>
    <row r="1186" customFormat="false" ht="15" hidden="false" customHeight="false" outlineLevel="0" collapsed="false">
      <c r="A1186" s="58"/>
      <c r="B1186" s="73" t="str">
        <f aca="false">IF(A1186="","",COUNTIF(A$5:A1186,A1186))</f>
        <v/>
      </c>
      <c r="C1186" s="73" t="str">
        <f aca="false">IF(A1186="","",A1186&amp;"-"&amp;B1186)</f>
        <v/>
      </c>
      <c r="D1186" s="58"/>
      <c r="E1186" s="57"/>
      <c r="F1186" s="69"/>
      <c r="G1186" s="69"/>
      <c r="H1186" s="74" t="str">
        <f aca="false">IF(A1186="","",IFERROR(INDEX(السندات!$C$5:$C$504,MATCH(A1186,السندات!$A$5:$A$504,0)),""))</f>
        <v/>
      </c>
      <c r="I1186" s="75" t="str">
        <f aca="false">IF(A1186="","",IFERROR(INDEX(السندات!$D$5:$D$504,MATCH(A1186,السندات!$A$5:$A$504,0)),""))</f>
        <v/>
      </c>
      <c r="J1186" s="76" t="str">
        <f aca="false">IF(A1186="","",IF(ISNA(MATCH(A1186,السندات!$A$5:$A$504,0)),"رقم سند غير موجود ✘",IF(AND(F1186&lt;&gt;"",G1186&lt;&gt;""),"اكتب مدين أو دائن فقط ✘",IF(AND(N(F1186)=0,N(G1186)=0),"بدون مبلغ ⚠",IF(B1186&gt;12,"يتجاوز 12 بنداً في الطباعة ⚠","")))))</f>
        <v/>
      </c>
    </row>
    <row r="1187" customFormat="false" ht="15" hidden="false" customHeight="false" outlineLevel="0" collapsed="false">
      <c r="A1187" s="58"/>
      <c r="B1187" s="68" t="str">
        <f aca="false">IF(A1187="","",COUNTIF(A$5:A1187,A1187))</f>
        <v/>
      </c>
      <c r="C1187" s="68" t="str">
        <f aca="false">IF(A1187="","",A1187&amp;"-"&amp;B1187)</f>
        <v/>
      </c>
      <c r="D1187" s="58"/>
      <c r="E1187" s="57"/>
      <c r="F1187" s="69"/>
      <c r="G1187" s="69"/>
      <c r="H1187" s="70" t="str">
        <f aca="false">IF(A1187="","",IFERROR(INDEX(السندات!$C$5:$C$504,MATCH(A1187,السندات!$A$5:$A$504,0)),""))</f>
        <v/>
      </c>
      <c r="I1187" s="71" t="str">
        <f aca="false">IF(A1187="","",IFERROR(INDEX(السندات!$D$5:$D$504,MATCH(A1187,السندات!$A$5:$A$504,0)),""))</f>
        <v/>
      </c>
      <c r="J1187" s="72" t="str">
        <f aca="false">IF(A1187="","",IF(ISNA(MATCH(A1187,السندات!$A$5:$A$504,0)),"رقم سند غير موجود ✘",IF(AND(F1187&lt;&gt;"",G1187&lt;&gt;""),"اكتب مدين أو دائن فقط ✘",IF(AND(N(F1187)=0,N(G1187)=0),"بدون مبلغ ⚠",IF(B1187&gt;12,"يتجاوز 12 بنداً في الطباعة ⚠","")))))</f>
        <v/>
      </c>
    </row>
    <row r="1188" customFormat="false" ht="15" hidden="false" customHeight="false" outlineLevel="0" collapsed="false">
      <c r="A1188" s="58"/>
      <c r="B1188" s="73" t="str">
        <f aca="false">IF(A1188="","",COUNTIF(A$5:A1188,A1188))</f>
        <v/>
      </c>
      <c r="C1188" s="73" t="str">
        <f aca="false">IF(A1188="","",A1188&amp;"-"&amp;B1188)</f>
        <v/>
      </c>
      <c r="D1188" s="58"/>
      <c r="E1188" s="57"/>
      <c r="F1188" s="69"/>
      <c r="G1188" s="69"/>
      <c r="H1188" s="74" t="str">
        <f aca="false">IF(A1188="","",IFERROR(INDEX(السندات!$C$5:$C$504,MATCH(A1188,السندات!$A$5:$A$504,0)),""))</f>
        <v/>
      </c>
      <c r="I1188" s="75" t="str">
        <f aca="false">IF(A1188="","",IFERROR(INDEX(السندات!$D$5:$D$504,MATCH(A1188,السندات!$A$5:$A$504,0)),""))</f>
        <v/>
      </c>
      <c r="J1188" s="76" t="str">
        <f aca="false">IF(A1188="","",IF(ISNA(MATCH(A1188,السندات!$A$5:$A$504,0)),"رقم سند غير موجود ✘",IF(AND(F1188&lt;&gt;"",G1188&lt;&gt;""),"اكتب مدين أو دائن فقط ✘",IF(AND(N(F1188)=0,N(G1188)=0),"بدون مبلغ ⚠",IF(B1188&gt;12,"يتجاوز 12 بنداً في الطباعة ⚠","")))))</f>
        <v/>
      </c>
    </row>
    <row r="1189" customFormat="false" ht="15" hidden="false" customHeight="false" outlineLevel="0" collapsed="false">
      <c r="A1189" s="58"/>
      <c r="B1189" s="68" t="str">
        <f aca="false">IF(A1189="","",COUNTIF(A$5:A1189,A1189))</f>
        <v/>
      </c>
      <c r="C1189" s="68" t="str">
        <f aca="false">IF(A1189="","",A1189&amp;"-"&amp;B1189)</f>
        <v/>
      </c>
      <c r="D1189" s="58"/>
      <c r="E1189" s="57"/>
      <c r="F1189" s="69"/>
      <c r="G1189" s="69"/>
      <c r="H1189" s="70" t="str">
        <f aca="false">IF(A1189="","",IFERROR(INDEX(السندات!$C$5:$C$504,MATCH(A1189,السندات!$A$5:$A$504,0)),""))</f>
        <v/>
      </c>
      <c r="I1189" s="71" t="str">
        <f aca="false">IF(A1189="","",IFERROR(INDEX(السندات!$D$5:$D$504,MATCH(A1189,السندات!$A$5:$A$504,0)),""))</f>
        <v/>
      </c>
      <c r="J1189" s="72" t="str">
        <f aca="false">IF(A1189="","",IF(ISNA(MATCH(A1189,السندات!$A$5:$A$504,0)),"رقم سند غير موجود ✘",IF(AND(F1189&lt;&gt;"",G1189&lt;&gt;""),"اكتب مدين أو دائن فقط ✘",IF(AND(N(F1189)=0,N(G1189)=0),"بدون مبلغ ⚠",IF(B1189&gt;12,"يتجاوز 12 بنداً في الطباعة ⚠","")))))</f>
        <v/>
      </c>
    </row>
    <row r="1190" customFormat="false" ht="15" hidden="false" customHeight="false" outlineLevel="0" collapsed="false">
      <c r="A1190" s="58"/>
      <c r="B1190" s="73" t="str">
        <f aca="false">IF(A1190="","",COUNTIF(A$5:A1190,A1190))</f>
        <v/>
      </c>
      <c r="C1190" s="73" t="str">
        <f aca="false">IF(A1190="","",A1190&amp;"-"&amp;B1190)</f>
        <v/>
      </c>
      <c r="D1190" s="58"/>
      <c r="E1190" s="57"/>
      <c r="F1190" s="69"/>
      <c r="G1190" s="69"/>
      <c r="H1190" s="74" t="str">
        <f aca="false">IF(A1190="","",IFERROR(INDEX(السندات!$C$5:$C$504,MATCH(A1190,السندات!$A$5:$A$504,0)),""))</f>
        <v/>
      </c>
      <c r="I1190" s="75" t="str">
        <f aca="false">IF(A1190="","",IFERROR(INDEX(السندات!$D$5:$D$504,MATCH(A1190,السندات!$A$5:$A$504,0)),""))</f>
        <v/>
      </c>
      <c r="J1190" s="76" t="str">
        <f aca="false">IF(A1190="","",IF(ISNA(MATCH(A1190,السندات!$A$5:$A$504,0)),"رقم سند غير موجود ✘",IF(AND(F1190&lt;&gt;"",G1190&lt;&gt;""),"اكتب مدين أو دائن فقط ✘",IF(AND(N(F1190)=0,N(G1190)=0),"بدون مبلغ ⚠",IF(B1190&gt;12,"يتجاوز 12 بنداً في الطباعة ⚠","")))))</f>
        <v/>
      </c>
    </row>
    <row r="1191" customFormat="false" ht="15" hidden="false" customHeight="false" outlineLevel="0" collapsed="false">
      <c r="A1191" s="58"/>
      <c r="B1191" s="68" t="str">
        <f aca="false">IF(A1191="","",COUNTIF(A$5:A1191,A1191))</f>
        <v/>
      </c>
      <c r="C1191" s="68" t="str">
        <f aca="false">IF(A1191="","",A1191&amp;"-"&amp;B1191)</f>
        <v/>
      </c>
      <c r="D1191" s="58"/>
      <c r="E1191" s="57"/>
      <c r="F1191" s="69"/>
      <c r="G1191" s="69"/>
      <c r="H1191" s="70" t="str">
        <f aca="false">IF(A1191="","",IFERROR(INDEX(السندات!$C$5:$C$504,MATCH(A1191,السندات!$A$5:$A$504,0)),""))</f>
        <v/>
      </c>
      <c r="I1191" s="71" t="str">
        <f aca="false">IF(A1191="","",IFERROR(INDEX(السندات!$D$5:$D$504,MATCH(A1191,السندات!$A$5:$A$504,0)),""))</f>
        <v/>
      </c>
      <c r="J1191" s="72" t="str">
        <f aca="false">IF(A1191="","",IF(ISNA(MATCH(A1191,السندات!$A$5:$A$504,0)),"رقم سند غير موجود ✘",IF(AND(F1191&lt;&gt;"",G1191&lt;&gt;""),"اكتب مدين أو دائن فقط ✘",IF(AND(N(F1191)=0,N(G1191)=0),"بدون مبلغ ⚠",IF(B1191&gt;12,"يتجاوز 12 بنداً في الطباعة ⚠","")))))</f>
        <v/>
      </c>
    </row>
    <row r="1192" customFormat="false" ht="15" hidden="false" customHeight="false" outlineLevel="0" collapsed="false">
      <c r="A1192" s="58"/>
      <c r="B1192" s="73" t="str">
        <f aca="false">IF(A1192="","",COUNTIF(A$5:A1192,A1192))</f>
        <v/>
      </c>
      <c r="C1192" s="73" t="str">
        <f aca="false">IF(A1192="","",A1192&amp;"-"&amp;B1192)</f>
        <v/>
      </c>
      <c r="D1192" s="58"/>
      <c r="E1192" s="57"/>
      <c r="F1192" s="69"/>
      <c r="G1192" s="69"/>
      <c r="H1192" s="74" t="str">
        <f aca="false">IF(A1192="","",IFERROR(INDEX(السندات!$C$5:$C$504,MATCH(A1192,السندات!$A$5:$A$504,0)),""))</f>
        <v/>
      </c>
      <c r="I1192" s="75" t="str">
        <f aca="false">IF(A1192="","",IFERROR(INDEX(السندات!$D$5:$D$504,MATCH(A1192,السندات!$A$5:$A$504,0)),""))</f>
        <v/>
      </c>
      <c r="J1192" s="76" t="str">
        <f aca="false">IF(A1192="","",IF(ISNA(MATCH(A1192,السندات!$A$5:$A$504,0)),"رقم سند غير موجود ✘",IF(AND(F1192&lt;&gt;"",G1192&lt;&gt;""),"اكتب مدين أو دائن فقط ✘",IF(AND(N(F1192)=0,N(G1192)=0),"بدون مبلغ ⚠",IF(B1192&gt;12,"يتجاوز 12 بنداً في الطباعة ⚠","")))))</f>
        <v/>
      </c>
    </row>
    <row r="1193" customFormat="false" ht="15" hidden="false" customHeight="false" outlineLevel="0" collapsed="false">
      <c r="A1193" s="58"/>
      <c r="B1193" s="68" t="str">
        <f aca="false">IF(A1193="","",COUNTIF(A$5:A1193,A1193))</f>
        <v/>
      </c>
      <c r="C1193" s="68" t="str">
        <f aca="false">IF(A1193="","",A1193&amp;"-"&amp;B1193)</f>
        <v/>
      </c>
      <c r="D1193" s="58"/>
      <c r="E1193" s="57"/>
      <c r="F1193" s="69"/>
      <c r="G1193" s="69"/>
      <c r="H1193" s="70" t="str">
        <f aca="false">IF(A1193="","",IFERROR(INDEX(السندات!$C$5:$C$504,MATCH(A1193,السندات!$A$5:$A$504,0)),""))</f>
        <v/>
      </c>
      <c r="I1193" s="71" t="str">
        <f aca="false">IF(A1193="","",IFERROR(INDEX(السندات!$D$5:$D$504,MATCH(A1193,السندات!$A$5:$A$504,0)),""))</f>
        <v/>
      </c>
      <c r="J1193" s="72" t="str">
        <f aca="false">IF(A1193="","",IF(ISNA(MATCH(A1193,السندات!$A$5:$A$504,0)),"رقم سند غير موجود ✘",IF(AND(F1193&lt;&gt;"",G1193&lt;&gt;""),"اكتب مدين أو دائن فقط ✘",IF(AND(N(F1193)=0,N(G1193)=0),"بدون مبلغ ⚠",IF(B1193&gt;12,"يتجاوز 12 بنداً في الطباعة ⚠","")))))</f>
        <v/>
      </c>
    </row>
    <row r="1194" customFormat="false" ht="15" hidden="false" customHeight="false" outlineLevel="0" collapsed="false">
      <c r="A1194" s="58"/>
      <c r="B1194" s="73" t="str">
        <f aca="false">IF(A1194="","",COUNTIF(A$5:A1194,A1194))</f>
        <v/>
      </c>
      <c r="C1194" s="73" t="str">
        <f aca="false">IF(A1194="","",A1194&amp;"-"&amp;B1194)</f>
        <v/>
      </c>
      <c r="D1194" s="58"/>
      <c r="E1194" s="57"/>
      <c r="F1194" s="69"/>
      <c r="G1194" s="69"/>
      <c r="H1194" s="74" t="str">
        <f aca="false">IF(A1194="","",IFERROR(INDEX(السندات!$C$5:$C$504,MATCH(A1194,السندات!$A$5:$A$504,0)),""))</f>
        <v/>
      </c>
      <c r="I1194" s="75" t="str">
        <f aca="false">IF(A1194="","",IFERROR(INDEX(السندات!$D$5:$D$504,MATCH(A1194,السندات!$A$5:$A$504,0)),""))</f>
        <v/>
      </c>
      <c r="J1194" s="76" t="str">
        <f aca="false">IF(A1194="","",IF(ISNA(MATCH(A1194,السندات!$A$5:$A$504,0)),"رقم سند غير موجود ✘",IF(AND(F1194&lt;&gt;"",G1194&lt;&gt;""),"اكتب مدين أو دائن فقط ✘",IF(AND(N(F1194)=0,N(G1194)=0),"بدون مبلغ ⚠",IF(B1194&gt;12,"يتجاوز 12 بنداً في الطباعة ⚠","")))))</f>
        <v/>
      </c>
    </row>
    <row r="1195" customFormat="false" ht="15" hidden="false" customHeight="false" outlineLevel="0" collapsed="false">
      <c r="A1195" s="58"/>
      <c r="B1195" s="68" t="str">
        <f aca="false">IF(A1195="","",COUNTIF(A$5:A1195,A1195))</f>
        <v/>
      </c>
      <c r="C1195" s="68" t="str">
        <f aca="false">IF(A1195="","",A1195&amp;"-"&amp;B1195)</f>
        <v/>
      </c>
      <c r="D1195" s="58"/>
      <c r="E1195" s="57"/>
      <c r="F1195" s="69"/>
      <c r="G1195" s="69"/>
      <c r="H1195" s="70" t="str">
        <f aca="false">IF(A1195="","",IFERROR(INDEX(السندات!$C$5:$C$504,MATCH(A1195,السندات!$A$5:$A$504,0)),""))</f>
        <v/>
      </c>
      <c r="I1195" s="71" t="str">
        <f aca="false">IF(A1195="","",IFERROR(INDEX(السندات!$D$5:$D$504,MATCH(A1195,السندات!$A$5:$A$504,0)),""))</f>
        <v/>
      </c>
      <c r="J1195" s="72" t="str">
        <f aca="false">IF(A1195="","",IF(ISNA(MATCH(A1195,السندات!$A$5:$A$504,0)),"رقم سند غير موجود ✘",IF(AND(F1195&lt;&gt;"",G1195&lt;&gt;""),"اكتب مدين أو دائن فقط ✘",IF(AND(N(F1195)=0,N(G1195)=0),"بدون مبلغ ⚠",IF(B1195&gt;12,"يتجاوز 12 بنداً في الطباعة ⚠","")))))</f>
        <v/>
      </c>
    </row>
    <row r="1196" customFormat="false" ht="15" hidden="false" customHeight="false" outlineLevel="0" collapsed="false">
      <c r="A1196" s="58"/>
      <c r="B1196" s="73" t="str">
        <f aca="false">IF(A1196="","",COUNTIF(A$5:A1196,A1196))</f>
        <v/>
      </c>
      <c r="C1196" s="73" t="str">
        <f aca="false">IF(A1196="","",A1196&amp;"-"&amp;B1196)</f>
        <v/>
      </c>
      <c r="D1196" s="58"/>
      <c r="E1196" s="57"/>
      <c r="F1196" s="69"/>
      <c r="G1196" s="69"/>
      <c r="H1196" s="74" t="str">
        <f aca="false">IF(A1196="","",IFERROR(INDEX(السندات!$C$5:$C$504,MATCH(A1196,السندات!$A$5:$A$504,0)),""))</f>
        <v/>
      </c>
      <c r="I1196" s="75" t="str">
        <f aca="false">IF(A1196="","",IFERROR(INDEX(السندات!$D$5:$D$504,MATCH(A1196,السندات!$A$5:$A$504,0)),""))</f>
        <v/>
      </c>
      <c r="J1196" s="76" t="str">
        <f aca="false">IF(A1196="","",IF(ISNA(MATCH(A1196,السندات!$A$5:$A$504,0)),"رقم سند غير موجود ✘",IF(AND(F1196&lt;&gt;"",G1196&lt;&gt;""),"اكتب مدين أو دائن فقط ✘",IF(AND(N(F1196)=0,N(G1196)=0),"بدون مبلغ ⚠",IF(B1196&gt;12,"يتجاوز 12 بنداً في الطباعة ⚠","")))))</f>
        <v/>
      </c>
    </row>
    <row r="1197" customFormat="false" ht="15" hidden="false" customHeight="false" outlineLevel="0" collapsed="false">
      <c r="A1197" s="58"/>
      <c r="B1197" s="68" t="str">
        <f aca="false">IF(A1197="","",COUNTIF(A$5:A1197,A1197))</f>
        <v/>
      </c>
      <c r="C1197" s="68" t="str">
        <f aca="false">IF(A1197="","",A1197&amp;"-"&amp;B1197)</f>
        <v/>
      </c>
      <c r="D1197" s="58"/>
      <c r="E1197" s="57"/>
      <c r="F1197" s="69"/>
      <c r="G1197" s="69"/>
      <c r="H1197" s="70" t="str">
        <f aca="false">IF(A1197="","",IFERROR(INDEX(السندات!$C$5:$C$504,MATCH(A1197,السندات!$A$5:$A$504,0)),""))</f>
        <v/>
      </c>
      <c r="I1197" s="71" t="str">
        <f aca="false">IF(A1197="","",IFERROR(INDEX(السندات!$D$5:$D$504,MATCH(A1197,السندات!$A$5:$A$504,0)),""))</f>
        <v/>
      </c>
      <c r="J1197" s="72" t="str">
        <f aca="false">IF(A1197="","",IF(ISNA(MATCH(A1197,السندات!$A$5:$A$504,0)),"رقم سند غير موجود ✘",IF(AND(F1197&lt;&gt;"",G1197&lt;&gt;""),"اكتب مدين أو دائن فقط ✘",IF(AND(N(F1197)=0,N(G1197)=0),"بدون مبلغ ⚠",IF(B1197&gt;12,"يتجاوز 12 بنداً في الطباعة ⚠","")))))</f>
        <v/>
      </c>
    </row>
    <row r="1198" customFormat="false" ht="15" hidden="false" customHeight="false" outlineLevel="0" collapsed="false">
      <c r="A1198" s="58"/>
      <c r="B1198" s="73" t="str">
        <f aca="false">IF(A1198="","",COUNTIF(A$5:A1198,A1198))</f>
        <v/>
      </c>
      <c r="C1198" s="73" t="str">
        <f aca="false">IF(A1198="","",A1198&amp;"-"&amp;B1198)</f>
        <v/>
      </c>
      <c r="D1198" s="58"/>
      <c r="E1198" s="57"/>
      <c r="F1198" s="69"/>
      <c r="G1198" s="69"/>
      <c r="H1198" s="74" t="str">
        <f aca="false">IF(A1198="","",IFERROR(INDEX(السندات!$C$5:$C$504,MATCH(A1198,السندات!$A$5:$A$504,0)),""))</f>
        <v/>
      </c>
      <c r="I1198" s="75" t="str">
        <f aca="false">IF(A1198="","",IFERROR(INDEX(السندات!$D$5:$D$504,MATCH(A1198,السندات!$A$5:$A$504,0)),""))</f>
        <v/>
      </c>
      <c r="J1198" s="76" t="str">
        <f aca="false">IF(A1198="","",IF(ISNA(MATCH(A1198,السندات!$A$5:$A$504,0)),"رقم سند غير موجود ✘",IF(AND(F1198&lt;&gt;"",G1198&lt;&gt;""),"اكتب مدين أو دائن فقط ✘",IF(AND(N(F1198)=0,N(G1198)=0),"بدون مبلغ ⚠",IF(B1198&gt;12,"يتجاوز 12 بنداً في الطباعة ⚠","")))))</f>
        <v/>
      </c>
    </row>
    <row r="1199" customFormat="false" ht="15" hidden="false" customHeight="false" outlineLevel="0" collapsed="false">
      <c r="A1199" s="58"/>
      <c r="B1199" s="68" t="str">
        <f aca="false">IF(A1199="","",COUNTIF(A$5:A1199,A1199))</f>
        <v/>
      </c>
      <c r="C1199" s="68" t="str">
        <f aca="false">IF(A1199="","",A1199&amp;"-"&amp;B1199)</f>
        <v/>
      </c>
      <c r="D1199" s="58"/>
      <c r="E1199" s="57"/>
      <c r="F1199" s="69"/>
      <c r="G1199" s="69"/>
      <c r="H1199" s="70" t="str">
        <f aca="false">IF(A1199="","",IFERROR(INDEX(السندات!$C$5:$C$504,MATCH(A1199,السندات!$A$5:$A$504,0)),""))</f>
        <v/>
      </c>
      <c r="I1199" s="71" t="str">
        <f aca="false">IF(A1199="","",IFERROR(INDEX(السندات!$D$5:$D$504,MATCH(A1199,السندات!$A$5:$A$504,0)),""))</f>
        <v/>
      </c>
      <c r="J1199" s="72" t="str">
        <f aca="false">IF(A1199="","",IF(ISNA(MATCH(A1199,السندات!$A$5:$A$504,0)),"رقم سند غير موجود ✘",IF(AND(F1199&lt;&gt;"",G1199&lt;&gt;""),"اكتب مدين أو دائن فقط ✘",IF(AND(N(F1199)=0,N(G1199)=0),"بدون مبلغ ⚠",IF(B1199&gt;12,"يتجاوز 12 بنداً في الطباعة ⚠","")))))</f>
        <v/>
      </c>
    </row>
    <row r="1200" customFormat="false" ht="15" hidden="false" customHeight="false" outlineLevel="0" collapsed="false">
      <c r="A1200" s="58"/>
      <c r="B1200" s="73" t="str">
        <f aca="false">IF(A1200="","",COUNTIF(A$5:A1200,A1200))</f>
        <v/>
      </c>
      <c r="C1200" s="73" t="str">
        <f aca="false">IF(A1200="","",A1200&amp;"-"&amp;B1200)</f>
        <v/>
      </c>
      <c r="D1200" s="58"/>
      <c r="E1200" s="57"/>
      <c r="F1200" s="69"/>
      <c r="G1200" s="69"/>
      <c r="H1200" s="74" t="str">
        <f aca="false">IF(A1200="","",IFERROR(INDEX(السندات!$C$5:$C$504,MATCH(A1200,السندات!$A$5:$A$504,0)),""))</f>
        <v/>
      </c>
      <c r="I1200" s="75" t="str">
        <f aca="false">IF(A1200="","",IFERROR(INDEX(السندات!$D$5:$D$504,MATCH(A1200,السندات!$A$5:$A$504,0)),""))</f>
        <v/>
      </c>
      <c r="J1200" s="76" t="str">
        <f aca="false">IF(A1200="","",IF(ISNA(MATCH(A1200,السندات!$A$5:$A$504,0)),"رقم سند غير موجود ✘",IF(AND(F1200&lt;&gt;"",G1200&lt;&gt;""),"اكتب مدين أو دائن فقط ✘",IF(AND(N(F1200)=0,N(G1200)=0),"بدون مبلغ ⚠",IF(B1200&gt;12,"يتجاوز 12 بنداً في الطباعة ⚠","")))))</f>
        <v/>
      </c>
    </row>
    <row r="1201" customFormat="false" ht="15" hidden="false" customHeight="false" outlineLevel="0" collapsed="false">
      <c r="A1201" s="58"/>
      <c r="B1201" s="68" t="str">
        <f aca="false">IF(A1201="","",COUNTIF(A$5:A1201,A1201))</f>
        <v/>
      </c>
      <c r="C1201" s="68" t="str">
        <f aca="false">IF(A1201="","",A1201&amp;"-"&amp;B1201)</f>
        <v/>
      </c>
      <c r="D1201" s="58"/>
      <c r="E1201" s="57"/>
      <c r="F1201" s="69"/>
      <c r="G1201" s="69"/>
      <c r="H1201" s="70" t="str">
        <f aca="false">IF(A1201="","",IFERROR(INDEX(السندات!$C$5:$C$504,MATCH(A1201,السندات!$A$5:$A$504,0)),""))</f>
        <v/>
      </c>
      <c r="I1201" s="71" t="str">
        <f aca="false">IF(A1201="","",IFERROR(INDEX(السندات!$D$5:$D$504,MATCH(A1201,السندات!$A$5:$A$504,0)),""))</f>
        <v/>
      </c>
      <c r="J1201" s="72" t="str">
        <f aca="false">IF(A1201="","",IF(ISNA(MATCH(A1201,السندات!$A$5:$A$504,0)),"رقم سند غير موجود ✘",IF(AND(F1201&lt;&gt;"",G1201&lt;&gt;""),"اكتب مدين أو دائن فقط ✘",IF(AND(N(F1201)=0,N(G1201)=0),"بدون مبلغ ⚠",IF(B1201&gt;12,"يتجاوز 12 بنداً في الطباعة ⚠","")))))</f>
        <v/>
      </c>
    </row>
    <row r="1202" customFormat="false" ht="15" hidden="false" customHeight="false" outlineLevel="0" collapsed="false">
      <c r="A1202" s="58"/>
      <c r="B1202" s="73" t="str">
        <f aca="false">IF(A1202="","",COUNTIF(A$5:A1202,A1202))</f>
        <v/>
      </c>
      <c r="C1202" s="73" t="str">
        <f aca="false">IF(A1202="","",A1202&amp;"-"&amp;B1202)</f>
        <v/>
      </c>
      <c r="D1202" s="58"/>
      <c r="E1202" s="57"/>
      <c r="F1202" s="69"/>
      <c r="G1202" s="69"/>
      <c r="H1202" s="74" t="str">
        <f aca="false">IF(A1202="","",IFERROR(INDEX(السندات!$C$5:$C$504,MATCH(A1202,السندات!$A$5:$A$504,0)),""))</f>
        <v/>
      </c>
      <c r="I1202" s="75" t="str">
        <f aca="false">IF(A1202="","",IFERROR(INDEX(السندات!$D$5:$D$504,MATCH(A1202,السندات!$A$5:$A$504,0)),""))</f>
        <v/>
      </c>
      <c r="J1202" s="76" t="str">
        <f aca="false">IF(A1202="","",IF(ISNA(MATCH(A1202,السندات!$A$5:$A$504,0)),"رقم سند غير موجود ✘",IF(AND(F1202&lt;&gt;"",G1202&lt;&gt;""),"اكتب مدين أو دائن فقط ✘",IF(AND(N(F1202)=0,N(G1202)=0),"بدون مبلغ ⚠",IF(B1202&gt;12,"يتجاوز 12 بنداً في الطباعة ⚠","")))))</f>
        <v/>
      </c>
    </row>
    <row r="1203" customFormat="false" ht="15" hidden="false" customHeight="false" outlineLevel="0" collapsed="false">
      <c r="A1203" s="58"/>
      <c r="B1203" s="68" t="str">
        <f aca="false">IF(A1203="","",COUNTIF(A$5:A1203,A1203))</f>
        <v/>
      </c>
      <c r="C1203" s="68" t="str">
        <f aca="false">IF(A1203="","",A1203&amp;"-"&amp;B1203)</f>
        <v/>
      </c>
      <c r="D1203" s="58"/>
      <c r="E1203" s="57"/>
      <c r="F1203" s="69"/>
      <c r="G1203" s="69"/>
      <c r="H1203" s="70" t="str">
        <f aca="false">IF(A1203="","",IFERROR(INDEX(السندات!$C$5:$C$504,MATCH(A1203,السندات!$A$5:$A$504,0)),""))</f>
        <v/>
      </c>
      <c r="I1203" s="71" t="str">
        <f aca="false">IF(A1203="","",IFERROR(INDEX(السندات!$D$5:$D$504,MATCH(A1203,السندات!$A$5:$A$504,0)),""))</f>
        <v/>
      </c>
      <c r="J1203" s="72" t="str">
        <f aca="false">IF(A1203="","",IF(ISNA(MATCH(A1203,السندات!$A$5:$A$504,0)),"رقم سند غير موجود ✘",IF(AND(F1203&lt;&gt;"",G1203&lt;&gt;""),"اكتب مدين أو دائن فقط ✘",IF(AND(N(F1203)=0,N(G1203)=0),"بدون مبلغ ⚠",IF(B1203&gt;12,"يتجاوز 12 بنداً في الطباعة ⚠","")))))</f>
        <v/>
      </c>
    </row>
    <row r="1204" customFormat="false" ht="15" hidden="false" customHeight="false" outlineLevel="0" collapsed="false">
      <c r="A1204" s="58"/>
      <c r="B1204" s="73" t="str">
        <f aca="false">IF(A1204="","",COUNTIF(A$5:A1204,A1204))</f>
        <v/>
      </c>
      <c r="C1204" s="73" t="str">
        <f aca="false">IF(A1204="","",A1204&amp;"-"&amp;B1204)</f>
        <v/>
      </c>
      <c r="D1204" s="58"/>
      <c r="E1204" s="57"/>
      <c r="F1204" s="69"/>
      <c r="G1204" s="69"/>
      <c r="H1204" s="74" t="str">
        <f aca="false">IF(A1204="","",IFERROR(INDEX(السندات!$C$5:$C$504,MATCH(A1204,السندات!$A$5:$A$504,0)),""))</f>
        <v/>
      </c>
      <c r="I1204" s="75" t="str">
        <f aca="false">IF(A1204="","",IFERROR(INDEX(السندات!$D$5:$D$504,MATCH(A1204,السندات!$A$5:$A$504,0)),""))</f>
        <v/>
      </c>
      <c r="J1204" s="76" t="str">
        <f aca="false">IF(A1204="","",IF(ISNA(MATCH(A1204,السندات!$A$5:$A$504,0)),"رقم سند غير موجود ✘",IF(AND(F1204&lt;&gt;"",G1204&lt;&gt;""),"اكتب مدين أو دائن فقط ✘",IF(AND(N(F1204)=0,N(G1204)=0),"بدون مبلغ ⚠",IF(B1204&gt;12,"يتجاوز 12 بنداً في الطباعة ⚠","")))))</f>
        <v/>
      </c>
    </row>
    <row r="1205" customFormat="false" ht="15" hidden="false" customHeight="false" outlineLevel="0" collapsed="false">
      <c r="A1205" s="58"/>
      <c r="B1205" s="68" t="str">
        <f aca="false">IF(A1205="","",COUNTIF(A$5:A1205,A1205))</f>
        <v/>
      </c>
      <c r="C1205" s="68" t="str">
        <f aca="false">IF(A1205="","",A1205&amp;"-"&amp;B1205)</f>
        <v/>
      </c>
      <c r="D1205" s="58"/>
      <c r="E1205" s="57"/>
      <c r="F1205" s="69"/>
      <c r="G1205" s="69"/>
      <c r="H1205" s="70" t="str">
        <f aca="false">IF(A1205="","",IFERROR(INDEX(السندات!$C$5:$C$504,MATCH(A1205,السندات!$A$5:$A$504,0)),""))</f>
        <v/>
      </c>
      <c r="I1205" s="71" t="str">
        <f aca="false">IF(A1205="","",IFERROR(INDEX(السندات!$D$5:$D$504,MATCH(A1205,السندات!$A$5:$A$504,0)),""))</f>
        <v/>
      </c>
      <c r="J1205" s="72" t="str">
        <f aca="false">IF(A1205="","",IF(ISNA(MATCH(A1205,السندات!$A$5:$A$504,0)),"رقم سند غير موجود ✘",IF(AND(F1205&lt;&gt;"",G1205&lt;&gt;""),"اكتب مدين أو دائن فقط ✘",IF(AND(N(F1205)=0,N(G1205)=0),"بدون مبلغ ⚠",IF(B1205&gt;12,"يتجاوز 12 بنداً في الطباعة ⚠","")))))</f>
        <v/>
      </c>
    </row>
    <row r="1206" customFormat="false" ht="15" hidden="false" customHeight="false" outlineLevel="0" collapsed="false">
      <c r="A1206" s="58"/>
      <c r="B1206" s="73" t="str">
        <f aca="false">IF(A1206="","",COUNTIF(A$5:A1206,A1206))</f>
        <v/>
      </c>
      <c r="C1206" s="73" t="str">
        <f aca="false">IF(A1206="","",A1206&amp;"-"&amp;B1206)</f>
        <v/>
      </c>
      <c r="D1206" s="58"/>
      <c r="E1206" s="57"/>
      <c r="F1206" s="69"/>
      <c r="G1206" s="69"/>
      <c r="H1206" s="74" t="str">
        <f aca="false">IF(A1206="","",IFERROR(INDEX(السندات!$C$5:$C$504,MATCH(A1206,السندات!$A$5:$A$504,0)),""))</f>
        <v/>
      </c>
      <c r="I1206" s="75" t="str">
        <f aca="false">IF(A1206="","",IFERROR(INDEX(السندات!$D$5:$D$504,MATCH(A1206,السندات!$A$5:$A$504,0)),""))</f>
        <v/>
      </c>
      <c r="J1206" s="76" t="str">
        <f aca="false">IF(A1206="","",IF(ISNA(MATCH(A1206,السندات!$A$5:$A$504,0)),"رقم سند غير موجود ✘",IF(AND(F1206&lt;&gt;"",G1206&lt;&gt;""),"اكتب مدين أو دائن فقط ✘",IF(AND(N(F1206)=0,N(G1206)=0),"بدون مبلغ ⚠",IF(B1206&gt;12,"يتجاوز 12 بنداً في الطباعة ⚠","")))))</f>
        <v/>
      </c>
    </row>
    <row r="1207" customFormat="false" ht="15" hidden="false" customHeight="false" outlineLevel="0" collapsed="false">
      <c r="A1207" s="58"/>
      <c r="B1207" s="68" t="str">
        <f aca="false">IF(A1207="","",COUNTIF(A$5:A1207,A1207))</f>
        <v/>
      </c>
      <c r="C1207" s="68" t="str">
        <f aca="false">IF(A1207="","",A1207&amp;"-"&amp;B1207)</f>
        <v/>
      </c>
      <c r="D1207" s="58"/>
      <c r="E1207" s="57"/>
      <c r="F1207" s="69"/>
      <c r="G1207" s="69"/>
      <c r="H1207" s="70" t="str">
        <f aca="false">IF(A1207="","",IFERROR(INDEX(السندات!$C$5:$C$504,MATCH(A1207,السندات!$A$5:$A$504,0)),""))</f>
        <v/>
      </c>
      <c r="I1207" s="71" t="str">
        <f aca="false">IF(A1207="","",IFERROR(INDEX(السندات!$D$5:$D$504,MATCH(A1207,السندات!$A$5:$A$504,0)),""))</f>
        <v/>
      </c>
      <c r="J1207" s="72" t="str">
        <f aca="false">IF(A1207="","",IF(ISNA(MATCH(A1207,السندات!$A$5:$A$504,0)),"رقم سند غير موجود ✘",IF(AND(F1207&lt;&gt;"",G1207&lt;&gt;""),"اكتب مدين أو دائن فقط ✘",IF(AND(N(F1207)=0,N(G1207)=0),"بدون مبلغ ⚠",IF(B1207&gt;12,"يتجاوز 12 بنداً في الطباعة ⚠","")))))</f>
        <v/>
      </c>
    </row>
    <row r="1208" customFormat="false" ht="15" hidden="false" customHeight="false" outlineLevel="0" collapsed="false">
      <c r="A1208" s="58"/>
      <c r="B1208" s="73" t="str">
        <f aca="false">IF(A1208="","",COUNTIF(A$5:A1208,A1208))</f>
        <v/>
      </c>
      <c r="C1208" s="73" t="str">
        <f aca="false">IF(A1208="","",A1208&amp;"-"&amp;B1208)</f>
        <v/>
      </c>
      <c r="D1208" s="58"/>
      <c r="E1208" s="57"/>
      <c r="F1208" s="69"/>
      <c r="G1208" s="69"/>
      <c r="H1208" s="74" t="str">
        <f aca="false">IF(A1208="","",IFERROR(INDEX(السندات!$C$5:$C$504,MATCH(A1208,السندات!$A$5:$A$504,0)),""))</f>
        <v/>
      </c>
      <c r="I1208" s="75" t="str">
        <f aca="false">IF(A1208="","",IFERROR(INDEX(السندات!$D$5:$D$504,MATCH(A1208,السندات!$A$5:$A$504,0)),""))</f>
        <v/>
      </c>
      <c r="J1208" s="76" t="str">
        <f aca="false">IF(A1208="","",IF(ISNA(MATCH(A1208,السندات!$A$5:$A$504,0)),"رقم سند غير موجود ✘",IF(AND(F1208&lt;&gt;"",G1208&lt;&gt;""),"اكتب مدين أو دائن فقط ✘",IF(AND(N(F1208)=0,N(G1208)=0),"بدون مبلغ ⚠",IF(B1208&gt;12,"يتجاوز 12 بنداً في الطباعة ⚠","")))))</f>
        <v/>
      </c>
    </row>
    <row r="1209" customFormat="false" ht="15" hidden="false" customHeight="false" outlineLevel="0" collapsed="false">
      <c r="A1209" s="58"/>
      <c r="B1209" s="68" t="str">
        <f aca="false">IF(A1209="","",COUNTIF(A$5:A1209,A1209))</f>
        <v/>
      </c>
      <c r="C1209" s="68" t="str">
        <f aca="false">IF(A1209="","",A1209&amp;"-"&amp;B1209)</f>
        <v/>
      </c>
      <c r="D1209" s="58"/>
      <c r="E1209" s="57"/>
      <c r="F1209" s="69"/>
      <c r="G1209" s="69"/>
      <c r="H1209" s="70" t="str">
        <f aca="false">IF(A1209="","",IFERROR(INDEX(السندات!$C$5:$C$504,MATCH(A1209,السندات!$A$5:$A$504,0)),""))</f>
        <v/>
      </c>
      <c r="I1209" s="71" t="str">
        <f aca="false">IF(A1209="","",IFERROR(INDEX(السندات!$D$5:$D$504,MATCH(A1209,السندات!$A$5:$A$504,0)),""))</f>
        <v/>
      </c>
      <c r="J1209" s="72" t="str">
        <f aca="false">IF(A1209="","",IF(ISNA(MATCH(A1209,السندات!$A$5:$A$504,0)),"رقم سند غير موجود ✘",IF(AND(F1209&lt;&gt;"",G1209&lt;&gt;""),"اكتب مدين أو دائن فقط ✘",IF(AND(N(F1209)=0,N(G1209)=0),"بدون مبلغ ⚠",IF(B1209&gt;12,"يتجاوز 12 بنداً في الطباعة ⚠","")))))</f>
        <v/>
      </c>
    </row>
    <row r="1210" customFormat="false" ht="15" hidden="false" customHeight="false" outlineLevel="0" collapsed="false">
      <c r="A1210" s="58"/>
      <c r="B1210" s="73" t="str">
        <f aca="false">IF(A1210="","",COUNTIF(A$5:A1210,A1210))</f>
        <v/>
      </c>
      <c r="C1210" s="73" t="str">
        <f aca="false">IF(A1210="","",A1210&amp;"-"&amp;B1210)</f>
        <v/>
      </c>
      <c r="D1210" s="58"/>
      <c r="E1210" s="57"/>
      <c r="F1210" s="69"/>
      <c r="G1210" s="69"/>
      <c r="H1210" s="74" t="str">
        <f aca="false">IF(A1210="","",IFERROR(INDEX(السندات!$C$5:$C$504,MATCH(A1210,السندات!$A$5:$A$504,0)),""))</f>
        <v/>
      </c>
      <c r="I1210" s="75" t="str">
        <f aca="false">IF(A1210="","",IFERROR(INDEX(السندات!$D$5:$D$504,MATCH(A1210,السندات!$A$5:$A$504,0)),""))</f>
        <v/>
      </c>
      <c r="J1210" s="76" t="str">
        <f aca="false">IF(A1210="","",IF(ISNA(MATCH(A1210,السندات!$A$5:$A$504,0)),"رقم سند غير موجود ✘",IF(AND(F1210&lt;&gt;"",G1210&lt;&gt;""),"اكتب مدين أو دائن فقط ✘",IF(AND(N(F1210)=0,N(G1210)=0),"بدون مبلغ ⚠",IF(B1210&gt;12,"يتجاوز 12 بنداً في الطباعة ⚠","")))))</f>
        <v/>
      </c>
    </row>
    <row r="1211" customFormat="false" ht="15" hidden="false" customHeight="false" outlineLevel="0" collapsed="false">
      <c r="A1211" s="58"/>
      <c r="B1211" s="68" t="str">
        <f aca="false">IF(A1211="","",COUNTIF(A$5:A1211,A1211))</f>
        <v/>
      </c>
      <c r="C1211" s="68" t="str">
        <f aca="false">IF(A1211="","",A1211&amp;"-"&amp;B1211)</f>
        <v/>
      </c>
      <c r="D1211" s="58"/>
      <c r="E1211" s="57"/>
      <c r="F1211" s="69"/>
      <c r="G1211" s="69"/>
      <c r="H1211" s="70" t="str">
        <f aca="false">IF(A1211="","",IFERROR(INDEX(السندات!$C$5:$C$504,MATCH(A1211,السندات!$A$5:$A$504,0)),""))</f>
        <v/>
      </c>
      <c r="I1211" s="71" t="str">
        <f aca="false">IF(A1211="","",IFERROR(INDEX(السندات!$D$5:$D$504,MATCH(A1211,السندات!$A$5:$A$504,0)),""))</f>
        <v/>
      </c>
      <c r="J1211" s="72" t="str">
        <f aca="false">IF(A1211="","",IF(ISNA(MATCH(A1211,السندات!$A$5:$A$504,0)),"رقم سند غير موجود ✘",IF(AND(F1211&lt;&gt;"",G1211&lt;&gt;""),"اكتب مدين أو دائن فقط ✘",IF(AND(N(F1211)=0,N(G1211)=0),"بدون مبلغ ⚠",IF(B1211&gt;12,"يتجاوز 12 بنداً في الطباعة ⚠","")))))</f>
        <v/>
      </c>
    </row>
    <row r="1212" customFormat="false" ht="15" hidden="false" customHeight="false" outlineLevel="0" collapsed="false">
      <c r="A1212" s="58"/>
      <c r="B1212" s="73" t="str">
        <f aca="false">IF(A1212="","",COUNTIF(A$5:A1212,A1212))</f>
        <v/>
      </c>
      <c r="C1212" s="73" t="str">
        <f aca="false">IF(A1212="","",A1212&amp;"-"&amp;B1212)</f>
        <v/>
      </c>
      <c r="D1212" s="58"/>
      <c r="E1212" s="57"/>
      <c r="F1212" s="69"/>
      <c r="G1212" s="69"/>
      <c r="H1212" s="74" t="str">
        <f aca="false">IF(A1212="","",IFERROR(INDEX(السندات!$C$5:$C$504,MATCH(A1212,السندات!$A$5:$A$504,0)),""))</f>
        <v/>
      </c>
      <c r="I1212" s="75" t="str">
        <f aca="false">IF(A1212="","",IFERROR(INDEX(السندات!$D$5:$D$504,MATCH(A1212,السندات!$A$5:$A$504,0)),""))</f>
        <v/>
      </c>
      <c r="J1212" s="76" t="str">
        <f aca="false">IF(A1212="","",IF(ISNA(MATCH(A1212,السندات!$A$5:$A$504,0)),"رقم سند غير موجود ✘",IF(AND(F1212&lt;&gt;"",G1212&lt;&gt;""),"اكتب مدين أو دائن فقط ✘",IF(AND(N(F1212)=0,N(G1212)=0),"بدون مبلغ ⚠",IF(B1212&gt;12,"يتجاوز 12 بنداً في الطباعة ⚠","")))))</f>
        <v/>
      </c>
    </row>
    <row r="1213" customFormat="false" ht="15" hidden="false" customHeight="false" outlineLevel="0" collapsed="false">
      <c r="A1213" s="58"/>
      <c r="B1213" s="68" t="str">
        <f aca="false">IF(A1213="","",COUNTIF(A$5:A1213,A1213))</f>
        <v/>
      </c>
      <c r="C1213" s="68" t="str">
        <f aca="false">IF(A1213="","",A1213&amp;"-"&amp;B1213)</f>
        <v/>
      </c>
      <c r="D1213" s="58"/>
      <c r="E1213" s="57"/>
      <c r="F1213" s="69"/>
      <c r="G1213" s="69"/>
      <c r="H1213" s="70" t="str">
        <f aca="false">IF(A1213="","",IFERROR(INDEX(السندات!$C$5:$C$504,MATCH(A1213,السندات!$A$5:$A$504,0)),""))</f>
        <v/>
      </c>
      <c r="I1213" s="71" t="str">
        <f aca="false">IF(A1213="","",IFERROR(INDEX(السندات!$D$5:$D$504,MATCH(A1213,السندات!$A$5:$A$504,0)),""))</f>
        <v/>
      </c>
      <c r="J1213" s="72" t="str">
        <f aca="false">IF(A1213="","",IF(ISNA(MATCH(A1213,السندات!$A$5:$A$504,0)),"رقم سند غير موجود ✘",IF(AND(F1213&lt;&gt;"",G1213&lt;&gt;""),"اكتب مدين أو دائن فقط ✘",IF(AND(N(F1213)=0,N(G1213)=0),"بدون مبلغ ⚠",IF(B1213&gt;12,"يتجاوز 12 بنداً في الطباعة ⚠","")))))</f>
        <v/>
      </c>
    </row>
    <row r="1214" customFormat="false" ht="15" hidden="false" customHeight="false" outlineLevel="0" collapsed="false">
      <c r="A1214" s="58"/>
      <c r="B1214" s="73" t="str">
        <f aca="false">IF(A1214="","",COUNTIF(A$5:A1214,A1214))</f>
        <v/>
      </c>
      <c r="C1214" s="73" t="str">
        <f aca="false">IF(A1214="","",A1214&amp;"-"&amp;B1214)</f>
        <v/>
      </c>
      <c r="D1214" s="58"/>
      <c r="E1214" s="57"/>
      <c r="F1214" s="69"/>
      <c r="G1214" s="69"/>
      <c r="H1214" s="74" t="str">
        <f aca="false">IF(A1214="","",IFERROR(INDEX(السندات!$C$5:$C$504,MATCH(A1214,السندات!$A$5:$A$504,0)),""))</f>
        <v/>
      </c>
      <c r="I1214" s="75" t="str">
        <f aca="false">IF(A1214="","",IFERROR(INDEX(السندات!$D$5:$D$504,MATCH(A1214,السندات!$A$5:$A$504,0)),""))</f>
        <v/>
      </c>
      <c r="J1214" s="76" t="str">
        <f aca="false">IF(A1214="","",IF(ISNA(MATCH(A1214,السندات!$A$5:$A$504,0)),"رقم سند غير موجود ✘",IF(AND(F1214&lt;&gt;"",G1214&lt;&gt;""),"اكتب مدين أو دائن فقط ✘",IF(AND(N(F1214)=0,N(G1214)=0),"بدون مبلغ ⚠",IF(B1214&gt;12,"يتجاوز 12 بنداً في الطباعة ⚠","")))))</f>
        <v/>
      </c>
    </row>
    <row r="1215" customFormat="false" ht="15" hidden="false" customHeight="false" outlineLevel="0" collapsed="false">
      <c r="A1215" s="58"/>
      <c r="B1215" s="68" t="str">
        <f aca="false">IF(A1215="","",COUNTIF(A$5:A1215,A1215))</f>
        <v/>
      </c>
      <c r="C1215" s="68" t="str">
        <f aca="false">IF(A1215="","",A1215&amp;"-"&amp;B1215)</f>
        <v/>
      </c>
      <c r="D1215" s="58"/>
      <c r="E1215" s="57"/>
      <c r="F1215" s="69"/>
      <c r="G1215" s="69"/>
      <c r="H1215" s="70" t="str">
        <f aca="false">IF(A1215="","",IFERROR(INDEX(السندات!$C$5:$C$504,MATCH(A1215,السندات!$A$5:$A$504,0)),""))</f>
        <v/>
      </c>
      <c r="I1215" s="71" t="str">
        <f aca="false">IF(A1215="","",IFERROR(INDEX(السندات!$D$5:$D$504,MATCH(A1215,السندات!$A$5:$A$504,0)),""))</f>
        <v/>
      </c>
      <c r="J1215" s="72" t="str">
        <f aca="false">IF(A1215="","",IF(ISNA(MATCH(A1215,السندات!$A$5:$A$504,0)),"رقم سند غير موجود ✘",IF(AND(F1215&lt;&gt;"",G1215&lt;&gt;""),"اكتب مدين أو دائن فقط ✘",IF(AND(N(F1215)=0,N(G1215)=0),"بدون مبلغ ⚠",IF(B1215&gt;12,"يتجاوز 12 بنداً في الطباعة ⚠","")))))</f>
        <v/>
      </c>
    </row>
    <row r="1216" customFormat="false" ht="15" hidden="false" customHeight="false" outlineLevel="0" collapsed="false">
      <c r="A1216" s="58"/>
      <c r="B1216" s="73" t="str">
        <f aca="false">IF(A1216="","",COUNTIF(A$5:A1216,A1216))</f>
        <v/>
      </c>
      <c r="C1216" s="73" t="str">
        <f aca="false">IF(A1216="","",A1216&amp;"-"&amp;B1216)</f>
        <v/>
      </c>
      <c r="D1216" s="58"/>
      <c r="E1216" s="57"/>
      <c r="F1216" s="69"/>
      <c r="G1216" s="69"/>
      <c r="H1216" s="74" t="str">
        <f aca="false">IF(A1216="","",IFERROR(INDEX(السندات!$C$5:$C$504,MATCH(A1216,السندات!$A$5:$A$504,0)),""))</f>
        <v/>
      </c>
      <c r="I1216" s="75" t="str">
        <f aca="false">IF(A1216="","",IFERROR(INDEX(السندات!$D$5:$D$504,MATCH(A1216,السندات!$A$5:$A$504,0)),""))</f>
        <v/>
      </c>
      <c r="J1216" s="76" t="str">
        <f aca="false">IF(A1216="","",IF(ISNA(MATCH(A1216,السندات!$A$5:$A$504,0)),"رقم سند غير موجود ✘",IF(AND(F1216&lt;&gt;"",G1216&lt;&gt;""),"اكتب مدين أو دائن فقط ✘",IF(AND(N(F1216)=0,N(G1216)=0),"بدون مبلغ ⚠",IF(B1216&gt;12,"يتجاوز 12 بنداً في الطباعة ⚠","")))))</f>
        <v/>
      </c>
    </row>
    <row r="1217" customFormat="false" ht="15" hidden="false" customHeight="false" outlineLevel="0" collapsed="false">
      <c r="A1217" s="58"/>
      <c r="B1217" s="68" t="str">
        <f aca="false">IF(A1217="","",COUNTIF(A$5:A1217,A1217))</f>
        <v/>
      </c>
      <c r="C1217" s="68" t="str">
        <f aca="false">IF(A1217="","",A1217&amp;"-"&amp;B1217)</f>
        <v/>
      </c>
      <c r="D1217" s="58"/>
      <c r="E1217" s="57"/>
      <c r="F1217" s="69"/>
      <c r="G1217" s="69"/>
      <c r="H1217" s="70" t="str">
        <f aca="false">IF(A1217="","",IFERROR(INDEX(السندات!$C$5:$C$504,MATCH(A1217,السندات!$A$5:$A$504,0)),""))</f>
        <v/>
      </c>
      <c r="I1217" s="71" t="str">
        <f aca="false">IF(A1217="","",IFERROR(INDEX(السندات!$D$5:$D$504,MATCH(A1217,السندات!$A$5:$A$504,0)),""))</f>
        <v/>
      </c>
      <c r="J1217" s="72" t="str">
        <f aca="false">IF(A1217="","",IF(ISNA(MATCH(A1217,السندات!$A$5:$A$504,0)),"رقم سند غير موجود ✘",IF(AND(F1217&lt;&gt;"",G1217&lt;&gt;""),"اكتب مدين أو دائن فقط ✘",IF(AND(N(F1217)=0,N(G1217)=0),"بدون مبلغ ⚠",IF(B1217&gt;12,"يتجاوز 12 بنداً في الطباعة ⚠","")))))</f>
        <v/>
      </c>
    </row>
    <row r="1218" customFormat="false" ht="15" hidden="false" customHeight="false" outlineLevel="0" collapsed="false">
      <c r="A1218" s="58"/>
      <c r="B1218" s="73" t="str">
        <f aca="false">IF(A1218="","",COUNTIF(A$5:A1218,A1218))</f>
        <v/>
      </c>
      <c r="C1218" s="73" t="str">
        <f aca="false">IF(A1218="","",A1218&amp;"-"&amp;B1218)</f>
        <v/>
      </c>
      <c r="D1218" s="58"/>
      <c r="E1218" s="57"/>
      <c r="F1218" s="69"/>
      <c r="G1218" s="69"/>
      <c r="H1218" s="74" t="str">
        <f aca="false">IF(A1218="","",IFERROR(INDEX(السندات!$C$5:$C$504,MATCH(A1218,السندات!$A$5:$A$504,0)),""))</f>
        <v/>
      </c>
      <c r="I1218" s="75" t="str">
        <f aca="false">IF(A1218="","",IFERROR(INDEX(السندات!$D$5:$D$504,MATCH(A1218,السندات!$A$5:$A$504,0)),""))</f>
        <v/>
      </c>
      <c r="J1218" s="76" t="str">
        <f aca="false">IF(A1218="","",IF(ISNA(MATCH(A1218,السندات!$A$5:$A$504,0)),"رقم سند غير موجود ✘",IF(AND(F1218&lt;&gt;"",G1218&lt;&gt;""),"اكتب مدين أو دائن فقط ✘",IF(AND(N(F1218)=0,N(G1218)=0),"بدون مبلغ ⚠",IF(B1218&gt;12,"يتجاوز 12 بنداً في الطباعة ⚠","")))))</f>
        <v/>
      </c>
    </row>
    <row r="1219" customFormat="false" ht="15" hidden="false" customHeight="false" outlineLevel="0" collapsed="false">
      <c r="A1219" s="58"/>
      <c r="B1219" s="68" t="str">
        <f aca="false">IF(A1219="","",COUNTIF(A$5:A1219,A1219))</f>
        <v/>
      </c>
      <c r="C1219" s="68" t="str">
        <f aca="false">IF(A1219="","",A1219&amp;"-"&amp;B1219)</f>
        <v/>
      </c>
      <c r="D1219" s="58"/>
      <c r="E1219" s="57"/>
      <c r="F1219" s="69"/>
      <c r="G1219" s="69"/>
      <c r="H1219" s="70" t="str">
        <f aca="false">IF(A1219="","",IFERROR(INDEX(السندات!$C$5:$C$504,MATCH(A1219,السندات!$A$5:$A$504,0)),""))</f>
        <v/>
      </c>
      <c r="I1219" s="71" t="str">
        <f aca="false">IF(A1219="","",IFERROR(INDEX(السندات!$D$5:$D$504,MATCH(A1219,السندات!$A$5:$A$504,0)),""))</f>
        <v/>
      </c>
      <c r="J1219" s="72" t="str">
        <f aca="false">IF(A1219="","",IF(ISNA(MATCH(A1219,السندات!$A$5:$A$504,0)),"رقم سند غير موجود ✘",IF(AND(F1219&lt;&gt;"",G1219&lt;&gt;""),"اكتب مدين أو دائن فقط ✘",IF(AND(N(F1219)=0,N(G1219)=0),"بدون مبلغ ⚠",IF(B1219&gt;12,"يتجاوز 12 بنداً في الطباعة ⚠","")))))</f>
        <v/>
      </c>
    </row>
    <row r="1220" customFormat="false" ht="15" hidden="false" customHeight="false" outlineLevel="0" collapsed="false">
      <c r="A1220" s="58"/>
      <c r="B1220" s="73" t="str">
        <f aca="false">IF(A1220="","",COUNTIF(A$5:A1220,A1220))</f>
        <v/>
      </c>
      <c r="C1220" s="73" t="str">
        <f aca="false">IF(A1220="","",A1220&amp;"-"&amp;B1220)</f>
        <v/>
      </c>
      <c r="D1220" s="58"/>
      <c r="E1220" s="57"/>
      <c r="F1220" s="69"/>
      <c r="G1220" s="69"/>
      <c r="H1220" s="74" t="str">
        <f aca="false">IF(A1220="","",IFERROR(INDEX(السندات!$C$5:$C$504,MATCH(A1220,السندات!$A$5:$A$504,0)),""))</f>
        <v/>
      </c>
      <c r="I1220" s="75" t="str">
        <f aca="false">IF(A1220="","",IFERROR(INDEX(السندات!$D$5:$D$504,MATCH(A1220,السندات!$A$5:$A$504,0)),""))</f>
        <v/>
      </c>
      <c r="J1220" s="76" t="str">
        <f aca="false">IF(A1220="","",IF(ISNA(MATCH(A1220,السندات!$A$5:$A$504,0)),"رقم سند غير موجود ✘",IF(AND(F1220&lt;&gt;"",G1220&lt;&gt;""),"اكتب مدين أو دائن فقط ✘",IF(AND(N(F1220)=0,N(G1220)=0),"بدون مبلغ ⚠",IF(B1220&gt;12,"يتجاوز 12 بنداً في الطباعة ⚠","")))))</f>
        <v/>
      </c>
    </row>
    <row r="1221" customFormat="false" ht="15" hidden="false" customHeight="false" outlineLevel="0" collapsed="false">
      <c r="A1221" s="58"/>
      <c r="B1221" s="68" t="str">
        <f aca="false">IF(A1221="","",COUNTIF(A$5:A1221,A1221))</f>
        <v/>
      </c>
      <c r="C1221" s="68" t="str">
        <f aca="false">IF(A1221="","",A1221&amp;"-"&amp;B1221)</f>
        <v/>
      </c>
      <c r="D1221" s="58"/>
      <c r="E1221" s="57"/>
      <c r="F1221" s="69"/>
      <c r="G1221" s="69"/>
      <c r="H1221" s="70" t="str">
        <f aca="false">IF(A1221="","",IFERROR(INDEX(السندات!$C$5:$C$504,MATCH(A1221,السندات!$A$5:$A$504,0)),""))</f>
        <v/>
      </c>
      <c r="I1221" s="71" t="str">
        <f aca="false">IF(A1221="","",IFERROR(INDEX(السندات!$D$5:$D$504,MATCH(A1221,السندات!$A$5:$A$504,0)),""))</f>
        <v/>
      </c>
      <c r="J1221" s="72" t="str">
        <f aca="false">IF(A1221="","",IF(ISNA(MATCH(A1221,السندات!$A$5:$A$504,0)),"رقم سند غير موجود ✘",IF(AND(F1221&lt;&gt;"",G1221&lt;&gt;""),"اكتب مدين أو دائن فقط ✘",IF(AND(N(F1221)=0,N(G1221)=0),"بدون مبلغ ⚠",IF(B1221&gt;12,"يتجاوز 12 بنداً في الطباعة ⚠","")))))</f>
        <v/>
      </c>
    </row>
    <row r="1222" customFormat="false" ht="15" hidden="false" customHeight="false" outlineLevel="0" collapsed="false">
      <c r="A1222" s="58"/>
      <c r="B1222" s="73" t="str">
        <f aca="false">IF(A1222="","",COUNTIF(A$5:A1222,A1222))</f>
        <v/>
      </c>
      <c r="C1222" s="73" t="str">
        <f aca="false">IF(A1222="","",A1222&amp;"-"&amp;B1222)</f>
        <v/>
      </c>
      <c r="D1222" s="58"/>
      <c r="E1222" s="57"/>
      <c r="F1222" s="69"/>
      <c r="G1222" s="69"/>
      <c r="H1222" s="74" t="str">
        <f aca="false">IF(A1222="","",IFERROR(INDEX(السندات!$C$5:$C$504,MATCH(A1222,السندات!$A$5:$A$504,0)),""))</f>
        <v/>
      </c>
      <c r="I1222" s="75" t="str">
        <f aca="false">IF(A1222="","",IFERROR(INDEX(السندات!$D$5:$D$504,MATCH(A1222,السندات!$A$5:$A$504,0)),""))</f>
        <v/>
      </c>
      <c r="J1222" s="76" t="str">
        <f aca="false">IF(A1222="","",IF(ISNA(MATCH(A1222,السندات!$A$5:$A$504,0)),"رقم سند غير موجود ✘",IF(AND(F1222&lt;&gt;"",G1222&lt;&gt;""),"اكتب مدين أو دائن فقط ✘",IF(AND(N(F1222)=0,N(G1222)=0),"بدون مبلغ ⚠",IF(B1222&gt;12,"يتجاوز 12 بنداً في الطباعة ⚠","")))))</f>
        <v/>
      </c>
    </row>
    <row r="1223" customFormat="false" ht="15" hidden="false" customHeight="false" outlineLevel="0" collapsed="false">
      <c r="A1223" s="58"/>
      <c r="B1223" s="68" t="str">
        <f aca="false">IF(A1223="","",COUNTIF(A$5:A1223,A1223))</f>
        <v/>
      </c>
      <c r="C1223" s="68" t="str">
        <f aca="false">IF(A1223="","",A1223&amp;"-"&amp;B1223)</f>
        <v/>
      </c>
      <c r="D1223" s="58"/>
      <c r="E1223" s="57"/>
      <c r="F1223" s="69"/>
      <c r="G1223" s="69"/>
      <c r="H1223" s="70" t="str">
        <f aca="false">IF(A1223="","",IFERROR(INDEX(السندات!$C$5:$C$504,MATCH(A1223,السندات!$A$5:$A$504,0)),""))</f>
        <v/>
      </c>
      <c r="I1223" s="71" t="str">
        <f aca="false">IF(A1223="","",IFERROR(INDEX(السندات!$D$5:$D$504,MATCH(A1223,السندات!$A$5:$A$504,0)),""))</f>
        <v/>
      </c>
      <c r="J1223" s="72" t="str">
        <f aca="false">IF(A1223="","",IF(ISNA(MATCH(A1223,السندات!$A$5:$A$504,0)),"رقم سند غير موجود ✘",IF(AND(F1223&lt;&gt;"",G1223&lt;&gt;""),"اكتب مدين أو دائن فقط ✘",IF(AND(N(F1223)=0,N(G1223)=0),"بدون مبلغ ⚠",IF(B1223&gt;12,"يتجاوز 12 بنداً في الطباعة ⚠","")))))</f>
        <v/>
      </c>
    </row>
    <row r="1224" customFormat="false" ht="15" hidden="false" customHeight="false" outlineLevel="0" collapsed="false">
      <c r="A1224" s="58"/>
      <c r="B1224" s="73" t="str">
        <f aca="false">IF(A1224="","",COUNTIF(A$5:A1224,A1224))</f>
        <v/>
      </c>
      <c r="C1224" s="73" t="str">
        <f aca="false">IF(A1224="","",A1224&amp;"-"&amp;B1224)</f>
        <v/>
      </c>
      <c r="D1224" s="58"/>
      <c r="E1224" s="57"/>
      <c r="F1224" s="69"/>
      <c r="G1224" s="69"/>
      <c r="H1224" s="74" t="str">
        <f aca="false">IF(A1224="","",IFERROR(INDEX(السندات!$C$5:$C$504,MATCH(A1224,السندات!$A$5:$A$504,0)),""))</f>
        <v/>
      </c>
      <c r="I1224" s="75" t="str">
        <f aca="false">IF(A1224="","",IFERROR(INDEX(السندات!$D$5:$D$504,MATCH(A1224,السندات!$A$5:$A$504,0)),""))</f>
        <v/>
      </c>
      <c r="J1224" s="76" t="str">
        <f aca="false">IF(A1224="","",IF(ISNA(MATCH(A1224,السندات!$A$5:$A$504,0)),"رقم سند غير موجود ✘",IF(AND(F1224&lt;&gt;"",G1224&lt;&gt;""),"اكتب مدين أو دائن فقط ✘",IF(AND(N(F1224)=0,N(G1224)=0),"بدون مبلغ ⚠",IF(B1224&gt;12,"يتجاوز 12 بنداً في الطباعة ⚠","")))))</f>
        <v/>
      </c>
    </row>
    <row r="1225" customFormat="false" ht="15" hidden="false" customHeight="false" outlineLevel="0" collapsed="false">
      <c r="A1225" s="58"/>
      <c r="B1225" s="68" t="str">
        <f aca="false">IF(A1225="","",COUNTIF(A$5:A1225,A1225))</f>
        <v/>
      </c>
      <c r="C1225" s="68" t="str">
        <f aca="false">IF(A1225="","",A1225&amp;"-"&amp;B1225)</f>
        <v/>
      </c>
      <c r="D1225" s="58"/>
      <c r="E1225" s="57"/>
      <c r="F1225" s="69"/>
      <c r="G1225" s="69"/>
      <c r="H1225" s="70" t="str">
        <f aca="false">IF(A1225="","",IFERROR(INDEX(السندات!$C$5:$C$504,MATCH(A1225,السندات!$A$5:$A$504,0)),""))</f>
        <v/>
      </c>
      <c r="I1225" s="71" t="str">
        <f aca="false">IF(A1225="","",IFERROR(INDEX(السندات!$D$5:$D$504,MATCH(A1225,السندات!$A$5:$A$504,0)),""))</f>
        <v/>
      </c>
      <c r="J1225" s="72" t="str">
        <f aca="false">IF(A1225="","",IF(ISNA(MATCH(A1225,السندات!$A$5:$A$504,0)),"رقم سند غير موجود ✘",IF(AND(F1225&lt;&gt;"",G1225&lt;&gt;""),"اكتب مدين أو دائن فقط ✘",IF(AND(N(F1225)=0,N(G1225)=0),"بدون مبلغ ⚠",IF(B1225&gt;12,"يتجاوز 12 بنداً في الطباعة ⚠","")))))</f>
        <v/>
      </c>
    </row>
    <row r="1226" customFormat="false" ht="15" hidden="false" customHeight="false" outlineLevel="0" collapsed="false">
      <c r="A1226" s="58"/>
      <c r="B1226" s="73" t="str">
        <f aca="false">IF(A1226="","",COUNTIF(A$5:A1226,A1226))</f>
        <v/>
      </c>
      <c r="C1226" s="73" t="str">
        <f aca="false">IF(A1226="","",A1226&amp;"-"&amp;B1226)</f>
        <v/>
      </c>
      <c r="D1226" s="58"/>
      <c r="E1226" s="57"/>
      <c r="F1226" s="69"/>
      <c r="G1226" s="69"/>
      <c r="H1226" s="74" t="str">
        <f aca="false">IF(A1226="","",IFERROR(INDEX(السندات!$C$5:$C$504,MATCH(A1226,السندات!$A$5:$A$504,0)),""))</f>
        <v/>
      </c>
      <c r="I1226" s="75" t="str">
        <f aca="false">IF(A1226="","",IFERROR(INDEX(السندات!$D$5:$D$504,MATCH(A1226,السندات!$A$5:$A$504,0)),""))</f>
        <v/>
      </c>
      <c r="J1226" s="76" t="str">
        <f aca="false">IF(A1226="","",IF(ISNA(MATCH(A1226,السندات!$A$5:$A$504,0)),"رقم سند غير موجود ✘",IF(AND(F1226&lt;&gt;"",G1226&lt;&gt;""),"اكتب مدين أو دائن فقط ✘",IF(AND(N(F1226)=0,N(G1226)=0),"بدون مبلغ ⚠",IF(B1226&gt;12,"يتجاوز 12 بنداً في الطباعة ⚠","")))))</f>
        <v/>
      </c>
    </row>
    <row r="1227" customFormat="false" ht="15" hidden="false" customHeight="false" outlineLevel="0" collapsed="false">
      <c r="A1227" s="58"/>
      <c r="B1227" s="68" t="str">
        <f aca="false">IF(A1227="","",COUNTIF(A$5:A1227,A1227))</f>
        <v/>
      </c>
      <c r="C1227" s="68" t="str">
        <f aca="false">IF(A1227="","",A1227&amp;"-"&amp;B1227)</f>
        <v/>
      </c>
      <c r="D1227" s="58"/>
      <c r="E1227" s="57"/>
      <c r="F1227" s="69"/>
      <c r="G1227" s="69"/>
      <c r="H1227" s="70" t="str">
        <f aca="false">IF(A1227="","",IFERROR(INDEX(السندات!$C$5:$C$504,MATCH(A1227,السندات!$A$5:$A$504,0)),""))</f>
        <v/>
      </c>
      <c r="I1227" s="71" t="str">
        <f aca="false">IF(A1227="","",IFERROR(INDEX(السندات!$D$5:$D$504,MATCH(A1227,السندات!$A$5:$A$504,0)),""))</f>
        <v/>
      </c>
      <c r="J1227" s="72" t="str">
        <f aca="false">IF(A1227="","",IF(ISNA(MATCH(A1227,السندات!$A$5:$A$504,0)),"رقم سند غير موجود ✘",IF(AND(F1227&lt;&gt;"",G1227&lt;&gt;""),"اكتب مدين أو دائن فقط ✘",IF(AND(N(F1227)=0,N(G1227)=0),"بدون مبلغ ⚠",IF(B1227&gt;12,"يتجاوز 12 بنداً في الطباعة ⚠","")))))</f>
        <v/>
      </c>
    </row>
    <row r="1228" customFormat="false" ht="15" hidden="false" customHeight="false" outlineLevel="0" collapsed="false">
      <c r="A1228" s="58"/>
      <c r="B1228" s="73" t="str">
        <f aca="false">IF(A1228="","",COUNTIF(A$5:A1228,A1228))</f>
        <v/>
      </c>
      <c r="C1228" s="73" t="str">
        <f aca="false">IF(A1228="","",A1228&amp;"-"&amp;B1228)</f>
        <v/>
      </c>
      <c r="D1228" s="58"/>
      <c r="E1228" s="57"/>
      <c r="F1228" s="69"/>
      <c r="G1228" s="69"/>
      <c r="H1228" s="74" t="str">
        <f aca="false">IF(A1228="","",IFERROR(INDEX(السندات!$C$5:$C$504,MATCH(A1228,السندات!$A$5:$A$504,0)),""))</f>
        <v/>
      </c>
      <c r="I1228" s="75" t="str">
        <f aca="false">IF(A1228="","",IFERROR(INDEX(السندات!$D$5:$D$504,MATCH(A1228,السندات!$A$5:$A$504,0)),""))</f>
        <v/>
      </c>
      <c r="J1228" s="76" t="str">
        <f aca="false">IF(A1228="","",IF(ISNA(MATCH(A1228,السندات!$A$5:$A$504,0)),"رقم سند غير موجود ✘",IF(AND(F1228&lt;&gt;"",G1228&lt;&gt;""),"اكتب مدين أو دائن فقط ✘",IF(AND(N(F1228)=0,N(G1228)=0),"بدون مبلغ ⚠",IF(B1228&gt;12,"يتجاوز 12 بنداً في الطباعة ⚠","")))))</f>
        <v/>
      </c>
    </row>
    <row r="1229" customFormat="false" ht="15" hidden="false" customHeight="false" outlineLevel="0" collapsed="false">
      <c r="A1229" s="58"/>
      <c r="B1229" s="68" t="str">
        <f aca="false">IF(A1229="","",COUNTIF(A$5:A1229,A1229))</f>
        <v/>
      </c>
      <c r="C1229" s="68" t="str">
        <f aca="false">IF(A1229="","",A1229&amp;"-"&amp;B1229)</f>
        <v/>
      </c>
      <c r="D1229" s="58"/>
      <c r="E1229" s="57"/>
      <c r="F1229" s="69"/>
      <c r="G1229" s="69"/>
      <c r="H1229" s="70" t="str">
        <f aca="false">IF(A1229="","",IFERROR(INDEX(السندات!$C$5:$C$504,MATCH(A1229,السندات!$A$5:$A$504,0)),""))</f>
        <v/>
      </c>
      <c r="I1229" s="71" t="str">
        <f aca="false">IF(A1229="","",IFERROR(INDEX(السندات!$D$5:$D$504,MATCH(A1229,السندات!$A$5:$A$504,0)),""))</f>
        <v/>
      </c>
      <c r="J1229" s="72" t="str">
        <f aca="false">IF(A1229="","",IF(ISNA(MATCH(A1229,السندات!$A$5:$A$504,0)),"رقم سند غير موجود ✘",IF(AND(F1229&lt;&gt;"",G1229&lt;&gt;""),"اكتب مدين أو دائن فقط ✘",IF(AND(N(F1229)=0,N(G1229)=0),"بدون مبلغ ⚠",IF(B1229&gt;12,"يتجاوز 12 بنداً في الطباعة ⚠","")))))</f>
        <v/>
      </c>
    </row>
    <row r="1230" customFormat="false" ht="15" hidden="false" customHeight="false" outlineLevel="0" collapsed="false">
      <c r="A1230" s="58"/>
      <c r="B1230" s="73" t="str">
        <f aca="false">IF(A1230="","",COUNTIF(A$5:A1230,A1230))</f>
        <v/>
      </c>
      <c r="C1230" s="73" t="str">
        <f aca="false">IF(A1230="","",A1230&amp;"-"&amp;B1230)</f>
        <v/>
      </c>
      <c r="D1230" s="58"/>
      <c r="E1230" s="57"/>
      <c r="F1230" s="69"/>
      <c r="G1230" s="69"/>
      <c r="H1230" s="74" t="str">
        <f aca="false">IF(A1230="","",IFERROR(INDEX(السندات!$C$5:$C$504,MATCH(A1230,السندات!$A$5:$A$504,0)),""))</f>
        <v/>
      </c>
      <c r="I1230" s="75" t="str">
        <f aca="false">IF(A1230="","",IFERROR(INDEX(السندات!$D$5:$D$504,MATCH(A1230,السندات!$A$5:$A$504,0)),""))</f>
        <v/>
      </c>
      <c r="J1230" s="76" t="str">
        <f aca="false">IF(A1230="","",IF(ISNA(MATCH(A1230,السندات!$A$5:$A$504,0)),"رقم سند غير موجود ✘",IF(AND(F1230&lt;&gt;"",G1230&lt;&gt;""),"اكتب مدين أو دائن فقط ✘",IF(AND(N(F1230)=0,N(G1230)=0),"بدون مبلغ ⚠",IF(B1230&gt;12,"يتجاوز 12 بنداً في الطباعة ⚠","")))))</f>
        <v/>
      </c>
    </row>
    <row r="1231" customFormat="false" ht="15" hidden="false" customHeight="false" outlineLevel="0" collapsed="false">
      <c r="A1231" s="58"/>
      <c r="B1231" s="68" t="str">
        <f aca="false">IF(A1231="","",COUNTIF(A$5:A1231,A1231))</f>
        <v/>
      </c>
      <c r="C1231" s="68" t="str">
        <f aca="false">IF(A1231="","",A1231&amp;"-"&amp;B1231)</f>
        <v/>
      </c>
      <c r="D1231" s="58"/>
      <c r="E1231" s="57"/>
      <c r="F1231" s="69"/>
      <c r="G1231" s="69"/>
      <c r="H1231" s="70" t="str">
        <f aca="false">IF(A1231="","",IFERROR(INDEX(السندات!$C$5:$C$504,MATCH(A1231,السندات!$A$5:$A$504,0)),""))</f>
        <v/>
      </c>
      <c r="I1231" s="71" t="str">
        <f aca="false">IF(A1231="","",IFERROR(INDEX(السندات!$D$5:$D$504,MATCH(A1231,السندات!$A$5:$A$504,0)),""))</f>
        <v/>
      </c>
      <c r="J1231" s="72" t="str">
        <f aca="false">IF(A1231="","",IF(ISNA(MATCH(A1231,السندات!$A$5:$A$504,0)),"رقم سند غير موجود ✘",IF(AND(F1231&lt;&gt;"",G1231&lt;&gt;""),"اكتب مدين أو دائن فقط ✘",IF(AND(N(F1231)=0,N(G1231)=0),"بدون مبلغ ⚠",IF(B1231&gt;12,"يتجاوز 12 بنداً في الطباعة ⚠","")))))</f>
        <v/>
      </c>
    </row>
    <row r="1232" customFormat="false" ht="15" hidden="false" customHeight="false" outlineLevel="0" collapsed="false">
      <c r="A1232" s="58"/>
      <c r="B1232" s="73" t="str">
        <f aca="false">IF(A1232="","",COUNTIF(A$5:A1232,A1232))</f>
        <v/>
      </c>
      <c r="C1232" s="73" t="str">
        <f aca="false">IF(A1232="","",A1232&amp;"-"&amp;B1232)</f>
        <v/>
      </c>
      <c r="D1232" s="58"/>
      <c r="E1232" s="57"/>
      <c r="F1232" s="69"/>
      <c r="G1232" s="69"/>
      <c r="H1232" s="74" t="str">
        <f aca="false">IF(A1232="","",IFERROR(INDEX(السندات!$C$5:$C$504,MATCH(A1232,السندات!$A$5:$A$504,0)),""))</f>
        <v/>
      </c>
      <c r="I1232" s="75" t="str">
        <f aca="false">IF(A1232="","",IFERROR(INDEX(السندات!$D$5:$D$504,MATCH(A1232,السندات!$A$5:$A$504,0)),""))</f>
        <v/>
      </c>
      <c r="J1232" s="76" t="str">
        <f aca="false">IF(A1232="","",IF(ISNA(MATCH(A1232,السندات!$A$5:$A$504,0)),"رقم سند غير موجود ✘",IF(AND(F1232&lt;&gt;"",G1232&lt;&gt;""),"اكتب مدين أو دائن فقط ✘",IF(AND(N(F1232)=0,N(G1232)=0),"بدون مبلغ ⚠",IF(B1232&gt;12,"يتجاوز 12 بنداً في الطباعة ⚠","")))))</f>
        <v/>
      </c>
    </row>
    <row r="1233" customFormat="false" ht="15" hidden="false" customHeight="false" outlineLevel="0" collapsed="false">
      <c r="A1233" s="58"/>
      <c r="B1233" s="68" t="str">
        <f aca="false">IF(A1233="","",COUNTIF(A$5:A1233,A1233))</f>
        <v/>
      </c>
      <c r="C1233" s="68" t="str">
        <f aca="false">IF(A1233="","",A1233&amp;"-"&amp;B1233)</f>
        <v/>
      </c>
      <c r="D1233" s="58"/>
      <c r="E1233" s="57"/>
      <c r="F1233" s="69"/>
      <c r="G1233" s="69"/>
      <c r="H1233" s="70" t="str">
        <f aca="false">IF(A1233="","",IFERROR(INDEX(السندات!$C$5:$C$504,MATCH(A1233,السندات!$A$5:$A$504,0)),""))</f>
        <v/>
      </c>
      <c r="I1233" s="71" t="str">
        <f aca="false">IF(A1233="","",IFERROR(INDEX(السندات!$D$5:$D$504,MATCH(A1233,السندات!$A$5:$A$504,0)),""))</f>
        <v/>
      </c>
      <c r="J1233" s="72" t="str">
        <f aca="false">IF(A1233="","",IF(ISNA(MATCH(A1233,السندات!$A$5:$A$504,0)),"رقم سند غير موجود ✘",IF(AND(F1233&lt;&gt;"",G1233&lt;&gt;""),"اكتب مدين أو دائن فقط ✘",IF(AND(N(F1233)=0,N(G1233)=0),"بدون مبلغ ⚠",IF(B1233&gt;12,"يتجاوز 12 بنداً في الطباعة ⚠","")))))</f>
        <v/>
      </c>
    </row>
    <row r="1234" customFormat="false" ht="15" hidden="false" customHeight="false" outlineLevel="0" collapsed="false">
      <c r="A1234" s="58"/>
      <c r="B1234" s="73" t="str">
        <f aca="false">IF(A1234="","",COUNTIF(A$5:A1234,A1234))</f>
        <v/>
      </c>
      <c r="C1234" s="73" t="str">
        <f aca="false">IF(A1234="","",A1234&amp;"-"&amp;B1234)</f>
        <v/>
      </c>
      <c r="D1234" s="58"/>
      <c r="E1234" s="57"/>
      <c r="F1234" s="69"/>
      <c r="G1234" s="69"/>
      <c r="H1234" s="74" t="str">
        <f aca="false">IF(A1234="","",IFERROR(INDEX(السندات!$C$5:$C$504,MATCH(A1234,السندات!$A$5:$A$504,0)),""))</f>
        <v/>
      </c>
      <c r="I1234" s="75" t="str">
        <f aca="false">IF(A1234="","",IFERROR(INDEX(السندات!$D$5:$D$504,MATCH(A1234,السندات!$A$5:$A$504,0)),""))</f>
        <v/>
      </c>
      <c r="J1234" s="76" t="str">
        <f aca="false">IF(A1234="","",IF(ISNA(MATCH(A1234,السندات!$A$5:$A$504,0)),"رقم سند غير موجود ✘",IF(AND(F1234&lt;&gt;"",G1234&lt;&gt;""),"اكتب مدين أو دائن فقط ✘",IF(AND(N(F1234)=0,N(G1234)=0),"بدون مبلغ ⚠",IF(B1234&gt;12,"يتجاوز 12 بنداً في الطباعة ⚠","")))))</f>
        <v/>
      </c>
    </row>
    <row r="1235" customFormat="false" ht="15" hidden="false" customHeight="false" outlineLevel="0" collapsed="false">
      <c r="A1235" s="58"/>
      <c r="B1235" s="68" t="str">
        <f aca="false">IF(A1235="","",COUNTIF(A$5:A1235,A1235))</f>
        <v/>
      </c>
      <c r="C1235" s="68" t="str">
        <f aca="false">IF(A1235="","",A1235&amp;"-"&amp;B1235)</f>
        <v/>
      </c>
      <c r="D1235" s="58"/>
      <c r="E1235" s="57"/>
      <c r="F1235" s="69"/>
      <c r="G1235" s="69"/>
      <c r="H1235" s="70" t="str">
        <f aca="false">IF(A1235="","",IFERROR(INDEX(السندات!$C$5:$C$504,MATCH(A1235,السندات!$A$5:$A$504,0)),""))</f>
        <v/>
      </c>
      <c r="I1235" s="71" t="str">
        <f aca="false">IF(A1235="","",IFERROR(INDEX(السندات!$D$5:$D$504,MATCH(A1235,السندات!$A$5:$A$504,0)),""))</f>
        <v/>
      </c>
      <c r="J1235" s="72" t="str">
        <f aca="false">IF(A1235="","",IF(ISNA(MATCH(A1235,السندات!$A$5:$A$504,0)),"رقم سند غير موجود ✘",IF(AND(F1235&lt;&gt;"",G1235&lt;&gt;""),"اكتب مدين أو دائن فقط ✘",IF(AND(N(F1235)=0,N(G1235)=0),"بدون مبلغ ⚠",IF(B1235&gt;12,"يتجاوز 12 بنداً في الطباعة ⚠","")))))</f>
        <v/>
      </c>
    </row>
    <row r="1236" customFormat="false" ht="15" hidden="false" customHeight="false" outlineLevel="0" collapsed="false">
      <c r="A1236" s="58"/>
      <c r="B1236" s="73" t="str">
        <f aca="false">IF(A1236="","",COUNTIF(A$5:A1236,A1236))</f>
        <v/>
      </c>
      <c r="C1236" s="73" t="str">
        <f aca="false">IF(A1236="","",A1236&amp;"-"&amp;B1236)</f>
        <v/>
      </c>
      <c r="D1236" s="58"/>
      <c r="E1236" s="57"/>
      <c r="F1236" s="69"/>
      <c r="G1236" s="69"/>
      <c r="H1236" s="74" t="str">
        <f aca="false">IF(A1236="","",IFERROR(INDEX(السندات!$C$5:$C$504,MATCH(A1236,السندات!$A$5:$A$504,0)),""))</f>
        <v/>
      </c>
      <c r="I1236" s="75" t="str">
        <f aca="false">IF(A1236="","",IFERROR(INDEX(السندات!$D$5:$D$504,MATCH(A1236,السندات!$A$5:$A$504,0)),""))</f>
        <v/>
      </c>
      <c r="J1236" s="76" t="str">
        <f aca="false">IF(A1236="","",IF(ISNA(MATCH(A1236,السندات!$A$5:$A$504,0)),"رقم سند غير موجود ✘",IF(AND(F1236&lt;&gt;"",G1236&lt;&gt;""),"اكتب مدين أو دائن فقط ✘",IF(AND(N(F1236)=0,N(G1236)=0),"بدون مبلغ ⚠",IF(B1236&gt;12,"يتجاوز 12 بنداً في الطباعة ⚠","")))))</f>
        <v/>
      </c>
    </row>
    <row r="1237" customFormat="false" ht="15" hidden="false" customHeight="false" outlineLevel="0" collapsed="false">
      <c r="A1237" s="58"/>
      <c r="B1237" s="68" t="str">
        <f aca="false">IF(A1237="","",COUNTIF(A$5:A1237,A1237))</f>
        <v/>
      </c>
      <c r="C1237" s="68" t="str">
        <f aca="false">IF(A1237="","",A1237&amp;"-"&amp;B1237)</f>
        <v/>
      </c>
      <c r="D1237" s="58"/>
      <c r="E1237" s="57"/>
      <c r="F1237" s="69"/>
      <c r="G1237" s="69"/>
      <c r="H1237" s="70" t="str">
        <f aca="false">IF(A1237="","",IFERROR(INDEX(السندات!$C$5:$C$504,MATCH(A1237,السندات!$A$5:$A$504,0)),""))</f>
        <v/>
      </c>
      <c r="I1237" s="71" t="str">
        <f aca="false">IF(A1237="","",IFERROR(INDEX(السندات!$D$5:$D$504,MATCH(A1237,السندات!$A$5:$A$504,0)),""))</f>
        <v/>
      </c>
      <c r="J1237" s="72" t="str">
        <f aca="false">IF(A1237="","",IF(ISNA(MATCH(A1237,السندات!$A$5:$A$504,0)),"رقم سند غير موجود ✘",IF(AND(F1237&lt;&gt;"",G1237&lt;&gt;""),"اكتب مدين أو دائن فقط ✘",IF(AND(N(F1237)=0,N(G1237)=0),"بدون مبلغ ⚠",IF(B1237&gt;12,"يتجاوز 12 بنداً في الطباعة ⚠","")))))</f>
        <v/>
      </c>
    </row>
    <row r="1238" customFormat="false" ht="15" hidden="false" customHeight="false" outlineLevel="0" collapsed="false">
      <c r="A1238" s="58"/>
      <c r="B1238" s="73" t="str">
        <f aca="false">IF(A1238="","",COUNTIF(A$5:A1238,A1238))</f>
        <v/>
      </c>
      <c r="C1238" s="73" t="str">
        <f aca="false">IF(A1238="","",A1238&amp;"-"&amp;B1238)</f>
        <v/>
      </c>
      <c r="D1238" s="58"/>
      <c r="E1238" s="57"/>
      <c r="F1238" s="69"/>
      <c r="G1238" s="69"/>
      <c r="H1238" s="74" t="str">
        <f aca="false">IF(A1238="","",IFERROR(INDEX(السندات!$C$5:$C$504,MATCH(A1238,السندات!$A$5:$A$504,0)),""))</f>
        <v/>
      </c>
      <c r="I1238" s="75" t="str">
        <f aca="false">IF(A1238="","",IFERROR(INDEX(السندات!$D$5:$D$504,MATCH(A1238,السندات!$A$5:$A$504,0)),""))</f>
        <v/>
      </c>
      <c r="J1238" s="76" t="str">
        <f aca="false">IF(A1238="","",IF(ISNA(MATCH(A1238,السندات!$A$5:$A$504,0)),"رقم سند غير موجود ✘",IF(AND(F1238&lt;&gt;"",G1238&lt;&gt;""),"اكتب مدين أو دائن فقط ✘",IF(AND(N(F1238)=0,N(G1238)=0),"بدون مبلغ ⚠",IF(B1238&gt;12,"يتجاوز 12 بنداً في الطباعة ⚠","")))))</f>
        <v/>
      </c>
    </row>
    <row r="1239" customFormat="false" ht="15" hidden="false" customHeight="false" outlineLevel="0" collapsed="false">
      <c r="A1239" s="58"/>
      <c r="B1239" s="68" t="str">
        <f aca="false">IF(A1239="","",COUNTIF(A$5:A1239,A1239))</f>
        <v/>
      </c>
      <c r="C1239" s="68" t="str">
        <f aca="false">IF(A1239="","",A1239&amp;"-"&amp;B1239)</f>
        <v/>
      </c>
      <c r="D1239" s="58"/>
      <c r="E1239" s="57"/>
      <c r="F1239" s="69"/>
      <c r="G1239" s="69"/>
      <c r="H1239" s="70" t="str">
        <f aca="false">IF(A1239="","",IFERROR(INDEX(السندات!$C$5:$C$504,MATCH(A1239,السندات!$A$5:$A$504,0)),""))</f>
        <v/>
      </c>
      <c r="I1239" s="71" t="str">
        <f aca="false">IF(A1239="","",IFERROR(INDEX(السندات!$D$5:$D$504,MATCH(A1239,السندات!$A$5:$A$504,0)),""))</f>
        <v/>
      </c>
      <c r="J1239" s="72" t="str">
        <f aca="false">IF(A1239="","",IF(ISNA(MATCH(A1239,السندات!$A$5:$A$504,0)),"رقم سند غير موجود ✘",IF(AND(F1239&lt;&gt;"",G1239&lt;&gt;""),"اكتب مدين أو دائن فقط ✘",IF(AND(N(F1239)=0,N(G1239)=0),"بدون مبلغ ⚠",IF(B1239&gt;12,"يتجاوز 12 بنداً في الطباعة ⚠","")))))</f>
        <v/>
      </c>
    </row>
    <row r="1240" customFormat="false" ht="15" hidden="false" customHeight="false" outlineLevel="0" collapsed="false">
      <c r="A1240" s="58"/>
      <c r="B1240" s="73" t="str">
        <f aca="false">IF(A1240="","",COUNTIF(A$5:A1240,A1240))</f>
        <v/>
      </c>
      <c r="C1240" s="73" t="str">
        <f aca="false">IF(A1240="","",A1240&amp;"-"&amp;B1240)</f>
        <v/>
      </c>
      <c r="D1240" s="58"/>
      <c r="E1240" s="57"/>
      <c r="F1240" s="69"/>
      <c r="G1240" s="69"/>
      <c r="H1240" s="74" t="str">
        <f aca="false">IF(A1240="","",IFERROR(INDEX(السندات!$C$5:$C$504,MATCH(A1240,السندات!$A$5:$A$504,0)),""))</f>
        <v/>
      </c>
      <c r="I1240" s="75" t="str">
        <f aca="false">IF(A1240="","",IFERROR(INDEX(السندات!$D$5:$D$504,MATCH(A1240,السندات!$A$5:$A$504,0)),""))</f>
        <v/>
      </c>
      <c r="J1240" s="76" t="str">
        <f aca="false">IF(A1240="","",IF(ISNA(MATCH(A1240,السندات!$A$5:$A$504,0)),"رقم سند غير موجود ✘",IF(AND(F1240&lt;&gt;"",G1240&lt;&gt;""),"اكتب مدين أو دائن فقط ✘",IF(AND(N(F1240)=0,N(G1240)=0),"بدون مبلغ ⚠",IF(B1240&gt;12,"يتجاوز 12 بنداً في الطباعة ⚠","")))))</f>
        <v/>
      </c>
    </row>
    <row r="1241" customFormat="false" ht="15" hidden="false" customHeight="false" outlineLevel="0" collapsed="false">
      <c r="A1241" s="58"/>
      <c r="B1241" s="68" t="str">
        <f aca="false">IF(A1241="","",COUNTIF(A$5:A1241,A1241))</f>
        <v/>
      </c>
      <c r="C1241" s="68" t="str">
        <f aca="false">IF(A1241="","",A1241&amp;"-"&amp;B1241)</f>
        <v/>
      </c>
      <c r="D1241" s="58"/>
      <c r="E1241" s="57"/>
      <c r="F1241" s="69"/>
      <c r="G1241" s="69"/>
      <c r="H1241" s="70" t="str">
        <f aca="false">IF(A1241="","",IFERROR(INDEX(السندات!$C$5:$C$504,MATCH(A1241,السندات!$A$5:$A$504,0)),""))</f>
        <v/>
      </c>
      <c r="I1241" s="71" t="str">
        <f aca="false">IF(A1241="","",IFERROR(INDEX(السندات!$D$5:$D$504,MATCH(A1241,السندات!$A$5:$A$504,0)),""))</f>
        <v/>
      </c>
      <c r="J1241" s="72" t="str">
        <f aca="false">IF(A1241="","",IF(ISNA(MATCH(A1241,السندات!$A$5:$A$504,0)),"رقم سند غير موجود ✘",IF(AND(F1241&lt;&gt;"",G1241&lt;&gt;""),"اكتب مدين أو دائن فقط ✘",IF(AND(N(F1241)=0,N(G1241)=0),"بدون مبلغ ⚠",IF(B1241&gt;12,"يتجاوز 12 بنداً في الطباعة ⚠","")))))</f>
        <v/>
      </c>
    </row>
    <row r="1242" customFormat="false" ht="15" hidden="false" customHeight="false" outlineLevel="0" collapsed="false">
      <c r="A1242" s="58"/>
      <c r="B1242" s="73" t="str">
        <f aca="false">IF(A1242="","",COUNTIF(A$5:A1242,A1242))</f>
        <v/>
      </c>
      <c r="C1242" s="73" t="str">
        <f aca="false">IF(A1242="","",A1242&amp;"-"&amp;B1242)</f>
        <v/>
      </c>
      <c r="D1242" s="58"/>
      <c r="E1242" s="57"/>
      <c r="F1242" s="69"/>
      <c r="G1242" s="69"/>
      <c r="H1242" s="74" t="str">
        <f aca="false">IF(A1242="","",IFERROR(INDEX(السندات!$C$5:$C$504,MATCH(A1242,السندات!$A$5:$A$504,0)),""))</f>
        <v/>
      </c>
      <c r="I1242" s="75" t="str">
        <f aca="false">IF(A1242="","",IFERROR(INDEX(السندات!$D$5:$D$504,MATCH(A1242,السندات!$A$5:$A$504,0)),""))</f>
        <v/>
      </c>
      <c r="J1242" s="76" t="str">
        <f aca="false">IF(A1242="","",IF(ISNA(MATCH(A1242,السندات!$A$5:$A$504,0)),"رقم سند غير موجود ✘",IF(AND(F1242&lt;&gt;"",G1242&lt;&gt;""),"اكتب مدين أو دائن فقط ✘",IF(AND(N(F1242)=0,N(G1242)=0),"بدون مبلغ ⚠",IF(B1242&gt;12,"يتجاوز 12 بنداً في الطباعة ⚠","")))))</f>
        <v/>
      </c>
    </row>
    <row r="1243" customFormat="false" ht="15" hidden="false" customHeight="false" outlineLevel="0" collapsed="false">
      <c r="A1243" s="58"/>
      <c r="B1243" s="68" t="str">
        <f aca="false">IF(A1243="","",COUNTIF(A$5:A1243,A1243))</f>
        <v/>
      </c>
      <c r="C1243" s="68" t="str">
        <f aca="false">IF(A1243="","",A1243&amp;"-"&amp;B1243)</f>
        <v/>
      </c>
      <c r="D1243" s="58"/>
      <c r="E1243" s="57"/>
      <c r="F1243" s="69"/>
      <c r="G1243" s="69"/>
      <c r="H1243" s="70" t="str">
        <f aca="false">IF(A1243="","",IFERROR(INDEX(السندات!$C$5:$C$504,MATCH(A1243,السندات!$A$5:$A$504,0)),""))</f>
        <v/>
      </c>
      <c r="I1243" s="71" t="str">
        <f aca="false">IF(A1243="","",IFERROR(INDEX(السندات!$D$5:$D$504,MATCH(A1243,السندات!$A$5:$A$504,0)),""))</f>
        <v/>
      </c>
      <c r="J1243" s="72" t="str">
        <f aca="false">IF(A1243="","",IF(ISNA(MATCH(A1243,السندات!$A$5:$A$504,0)),"رقم سند غير موجود ✘",IF(AND(F1243&lt;&gt;"",G1243&lt;&gt;""),"اكتب مدين أو دائن فقط ✘",IF(AND(N(F1243)=0,N(G1243)=0),"بدون مبلغ ⚠",IF(B1243&gt;12,"يتجاوز 12 بنداً في الطباعة ⚠","")))))</f>
        <v/>
      </c>
    </row>
    <row r="1244" customFormat="false" ht="15" hidden="false" customHeight="false" outlineLevel="0" collapsed="false">
      <c r="A1244" s="58"/>
      <c r="B1244" s="73" t="str">
        <f aca="false">IF(A1244="","",COUNTIF(A$5:A1244,A1244))</f>
        <v/>
      </c>
      <c r="C1244" s="73" t="str">
        <f aca="false">IF(A1244="","",A1244&amp;"-"&amp;B1244)</f>
        <v/>
      </c>
      <c r="D1244" s="58"/>
      <c r="E1244" s="57"/>
      <c r="F1244" s="69"/>
      <c r="G1244" s="69"/>
      <c r="H1244" s="74" t="str">
        <f aca="false">IF(A1244="","",IFERROR(INDEX(السندات!$C$5:$C$504,MATCH(A1244,السندات!$A$5:$A$504,0)),""))</f>
        <v/>
      </c>
      <c r="I1244" s="75" t="str">
        <f aca="false">IF(A1244="","",IFERROR(INDEX(السندات!$D$5:$D$504,MATCH(A1244,السندات!$A$5:$A$504,0)),""))</f>
        <v/>
      </c>
      <c r="J1244" s="76" t="str">
        <f aca="false">IF(A1244="","",IF(ISNA(MATCH(A1244,السندات!$A$5:$A$504,0)),"رقم سند غير موجود ✘",IF(AND(F1244&lt;&gt;"",G1244&lt;&gt;""),"اكتب مدين أو دائن فقط ✘",IF(AND(N(F1244)=0,N(G1244)=0),"بدون مبلغ ⚠",IF(B1244&gt;12,"يتجاوز 12 بنداً في الطباعة ⚠","")))))</f>
        <v/>
      </c>
    </row>
    <row r="1245" customFormat="false" ht="15" hidden="false" customHeight="false" outlineLevel="0" collapsed="false">
      <c r="A1245" s="58"/>
      <c r="B1245" s="68" t="str">
        <f aca="false">IF(A1245="","",COUNTIF(A$5:A1245,A1245))</f>
        <v/>
      </c>
      <c r="C1245" s="68" t="str">
        <f aca="false">IF(A1245="","",A1245&amp;"-"&amp;B1245)</f>
        <v/>
      </c>
      <c r="D1245" s="58"/>
      <c r="E1245" s="57"/>
      <c r="F1245" s="69"/>
      <c r="G1245" s="69"/>
      <c r="H1245" s="70" t="str">
        <f aca="false">IF(A1245="","",IFERROR(INDEX(السندات!$C$5:$C$504,MATCH(A1245,السندات!$A$5:$A$504,0)),""))</f>
        <v/>
      </c>
      <c r="I1245" s="71" t="str">
        <f aca="false">IF(A1245="","",IFERROR(INDEX(السندات!$D$5:$D$504,MATCH(A1245,السندات!$A$5:$A$504,0)),""))</f>
        <v/>
      </c>
      <c r="J1245" s="72" t="str">
        <f aca="false">IF(A1245="","",IF(ISNA(MATCH(A1245,السندات!$A$5:$A$504,0)),"رقم سند غير موجود ✘",IF(AND(F1245&lt;&gt;"",G1245&lt;&gt;""),"اكتب مدين أو دائن فقط ✘",IF(AND(N(F1245)=0,N(G1245)=0),"بدون مبلغ ⚠",IF(B1245&gt;12,"يتجاوز 12 بنداً في الطباعة ⚠","")))))</f>
        <v/>
      </c>
    </row>
    <row r="1246" customFormat="false" ht="15" hidden="false" customHeight="false" outlineLevel="0" collapsed="false">
      <c r="A1246" s="58"/>
      <c r="B1246" s="73" t="str">
        <f aca="false">IF(A1246="","",COUNTIF(A$5:A1246,A1246))</f>
        <v/>
      </c>
      <c r="C1246" s="73" t="str">
        <f aca="false">IF(A1246="","",A1246&amp;"-"&amp;B1246)</f>
        <v/>
      </c>
      <c r="D1246" s="58"/>
      <c r="E1246" s="57"/>
      <c r="F1246" s="69"/>
      <c r="G1246" s="69"/>
      <c r="H1246" s="74" t="str">
        <f aca="false">IF(A1246="","",IFERROR(INDEX(السندات!$C$5:$C$504,MATCH(A1246,السندات!$A$5:$A$504,0)),""))</f>
        <v/>
      </c>
      <c r="I1246" s="75" t="str">
        <f aca="false">IF(A1246="","",IFERROR(INDEX(السندات!$D$5:$D$504,MATCH(A1246,السندات!$A$5:$A$504,0)),""))</f>
        <v/>
      </c>
      <c r="J1246" s="76" t="str">
        <f aca="false">IF(A1246="","",IF(ISNA(MATCH(A1246,السندات!$A$5:$A$504,0)),"رقم سند غير موجود ✘",IF(AND(F1246&lt;&gt;"",G1246&lt;&gt;""),"اكتب مدين أو دائن فقط ✘",IF(AND(N(F1246)=0,N(G1246)=0),"بدون مبلغ ⚠",IF(B1246&gt;12,"يتجاوز 12 بنداً في الطباعة ⚠","")))))</f>
        <v/>
      </c>
    </row>
    <row r="1247" customFormat="false" ht="15" hidden="false" customHeight="false" outlineLevel="0" collapsed="false">
      <c r="A1247" s="58"/>
      <c r="B1247" s="68" t="str">
        <f aca="false">IF(A1247="","",COUNTIF(A$5:A1247,A1247))</f>
        <v/>
      </c>
      <c r="C1247" s="68" t="str">
        <f aca="false">IF(A1247="","",A1247&amp;"-"&amp;B1247)</f>
        <v/>
      </c>
      <c r="D1247" s="58"/>
      <c r="E1247" s="57"/>
      <c r="F1247" s="69"/>
      <c r="G1247" s="69"/>
      <c r="H1247" s="70" t="str">
        <f aca="false">IF(A1247="","",IFERROR(INDEX(السندات!$C$5:$C$504,MATCH(A1247,السندات!$A$5:$A$504,0)),""))</f>
        <v/>
      </c>
      <c r="I1247" s="71" t="str">
        <f aca="false">IF(A1247="","",IFERROR(INDEX(السندات!$D$5:$D$504,MATCH(A1247,السندات!$A$5:$A$504,0)),""))</f>
        <v/>
      </c>
      <c r="J1247" s="72" t="str">
        <f aca="false">IF(A1247="","",IF(ISNA(MATCH(A1247,السندات!$A$5:$A$504,0)),"رقم سند غير موجود ✘",IF(AND(F1247&lt;&gt;"",G1247&lt;&gt;""),"اكتب مدين أو دائن فقط ✘",IF(AND(N(F1247)=0,N(G1247)=0),"بدون مبلغ ⚠",IF(B1247&gt;12,"يتجاوز 12 بنداً في الطباعة ⚠","")))))</f>
        <v/>
      </c>
    </row>
    <row r="1248" customFormat="false" ht="15" hidden="false" customHeight="false" outlineLevel="0" collapsed="false">
      <c r="A1248" s="58"/>
      <c r="B1248" s="73" t="str">
        <f aca="false">IF(A1248="","",COUNTIF(A$5:A1248,A1248))</f>
        <v/>
      </c>
      <c r="C1248" s="73" t="str">
        <f aca="false">IF(A1248="","",A1248&amp;"-"&amp;B1248)</f>
        <v/>
      </c>
      <c r="D1248" s="58"/>
      <c r="E1248" s="57"/>
      <c r="F1248" s="69"/>
      <c r="G1248" s="69"/>
      <c r="H1248" s="74" t="str">
        <f aca="false">IF(A1248="","",IFERROR(INDEX(السندات!$C$5:$C$504,MATCH(A1248,السندات!$A$5:$A$504,0)),""))</f>
        <v/>
      </c>
      <c r="I1248" s="75" t="str">
        <f aca="false">IF(A1248="","",IFERROR(INDEX(السندات!$D$5:$D$504,MATCH(A1248,السندات!$A$5:$A$504,0)),""))</f>
        <v/>
      </c>
      <c r="J1248" s="76" t="str">
        <f aca="false">IF(A1248="","",IF(ISNA(MATCH(A1248,السندات!$A$5:$A$504,0)),"رقم سند غير موجود ✘",IF(AND(F1248&lt;&gt;"",G1248&lt;&gt;""),"اكتب مدين أو دائن فقط ✘",IF(AND(N(F1248)=0,N(G1248)=0),"بدون مبلغ ⚠",IF(B1248&gt;12,"يتجاوز 12 بنداً في الطباعة ⚠","")))))</f>
        <v/>
      </c>
    </row>
    <row r="1249" customFormat="false" ht="15" hidden="false" customHeight="false" outlineLevel="0" collapsed="false">
      <c r="A1249" s="58"/>
      <c r="B1249" s="68" t="str">
        <f aca="false">IF(A1249="","",COUNTIF(A$5:A1249,A1249))</f>
        <v/>
      </c>
      <c r="C1249" s="68" t="str">
        <f aca="false">IF(A1249="","",A1249&amp;"-"&amp;B1249)</f>
        <v/>
      </c>
      <c r="D1249" s="58"/>
      <c r="E1249" s="57"/>
      <c r="F1249" s="69"/>
      <c r="G1249" s="69"/>
      <c r="H1249" s="70" t="str">
        <f aca="false">IF(A1249="","",IFERROR(INDEX(السندات!$C$5:$C$504,MATCH(A1249,السندات!$A$5:$A$504,0)),""))</f>
        <v/>
      </c>
      <c r="I1249" s="71" t="str">
        <f aca="false">IF(A1249="","",IFERROR(INDEX(السندات!$D$5:$D$504,MATCH(A1249,السندات!$A$5:$A$504,0)),""))</f>
        <v/>
      </c>
      <c r="J1249" s="72" t="str">
        <f aca="false">IF(A1249="","",IF(ISNA(MATCH(A1249,السندات!$A$5:$A$504,0)),"رقم سند غير موجود ✘",IF(AND(F1249&lt;&gt;"",G1249&lt;&gt;""),"اكتب مدين أو دائن فقط ✘",IF(AND(N(F1249)=0,N(G1249)=0),"بدون مبلغ ⚠",IF(B1249&gt;12,"يتجاوز 12 بنداً في الطباعة ⚠","")))))</f>
        <v/>
      </c>
    </row>
    <row r="1250" customFormat="false" ht="15" hidden="false" customHeight="false" outlineLevel="0" collapsed="false">
      <c r="A1250" s="58"/>
      <c r="B1250" s="73" t="str">
        <f aca="false">IF(A1250="","",COUNTIF(A$5:A1250,A1250))</f>
        <v/>
      </c>
      <c r="C1250" s="73" t="str">
        <f aca="false">IF(A1250="","",A1250&amp;"-"&amp;B1250)</f>
        <v/>
      </c>
      <c r="D1250" s="58"/>
      <c r="E1250" s="57"/>
      <c r="F1250" s="69"/>
      <c r="G1250" s="69"/>
      <c r="H1250" s="74" t="str">
        <f aca="false">IF(A1250="","",IFERROR(INDEX(السندات!$C$5:$C$504,MATCH(A1250,السندات!$A$5:$A$504,0)),""))</f>
        <v/>
      </c>
      <c r="I1250" s="75" t="str">
        <f aca="false">IF(A1250="","",IFERROR(INDEX(السندات!$D$5:$D$504,MATCH(A1250,السندات!$A$5:$A$504,0)),""))</f>
        <v/>
      </c>
      <c r="J1250" s="76" t="str">
        <f aca="false">IF(A1250="","",IF(ISNA(MATCH(A1250,السندات!$A$5:$A$504,0)),"رقم سند غير موجود ✘",IF(AND(F1250&lt;&gt;"",G1250&lt;&gt;""),"اكتب مدين أو دائن فقط ✘",IF(AND(N(F1250)=0,N(G1250)=0),"بدون مبلغ ⚠",IF(B1250&gt;12,"يتجاوز 12 بنداً في الطباعة ⚠","")))))</f>
        <v/>
      </c>
    </row>
    <row r="1251" customFormat="false" ht="15" hidden="false" customHeight="false" outlineLevel="0" collapsed="false">
      <c r="A1251" s="58"/>
      <c r="B1251" s="68" t="str">
        <f aca="false">IF(A1251="","",COUNTIF(A$5:A1251,A1251))</f>
        <v/>
      </c>
      <c r="C1251" s="68" t="str">
        <f aca="false">IF(A1251="","",A1251&amp;"-"&amp;B1251)</f>
        <v/>
      </c>
      <c r="D1251" s="58"/>
      <c r="E1251" s="57"/>
      <c r="F1251" s="69"/>
      <c r="G1251" s="69"/>
      <c r="H1251" s="70" t="str">
        <f aca="false">IF(A1251="","",IFERROR(INDEX(السندات!$C$5:$C$504,MATCH(A1251,السندات!$A$5:$A$504,0)),""))</f>
        <v/>
      </c>
      <c r="I1251" s="71" t="str">
        <f aca="false">IF(A1251="","",IFERROR(INDEX(السندات!$D$5:$D$504,MATCH(A1251,السندات!$A$5:$A$504,0)),""))</f>
        <v/>
      </c>
      <c r="J1251" s="72" t="str">
        <f aca="false">IF(A1251="","",IF(ISNA(MATCH(A1251,السندات!$A$5:$A$504,0)),"رقم سند غير موجود ✘",IF(AND(F1251&lt;&gt;"",G1251&lt;&gt;""),"اكتب مدين أو دائن فقط ✘",IF(AND(N(F1251)=0,N(G1251)=0),"بدون مبلغ ⚠",IF(B1251&gt;12,"يتجاوز 12 بنداً في الطباعة ⚠","")))))</f>
        <v/>
      </c>
    </row>
    <row r="1252" customFormat="false" ht="15" hidden="false" customHeight="false" outlineLevel="0" collapsed="false">
      <c r="A1252" s="58"/>
      <c r="B1252" s="73" t="str">
        <f aca="false">IF(A1252="","",COUNTIF(A$5:A1252,A1252))</f>
        <v/>
      </c>
      <c r="C1252" s="73" t="str">
        <f aca="false">IF(A1252="","",A1252&amp;"-"&amp;B1252)</f>
        <v/>
      </c>
      <c r="D1252" s="58"/>
      <c r="E1252" s="57"/>
      <c r="F1252" s="69"/>
      <c r="G1252" s="69"/>
      <c r="H1252" s="74" t="str">
        <f aca="false">IF(A1252="","",IFERROR(INDEX(السندات!$C$5:$C$504,MATCH(A1252,السندات!$A$5:$A$504,0)),""))</f>
        <v/>
      </c>
      <c r="I1252" s="75" t="str">
        <f aca="false">IF(A1252="","",IFERROR(INDEX(السندات!$D$5:$D$504,MATCH(A1252,السندات!$A$5:$A$504,0)),""))</f>
        <v/>
      </c>
      <c r="J1252" s="76" t="str">
        <f aca="false">IF(A1252="","",IF(ISNA(MATCH(A1252,السندات!$A$5:$A$504,0)),"رقم سند غير موجود ✘",IF(AND(F1252&lt;&gt;"",G1252&lt;&gt;""),"اكتب مدين أو دائن فقط ✘",IF(AND(N(F1252)=0,N(G1252)=0),"بدون مبلغ ⚠",IF(B1252&gt;12,"يتجاوز 12 بنداً في الطباعة ⚠","")))))</f>
        <v/>
      </c>
    </row>
    <row r="1253" customFormat="false" ht="15" hidden="false" customHeight="false" outlineLevel="0" collapsed="false">
      <c r="A1253" s="58"/>
      <c r="B1253" s="68" t="str">
        <f aca="false">IF(A1253="","",COUNTIF(A$5:A1253,A1253))</f>
        <v/>
      </c>
      <c r="C1253" s="68" t="str">
        <f aca="false">IF(A1253="","",A1253&amp;"-"&amp;B1253)</f>
        <v/>
      </c>
      <c r="D1253" s="58"/>
      <c r="E1253" s="57"/>
      <c r="F1253" s="69"/>
      <c r="G1253" s="69"/>
      <c r="H1253" s="70" t="str">
        <f aca="false">IF(A1253="","",IFERROR(INDEX(السندات!$C$5:$C$504,MATCH(A1253,السندات!$A$5:$A$504,0)),""))</f>
        <v/>
      </c>
      <c r="I1253" s="71" t="str">
        <f aca="false">IF(A1253="","",IFERROR(INDEX(السندات!$D$5:$D$504,MATCH(A1253,السندات!$A$5:$A$504,0)),""))</f>
        <v/>
      </c>
      <c r="J1253" s="72" t="str">
        <f aca="false">IF(A1253="","",IF(ISNA(MATCH(A1253,السندات!$A$5:$A$504,0)),"رقم سند غير موجود ✘",IF(AND(F1253&lt;&gt;"",G1253&lt;&gt;""),"اكتب مدين أو دائن فقط ✘",IF(AND(N(F1253)=0,N(G1253)=0),"بدون مبلغ ⚠",IF(B1253&gt;12,"يتجاوز 12 بنداً في الطباعة ⚠","")))))</f>
        <v/>
      </c>
    </row>
    <row r="1254" customFormat="false" ht="15" hidden="false" customHeight="false" outlineLevel="0" collapsed="false">
      <c r="A1254" s="58"/>
      <c r="B1254" s="73" t="str">
        <f aca="false">IF(A1254="","",COUNTIF(A$5:A1254,A1254))</f>
        <v/>
      </c>
      <c r="C1254" s="73" t="str">
        <f aca="false">IF(A1254="","",A1254&amp;"-"&amp;B1254)</f>
        <v/>
      </c>
      <c r="D1254" s="58"/>
      <c r="E1254" s="57"/>
      <c r="F1254" s="69"/>
      <c r="G1254" s="69"/>
      <c r="H1254" s="74" t="str">
        <f aca="false">IF(A1254="","",IFERROR(INDEX(السندات!$C$5:$C$504,MATCH(A1254,السندات!$A$5:$A$504,0)),""))</f>
        <v/>
      </c>
      <c r="I1254" s="75" t="str">
        <f aca="false">IF(A1254="","",IFERROR(INDEX(السندات!$D$5:$D$504,MATCH(A1254,السندات!$A$5:$A$504,0)),""))</f>
        <v/>
      </c>
      <c r="J1254" s="76" t="str">
        <f aca="false">IF(A1254="","",IF(ISNA(MATCH(A1254,السندات!$A$5:$A$504,0)),"رقم سند غير موجود ✘",IF(AND(F1254&lt;&gt;"",G1254&lt;&gt;""),"اكتب مدين أو دائن فقط ✘",IF(AND(N(F1254)=0,N(G1254)=0),"بدون مبلغ ⚠",IF(B1254&gt;12,"يتجاوز 12 بنداً في الطباعة ⚠","")))))</f>
        <v/>
      </c>
    </row>
    <row r="1255" customFormat="false" ht="15" hidden="false" customHeight="false" outlineLevel="0" collapsed="false">
      <c r="A1255" s="58"/>
      <c r="B1255" s="68" t="str">
        <f aca="false">IF(A1255="","",COUNTIF(A$5:A1255,A1255))</f>
        <v/>
      </c>
      <c r="C1255" s="68" t="str">
        <f aca="false">IF(A1255="","",A1255&amp;"-"&amp;B1255)</f>
        <v/>
      </c>
      <c r="D1255" s="58"/>
      <c r="E1255" s="57"/>
      <c r="F1255" s="69"/>
      <c r="G1255" s="69"/>
      <c r="H1255" s="70" t="str">
        <f aca="false">IF(A1255="","",IFERROR(INDEX(السندات!$C$5:$C$504,MATCH(A1255,السندات!$A$5:$A$504,0)),""))</f>
        <v/>
      </c>
      <c r="I1255" s="71" t="str">
        <f aca="false">IF(A1255="","",IFERROR(INDEX(السندات!$D$5:$D$504,MATCH(A1255,السندات!$A$5:$A$504,0)),""))</f>
        <v/>
      </c>
      <c r="J1255" s="72" t="str">
        <f aca="false">IF(A1255="","",IF(ISNA(MATCH(A1255,السندات!$A$5:$A$504,0)),"رقم سند غير موجود ✘",IF(AND(F1255&lt;&gt;"",G1255&lt;&gt;""),"اكتب مدين أو دائن فقط ✘",IF(AND(N(F1255)=0,N(G1255)=0),"بدون مبلغ ⚠",IF(B1255&gt;12,"يتجاوز 12 بنداً في الطباعة ⚠","")))))</f>
        <v/>
      </c>
    </row>
    <row r="1256" customFormat="false" ht="15" hidden="false" customHeight="false" outlineLevel="0" collapsed="false">
      <c r="A1256" s="58"/>
      <c r="B1256" s="73" t="str">
        <f aca="false">IF(A1256="","",COUNTIF(A$5:A1256,A1256))</f>
        <v/>
      </c>
      <c r="C1256" s="73" t="str">
        <f aca="false">IF(A1256="","",A1256&amp;"-"&amp;B1256)</f>
        <v/>
      </c>
      <c r="D1256" s="58"/>
      <c r="E1256" s="57"/>
      <c r="F1256" s="69"/>
      <c r="G1256" s="69"/>
      <c r="H1256" s="74" t="str">
        <f aca="false">IF(A1256="","",IFERROR(INDEX(السندات!$C$5:$C$504,MATCH(A1256,السندات!$A$5:$A$504,0)),""))</f>
        <v/>
      </c>
      <c r="I1256" s="75" t="str">
        <f aca="false">IF(A1256="","",IFERROR(INDEX(السندات!$D$5:$D$504,MATCH(A1256,السندات!$A$5:$A$504,0)),""))</f>
        <v/>
      </c>
      <c r="J1256" s="76" t="str">
        <f aca="false">IF(A1256="","",IF(ISNA(MATCH(A1256,السندات!$A$5:$A$504,0)),"رقم سند غير موجود ✘",IF(AND(F1256&lt;&gt;"",G1256&lt;&gt;""),"اكتب مدين أو دائن فقط ✘",IF(AND(N(F1256)=0,N(G1256)=0),"بدون مبلغ ⚠",IF(B1256&gt;12,"يتجاوز 12 بنداً في الطباعة ⚠","")))))</f>
        <v/>
      </c>
    </row>
    <row r="1257" customFormat="false" ht="15" hidden="false" customHeight="false" outlineLevel="0" collapsed="false">
      <c r="A1257" s="58"/>
      <c r="B1257" s="68" t="str">
        <f aca="false">IF(A1257="","",COUNTIF(A$5:A1257,A1257))</f>
        <v/>
      </c>
      <c r="C1257" s="68" t="str">
        <f aca="false">IF(A1257="","",A1257&amp;"-"&amp;B1257)</f>
        <v/>
      </c>
      <c r="D1257" s="58"/>
      <c r="E1257" s="57"/>
      <c r="F1257" s="69"/>
      <c r="G1257" s="69"/>
      <c r="H1257" s="70" t="str">
        <f aca="false">IF(A1257="","",IFERROR(INDEX(السندات!$C$5:$C$504,MATCH(A1257,السندات!$A$5:$A$504,0)),""))</f>
        <v/>
      </c>
      <c r="I1257" s="71" t="str">
        <f aca="false">IF(A1257="","",IFERROR(INDEX(السندات!$D$5:$D$504,MATCH(A1257,السندات!$A$5:$A$504,0)),""))</f>
        <v/>
      </c>
      <c r="J1257" s="72" t="str">
        <f aca="false">IF(A1257="","",IF(ISNA(MATCH(A1257,السندات!$A$5:$A$504,0)),"رقم سند غير موجود ✘",IF(AND(F1257&lt;&gt;"",G1257&lt;&gt;""),"اكتب مدين أو دائن فقط ✘",IF(AND(N(F1257)=0,N(G1257)=0),"بدون مبلغ ⚠",IF(B1257&gt;12,"يتجاوز 12 بنداً في الطباعة ⚠","")))))</f>
        <v/>
      </c>
    </row>
    <row r="1258" customFormat="false" ht="15" hidden="false" customHeight="false" outlineLevel="0" collapsed="false">
      <c r="A1258" s="58"/>
      <c r="B1258" s="73" t="str">
        <f aca="false">IF(A1258="","",COUNTIF(A$5:A1258,A1258))</f>
        <v/>
      </c>
      <c r="C1258" s="73" t="str">
        <f aca="false">IF(A1258="","",A1258&amp;"-"&amp;B1258)</f>
        <v/>
      </c>
      <c r="D1258" s="58"/>
      <c r="E1258" s="57"/>
      <c r="F1258" s="69"/>
      <c r="G1258" s="69"/>
      <c r="H1258" s="74" t="str">
        <f aca="false">IF(A1258="","",IFERROR(INDEX(السندات!$C$5:$C$504,MATCH(A1258,السندات!$A$5:$A$504,0)),""))</f>
        <v/>
      </c>
      <c r="I1258" s="75" t="str">
        <f aca="false">IF(A1258="","",IFERROR(INDEX(السندات!$D$5:$D$504,MATCH(A1258,السندات!$A$5:$A$504,0)),""))</f>
        <v/>
      </c>
      <c r="J1258" s="76" t="str">
        <f aca="false">IF(A1258="","",IF(ISNA(MATCH(A1258,السندات!$A$5:$A$504,0)),"رقم سند غير موجود ✘",IF(AND(F1258&lt;&gt;"",G1258&lt;&gt;""),"اكتب مدين أو دائن فقط ✘",IF(AND(N(F1258)=0,N(G1258)=0),"بدون مبلغ ⚠",IF(B1258&gt;12,"يتجاوز 12 بنداً في الطباعة ⚠","")))))</f>
        <v/>
      </c>
    </row>
    <row r="1259" customFormat="false" ht="15" hidden="false" customHeight="false" outlineLevel="0" collapsed="false">
      <c r="A1259" s="58"/>
      <c r="B1259" s="68" t="str">
        <f aca="false">IF(A1259="","",COUNTIF(A$5:A1259,A1259))</f>
        <v/>
      </c>
      <c r="C1259" s="68" t="str">
        <f aca="false">IF(A1259="","",A1259&amp;"-"&amp;B1259)</f>
        <v/>
      </c>
      <c r="D1259" s="58"/>
      <c r="E1259" s="57"/>
      <c r="F1259" s="69"/>
      <c r="G1259" s="69"/>
      <c r="H1259" s="70" t="str">
        <f aca="false">IF(A1259="","",IFERROR(INDEX(السندات!$C$5:$C$504,MATCH(A1259,السندات!$A$5:$A$504,0)),""))</f>
        <v/>
      </c>
      <c r="I1259" s="71" t="str">
        <f aca="false">IF(A1259="","",IFERROR(INDEX(السندات!$D$5:$D$504,MATCH(A1259,السندات!$A$5:$A$504,0)),""))</f>
        <v/>
      </c>
      <c r="J1259" s="72" t="str">
        <f aca="false">IF(A1259="","",IF(ISNA(MATCH(A1259,السندات!$A$5:$A$504,0)),"رقم سند غير موجود ✘",IF(AND(F1259&lt;&gt;"",G1259&lt;&gt;""),"اكتب مدين أو دائن فقط ✘",IF(AND(N(F1259)=0,N(G1259)=0),"بدون مبلغ ⚠",IF(B1259&gt;12,"يتجاوز 12 بنداً في الطباعة ⚠","")))))</f>
        <v/>
      </c>
    </row>
    <row r="1260" customFormat="false" ht="15" hidden="false" customHeight="false" outlineLevel="0" collapsed="false">
      <c r="A1260" s="58"/>
      <c r="B1260" s="73" t="str">
        <f aca="false">IF(A1260="","",COUNTIF(A$5:A1260,A1260))</f>
        <v/>
      </c>
      <c r="C1260" s="73" t="str">
        <f aca="false">IF(A1260="","",A1260&amp;"-"&amp;B1260)</f>
        <v/>
      </c>
      <c r="D1260" s="58"/>
      <c r="E1260" s="57"/>
      <c r="F1260" s="69"/>
      <c r="G1260" s="69"/>
      <c r="H1260" s="74" t="str">
        <f aca="false">IF(A1260="","",IFERROR(INDEX(السندات!$C$5:$C$504,MATCH(A1260,السندات!$A$5:$A$504,0)),""))</f>
        <v/>
      </c>
      <c r="I1260" s="75" t="str">
        <f aca="false">IF(A1260="","",IFERROR(INDEX(السندات!$D$5:$D$504,MATCH(A1260,السندات!$A$5:$A$504,0)),""))</f>
        <v/>
      </c>
      <c r="J1260" s="76" t="str">
        <f aca="false">IF(A1260="","",IF(ISNA(MATCH(A1260,السندات!$A$5:$A$504,0)),"رقم سند غير موجود ✘",IF(AND(F1260&lt;&gt;"",G1260&lt;&gt;""),"اكتب مدين أو دائن فقط ✘",IF(AND(N(F1260)=0,N(G1260)=0),"بدون مبلغ ⚠",IF(B1260&gt;12,"يتجاوز 12 بنداً في الطباعة ⚠","")))))</f>
        <v/>
      </c>
    </row>
    <row r="1261" customFormat="false" ht="15" hidden="false" customHeight="false" outlineLevel="0" collapsed="false">
      <c r="A1261" s="58"/>
      <c r="B1261" s="68" t="str">
        <f aca="false">IF(A1261="","",COUNTIF(A$5:A1261,A1261))</f>
        <v/>
      </c>
      <c r="C1261" s="68" t="str">
        <f aca="false">IF(A1261="","",A1261&amp;"-"&amp;B1261)</f>
        <v/>
      </c>
      <c r="D1261" s="58"/>
      <c r="E1261" s="57"/>
      <c r="F1261" s="69"/>
      <c r="G1261" s="69"/>
      <c r="H1261" s="70" t="str">
        <f aca="false">IF(A1261="","",IFERROR(INDEX(السندات!$C$5:$C$504,MATCH(A1261,السندات!$A$5:$A$504,0)),""))</f>
        <v/>
      </c>
      <c r="I1261" s="71" t="str">
        <f aca="false">IF(A1261="","",IFERROR(INDEX(السندات!$D$5:$D$504,MATCH(A1261,السندات!$A$5:$A$504,0)),""))</f>
        <v/>
      </c>
      <c r="J1261" s="72" t="str">
        <f aca="false">IF(A1261="","",IF(ISNA(MATCH(A1261,السندات!$A$5:$A$504,0)),"رقم سند غير موجود ✘",IF(AND(F1261&lt;&gt;"",G1261&lt;&gt;""),"اكتب مدين أو دائن فقط ✘",IF(AND(N(F1261)=0,N(G1261)=0),"بدون مبلغ ⚠",IF(B1261&gt;12,"يتجاوز 12 بنداً في الطباعة ⚠","")))))</f>
        <v/>
      </c>
    </row>
    <row r="1262" customFormat="false" ht="15" hidden="false" customHeight="false" outlineLevel="0" collapsed="false">
      <c r="A1262" s="58"/>
      <c r="B1262" s="73" t="str">
        <f aca="false">IF(A1262="","",COUNTIF(A$5:A1262,A1262))</f>
        <v/>
      </c>
      <c r="C1262" s="73" t="str">
        <f aca="false">IF(A1262="","",A1262&amp;"-"&amp;B1262)</f>
        <v/>
      </c>
      <c r="D1262" s="58"/>
      <c r="E1262" s="57"/>
      <c r="F1262" s="69"/>
      <c r="G1262" s="69"/>
      <c r="H1262" s="74" t="str">
        <f aca="false">IF(A1262="","",IFERROR(INDEX(السندات!$C$5:$C$504,MATCH(A1262,السندات!$A$5:$A$504,0)),""))</f>
        <v/>
      </c>
      <c r="I1262" s="75" t="str">
        <f aca="false">IF(A1262="","",IFERROR(INDEX(السندات!$D$5:$D$504,MATCH(A1262,السندات!$A$5:$A$504,0)),""))</f>
        <v/>
      </c>
      <c r="J1262" s="76" t="str">
        <f aca="false">IF(A1262="","",IF(ISNA(MATCH(A1262,السندات!$A$5:$A$504,0)),"رقم سند غير موجود ✘",IF(AND(F1262&lt;&gt;"",G1262&lt;&gt;""),"اكتب مدين أو دائن فقط ✘",IF(AND(N(F1262)=0,N(G1262)=0),"بدون مبلغ ⚠",IF(B1262&gt;12,"يتجاوز 12 بنداً في الطباعة ⚠","")))))</f>
        <v/>
      </c>
    </row>
    <row r="1263" customFormat="false" ht="15" hidden="false" customHeight="false" outlineLevel="0" collapsed="false">
      <c r="A1263" s="58"/>
      <c r="B1263" s="68" t="str">
        <f aca="false">IF(A1263="","",COUNTIF(A$5:A1263,A1263))</f>
        <v/>
      </c>
      <c r="C1263" s="68" t="str">
        <f aca="false">IF(A1263="","",A1263&amp;"-"&amp;B1263)</f>
        <v/>
      </c>
      <c r="D1263" s="58"/>
      <c r="E1263" s="57"/>
      <c r="F1263" s="69"/>
      <c r="G1263" s="69"/>
      <c r="H1263" s="70" t="str">
        <f aca="false">IF(A1263="","",IFERROR(INDEX(السندات!$C$5:$C$504,MATCH(A1263,السندات!$A$5:$A$504,0)),""))</f>
        <v/>
      </c>
      <c r="I1263" s="71" t="str">
        <f aca="false">IF(A1263="","",IFERROR(INDEX(السندات!$D$5:$D$504,MATCH(A1263,السندات!$A$5:$A$504,0)),""))</f>
        <v/>
      </c>
      <c r="J1263" s="72" t="str">
        <f aca="false">IF(A1263="","",IF(ISNA(MATCH(A1263,السندات!$A$5:$A$504,0)),"رقم سند غير موجود ✘",IF(AND(F1263&lt;&gt;"",G1263&lt;&gt;""),"اكتب مدين أو دائن فقط ✘",IF(AND(N(F1263)=0,N(G1263)=0),"بدون مبلغ ⚠",IF(B1263&gt;12,"يتجاوز 12 بنداً في الطباعة ⚠","")))))</f>
        <v/>
      </c>
    </row>
    <row r="1264" customFormat="false" ht="15" hidden="false" customHeight="false" outlineLevel="0" collapsed="false">
      <c r="A1264" s="58"/>
      <c r="B1264" s="73" t="str">
        <f aca="false">IF(A1264="","",COUNTIF(A$5:A1264,A1264))</f>
        <v/>
      </c>
      <c r="C1264" s="73" t="str">
        <f aca="false">IF(A1264="","",A1264&amp;"-"&amp;B1264)</f>
        <v/>
      </c>
      <c r="D1264" s="58"/>
      <c r="E1264" s="57"/>
      <c r="F1264" s="69"/>
      <c r="G1264" s="69"/>
      <c r="H1264" s="74" t="str">
        <f aca="false">IF(A1264="","",IFERROR(INDEX(السندات!$C$5:$C$504,MATCH(A1264,السندات!$A$5:$A$504,0)),""))</f>
        <v/>
      </c>
      <c r="I1264" s="75" t="str">
        <f aca="false">IF(A1264="","",IFERROR(INDEX(السندات!$D$5:$D$504,MATCH(A1264,السندات!$A$5:$A$504,0)),""))</f>
        <v/>
      </c>
      <c r="J1264" s="76" t="str">
        <f aca="false">IF(A1264="","",IF(ISNA(MATCH(A1264,السندات!$A$5:$A$504,0)),"رقم سند غير موجود ✘",IF(AND(F1264&lt;&gt;"",G1264&lt;&gt;""),"اكتب مدين أو دائن فقط ✘",IF(AND(N(F1264)=0,N(G1264)=0),"بدون مبلغ ⚠",IF(B1264&gt;12,"يتجاوز 12 بنداً في الطباعة ⚠","")))))</f>
        <v/>
      </c>
    </row>
    <row r="1265" customFormat="false" ht="15" hidden="false" customHeight="false" outlineLevel="0" collapsed="false">
      <c r="A1265" s="58"/>
      <c r="B1265" s="68" t="str">
        <f aca="false">IF(A1265="","",COUNTIF(A$5:A1265,A1265))</f>
        <v/>
      </c>
      <c r="C1265" s="68" t="str">
        <f aca="false">IF(A1265="","",A1265&amp;"-"&amp;B1265)</f>
        <v/>
      </c>
      <c r="D1265" s="58"/>
      <c r="E1265" s="57"/>
      <c r="F1265" s="69"/>
      <c r="G1265" s="69"/>
      <c r="H1265" s="70" t="str">
        <f aca="false">IF(A1265="","",IFERROR(INDEX(السندات!$C$5:$C$504,MATCH(A1265,السندات!$A$5:$A$504,0)),""))</f>
        <v/>
      </c>
      <c r="I1265" s="71" t="str">
        <f aca="false">IF(A1265="","",IFERROR(INDEX(السندات!$D$5:$D$504,MATCH(A1265,السندات!$A$5:$A$504,0)),""))</f>
        <v/>
      </c>
      <c r="J1265" s="72" t="str">
        <f aca="false">IF(A1265="","",IF(ISNA(MATCH(A1265,السندات!$A$5:$A$504,0)),"رقم سند غير موجود ✘",IF(AND(F1265&lt;&gt;"",G1265&lt;&gt;""),"اكتب مدين أو دائن فقط ✘",IF(AND(N(F1265)=0,N(G1265)=0),"بدون مبلغ ⚠",IF(B1265&gt;12,"يتجاوز 12 بنداً في الطباعة ⚠","")))))</f>
        <v/>
      </c>
    </row>
    <row r="1266" customFormat="false" ht="15" hidden="false" customHeight="false" outlineLevel="0" collapsed="false">
      <c r="A1266" s="58"/>
      <c r="B1266" s="73" t="str">
        <f aca="false">IF(A1266="","",COUNTIF(A$5:A1266,A1266))</f>
        <v/>
      </c>
      <c r="C1266" s="73" t="str">
        <f aca="false">IF(A1266="","",A1266&amp;"-"&amp;B1266)</f>
        <v/>
      </c>
      <c r="D1266" s="58"/>
      <c r="E1266" s="57"/>
      <c r="F1266" s="69"/>
      <c r="G1266" s="69"/>
      <c r="H1266" s="74" t="str">
        <f aca="false">IF(A1266="","",IFERROR(INDEX(السندات!$C$5:$C$504,MATCH(A1266,السندات!$A$5:$A$504,0)),""))</f>
        <v/>
      </c>
      <c r="I1266" s="75" t="str">
        <f aca="false">IF(A1266="","",IFERROR(INDEX(السندات!$D$5:$D$504,MATCH(A1266,السندات!$A$5:$A$504,0)),""))</f>
        <v/>
      </c>
      <c r="J1266" s="76" t="str">
        <f aca="false">IF(A1266="","",IF(ISNA(MATCH(A1266,السندات!$A$5:$A$504,0)),"رقم سند غير موجود ✘",IF(AND(F1266&lt;&gt;"",G1266&lt;&gt;""),"اكتب مدين أو دائن فقط ✘",IF(AND(N(F1266)=0,N(G1266)=0),"بدون مبلغ ⚠",IF(B1266&gt;12,"يتجاوز 12 بنداً في الطباعة ⚠","")))))</f>
        <v/>
      </c>
    </row>
    <row r="1267" customFormat="false" ht="15" hidden="false" customHeight="false" outlineLevel="0" collapsed="false">
      <c r="A1267" s="58"/>
      <c r="B1267" s="68" t="str">
        <f aca="false">IF(A1267="","",COUNTIF(A$5:A1267,A1267))</f>
        <v/>
      </c>
      <c r="C1267" s="68" t="str">
        <f aca="false">IF(A1267="","",A1267&amp;"-"&amp;B1267)</f>
        <v/>
      </c>
      <c r="D1267" s="58"/>
      <c r="E1267" s="57"/>
      <c r="F1267" s="69"/>
      <c r="G1267" s="69"/>
      <c r="H1267" s="70" t="str">
        <f aca="false">IF(A1267="","",IFERROR(INDEX(السندات!$C$5:$C$504,MATCH(A1267,السندات!$A$5:$A$504,0)),""))</f>
        <v/>
      </c>
      <c r="I1267" s="71" t="str">
        <f aca="false">IF(A1267="","",IFERROR(INDEX(السندات!$D$5:$D$504,MATCH(A1267,السندات!$A$5:$A$504,0)),""))</f>
        <v/>
      </c>
      <c r="J1267" s="72" t="str">
        <f aca="false">IF(A1267="","",IF(ISNA(MATCH(A1267,السندات!$A$5:$A$504,0)),"رقم سند غير موجود ✘",IF(AND(F1267&lt;&gt;"",G1267&lt;&gt;""),"اكتب مدين أو دائن فقط ✘",IF(AND(N(F1267)=0,N(G1267)=0),"بدون مبلغ ⚠",IF(B1267&gt;12,"يتجاوز 12 بنداً في الطباعة ⚠","")))))</f>
        <v/>
      </c>
    </row>
    <row r="1268" customFormat="false" ht="15" hidden="false" customHeight="false" outlineLevel="0" collapsed="false">
      <c r="A1268" s="58"/>
      <c r="B1268" s="73" t="str">
        <f aca="false">IF(A1268="","",COUNTIF(A$5:A1268,A1268))</f>
        <v/>
      </c>
      <c r="C1268" s="73" t="str">
        <f aca="false">IF(A1268="","",A1268&amp;"-"&amp;B1268)</f>
        <v/>
      </c>
      <c r="D1268" s="58"/>
      <c r="E1268" s="57"/>
      <c r="F1268" s="69"/>
      <c r="G1268" s="69"/>
      <c r="H1268" s="74" t="str">
        <f aca="false">IF(A1268="","",IFERROR(INDEX(السندات!$C$5:$C$504,MATCH(A1268,السندات!$A$5:$A$504,0)),""))</f>
        <v/>
      </c>
      <c r="I1268" s="75" t="str">
        <f aca="false">IF(A1268="","",IFERROR(INDEX(السندات!$D$5:$D$504,MATCH(A1268,السندات!$A$5:$A$504,0)),""))</f>
        <v/>
      </c>
      <c r="J1268" s="76" t="str">
        <f aca="false">IF(A1268="","",IF(ISNA(MATCH(A1268,السندات!$A$5:$A$504,0)),"رقم سند غير موجود ✘",IF(AND(F1268&lt;&gt;"",G1268&lt;&gt;""),"اكتب مدين أو دائن فقط ✘",IF(AND(N(F1268)=0,N(G1268)=0),"بدون مبلغ ⚠",IF(B1268&gt;12,"يتجاوز 12 بنداً في الطباعة ⚠","")))))</f>
        <v/>
      </c>
    </row>
    <row r="1269" customFormat="false" ht="15" hidden="false" customHeight="false" outlineLevel="0" collapsed="false">
      <c r="A1269" s="58"/>
      <c r="B1269" s="68" t="str">
        <f aca="false">IF(A1269="","",COUNTIF(A$5:A1269,A1269))</f>
        <v/>
      </c>
      <c r="C1269" s="68" t="str">
        <f aca="false">IF(A1269="","",A1269&amp;"-"&amp;B1269)</f>
        <v/>
      </c>
      <c r="D1269" s="58"/>
      <c r="E1269" s="57"/>
      <c r="F1269" s="69"/>
      <c r="G1269" s="69"/>
      <c r="H1269" s="70" t="str">
        <f aca="false">IF(A1269="","",IFERROR(INDEX(السندات!$C$5:$C$504,MATCH(A1269,السندات!$A$5:$A$504,0)),""))</f>
        <v/>
      </c>
      <c r="I1269" s="71" t="str">
        <f aca="false">IF(A1269="","",IFERROR(INDEX(السندات!$D$5:$D$504,MATCH(A1269,السندات!$A$5:$A$504,0)),""))</f>
        <v/>
      </c>
      <c r="J1269" s="72" t="str">
        <f aca="false">IF(A1269="","",IF(ISNA(MATCH(A1269,السندات!$A$5:$A$504,0)),"رقم سند غير موجود ✘",IF(AND(F1269&lt;&gt;"",G1269&lt;&gt;""),"اكتب مدين أو دائن فقط ✘",IF(AND(N(F1269)=0,N(G1269)=0),"بدون مبلغ ⚠",IF(B1269&gt;12,"يتجاوز 12 بنداً في الطباعة ⚠","")))))</f>
        <v/>
      </c>
    </row>
    <row r="1270" customFormat="false" ht="15" hidden="false" customHeight="false" outlineLevel="0" collapsed="false">
      <c r="A1270" s="58"/>
      <c r="B1270" s="73" t="str">
        <f aca="false">IF(A1270="","",COUNTIF(A$5:A1270,A1270))</f>
        <v/>
      </c>
      <c r="C1270" s="73" t="str">
        <f aca="false">IF(A1270="","",A1270&amp;"-"&amp;B1270)</f>
        <v/>
      </c>
      <c r="D1270" s="58"/>
      <c r="E1270" s="57"/>
      <c r="F1270" s="69"/>
      <c r="G1270" s="69"/>
      <c r="H1270" s="74" t="str">
        <f aca="false">IF(A1270="","",IFERROR(INDEX(السندات!$C$5:$C$504,MATCH(A1270,السندات!$A$5:$A$504,0)),""))</f>
        <v/>
      </c>
      <c r="I1270" s="75" t="str">
        <f aca="false">IF(A1270="","",IFERROR(INDEX(السندات!$D$5:$D$504,MATCH(A1270,السندات!$A$5:$A$504,0)),""))</f>
        <v/>
      </c>
      <c r="J1270" s="76" t="str">
        <f aca="false">IF(A1270="","",IF(ISNA(MATCH(A1270,السندات!$A$5:$A$504,0)),"رقم سند غير موجود ✘",IF(AND(F1270&lt;&gt;"",G1270&lt;&gt;""),"اكتب مدين أو دائن فقط ✘",IF(AND(N(F1270)=0,N(G1270)=0),"بدون مبلغ ⚠",IF(B1270&gt;12,"يتجاوز 12 بنداً في الطباعة ⚠","")))))</f>
        <v/>
      </c>
    </row>
    <row r="1271" customFormat="false" ht="15" hidden="false" customHeight="false" outlineLevel="0" collapsed="false">
      <c r="A1271" s="58"/>
      <c r="B1271" s="68" t="str">
        <f aca="false">IF(A1271="","",COUNTIF(A$5:A1271,A1271))</f>
        <v/>
      </c>
      <c r="C1271" s="68" t="str">
        <f aca="false">IF(A1271="","",A1271&amp;"-"&amp;B1271)</f>
        <v/>
      </c>
      <c r="D1271" s="58"/>
      <c r="E1271" s="57"/>
      <c r="F1271" s="69"/>
      <c r="G1271" s="69"/>
      <c r="H1271" s="70" t="str">
        <f aca="false">IF(A1271="","",IFERROR(INDEX(السندات!$C$5:$C$504,MATCH(A1271,السندات!$A$5:$A$504,0)),""))</f>
        <v/>
      </c>
      <c r="I1271" s="71" t="str">
        <f aca="false">IF(A1271="","",IFERROR(INDEX(السندات!$D$5:$D$504,MATCH(A1271,السندات!$A$5:$A$504,0)),""))</f>
        <v/>
      </c>
      <c r="J1271" s="72" t="str">
        <f aca="false">IF(A1271="","",IF(ISNA(MATCH(A1271,السندات!$A$5:$A$504,0)),"رقم سند غير موجود ✘",IF(AND(F1271&lt;&gt;"",G1271&lt;&gt;""),"اكتب مدين أو دائن فقط ✘",IF(AND(N(F1271)=0,N(G1271)=0),"بدون مبلغ ⚠",IF(B1271&gt;12,"يتجاوز 12 بنداً في الطباعة ⚠","")))))</f>
        <v/>
      </c>
    </row>
    <row r="1272" customFormat="false" ht="15" hidden="false" customHeight="false" outlineLevel="0" collapsed="false">
      <c r="A1272" s="58"/>
      <c r="B1272" s="73" t="str">
        <f aca="false">IF(A1272="","",COUNTIF(A$5:A1272,A1272))</f>
        <v/>
      </c>
      <c r="C1272" s="73" t="str">
        <f aca="false">IF(A1272="","",A1272&amp;"-"&amp;B1272)</f>
        <v/>
      </c>
      <c r="D1272" s="58"/>
      <c r="E1272" s="57"/>
      <c r="F1272" s="69"/>
      <c r="G1272" s="69"/>
      <c r="H1272" s="74" t="str">
        <f aca="false">IF(A1272="","",IFERROR(INDEX(السندات!$C$5:$C$504,MATCH(A1272,السندات!$A$5:$A$504,0)),""))</f>
        <v/>
      </c>
      <c r="I1272" s="75" t="str">
        <f aca="false">IF(A1272="","",IFERROR(INDEX(السندات!$D$5:$D$504,MATCH(A1272,السندات!$A$5:$A$504,0)),""))</f>
        <v/>
      </c>
      <c r="J1272" s="76" t="str">
        <f aca="false">IF(A1272="","",IF(ISNA(MATCH(A1272,السندات!$A$5:$A$504,0)),"رقم سند غير موجود ✘",IF(AND(F1272&lt;&gt;"",G1272&lt;&gt;""),"اكتب مدين أو دائن فقط ✘",IF(AND(N(F1272)=0,N(G1272)=0),"بدون مبلغ ⚠",IF(B1272&gt;12,"يتجاوز 12 بنداً في الطباعة ⚠","")))))</f>
        <v/>
      </c>
    </row>
    <row r="1273" customFormat="false" ht="15" hidden="false" customHeight="false" outlineLevel="0" collapsed="false">
      <c r="A1273" s="58"/>
      <c r="B1273" s="68" t="str">
        <f aca="false">IF(A1273="","",COUNTIF(A$5:A1273,A1273))</f>
        <v/>
      </c>
      <c r="C1273" s="68" t="str">
        <f aca="false">IF(A1273="","",A1273&amp;"-"&amp;B1273)</f>
        <v/>
      </c>
      <c r="D1273" s="58"/>
      <c r="E1273" s="57"/>
      <c r="F1273" s="69"/>
      <c r="G1273" s="69"/>
      <c r="H1273" s="70" t="str">
        <f aca="false">IF(A1273="","",IFERROR(INDEX(السندات!$C$5:$C$504,MATCH(A1273,السندات!$A$5:$A$504,0)),""))</f>
        <v/>
      </c>
      <c r="I1273" s="71" t="str">
        <f aca="false">IF(A1273="","",IFERROR(INDEX(السندات!$D$5:$D$504,MATCH(A1273,السندات!$A$5:$A$504,0)),""))</f>
        <v/>
      </c>
      <c r="J1273" s="72" t="str">
        <f aca="false">IF(A1273="","",IF(ISNA(MATCH(A1273,السندات!$A$5:$A$504,0)),"رقم سند غير موجود ✘",IF(AND(F1273&lt;&gt;"",G1273&lt;&gt;""),"اكتب مدين أو دائن فقط ✘",IF(AND(N(F1273)=0,N(G1273)=0),"بدون مبلغ ⚠",IF(B1273&gt;12,"يتجاوز 12 بنداً في الطباعة ⚠","")))))</f>
        <v/>
      </c>
    </row>
    <row r="1274" customFormat="false" ht="15" hidden="false" customHeight="false" outlineLevel="0" collapsed="false">
      <c r="A1274" s="58"/>
      <c r="B1274" s="73" t="str">
        <f aca="false">IF(A1274="","",COUNTIF(A$5:A1274,A1274))</f>
        <v/>
      </c>
      <c r="C1274" s="73" t="str">
        <f aca="false">IF(A1274="","",A1274&amp;"-"&amp;B1274)</f>
        <v/>
      </c>
      <c r="D1274" s="58"/>
      <c r="E1274" s="57"/>
      <c r="F1274" s="69"/>
      <c r="G1274" s="69"/>
      <c r="H1274" s="74" t="str">
        <f aca="false">IF(A1274="","",IFERROR(INDEX(السندات!$C$5:$C$504,MATCH(A1274,السندات!$A$5:$A$504,0)),""))</f>
        <v/>
      </c>
      <c r="I1274" s="75" t="str">
        <f aca="false">IF(A1274="","",IFERROR(INDEX(السندات!$D$5:$D$504,MATCH(A1274,السندات!$A$5:$A$504,0)),""))</f>
        <v/>
      </c>
      <c r="J1274" s="76" t="str">
        <f aca="false">IF(A1274="","",IF(ISNA(MATCH(A1274,السندات!$A$5:$A$504,0)),"رقم سند غير موجود ✘",IF(AND(F1274&lt;&gt;"",G1274&lt;&gt;""),"اكتب مدين أو دائن فقط ✘",IF(AND(N(F1274)=0,N(G1274)=0),"بدون مبلغ ⚠",IF(B1274&gt;12,"يتجاوز 12 بنداً في الطباعة ⚠","")))))</f>
        <v/>
      </c>
    </row>
    <row r="1275" customFormat="false" ht="15" hidden="false" customHeight="false" outlineLevel="0" collapsed="false">
      <c r="A1275" s="58"/>
      <c r="B1275" s="68" t="str">
        <f aca="false">IF(A1275="","",COUNTIF(A$5:A1275,A1275))</f>
        <v/>
      </c>
      <c r="C1275" s="68" t="str">
        <f aca="false">IF(A1275="","",A1275&amp;"-"&amp;B1275)</f>
        <v/>
      </c>
      <c r="D1275" s="58"/>
      <c r="E1275" s="57"/>
      <c r="F1275" s="69"/>
      <c r="G1275" s="69"/>
      <c r="H1275" s="70" t="str">
        <f aca="false">IF(A1275="","",IFERROR(INDEX(السندات!$C$5:$C$504,MATCH(A1275,السندات!$A$5:$A$504,0)),""))</f>
        <v/>
      </c>
      <c r="I1275" s="71" t="str">
        <f aca="false">IF(A1275="","",IFERROR(INDEX(السندات!$D$5:$D$504,MATCH(A1275,السندات!$A$5:$A$504,0)),""))</f>
        <v/>
      </c>
      <c r="J1275" s="72" t="str">
        <f aca="false">IF(A1275="","",IF(ISNA(MATCH(A1275,السندات!$A$5:$A$504,0)),"رقم سند غير موجود ✘",IF(AND(F1275&lt;&gt;"",G1275&lt;&gt;""),"اكتب مدين أو دائن فقط ✘",IF(AND(N(F1275)=0,N(G1275)=0),"بدون مبلغ ⚠",IF(B1275&gt;12,"يتجاوز 12 بنداً في الطباعة ⚠","")))))</f>
        <v/>
      </c>
    </row>
    <row r="1276" customFormat="false" ht="15" hidden="false" customHeight="false" outlineLevel="0" collapsed="false">
      <c r="A1276" s="58"/>
      <c r="B1276" s="73" t="str">
        <f aca="false">IF(A1276="","",COUNTIF(A$5:A1276,A1276))</f>
        <v/>
      </c>
      <c r="C1276" s="73" t="str">
        <f aca="false">IF(A1276="","",A1276&amp;"-"&amp;B1276)</f>
        <v/>
      </c>
      <c r="D1276" s="58"/>
      <c r="E1276" s="57"/>
      <c r="F1276" s="69"/>
      <c r="G1276" s="69"/>
      <c r="H1276" s="74" t="str">
        <f aca="false">IF(A1276="","",IFERROR(INDEX(السندات!$C$5:$C$504,MATCH(A1276,السندات!$A$5:$A$504,0)),""))</f>
        <v/>
      </c>
      <c r="I1276" s="75" t="str">
        <f aca="false">IF(A1276="","",IFERROR(INDEX(السندات!$D$5:$D$504,MATCH(A1276,السندات!$A$5:$A$504,0)),""))</f>
        <v/>
      </c>
      <c r="J1276" s="76" t="str">
        <f aca="false">IF(A1276="","",IF(ISNA(MATCH(A1276,السندات!$A$5:$A$504,0)),"رقم سند غير موجود ✘",IF(AND(F1276&lt;&gt;"",G1276&lt;&gt;""),"اكتب مدين أو دائن فقط ✘",IF(AND(N(F1276)=0,N(G1276)=0),"بدون مبلغ ⚠",IF(B1276&gt;12,"يتجاوز 12 بنداً في الطباعة ⚠","")))))</f>
        <v/>
      </c>
    </row>
    <row r="1277" customFormat="false" ht="15" hidden="false" customHeight="false" outlineLevel="0" collapsed="false">
      <c r="A1277" s="58"/>
      <c r="B1277" s="68" t="str">
        <f aca="false">IF(A1277="","",COUNTIF(A$5:A1277,A1277))</f>
        <v/>
      </c>
      <c r="C1277" s="68" t="str">
        <f aca="false">IF(A1277="","",A1277&amp;"-"&amp;B1277)</f>
        <v/>
      </c>
      <c r="D1277" s="58"/>
      <c r="E1277" s="57"/>
      <c r="F1277" s="69"/>
      <c r="G1277" s="69"/>
      <c r="H1277" s="70" t="str">
        <f aca="false">IF(A1277="","",IFERROR(INDEX(السندات!$C$5:$C$504,MATCH(A1277,السندات!$A$5:$A$504,0)),""))</f>
        <v/>
      </c>
      <c r="I1277" s="71" t="str">
        <f aca="false">IF(A1277="","",IFERROR(INDEX(السندات!$D$5:$D$504,MATCH(A1277,السندات!$A$5:$A$504,0)),""))</f>
        <v/>
      </c>
      <c r="J1277" s="72" t="str">
        <f aca="false">IF(A1277="","",IF(ISNA(MATCH(A1277,السندات!$A$5:$A$504,0)),"رقم سند غير موجود ✘",IF(AND(F1277&lt;&gt;"",G1277&lt;&gt;""),"اكتب مدين أو دائن فقط ✘",IF(AND(N(F1277)=0,N(G1277)=0),"بدون مبلغ ⚠",IF(B1277&gt;12,"يتجاوز 12 بنداً في الطباعة ⚠","")))))</f>
        <v/>
      </c>
    </row>
    <row r="1278" customFormat="false" ht="15" hidden="false" customHeight="false" outlineLevel="0" collapsed="false">
      <c r="A1278" s="58"/>
      <c r="B1278" s="73" t="str">
        <f aca="false">IF(A1278="","",COUNTIF(A$5:A1278,A1278))</f>
        <v/>
      </c>
      <c r="C1278" s="73" t="str">
        <f aca="false">IF(A1278="","",A1278&amp;"-"&amp;B1278)</f>
        <v/>
      </c>
      <c r="D1278" s="58"/>
      <c r="E1278" s="57"/>
      <c r="F1278" s="69"/>
      <c r="G1278" s="69"/>
      <c r="H1278" s="74" t="str">
        <f aca="false">IF(A1278="","",IFERROR(INDEX(السندات!$C$5:$C$504,MATCH(A1278,السندات!$A$5:$A$504,0)),""))</f>
        <v/>
      </c>
      <c r="I1278" s="75" t="str">
        <f aca="false">IF(A1278="","",IFERROR(INDEX(السندات!$D$5:$D$504,MATCH(A1278,السندات!$A$5:$A$504,0)),""))</f>
        <v/>
      </c>
      <c r="J1278" s="76" t="str">
        <f aca="false">IF(A1278="","",IF(ISNA(MATCH(A1278,السندات!$A$5:$A$504,0)),"رقم سند غير موجود ✘",IF(AND(F1278&lt;&gt;"",G1278&lt;&gt;""),"اكتب مدين أو دائن فقط ✘",IF(AND(N(F1278)=0,N(G1278)=0),"بدون مبلغ ⚠",IF(B1278&gt;12,"يتجاوز 12 بنداً في الطباعة ⚠","")))))</f>
        <v/>
      </c>
    </row>
    <row r="1279" customFormat="false" ht="15" hidden="false" customHeight="false" outlineLevel="0" collapsed="false">
      <c r="A1279" s="58"/>
      <c r="B1279" s="68" t="str">
        <f aca="false">IF(A1279="","",COUNTIF(A$5:A1279,A1279))</f>
        <v/>
      </c>
      <c r="C1279" s="68" t="str">
        <f aca="false">IF(A1279="","",A1279&amp;"-"&amp;B1279)</f>
        <v/>
      </c>
      <c r="D1279" s="58"/>
      <c r="E1279" s="57"/>
      <c r="F1279" s="69"/>
      <c r="G1279" s="69"/>
      <c r="H1279" s="70" t="str">
        <f aca="false">IF(A1279="","",IFERROR(INDEX(السندات!$C$5:$C$504,MATCH(A1279,السندات!$A$5:$A$504,0)),""))</f>
        <v/>
      </c>
      <c r="I1279" s="71" t="str">
        <f aca="false">IF(A1279="","",IFERROR(INDEX(السندات!$D$5:$D$504,MATCH(A1279,السندات!$A$5:$A$504,0)),""))</f>
        <v/>
      </c>
      <c r="J1279" s="72" t="str">
        <f aca="false">IF(A1279="","",IF(ISNA(MATCH(A1279,السندات!$A$5:$A$504,0)),"رقم سند غير موجود ✘",IF(AND(F1279&lt;&gt;"",G1279&lt;&gt;""),"اكتب مدين أو دائن فقط ✘",IF(AND(N(F1279)=0,N(G1279)=0),"بدون مبلغ ⚠",IF(B1279&gt;12,"يتجاوز 12 بنداً في الطباعة ⚠","")))))</f>
        <v/>
      </c>
    </row>
    <row r="1280" customFormat="false" ht="15" hidden="false" customHeight="false" outlineLevel="0" collapsed="false">
      <c r="A1280" s="58"/>
      <c r="B1280" s="73" t="str">
        <f aca="false">IF(A1280="","",COUNTIF(A$5:A1280,A1280))</f>
        <v/>
      </c>
      <c r="C1280" s="73" t="str">
        <f aca="false">IF(A1280="","",A1280&amp;"-"&amp;B1280)</f>
        <v/>
      </c>
      <c r="D1280" s="58"/>
      <c r="E1280" s="57"/>
      <c r="F1280" s="69"/>
      <c r="G1280" s="69"/>
      <c r="H1280" s="74" t="str">
        <f aca="false">IF(A1280="","",IFERROR(INDEX(السندات!$C$5:$C$504,MATCH(A1280,السندات!$A$5:$A$504,0)),""))</f>
        <v/>
      </c>
      <c r="I1280" s="75" t="str">
        <f aca="false">IF(A1280="","",IFERROR(INDEX(السندات!$D$5:$D$504,MATCH(A1280,السندات!$A$5:$A$504,0)),""))</f>
        <v/>
      </c>
      <c r="J1280" s="76" t="str">
        <f aca="false">IF(A1280="","",IF(ISNA(MATCH(A1280,السندات!$A$5:$A$504,0)),"رقم سند غير موجود ✘",IF(AND(F1280&lt;&gt;"",G1280&lt;&gt;""),"اكتب مدين أو دائن فقط ✘",IF(AND(N(F1280)=0,N(G1280)=0),"بدون مبلغ ⚠",IF(B1280&gt;12,"يتجاوز 12 بنداً في الطباعة ⚠","")))))</f>
        <v/>
      </c>
    </row>
    <row r="1281" customFormat="false" ht="15" hidden="false" customHeight="false" outlineLevel="0" collapsed="false">
      <c r="A1281" s="58"/>
      <c r="B1281" s="68" t="str">
        <f aca="false">IF(A1281="","",COUNTIF(A$5:A1281,A1281))</f>
        <v/>
      </c>
      <c r="C1281" s="68" t="str">
        <f aca="false">IF(A1281="","",A1281&amp;"-"&amp;B1281)</f>
        <v/>
      </c>
      <c r="D1281" s="58"/>
      <c r="E1281" s="57"/>
      <c r="F1281" s="69"/>
      <c r="G1281" s="69"/>
      <c r="H1281" s="70" t="str">
        <f aca="false">IF(A1281="","",IFERROR(INDEX(السندات!$C$5:$C$504,MATCH(A1281,السندات!$A$5:$A$504,0)),""))</f>
        <v/>
      </c>
      <c r="I1281" s="71" t="str">
        <f aca="false">IF(A1281="","",IFERROR(INDEX(السندات!$D$5:$D$504,MATCH(A1281,السندات!$A$5:$A$504,0)),""))</f>
        <v/>
      </c>
      <c r="J1281" s="72" t="str">
        <f aca="false">IF(A1281="","",IF(ISNA(MATCH(A1281,السندات!$A$5:$A$504,0)),"رقم سند غير موجود ✘",IF(AND(F1281&lt;&gt;"",G1281&lt;&gt;""),"اكتب مدين أو دائن فقط ✘",IF(AND(N(F1281)=0,N(G1281)=0),"بدون مبلغ ⚠",IF(B1281&gt;12,"يتجاوز 12 بنداً في الطباعة ⚠","")))))</f>
        <v/>
      </c>
    </row>
    <row r="1282" customFormat="false" ht="15" hidden="false" customHeight="false" outlineLevel="0" collapsed="false">
      <c r="A1282" s="58"/>
      <c r="B1282" s="73" t="str">
        <f aca="false">IF(A1282="","",COUNTIF(A$5:A1282,A1282))</f>
        <v/>
      </c>
      <c r="C1282" s="73" t="str">
        <f aca="false">IF(A1282="","",A1282&amp;"-"&amp;B1282)</f>
        <v/>
      </c>
      <c r="D1282" s="58"/>
      <c r="E1282" s="57"/>
      <c r="F1282" s="69"/>
      <c r="G1282" s="69"/>
      <c r="H1282" s="74" t="str">
        <f aca="false">IF(A1282="","",IFERROR(INDEX(السندات!$C$5:$C$504,MATCH(A1282,السندات!$A$5:$A$504,0)),""))</f>
        <v/>
      </c>
      <c r="I1282" s="75" t="str">
        <f aca="false">IF(A1282="","",IFERROR(INDEX(السندات!$D$5:$D$504,MATCH(A1282,السندات!$A$5:$A$504,0)),""))</f>
        <v/>
      </c>
      <c r="J1282" s="76" t="str">
        <f aca="false">IF(A1282="","",IF(ISNA(MATCH(A1282,السندات!$A$5:$A$504,0)),"رقم سند غير موجود ✘",IF(AND(F1282&lt;&gt;"",G1282&lt;&gt;""),"اكتب مدين أو دائن فقط ✘",IF(AND(N(F1282)=0,N(G1282)=0),"بدون مبلغ ⚠",IF(B1282&gt;12,"يتجاوز 12 بنداً في الطباعة ⚠","")))))</f>
        <v/>
      </c>
    </row>
    <row r="1283" customFormat="false" ht="15" hidden="false" customHeight="false" outlineLevel="0" collapsed="false">
      <c r="A1283" s="58"/>
      <c r="B1283" s="68" t="str">
        <f aca="false">IF(A1283="","",COUNTIF(A$5:A1283,A1283))</f>
        <v/>
      </c>
      <c r="C1283" s="68" t="str">
        <f aca="false">IF(A1283="","",A1283&amp;"-"&amp;B1283)</f>
        <v/>
      </c>
      <c r="D1283" s="58"/>
      <c r="E1283" s="57"/>
      <c r="F1283" s="69"/>
      <c r="G1283" s="69"/>
      <c r="H1283" s="70" t="str">
        <f aca="false">IF(A1283="","",IFERROR(INDEX(السندات!$C$5:$C$504,MATCH(A1283,السندات!$A$5:$A$504,0)),""))</f>
        <v/>
      </c>
      <c r="I1283" s="71" t="str">
        <f aca="false">IF(A1283="","",IFERROR(INDEX(السندات!$D$5:$D$504,MATCH(A1283,السندات!$A$5:$A$504,0)),""))</f>
        <v/>
      </c>
      <c r="J1283" s="72" t="str">
        <f aca="false">IF(A1283="","",IF(ISNA(MATCH(A1283,السندات!$A$5:$A$504,0)),"رقم سند غير موجود ✘",IF(AND(F1283&lt;&gt;"",G1283&lt;&gt;""),"اكتب مدين أو دائن فقط ✘",IF(AND(N(F1283)=0,N(G1283)=0),"بدون مبلغ ⚠",IF(B1283&gt;12,"يتجاوز 12 بنداً في الطباعة ⚠","")))))</f>
        <v/>
      </c>
    </row>
    <row r="1284" customFormat="false" ht="15" hidden="false" customHeight="false" outlineLevel="0" collapsed="false">
      <c r="A1284" s="58"/>
      <c r="B1284" s="73" t="str">
        <f aca="false">IF(A1284="","",COUNTIF(A$5:A1284,A1284))</f>
        <v/>
      </c>
      <c r="C1284" s="73" t="str">
        <f aca="false">IF(A1284="","",A1284&amp;"-"&amp;B1284)</f>
        <v/>
      </c>
      <c r="D1284" s="58"/>
      <c r="E1284" s="57"/>
      <c r="F1284" s="69"/>
      <c r="G1284" s="69"/>
      <c r="H1284" s="74" t="str">
        <f aca="false">IF(A1284="","",IFERROR(INDEX(السندات!$C$5:$C$504,MATCH(A1284,السندات!$A$5:$A$504,0)),""))</f>
        <v/>
      </c>
      <c r="I1284" s="75" t="str">
        <f aca="false">IF(A1284="","",IFERROR(INDEX(السندات!$D$5:$D$504,MATCH(A1284,السندات!$A$5:$A$504,0)),""))</f>
        <v/>
      </c>
      <c r="J1284" s="76" t="str">
        <f aca="false">IF(A1284="","",IF(ISNA(MATCH(A1284,السندات!$A$5:$A$504,0)),"رقم سند غير موجود ✘",IF(AND(F1284&lt;&gt;"",G1284&lt;&gt;""),"اكتب مدين أو دائن فقط ✘",IF(AND(N(F1284)=0,N(G1284)=0),"بدون مبلغ ⚠",IF(B1284&gt;12,"يتجاوز 12 بنداً في الطباعة ⚠","")))))</f>
        <v/>
      </c>
    </row>
    <row r="1285" customFormat="false" ht="15" hidden="false" customHeight="false" outlineLevel="0" collapsed="false">
      <c r="A1285" s="58"/>
      <c r="B1285" s="68" t="str">
        <f aca="false">IF(A1285="","",COUNTIF(A$5:A1285,A1285))</f>
        <v/>
      </c>
      <c r="C1285" s="68" t="str">
        <f aca="false">IF(A1285="","",A1285&amp;"-"&amp;B1285)</f>
        <v/>
      </c>
      <c r="D1285" s="58"/>
      <c r="E1285" s="57"/>
      <c r="F1285" s="69"/>
      <c r="G1285" s="69"/>
      <c r="H1285" s="70" t="str">
        <f aca="false">IF(A1285="","",IFERROR(INDEX(السندات!$C$5:$C$504,MATCH(A1285,السندات!$A$5:$A$504,0)),""))</f>
        <v/>
      </c>
      <c r="I1285" s="71" t="str">
        <f aca="false">IF(A1285="","",IFERROR(INDEX(السندات!$D$5:$D$504,MATCH(A1285,السندات!$A$5:$A$504,0)),""))</f>
        <v/>
      </c>
      <c r="J1285" s="72" t="str">
        <f aca="false">IF(A1285="","",IF(ISNA(MATCH(A1285,السندات!$A$5:$A$504,0)),"رقم سند غير موجود ✘",IF(AND(F1285&lt;&gt;"",G1285&lt;&gt;""),"اكتب مدين أو دائن فقط ✘",IF(AND(N(F1285)=0,N(G1285)=0),"بدون مبلغ ⚠",IF(B1285&gt;12,"يتجاوز 12 بنداً في الطباعة ⚠","")))))</f>
        <v/>
      </c>
    </row>
    <row r="1286" customFormat="false" ht="15" hidden="false" customHeight="false" outlineLevel="0" collapsed="false">
      <c r="A1286" s="58"/>
      <c r="B1286" s="73" t="str">
        <f aca="false">IF(A1286="","",COUNTIF(A$5:A1286,A1286))</f>
        <v/>
      </c>
      <c r="C1286" s="73" t="str">
        <f aca="false">IF(A1286="","",A1286&amp;"-"&amp;B1286)</f>
        <v/>
      </c>
      <c r="D1286" s="58"/>
      <c r="E1286" s="57"/>
      <c r="F1286" s="69"/>
      <c r="G1286" s="69"/>
      <c r="H1286" s="74" t="str">
        <f aca="false">IF(A1286="","",IFERROR(INDEX(السندات!$C$5:$C$504,MATCH(A1286,السندات!$A$5:$A$504,0)),""))</f>
        <v/>
      </c>
      <c r="I1286" s="75" t="str">
        <f aca="false">IF(A1286="","",IFERROR(INDEX(السندات!$D$5:$D$504,MATCH(A1286,السندات!$A$5:$A$504,0)),""))</f>
        <v/>
      </c>
      <c r="J1286" s="76" t="str">
        <f aca="false">IF(A1286="","",IF(ISNA(MATCH(A1286,السندات!$A$5:$A$504,0)),"رقم سند غير موجود ✘",IF(AND(F1286&lt;&gt;"",G1286&lt;&gt;""),"اكتب مدين أو دائن فقط ✘",IF(AND(N(F1286)=0,N(G1286)=0),"بدون مبلغ ⚠",IF(B1286&gt;12,"يتجاوز 12 بنداً في الطباعة ⚠","")))))</f>
        <v/>
      </c>
    </row>
    <row r="1287" customFormat="false" ht="15" hidden="false" customHeight="false" outlineLevel="0" collapsed="false">
      <c r="A1287" s="58"/>
      <c r="B1287" s="68" t="str">
        <f aca="false">IF(A1287="","",COUNTIF(A$5:A1287,A1287))</f>
        <v/>
      </c>
      <c r="C1287" s="68" t="str">
        <f aca="false">IF(A1287="","",A1287&amp;"-"&amp;B1287)</f>
        <v/>
      </c>
      <c r="D1287" s="58"/>
      <c r="E1287" s="57"/>
      <c r="F1287" s="69"/>
      <c r="G1287" s="69"/>
      <c r="H1287" s="70" t="str">
        <f aca="false">IF(A1287="","",IFERROR(INDEX(السندات!$C$5:$C$504,MATCH(A1287,السندات!$A$5:$A$504,0)),""))</f>
        <v/>
      </c>
      <c r="I1287" s="71" t="str">
        <f aca="false">IF(A1287="","",IFERROR(INDEX(السندات!$D$5:$D$504,MATCH(A1287,السندات!$A$5:$A$504,0)),""))</f>
        <v/>
      </c>
      <c r="J1287" s="72" t="str">
        <f aca="false">IF(A1287="","",IF(ISNA(MATCH(A1287,السندات!$A$5:$A$504,0)),"رقم سند غير موجود ✘",IF(AND(F1287&lt;&gt;"",G1287&lt;&gt;""),"اكتب مدين أو دائن فقط ✘",IF(AND(N(F1287)=0,N(G1287)=0),"بدون مبلغ ⚠",IF(B1287&gt;12,"يتجاوز 12 بنداً في الطباعة ⚠","")))))</f>
        <v/>
      </c>
    </row>
    <row r="1288" customFormat="false" ht="15" hidden="false" customHeight="false" outlineLevel="0" collapsed="false">
      <c r="A1288" s="58"/>
      <c r="B1288" s="73" t="str">
        <f aca="false">IF(A1288="","",COUNTIF(A$5:A1288,A1288))</f>
        <v/>
      </c>
      <c r="C1288" s="73" t="str">
        <f aca="false">IF(A1288="","",A1288&amp;"-"&amp;B1288)</f>
        <v/>
      </c>
      <c r="D1288" s="58"/>
      <c r="E1288" s="57"/>
      <c r="F1288" s="69"/>
      <c r="G1288" s="69"/>
      <c r="H1288" s="74" t="str">
        <f aca="false">IF(A1288="","",IFERROR(INDEX(السندات!$C$5:$C$504,MATCH(A1288,السندات!$A$5:$A$504,0)),""))</f>
        <v/>
      </c>
      <c r="I1288" s="75" t="str">
        <f aca="false">IF(A1288="","",IFERROR(INDEX(السندات!$D$5:$D$504,MATCH(A1288,السندات!$A$5:$A$504,0)),""))</f>
        <v/>
      </c>
      <c r="J1288" s="76" t="str">
        <f aca="false">IF(A1288="","",IF(ISNA(MATCH(A1288,السندات!$A$5:$A$504,0)),"رقم سند غير موجود ✘",IF(AND(F1288&lt;&gt;"",G1288&lt;&gt;""),"اكتب مدين أو دائن فقط ✘",IF(AND(N(F1288)=0,N(G1288)=0),"بدون مبلغ ⚠",IF(B1288&gt;12,"يتجاوز 12 بنداً في الطباعة ⚠","")))))</f>
        <v/>
      </c>
    </row>
    <row r="1289" customFormat="false" ht="15" hidden="false" customHeight="false" outlineLevel="0" collapsed="false">
      <c r="A1289" s="58"/>
      <c r="B1289" s="68" t="str">
        <f aca="false">IF(A1289="","",COUNTIF(A$5:A1289,A1289))</f>
        <v/>
      </c>
      <c r="C1289" s="68" t="str">
        <f aca="false">IF(A1289="","",A1289&amp;"-"&amp;B1289)</f>
        <v/>
      </c>
      <c r="D1289" s="58"/>
      <c r="E1289" s="57"/>
      <c r="F1289" s="69"/>
      <c r="G1289" s="69"/>
      <c r="H1289" s="70" t="str">
        <f aca="false">IF(A1289="","",IFERROR(INDEX(السندات!$C$5:$C$504,MATCH(A1289,السندات!$A$5:$A$504,0)),""))</f>
        <v/>
      </c>
      <c r="I1289" s="71" t="str">
        <f aca="false">IF(A1289="","",IFERROR(INDEX(السندات!$D$5:$D$504,MATCH(A1289,السندات!$A$5:$A$504,0)),""))</f>
        <v/>
      </c>
      <c r="J1289" s="72" t="str">
        <f aca="false">IF(A1289="","",IF(ISNA(MATCH(A1289,السندات!$A$5:$A$504,0)),"رقم سند غير موجود ✘",IF(AND(F1289&lt;&gt;"",G1289&lt;&gt;""),"اكتب مدين أو دائن فقط ✘",IF(AND(N(F1289)=0,N(G1289)=0),"بدون مبلغ ⚠",IF(B1289&gt;12,"يتجاوز 12 بنداً في الطباعة ⚠","")))))</f>
        <v/>
      </c>
    </row>
    <row r="1290" customFormat="false" ht="15" hidden="false" customHeight="false" outlineLevel="0" collapsed="false">
      <c r="A1290" s="58"/>
      <c r="B1290" s="73" t="str">
        <f aca="false">IF(A1290="","",COUNTIF(A$5:A1290,A1290))</f>
        <v/>
      </c>
      <c r="C1290" s="73" t="str">
        <f aca="false">IF(A1290="","",A1290&amp;"-"&amp;B1290)</f>
        <v/>
      </c>
      <c r="D1290" s="58"/>
      <c r="E1290" s="57"/>
      <c r="F1290" s="69"/>
      <c r="G1290" s="69"/>
      <c r="H1290" s="74" t="str">
        <f aca="false">IF(A1290="","",IFERROR(INDEX(السندات!$C$5:$C$504,MATCH(A1290,السندات!$A$5:$A$504,0)),""))</f>
        <v/>
      </c>
      <c r="I1290" s="75" t="str">
        <f aca="false">IF(A1290="","",IFERROR(INDEX(السندات!$D$5:$D$504,MATCH(A1290,السندات!$A$5:$A$504,0)),""))</f>
        <v/>
      </c>
      <c r="J1290" s="76" t="str">
        <f aca="false">IF(A1290="","",IF(ISNA(MATCH(A1290,السندات!$A$5:$A$504,0)),"رقم سند غير موجود ✘",IF(AND(F1290&lt;&gt;"",G1290&lt;&gt;""),"اكتب مدين أو دائن فقط ✘",IF(AND(N(F1290)=0,N(G1290)=0),"بدون مبلغ ⚠",IF(B1290&gt;12,"يتجاوز 12 بنداً في الطباعة ⚠","")))))</f>
        <v/>
      </c>
    </row>
    <row r="1291" customFormat="false" ht="15" hidden="false" customHeight="false" outlineLevel="0" collapsed="false">
      <c r="A1291" s="58"/>
      <c r="B1291" s="68" t="str">
        <f aca="false">IF(A1291="","",COUNTIF(A$5:A1291,A1291))</f>
        <v/>
      </c>
      <c r="C1291" s="68" t="str">
        <f aca="false">IF(A1291="","",A1291&amp;"-"&amp;B1291)</f>
        <v/>
      </c>
      <c r="D1291" s="58"/>
      <c r="E1291" s="57"/>
      <c r="F1291" s="69"/>
      <c r="G1291" s="69"/>
      <c r="H1291" s="70" t="str">
        <f aca="false">IF(A1291="","",IFERROR(INDEX(السندات!$C$5:$C$504,MATCH(A1291,السندات!$A$5:$A$504,0)),""))</f>
        <v/>
      </c>
      <c r="I1291" s="71" t="str">
        <f aca="false">IF(A1291="","",IFERROR(INDEX(السندات!$D$5:$D$504,MATCH(A1291,السندات!$A$5:$A$504,0)),""))</f>
        <v/>
      </c>
      <c r="J1291" s="72" t="str">
        <f aca="false">IF(A1291="","",IF(ISNA(MATCH(A1291,السندات!$A$5:$A$504,0)),"رقم سند غير موجود ✘",IF(AND(F1291&lt;&gt;"",G1291&lt;&gt;""),"اكتب مدين أو دائن فقط ✘",IF(AND(N(F1291)=0,N(G1291)=0),"بدون مبلغ ⚠",IF(B1291&gt;12,"يتجاوز 12 بنداً في الطباعة ⚠","")))))</f>
        <v/>
      </c>
    </row>
    <row r="1292" customFormat="false" ht="15" hidden="false" customHeight="false" outlineLevel="0" collapsed="false">
      <c r="A1292" s="58"/>
      <c r="B1292" s="73" t="str">
        <f aca="false">IF(A1292="","",COUNTIF(A$5:A1292,A1292))</f>
        <v/>
      </c>
      <c r="C1292" s="73" t="str">
        <f aca="false">IF(A1292="","",A1292&amp;"-"&amp;B1292)</f>
        <v/>
      </c>
      <c r="D1292" s="58"/>
      <c r="E1292" s="57"/>
      <c r="F1292" s="69"/>
      <c r="G1292" s="69"/>
      <c r="H1292" s="74" t="str">
        <f aca="false">IF(A1292="","",IFERROR(INDEX(السندات!$C$5:$C$504,MATCH(A1292,السندات!$A$5:$A$504,0)),""))</f>
        <v/>
      </c>
      <c r="I1292" s="75" t="str">
        <f aca="false">IF(A1292="","",IFERROR(INDEX(السندات!$D$5:$D$504,MATCH(A1292,السندات!$A$5:$A$504,0)),""))</f>
        <v/>
      </c>
      <c r="J1292" s="76" t="str">
        <f aca="false">IF(A1292="","",IF(ISNA(MATCH(A1292,السندات!$A$5:$A$504,0)),"رقم سند غير موجود ✘",IF(AND(F1292&lt;&gt;"",G1292&lt;&gt;""),"اكتب مدين أو دائن فقط ✘",IF(AND(N(F1292)=0,N(G1292)=0),"بدون مبلغ ⚠",IF(B1292&gt;12,"يتجاوز 12 بنداً في الطباعة ⚠","")))))</f>
        <v/>
      </c>
    </row>
    <row r="1293" customFormat="false" ht="15" hidden="false" customHeight="false" outlineLevel="0" collapsed="false">
      <c r="A1293" s="58"/>
      <c r="B1293" s="68" t="str">
        <f aca="false">IF(A1293="","",COUNTIF(A$5:A1293,A1293))</f>
        <v/>
      </c>
      <c r="C1293" s="68" t="str">
        <f aca="false">IF(A1293="","",A1293&amp;"-"&amp;B1293)</f>
        <v/>
      </c>
      <c r="D1293" s="58"/>
      <c r="E1293" s="57"/>
      <c r="F1293" s="69"/>
      <c r="G1293" s="69"/>
      <c r="H1293" s="70" t="str">
        <f aca="false">IF(A1293="","",IFERROR(INDEX(السندات!$C$5:$C$504,MATCH(A1293,السندات!$A$5:$A$504,0)),""))</f>
        <v/>
      </c>
      <c r="I1293" s="71" t="str">
        <f aca="false">IF(A1293="","",IFERROR(INDEX(السندات!$D$5:$D$504,MATCH(A1293,السندات!$A$5:$A$504,0)),""))</f>
        <v/>
      </c>
      <c r="J1293" s="72" t="str">
        <f aca="false">IF(A1293="","",IF(ISNA(MATCH(A1293,السندات!$A$5:$A$504,0)),"رقم سند غير موجود ✘",IF(AND(F1293&lt;&gt;"",G1293&lt;&gt;""),"اكتب مدين أو دائن فقط ✘",IF(AND(N(F1293)=0,N(G1293)=0),"بدون مبلغ ⚠",IF(B1293&gt;12,"يتجاوز 12 بنداً في الطباعة ⚠","")))))</f>
        <v/>
      </c>
    </row>
    <row r="1294" customFormat="false" ht="15" hidden="false" customHeight="false" outlineLevel="0" collapsed="false">
      <c r="A1294" s="58"/>
      <c r="B1294" s="73" t="str">
        <f aca="false">IF(A1294="","",COUNTIF(A$5:A1294,A1294))</f>
        <v/>
      </c>
      <c r="C1294" s="73" t="str">
        <f aca="false">IF(A1294="","",A1294&amp;"-"&amp;B1294)</f>
        <v/>
      </c>
      <c r="D1294" s="58"/>
      <c r="E1294" s="57"/>
      <c r="F1294" s="69"/>
      <c r="G1294" s="69"/>
      <c r="H1294" s="74" t="str">
        <f aca="false">IF(A1294="","",IFERROR(INDEX(السندات!$C$5:$C$504,MATCH(A1294,السندات!$A$5:$A$504,0)),""))</f>
        <v/>
      </c>
      <c r="I1294" s="75" t="str">
        <f aca="false">IF(A1294="","",IFERROR(INDEX(السندات!$D$5:$D$504,MATCH(A1294,السندات!$A$5:$A$504,0)),""))</f>
        <v/>
      </c>
      <c r="J1294" s="76" t="str">
        <f aca="false">IF(A1294="","",IF(ISNA(MATCH(A1294,السندات!$A$5:$A$504,0)),"رقم سند غير موجود ✘",IF(AND(F1294&lt;&gt;"",G1294&lt;&gt;""),"اكتب مدين أو دائن فقط ✘",IF(AND(N(F1294)=0,N(G1294)=0),"بدون مبلغ ⚠",IF(B1294&gt;12,"يتجاوز 12 بنداً في الطباعة ⚠","")))))</f>
        <v/>
      </c>
    </row>
    <row r="1295" customFormat="false" ht="15" hidden="false" customHeight="false" outlineLevel="0" collapsed="false">
      <c r="A1295" s="58"/>
      <c r="B1295" s="68" t="str">
        <f aca="false">IF(A1295="","",COUNTIF(A$5:A1295,A1295))</f>
        <v/>
      </c>
      <c r="C1295" s="68" t="str">
        <f aca="false">IF(A1295="","",A1295&amp;"-"&amp;B1295)</f>
        <v/>
      </c>
      <c r="D1295" s="58"/>
      <c r="E1295" s="57"/>
      <c r="F1295" s="69"/>
      <c r="G1295" s="69"/>
      <c r="H1295" s="70" t="str">
        <f aca="false">IF(A1295="","",IFERROR(INDEX(السندات!$C$5:$C$504,MATCH(A1295,السندات!$A$5:$A$504,0)),""))</f>
        <v/>
      </c>
      <c r="I1295" s="71" t="str">
        <f aca="false">IF(A1295="","",IFERROR(INDEX(السندات!$D$5:$D$504,MATCH(A1295,السندات!$A$5:$A$504,0)),""))</f>
        <v/>
      </c>
      <c r="J1295" s="72" t="str">
        <f aca="false">IF(A1295="","",IF(ISNA(MATCH(A1295,السندات!$A$5:$A$504,0)),"رقم سند غير موجود ✘",IF(AND(F1295&lt;&gt;"",G1295&lt;&gt;""),"اكتب مدين أو دائن فقط ✘",IF(AND(N(F1295)=0,N(G1295)=0),"بدون مبلغ ⚠",IF(B1295&gt;12,"يتجاوز 12 بنداً في الطباعة ⚠","")))))</f>
        <v/>
      </c>
    </row>
    <row r="1296" customFormat="false" ht="15" hidden="false" customHeight="false" outlineLevel="0" collapsed="false">
      <c r="A1296" s="58"/>
      <c r="B1296" s="73" t="str">
        <f aca="false">IF(A1296="","",COUNTIF(A$5:A1296,A1296))</f>
        <v/>
      </c>
      <c r="C1296" s="73" t="str">
        <f aca="false">IF(A1296="","",A1296&amp;"-"&amp;B1296)</f>
        <v/>
      </c>
      <c r="D1296" s="58"/>
      <c r="E1296" s="57"/>
      <c r="F1296" s="69"/>
      <c r="G1296" s="69"/>
      <c r="H1296" s="74" t="str">
        <f aca="false">IF(A1296="","",IFERROR(INDEX(السندات!$C$5:$C$504,MATCH(A1296,السندات!$A$5:$A$504,0)),""))</f>
        <v/>
      </c>
      <c r="I1296" s="75" t="str">
        <f aca="false">IF(A1296="","",IFERROR(INDEX(السندات!$D$5:$D$504,MATCH(A1296,السندات!$A$5:$A$504,0)),""))</f>
        <v/>
      </c>
      <c r="J1296" s="76" t="str">
        <f aca="false">IF(A1296="","",IF(ISNA(MATCH(A1296,السندات!$A$5:$A$504,0)),"رقم سند غير موجود ✘",IF(AND(F1296&lt;&gt;"",G1296&lt;&gt;""),"اكتب مدين أو دائن فقط ✘",IF(AND(N(F1296)=0,N(G1296)=0),"بدون مبلغ ⚠",IF(B1296&gt;12,"يتجاوز 12 بنداً في الطباعة ⚠","")))))</f>
        <v/>
      </c>
    </row>
    <row r="1297" customFormat="false" ht="15" hidden="false" customHeight="false" outlineLevel="0" collapsed="false">
      <c r="A1297" s="58"/>
      <c r="B1297" s="68" t="str">
        <f aca="false">IF(A1297="","",COUNTIF(A$5:A1297,A1297))</f>
        <v/>
      </c>
      <c r="C1297" s="68" t="str">
        <f aca="false">IF(A1297="","",A1297&amp;"-"&amp;B1297)</f>
        <v/>
      </c>
      <c r="D1297" s="58"/>
      <c r="E1297" s="57"/>
      <c r="F1297" s="69"/>
      <c r="G1297" s="69"/>
      <c r="H1297" s="70" t="str">
        <f aca="false">IF(A1297="","",IFERROR(INDEX(السندات!$C$5:$C$504,MATCH(A1297,السندات!$A$5:$A$504,0)),""))</f>
        <v/>
      </c>
      <c r="I1297" s="71" t="str">
        <f aca="false">IF(A1297="","",IFERROR(INDEX(السندات!$D$5:$D$504,MATCH(A1297,السندات!$A$5:$A$504,0)),""))</f>
        <v/>
      </c>
      <c r="J1297" s="72" t="str">
        <f aca="false">IF(A1297="","",IF(ISNA(MATCH(A1297,السندات!$A$5:$A$504,0)),"رقم سند غير موجود ✘",IF(AND(F1297&lt;&gt;"",G1297&lt;&gt;""),"اكتب مدين أو دائن فقط ✘",IF(AND(N(F1297)=0,N(G1297)=0),"بدون مبلغ ⚠",IF(B1297&gt;12,"يتجاوز 12 بنداً في الطباعة ⚠","")))))</f>
        <v/>
      </c>
    </row>
    <row r="1298" customFormat="false" ht="15" hidden="false" customHeight="false" outlineLevel="0" collapsed="false">
      <c r="A1298" s="58"/>
      <c r="B1298" s="73" t="str">
        <f aca="false">IF(A1298="","",COUNTIF(A$5:A1298,A1298))</f>
        <v/>
      </c>
      <c r="C1298" s="73" t="str">
        <f aca="false">IF(A1298="","",A1298&amp;"-"&amp;B1298)</f>
        <v/>
      </c>
      <c r="D1298" s="58"/>
      <c r="E1298" s="57"/>
      <c r="F1298" s="69"/>
      <c r="G1298" s="69"/>
      <c r="H1298" s="74" t="str">
        <f aca="false">IF(A1298="","",IFERROR(INDEX(السندات!$C$5:$C$504,MATCH(A1298,السندات!$A$5:$A$504,0)),""))</f>
        <v/>
      </c>
      <c r="I1298" s="75" t="str">
        <f aca="false">IF(A1298="","",IFERROR(INDEX(السندات!$D$5:$D$504,MATCH(A1298,السندات!$A$5:$A$504,0)),""))</f>
        <v/>
      </c>
      <c r="J1298" s="76" t="str">
        <f aca="false">IF(A1298="","",IF(ISNA(MATCH(A1298,السندات!$A$5:$A$504,0)),"رقم سند غير موجود ✘",IF(AND(F1298&lt;&gt;"",G1298&lt;&gt;""),"اكتب مدين أو دائن فقط ✘",IF(AND(N(F1298)=0,N(G1298)=0),"بدون مبلغ ⚠",IF(B1298&gt;12,"يتجاوز 12 بنداً في الطباعة ⚠","")))))</f>
        <v/>
      </c>
    </row>
    <row r="1299" customFormat="false" ht="15" hidden="false" customHeight="false" outlineLevel="0" collapsed="false">
      <c r="A1299" s="58"/>
      <c r="B1299" s="68" t="str">
        <f aca="false">IF(A1299="","",COUNTIF(A$5:A1299,A1299))</f>
        <v/>
      </c>
      <c r="C1299" s="68" t="str">
        <f aca="false">IF(A1299="","",A1299&amp;"-"&amp;B1299)</f>
        <v/>
      </c>
      <c r="D1299" s="58"/>
      <c r="E1299" s="57"/>
      <c r="F1299" s="69"/>
      <c r="G1299" s="69"/>
      <c r="H1299" s="70" t="str">
        <f aca="false">IF(A1299="","",IFERROR(INDEX(السندات!$C$5:$C$504,MATCH(A1299,السندات!$A$5:$A$504,0)),""))</f>
        <v/>
      </c>
      <c r="I1299" s="71" t="str">
        <f aca="false">IF(A1299="","",IFERROR(INDEX(السندات!$D$5:$D$504,MATCH(A1299,السندات!$A$5:$A$504,0)),""))</f>
        <v/>
      </c>
      <c r="J1299" s="72" t="str">
        <f aca="false">IF(A1299="","",IF(ISNA(MATCH(A1299,السندات!$A$5:$A$504,0)),"رقم سند غير موجود ✘",IF(AND(F1299&lt;&gt;"",G1299&lt;&gt;""),"اكتب مدين أو دائن فقط ✘",IF(AND(N(F1299)=0,N(G1299)=0),"بدون مبلغ ⚠",IF(B1299&gt;12,"يتجاوز 12 بنداً في الطباعة ⚠","")))))</f>
        <v/>
      </c>
    </row>
    <row r="1300" customFormat="false" ht="15" hidden="false" customHeight="false" outlineLevel="0" collapsed="false">
      <c r="A1300" s="58"/>
      <c r="B1300" s="73" t="str">
        <f aca="false">IF(A1300="","",COUNTIF(A$5:A1300,A1300))</f>
        <v/>
      </c>
      <c r="C1300" s="73" t="str">
        <f aca="false">IF(A1300="","",A1300&amp;"-"&amp;B1300)</f>
        <v/>
      </c>
      <c r="D1300" s="58"/>
      <c r="E1300" s="57"/>
      <c r="F1300" s="69"/>
      <c r="G1300" s="69"/>
      <c r="H1300" s="74" t="str">
        <f aca="false">IF(A1300="","",IFERROR(INDEX(السندات!$C$5:$C$504,MATCH(A1300,السندات!$A$5:$A$504,0)),""))</f>
        <v/>
      </c>
      <c r="I1300" s="75" t="str">
        <f aca="false">IF(A1300="","",IFERROR(INDEX(السندات!$D$5:$D$504,MATCH(A1300,السندات!$A$5:$A$504,0)),""))</f>
        <v/>
      </c>
      <c r="J1300" s="76" t="str">
        <f aca="false">IF(A1300="","",IF(ISNA(MATCH(A1300,السندات!$A$5:$A$504,0)),"رقم سند غير موجود ✘",IF(AND(F1300&lt;&gt;"",G1300&lt;&gt;""),"اكتب مدين أو دائن فقط ✘",IF(AND(N(F1300)=0,N(G1300)=0),"بدون مبلغ ⚠",IF(B1300&gt;12,"يتجاوز 12 بنداً في الطباعة ⚠","")))))</f>
        <v/>
      </c>
    </row>
    <row r="1301" customFormat="false" ht="15" hidden="false" customHeight="false" outlineLevel="0" collapsed="false">
      <c r="A1301" s="58"/>
      <c r="B1301" s="68" t="str">
        <f aca="false">IF(A1301="","",COUNTIF(A$5:A1301,A1301))</f>
        <v/>
      </c>
      <c r="C1301" s="68" t="str">
        <f aca="false">IF(A1301="","",A1301&amp;"-"&amp;B1301)</f>
        <v/>
      </c>
      <c r="D1301" s="58"/>
      <c r="E1301" s="57"/>
      <c r="F1301" s="69"/>
      <c r="G1301" s="69"/>
      <c r="H1301" s="70" t="str">
        <f aca="false">IF(A1301="","",IFERROR(INDEX(السندات!$C$5:$C$504,MATCH(A1301,السندات!$A$5:$A$504,0)),""))</f>
        <v/>
      </c>
      <c r="I1301" s="71" t="str">
        <f aca="false">IF(A1301="","",IFERROR(INDEX(السندات!$D$5:$D$504,MATCH(A1301,السندات!$A$5:$A$504,0)),""))</f>
        <v/>
      </c>
      <c r="J1301" s="72" t="str">
        <f aca="false">IF(A1301="","",IF(ISNA(MATCH(A1301,السندات!$A$5:$A$504,0)),"رقم سند غير موجود ✘",IF(AND(F1301&lt;&gt;"",G1301&lt;&gt;""),"اكتب مدين أو دائن فقط ✘",IF(AND(N(F1301)=0,N(G1301)=0),"بدون مبلغ ⚠",IF(B1301&gt;12,"يتجاوز 12 بنداً في الطباعة ⚠","")))))</f>
        <v/>
      </c>
    </row>
    <row r="1302" customFormat="false" ht="15" hidden="false" customHeight="false" outlineLevel="0" collapsed="false">
      <c r="A1302" s="58"/>
      <c r="B1302" s="73" t="str">
        <f aca="false">IF(A1302="","",COUNTIF(A$5:A1302,A1302))</f>
        <v/>
      </c>
      <c r="C1302" s="73" t="str">
        <f aca="false">IF(A1302="","",A1302&amp;"-"&amp;B1302)</f>
        <v/>
      </c>
      <c r="D1302" s="58"/>
      <c r="E1302" s="57"/>
      <c r="F1302" s="69"/>
      <c r="G1302" s="69"/>
      <c r="H1302" s="74" t="str">
        <f aca="false">IF(A1302="","",IFERROR(INDEX(السندات!$C$5:$C$504,MATCH(A1302,السندات!$A$5:$A$504,0)),""))</f>
        <v/>
      </c>
      <c r="I1302" s="75" t="str">
        <f aca="false">IF(A1302="","",IFERROR(INDEX(السندات!$D$5:$D$504,MATCH(A1302,السندات!$A$5:$A$504,0)),""))</f>
        <v/>
      </c>
      <c r="J1302" s="76" t="str">
        <f aca="false">IF(A1302="","",IF(ISNA(MATCH(A1302,السندات!$A$5:$A$504,0)),"رقم سند غير موجود ✘",IF(AND(F1302&lt;&gt;"",G1302&lt;&gt;""),"اكتب مدين أو دائن فقط ✘",IF(AND(N(F1302)=0,N(G1302)=0),"بدون مبلغ ⚠",IF(B1302&gt;12,"يتجاوز 12 بنداً في الطباعة ⚠","")))))</f>
        <v/>
      </c>
    </row>
    <row r="1303" customFormat="false" ht="15" hidden="false" customHeight="false" outlineLevel="0" collapsed="false">
      <c r="A1303" s="58"/>
      <c r="B1303" s="68" t="str">
        <f aca="false">IF(A1303="","",COUNTIF(A$5:A1303,A1303))</f>
        <v/>
      </c>
      <c r="C1303" s="68" t="str">
        <f aca="false">IF(A1303="","",A1303&amp;"-"&amp;B1303)</f>
        <v/>
      </c>
      <c r="D1303" s="58"/>
      <c r="E1303" s="57"/>
      <c r="F1303" s="69"/>
      <c r="G1303" s="69"/>
      <c r="H1303" s="70" t="str">
        <f aca="false">IF(A1303="","",IFERROR(INDEX(السندات!$C$5:$C$504,MATCH(A1303,السندات!$A$5:$A$504,0)),""))</f>
        <v/>
      </c>
      <c r="I1303" s="71" t="str">
        <f aca="false">IF(A1303="","",IFERROR(INDEX(السندات!$D$5:$D$504,MATCH(A1303,السندات!$A$5:$A$504,0)),""))</f>
        <v/>
      </c>
      <c r="J1303" s="72" t="str">
        <f aca="false">IF(A1303="","",IF(ISNA(MATCH(A1303,السندات!$A$5:$A$504,0)),"رقم سند غير موجود ✘",IF(AND(F1303&lt;&gt;"",G1303&lt;&gt;""),"اكتب مدين أو دائن فقط ✘",IF(AND(N(F1303)=0,N(G1303)=0),"بدون مبلغ ⚠",IF(B1303&gt;12,"يتجاوز 12 بنداً في الطباعة ⚠","")))))</f>
        <v/>
      </c>
    </row>
    <row r="1304" customFormat="false" ht="15" hidden="false" customHeight="false" outlineLevel="0" collapsed="false">
      <c r="A1304" s="58"/>
      <c r="B1304" s="73" t="str">
        <f aca="false">IF(A1304="","",COUNTIF(A$5:A1304,A1304))</f>
        <v/>
      </c>
      <c r="C1304" s="73" t="str">
        <f aca="false">IF(A1304="","",A1304&amp;"-"&amp;B1304)</f>
        <v/>
      </c>
      <c r="D1304" s="58"/>
      <c r="E1304" s="57"/>
      <c r="F1304" s="69"/>
      <c r="G1304" s="69"/>
      <c r="H1304" s="74" t="str">
        <f aca="false">IF(A1304="","",IFERROR(INDEX(السندات!$C$5:$C$504,MATCH(A1304,السندات!$A$5:$A$504,0)),""))</f>
        <v/>
      </c>
      <c r="I1304" s="75" t="str">
        <f aca="false">IF(A1304="","",IFERROR(INDEX(السندات!$D$5:$D$504,MATCH(A1304,السندات!$A$5:$A$504,0)),""))</f>
        <v/>
      </c>
      <c r="J1304" s="76" t="str">
        <f aca="false">IF(A1304="","",IF(ISNA(MATCH(A1304,السندات!$A$5:$A$504,0)),"رقم سند غير موجود ✘",IF(AND(F1304&lt;&gt;"",G1304&lt;&gt;""),"اكتب مدين أو دائن فقط ✘",IF(AND(N(F1304)=0,N(G1304)=0),"بدون مبلغ ⚠",IF(B1304&gt;12,"يتجاوز 12 بنداً في الطباعة ⚠","")))))</f>
        <v/>
      </c>
    </row>
    <row r="1305" customFormat="false" ht="15" hidden="false" customHeight="false" outlineLevel="0" collapsed="false">
      <c r="A1305" s="58"/>
      <c r="B1305" s="68" t="str">
        <f aca="false">IF(A1305="","",COUNTIF(A$5:A1305,A1305))</f>
        <v/>
      </c>
      <c r="C1305" s="68" t="str">
        <f aca="false">IF(A1305="","",A1305&amp;"-"&amp;B1305)</f>
        <v/>
      </c>
      <c r="D1305" s="58"/>
      <c r="E1305" s="57"/>
      <c r="F1305" s="69"/>
      <c r="G1305" s="69"/>
      <c r="H1305" s="70" t="str">
        <f aca="false">IF(A1305="","",IFERROR(INDEX(السندات!$C$5:$C$504,MATCH(A1305,السندات!$A$5:$A$504,0)),""))</f>
        <v/>
      </c>
      <c r="I1305" s="71" t="str">
        <f aca="false">IF(A1305="","",IFERROR(INDEX(السندات!$D$5:$D$504,MATCH(A1305,السندات!$A$5:$A$504,0)),""))</f>
        <v/>
      </c>
      <c r="J1305" s="72" t="str">
        <f aca="false">IF(A1305="","",IF(ISNA(MATCH(A1305,السندات!$A$5:$A$504,0)),"رقم سند غير موجود ✘",IF(AND(F1305&lt;&gt;"",G1305&lt;&gt;""),"اكتب مدين أو دائن فقط ✘",IF(AND(N(F1305)=0,N(G1305)=0),"بدون مبلغ ⚠",IF(B1305&gt;12,"يتجاوز 12 بنداً في الطباعة ⚠","")))))</f>
        <v/>
      </c>
    </row>
    <row r="1306" customFormat="false" ht="15" hidden="false" customHeight="false" outlineLevel="0" collapsed="false">
      <c r="A1306" s="58"/>
      <c r="B1306" s="73" t="str">
        <f aca="false">IF(A1306="","",COUNTIF(A$5:A1306,A1306))</f>
        <v/>
      </c>
      <c r="C1306" s="73" t="str">
        <f aca="false">IF(A1306="","",A1306&amp;"-"&amp;B1306)</f>
        <v/>
      </c>
      <c r="D1306" s="58"/>
      <c r="E1306" s="57"/>
      <c r="F1306" s="69"/>
      <c r="G1306" s="69"/>
      <c r="H1306" s="74" t="str">
        <f aca="false">IF(A1306="","",IFERROR(INDEX(السندات!$C$5:$C$504,MATCH(A1306,السندات!$A$5:$A$504,0)),""))</f>
        <v/>
      </c>
      <c r="I1306" s="75" t="str">
        <f aca="false">IF(A1306="","",IFERROR(INDEX(السندات!$D$5:$D$504,MATCH(A1306,السندات!$A$5:$A$504,0)),""))</f>
        <v/>
      </c>
      <c r="J1306" s="76" t="str">
        <f aca="false">IF(A1306="","",IF(ISNA(MATCH(A1306,السندات!$A$5:$A$504,0)),"رقم سند غير موجود ✘",IF(AND(F1306&lt;&gt;"",G1306&lt;&gt;""),"اكتب مدين أو دائن فقط ✘",IF(AND(N(F1306)=0,N(G1306)=0),"بدون مبلغ ⚠",IF(B1306&gt;12,"يتجاوز 12 بنداً في الطباعة ⚠","")))))</f>
        <v/>
      </c>
    </row>
    <row r="1307" customFormat="false" ht="15" hidden="false" customHeight="false" outlineLevel="0" collapsed="false">
      <c r="A1307" s="58"/>
      <c r="B1307" s="68" t="str">
        <f aca="false">IF(A1307="","",COUNTIF(A$5:A1307,A1307))</f>
        <v/>
      </c>
      <c r="C1307" s="68" t="str">
        <f aca="false">IF(A1307="","",A1307&amp;"-"&amp;B1307)</f>
        <v/>
      </c>
      <c r="D1307" s="58"/>
      <c r="E1307" s="57"/>
      <c r="F1307" s="69"/>
      <c r="G1307" s="69"/>
      <c r="H1307" s="70" t="str">
        <f aca="false">IF(A1307="","",IFERROR(INDEX(السندات!$C$5:$C$504,MATCH(A1307,السندات!$A$5:$A$504,0)),""))</f>
        <v/>
      </c>
      <c r="I1307" s="71" t="str">
        <f aca="false">IF(A1307="","",IFERROR(INDEX(السندات!$D$5:$D$504,MATCH(A1307,السندات!$A$5:$A$504,0)),""))</f>
        <v/>
      </c>
      <c r="J1307" s="72" t="str">
        <f aca="false">IF(A1307="","",IF(ISNA(MATCH(A1307,السندات!$A$5:$A$504,0)),"رقم سند غير موجود ✘",IF(AND(F1307&lt;&gt;"",G1307&lt;&gt;""),"اكتب مدين أو دائن فقط ✘",IF(AND(N(F1307)=0,N(G1307)=0),"بدون مبلغ ⚠",IF(B1307&gt;12,"يتجاوز 12 بنداً في الطباعة ⚠","")))))</f>
        <v/>
      </c>
    </row>
    <row r="1308" customFormat="false" ht="15" hidden="false" customHeight="false" outlineLevel="0" collapsed="false">
      <c r="A1308" s="58"/>
      <c r="B1308" s="73" t="str">
        <f aca="false">IF(A1308="","",COUNTIF(A$5:A1308,A1308))</f>
        <v/>
      </c>
      <c r="C1308" s="73" t="str">
        <f aca="false">IF(A1308="","",A1308&amp;"-"&amp;B1308)</f>
        <v/>
      </c>
      <c r="D1308" s="58"/>
      <c r="E1308" s="57"/>
      <c r="F1308" s="69"/>
      <c r="G1308" s="69"/>
      <c r="H1308" s="74" t="str">
        <f aca="false">IF(A1308="","",IFERROR(INDEX(السندات!$C$5:$C$504,MATCH(A1308,السندات!$A$5:$A$504,0)),""))</f>
        <v/>
      </c>
      <c r="I1308" s="75" t="str">
        <f aca="false">IF(A1308="","",IFERROR(INDEX(السندات!$D$5:$D$504,MATCH(A1308,السندات!$A$5:$A$504,0)),""))</f>
        <v/>
      </c>
      <c r="J1308" s="76" t="str">
        <f aca="false">IF(A1308="","",IF(ISNA(MATCH(A1308,السندات!$A$5:$A$504,0)),"رقم سند غير موجود ✘",IF(AND(F1308&lt;&gt;"",G1308&lt;&gt;""),"اكتب مدين أو دائن فقط ✘",IF(AND(N(F1308)=0,N(G1308)=0),"بدون مبلغ ⚠",IF(B1308&gt;12,"يتجاوز 12 بنداً في الطباعة ⚠","")))))</f>
        <v/>
      </c>
    </row>
    <row r="1309" customFormat="false" ht="15" hidden="false" customHeight="false" outlineLevel="0" collapsed="false">
      <c r="A1309" s="58"/>
      <c r="B1309" s="68" t="str">
        <f aca="false">IF(A1309="","",COUNTIF(A$5:A1309,A1309))</f>
        <v/>
      </c>
      <c r="C1309" s="68" t="str">
        <f aca="false">IF(A1309="","",A1309&amp;"-"&amp;B1309)</f>
        <v/>
      </c>
      <c r="D1309" s="58"/>
      <c r="E1309" s="57"/>
      <c r="F1309" s="69"/>
      <c r="G1309" s="69"/>
      <c r="H1309" s="70" t="str">
        <f aca="false">IF(A1309="","",IFERROR(INDEX(السندات!$C$5:$C$504,MATCH(A1309,السندات!$A$5:$A$504,0)),""))</f>
        <v/>
      </c>
      <c r="I1309" s="71" t="str">
        <f aca="false">IF(A1309="","",IFERROR(INDEX(السندات!$D$5:$D$504,MATCH(A1309,السندات!$A$5:$A$504,0)),""))</f>
        <v/>
      </c>
      <c r="J1309" s="72" t="str">
        <f aca="false">IF(A1309="","",IF(ISNA(MATCH(A1309,السندات!$A$5:$A$504,0)),"رقم سند غير موجود ✘",IF(AND(F1309&lt;&gt;"",G1309&lt;&gt;""),"اكتب مدين أو دائن فقط ✘",IF(AND(N(F1309)=0,N(G1309)=0),"بدون مبلغ ⚠",IF(B1309&gt;12,"يتجاوز 12 بنداً في الطباعة ⚠","")))))</f>
        <v/>
      </c>
    </row>
    <row r="1310" customFormat="false" ht="15" hidden="false" customHeight="false" outlineLevel="0" collapsed="false">
      <c r="A1310" s="58"/>
      <c r="B1310" s="73" t="str">
        <f aca="false">IF(A1310="","",COUNTIF(A$5:A1310,A1310))</f>
        <v/>
      </c>
      <c r="C1310" s="73" t="str">
        <f aca="false">IF(A1310="","",A1310&amp;"-"&amp;B1310)</f>
        <v/>
      </c>
      <c r="D1310" s="58"/>
      <c r="E1310" s="57"/>
      <c r="F1310" s="69"/>
      <c r="G1310" s="69"/>
      <c r="H1310" s="74" t="str">
        <f aca="false">IF(A1310="","",IFERROR(INDEX(السندات!$C$5:$C$504,MATCH(A1310,السندات!$A$5:$A$504,0)),""))</f>
        <v/>
      </c>
      <c r="I1310" s="75" t="str">
        <f aca="false">IF(A1310="","",IFERROR(INDEX(السندات!$D$5:$D$504,MATCH(A1310,السندات!$A$5:$A$504,0)),""))</f>
        <v/>
      </c>
      <c r="J1310" s="76" t="str">
        <f aca="false">IF(A1310="","",IF(ISNA(MATCH(A1310,السندات!$A$5:$A$504,0)),"رقم سند غير موجود ✘",IF(AND(F1310&lt;&gt;"",G1310&lt;&gt;""),"اكتب مدين أو دائن فقط ✘",IF(AND(N(F1310)=0,N(G1310)=0),"بدون مبلغ ⚠",IF(B1310&gt;12,"يتجاوز 12 بنداً في الطباعة ⚠","")))))</f>
        <v/>
      </c>
    </row>
    <row r="1311" customFormat="false" ht="15" hidden="false" customHeight="false" outlineLevel="0" collapsed="false">
      <c r="A1311" s="58"/>
      <c r="B1311" s="68" t="str">
        <f aca="false">IF(A1311="","",COUNTIF(A$5:A1311,A1311))</f>
        <v/>
      </c>
      <c r="C1311" s="68" t="str">
        <f aca="false">IF(A1311="","",A1311&amp;"-"&amp;B1311)</f>
        <v/>
      </c>
      <c r="D1311" s="58"/>
      <c r="E1311" s="57"/>
      <c r="F1311" s="69"/>
      <c r="G1311" s="69"/>
      <c r="H1311" s="70" t="str">
        <f aca="false">IF(A1311="","",IFERROR(INDEX(السندات!$C$5:$C$504,MATCH(A1311,السندات!$A$5:$A$504,0)),""))</f>
        <v/>
      </c>
      <c r="I1311" s="71" t="str">
        <f aca="false">IF(A1311="","",IFERROR(INDEX(السندات!$D$5:$D$504,MATCH(A1311,السندات!$A$5:$A$504,0)),""))</f>
        <v/>
      </c>
      <c r="J1311" s="72" t="str">
        <f aca="false">IF(A1311="","",IF(ISNA(MATCH(A1311,السندات!$A$5:$A$504,0)),"رقم سند غير موجود ✘",IF(AND(F1311&lt;&gt;"",G1311&lt;&gt;""),"اكتب مدين أو دائن فقط ✘",IF(AND(N(F1311)=0,N(G1311)=0),"بدون مبلغ ⚠",IF(B1311&gt;12,"يتجاوز 12 بنداً في الطباعة ⚠","")))))</f>
        <v/>
      </c>
    </row>
    <row r="1312" customFormat="false" ht="15" hidden="false" customHeight="false" outlineLevel="0" collapsed="false">
      <c r="A1312" s="58"/>
      <c r="B1312" s="73" t="str">
        <f aca="false">IF(A1312="","",COUNTIF(A$5:A1312,A1312))</f>
        <v/>
      </c>
      <c r="C1312" s="73" t="str">
        <f aca="false">IF(A1312="","",A1312&amp;"-"&amp;B1312)</f>
        <v/>
      </c>
      <c r="D1312" s="58"/>
      <c r="E1312" s="57"/>
      <c r="F1312" s="69"/>
      <c r="G1312" s="69"/>
      <c r="H1312" s="74" t="str">
        <f aca="false">IF(A1312="","",IFERROR(INDEX(السندات!$C$5:$C$504,MATCH(A1312,السندات!$A$5:$A$504,0)),""))</f>
        <v/>
      </c>
      <c r="I1312" s="75" t="str">
        <f aca="false">IF(A1312="","",IFERROR(INDEX(السندات!$D$5:$D$504,MATCH(A1312,السندات!$A$5:$A$504,0)),""))</f>
        <v/>
      </c>
      <c r="J1312" s="76" t="str">
        <f aca="false">IF(A1312="","",IF(ISNA(MATCH(A1312,السندات!$A$5:$A$504,0)),"رقم سند غير موجود ✘",IF(AND(F1312&lt;&gt;"",G1312&lt;&gt;""),"اكتب مدين أو دائن فقط ✘",IF(AND(N(F1312)=0,N(G1312)=0),"بدون مبلغ ⚠",IF(B1312&gt;12,"يتجاوز 12 بنداً في الطباعة ⚠","")))))</f>
        <v/>
      </c>
    </row>
    <row r="1313" customFormat="false" ht="15" hidden="false" customHeight="false" outlineLevel="0" collapsed="false">
      <c r="A1313" s="58"/>
      <c r="B1313" s="68" t="str">
        <f aca="false">IF(A1313="","",COUNTIF(A$5:A1313,A1313))</f>
        <v/>
      </c>
      <c r="C1313" s="68" t="str">
        <f aca="false">IF(A1313="","",A1313&amp;"-"&amp;B1313)</f>
        <v/>
      </c>
      <c r="D1313" s="58"/>
      <c r="E1313" s="57"/>
      <c r="F1313" s="69"/>
      <c r="G1313" s="69"/>
      <c r="H1313" s="70" t="str">
        <f aca="false">IF(A1313="","",IFERROR(INDEX(السندات!$C$5:$C$504,MATCH(A1313,السندات!$A$5:$A$504,0)),""))</f>
        <v/>
      </c>
      <c r="I1313" s="71" t="str">
        <f aca="false">IF(A1313="","",IFERROR(INDEX(السندات!$D$5:$D$504,MATCH(A1313,السندات!$A$5:$A$504,0)),""))</f>
        <v/>
      </c>
      <c r="J1313" s="72" t="str">
        <f aca="false">IF(A1313="","",IF(ISNA(MATCH(A1313,السندات!$A$5:$A$504,0)),"رقم سند غير موجود ✘",IF(AND(F1313&lt;&gt;"",G1313&lt;&gt;""),"اكتب مدين أو دائن فقط ✘",IF(AND(N(F1313)=0,N(G1313)=0),"بدون مبلغ ⚠",IF(B1313&gt;12,"يتجاوز 12 بنداً في الطباعة ⚠","")))))</f>
        <v/>
      </c>
    </row>
    <row r="1314" customFormat="false" ht="15" hidden="false" customHeight="false" outlineLevel="0" collapsed="false">
      <c r="A1314" s="58"/>
      <c r="B1314" s="73" t="str">
        <f aca="false">IF(A1314="","",COUNTIF(A$5:A1314,A1314))</f>
        <v/>
      </c>
      <c r="C1314" s="73" t="str">
        <f aca="false">IF(A1314="","",A1314&amp;"-"&amp;B1314)</f>
        <v/>
      </c>
      <c r="D1314" s="58"/>
      <c r="E1314" s="57"/>
      <c r="F1314" s="69"/>
      <c r="G1314" s="69"/>
      <c r="H1314" s="74" t="str">
        <f aca="false">IF(A1314="","",IFERROR(INDEX(السندات!$C$5:$C$504,MATCH(A1314,السندات!$A$5:$A$504,0)),""))</f>
        <v/>
      </c>
      <c r="I1314" s="75" t="str">
        <f aca="false">IF(A1314="","",IFERROR(INDEX(السندات!$D$5:$D$504,MATCH(A1314,السندات!$A$5:$A$504,0)),""))</f>
        <v/>
      </c>
      <c r="J1314" s="76" t="str">
        <f aca="false">IF(A1314="","",IF(ISNA(MATCH(A1314,السندات!$A$5:$A$504,0)),"رقم سند غير موجود ✘",IF(AND(F1314&lt;&gt;"",G1314&lt;&gt;""),"اكتب مدين أو دائن فقط ✘",IF(AND(N(F1314)=0,N(G1314)=0),"بدون مبلغ ⚠",IF(B1314&gt;12,"يتجاوز 12 بنداً في الطباعة ⚠","")))))</f>
        <v/>
      </c>
    </row>
    <row r="1315" customFormat="false" ht="15" hidden="false" customHeight="false" outlineLevel="0" collapsed="false">
      <c r="A1315" s="58"/>
      <c r="B1315" s="68" t="str">
        <f aca="false">IF(A1315="","",COUNTIF(A$5:A1315,A1315))</f>
        <v/>
      </c>
      <c r="C1315" s="68" t="str">
        <f aca="false">IF(A1315="","",A1315&amp;"-"&amp;B1315)</f>
        <v/>
      </c>
      <c r="D1315" s="58"/>
      <c r="E1315" s="57"/>
      <c r="F1315" s="69"/>
      <c r="G1315" s="69"/>
      <c r="H1315" s="70" t="str">
        <f aca="false">IF(A1315="","",IFERROR(INDEX(السندات!$C$5:$C$504,MATCH(A1315,السندات!$A$5:$A$504,0)),""))</f>
        <v/>
      </c>
      <c r="I1315" s="71" t="str">
        <f aca="false">IF(A1315="","",IFERROR(INDEX(السندات!$D$5:$D$504,MATCH(A1315,السندات!$A$5:$A$504,0)),""))</f>
        <v/>
      </c>
      <c r="J1315" s="72" t="str">
        <f aca="false">IF(A1315="","",IF(ISNA(MATCH(A1315,السندات!$A$5:$A$504,0)),"رقم سند غير موجود ✘",IF(AND(F1315&lt;&gt;"",G1315&lt;&gt;""),"اكتب مدين أو دائن فقط ✘",IF(AND(N(F1315)=0,N(G1315)=0),"بدون مبلغ ⚠",IF(B1315&gt;12,"يتجاوز 12 بنداً في الطباعة ⚠","")))))</f>
        <v/>
      </c>
    </row>
    <row r="1316" customFormat="false" ht="15" hidden="false" customHeight="false" outlineLevel="0" collapsed="false">
      <c r="A1316" s="58"/>
      <c r="B1316" s="73" t="str">
        <f aca="false">IF(A1316="","",COUNTIF(A$5:A1316,A1316))</f>
        <v/>
      </c>
      <c r="C1316" s="73" t="str">
        <f aca="false">IF(A1316="","",A1316&amp;"-"&amp;B1316)</f>
        <v/>
      </c>
      <c r="D1316" s="58"/>
      <c r="E1316" s="57"/>
      <c r="F1316" s="69"/>
      <c r="G1316" s="69"/>
      <c r="H1316" s="74" t="str">
        <f aca="false">IF(A1316="","",IFERROR(INDEX(السندات!$C$5:$C$504,MATCH(A1316,السندات!$A$5:$A$504,0)),""))</f>
        <v/>
      </c>
      <c r="I1316" s="75" t="str">
        <f aca="false">IF(A1316="","",IFERROR(INDEX(السندات!$D$5:$D$504,MATCH(A1316,السندات!$A$5:$A$504,0)),""))</f>
        <v/>
      </c>
      <c r="J1316" s="76" t="str">
        <f aca="false">IF(A1316="","",IF(ISNA(MATCH(A1316,السندات!$A$5:$A$504,0)),"رقم سند غير موجود ✘",IF(AND(F1316&lt;&gt;"",G1316&lt;&gt;""),"اكتب مدين أو دائن فقط ✘",IF(AND(N(F1316)=0,N(G1316)=0),"بدون مبلغ ⚠",IF(B1316&gt;12,"يتجاوز 12 بنداً في الطباعة ⚠","")))))</f>
        <v/>
      </c>
    </row>
    <row r="1317" customFormat="false" ht="15" hidden="false" customHeight="false" outlineLevel="0" collapsed="false">
      <c r="A1317" s="58"/>
      <c r="B1317" s="68" t="str">
        <f aca="false">IF(A1317="","",COUNTIF(A$5:A1317,A1317))</f>
        <v/>
      </c>
      <c r="C1317" s="68" t="str">
        <f aca="false">IF(A1317="","",A1317&amp;"-"&amp;B1317)</f>
        <v/>
      </c>
      <c r="D1317" s="58"/>
      <c r="E1317" s="57"/>
      <c r="F1317" s="69"/>
      <c r="G1317" s="69"/>
      <c r="H1317" s="70" t="str">
        <f aca="false">IF(A1317="","",IFERROR(INDEX(السندات!$C$5:$C$504,MATCH(A1317,السندات!$A$5:$A$504,0)),""))</f>
        <v/>
      </c>
      <c r="I1317" s="71" t="str">
        <f aca="false">IF(A1317="","",IFERROR(INDEX(السندات!$D$5:$D$504,MATCH(A1317,السندات!$A$5:$A$504,0)),""))</f>
        <v/>
      </c>
      <c r="J1317" s="72" t="str">
        <f aca="false">IF(A1317="","",IF(ISNA(MATCH(A1317,السندات!$A$5:$A$504,0)),"رقم سند غير موجود ✘",IF(AND(F1317&lt;&gt;"",G1317&lt;&gt;""),"اكتب مدين أو دائن فقط ✘",IF(AND(N(F1317)=0,N(G1317)=0),"بدون مبلغ ⚠",IF(B1317&gt;12,"يتجاوز 12 بنداً في الطباعة ⚠","")))))</f>
        <v/>
      </c>
    </row>
    <row r="1318" customFormat="false" ht="15" hidden="false" customHeight="false" outlineLevel="0" collapsed="false">
      <c r="A1318" s="58"/>
      <c r="B1318" s="73" t="str">
        <f aca="false">IF(A1318="","",COUNTIF(A$5:A1318,A1318))</f>
        <v/>
      </c>
      <c r="C1318" s="73" t="str">
        <f aca="false">IF(A1318="","",A1318&amp;"-"&amp;B1318)</f>
        <v/>
      </c>
      <c r="D1318" s="58"/>
      <c r="E1318" s="57"/>
      <c r="F1318" s="69"/>
      <c r="G1318" s="69"/>
      <c r="H1318" s="74" t="str">
        <f aca="false">IF(A1318="","",IFERROR(INDEX(السندات!$C$5:$C$504,MATCH(A1318,السندات!$A$5:$A$504,0)),""))</f>
        <v/>
      </c>
      <c r="I1318" s="75" t="str">
        <f aca="false">IF(A1318="","",IFERROR(INDEX(السندات!$D$5:$D$504,MATCH(A1318,السندات!$A$5:$A$504,0)),""))</f>
        <v/>
      </c>
      <c r="J1318" s="76" t="str">
        <f aca="false">IF(A1318="","",IF(ISNA(MATCH(A1318,السندات!$A$5:$A$504,0)),"رقم سند غير موجود ✘",IF(AND(F1318&lt;&gt;"",G1318&lt;&gt;""),"اكتب مدين أو دائن فقط ✘",IF(AND(N(F1318)=0,N(G1318)=0),"بدون مبلغ ⚠",IF(B1318&gt;12,"يتجاوز 12 بنداً في الطباعة ⚠","")))))</f>
        <v/>
      </c>
    </row>
    <row r="1319" customFormat="false" ht="15" hidden="false" customHeight="false" outlineLevel="0" collapsed="false">
      <c r="A1319" s="58"/>
      <c r="B1319" s="68" t="str">
        <f aca="false">IF(A1319="","",COUNTIF(A$5:A1319,A1319))</f>
        <v/>
      </c>
      <c r="C1319" s="68" t="str">
        <f aca="false">IF(A1319="","",A1319&amp;"-"&amp;B1319)</f>
        <v/>
      </c>
      <c r="D1319" s="58"/>
      <c r="E1319" s="57"/>
      <c r="F1319" s="69"/>
      <c r="G1319" s="69"/>
      <c r="H1319" s="70" t="str">
        <f aca="false">IF(A1319="","",IFERROR(INDEX(السندات!$C$5:$C$504,MATCH(A1319,السندات!$A$5:$A$504,0)),""))</f>
        <v/>
      </c>
      <c r="I1319" s="71" t="str">
        <f aca="false">IF(A1319="","",IFERROR(INDEX(السندات!$D$5:$D$504,MATCH(A1319,السندات!$A$5:$A$504,0)),""))</f>
        <v/>
      </c>
      <c r="J1319" s="72" t="str">
        <f aca="false">IF(A1319="","",IF(ISNA(MATCH(A1319,السندات!$A$5:$A$504,0)),"رقم سند غير موجود ✘",IF(AND(F1319&lt;&gt;"",G1319&lt;&gt;""),"اكتب مدين أو دائن فقط ✘",IF(AND(N(F1319)=0,N(G1319)=0),"بدون مبلغ ⚠",IF(B1319&gt;12,"يتجاوز 12 بنداً في الطباعة ⚠","")))))</f>
        <v/>
      </c>
    </row>
    <row r="1320" customFormat="false" ht="15" hidden="false" customHeight="false" outlineLevel="0" collapsed="false">
      <c r="A1320" s="58"/>
      <c r="B1320" s="73" t="str">
        <f aca="false">IF(A1320="","",COUNTIF(A$5:A1320,A1320))</f>
        <v/>
      </c>
      <c r="C1320" s="73" t="str">
        <f aca="false">IF(A1320="","",A1320&amp;"-"&amp;B1320)</f>
        <v/>
      </c>
      <c r="D1320" s="58"/>
      <c r="E1320" s="57"/>
      <c r="F1320" s="69"/>
      <c r="G1320" s="69"/>
      <c r="H1320" s="74" t="str">
        <f aca="false">IF(A1320="","",IFERROR(INDEX(السندات!$C$5:$C$504,MATCH(A1320,السندات!$A$5:$A$504,0)),""))</f>
        <v/>
      </c>
      <c r="I1320" s="75" t="str">
        <f aca="false">IF(A1320="","",IFERROR(INDEX(السندات!$D$5:$D$504,MATCH(A1320,السندات!$A$5:$A$504,0)),""))</f>
        <v/>
      </c>
      <c r="J1320" s="76" t="str">
        <f aca="false">IF(A1320="","",IF(ISNA(MATCH(A1320,السندات!$A$5:$A$504,0)),"رقم سند غير موجود ✘",IF(AND(F1320&lt;&gt;"",G1320&lt;&gt;""),"اكتب مدين أو دائن فقط ✘",IF(AND(N(F1320)=0,N(G1320)=0),"بدون مبلغ ⚠",IF(B1320&gt;12,"يتجاوز 12 بنداً في الطباعة ⚠","")))))</f>
        <v/>
      </c>
    </row>
    <row r="1321" customFormat="false" ht="15" hidden="false" customHeight="false" outlineLevel="0" collapsed="false">
      <c r="A1321" s="58"/>
      <c r="B1321" s="68" t="str">
        <f aca="false">IF(A1321="","",COUNTIF(A$5:A1321,A1321))</f>
        <v/>
      </c>
      <c r="C1321" s="68" t="str">
        <f aca="false">IF(A1321="","",A1321&amp;"-"&amp;B1321)</f>
        <v/>
      </c>
      <c r="D1321" s="58"/>
      <c r="E1321" s="57"/>
      <c r="F1321" s="69"/>
      <c r="G1321" s="69"/>
      <c r="H1321" s="70" t="str">
        <f aca="false">IF(A1321="","",IFERROR(INDEX(السندات!$C$5:$C$504,MATCH(A1321,السندات!$A$5:$A$504,0)),""))</f>
        <v/>
      </c>
      <c r="I1321" s="71" t="str">
        <f aca="false">IF(A1321="","",IFERROR(INDEX(السندات!$D$5:$D$504,MATCH(A1321,السندات!$A$5:$A$504,0)),""))</f>
        <v/>
      </c>
      <c r="J1321" s="72" t="str">
        <f aca="false">IF(A1321="","",IF(ISNA(MATCH(A1321,السندات!$A$5:$A$504,0)),"رقم سند غير موجود ✘",IF(AND(F1321&lt;&gt;"",G1321&lt;&gt;""),"اكتب مدين أو دائن فقط ✘",IF(AND(N(F1321)=0,N(G1321)=0),"بدون مبلغ ⚠",IF(B1321&gt;12,"يتجاوز 12 بنداً في الطباعة ⚠","")))))</f>
        <v/>
      </c>
    </row>
    <row r="1322" customFormat="false" ht="15" hidden="false" customHeight="false" outlineLevel="0" collapsed="false">
      <c r="A1322" s="58"/>
      <c r="B1322" s="73" t="str">
        <f aca="false">IF(A1322="","",COUNTIF(A$5:A1322,A1322))</f>
        <v/>
      </c>
      <c r="C1322" s="73" t="str">
        <f aca="false">IF(A1322="","",A1322&amp;"-"&amp;B1322)</f>
        <v/>
      </c>
      <c r="D1322" s="58"/>
      <c r="E1322" s="57"/>
      <c r="F1322" s="69"/>
      <c r="G1322" s="69"/>
      <c r="H1322" s="74" t="str">
        <f aca="false">IF(A1322="","",IFERROR(INDEX(السندات!$C$5:$C$504,MATCH(A1322,السندات!$A$5:$A$504,0)),""))</f>
        <v/>
      </c>
      <c r="I1322" s="75" t="str">
        <f aca="false">IF(A1322="","",IFERROR(INDEX(السندات!$D$5:$D$504,MATCH(A1322,السندات!$A$5:$A$504,0)),""))</f>
        <v/>
      </c>
      <c r="J1322" s="76" t="str">
        <f aca="false">IF(A1322="","",IF(ISNA(MATCH(A1322,السندات!$A$5:$A$504,0)),"رقم سند غير موجود ✘",IF(AND(F1322&lt;&gt;"",G1322&lt;&gt;""),"اكتب مدين أو دائن فقط ✘",IF(AND(N(F1322)=0,N(G1322)=0),"بدون مبلغ ⚠",IF(B1322&gt;12,"يتجاوز 12 بنداً في الطباعة ⚠","")))))</f>
        <v/>
      </c>
    </row>
    <row r="1323" customFormat="false" ht="15" hidden="false" customHeight="false" outlineLevel="0" collapsed="false">
      <c r="A1323" s="58"/>
      <c r="B1323" s="68" t="str">
        <f aca="false">IF(A1323="","",COUNTIF(A$5:A1323,A1323))</f>
        <v/>
      </c>
      <c r="C1323" s="68" t="str">
        <f aca="false">IF(A1323="","",A1323&amp;"-"&amp;B1323)</f>
        <v/>
      </c>
      <c r="D1323" s="58"/>
      <c r="E1323" s="57"/>
      <c r="F1323" s="69"/>
      <c r="G1323" s="69"/>
      <c r="H1323" s="70" t="str">
        <f aca="false">IF(A1323="","",IFERROR(INDEX(السندات!$C$5:$C$504,MATCH(A1323,السندات!$A$5:$A$504,0)),""))</f>
        <v/>
      </c>
      <c r="I1323" s="71" t="str">
        <f aca="false">IF(A1323="","",IFERROR(INDEX(السندات!$D$5:$D$504,MATCH(A1323,السندات!$A$5:$A$504,0)),""))</f>
        <v/>
      </c>
      <c r="J1323" s="72" t="str">
        <f aca="false">IF(A1323="","",IF(ISNA(MATCH(A1323,السندات!$A$5:$A$504,0)),"رقم سند غير موجود ✘",IF(AND(F1323&lt;&gt;"",G1323&lt;&gt;""),"اكتب مدين أو دائن فقط ✘",IF(AND(N(F1323)=0,N(G1323)=0),"بدون مبلغ ⚠",IF(B1323&gt;12,"يتجاوز 12 بنداً في الطباعة ⚠","")))))</f>
        <v/>
      </c>
    </row>
    <row r="1324" customFormat="false" ht="15" hidden="false" customHeight="false" outlineLevel="0" collapsed="false">
      <c r="A1324" s="58"/>
      <c r="B1324" s="73" t="str">
        <f aca="false">IF(A1324="","",COUNTIF(A$5:A1324,A1324))</f>
        <v/>
      </c>
      <c r="C1324" s="73" t="str">
        <f aca="false">IF(A1324="","",A1324&amp;"-"&amp;B1324)</f>
        <v/>
      </c>
      <c r="D1324" s="58"/>
      <c r="E1324" s="57"/>
      <c r="F1324" s="69"/>
      <c r="G1324" s="69"/>
      <c r="H1324" s="74" t="str">
        <f aca="false">IF(A1324="","",IFERROR(INDEX(السندات!$C$5:$C$504,MATCH(A1324,السندات!$A$5:$A$504,0)),""))</f>
        <v/>
      </c>
      <c r="I1324" s="75" t="str">
        <f aca="false">IF(A1324="","",IFERROR(INDEX(السندات!$D$5:$D$504,MATCH(A1324,السندات!$A$5:$A$504,0)),""))</f>
        <v/>
      </c>
      <c r="J1324" s="76" t="str">
        <f aca="false">IF(A1324="","",IF(ISNA(MATCH(A1324,السندات!$A$5:$A$504,0)),"رقم سند غير موجود ✘",IF(AND(F1324&lt;&gt;"",G1324&lt;&gt;""),"اكتب مدين أو دائن فقط ✘",IF(AND(N(F1324)=0,N(G1324)=0),"بدون مبلغ ⚠",IF(B1324&gt;12,"يتجاوز 12 بنداً في الطباعة ⚠","")))))</f>
        <v/>
      </c>
    </row>
    <row r="1325" customFormat="false" ht="15" hidden="false" customHeight="false" outlineLevel="0" collapsed="false">
      <c r="A1325" s="58"/>
      <c r="B1325" s="68" t="str">
        <f aca="false">IF(A1325="","",COUNTIF(A$5:A1325,A1325))</f>
        <v/>
      </c>
      <c r="C1325" s="68" t="str">
        <f aca="false">IF(A1325="","",A1325&amp;"-"&amp;B1325)</f>
        <v/>
      </c>
      <c r="D1325" s="58"/>
      <c r="E1325" s="57"/>
      <c r="F1325" s="69"/>
      <c r="G1325" s="69"/>
      <c r="H1325" s="70" t="str">
        <f aca="false">IF(A1325="","",IFERROR(INDEX(السندات!$C$5:$C$504,MATCH(A1325,السندات!$A$5:$A$504,0)),""))</f>
        <v/>
      </c>
      <c r="I1325" s="71" t="str">
        <f aca="false">IF(A1325="","",IFERROR(INDEX(السندات!$D$5:$D$504,MATCH(A1325,السندات!$A$5:$A$504,0)),""))</f>
        <v/>
      </c>
      <c r="J1325" s="72" t="str">
        <f aca="false">IF(A1325="","",IF(ISNA(MATCH(A1325,السندات!$A$5:$A$504,0)),"رقم سند غير موجود ✘",IF(AND(F1325&lt;&gt;"",G1325&lt;&gt;""),"اكتب مدين أو دائن فقط ✘",IF(AND(N(F1325)=0,N(G1325)=0),"بدون مبلغ ⚠",IF(B1325&gt;12,"يتجاوز 12 بنداً في الطباعة ⚠","")))))</f>
        <v/>
      </c>
    </row>
    <row r="1326" customFormat="false" ht="15" hidden="false" customHeight="false" outlineLevel="0" collapsed="false">
      <c r="A1326" s="58"/>
      <c r="B1326" s="73" t="str">
        <f aca="false">IF(A1326="","",COUNTIF(A$5:A1326,A1326))</f>
        <v/>
      </c>
      <c r="C1326" s="73" t="str">
        <f aca="false">IF(A1326="","",A1326&amp;"-"&amp;B1326)</f>
        <v/>
      </c>
      <c r="D1326" s="58"/>
      <c r="E1326" s="57"/>
      <c r="F1326" s="69"/>
      <c r="G1326" s="69"/>
      <c r="H1326" s="74" t="str">
        <f aca="false">IF(A1326="","",IFERROR(INDEX(السندات!$C$5:$C$504,MATCH(A1326,السندات!$A$5:$A$504,0)),""))</f>
        <v/>
      </c>
      <c r="I1326" s="75" t="str">
        <f aca="false">IF(A1326="","",IFERROR(INDEX(السندات!$D$5:$D$504,MATCH(A1326,السندات!$A$5:$A$504,0)),""))</f>
        <v/>
      </c>
      <c r="J1326" s="76" t="str">
        <f aca="false">IF(A1326="","",IF(ISNA(MATCH(A1326,السندات!$A$5:$A$504,0)),"رقم سند غير موجود ✘",IF(AND(F1326&lt;&gt;"",G1326&lt;&gt;""),"اكتب مدين أو دائن فقط ✘",IF(AND(N(F1326)=0,N(G1326)=0),"بدون مبلغ ⚠",IF(B1326&gt;12,"يتجاوز 12 بنداً في الطباعة ⚠","")))))</f>
        <v/>
      </c>
    </row>
    <row r="1327" customFormat="false" ht="15" hidden="false" customHeight="false" outlineLevel="0" collapsed="false">
      <c r="A1327" s="58"/>
      <c r="B1327" s="68" t="str">
        <f aca="false">IF(A1327="","",COUNTIF(A$5:A1327,A1327))</f>
        <v/>
      </c>
      <c r="C1327" s="68" t="str">
        <f aca="false">IF(A1327="","",A1327&amp;"-"&amp;B1327)</f>
        <v/>
      </c>
      <c r="D1327" s="58"/>
      <c r="E1327" s="57"/>
      <c r="F1327" s="69"/>
      <c r="G1327" s="69"/>
      <c r="H1327" s="70" t="str">
        <f aca="false">IF(A1327="","",IFERROR(INDEX(السندات!$C$5:$C$504,MATCH(A1327,السندات!$A$5:$A$504,0)),""))</f>
        <v/>
      </c>
      <c r="I1327" s="71" t="str">
        <f aca="false">IF(A1327="","",IFERROR(INDEX(السندات!$D$5:$D$504,MATCH(A1327,السندات!$A$5:$A$504,0)),""))</f>
        <v/>
      </c>
      <c r="J1327" s="72" t="str">
        <f aca="false">IF(A1327="","",IF(ISNA(MATCH(A1327,السندات!$A$5:$A$504,0)),"رقم سند غير موجود ✘",IF(AND(F1327&lt;&gt;"",G1327&lt;&gt;""),"اكتب مدين أو دائن فقط ✘",IF(AND(N(F1327)=0,N(G1327)=0),"بدون مبلغ ⚠",IF(B1327&gt;12,"يتجاوز 12 بنداً في الطباعة ⚠","")))))</f>
        <v/>
      </c>
    </row>
    <row r="1328" customFormat="false" ht="15" hidden="false" customHeight="false" outlineLevel="0" collapsed="false">
      <c r="A1328" s="58"/>
      <c r="B1328" s="73" t="str">
        <f aca="false">IF(A1328="","",COUNTIF(A$5:A1328,A1328))</f>
        <v/>
      </c>
      <c r="C1328" s="73" t="str">
        <f aca="false">IF(A1328="","",A1328&amp;"-"&amp;B1328)</f>
        <v/>
      </c>
      <c r="D1328" s="58"/>
      <c r="E1328" s="57"/>
      <c r="F1328" s="69"/>
      <c r="G1328" s="69"/>
      <c r="H1328" s="74" t="str">
        <f aca="false">IF(A1328="","",IFERROR(INDEX(السندات!$C$5:$C$504,MATCH(A1328,السندات!$A$5:$A$504,0)),""))</f>
        <v/>
      </c>
      <c r="I1328" s="75" t="str">
        <f aca="false">IF(A1328="","",IFERROR(INDEX(السندات!$D$5:$D$504,MATCH(A1328,السندات!$A$5:$A$504,0)),""))</f>
        <v/>
      </c>
      <c r="J1328" s="76" t="str">
        <f aca="false">IF(A1328="","",IF(ISNA(MATCH(A1328,السندات!$A$5:$A$504,0)),"رقم سند غير موجود ✘",IF(AND(F1328&lt;&gt;"",G1328&lt;&gt;""),"اكتب مدين أو دائن فقط ✘",IF(AND(N(F1328)=0,N(G1328)=0),"بدون مبلغ ⚠",IF(B1328&gt;12,"يتجاوز 12 بنداً في الطباعة ⚠","")))))</f>
        <v/>
      </c>
    </row>
    <row r="1329" customFormat="false" ht="15" hidden="false" customHeight="false" outlineLevel="0" collapsed="false">
      <c r="A1329" s="58"/>
      <c r="B1329" s="68" t="str">
        <f aca="false">IF(A1329="","",COUNTIF(A$5:A1329,A1329))</f>
        <v/>
      </c>
      <c r="C1329" s="68" t="str">
        <f aca="false">IF(A1329="","",A1329&amp;"-"&amp;B1329)</f>
        <v/>
      </c>
      <c r="D1329" s="58"/>
      <c r="E1329" s="57"/>
      <c r="F1329" s="69"/>
      <c r="G1329" s="69"/>
      <c r="H1329" s="70" t="str">
        <f aca="false">IF(A1329="","",IFERROR(INDEX(السندات!$C$5:$C$504,MATCH(A1329,السندات!$A$5:$A$504,0)),""))</f>
        <v/>
      </c>
      <c r="I1329" s="71" t="str">
        <f aca="false">IF(A1329="","",IFERROR(INDEX(السندات!$D$5:$D$504,MATCH(A1329,السندات!$A$5:$A$504,0)),""))</f>
        <v/>
      </c>
      <c r="J1329" s="72" t="str">
        <f aca="false">IF(A1329="","",IF(ISNA(MATCH(A1329,السندات!$A$5:$A$504,0)),"رقم سند غير موجود ✘",IF(AND(F1329&lt;&gt;"",G1329&lt;&gt;""),"اكتب مدين أو دائن فقط ✘",IF(AND(N(F1329)=0,N(G1329)=0),"بدون مبلغ ⚠",IF(B1329&gt;12,"يتجاوز 12 بنداً في الطباعة ⚠","")))))</f>
        <v/>
      </c>
    </row>
    <row r="1330" customFormat="false" ht="15" hidden="false" customHeight="false" outlineLevel="0" collapsed="false">
      <c r="A1330" s="58"/>
      <c r="B1330" s="73" t="str">
        <f aca="false">IF(A1330="","",COUNTIF(A$5:A1330,A1330))</f>
        <v/>
      </c>
      <c r="C1330" s="73" t="str">
        <f aca="false">IF(A1330="","",A1330&amp;"-"&amp;B1330)</f>
        <v/>
      </c>
      <c r="D1330" s="58"/>
      <c r="E1330" s="57"/>
      <c r="F1330" s="69"/>
      <c r="G1330" s="69"/>
      <c r="H1330" s="74" t="str">
        <f aca="false">IF(A1330="","",IFERROR(INDEX(السندات!$C$5:$C$504,MATCH(A1330,السندات!$A$5:$A$504,0)),""))</f>
        <v/>
      </c>
      <c r="I1330" s="75" t="str">
        <f aca="false">IF(A1330="","",IFERROR(INDEX(السندات!$D$5:$D$504,MATCH(A1330,السندات!$A$5:$A$504,0)),""))</f>
        <v/>
      </c>
      <c r="J1330" s="76" t="str">
        <f aca="false">IF(A1330="","",IF(ISNA(MATCH(A1330,السندات!$A$5:$A$504,0)),"رقم سند غير موجود ✘",IF(AND(F1330&lt;&gt;"",G1330&lt;&gt;""),"اكتب مدين أو دائن فقط ✘",IF(AND(N(F1330)=0,N(G1330)=0),"بدون مبلغ ⚠",IF(B1330&gt;12,"يتجاوز 12 بنداً في الطباعة ⚠","")))))</f>
        <v/>
      </c>
    </row>
    <row r="1331" customFormat="false" ht="15" hidden="false" customHeight="false" outlineLevel="0" collapsed="false">
      <c r="A1331" s="58"/>
      <c r="B1331" s="68" t="str">
        <f aca="false">IF(A1331="","",COUNTIF(A$5:A1331,A1331))</f>
        <v/>
      </c>
      <c r="C1331" s="68" t="str">
        <f aca="false">IF(A1331="","",A1331&amp;"-"&amp;B1331)</f>
        <v/>
      </c>
      <c r="D1331" s="58"/>
      <c r="E1331" s="57"/>
      <c r="F1331" s="69"/>
      <c r="G1331" s="69"/>
      <c r="H1331" s="70" t="str">
        <f aca="false">IF(A1331="","",IFERROR(INDEX(السندات!$C$5:$C$504,MATCH(A1331,السندات!$A$5:$A$504,0)),""))</f>
        <v/>
      </c>
      <c r="I1331" s="71" t="str">
        <f aca="false">IF(A1331="","",IFERROR(INDEX(السندات!$D$5:$D$504,MATCH(A1331,السندات!$A$5:$A$504,0)),""))</f>
        <v/>
      </c>
      <c r="J1331" s="72" t="str">
        <f aca="false">IF(A1331="","",IF(ISNA(MATCH(A1331,السندات!$A$5:$A$504,0)),"رقم سند غير موجود ✘",IF(AND(F1331&lt;&gt;"",G1331&lt;&gt;""),"اكتب مدين أو دائن فقط ✘",IF(AND(N(F1331)=0,N(G1331)=0),"بدون مبلغ ⚠",IF(B1331&gt;12,"يتجاوز 12 بنداً في الطباعة ⚠","")))))</f>
        <v/>
      </c>
    </row>
    <row r="1332" customFormat="false" ht="15" hidden="false" customHeight="false" outlineLevel="0" collapsed="false">
      <c r="A1332" s="58"/>
      <c r="B1332" s="73" t="str">
        <f aca="false">IF(A1332="","",COUNTIF(A$5:A1332,A1332))</f>
        <v/>
      </c>
      <c r="C1332" s="73" t="str">
        <f aca="false">IF(A1332="","",A1332&amp;"-"&amp;B1332)</f>
        <v/>
      </c>
      <c r="D1332" s="58"/>
      <c r="E1332" s="57"/>
      <c r="F1332" s="69"/>
      <c r="G1332" s="69"/>
      <c r="H1332" s="74" t="str">
        <f aca="false">IF(A1332="","",IFERROR(INDEX(السندات!$C$5:$C$504,MATCH(A1332,السندات!$A$5:$A$504,0)),""))</f>
        <v/>
      </c>
      <c r="I1332" s="75" t="str">
        <f aca="false">IF(A1332="","",IFERROR(INDEX(السندات!$D$5:$D$504,MATCH(A1332,السندات!$A$5:$A$504,0)),""))</f>
        <v/>
      </c>
      <c r="J1332" s="76" t="str">
        <f aca="false">IF(A1332="","",IF(ISNA(MATCH(A1332,السندات!$A$5:$A$504,0)),"رقم سند غير موجود ✘",IF(AND(F1332&lt;&gt;"",G1332&lt;&gt;""),"اكتب مدين أو دائن فقط ✘",IF(AND(N(F1332)=0,N(G1332)=0),"بدون مبلغ ⚠",IF(B1332&gt;12,"يتجاوز 12 بنداً في الطباعة ⚠","")))))</f>
        <v/>
      </c>
    </row>
    <row r="1333" customFormat="false" ht="15" hidden="false" customHeight="false" outlineLevel="0" collapsed="false">
      <c r="A1333" s="58"/>
      <c r="B1333" s="68" t="str">
        <f aca="false">IF(A1333="","",COUNTIF(A$5:A1333,A1333))</f>
        <v/>
      </c>
      <c r="C1333" s="68" t="str">
        <f aca="false">IF(A1333="","",A1333&amp;"-"&amp;B1333)</f>
        <v/>
      </c>
      <c r="D1333" s="58"/>
      <c r="E1333" s="57"/>
      <c r="F1333" s="69"/>
      <c r="G1333" s="69"/>
      <c r="H1333" s="70" t="str">
        <f aca="false">IF(A1333="","",IFERROR(INDEX(السندات!$C$5:$C$504,MATCH(A1333,السندات!$A$5:$A$504,0)),""))</f>
        <v/>
      </c>
      <c r="I1333" s="71" t="str">
        <f aca="false">IF(A1333="","",IFERROR(INDEX(السندات!$D$5:$D$504,MATCH(A1333,السندات!$A$5:$A$504,0)),""))</f>
        <v/>
      </c>
      <c r="J1333" s="72" t="str">
        <f aca="false">IF(A1333="","",IF(ISNA(MATCH(A1333,السندات!$A$5:$A$504,0)),"رقم سند غير موجود ✘",IF(AND(F1333&lt;&gt;"",G1333&lt;&gt;""),"اكتب مدين أو دائن فقط ✘",IF(AND(N(F1333)=0,N(G1333)=0),"بدون مبلغ ⚠",IF(B1333&gt;12,"يتجاوز 12 بنداً في الطباعة ⚠","")))))</f>
        <v/>
      </c>
    </row>
    <row r="1334" customFormat="false" ht="15" hidden="false" customHeight="false" outlineLevel="0" collapsed="false">
      <c r="A1334" s="58"/>
      <c r="B1334" s="73" t="str">
        <f aca="false">IF(A1334="","",COUNTIF(A$5:A1334,A1334))</f>
        <v/>
      </c>
      <c r="C1334" s="73" t="str">
        <f aca="false">IF(A1334="","",A1334&amp;"-"&amp;B1334)</f>
        <v/>
      </c>
      <c r="D1334" s="58"/>
      <c r="E1334" s="57"/>
      <c r="F1334" s="69"/>
      <c r="G1334" s="69"/>
      <c r="H1334" s="74" t="str">
        <f aca="false">IF(A1334="","",IFERROR(INDEX(السندات!$C$5:$C$504,MATCH(A1334,السندات!$A$5:$A$504,0)),""))</f>
        <v/>
      </c>
      <c r="I1334" s="75" t="str">
        <f aca="false">IF(A1334="","",IFERROR(INDEX(السندات!$D$5:$D$504,MATCH(A1334,السندات!$A$5:$A$504,0)),""))</f>
        <v/>
      </c>
      <c r="J1334" s="76" t="str">
        <f aca="false">IF(A1334="","",IF(ISNA(MATCH(A1334,السندات!$A$5:$A$504,0)),"رقم سند غير موجود ✘",IF(AND(F1334&lt;&gt;"",G1334&lt;&gt;""),"اكتب مدين أو دائن فقط ✘",IF(AND(N(F1334)=0,N(G1334)=0),"بدون مبلغ ⚠",IF(B1334&gt;12,"يتجاوز 12 بنداً في الطباعة ⚠","")))))</f>
        <v/>
      </c>
    </row>
    <row r="1335" customFormat="false" ht="15" hidden="false" customHeight="false" outlineLevel="0" collapsed="false">
      <c r="A1335" s="58"/>
      <c r="B1335" s="68" t="str">
        <f aca="false">IF(A1335="","",COUNTIF(A$5:A1335,A1335))</f>
        <v/>
      </c>
      <c r="C1335" s="68" t="str">
        <f aca="false">IF(A1335="","",A1335&amp;"-"&amp;B1335)</f>
        <v/>
      </c>
      <c r="D1335" s="58"/>
      <c r="E1335" s="57"/>
      <c r="F1335" s="69"/>
      <c r="G1335" s="69"/>
      <c r="H1335" s="70" t="str">
        <f aca="false">IF(A1335="","",IFERROR(INDEX(السندات!$C$5:$C$504,MATCH(A1335,السندات!$A$5:$A$504,0)),""))</f>
        <v/>
      </c>
      <c r="I1335" s="71" t="str">
        <f aca="false">IF(A1335="","",IFERROR(INDEX(السندات!$D$5:$D$504,MATCH(A1335,السندات!$A$5:$A$504,0)),""))</f>
        <v/>
      </c>
      <c r="J1335" s="72" t="str">
        <f aca="false">IF(A1335="","",IF(ISNA(MATCH(A1335,السندات!$A$5:$A$504,0)),"رقم سند غير موجود ✘",IF(AND(F1335&lt;&gt;"",G1335&lt;&gt;""),"اكتب مدين أو دائن فقط ✘",IF(AND(N(F1335)=0,N(G1335)=0),"بدون مبلغ ⚠",IF(B1335&gt;12,"يتجاوز 12 بنداً في الطباعة ⚠","")))))</f>
        <v/>
      </c>
    </row>
    <row r="1336" customFormat="false" ht="15" hidden="false" customHeight="false" outlineLevel="0" collapsed="false">
      <c r="A1336" s="58"/>
      <c r="B1336" s="73" t="str">
        <f aca="false">IF(A1336="","",COUNTIF(A$5:A1336,A1336))</f>
        <v/>
      </c>
      <c r="C1336" s="73" t="str">
        <f aca="false">IF(A1336="","",A1336&amp;"-"&amp;B1336)</f>
        <v/>
      </c>
      <c r="D1336" s="58"/>
      <c r="E1336" s="57"/>
      <c r="F1336" s="69"/>
      <c r="G1336" s="69"/>
      <c r="H1336" s="74" t="str">
        <f aca="false">IF(A1336="","",IFERROR(INDEX(السندات!$C$5:$C$504,MATCH(A1336,السندات!$A$5:$A$504,0)),""))</f>
        <v/>
      </c>
      <c r="I1336" s="75" t="str">
        <f aca="false">IF(A1336="","",IFERROR(INDEX(السندات!$D$5:$D$504,MATCH(A1336,السندات!$A$5:$A$504,0)),""))</f>
        <v/>
      </c>
      <c r="J1336" s="76" t="str">
        <f aca="false">IF(A1336="","",IF(ISNA(MATCH(A1336,السندات!$A$5:$A$504,0)),"رقم سند غير موجود ✘",IF(AND(F1336&lt;&gt;"",G1336&lt;&gt;""),"اكتب مدين أو دائن فقط ✘",IF(AND(N(F1336)=0,N(G1336)=0),"بدون مبلغ ⚠",IF(B1336&gt;12,"يتجاوز 12 بنداً في الطباعة ⚠","")))))</f>
        <v/>
      </c>
    </row>
    <row r="1337" customFormat="false" ht="15" hidden="false" customHeight="false" outlineLevel="0" collapsed="false">
      <c r="A1337" s="58"/>
      <c r="B1337" s="68" t="str">
        <f aca="false">IF(A1337="","",COUNTIF(A$5:A1337,A1337))</f>
        <v/>
      </c>
      <c r="C1337" s="68" t="str">
        <f aca="false">IF(A1337="","",A1337&amp;"-"&amp;B1337)</f>
        <v/>
      </c>
      <c r="D1337" s="58"/>
      <c r="E1337" s="57"/>
      <c r="F1337" s="69"/>
      <c r="G1337" s="69"/>
      <c r="H1337" s="70" t="str">
        <f aca="false">IF(A1337="","",IFERROR(INDEX(السندات!$C$5:$C$504,MATCH(A1337,السندات!$A$5:$A$504,0)),""))</f>
        <v/>
      </c>
      <c r="I1337" s="71" t="str">
        <f aca="false">IF(A1337="","",IFERROR(INDEX(السندات!$D$5:$D$504,MATCH(A1337,السندات!$A$5:$A$504,0)),""))</f>
        <v/>
      </c>
      <c r="J1337" s="72" t="str">
        <f aca="false">IF(A1337="","",IF(ISNA(MATCH(A1337,السندات!$A$5:$A$504,0)),"رقم سند غير موجود ✘",IF(AND(F1337&lt;&gt;"",G1337&lt;&gt;""),"اكتب مدين أو دائن فقط ✘",IF(AND(N(F1337)=0,N(G1337)=0),"بدون مبلغ ⚠",IF(B1337&gt;12,"يتجاوز 12 بنداً في الطباعة ⚠","")))))</f>
        <v/>
      </c>
    </row>
    <row r="1338" customFormat="false" ht="15" hidden="false" customHeight="false" outlineLevel="0" collapsed="false">
      <c r="A1338" s="58"/>
      <c r="B1338" s="73" t="str">
        <f aca="false">IF(A1338="","",COUNTIF(A$5:A1338,A1338))</f>
        <v/>
      </c>
      <c r="C1338" s="73" t="str">
        <f aca="false">IF(A1338="","",A1338&amp;"-"&amp;B1338)</f>
        <v/>
      </c>
      <c r="D1338" s="58"/>
      <c r="E1338" s="57"/>
      <c r="F1338" s="69"/>
      <c r="G1338" s="69"/>
      <c r="H1338" s="74" t="str">
        <f aca="false">IF(A1338="","",IFERROR(INDEX(السندات!$C$5:$C$504,MATCH(A1338,السندات!$A$5:$A$504,0)),""))</f>
        <v/>
      </c>
      <c r="I1338" s="75" t="str">
        <f aca="false">IF(A1338="","",IFERROR(INDEX(السندات!$D$5:$D$504,MATCH(A1338,السندات!$A$5:$A$504,0)),""))</f>
        <v/>
      </c>
      <c r="J1338" s="76" t="str">
        <f aca="false">IF(A1338="","",IF(ISNA(MATCH(A1338,السندات!$A$5:$A$504,0)),"رقم سند غير موجود ✘",IF(AND(F1338&lt;&gt;"",G1338&lt;&gt;""),"اكتب مدين أو دائن فقط ✘",IF(AND(N(F1338)=0,N(G1338)=0),"بدون مبلغ ⚠",IF(B1338&gt;12,"يتجاوز 12 بنداً في الطباعة ⚠","")))))</f>
        <v/>
      </c>
    </row>
    <row r="1339" customFormat="false" ht="15" hidden="false" customHeight="false" outlineLevel="0" collapsed="false">
      <c r="A1339" s="58"/>
      <c r="B1339" s="68" t="str">
        <f aca="false">IF(A1339="","",COUNTIF(A$5:A1339,A1339))</f>
        <v/>
      </c>
      <c r="C1339" s="68" t="str">
        <f aca="false">IF(A1339="","",A1339&amp;"-"&amp;B1339)</f>
        <v/>
      </c>
      <c r="D1339" s="58"/>
      <c r="E1339" s="57"/>
      <c r="F1339" s="69"/>
      <c r="G1339" s="69"/>
      <c r="H1339" s="70" t="str">
        <f aca="false">IF(A1339="","",IFERROR(INDEX(السندات!$C$5:$C$504,MATCH(A1339,السندات!$A$5:$A$504,0)),""))</f>
        <v/>
      </c>
      <c r="I1339" s="71" t="str">
        <f aca="false">IF(A1339="","",IFERROR(INDEX(السندات!$D$5:$D$504,MATCH(A1339,السندات!$A$5:$A$504,0)),""))</f>
        <v/>
      </c>
      <c r="J1339" s="72" t="str">
        <f aca="false">IF(A1339="","",IF(ISNA(MATCH(A1339,السندات!$A$5:$A$504,0)),"رقم سند غير موجود ✘",IF(AND(F1339&lt;&gt;"",G1339&lt;&gt;""),"اكتب مدين أو دائن فقط ✘",IF(AND(N(F1339)=0,N(G1339)=0),"بدون مبلغ ⚠",IF(B1339&gt;12,"يتجاوز 12 بنداً في الطباعة ⚠","")))))</f>
        <v/>
      </c>
    </row>
    <row r="1340" customFormat="false" ht="15" hidden="false" customHeight="false" outlineLevel="0" collapsed="false">
      <c r="A1340" s="58"/>
      <c r="B1340" s="73" t="str">
        <f aca="false">IF(A1340="","",COUNTIF(A$5:A1340,A1340))</f>
        <v/>
      </c>
      <c r="C1340" s="73" t="str">
        <f aca="false">IF(A1340="","",A1340&amp;"-"&amp;B1340)</f>
        <v/>
      </c>
      <c r="D1340" s="58"/>
      <c r="E1340" s="57"/>
      <c r="F1340" s="69"/>
      <c r="G1340" s="69"/>
      <c r="H1340" s="74" t="str">
        <f aca="false">IF(A1340="","",IFERROR(INDEX(السندات!$C$5:$C$504,MATCH(A1340,السندات!$A$5:$A$504,0)),""))</f>
        <v/>
      </c>
      <c r="I1340" s="75" t="str">
        <f aca="false">IF(A1340="","",IFERROR(INDEX(السندات!$D$5:$D$504,MATCH(A1340,السندات!$A$5:$A$504,0)),""))</f>
        <v/>
      </c>
      <c r="J1340" s="76" t="str">
        <f aca="false">IF(A1340="","",IF(ISNA(MATCH(A1340,السندات!$A$5:$A$504,0)),"رقم سند غير موجود ✘",IF(AND(F1340&lt;&gt;"",G1340&lt;&gt;""),"اكتب مدين أو دائن فقط ✘",IF(AND(N(F1340)=0,N(G1340)=0),"بدون مبلغ ⚠",IF(B1340&gt;12,"يتجاوز 12 بنداً في الطباعة ⚠","")))))</f>
        <v/>
      </c>
    </row>
    <row r="1341" customFormat="false" ht="15" hidden="false" customHeight="false" outlineLevel="0" collapsed="false">
      <c r="A1341" s="58"/>
      <c r="B1341" s="68" t="str">
        <f aca="false">IF(A1341="","",COUNTIF(A$5:A1341,A1341))</f>
        <v/>
      </c>
      <c r="C1341" s="68" t="str">
        <f aca="false">IF(A1341="","",A1341&amp;"-"&amp;B1341)</f>
        <v/>
      </c>
      <c r="D1341" s="58"/>
      <c r="E1341" s="57"/>
      <c r="F1341" s="69"/>
      <c r="G1341" s="69"/>
      <c r="H1341" s="70" t="str">
        <f aca="false">IF(A1341="","",IFERROR(INDEX(السندات!$C$5:$C$504,MATCH(A1341,السندات!$A$5:$A$504,0)),""))</f>
        <v/>
      </c>
      <c r="I1341" s="71" t="str">
        <f aca="false">IF(A1341="","",IFERROR(INDEX(السندات!$D$5:$D$504,MATCH(A1341,السندات!$A$5:$A$504,0)),""))</f>
        <v/>
      </c>
      <c r="J1341" s="72" t="str">
        <f aca="false">IF(A1341="","",IF(ISNA(MATCH(A1341,السندات!$A$5:$A$504,0)),"رقم سند غير موجود ✘",IF(AND(F1341&lt;&gt;"",G1341&lt;&gt;""),"اكتب مدين أو دائن فقط ✘",IF(AND(N(F1341)=0,N(G1341)=0),"بدون مبلغ ⚠",IF(B1341&gt;12,"يتجاوز 12 بنداً في الطباعة ⚠","")))))</f>
        <v/>
      </c>
    </row>
    <row r="1342" customFormat="false" ht="15" hidden="false" customHeight="false" outlineLevel="0" collapsed="false">
      <c r="A1342" s="58"/>
      <c r="B1342" s="73" t="str">
        <f aca="false">IF(A1342="","",COUNTIF(A$5:A1342,A1342))</f>
        <v/>
      </c>
      <c r="C1342" s="73" t="str">
        <f aca="false">IF(A1342="","",A1342&amp;"-"&amp;B1342)</f>
        <v/>
      </c>
      <c r="D1342" s="58"/>
      <c r="E1342" s="57"/>
      <c r="F1342" s="69"/>
      <c r="G1342" s="69"/>
      <c r="H1342" s="74" t="str">
        <f aca="false">IF(A1342="","",IFERROR(INDEX(السندات!$C$5:$C$504,MATCH(A1342,السندات!$A$5:$A$504,0)),""))</f>
        <v/>
      </c>
      <c r="I1342" s="75" t="str">
        <f aca="false">IF(A1342="","",IFERROR(INDEX(السندات!$D$5:$D$504,MATCH(A1342,السندات!$A$5:$A$504,0)),""))</f>
        <v/>
      </c>
      <c r="J1342" s="76" t="str">
        <f aca="false">IF(A1342="","",IF(ISNA(MATCH(A1342,السندات!$A$5:$A$504,0)),"رقم سند غير موجود ✘",IF(AND(F1342&lt;&gt;"",G1342&lt;&gt;""),"اكتب مدين أو دائن فقط ✘",IF(AND(N(F1342)=0,N(G1342)=0),"بدون مبلغ ⚠",IF(B1342&gt;12,"يتجاوز 12 بنداً في الطباعة ⚠","")))))</f>
        <v/>
      </c>
    </row>
    <row r="1343" customFormat="false" ht="15" hidden="false" customHeight="false" outlineLevel="0" collapsed="false">
      <c r="A1343" s="58"/>
      <c r="B1343" s="68" t="str">
        <f aca="false">IF(A1343="","",COUNTIF(A$5:A1343,A1343))</f>
        <v/>
      </c>
      <c r="C1343" s="68" t="str">
        <f aca="false">IF(A1343="","",A1343&amp;"-"&amp;B1343)</f>
        <v/>
      </c>
      <c r="D1343" s="58"/>
      <c r="E1343" s="57"/>
      <c r="F1343" s="69"/>
      <c r="G1343" s="69"/>
      <c r="H1343" s="70" t="str">
        <f aca="false">IF(A1343="","",IFERROR(INDEX(السندات!$C$5:$C$504,MATCH(A1343,السندات!$A$5:$A$504,0)),""))</f>
        <v/>
      </c>
      <c r="I1343" s="71" t="str">
        <f aca="false">IF(A1343="","",IFERROR(INDEX(السندات!$D$5:$D$504,MATCH(A1343,السندات!$A$5:$A$504,0)),""))</f>
        <v/>
      </c>
      <c r="J1343" s="72" t="str">
        <f aca="false">IF(A1343="","",IF(ISNA(MATCH(A1343,السندات!$A$5:$A$504,0)),"رقم سند غير موجود ✘",IF(AND(F1343&lt;&gt;"",G1343&lt;&gt;""),"اكتب مدين أو دائن فقط ✘",IF(AND(N(F1343)=0,N(G1343)=0),"بدون مبلغ ⚠",IF(B1343&gt;12,"يتجاوز 12 بنداً في الطباعة ⚠","")))))</f>
        <v/>
      </c>
    </row>
    <row r="1344" customFormat="false" ht="15" hidden="false" customHeight="false" outlineLevel="0" collapsed="false">
      <c r="A1344" s="58"/>
      <c r="B1344" s="73" t="str">
        <f aca="false">IF(A1344="","",COUNTIF(A$5:A1344,A1344))</f>
        <v/>
      </c>
      <c r="C1344" s="73" t="str">
        <f aca="false">IF(A1344="","",A1344&amp;"-"&amp;B1344)</f>
        <v/>
      </c>
      <c r="D1344" s="58"/>
      <c r="E1344" s="57"/>
      <c r="F1344" s="69"/>
      <c r="G1344" s="69"/>
      <c r="H1344" s="74" t="str">
        <f aca="false">IF(A1344="","",IFERROR(INDEX(السندات!$C$5:$C$504,MATCH(A1344,السندات!$A$5:$A$504,0)),""))</f>
        <v/>
      </c>
      <c r="I1344" s="75" t="str">
        <f aca="false">IF(A1344="","",IFERROR(INDEX(السندات!$D$5:$D$504,MATCH(A1344,السندات!$A$5:$A$504,0)),""))</f>
        <v/>
      </c>
      <c r="J1344" s="76" t="str">
        <f aca="false">IF(A1344="","",IF(ISNA(MATCH(A1344,السندات!$A$5:$A$504,0)),"رقم سند غير موجود ✘",IF(AND(F1344&lt;&gt;"",G1344&lt;&gt;""),"اكتب مدين أو دائن فقط ✘",IF(AND(N(F1344)=0,N(G1344)=0),"بدون مبلغ ⚠",IF(B1344&gt;12,"يتجاوز 12 بنداً في الطباعة ⚠","")))))</f>
        <v/>
      </c>
    </row>
    <row r="1345" customFormat="false" ht="15" hidden="false" customHeight="false" outlineLevel="0" collapsed="false">
      <c r="A1345" s="58"/>
      <c r="B1345" s="68" t="str">
        <f aca="false">IF(A1345="","",COUNTIF(A$5:A1345,A1345))</f>
        <v/>
      </c>
      <c r="C1345" s="68" t="str">
        <f aca="false">IF(A1345="","",A1345&amp;"-"&amp;B1345)</f>
        <v/>
      </c>
      <c r="D1345" s="58"/>
      <c r="E1345" s="57"/>
      <c r="F1345" s="69"/>
      <c r="G1345" s="69"/>
      <c r="H1345" s="70" t="str">
        <f aca="false">IF(A1345="","",IFERROR(INDEX(السندات!$C$5:$C$504,MATCH(A1345,السندات!$A$5:$A$504,0)),""))</f>
        <v/>
      </c>
      <c r="I1345" s="71" t="str">
        <f aca="false">IF(A1345="","",IFERROR(INDEX(السندات!$D$5:$D$504,MATCH(A1345,السندات!$A$5:$A$504,0)),""))</f>
        <v/>
      </c>
      <c r="J1345" s="72" t="str">
        <f aca="false">IF(A1345="","",IF(ISNA(MATCH(A1345,السندات!$A$5:$A$504,0)),"رقم سند غير موجود ✘",IF(AND(F1345&lt;&gt;"",G1345&lt;&gt;""),"اكتب مدين أو دائن فقط ✘",IF(AND(N(F1345)=0,N(G1345)=0),"بدون مبلغ ⚠",IF(B1345&gt;12,"يتجاوز 12 بنداً في الطباعة ⚠","")))))</f>
        <v/>
      </c>
    </row>
    <row r="1346" customFormat="false" ht="15" hidden="false" customHeight="false" outlineLevel="0" collapsed="false">
      <c r="A1346" s="58"/>
      <c r="B1346" s="73" t="str">
        <f aca="false">IF(A1346="","",COUNTIF(A$5:A1346,A1346))</f>
        <v/>
      </c>
      <c r="C1346" s="73" t="str">
        <f aca="false">IF(A1346="","",A1346&amp;"-"&amp;B1346)</f>
        <v/>
      </c>
      <c r="D1346" s="58"/>
      <c r="E1346" s="57"/>
      <c r="F1346" s="69"/>
      <c r="G1346" s="69"/>
      <c r="H1346" s="74" t="str">
        <f aca="false">IF(A1346="","",IFERROR(INDEX(السندات!$C$5:$C$504,MATCH(A1346,السندات!$A$5:$A$504,0)),""))</f>
        <v/>
      </c>
      <c r="I1346" s="75" t="str">
        <f aca="false">IF(A1346="","",IFERROR(INDEX(السندات!$D$5:$D$504,MATCH(A1346,السندات!$A$5:$A$504,0)),""))</f>
        <v/>
      </c>
      <c r="J1346" s="76" t="str">
        <f aca="false">IF(A1346="","",IF(ISNA(MATCH(A1346,السندات!$A$5:$A$504,0)),"رقم سند غير موجود ✘",IF(AND(F1346&lt;&gt;"",G1346&lt;&gt;""),"اكتب مدين أو دائن فقط ✘",IF(AND(N(F1346)=0,N(G1346)=0),"بدون مبلغ ⚠",IF(B1346&gt;12,"يتجاوز 12 بنداً في الطباعة ⚠","")))))</f>
        <v/>
      </c>
    </row>
    <row r="1347" customFormat="false" ht="15" hidden="false" customHeight="false" outlineLevel="0" collapsed="false">
      <c r="A1347" s="58"/>
      <c r="B1347" s="68" t="str">
        <f aca="false">IF(A1347="","",COUNTIF(A$5:A1347,A1347))</f>
        <v/>
      </c>
      <c r="C1347" s="68" t="str">
        <f aca="false">IF(A1347="","",A1347&amp;"-"&amp;B1347)</f>
        <v/>
      </c>
      <c r="D1347" s="58"/>
      <c r="E1347" s="57"/>
      <c r="F1347" s="69"/>
      <c r="G1347" s="69"/>
      <c r="H1347" s="70" t="str">
        <f aca="false">IF(A1347="","",IFERROR(INDEX(السندات!$C$5:$C$504,MATCH(A1347,السندات!$A$5:$A$504,0)),""))</f>
        <v/>
      </c>
      <c r="I1347" s="71" t="str">
        <f aca="false">IF(A1347="","",IFERROR(INDEX(السندات!$D$5:$D$504,MATCH(A1347,السندات!$A$5:$A$504,0)),""))</f>
        <v/>
      </c>
      <c r="J1347" s="72" t="str">
        <f aca="false">IF(A1347="","",IF(ISNA(MATCH(A1347,السندات!$A$5:$A$504,0)),"رقم سند غير موجود ✘",IF(AND(F1347&lt;&gt;"",G1347&lt;&gt;""),"اكتب مدين أو دائن فقط ✘",IF(AND(N(F1347)=0,N(G1347)=0),"بدون مبلغ ⚠",IF(B1347&gt;12,"يتجاوز 12 بنداً في الطباعة ⚠","")))))</f>
        <v/>
      </c>
    </row>
    <row r="1348" customFormat="false" ht="15" hidden="false" customHeight="false" outlineLevel="0" collapsed="false">
      <c r="A1348" s="58"/>
      <c r="B1348" s="73" t="str">
        <f aca="false">IF(A1348="","",COUNTIF(A$5:A1348,A1348))</f>
        <v/>
      </c>
      <c r="C1348" s="73" t="str">
        <f aca="false">IF(A1348="","",A1348&amp;"-"&amp;B1348)</f>
        <v/>
      </c>
      <c r="D1348" s="58"/>
      <c r="E1348" s="57"/>
      <c r="F1348" s="69"/>
      <c r="G1348" s="69"/>
      <c r="H1348" s="74" t="str">
        <f aca="false">IF(A1348="","",IFERROR(INDEX(السندات!$C$5:$C$504,MATCH(A1348,السندات!$A$5:$A$504,0)),""))</f>
        <v/>
      </c>
      <c r="I1348" s="75" t="str">
        <f aca="false">IF(A1348="","",IFERROR(INDEX(السندات!$D$5:$D$504,MATCH(A1348,السندات!$A$5:$A$504,0)),""))</f>
        <v/>
      </c>
      <c r="J1348" s="76" t="str">
        <f aca="false">IF(A1348="","",IF(ISNA(MATCH(A1348,السندات!$A$5:$A$504,0)),"رقم سند غير موجود ✘",IF(AND(F1348&lt;&gt;"",G1348&lt;&gt;""),"اكتب مدين أو دائن فقط ✘",IF(AND(N(F1348)=0,N(G1348)=0),"بدون مبلغ ⚠",IF(B1348&gt;12,"يتجاوز 12 بنداً في الطباعة ⚠","")))))</f>
        <v/>
      </c>
    </row>
    <row r="1349" customFormat="false" ht="15" hidden="false" customHeight="false" outlineLevel="0" collapsed="false">
      <c r="A1349" s="58"/>
      <c r="B1349" s="68" t="str">
        <f aca="false">IF(A1349="","",COUNTIF(A$5:A1349,A1349))</f>
        <v/>
      </c>
      <c r="C1349" s="68" t="str">
        <f aca="false">IF(A1349="","",A1349&amp;"-"&amp;B1349)</f>
        <v/>
      </c>
      <c r="D1349" s="58"/>
      <c r="E1349" s="57"/>
      <c r="F1349" s="69"/>
      <c r="G1349" s="69"/>
      <c r="H1349" s="70" t="str">
        <f aca="false">IF(A1349="","",IFERROR(INDEX(السندات!$C$5:$C$504,MATCH(A1349,السندات!$A$5:$A$504,0)),""))</f>
        <v/>
      </c>
      <c r="I1349" s="71" t="str">
        <f aca="false">IF(A1349="","",IFERROR(INDEX(السندات!$D$5:$D$504,MATCH(A1349,السندات!$A$5:$A$504,0)),""))</f>
        <v/>
      </c>
      <c r="J1349" s="72" t="str">
        <f aca="false">IF(A1349="","",IF(ISNA(MATCH(A1349,السندات!$A$5:$A$504,0)),"رقم سند غير موجود ✘",IF(AND(F1349&lt;&gt;"",G1349&lt;&gt;""),"اكتب مدين أو دائن فقط ✘",IF(AND(N(F1349)=0,N(G1349)=0),"بدون مبلغ ⚠",IF(B1349&gt;12,"يتجاوز 12 بنداً في الطباعة ⚠","")))))</f>
        <v/>
      </c>
    </row>
    <row r="1350" customFormat="false" ht="15" hidden="false" customHeight="false" outlineLevel="0" collapsed="false">
      <c r="A1350" s="58"/>
      <c r="B1350" s="73" t="str">
        <f aca="false">IF(A1350="","",COUNTIF(A$5:A1350,A1350))</f>
        <v/>
      </c>
      <c r="C1350" s="73" t="str">
        <f aca="false">IF(A1350="","",A1350&amp;"-"&amp;B1350)</f>
        <v/>
      </c>
      <c r="D1350" s="58"/>
      <c r="E1350" s="57"/>
      <c r="F1350" s="69"/>
      <c r="G1350" s="69"/>
      <c r="H1350" s="74" t="str">
        <f aca="false">IF(A1350="","",IFERROR(INDEX(السندات!$C$5:$C$504,MATCH(A1350,السندات!$A$5:$A$504,0)),""))</f>
        <v/>
      </c>
      <c r="I1350" s="75" t="str">
        <f aca="false">IF(A1350="","",IFERROR(INDEX(السندات!$D$5:$D$504,MATCH(A1350,السندات!$A$5:$A$504,0)),""))</f>
        <v/>
      </c>
      <c r="J1350" s="76" t="str">
        <f aca="false">IF(A1350="","",IF(ISNA(MATCH(A1350,السندات!$A$5:$A$504,0)),"رقم سند غير موجود ✘",IF(AND(F1350&lt;&gt;"",G1350&lt;&gt;""),"اكتب مدين أو دائن فقط ✘",IF(AND(N(F1350)=0,N(G1350)=0),"بدون مبلغ ⚠",IF(B1350&gt;12,"يتجاوز 12 بنداً في الطباعة ⚠","")))))</f>
        <v/>
      </c>
    </row>
    <row r="1351" customFormat="false" ht="15" hidden="false" customHeight="false" outlineLevel="0" collapsed="false">
      <c r="A1351" s="58"/>
      <c r="B1351" s="68" t="str">
        <f aca="false">IF(A1351="","",COUNTIF(A$5:A1351,A1351))</f>
        <v/>
      </c>
      <c r="C1351" s="68" t="str">
        <f aca="false">IF(A1351="","",A1351&amp;"-"&amp;B1351)</f>
        <v/>
      </c>
      <c r="D1351" s="58"/>
      <c r="E1351" s="57"/>
      <c r="F1351" s="69"/>
      <c r="G1351" s="69"/>
      <c r="H1351" s="70" t="str">
        <f aca="false">IF(A1351="","",IFERROR(INDEX(السندات!$C$5:$C$504,MATCH(A1351,السندات!$A$5:$A$504,0)),""))</f>
        <v/>
      </c>
      <c r="I1351" s="71" t="str">
        <f aca="false">IF(A1351="","",IFERROR(INDEX(السندات!$D$5:$D$504,MATCH(A1351,السندات!$A$5:$A$504,0)),""))</f>
        <v/>
      </c>
      <c r="J1351" s="72" t="str">
        <f aca="false">IF(A1351="","",IF(ISNA(MATCH(A1351,السندات!$A$5:$A$504,0)),"رقم سند غير موجود ✘",IF(AND(F1351&lt;&gt;"",G1351&lt;&gt;""),"اكتب مدين أو دائن فقط ✘",IF(AND(N(F1351)=0,N(G1351)=0),"بدون مبلغ ⚠",IF(B1351&gt;12,"يتجاوز 12 بنداً في الطباعة ⚠","")))))</f>
        <v/>
      </c>
    </row>
    <row r="1352" customFormat="false" ht="15" hidden="false" customHeight="false" outlineLevel="0" collapsed="false">
      <c r="A1352" s="58"/>
      <c r="B1352" s="73" t="str">
        <f aca="false">IF(A1352="","",COUNTIF(A$5:A1352,A1352))</f>
        <v/>
      </c>
      <c r="C1352" s="73" t="str">
        <f aca="false">IF(A1352="","",A1352&amp;"-"&amp;B1352)</f>
        <v/>
      </c>
      <c r="D1352" s="58"/>
      <c r="E1352" s="57"/>
      <c r="F1352" s="69"/>
      <c r="G1352" s="69"/>
      <c r="H1352" s="74" t="str">
        <f aca="false">IF(A1352="","",IFERROR(INDEX(السندات!$C$5:$C$504,MATCH(A1352,السندات!$A$5:$A$504,0)),""))</f>
        <v/>
      </c>
      <c r="I1352" s="75" t="str">
        <f aca="false">IF(A1352="","",IFERROR(INDEX(السندات!$D$5:$D$504,MATCH(A1352,السندات!$A$5:$A$504,0)),""))</f>
        <v/>
      </c>
      <c r="J1352" s="76" t="str">
        <f aca="false">IF(A1352="","",IF(ISNA(MATCH(A1352,السندات!$A$5:$A$504,0)),"رقم سند غير موجود ✘",IF(AND(F1352&lt;&gt;"",G1352&lt;&gt;""),"اكتب مدين أو دائن فقط ✘",IF(AND(N(F1352)=0,N(G1352)=0),"بدون مبلغ ⚠",IF(B1352&gt;12,"يتجاوز 12 بنداً في الطباعة ⚠","")))))</f>
        <v/>
      </c>
    </row>
    <row r="1353" customFormat="false" ht="15" hidden="false" customHeight="false" outlineLevel="0" collapsed="false">
      <c r="A1353" s="58"/>
      <c r="B1353" s="68" t="str">
        <f aca="false">IF(A1353="","",COUNTIF(A$5:A1353,A1353))</f>
        <v/>
      </c>
      <c r="C1353" s="68" t="str">
        <f aca="false">IF(A1353="","",A1353&amp;"-"&amp;B1353)</f>
        <v/>
      </c>
      <c r="D1353" s="58"/>
      <c r="E1353" s="57"/>
      <c r="F1353" s="69"/>
      <c r="G1353" s="69"/>
      <c r="H1353" s="70" t="str">
        <f aca="false">IF(A1353="","",IFERROR(INDEX(السندات!$C$5:$C$504,MATCH(A1353,السندات!$A$5:$A$504,0)),""))</f>
        <v/>
      </c>
      <c r="I1353" s="71" t="str">
        <f aca="false">IF(A1353="","",IFERROR(INDEX(السندات!$D$5:$D$504,MATCH(A1353,السندات!$A$5:$A$504,0)),""))</f>
        <v/>
      </c>
      <c r="J1353" s="72" t="str">
        <f aca="false">IF(A1353="","",IF(ISNA(MATCH(A1353,السندات!$A$5:$A$504,0)),"رقم سند غير موجود ✘",IF(AND(F1353&lt;&gt;"",G1353&lt;&gt;""),"اكتب مدين أو دائن فقط ✘",IF(AND(N(F1353)=0,N(G1353)=0),"بدون مبلغ ⚠",IF(B1353&gt;12,"يتجاوز 12 بنداً في الطباعة ⚠","")))))</f>
        <v/>
      </c>
    </row>
    <row r="1354" customFormat="false" ht="15" hidden="false" customHeight="false" outlineLevel="0" collapsed="false">
      <c r="A1354" s="58"/>
      <c r="B1354" s="73" t="str">
        <f aca="false">IF(A1354="","",COUNTIF(A$5:A1354,A1354))</f>
        <v/>
      </c>
      <c r="C1354" s="73" t="str">
        <f aca="false">IF(A1354="","",A1354&amp;"-"&amp;B1354)</f>
        <v/>
      </c>
      <c r="D1354" s="58"/>
      <c r="E1354" s="57"/>
      <c r="F1354" s="69"/>
      <c r="G1354" s="69"/>
      <c r="H1354" s="74" t="str">
        <f aca="false">IF(A1354="","",IFERROR(INDEX(السندات!$C$5:$C$504,MATCH(A1354,السندات!$A$5:$A$504,0)),""))</f>
        <v/>
      </c>
      <c r="I1354" s="75" t="str">
        <f aca="false">IF(A1354="","",IFERROR(INDEX(السندات!$D$5:$D$504,MATCH(A1354,السندات!$A$5:$A$504,0)),""))</f>
        <v/>
      </c>
      <c r="J1354" s="76" t="str">
        <f aca="false">IF(A1354="","",IF(ISNA(MATCH(A1354,السندات!$A$5:$A$504,0)),"رقم سند غير موجود ✘",IF(AND(F1354&lt;&gt;"",G1354&lt;&gt;""),"اكتب مدين أو دائن فقط ✘",IF(AND(N(F1354)=0,N(G1354)=0),"بدون مبلغ ⚠",IF(B1354&gt;12,"يتجاوز 12 بنداً في الطباعة ⚠","")))))</f>
        <v/>
      </c>
    </row>
    <row r="1355" customFormat="false" ht="15" hidden="false" customHeight="false" outlineLevel="0" collapsed="false">
      <c r="A1355" s="58"/>
      <c r="B1355" s="68" t="str">
        <f aca="false">IF(A1355="","",COUNTIF(A$5:A1355,A1355))</f>
        <v/>
      </c>
      <c r="C1355" s="68" t="str">
        <f aca="false">IF(A1355="","",A1355&amp;"-"&amp;B1355)</f>
        <v/>
      </c>
      <c r="D1355" s="58"/>
      <c r="E1355" s="57"/>
      <c r="F1355" s="69"/>
      <c r="G1355" s="69"/>
      <c r="H1355" s="70" t="str">
        <f aca="false">IF(A1355="","",IFERROR(INDEX(السندات!$C$5:$C$504,MATCH(A1355,السندات!$A$5:$A$504,0)),""))</f>
        <v/>
      </c>
      <c r="I1355" s="71" t="str">
        <f aca="false">IF(A1355="","",IFERROR(INDEX(السندات!$D$5:$D$504,MATCH(A1355,السندات!$A$5:$A$504,0)),""))</f>
        <v/>
      </c>
      <c r="J1355" s="72" t="str">
        <f aca="false">IF(A1355="","",IF(ISNA(MATCH(A1355,السندات!$A$5:$A$504,0)),"رقم سند غير موجود ✘",IF(AND(F1355&lt;&gt;"",G1355&lt;&gt;""),"اكتب مدين أو دائن فقط ✘",IF(AND(N(F1355)=0,N(G1355)=0),"بدون مبلغ ⚠",IF(B1355&gt;12,"يتجاوز 12 بنداً في الطباعة ⚠","")))))</f>
        <v/>
      </c>
    </row>
    <row r="1356" customFormat="false" ht="15" hidden="false" customHeight="false" outlineLevel="0" collapsed="false">
      <c r="A1356" s="58"/>
      <c r="B1356" s="73" t="str">
        <f aca="false">IF(A1356="","",COUNTIF(A$5:A1356,A1356))</f>
        <v/>
      </c>
      <c r="C1356" s="73" t="str">
        <f aca="false">IF(A1356="","",A1356&amp;"-"&amp;B1356)</f>
        <v/>
      </c>
      <c r="D1356" s="58"/>
      <c r="E1356" s="57"/>
      <c r="F1356" s="69"/>
      <c r="G1356" s="69"/>
      <c r="H1356" s="74" t="str">
        <f aca="false">IF(A1356="","",IFERROR(INDEX(السندات!$C$5:$C$504,MATCH(A1356,السندات!$A$5:$A$504,0)),""))</f>
        <v/>
      </c>
      <c r="I1356" s="75" t="str">
        <f aca="false">IF(A1356="","",IFERROR(INDEX(السندات!$D$5:$D$504,MATCH(A1356,السندات!$A$5:$A$504,0)),""))</f>
        <v/>
      </c>
      <c r="J1356" s="76" t="str">
        <f aca="false">IF(A1356="","",IF(ISNA(MATCH(A1356,السندات!$A$5:$A$504,0)),"رقم سند غير موجود ✘",IF(AND(F1356&lt;&gt;"",G1356&lt;&gt;""),"اكتب مدين أو دائن فقط ✘",IF(AND(N(F1356)=0,N(G1356)=0),"بدون مبلغ ⚠",IF(B1356&gt;12,"يتجاوز 12 بنداً في الطباعة ⚠","")))))</f>
        <v/>
      </c>
    </row>
    <row r="1357" customFormat="false" ht="15" hidden="false" customHeight="false" outlineLevel="0" collapsed="false">
      <c r="A1357" s="58"/>
      <c r="B1357" s="68" t="str">
        <f aca="false">IF(A1357="","",COUNTIF(A$5:A1357,A1357))</f>
        <v/>
      </c>
      <c r="C1357" s="68" t="str">
        <f aca="false">IF(A1357="","",A1357&amp;"-"&amp;B1357)</f>
        <v/>
      </c>
      <c r="D1357" s="58"/>
      <c r="E1357" s="57"/>
      <c r="F1357" s="69"/>
      <c r="G1357" s="69"/>
      <c r="H1357" s="70" t="str">
        <f aca="false">IF(A1357="","",IFERROR(INDEX(السندات!$C$5:$C$504,MATCH(A1357,السندات!$A$5:$A$504,0)),""))</f>
        <v/>
      </c>
      <c r="I1357" s="71" t="str">
        <f aca="false">IF(A1357="","",IFERROR(INDEX(السندات!$D$5:$D$504,MATCH(A1357,السندات!$A$5:$A$504,0)),""))</f>
        <v/>
      </c>
      <c r="J1357" s="72" t="str">
        <f aca="false">IF(A1357="","",IF(ISNA(MATCH(A1357,السندات!$A$5:$A$504,0)),"رقم سند غير موجود ✘",IF(AND(F1357&lt;&gt;"",G1357&lt;&gt;""),"اكتب مدين أو دائن فقط ✘",IF(AND(N(F1357)=0,N(G1357)=0),"بدون مبلغ ⚠",IF(B1357&gt;12,"يتجاوز 12 بنداً في الطباعة ⚠","")))))</f>
        <v/>
      </c>
    </row>
    <row r="1358" customFormat="false" ht="15" hidden="false" customHeight="false" outlineLevel="0" collapsed="false">
      <c r="A1358" s="58"/>
      <c r="B1358" s="73" t="str">
        <f aca="false">IF(A1358="","",COUNTIF(A$5:A1358,A1358))</f>
        <v/>
      </c>
      <c r="C1358" s="73" t="str">
        <f aca="false">IF(A1358="","",A1358&amp;"-"&amp;B1358)</f>
        <v/>
      </c>
      <c r="D1358" s="58"/>
      <c r="E1358" s="57"/>
      <c r="F1358" s="69"/>
      <c r="G1358" s="69"/>
      <c r="H1358" s="74" t="str">
        <f aca="false">IF(A1358="","",IFERROR(INDEX(السندات!$C$5:$C$504,MATCH(A1358,السندات!$A$5:$A$504,0)),""))</f>
        <v/>
      </c>
      <c r="I1358" s="75" t="str">
        <f aca="false">IF(A1358="","",IFERROR(INDEX(السندات!$D$5:$D$504,MATCH(A1358,السندات!$A$5:$A$504,0)),""))</f>
        <v/>
      </c>
      <c r="J1358" s="76" t="str">
        <f aca="false">IF(A1358="","",IF(ISNA(MATCH(A1358,السندات!$A$5:$A$504,0)),"رقم سند غير موجود ✘",IF(AND(F1358&lt;&gt;"",G1358&lt;&gt;""),"اكتب مدين أو دائن فقط ✘",IF(AND(N(F1358)=0,N(G1358)=0),"بدون مبلغ ⚠",IF(B1358&gt;12,"يتجاوز 12 بنداً في الطباعة ⚠","")))))</f>
        <v/>
      </c>
    </row>
    <row r="1359" customFormat="false" ht="15" hidden="false" customHeight="false" outlineLevel="0" collapsed="false">
      <c r="A1359" s="58"/>
      <c r="B1359" s="68" t="str">
        <f aca="false">IF(A1359="","",COUNTIF(A$5:A1359,A1359))</f>
        <v/>
      </c>
      <c r="C1359" s="68" t="str">
        <f aca="false">IF(A1359="","",A1359&amp;"-"&amp;B1359)</f>
        <v/>
      </c>
      <c r="D1359" s="58"/>
      <c r="E1359" s="57"/>
      <c r="F1359" s="69"/>
      <c r="G1359" s="69"/>
      <c r="H1359" s="70" t="str">
        <f aca="false">IF(A1359="","",IFERROR(INDEX(السندات!$C$5:$C$504,MATCH(A1359,السندات!$A$5:$A$504,0)),""))</f>
        <v/>
      </c>
      <c r="I1359" s="71" t="str">
        <f aca="false">IF(A1359="","",IFERROR(INDEX(السندات!$D$5:$D$504,MATCH(A1359,السندات!$A$5:$A$504,0)),""))</f>
        <v/>
      </c>
      <c r="J1359" s="72" t="str">
        <f aca="false">IF(A1359="","",IF(ISNA(MATCH(A1359,السندات!$A$5:$A$504,0)),"رقم سند غير موجود ✘",IF(AND(F1359&lt;&gt;"",G1359&lt;&gt;""),"اكتب مدين أو دائن فقط ✘",IF(AND(N(F1359)=0,N(G1359)=0),"بدون مبلغ ⚠",IF(B1359&gt;12,"يتجاوز 12 بنداً في الطباعة ⚠","")))))</f>
        <v/>
      </c>
    </row>
    <row r="1360" customFormat="false" ht="15" hidden="false" customHeight="false" outlineLevel="0" collapsed="false">
      <c r="A1360" s="58"/>
      <c r="B1360" s="73" t="str">
        <f aca="false">IF(A1360="","",COUNTIF(A$5:A1360,A1360))</f>
        <v/>
      </c>
      <c r="C1360" s="73" t="str">
        <f aca="false">IF(A1360="","",A1360&amp;"-"&amp;B1360)</f>
        <v/>
      </c>
      <c r="D1360" s="58"/>
      <c r="E1360" s="57"/>
      <c r="F1360" s="69"/>
      <c r="G1360" s="69"/>
      <c r="H1360" s="74" t="str">
        <f aca="false">IF(A1360="","",IFERROR(INDEX(السندات!$C$5:$C$504,MATCH(A1360,السندات!$A$5:$A$504,0)),""))</f>
        <v/>
      </c>
      <c r="I1360" s="75" t="str">
        <f aca="false">IF(A1360="","",IFERROR(INDEX(السندات!$D$5:$D$504,MATCH(A1360,السندات!$A$5:$A$504,0)),""))</f>
        <v/>
      </c>
      <c r="J1360" s="76" t="str">
        <f aca="false">IF(A1360="","",IF(ISNA(MATCH(A1360,السندات!$A$5:$A$504,0)),"رقم سند غير موجود ✘",IF(AND(F1360&lt;&gt;"",G1360&lt;&gt;""),"اكتب مدين أو دائن فقط ✘",IF(AND(N(F1360)=0,N(G1360)=0),"بدون مبلغ ⚠",IF(B1360&gt;12,"يتجاوز 12 بنداً في الطباعة ⚠","")))))</f>
        <v/>
      </c>
    </row>
    <row r="1361" customFormat="false" ht="15" hidden="false" customHeight="false" outlineLevel="0" collapsed="false">
      <c r="A1361" s="58"/>
      <c r="B1361" s="68" t="str">
        <f aca="false">IF(A1361="","",COUNTIF(A$5:A1361,A1361))</f>
        <v/>
      </c>
      <c r="C1361" s="68" t="str">
        <f aca="false">IF(A1361="","",A1361&amp;"-"&amp;B1361)</f>
        <v/>
      </c>
      <c r="D1361" s="58"/>
      <c r="E1361" s="57"/>
      <c r="F1361" s="69"/>
      <c r="G1361" s="69"/>
      <c r="H1361" s="70" t="str">
        <f aca="false">IF(A1361="","",IFERROR(INDEX(السندات!$C$5:$C$504,MATCH(A1361,السندات!$A$5:$A$504,0)),""))</f>
        <v/>
      </c>
      <c r="I1361" s="71" t="str">
        <f aca="false">IF(A1361="","",IFERROR(INDEX(السندات!$D$5:$D$504,MATCH(A1361,السندات!$A$5:$A$504,0)),""))</f>
        <v/>
      </c>
      <c r="J1361" s="72" t="str">
        <f aca="false">IF(A1361="","",IF(ISNA(MATCH(A1361,السندات!$A$5:$A$504,0)),"رقم سند غير موجود ✘",IF(AND(F1361&lt;&gt;"",G1361&lt;&gt;""),"اكتب مدين أو دائن فقط ✘",IF(AND(N(F1361)=0,N(G1361)=0),"بدون مبلغ ⚠",IF(B1361&gt;12,"يتجاوز 12 بنداً في الطباعة ⚠","")))))</f>
        <v/>
      </c>
    </row>
    <row r="1362" customFormat="false" ht="15" hidden="false" customHeight="false" outlineLevel="0" collapsed="false">
      <c r="A1362" s="58"/>
      <c r="B1362" s="73" t="str">
        <f aca="false">IF(A1362="","",COUNTIF(A$5:A1362,A1362))</f>
        <v/>
      </c>
      <c r="C1362" s="73" t="str">
        <f aca="false">IF(A1362="","",A1362&amp;"-"&amp;B1362)</f>
        <v/>
      </c>
      <c r="D1362" s="58"/>
      <c r="E1362" s="57"/>
      <c r="F1362" s="69"/>
      <c r="G1362" s="69"/>
      <c r="H1362" s="74" t="str">
        <f aca="false">IF(A1362="","",IFERROR(INDEX(السندات!$C$5:$C$504,MATCH(A1362,السندات!$A$5:$A$504,0)),""))</f>
        <v/>
      </c>
      <c r="I1362" s="75" t="str">
        <f aca="false">IF(A1362="","",IFERROR(INDEX(السندات!$D$5:$D$504,MATCH(A1362,السندات!$A$5:$A$504,0)),""))</f>
        <v/>
      </c>
      <c r="J1362" s="76" t="str">
        <f aca="false">IF(A1362="","",IF(ISNA(MATCH(A1362,السندات!$A$5:$A$504,0)),"رقم سند غير موجود ✘",IF(AND(F1362&lt;&gt;"",G1362&lt;&gt;""),"اكتب مدين أو دائن فقط ✘",IF(AND(N(F1362)=0,N(G1362)=0),"بدون مبلغ ⚠",IF(B1362&gt;12,"يتجاوز 12 بنداً في الطباعة ⚠","")))))</f>
        <v/>
      </c>
    </row>
    <row r="1363" customFormat="false" ht="15" hidden="false" customHeight="false" outlineLevel="0" collapsed="false">
      <c r="A1363" s="58"/>
      <c r="B1363" s="68" t="str">
        <f aca="false">IF(A1363="","",COUNTIF(A$5:A1363,A1363))</f>
        <v/>
      </c>
      <c r="C1363" s="68" t="str">
        <f aca="false">IF(A1363="","",A1363&amp;"-"&amp;B1363)</f>
        <v/>
      </c>
      <c r="D1363" s="58"/>
      <c r="E1363" s="57"/>
      <c r="F1363" s="69"/>
      <c r="G1363" s="69"/>
      <c r="H1363" s="70" t="str">
        <f aca="false">IF(A1363="","",IFERROR(INDEX(السندات!$C$5:$C$504,MATCH(A1363,السندات!$A$5:$A$504,0)),""))</f>
        <v/>
      </c>
      <c r="I1363" s="71" t="str">
        <f aca="false">IF(A1363="","",IFERROR(INDEX(السندات!$D$5:$D$504,MATCH(A1363,السندات!$A$5:$A$504,0)),""))</f>
        <v/>
      </c>
      <c r="J1363" s="72" t="str">
        <f aca="false">IF(A1363="","",IF(ISNA(MATCH(A1363,السندات!$A$5:$A$504,0)),"رقم سند غير موجود ✘",IF(AND(F1363&lt;&gt;"",G1363&lt;&gt;""),"اكتب مدين أو دائن فقط ✘",IF(AND(N(F1363)=0,N(G1363)=0),"بدون مبلغ ⚠",IF(B1363&gt;12,"يتجاوز 12 بنداً في الطباعة ⚠","")))))</f>
        <v/>
      </c>
    </row>
    <row r="1364" customFormat="false" ht="15" hidden="false" customHeight="false" outlineLevel="0" collapsed="false">
      <c r="A1364" s="58"/>
      <c r="B1364" s="73" t="str">
        <f aca="false">IF(A1364="","",COUNTIF(A$5:A1364,A1364))</f>
        <v/>
      </c>
      <c r="C1364" s="73" t="str">
        <f aca="false">IF(A1364="","",A1364&amp;"-"&amp;B1364)</f>
        <v/>
      </c>
      <c r="D1364" s="58"/>
      <c r="E1364" s="57"/>
      <c r="F1364" s="69"/>
      <c r="G1364" s="69"/>
      <c r="H1364" s="74" t="str">
        <f aca="false">IF(A1364="","",IFERROR(INDEX(السندات!$C$5:$C$504,MATCH(A1364,السندات!$A$5:$A$504,0)),""))</f>
        <v/>
      </c>
      <c r="I1364" s="75" t="str">
        <f aca="false">IF(A1364="","",IFERROR(INDEX(السندات!$D$5:$D$504,MATCH(A1364,السندات!$A$5:$A$504,0)),""))</f>
        <v/>
      </c>
      <c r="J1364" s="76" t="str">
        <f aca="false">IF(A1364="","",IF(ISNA(MATCH(A1364,السندات!$A$5:$A$504,0)),"رقم سند غير موجود ✘",IF(AND(F1364&lt;&gt;"",G1364&lt;&gt;""),"اكتب مدين أو دائن فقط ✘",IF(AND(N(F1364)=0,N(G1364)=0),"بدون مبلغ ⚠",IF(B1364&gt;12,"يتجاوز 12 بنداً في الطباعة ⚠","")))))</f>
        <v/>
      </c>
    </row>
    <row r="1365" customFormat="false" ht="15" hidden="false" customHeight="false" outlineLevel="0" collapsed="false">
      <c r="A1365" s="58"/>
      <c r="B1365" s="68" t="str">
        <f aca="false">IF(A1365="","",COUNTIF(A$5:A1365,A1365))</f>
        <v/>
      </c>
      <c r="C1365" s="68" t="str">
        <f aca="false">IF(A1365="","",A1365&amp;"-"&amp;B1365)</f>
        <v/>
      </c>
      <c r="D1365" s="58"/>
      <c r="E1365" s="57"/>
      <c r="F1365" s="69"/>
      <c r="G1365" s="69"/>
      <c r="H1365" s="70" t="str">
        <f aca="false">IF(A1365="","",IFERROR(INDEX(السندات!$C$5:$C$504,MATCH(A1365,السندات!$A$5:$A$504,0)),""))</f>
        <v/>
      </c>
      <c r="I1365" s="71" t="str">
        <f aca="false">IF(A1365="","",IFERROR(INDEX(السندات!$D$5:$D$504,MATCH(A1365,السندات!$A$5:$A$504,0)),""))</f>
        <v/>
      </c>
      <c r="J1365" s="72" t="str">
        <f aca="false">IF(A1365="","",IF(ISNA(MATCH(A1365,السندات!$A$5:$A$504,0)),"رقم سند غير موجود ✘",IF(AND(F1365&lt;&gt;"",G1365&lt;&gt;""),"اكتب مدين أو دائن فقط ✘",IF(AND(N(F1365)=0,N(G1365)=0),"بدون مبلغ ⚠",IF(B1365&gt;12,"يتجاوز 12 بنداً في الطباعة ⚠","")))))</f>
        <v/>
      </c>
    </row>
    <row r="1366" customFormat="false" ht="15" hidden="false" customHeight="false" outlineLevel="0" collapsed="false">
      <c r="A1366" s="58"/>
      <c r="B1366" s="73" t="str">
        <f aca="false">IF(A1366="","",COUNTIF(A$5:A1366,A1366))</f>
        <v/>
      </c>
      <c r="C1366" s="73" t="str">
        <f aca="false">IF(A1366="","",A1366&amp;"-"&amp;B1366)</f>
        <v/>
      </c>
      <c r="D1366" s="58"/>
      <c r="E1366" s="57"/>
      <c r="F1366" s="69"/>
      <c r="G1366" s="69"/>
      <c r="H1366" s="74" t="str">
        <f aca="false">IF(A1366="","",IFERROR(INDEX(السندات!$C$5:$C$504,MATCH(A1366,السندات!$A$5:$A$504,0)),""))</f>
        <v/>
      </c>
      <c r="I1366" s="75" t="str">
        <f aca="false">IF(A1366="","",IFERROR(INDEX(السندات!$D$5:$D$504,MATCH(A1366,السندات!$A$5:$A$504,0)),""))</f>
        <v/>
      </c>
      <c r="J1366" s="76" t="str">
        <f aca="false">IF(A1366="","",IF(ISNA(MATCH(A1366,السندات!$A$5:$A$504,0)),"رقم سند غير موجود ✘",IF(AND(F1366&lt;&gt;"",G1366&lt;&gt;""),"اكتب مدين أو دائن فقط ✘",IF(AND(N(F1366)=0,N(G1366)=0),"بدون مبلغ ⚠",IF(B1366&gt;12,"يتجاوز 12 بنداً في الطباعة ⚠","")))))</f>
        <v/>
      </c>
    </row>
    <row r="1367" customFormat="false" ht="15" hidden="false" customHeight="false" outlineLevel="0" collapsed="false">
      <c r="A1367" s="58"/>
      <c r="B1367" s="68" t="str">
        <f aca="false">IF(A1367="","",COUNTIF(A$5:A1367,A1367))</f>
        <v/>
      </c>
      <c r="C1367" s="68" t="str">
        <f aca="false">IF(A1367="","",A1367&amp;"-"&amp;B1367)</f>
        <v/>
      </c>
      <c r="D1367" s="58"/>
      <c r="E1367" s="57"/>
      <c r="F1367" s="69"/>
      <c r="G1367" s="69"/>
      <c r="H1367" s="70" t="str">
        <f aca="false">IF(A1367="","",IFERROR(INDEX(السندات!$C$5:$C$504,MATCH(A1367,السندات!$A$5:$A$504,0)),""))</f>
        <v/>
      </c>
      <c r="I1367" s="71" t="str">
        <f aca="false">IF(A1367="","",IFERROR(INDEX(السندات!$D$5:$D$504,MATCH(A1367,السندات!$A$5:$A$504,0)),""))</f>
        <v/>
      </c>
      <c r="J1367" s="72" t="str">
        <f aca="false">IF(A1367="","",IF(ISNA(MATCH(A1367,السندات!$A$5:$A$504,0)),"رقم سند غير موجود ✘",IF(AND(F1367&lt;&gt;"",G1367&lt;&gt;""),"اكتب مدين أو دائن فقط ✘",IF(AND(N(F1367)=0,N(G1367)=0),"بدون مبلغ ⚠",IF(B1367&gt;12,"يتجاوز 12 بنداً في الطباعة ⚠","")))))</f>
        <v/>
      </c>
    </row>
    <row r="1368" customFormat="false" ht="15" hidden="false" customHeight="false" outlineLevel="0" collapsed="false">
      <c r="A1368" s="58"/>
      <c r="B1368" s="73" t="str">
        <f aca="false">IF(A1368="","",COUNTIF(A$5:A1368,A1368))</f>
        <v/>
      </c>
      <c r="C1368" s="73" t="str">
        <f aca="false">IF(A1368="","",A1368&amp;"-"&amp;B1368)</f>
        <v/>
      </c>
      <c r="D1368" s="58"/>
      <c r="E1368" s="57"/>
      <c r="F1368" s="69"/>
      <c r="G1368" s="69"/>
      <c r="H1368" s="74" t="str">
        <f aca="false">IF(A1368="","",IFERROR(INDEX(السندات!$C$5:$C$504,MATCH(A1368,السندات!$A$5:$A$504,0)),""))</f>
        <v/>
      </c>
      <c r="I1368" s="75" t="str">
        <f aca="false">IF(A1368="","",IFERROR(INDEX(السندات!$D$5:$D$504,MATCH(A1368,السندات!$A$5:$A$504,0)),""))</f>
        <v/>
      </c>
      <c r="J1368" s="76" t="str">
        <f aca="false">IF(A1368="","",IF(ISNA(MATCH(A1368,السندات!$A$5:$A$504,0)),"رقم سند غير موجود ✘",IF(AND(F1368&lt;&gt;"",G1368&lt;&gt;""),"اكتب مدين أو دائن فقط ✘",IF(AND(N(F1368)=0,N(G1368)=0),"بدون مبلغ ⚠",IF(B1368&gt;12,"يتجاوز 12 بنداً في الطباعة ⚠","")))))</f>
        <v/>
      </c>
    </row>
    <row r="1369" customFormat="false" ht="15" hidden="false" customHeight="false" outlineLevel="0" collapsed="false">
      <c r="A1369" s="58"/>
      <c r="B1369" s="68" t="str">
        <f aca="false">IF(A1369="","",COUNTIF(A$5:A1369,A1369))</f>
        <v/>
      </c>
      <c r="C1369" s="68" t="str">
        <f aca="false">IF(A1369="","",A1369&amp;"-"&amp;B1369)</f>
        <v/>
      </c>
      <c r="D1369" s="58"/>
      <c r="E1369" s="57"/>
      <c r="F1369" s="69"/>
      <c r="G1369" s="69"/>
      <c r="H1369" s="70" t="str">
        <f aca="false">IF(A1369="","",IFERROR(INDEX(السندات!$C$5:$C$504,MATCH(A1369,السندات!$A$5:$A$504,0)),""))</f>
        <v/>
      </c>
      <c r="I1369" s="71" t="str">
        <f aca="false">IF(A1369="","",IFERROR(INDEX(السندات!$D$5:$D$504,MATCH(A1369,السندات!$A$5:$A$504,0)),""))</f>
        <v/>
      </c>
      <c r="J1369" s="72" t="str">
        <f aca="false">IF(A1369="","",IF(ISNA(MATCH(A1369,السندات!$A$5:$A$504,0)),"رقم سند غير موجود ✘",IF(AND(F1369&lt;&gt;"",G1369&lt;&gt;""),"اكتب مدين أو دائن فقط ✘",IF(AND(N(F1369)=0,N(G1369)=0),"بدون مبلغ ⚠",IF(B1369&gt;12,"يتجاوز 12 بنداً في الطباعة ⚠","")))))</f>
        <v/>
      </c>
    </row>
    <row r="1370" customFormat="false" ht="15" hidden="false" customHeight="false" outlineLevel="0" collapsed="false">
      <c r="A1370" s="58"/>
      <c r="B1370" s="73" t="str">
        <f aca="false">IF(A1370="","",COUNTIF(A$5:A1370,A1370))</f>
        <v/>
      </c>
      <c r="C1370" s="73" t="str">
        <f aca="false">IF(A1370="","",A1370&amp;"-"&amp;B1370)</f>
        <v/>
      </c>
      <c r="D1370" s="58"/>
      <c r="E1370" s="57"/>
      <c r="F1370" s="69"/>
      <c r="G1370" s="69"/>
      <c r="H1370" s="74" t="str">
        <f aca="false">IF(A1370="","",IFERROR(INDEX(السندات!$C$5:$C$504,MATCH(A1370,السندات!$A$5:$A$504,0)),""))</f>
        <v/>
      </c>
      <c r="I1370" s="75" t="str">
        <f aca="false">IF(A1370="","",IFERROR(INDEX(السندات!$D$5:$D$504,MATCH(A1370,السندات!$A$5:$A$504,0)),""))</f>
        <v/>
      </c>
      <c r="J1370" s="76" t="str">
        <f aca="false">IF(A1370="","",IF(ISNA(MATCH(A1370,السندات!$A$5:$A$504,0)),"رقم سند غير موجود ✘",IF(AND(F1370&lt;&gt;"",G1370&lt;&gt;""),"اكتب مدين أو دائن فقط ✘",IF(AND(N(F1370)=0,N(G1370)=0),"بدون مبلغ ⚠",IF(B1370&gt;12,"يتجاوز 12 بنداً في الطباعة ⚠","")))))</f>
        <v/>
      </c>
    </row>
    <row r="1371" customFormat="false" ht="15" hidden="false" customHeight="false" outlineLevel="0" collapsed="false">
      <c r="A1371" s="58"/>
      <c r="B1371" s="68" t="str">
        <f aca="false">IF(A1371="","",COUNTIF(A$5:A1371,A1371))</f>
        <v/>
      </c>
      <c r="C1371" s="68" t="str">
        <f aca="false">IF(A1371="","",A1371&amp;"-"&amp;B1371)</f>
        <v/>
      </c>
      <c r="D1371" s="58"/>
      <c r="E1371" s="57"/>
      <c r="F1371" s="69"/>
      <c r="G1371" s="69"/>
      <c r="H1371" s="70" t="str">
        <f aca="false">IF(A1371="","",IFERROR(INDEX(السندات!$C$5:$C$504,MATCH(A1371,السندات!$A$5:$A$504,0)),""))</f>
        <v/>
      </c>
      <c r="I1371" s="71" t="str">
        <f aca="false">IF(A1371="","",IFERROR(INDEX(السندات!$D$5:$D$504,MATCH(A1371,السندات!$A$5:$A$504,0)),""))</f>
        <v/>
      </c>
      <c r="J1371" s="72" t="str">
        <f aca="false">IF(A1371="","",IF(ISNA(MATCH(A1371,السندات!$A$5:$A$504,0)),"رقم سند غير موجود ✘",IF(AND(F1371&lt;&gt;"",G1371&lt;&gt;""),"اكتب مدين أو دائن فقط ✘",IF(AND(N(F1371)=0,N(G1371)=0),"بدون مبلغ ⚠",IF(B1371&gt;12,"يتجاوز 12 بنداً في الطباعة ⚠","")))))</f>
        <v/>
      </c>
    </row>
    <row r="1372" customFormat="false" ht="15" hidden="false" customHeight="false" outlineLevel="0" collapsed="false">
      <c r="A1372" s="58"/>
      <c r="B1372" s="73" t="str">
        <f aca="false">IF(A1372="","",COUNTIF(A$5:A1372,A1372))</f>
        <v/>
      </c>
      <c r="C1372" s="73" t="str">
        <f aca="false">IF(A1372="","",A1372&amp;"-"&amp;B1372)</f>
        <v/>
      </c>
      <c r="D1372" s="58"/>
      <c r="E1372" s="57"/>
      <c r="F1372" s="69"/>
      <c r="G1372" s="69"/>
      <c r="H1372" s="74" t="str">
        <f aca="false">IF(A1372="","",IFERROR(INDEX(السندات!$C$5:$C$504,MATCH(A1372,السندات!$A$5:$A$504,0)),""))</f>
        <v/>
      </c>
      <c r="I1372" s="75" t="str">
        <f aca="false">IF(A1372="","",IFERROR(INDEX(السندات!$D$5:$D$504,MATCH(A1372,السندات!$A$5:$A$504,0)),""))</f>
        <v/>
      </c>
      <c r="J1372" s="76" t="str">
        <f aca="false">IF(A1372="","",IF(ISNA(MATCH(A1372,السندات!$A$5:$A$504,0)),"رقم سند غير موجود ✘",IF(AND(F1372&lt;&gt;"",G1372&lt;&gt;""),"اكتب مدين أو دائن فقط ✘",IF(AND(N(F1372)=0,N(G1372)=0),"بدون مبلغ ⚠",IF(B1372&gt;12,"يتجاوز 12 بنداً في الطباعة ⚠","")))))</f>
        <v/>
      </c>
    </row>
    <row r="1373" customFormat="false" ht="15" hidden="false" customHeight="false" outlineLevel="0" collapsed="false">
      <c r="A1373" s="58"/>
      <c r="B1373" s="68" t="str">
        <f aca="false">IF(A1373="","",COUNTIF(A$5:A1373,A1373))</f>
        <v/>
      </c>
      <c r="C1373" s="68" t="str">
        <f aca="false">IF(A1373="","",A1373&amp;"-"&amp;B1373)</f>
        <v/>
      </c>
      <c r="D1373" s="58"/>
      <c r="E1373" s="57"/>
      <c r="F1373" s="69"/>
      <c r="G1373" s="69"/>
      <c r="H1373" s="70" t="str">
        <f aca="false">IF(A1373="","",IFERROR(INDEX(السندات!$C$5:$C$504,MATCH(A1373,السندات!$A$5:$A$504,0)),""))</f>
        <v/>
      </c>
      <c r="I1373" s="71" t="str">
        <f aca="false">IF(A1373="","",IFERROR(INDEX(السندات!$D$5:$D$504,MATCH(A1373,السندات!$A$5:$A$504,0)),""))</f>
        <v/>
      </c>
      <c r="J1373" s="72" t="str">
        <f aca="false">IF(A1373="","",IF(ISNA(MATCH(A1373,السندات!$A$5:$A$504,0)),"رقم سند غير موجود ✘",IF(AND(F1373&lt;&gt;"",G1373&lt;&gt;""),"اكتب مدين أو دائن فقط ✘",IF(AND(N(F1373)=0,N(G1373)=0),"بدون مبلغ ⚠",IF(B1373&gt;12,"يتجاوز 12 بنداً في الطباعة ⚠","")))))</f>
        <v/>
      </c>
    </row>
    <row r="1374" customFormat="false" ht="15" hidden="false" customHeight="false" outlineLevel="0" collapsed="false">
      <c r="A1374" s="58"/>
      <c r="B1374" s="73" t="str">
        <f aca="false">IF(A1374="","",COUNTIF(A$5:A1374,A1374))</f>
        <v/>
      </c>
      <c r="C1374" s="73" t="str">
        <f aca="false">IF(A1374="","",A1374&amp;"-"&amp;B1374)</f>
        <v/>
      </c>
      <c r="D1374" s="58"/>
      <c r="E1374" s="57"/>
      <c r="F1374" s="69"/>
      <c r="G1374" s="69"/>
      <c r="H1374" s="74" t="str">
        <f aca="false">IF(A1374="","",IFERROR(INDEX(السندات!$C$5:$C$504,MATCH(A1374,السندات!$A$5:$A$504,0)),""))</f>
        <v/>
      </c>
      <c r="I1374" s="75" t="str">
        <f aca="false">IF(A1374="","",IFERROR(INDEX(السندات!$D$5:$D$504,MATCH(A1374,السندات!$A$5:$A$504,0)),""))</f>
        <v/>
      </c>
      <c r="J1374" s="76" t="str">
        <f aca="false">IF(A1374="","",IF(ISNA(MATCH(A1374,السندات!$A$5:$A$504,0)),"رقم سند غير موجود ✘",IF(AND(F1374&lt;&gt;"",G1374&lt;&gt;""),"اكتب مدين أو دائن فقط ✘",IF(AND(N(F1374)=0,N(G1374)=0),"بدون مبلغ ⚠",IF(B1374&gt;12,"يتجاوز 12 بنداً في الطباعة ⚠","")))))</f>
        <v/>
      </c>
    </row>
    <row r="1375" customFormat="false" ht="15" hidden="false" customHeight="false" outlineLevel="0" collapsed="false">
      <c r="A1375" s="58"/>
      <c r="B1375" s="68" t="str">
        <f aca="false">IF(A1375="","",COUNTIF(A$5:A1375,A1375))</f>
        <v/>
      </c>
      <c r="C1375" s="68" t="str">
        <f aca="false">IF(A1375="","",A1375&amp;"-"&amp;B1375)</f>
        <v/>
      </c>
      <c r="D1375" s="58"/>
      <c r="E1375" s="57"/>
      <c r="F1375" s="69"/>
      <c r="G1375" s="69"/>
      <c r="H1375" s="70" t="str">
        <f aca="false">IF(A1375="","",IFERROR(INDEX(السندات!$C$5:$C$504,MATCH(A1375,السندات!$A$5:$A$504,0)),""))</f>
        <v/>
      </c>
      <c r="I1375" s="71" t="str">
        <f aca="false">IF(A1375="","",IFERROR(INDEX(السندات!$D$5:$D$504,MATCH(A1375,السندات!$A$5:$A$504,0)),""))</f>
        <v/>
      </c>
      <c r="J1375" s="72" t="str">
        <f aca="false">IF(A1375="","",IF(ISNA(MATCH(A1375,السندات!$A$5:$A$504,0)),"رقم سند غير موجود ✘",IF(AND(F1375&lt;&gt;"",G1375&lt;&gt;""),"اكتب مدين أو دائن فقط ✘",IF(AND(N(F1375)=0,N(G1375)=0),"بدون مبلغ ⚠",IF(B1375&gt;12,"يتجاوز 12 بنداً في الطباعة ⚠","")))))</f>
        <v/>
      </c>
    </row>
    <row r="1376" customFormat="false" ht="15" hidden="false" customHeight="false" outlineLevel="0" collapsed="false">
      <c r="A1376" s="58"/>
      <c r="B1376" s="73" t="str">
        <f aca="false">IF(A1376="","",COUNTIF(A$5:A1376,A1376))</f>
        <v/>
      </c>
      <c r="C1376" s="73" t="str">
        <f aca="false">IF(A1376="","",A1376&amp;"-"&amp;B1376)</f>
        <v/>
      </c>
      <c r="D1376" s="58"/>
      <c r="E1376" s="57"/>
      <c r="F1376" s="69"/>
      <c r="G1376" s="69"/>
      <c r="H1376" s="74" t="str">
        <f aca="false">IF(A1376="","",IFERROR(INDEX(السندات!$C$5:$C$504,MATCH(A1376,السندات!$A$5:$A$504,0)),""))</f>
        <v/>
      </c>
      <c r="I1376" s="75" t="str">
        <f aca="false">IF(A1376="","",IFERROR(INDEX(السندات!$D$5:$D$504,MATCH(A1376,السندات!$A$5:$A$504,0)),""))</f>
        <v/>
      </c>
      <c r="J1376" s="76" t="str">
        <f aca="false">IF(A1376="","",IF(ISNA(MATCH(A1376,السندات!$A$5:$A$504,0)),"رقم سند غير موجود ✘",IF(AND(F1376&lt;&gt;"",G1376&lt;&gt;""),"اكتب مدين أو دائن فقط ✘",IF(AND(N(F1376)=0,N(G1376)=0),"بدون مبلغ ⚠",IF(B1376&gt;12,"يتجاوز 12 بنداً في الطباعة ⚠","")))))</f>
        <v/>
      </c>
    </row>
    <row r="1377" customFormat="false" ht="15" hidden="false" customHeight="false" outlineLevel="0" collapsed="false">
      <c r="A1377" s="58"/>
      <c r="B1377" s="68" t="str">
        <f aca="false">IF(A1377="","",COUNTIF(A$5:A1377,A1377))</f>
        <v/>
      </c>
      <c r="C1377" s="68" t="str">
        <f aca="false">IF(A1377="","",A1377&amp;"-"&amp;B1377)</f>
        <v/>
      </c>
      <c r="D1377" s="58"/>
      <c r="E1377" s="57"/>
      <c r="F1377" s="69"/>
      <c r="G1377" s="69"/>
      <c r="H1377" s="70" t="str">
        <f aca="false">IF(A1377="","",IFERROR(INDEX(السندات!$C$5:$C$504,MATCH(A1377,السندات!$A$5:$A$504,0)),""))</f>
        <v/>
      </c>
      <c r="I1377" s="71" t="str">
        <f aca="false">IF(A1377="","",IFERROR(INDEX(السندات!$D$5:$D$504,MATCH(A1377,السندات!$A$5:$A$504,0)),""))</f>
        <v/>
      </c>
      <c r="J1377" s="72" t="str">
        <f aca="false">IF(A1377="","",IF(ISNA(MATCH(A1377,السندات!$A$5:$A$504,0)),"رقم سند غير موجود ✘",IF(AND(F1377&lt;&gt;"",G1377&lt;&gt;""),"اكتب مدين أو دائن فقط ✘",IF(AND(N(F1377)=0,N(G1377)=0),"بدون مبلغ ⚠",IF(B1377&gt;12,"يتجاوز 12 بنداً في الطباعة ⚠","")))))</f>
        <v/>
      </c>
    </row>
    <row r="1378" customFormat="false" ht="15" hidden="false" customHeight="false" outlineLevel="0" collapsed="false">
      <c r="A1378" s="58"/>
      <c r="B1378" s="73" t="str">
        <f aca="false">IF(A1378="","",COUNTIF(A$5:A1378,A1378))</f>
        <v/>
      </c>
      <c r="C1378" s="73" t="str">
        <f aca="false">IF(A1378="","",A1378&amp;"-"&amp;B1378)</f>
        <v/>
      </c>
      <c r="D1378" s="58"/>
      <c r="E1378" s="57"/>
      <c r="F1378" s="69"/>
      <c r="G1378" s="69"/>
      <c r="H1378" s="74" t="str">
        <f aca="false">IF(A1378="","",IFERROR(INDEX(السندات!$C$5:$C$504,MATCH(A1378,السندات!$A$5:$A$504,0)),""))</f>
        <v/>
      </c>
      <c r="I1378" s="75" t="str">
        <f aca="false">IF(A1378="","",IFERROR(INDEX(السندات!$D$5:$D$504,MATCH(A1378,السندات!$A$5:$A$504,0)),""))</f>
        <v/>
      </c>
      <c r="J1378" s="76" t="str">
        <f aca="false">IF(A1378="","",IF(ISNA(MATCH(A1378,السندات!$A$5:$A$504,0)),"رقم سند غير موجود ✘",IF(AND(F1378&lt;&gt;"",G1378&lt;&gt;""),"اكتب مدين أو دائن فقط ✘",IF(AND(N(F1378)=0,N(G1378)=0),"بدون مبلغ ⚠",IF(B1378&gt;12,"يتجاوز 12 بنداً في الطباعة ⚠","")))))</f>
        <v/>
      </c>
    </row>
    <row r="1379" customFormat="false" ht="15" hidden="false" customHeight="false" outlineLevel="0" collapsed="false">
      <c r="A1379" s="58"/>
      <c r="B1379" s="68" t="str">
        <f aca="false">IF(A1379="","",COUNTIF(A$5:A1379,A1379))</f>
        <v/>
      </c>
      <c r="C1379" s="68" t="str">
        <f aca="false">IF(A1379="","",A1379&amp;"-"&amp;B1379)</f>
        <v/>
      </c>
      <c r="D1379" s="58"/>
      <c r="E1379" s="57"/>
      <c r="F1379" s="69"/>
      <c r="G1379" s="69"/>
      <c r="H1379" s="70" t="str">
        <f aca="false">IF(A1379="","",IFERROR(INDEX(السندات!$C$5:$C$504,MATCH(A1379,السندات!$A$5:$A$504,0)),""))</f>
        <v/>
      </c>
      <c r="I1379" s="71" t="str">
        <f aca="false">IF(A1379="","",IFERROR(INDEX(السندات!$D$5:$D$504,MATCH(A1379,السندات!$A$5:$A$504,0)),""))</f>
        <v/>
      </c>
      <c r="J1379" s="72" t="str">
        <f aca="false">IF(A1379="","",IF(ISNA(MATCH(A1379,السندات!$A$5:$A$504,0)),"رقم سند غير موجود ✘",IF(AND(F1379&lt;&gt;"",G1379&lt;&gt;""),"اكتب مدين أو دائن فقط ✘",IF(AND(N(F1379)=0,N(G1379)=0),"بدون مبلغ ⚠",IF(B1379&gt;12,"يتجاوز 12 بنداً في الطباعة ⚠","")))))</f>
        <v/>
      </c>
    </row>
    <row r="1380" customFormat="false" ht="15" hidden="false" customHeight="false" outlineLevel="0" collapsed="false">
      <c r="A1380" s="58"/>
      <c r="B1380" s="73" t="str">
        <f aca="false">IF(A1380="","",COUNTIF(A$5:A1380,A1380))</f>
        <v/>
      </c>
      <c r="C1380" s="73" t="str">
        <f aca="false">IF(A1380="","",A1380&amp;"-"&amp;B1380)</f>
        <v/>
      </c>
      <c r="D1380" s="58"/>
      <c r="E1380" s="57"/>
      <c r="F1380" s="69"/>
      <c r="G1380" s="69"/>
      <c r="H1380" s="74" t="str">
        <f aca="false">IF(A1380="","",IFERROR(INDEX(السندات!$C$5:$C$504,MATCH(A1380,السندات!$A$5:$A$504,0)),""))</f>
        <v/>
      </c>
      <c r="I1380" s="75" t="str">
        <f aca="false">IF(A1380="","",IFERROR(INDEX(السندات!$D$5:$D$504,MATCH(A1380,السندات!$A$5:$A$504,0)),""))</f>
        <v/>
      </c>
      <c r="J1380" s="76" t="str">
        <f aca="false">IF(A1380="","",IF(ISNA(MATCH(A1380,السندات!$A$5:$A$504,0)),"رقم سند غير موجود ✘",IF(AND(F1380&lt;&gt;"",G1380&lt;&gt;""),"اكتب مدين أو دائن فقط ✘",IF(AND(N(F1380)=0,N(G1380)=0),"بدون مبلغ ⚠",IF(B1380&gt;12,"يتجاوز 12 بنداً في الطباعة ⚠","")))))</f>
        <v/>
      </c>
    </row>
    <row r="1381" customFormat="false" ht="15" hidden="false" customHeight="false" outlineLevel="0" collapsed="false">
      <c r="A1381" s="58"/>
      <c r="B1381" s="68" t="str">
        <f aca="false">IF(A1381="","",COUNTIF(A$5:A1381,A1381))</f>
        <v/>
      </c>
      <c r="C1381" s="68" t="str">
        <f aca="false">IF(A1381="","",A1381&amp;"-"&amp;B1381)</f>
        <v/>
      </c>
      <c r="D1381" s="58"/>
      <c r="E1381" s="57"/>
      <c r="F1381" s="69"/>
      <c r="G1381" s="69"/>
      <c r="H1381" s="70" t="str">
        <f aca="false">IF(A1381="","",IFERROR(INDEX(السندات!$C$5:$C$504,MATCH(A1381,السندات!$A$5:$A$504,0)),""))</f>
        <v/>
      </c>
      <c r="I1381" s="71" t="str">
        <f aca="false">IF(A1381="","",IFERROR(INDEX(السندات!$D$5:$D$504,MATCH(A1381,السندات!$A$5:$A$504,0)),""))</f>
        <v/>
      </c>
      <c r="J1381" s="72" t="str">
        <f aca="false">IF(A1381="","",IF(ISNA(MATCH(A1381,السندات!$A$5:$A$504,0)),"رقم سند غير موجود ✘",IF(AND(F1381&lt;&gt;"",G1381&lt;&gt;""),"اكتب مدين أو دائن فقط ✘",IF(AND(N(F1381)=0,N(G1381)=0),"بدون مبلغ ⚠",IF(B1381&gt;12,"يتجاوز 12 بنداً في الطباعة ⚠","")))))</f>
        <v/>
      </c>
    </row>
    <row r="1382" customFormat="false" ht="15" hidden="false" customHeight="false" outlineLevel="0" collapsed="false">
      <c r="A1382" s="58"/>
      <c r="B1382" s="73" t="str">
        <f aca="false">IF(A1382="","",COUNTIF(A$5:A1382,A1382))</f>
        <v/>
      </c>
      <c r="C1382" s="73" t="str">
        <f aca="false">IF(A1382="","",A1382&amp;"-"&amp;B1382)</f>
        <v/>
      </c>
      <c r="D1382" s="58"/>
      <c r="E1382" s="57"/>
      <c r="F1382" s="69"/>
      <c r="G1382" s="69"/>
      <c r="H1382" s="74" t="str">
        <f aca="false">IF(A1382="","",IFERROR(INDEX(السندات!$C$5:$C$504,MATCH(A1382,السندات!$A$5:$A$504,0)),""))</f>
        <v/>
      </c>
      <c r="I1382" s="75" t="str">
        <f aca="false">IF(A1382="","",IFERROR(INDEX(السندات!$D$5:$D$504,MATCH(A1382,السندات!$A$5:$A$504,0)),""))</f>
        <v/>
      </c>
      <c r="J1382" s="76" t="str">
        <f aca="false">IF(A1382="","",IF(ISNA(MATCH(A1382,السندات!$A$5:$A$504,0)),"رقم سند غير موجود ✘",IF(AND(F1382&lt;&gt;"",G1382&lt;&gt;""),"اكتب مدين أو دائن فقط ✘",IF(AND(N(F1382)=0,N(G1382)=0),"بدون مبلغ ⚠",IF(B1382&gt;12,"يتجاوز 12 بنداً في الطباعة ⚠","")))))</f>
        <v/>
      </c>
    </row>
    <row r="1383" customFormat="false" ht="15" hidden="false" customHeight="false" outlineLevel="0" collapsed="false">
      <c r="A1383" s="58"/>
      <c r="B1383" s="68" t="str">
        <f aca="false">IF(A1383="","",COUNTIF(A$5:A1383,A1383))</f>
        <v/>
      </c>
      <c r="C1383" s="68" t="str">
        <f aca="false">IF(A1383="","",A1383&amp;"-"&amp;B1383)</f>
        <v/>
      </c>
      <c r="D1383" s="58"/>
      <c r="E1383" s="57"/>
      <c r="F1383" s="69"/>
      <c r="G1383" s="69"/>
      <c r="H1383" s="70" t="str">
        <f aca="false">IF(A1383="","",IFERROR(INDEX(السندات!$C$5:$C$504,MATCH(A1383,السندات!$A$5:$A$504,0)),""))</f>
        <v/>
      </c>
      <c r="I1383" s="71" t="str">
        <f aca="false">IF(A1383="","",IFERROR(INDEX(السندات!$D$5:$D$504,MATCH(A1383,السندات!$A$5:$A$504,0)),""))</f>
        <v/>
      </c>
      <c r="J1383" s="72" t="str">
        <f aca="false">IF(A1383="","",IF(ISNA(MATCH(A1383,السندات!$A$5:$A$504,0)),"رقم سند غير موجود ✘",IF(AND(F1383&lt;&gt;"",G1383&lt;&gt;""),"اكتب مدين أو دائن فقط ✘",IF(AND(N(F1383)=0,N(G1383)=0),"بدون مبلغ ⚠",IF(B1383&gt;12,"يتجاوز 12 بنداً في الطباعة ⚠","")))))</f>
        <v/>
      </c>
    </row>
    <row r="1384" customFormat="false" ht="15" hidden="false" customHeight="false" outlineLevel="0" collapsed="false">
      <c r="A1384" s="58"/>
      <c r="B1384" s="73" t="str">
        <f aca="false">IF(A1384="","",COUNTIF(A$5:A1384,A1384))</f>
        <v/>
      </c>
      <c r="C1384" s="73" t="str">
        <f aca="false">IF(A1384="","",A1384&amp;"-"&amp;B1384)</f>
        <v/>
      </c>
      <c r="D1384" s="58"/>
      <c r="E1384" s="57"/>
      <c r="F1384" s="69"/>
      <c r="G1384" s="69"/>
      <c r="H1384" s="74" t="str">
        <f aca="false">IF(A1384="","",IFERROR(INDEX(السندات!$C$5:$C$504,MATCH(A1384,السندات!$A$5:$A$504,0)),""))</f>
        <v/>
      </c>
      <c r="I1384" s="75" t="str">
        <f aca="false">IF(A1384="","",IFERROR(INDEX(السندات!$D$5:$D$504,MATCH(A1384,السندات!$A$5:$A$504,0)),""))</f>
        <v/>
      </c>
      <c r="J1384" s="76" t="str">
        <f aca="false">IF(A1384="","",IF(ISNA(MATCH(A1384,السندات!$A$5:$A$504,0)),"رقم سند غير موجود ✘",IF(AND(F1384&lt;&gt;"",G1384&lt;&gt;""),"اكتب مدين أو دائن فقط ✘",IF(AND(N(F1384)=0,N(G1384)=0),"بدون مبلغ ⚠",IF(B1384&gt;12,"يتجاوز 12 بنداً في الطباعة ⚠","")))))</f>
        <v/>
      </c>
    </row>
    <row r="1385" customFormat="false" ht="15" hidden="false" customHeight="false" outlineLevel="0" collapsed="false">
      <c r="A1385" s="58"/>
      <c r="B1385" s="68" t="str">
        <f aca="false">IF(A1385="","",COUNTIF(A$5:A1385,A1385))</f>
        <v/>
      </c>
      <c r="C1385" s="68" t="str">
        <f aca="false">IF(A1385="","",A1385&amp;"-"&amp;B1385)</f>
        <v/>
      </c>
      <c r="D1385" s="58"/>
      <c r="E1385" s="57"/>
      <c r="F1385" s="69"/>
      <c r="G1385" s="69"/>
      <c r="H1385" s="70" t="str">
        <f aca="false">IF(A1385="","",IFERROR(INDEX(السندات!$C$5:$C$504,MATCH(A1385,السندات!$A$5:$A$504,0)),""))</f>
        <v/>
      </c>
      <c r="I1385" s="71" t="str">
        <f aca="false">IF(A1385="","",IFERROR(INDEX(السندات!$D$5:$D$504,MATCH(A1385,السندات!$A$5:$A$504,0)),""))</f>
        <v/>
      </c>
      <c r="J1385" s="72" t="str">
        <f aca="false">IF(A1385="","",IF(ISNA(MATCH(A1385,السندات!$A$5:$A$504,0)),"رقم سند غير موجود ✘",IF(AND(F1385&lt;&gt;"",G1385&lt;&gt;""),"اكتب مدين أو دائن فقط ✘",IF(AND(N(F1385)=0,N(G1385)=0),"بدون مبلغ ⚠",IF(B1385&gt;12,"يتجاوز 12 بنداً في الطباعة ⚠","")))))</f>
        <v/>
      </c>
    </row>
    <row r="1386" customFormat="false" ht="15" hidden="false" customHeight="false" outlineLevel="0" collapsed="false">
      <c r="A1386" s="58"/>
      <c r="B1386" s="73" t="str">
        <f aca="false">IF(A1386="","",COUNTIF(A$5:A1386,A1386))</f>
        <v/>
      </c>
      <c r="C1386" s="73" t="str">
        <f aca="false">IF(A1386="","",A1386&amp;"-"&amp;B1386)</f>
        <v/>
      </c>
      <c r="D1386" s="58"/>
      <c r="E1386" s="57"/>
      <c r="F1386" s="69"/>
      <c r="G1386" s="69"/>
      <c r="H1386" s="74" t="str">
        <f aca="false">IF(A1386="","",IFERROR(INDEX(السندات!$C$5:$C$504,MATCH(A1386,السندات!$A$5:$A$504,0)),""))</f>
        <v/>
      </c>
      <c r="I1386" s="75" t="str">
        <f aca="false">IF(A1386="","",IFERROR(INDEX(السندات!$D$5:$D$504,MATCH(A1386,السندات!$A$5:$A$504,0)),""))</f>
        <v/>
      </c>
      <c r="J1386" s="76" t="str">
        <f aca="false">IF(A1386="","",IF(ISNA(MATCH(A1386,السندات!$A$5:$A$504,0)),"رقم سند غير موجود ✘",IF(AND(F1386&lt;&gt;"",G1386&lt;&gt;""),"اكتب مدين أو دائن فقط ✘",IF(AND(N(F1386)=0,N(G1386)=0),"بدون مبلغ ⚠",IF(B1386&gt;12,"يتجاوز 12 بنداً في الطباعة ⚠","")))))</f>
        <v/>
      </c>
    </row>
    <row r="1387" customFormat="false" ht="15" hidden="false" customHeight="false" outlineLevel="0" collapsed="false">
      <c r="A1387" s="58"/>
      <c r="B1387" s="68" t="str">
        <f aca="false">IF(A1387="","",COUNTIF(A$5:A1387,A1387))</f>
        <v/>
      </c>
      <c r="C1387" s="68" t="str">
        <f aca="false">IF(A1387="","",A1387&amp;"-"&amp;B1387)</f>
        <v/>
      </c>
      <c r="D1387" s="58"/>
      <c r="E1387" s="57"/>
      <c r="F1387" s="69"/>
      <c r="G1387" s="69"/>
      <c r="H1387" s="70" t="str">
        <f aca="false">IF(A1387="","",IFERROR(INDEX(السندات!$C$5:$C$504,MATCH(A1387,السندات!$A$5:$A$504,0)),""))</f>
        <v/>
      </c>
      <c r="I1387" s="71" t="str">
        <f aca="false">IF(A1387="","",IFERROR(INDEX(السندات!$D$5:$D$504,MATCH(A1387,السندات!$A$5:$A$504,0)),""))</f>
        <v/>
      </c>
      <c r="J1387" s="72" t="str">
        <f aca="false">IF(A1387="","",IF(ISNA(MATCH(A1387,السندات!$A$5:$A$504,0)),"رقم سند غير موجود ✘",IF(AND(F1387&lt;&gt;"",G1387&lt;&gt;""),"اكتب مدين أو دائن فقط ✘",IF(AND(N(F1387)=0,N(G1387)=0),"بدون مبلغ ⚠",IF(B1387&gt;12,"يتجاوز 12 بنداً في الطباعة ⚠","")))))</f>
        <v/>
      </c>
    </row>
    <row r="1388" customFormat="false" ht="15" hidden="false" customHeight="false" outlineLevel="0" collapsed="false">
      <c r="A1388" s="58"/>
      <c r="B1388" s="73" t="str">
        <f aca="false">IF(A1388="","",COUNTIF(A$5:A1388,A1388))</f>
        <v/>
      </c>
      <c r="C1388" s="73" t="str">
        <f aca="false">IF(A1388="","",A1388&amp;"-"&amp;B1388)</f>
        <v/>
      </c>
      <c r="D1388" s="58"/>
      <c r="E1388" s="57"/>
      <c r="F1388" s="69"/>
      <c r="G1388" s="69"/>
      <c r="H1388" s="74" t="str">
        <f aca="false">IF(A1388="","",IFERROR(INDEX(السندات!$C$5:$C$504,MATCH(A1388,السندات!$A$5:$A$504,0)),""))</f>
        <v/>
      </c>
      <c r="I1388" s="75" t="str">
        <f aca="false">IF(A1388="","",IFERROR(INDEX(السندات!$D$5:$D$504,MATCH(A1388,السندات!$A$5:$A$504,0)),""))</f>
        <v/>
      </c>
      <c r="J1388" s="76" t="str">
        <f aca="false">IF(A1388="","",IF(ISNA(MATCH(A1388,السندات!$A$5:$A$504,0)),"رقم سند غير موجود ✘",IF(AND(F1388&lt;&gt;"",G1388&lt;&gt;""),"اكتب مدين أو دائن فقط ✘",IF(AND(N(F1388)=0,N(G1388)=0),"بدون مبلغ ⚠",IF(B1388&gt;12,"يتجاوز 12 بنداً في الطباعة ⚠","")))))</f>
        <v/>
      </c>
    </row>
    <row r="1389" customFormat="false" ht="15" hidden="false" customHeight="false" outlineLevel="0" collapsed="false">
      <c r="A1389" s="58"/>
      <c r="B1389" s="68" t="str">
        <f aca="false">IF(A1389="","",COUNTIF(A$5:A1389,A1389))</f>
        <v/>
      </c>
      <c r="C1389" s="68" t="str">
        <f aca="false">IF(A1389="","",A1389&amp;"-"&amp;B1389)</f>
        <v/>
      </c>
      <c r="D1389" s="58"/>
      <c r="E1389" s="57"/>
      <c r="F1389" s="69"/>
      <c r="G1389" s="69"/>
      <c r="H1389" s="70" t="str">
        <f aca="false">IF(A1389="","",IFERROR(INDEX(السندات!$C$5:$C$504,MATCH(A1389,السندات!$A$5:$A$504,0)),""))</f>
        <v/>
      </c>
      <c r="I1389" s="71" t="str">
        <f aca="false">IF(A1389="","",IFERROR(INDEX(السندات!$D$5:$D$504,MATCH(A1389,السندات!$A$5:$A$504,0)),""))</f>
        <v/>
      </c>
      <c r="J1389" s="72" t="str">
        <f aca="false">IF(A1389="","",IF(ISNA(MATCH(A1389,السندات!$A$5:$A$504,0)),"رقم سند غير موجود ✘",IF(AND(F1389&lt;&gt;"",G1389&lt;&gt;""),"اكتب مدين أو دائن فقط ✘",IF(AND(N(F1389)=0,N(G1389)=0),"بدون مبلغ ⚠",IF(B1389&gt;12,"يتجاوز 12 بنداً في الطباعة ⚠","")))))</f>
        <v/>
      </c>
    </row>
    <row r="1390" customFormat="false" ht="15" hidden="false" customHeight="false" outlineLevel="0" collapsed="false">
      <c r="A1390" s="58"/>
      <c r="B1390" s="73" t="str">
        <f aca="false">IF(A1390="","",COUNTIF(A$5:A1390,A1390))</f>
        <v/>
      </c>
      <c r="C1390" s="73" t="str">
        <f aca="false">IF(A1390="","",A1390&amp;"-"&amp;B1390)</f>
        <v/>
      </c>
      <c r="D1390" s="58"/>
      <c r="E1390" s="57"/>
      <c r="F1390" s="69"/>
      <c r="G1390" s="69"/>
      <c r="H1390" s="74" t="str">
        <f aca="false">IF(A1390="","",IFERROR(INDEX(السندات!$C$5:$C$504,MATCH(A1390,السندات!$A$5:$A$504,0)),""))</f>
        <v/>
      </c>
      <c r="I1390" s="75" t="str">
        <f aca="false">IF(A1390="","",IFERROR(INDEX(السندات!$D$5:$D$504,MATCH(A1390,السندات!$A$5:$A$504,0)),""))</f>
        <v/>
      </c>
      <c r="J1390" s="76" t="str">
        <f aca="false">IF(A1390="","",IF(ISNA(MATCH(A1390,السندات!$A$5:$A$504,0)),"رقم سند غير موجود ✘",IF(AND(F1390&lt;&gt;"",G1390&lt;&gt;""),"اكتب مدين أو دائن فقط ✘",IF(AND(N(F1390)=0,N(G1390)=0),"بدون مبلغ ⚠",IF(B1390&gt;12,"يتجاوز 12 بنداً في الطباعة ⚠","")))))</f>
        <v/>
      </c>
    </row>
    <row r="1391" customFormat="false" ht="15" hidden="false" customHeight="false" outlineLevel="0" collapsed="false">
      <c r="A1391" s="58"/>
      <c r="B1391" s="68" t="str">
        <f aca="false">IF(A1391="","",COUNTIF(A$5:A1391,A1391))</f>
        <v/>
      </c>
      <c r="C1391" s="68" t="str">
        <f aca="false">IF(A1391="","",A1391&amp;"-"&amp;B1391)</f>
        <v/>
      </c>
      <c r="D1391" s="58"/>
      <c r="E1391" s="57"/>
      <c r="F1391" s="69"/>
      <c r="G1391" s="69"/>
      <c r="H1391" s="70" t="str">
        <f aca="false">IF(A1391="","",IFERROR(INDEX(السندات!$C$5:$C$504,MATCH(A1391,السندات!$A$5:$A$504,0)),""))</f>
        <v/>
      </c>
      <c r="I1391" s="71" t="str">
        <f aca="false">IF(A1391="","",IFERROR(INDEX(السندات!$D$5:$D$504,MATCH(A1391,السندات!$A$5:$A$504,0)),""))</f>
        <v/>
      </c>
      <c r="J1391" s="72" t="str">
        <f aca="false">IF(A1391="","",IF(ISNA(MATCH(A1391,السندات!$A$5:$A$504,0)),"رقم سند غير موجود ✘",IF(AND(F1391&lt;&gt;"",G1391&lt;&gt;""),"اكتب مدين أو دائن فقط ✘",IF(AND(N(F1391)=0,N(G1391)=0),"بدون مبلغ ⚠",IF(B1391&gt;12,"يتجاوز 12 بنداً في الطباعة ⚠","")))))</f>
        <v/>
      </c>
    </row>
    <row r="1392" customFormat="false" ht="15" hidden="false" customHeight="false" outlineLevel="0" collapsed="false">
      <c r="A1392" s="58"/>
      <c r="B1392" s="73" t="str">
        <f aca="false">IF(A1392="","",COUNTIF(A$5:A1392,A1392))</f>
        <v/>
      </c>
      <c r="C1392" s="73" t="str">
        <f aca="false">IF(A1392="","",A1392&amp;"-"&amp;B1392)</f>
        <v/>
      </c>
      <c r="D1392" s="58"/>
      <c r="E1392" s="57"/>
      <c r="F1392" s="69"/>
      <c r="G1392" s="69"/>
      <c r="H1392" s="74" t="str">
        <f aca="false">IF(A1392="","",IFERROR(INDEX(السندات!$C$5:$C$504,MATCH(A1392,السندات!$A$5:$A$504,0)),""))</f>
        <v/>
      </c>
      <c r="I1392" s="75" t="str">
        <f aca="false">IF(A1392="","",IFERROR(INDEX(السندات!$D$5:$D$504,MATCH(A1392,السندات!$A$5:$A$504,0)),""))</f>
        <v/>
      </c>
      <c r="J1392" s="76" t="str">
        <f aca="false">IF(A1392="","",IF(ISNA(MATCH(A1392,السندات!$A$5:$A$504,0)),"رقم سند غير موجود ✘",IF(AND(F1392&lt;&gt;"",G1392&lt;&gt;""),"اكتب مدين أو دائن فقط ✘",IF(AND(N(F1392)=0,N(G1392)=0),"بدون مبلغ ⚠",IF(B1392&gt;12,"يتجاوز 12 بنداً في الطباعة ⚠","")))))</f>
        <v/>
      </c>
    </row>
    <row r="1393" customFormat="false" ht="15" hidden="false" customHeight="false" outlineLevel="0" collapsed="false">
      <c r="A1393" s="58"/>
      <c r="B1393" s="68" t="str">
        <f aca="false">IF(A1393="","",COUNTIF(A$5:A1393,A1393))</f>
        <v/>
      </c>
      <c r="C1393" s="68" t="str">
        <f aca="false">IF(A1393="","",A1393&amp;"-"&amp;B1393)</f>
        <v/>
      </c>
      <c r="D1393" s="58"/>
      <c r="E1393" s="57"/>
      <c r="F1393" s="69"/>
      <c r="G1393" s="69"/>
      <c r="H1393" s="70" t="str">
        <f aca="false">IF(A1393="","",IFERROR(INDEX(السندات!$C$5:$C$504,MATCH(A1393,السندات!$A$5:$A$504,0)),""))</f>
        <v/>
      </c>
      <c r="I1393" s="71" t="str">
        <f aca="false">IF(A1393="","",IFERROR(INDEX(السندات!$D$5:$D$504,MATCH(A1393,السندات!$A$5:$A$504,0)),""))</f>
        <v/>
      </c>
      <c r="J1393" s="72" t="str">
        <f aca="false">IF(A1393="","",IF(ISNA(MATCH(A1393,السندات!$A$5:$A$504,0)),"رقم سند غير موجود ✘",IF(AND(F1393&lt;&gt;"",G1393&lt;&gt;""),"اكتب مدين أو دائن فقط ✘",IF(AND(N(F1393)=0,N(G1393)=0),"بدون مبلغ ⚠",IF(B1393&gt;12,"يتجاوز 12 بنداً في الطباعة ⚠","")))))</f>
        <v/>
      </c>
    </row>
    <row r="1394" customFormat="false" ht="15" hidden="false" customHeight="false" outlineLevel="0" collapsed="false">
      <c r="A1394" s="58"/>
      <c r="B1394" s="73" t="str">
        <f aca="false">IF(A1394="","",COUNTIF(A$5:A1394,A1394))</f>
        <v/>
      </c>
      <c r="C1394" s="73" t="str">
        <f aca="false">IF(A1394="","",A1394&amp;"-"&amp;B1394)</f>
        <v/>
      </c>
      <c r="D1394" s="58"/>
      <c r="E1394" s="57"/>
      <c r="F1394" s="69"/>
      <c r="G1394" s="69"/>
      <c r="H1394" s="74" t="str">
        <f aca="false">IF(A1394="","",IFERROR(INDEX(السندات!$C$5:$C$504,MATCH(A1394,السندات!$A$5:$A$504,0)),""))</f>
        <v/>
      </c>
      <c r="I1394" s="75" t="str">
        <f aca="false">IF(A1394="","",IFERROR(INDEX(السندات!$D$5:$D$504,MATCH(A1394,السندات!$A$5:$A$504,0)),""))</f>
        <v/>
      </c>
      <c r="J1394" s="76" t="str">
        <f aca="false">IF(A1394="","",IF(ISNA(MATCH(A1394,السندات!$A$5:$A$504,0)),"رقم سند غير موجود ✘",IF(AND(F1394&lt;&gt;"",G1394&lt;&gt;""),"اكتب مدين أو دائن فقط ✘",IF(AND(N(F1394)=0,N(G1394)=0),"بدون مبلغ ⚠",IF(B1394&gt;12,"يتجاوز 12 بنداً في الطباعة ⚠","")))))</f>
        <v/>
      </c>
    </row>
    <row r="1395" customFormat="false" ht="15" hidden="false" customHeight="false" outlineLevel="0" collapsed="false">
      <c r="A1395" s="58"/>
      <c r="B1395" s="68" t="str">
        <f aca="false">IF(A1395="","",COUNTIF(A$5:A1395,A1395))</f>
        <v/>
      </c>
      <c r="C1395" s="68" t="str">
        <f aca="false">IF(A1395="","",A1395&amp;"-"&amp;B1395)</f>
        <v/>
      </c>
      <c r="D1395" s="58"/>
      <c r="E1395" s="57"/>
      <c r="F1395" s="69"/>
      <c r="G1395" s="69"/>
      <c r="H1395" s="70" t="str">
        <f aca="false">IF(A1395="","",IFERROR(INDEX(السندات!$C$5:$C$504,MATCH(A1395,السندات!$A$5:$A$504,0)),""))</f>
        <v/>
      </c>
      <c r="I1395" s="71" t="str">
        <f aca="false">IF(A1395="","",IFERROR(INDEX(السندات!$D$5:$D$504,MATCH(A1395,السندات!$A$5:$A$504,0)),""))</f>
        <v/>
      </c>
      <c r="J1395" s="72" t="str">
        <f aca="false">IF(A1395="","",IF(ISNA(MATCH(A1395,السندات!$A$5:$A$504,0)),"رقم سند غير موجود ✘",IF(AND(F1395&lt;&gt;"",G1395&lt;&gt;""),"اكتب مدين أو دائن فقط ✘",IF(AND(N(F1395)=0,N(G1395)=0),"بدون مبلغ ⚠",IF(B1395&gt;12,"يتجاوز 12 بنداً في الطباعة ⚠","")))))</f>
        <v/>
      </c>
    </row>
    <row r="1396" customFormat="false" ht="15" hidden="false" customHeight="false" outlineLevel="0" collapsed="false">
      <c r="A1396" s="58"/>
      <c r="B1396" s="73" t="str">
        <f aca="false">IF(A1396="","",COUNTIF(A$5:A1396,A1396))</f>
        <v/>
      </c>
      <c r="C1396" s="73" t="str">
        <f aca="false">IF(A1396="","",A1396&amp;"-"&amp;B1396)</f>
        <v/>
      </c>
      <c r="D1396" s="58"/>
      <c r="E1396" s="57"/>
      <c r="F1396" s="69"/>
      <c r="G1396" s="69"/>
      <c r="H1396" s="74" t="str">
        <f aca="false">IF(A1396="","",IFERROR(INDEX(السندات!$C$5:$C$504,MATCH(A1396,السندات!$A$5:$A$504,0)),""))</f>
        <v/>
      </c>
      <c r="I1396" s="75" t="str">
        <f aca="false">IF(A1396="","",IFERROR(INDEX(السندات!$D$5:$D$504,MATCH(A1396,السندات!$A$5:$A$504,0)),""))</f>
        <v/>
      </c>
      <c r="J1396" s="76" t="str">
        <f aca="false">IF(A1396="","",IF(ISNA(MATCH(A1396,السندات!$A$5:$A$504,0)),"رقم سند غير موجود ✘",IF(AND(F1396&lt;&gt;"",G1396&lt;&gt;""),"اكتب مدين أو دائن فقط ✘",IF(AND(N(F1396)=0,N(G1396)=0),"بدون مبلغ ⚠",IF(B1396&gt;12,"يتجاوز 12 بنداً في الطباعة ⚠","")))))</f>
        <v/>
      </c>
    </row>
    <row r="1397" customFormat="false" ht="15" hidden="false" customHeight="false" outlineLevel="0" collapsed="false">
      <c r="A1397" s="58"/>
      <c r="B1397" s="68" t="str">
        <f aca="false">IF(A1397="","",COUNTIF(A$5:A1397,A1397))</f>
        <v/>
      </c>
      <c r="C1397" s="68" t="str">
        <f aca="false">IF(A1397="","",A1397&amp;"-"&amp;B1397)</f>
        <v/>
      </c>
      <c r="D1397" s="58"/>
      <c r="E1397" s="57"/>
      <c r="F1397" s="69"/>
      <c r="G1397" s="69"/>
      <c r="H1397" s="70" t="str">
        <f aca="false">IF(A1397="","",IFERROR(INDEX(السندات!$C$5:$C$504,MATCH(A1397,السندات!$A$5:$A$504,0)),""))</f>
        <v/>
      </c>
      <c r="I1397" s="71" t="str">
        <f aca="false">IF(A1397="","",IFERROR(INDEX(السندات!$D$5:$D$504,MATCH(A1397,السندات!$A$5:$A$504,0)),""))</f>
        <v/>
      </c>
      <c r="J1397" s="72" t="str">
        <f aca="false">IF(A1397="","",IF(ISNA(MATCH(A1397,السندات!$A$5:$A$504,0)),"رقم سند غير موجود ✘",IF(AND(F1397&lt;&gt;"",G1397&lt;&gt;""),"اكتب مدين أو دائن فقط ✘",IF(AND(N(F1397)=0,N(G1397)=0),"بدون مبلغ ⚠",IF(B1397&gt;12,"يتجاوز 12 بنداً في الطباعة ⚠","")))))</f>
        <v/>
      </c>
    </row>
    <row r="1398" customFormat="false" ht="15" hidden="false" customHeight="false" outlineLevel="0" collapsed="false">
      <c r="A1398" s="58"/>
      <c r="B1398" s="73" t="str">
        <f aca="false">IF(A1398="","",COUNTIF(A$5:A1398,A1398))</f>
        <v/>
      </c>
      <c r="C1398" s="73" t="str">
        <f aca="false">IF(A1398="","",A1398&amp;"-"&amp;B1398)</f>
        <v/>
      </c>
      <c r="D1398" s="58"/>
      <c r="E1398" s="57"/>
      <c r="F1398" s="69"/>
      <c r="G1398" s="69"/>
      <c r="H1398" s="74" t="str">
        <f aca="false">IF(A1398="","",IFERROR(INDEX(السندات!$C$5:$C$504,MATCH(A1398,السندات!$A$5:$A$504,0)),""))</f>
        <v/>
      </c>
      <c r="I1398" s="75" t="str">
        <f aca="false">IF(A1398="","",IFERROR(INDEX(السندات!$D$5:$D$504,MATCH(A1398,السندات!$A$5:$A$504,0)),""))</f>
        <v/>
      </c>
      <c r="J1398" s="76" t="str">
        <f aca="false">IF(A1398="","",IF(ISNA(MATCH(A1398,السندات!$A$5:$A$504,0)),"رقم سند غير موجود ✘",IF(AND(F1398&lt;&gt;"",G1398&lt;&gt;""),"اكتب مدين أو دائن فقط ✘",IF(AND(N(F1398)=0,N(G1398)=0),"بدون مبلغ ⚠",IF(B1398&gt;12,"يتجاوز 12 بنداً في الطباعة ⚠","")))))</f>
        <v/>
      </c>
    </row>
    <row r="1399" customFormat="false" ht="15" hidden="false" customHeight="false" outlineLevel="0" collapsed="false">
      <c r="A1399" s="58"/>
      <c r="B1399" s="68" t="str">
        <f aca="false">IF(A1399="","",COUNTIF(A$5:A1399,A1399))</f>
        <v/>
      </c>
      <c r="C1399" s="68" t="str">
        <f aca="false">IF(A1399="","",A1399&amp;"-"&amp;B1399)</f>
        <v/>
      </c>
      <c r="D1399" s="58"/>
      <c r="E1399" s="57"/>
      <c r="F1399" s="69"/>
      <c r="G1399" s="69"/>
      <c r="H1399" s="70" t="str">
        <f aca="false">IF(A1399="","",IFERROR(INDEX(السندات!$C$5:$C$504,MATCH(A1399,السندات!$A$5:$A$504,0)),""))</f>
        <v/>
      </c>
      <c r="I1399" s="71" t="str">
        <f aca="false">IF(A1399="","",IFERROR(INDEX(السندات!$D$5:$D$504,MATCH(A1399,السندات!$A$5:$A$504,0)),""))</f>
        <v/>
      </c>
      <c r="J1399" s="72" t="str">
        <f aca="false">IF(A1399="","",IF(ISNA(MATCH(A1399,السندات!$A$5:$A$504,0)),"رقم سند غير موجود ✘",IF(AND(F1399&lt;&gt;"",G1399&lt;&gt;""),"اكتب مدين أو دائن فقط ✘",IF(AND(N(F1399)=0,N(G1399)=0),"بدون مبلغ ⚠",IF(B1399&gt;12,"يتجاوز 12 بنداً في الطباعة ⚠","")))))</f>
        <v/>
      </c>
    </row>
    <row r="1400" customFormat="false" ht="15" hidden="false" customHeight="false" outlineLevel="0" collapsed="false">
      <c r="A1400" s="58"/>
      <c r="B1400" s="73" t="str">
        <f aca="false">IF(A1400="","",COUNTIF(A$5:A1400,A1400))</f>
        <v/>
      </c>
      <c r="C1400" s="73" t="str">
        <f aca="false">IF(A1400="","",A1400&amp;"-"&amp;B1400)</f>
        <v/>
      </c>
      <c r="D1400" s="58"/>
      <c r="E1400" s="57"/>
      <c r="F1400" s="69"/>
      <c r="G1400" s="69"/>
      <c r="H1400" s="74" t="str">
        <f aca="false">IF(A1400="","",IFERROR(INDEX(السندات!$C$5:$C$504,MATCH(A1400,السندات!$A$5:$A$504,0)),""))</f>
        <v/>
      </c>
      <c r="I1400" s="75" t="str">
        <f aca="false">IF(A1400="","",IFERROR(INDEX(السندات!$D$5:$D$504,MATCH(A1400,السندات!$A$5:$A$504,0)),""))</f>
        <v/>
      </c>
      <c r="J1400" s="76" t="str">
        <f aca="false">IF(A1400="","",IF(ISNA(MATCH(A1400,السندات!$A$5:$A$504,0)),"رقم سند غير موجود ✘",IF(AND(F1400&lt;&gt;"",G1400&lt;&gt;""),"اكتب مدين أو دائن فقط ✘",IF(AND(N(F1400)=0,N(G1400)=0),"بدون مبلغ ⚠",IF(B1400&gt;12,"يتجاوز 12 بنداً في الطباعة ⚠","")))))</f>
        <v/>
      </c>
    </row>
    <row r="1401" customFormat="false" ht="15" hidden="false" customHeight="false" outlineLevel="0" collapsed="false">
      <c r="A1401" s="58"/>
      <c r="B1401" s="68" t="str">
        <f aca="false">IF(A1401="","",COUNTIF(A$5:A1401,A1401))</f>
        <v/>
      </c>
      <c r="C1401" s="68" t="str">
        <f aca="false">IF(A1401="","",A1401&amp;"-"&amp;B1401)</f>
        <v/>
      </c>
      <c r="D1401" s="58"/>
      <c r="E1401" s="57"/>
      <c r="F1401" s="69"/>
      <c r="G1401" s="69"/>
      <c r="H1401" s="70" t="str">
        <f aca="false">IF(A1401="","",IFERROR(INDEX(السندات!$C$5:$C$504,MATCH(A1401,السندات!$A$5:$A$504,0)),""))</f>
        <v/>
      </c>
      <c r="I1401" s="71" t="str">
        <f aca="false">IF(A1401="","",IFERROR(INDEX(السندات!$D$5:$D$504,MATCH(A1401,السندات!$A$5:$A$504,0)),""))</f>
        <v/>
      </c>
      <c r="J1401" s="72" t="str">
        <f aca="false">IF(A1401="","",IF(ISNA(MATCH(A1401,السندات!$A$5:$A$504,0)),"رقم سند غير موجود ✘",IF(AND(F1401&lt;&gt;"",G1401&lt;&gt;""),"اكتب مدين أو دائن فقط ✘",IF(AND(N(F1401)=0,N(G1401)=0),"بدون مبلغ ⚠",IF(B1401&gt;12,"يتجاوز 12 بنداً في الطباعة ⚠","")))))</f>
        <v/>
      </c>
    </row>
    <row r="1402" customFormat="false" ht="15" hidden="false" customHeight="false" outlineLevel="0" collapsed="false">
      <c r="A1402" s="58"/>
      <c r="B1402" s="73" t="str">
        <f aca="false">IF(A1402="","",COUNTIF(A$5:A1402,A1402))</f>
        <v/>
      </c>
      <c r="C1402" s="73" t="str">
        <f aca="false">IF(A1402="","",A1402&amp;"-"&amp;B1402)</f>
        <v/>
      </c>
      <c r="D1402" s="58"/>
      <c r="E1402" s="57"/>
      <c r="F1402" s="69"/>
      <c r="G1402" s="69"/>
      <c r="H1402" s="74" t="str">
        <f aca="false">IF(A1402="","",IFERROR(INDEX(السندات!$C$5:$C$504,MATCH(A1402,السندات!$A$5:$A$504,0)),""))</f>
        <v/>
      </c>
      <c r="I1402" s="75" t="str">
        <f aca="false">IF(A1402="","",IFERROR(INDEX(السندات!$D$5:$D$504,MATCH(A1402,السندات!$A$5:$A$504,0)),""))</f>
        <v/>
      </c>
      <c r="J1402" s="76" t="str">
        <f aca="false">IF(A1402="","",IF(ISNA(MATCH(A1402,السندات!$A$5:$A$504,0)),"رقم سند غير موجود ✘",IF(AND(F1402&lt;&gt;"",G1402&lt;&gt;""),"اكتب مدين أو دائن فقط ✘",IF(AND(N(F1402)=0,N(G1402)=0),"بدون مبلغ ⚠",IF(B1402&gt;12,"يتجاوز 12 بنداً في الطباعة ⚠","")))))</f>
        <v/>
      </c>
    </row>
    <row r="1403" customFormat="false" ht="15" hidden="false" customHeight="false" outlineLevel="0" collapsed="false">
      <c r="A1403" s="58"/>
      <c r="B1403" s="68" t="str">
        <f aca="false">IF(A1403="","",COUNTIF(A$5:A1403,A1403))</f>
        <v/>
      </c>
      <c r="C1403" s="68" t="str">
        <f aca="false">IF(A1403="","",A1403&amp;"-"&amp;B1403)</f>
        <v/>
      </c>
      <c r="D1403" s="58"/>
      <c r="E1403" s="57"/>
      <c r="F1403" s="69"/>
      <c r="G1403" s="69"/>
      <c r="H1403" s="70" t="str">
        <f aca="false">IF(A1403="","",IFERROR(INDEX(السندات!$C$5:$C$504,MATCH(A1403,السندات!$A$5:$A$504,0)),""))</f>
        <v/>
      </c>
      <c r="I1403" s="71" t="str">
        <f aca="false">IF(A1403="","",IFERROR(INDEX(السندات!$D$5:$D$504,MATCH(A1403,السندات!$A$5:$A$504,0)),""))</f>
        <v/>
      </c>
      <c r="J1403" s="72" t="str">
        <f aca="false">IF(A1403="","",IF(ISNA(MATCH(A1403,السندات!$A$5:$A$504,0)),"رقم سند غير موجود ✘",IF(AND(F1403&lt;&gt;"",G1403&lt;&gt;""),"اكتب مدين أو دائن فقط ✘",IF(AND(N(F1403)=0,N(G1403)=0),"بدون مبلغ ⚠",IF(B1403&gt;12,"يتجاوز 12 بنداً في الطباعة ⚠","")))))</f>
        <v/>
      </c>
    </row>
    <row r="1404" customFormat="false" ht="15" hidden="false" customHeight="false" outlineLevel="0" collapsed="false">
      <c r="A1404" s="58"/>
      <c r="B1404" s="73" t="str">
        <f aca="false">IF(A1404="","",COUNTIF(A$5:A1404,A1404))</f>
        <v/>
      </c>
      <c r="C1404" s="73" t="str">
        <f aca="false">IF(A1404="","",A1404&amp;"-"&amp;B1404)</f>
        <v/>
      </c>
      <c r="D1404" s="58"/>
      <c r="E1404" s="57"/>
      <c r="F1404" s="69"/>
      <c r="G1404" s="69"/>
      <c r="H1404" s="74" t="str">
        <f aca="false">IF(A1404="","",IFERROR(INDEX(السندات!$C$5:$C$504,MATCH(A1404,السندات!$A$5:$A$504,0)),""))</f>
        <v/>
      </c>
      <c r="I1404" s="75" t="str">
        <f aca="false">IF(A1404="","",IFERROR(INDEX(السندات!$D$5:$D$504,MATCH(A1404,السندات!$A$5:$A$504,0)),""))</f>
        <v/>
      </c>
      <c r="J1404" s="76" t="str">
        <f aca="false">IF(A1404="","",IF(ISNA(MATCH(A1404,السندات!$A$5:$A$504,0)),"رقم سند غير موجود ✘",IF(AND(F1404&lt;&gt;"",G1404&lt;&gt;""),"اكتب مدين أو دائن فقط ✘",IF(AND(N(F1404)=0,N(G1404)=0),"بدون مبلغ ⚠",IF(B1404&gt;12,"يتجاوز 12 بنداً في الطباعة ⚠","")))))</f>
        <v/>
      </c>
    </row>
    <row r="1405" customFormat="false" ht="15" hidden="false" customHeight="false" outlineLevel="0" collapsed="false">
      <c r="A1405" s="58"/>
      <c r="B1405" s="68" t="str">
        <f aca="false">IF(A1405="","",COUNTIF(A$5:A1405,A1405))</f>
        <v/>
      </c>
      <c r="C1405" s="68" t="str">
        <f aca="false">IF(A1405="","",A1405&amp;"-"&amp;B1405)</f>
        <v/>
      </c>
      <c r="D1405" s="58"/>
      <c r="E1405" s="57"/>
      <c r="F1405" s="69"/>
      <c r="G1405" s="69"/>
      <c r="H1405" s="70" t="str">
        <f aca="false">IF(A1405="","",IFERROR(INDEX(السندات!$C$5:$C$504,MATCH(A1405,السندات!$A$5:$A$504,0)),""))</f>
        <v/>
      </c>
      <c r="I1405" s="71" t="str">
        <f aca="false">IF(A1405="","",IFERROR(INDEX(السندات!$D$5:$D$504,MATCH(A1405,السندات!$A$5:$A$504,0)),""))</f>
        <v/>
      </c>
      <c r="J1405" s="72" t="str">
        <f aca="false">IF(A1405="","",IF(ISNA(MATCH(A1405,السندات!$A$5:$A$504,0)),"رقم سند غير موجود ✘",IF(AND(F1405&lt;&gt;"",G1405&lt;&gt;""),"اكتب مدين أو دائن فقط ✘",IF(AND(N(F1405)=0,N(G1405)=0),"بدون مبلغ ⚠",IF(B1405&gt;12,"يتجاوز 12 بنداً في الطباعة ⚠","")))))</f>
        <v/>
      </c>
    </row>
    <row r="1406" customFormat="false" ht="15" hidden="false" customHeight="false" outlineLevel="0" collapsed="false">
      <c r="A1406" s="58"/>
      <c r="B1406" s="73" t="str">
        <f aca="false">IF(A1406="","",COUNTIF(A$5:A1406,A1406))</f>
        <v/>
      </c>
      <c r="C1406" s="73" t="str">
        <f aca="false">IF(A1406="","",A1406&amp;"-"&amp;B1406)</f>
        <v/>
      </c>
      <c r="D1406" s="58"/>
      <c r="E1406" s="57"/>
      <c r="F1406" s="69"/>
      <c r="G1406" s="69"/>
      <c r="H1406" s="74" t="str">
        <f aca="false">IF(A1406="","",IFERROR(INDEX(السندات!$C$5:$C$504,MATCH(A1406,السندات!$A$5:$A$504,0)),""))</f>
        <v/>
      </c>
      <c r="I1406" s="75" t="str">
        <f aca="false">IF(A1406="","",IFERROR(INDEX(السندات!$D$5:$D$504,MATCH(A1406,السندات!$A$5:$A$504,0)),""))</f>
        <v/>
      </c>
      <c r="J1406" s="76" t="str">
        <f aca="false">IF(A1406="","",IF(ISNA(MATCH(A1406,السندات!$A$5:$A$504,0)),"رقم سند غير موجود ✘",IF(AND(F1406&lt;&gt;"",G1406&lt;&gt;""),"اكتب مدين أو دائن فقط ✘",IF(AND(N(F1406)=0,N(G1406)=0),"بدون مبلغ ⚠",IF(B1406&gt;12,"يتجاوز 12 بنداً في الطباعة ⚠","")))))</f>
        <v/>
      </c>
    </row>
    <row r="1407" customFormat="false" ht="15" hidden="false" customHeight="false" outlineLevel="0" collapsed="false">
      <c r="A1407" s="58"/>
      <c r="B1407" s="68" t="str">
        <f aca="false">IF(A1407="","",COUNTIF(A$5:A1407,A1407))</f>
        <v/>
      </c>
      <c r="C1407" s="68" t="str">
        <f aca="false">IF(A1407="","",A1407&amp;"-"&amp;B1407)</f>
        <v/>
      </c>
      <c r="D1407" s="58"/>
      <c r="E1407" s="57"/>
      <c r="F1407" s="69"/>
      <c r="G1407" s="69"/>
      <c r="H1407" s="70" t="str">
        <f aca="false">IF(A1407="","",IFERROR(INDEX(السندات!$C$5:$C$504,MATCH(A1407,السندات!$A$5:$A$504,0)),""))</f>
        <v/>
      </c>
      <c r="I1407" s="71" t="str">
        <f aca="false">IF(A1407="","",IFERROR(INDEX(السندات!$D$5:$D$504,MATCH(A1407,السندات!$A$5:$A$504,0)),""))</f>
        <v/>
      </c>
      <c r="J1407" s="72" t="str">
        <f aca="false">IF(A1407="","",IF(ISNA(MATCH(A1407,السندات!$A$5:$A$504,0)),"رقم سند غير موجود ✘",IF(AND(F1407&lt;&gt;"",G1407&lt;&gt;""),"اكتب مدين أو دائن فقط ✘",IF(AND(N(F1407)=0,N(G1407)=0),"بدون مبلغ ⚠",IF(B1407&gt;12,"يتجاوز 12 بنداً في الطباعة ⚠","")))))</f>
        <v/>
      </c>
    </row>
    <row r="1408" customFormat="false" ht="15" hidden="false" customHeight="false" outlineLevel="0" collapsed="false">
      <c r="A1408" s="58"/>
      <c r="B1408" s="73" t="str">
        <f aca="false">IF(A1408="","",COUNTIF(A$5:A1408,A1408))</f>
        <v/>
      </c>
      <c r="C1408" s="73" t="str">
        <f aca="false">IF(A1408="","",A1408&amp;"-"&amp;B1408)</f>
        <v/>
      </c>
      <c r="D1408" s="58"/>
      <c r="E1408" s="57"/>
      <c r="F1408" s="69"/>
      <c r="G1408" s="69"/>
      <c r="H1408" s="74" t="str">
        <f aca="false">IF(A1408="","",IFERROR(INDEX(السندات!$C$5:$C$504,MATCH(A1408,السندات!$A$5:$A$504,0)),""))</f>
        <v/>
      </c>
      <c r="I1408" s="75" t="str">
        <f aca="false">IF(A1408="","",IFERROR(INDEX(السندات!$D$5:$D$504,MATCH(A1408,السندات!$A$5:$A$504,0)),""))</f>
        <v/>
      </c>
      <c r="J1408" s="76" t="str">
        <f aca="false">IF(A1408="","",IF(ISNA(MATCH(A1408,السندات!$A$5:$A$504,0)),"رقم سند غير موجود ✘",IF(AND(F1408&lt;&gt;"",G1408&lt;&gt;""),"اكتب مدين أو دائن فقط ✘",IF(AND(N(F1408)=0,N(G1408)=0),"بدون مبلغ ⚠",IF(B1408&gt;12,"يتجاوز 12 بنداً في الطباعة ⚠","")))))</f>
        <v/>
      </c>
    </row>
    <row r="1409" customFormat="false" ht="15" hidden="false" customHeight="false" outlineLevel="0" collapsed="false">
      <c r="A1409" s="58"/>
      <c r="B1409" s="68" t="str">
        <f aca="false">IF(A1409="","",COUNTIF(A$5:A1409,A1409))</f>
        <v/>
      </c>
      <c r="C1409" s="68" t="str">
        <f aca="false">IF(A1409="","",A1409&amp;"-"&amp;B1409)</f>
        <v/>
      </c>
      <c r="D1409" s="58"/>
      <c r="E1409" s="57"/>
      <c r="F1409" s="69"/>
      <c r="G1409" s="69"/>
      <c r="H1409" s="70" t="str">
        <f aca="false">IF(A1409="","",IFERROR(INDEX(السندات!$C$5:$C$504,MATCH(A1409,السندات!$A$5:$A$504,0)),""))</f>
        <v/>
      </c>
      <c r="I1409" s="71" t="str">
        <f aca="false">IF(A1409="","",IFERROR(INDEX(السندات!$D$5:$D$504,MATCH(A1409,السندات!$A$5:$A$504,0)),""))</f>
        <v/>
      </c>
      <c r="J1409" s="72" t="str">
        <f aca="false">IF(A1409="","",IF(ISNA(MATCH(A1409,السندات!$A$5:$A$504,0)),"رقم سند غير موجود ✘",IF(AND(F1409&lt;&gt;"",G1409&lt;&gt;""),"اكتب مدين أو دائن فقط ✘",IF(AND(N(F1409)=0,N(G1409)=0),"بدون مبلغ ⚠",IF(B1409&gt;12,"يتجاوز 12 بنداً في الطباعة ⚠","")))))</f>
        <v/>
      </c>
    </row>
    <row r="1410" customFormat="false" ht="15" hidden="false" customHeight="false" outlineLevel="0" collapsed="false">
      <c r="A1410" s="58"/>
      <c r="B1410" s="73" t="str">
        <f aca="false">IF(A1410="","",COUNTIF(A$5:A1410,A1410))</f>
        <v/>
      </c>
      <c r="C1410" s="73" t="str">
        <f aca="false">IF(A1410="","",A1410&amp;"-"&amp;B1410)</f>
        <v/>
      </c>
      <c r="D1410" s="58"/>
      <c r="E1410" s="57"/>
      <c r="F1410" s="69"/>
      <c r="G1410" s="69"/>
      <c r="H1410" s="74" t="str">
        <f aca="false">IF(A1410="","",IFERROR(INDEX(السندات!$C$5:$C$504,MATCH(A1410,السندات!$A$5:$A$504,0)),""))</f>
        <v/>
      </c>
      <c r="I1410" s="75" t="str">
        <f aca="false">IF(A1410="","",IFERROR(INDEX(السندات!$D$5:$D$504,MATCH(A1410,السندات!$A$5:$A$504,0)),""))</f>
        <v/>
      </c>
      <c r="J1410" s="76" t="str">
        <f aca="false">IF(A1410="","",IF(ISNA(MATCH(A1410,السندات!$A$5:$A$504,0)),"رقم سند غير موجود ✘",IF(AND(F1410&lt;&gt;"",G1410&lt;&gt;""),"اكتب مدين أو دائن فقط ✘",IF(AND(N(F1410)=0,N(G1410)=0),"بدون مبلغ ⚠",IF(B1410&gt;12,"يتجاوز 12 بنداً في الطباعة ⚠","")))))</f>
        <v/>
      </c>
    </row>
    <row r="1411" customFormat="false" ht="15" hidden="false" customHeight="false" outlineLevel="0" collapsed="false">
      <c r="A1411" s="58"/>
      <c r="B1411" s="68" t="str">
        <f aca="false">IF(A1411="","",COUNTIF(A$5:A1411,A1411))</f>
        <v/>
      </c>
      <c r="C1411" s="68" t="str">
        <f aca="false">IF(A1411="","",A1411&amp;"-"&amp;B1411)</f>
        <v/>
      </c>
      <c r="D1411" s="58"/>
      <c r="E1411" s="57"/>
      <c r="F1411" s="69"/>
      <c r="G1411" s="69"/>
      <c r="H1411" s="70" t="str">
        <f aca="false">IF(A1411="","",IFERROR(INDEX(السندات!$C$5:$C$504,MATCH(A1411,السندات!$A$5:$A$504,0)),""))</f>
        <v/>
      </c>
      <c r="I1411" s="71" t="str">
        <f aca="false">IF(A1411="","",IFERROR(INDEX(السندات!$D$5:$D$504,MATCH(A1411,السندات!$A$5:$A$504,0)),""))</f>
        <v/>
      </c>
      <c r="J1411" s="72" t="str">
        <f aca="false">IF(A1411="","",IF(ISNA(MATCH(A1411,السندات!$A$5:$A$504,0)),"رقم سند غير موجود ✘",IF(AND(F1411&lt;&gt;"",G1411&lt;&gt;""),"اكتب مدين أو دائن فقط ✘",IF(AND(N(F1411)=0,N(G1411)=0),"بدون مبلغ ⚠",IF(B1411&gt;12,"يتجاوز 12 بنداً في الطباعة ⚠","")))))</f>
        <v/>
      </c>
    </row>
    <row r="1412" customFormat="false" ht="15" hidden="false" customHeight="false" outlineLevel="0" collapsed="false">
      <c r="A1412" s="58"/>
      <c r="B1412" s="73" t="str">
        <f aca="false">IF(A1412="","",COUNTIF(A$5:A1412,A1412))</f>
        <v/>
      </c>
      <c r="C1412" s="73" t="str">
        <f aca="false">IF(A1412="","",A1412&amp;"-"&amp;B1412)</f>
        <v/>
      </c>
      <c r="D1412" s="58"/>
      <c r="E1412" s="57"/>
      <c r="F1412" s="69"/>
      <c r="G1412" s="69"/>
      <c r="H1412" s="74" t="str">
        <f aca="false">IF(A1412="","",IFERROR(INDEX(السندات!$C$5:$C$504,MATCH(A1412,السندات!$A$5:$A$504,0)),""))</f>
        <v/>
      </c>
      <c r="I1412" s="75" t="str">
        <f aca="false">IF(A1412="","",IFERROR(INDEX(السندات!$D$5:$D$504,MATCH(A1412,السندات!$A$5:$A$504,0)),""))</f>
        <v/>
      </c>
      <c r="J1412" s="76" t="str">
        <f aca="false">IF(A1412="","",IF(ISNA(MATCH(A1412,السندات!$A$5:$A$504,0)),"رقم سند غير موجود ✘",IF(AND(F1412&lt;&gt;"",G1412&lt;&gt;""),"اكتب مدين أو دائن فقط ✘",IF(AND(N(F1412)=0,N(G1412)=0),"بدون مبلغ ⚠",IF(B1412&gt;12,"يتجاوز 12 بنداً في الطباعة ⚠","")))))</f>
        <v/>
      </c>
    </row>
    <row r="1413" customFormat="false" ht="15" hidden="false" customHeight="false" outlineLevel="0" collapsed="false">
      <c r="A1413" s="58"/>
      <c r="B1413" s="68" t="str">
        <f aca="false">IF(A1413="","",COUNTIF(A$5:A1413,A1413))</f>
        <v/>
      </c>
      <c r="C1413" s="68" t="str">
        <f aca="false">IF(A1413="","",A1413&amp;"-"&amp;B1413)</f>
        <v/>
      </c>
      <c r="D1413" s="58"/>
      <c r="E1413" s="57"/>
      <c r="F1413" s="69"/>
      <c r="G1413" s="69"/>
      <c r="H1413" s="70" t="str">
        <f aca="false">IF(A1413="","",IFERROR(INDEX(السندات!$C$5:$C$504,MATCH(A1413,السندات!$A$5:$A$504,0)),""))</f>
        <v/>
      </c>
      <c r="I1413" s="71" t="str">
        <f aca="false">IF(A1413="","",IFERROR(INDEX(السندات!$D$5:$D$504,MATCH(A1413,السندات!$A$5:$A$504,0)),""))</f>
        <v/>
      </c>
      <c r="J1413" s="72" t="str">
        <f aca="false">IF(A1413="","",IF(ISNA(MATCH(A1413,السندات!$A$5:$A$504,0)),"رقم سند غير موجود ✘",IF(AND(F1413&lt;&gt;"",G1413&lt;&gt;""),"اكتب مدين أو دائن فقط ✘",IF(AND(N(F1413)=0,N(G1413)=0),"بدون مبلغ ⚠",IF(B1413&gt;12,"يتجاوز 12 بنداً في الطباعة ⚠","")))))</f>
        <v/>
      </c>
    </row>
    <row r="1414" customFormat="false" ht="15" hidden="false" customHeight="false" outlineLevel="0" collapsed="false">
      <c r="A1414" s="58"/>
      <c r="B1414" s="73" t="str">
        <f aca="false">IF(A1414="","",COUNTIF(A$5:A1414,A1414))</f>
        <v/>
      </c>
      <c r="C1414" s="73" t="str">
        <f aca="false">IF(A1414="","",A1414&amp;"-"&amp;B1414)</f>
        <v/>
      </c>
      <c r="D1414" s="58"/>
      <c r="E1414" s="57"/>
      <c r="F1414" s="69"/>
      <c r="G1414" s="69"/>
      <c r="H1414" s="74" t="str">
        <f aca="false">IF(A1414="","",IFERROR(INDEX(السندات!$C$5:$C$504,MATCH(A1414,السندات!$A$5:$A$504,0)),""))</f>
        <v/>
      </c>
      <c r="I1414" s="75" t="str">
        <f aca="false">IF(A1414="","",IFERROR(INDEX(السندات!$D$5:$D$504,MATCH(A1414,السندات!$A$5:$A$504,0)),""))</f>
        <v/>
      </c>
      <c r="J1414" s="76" t="str">
        <f aca="false">IF(A1414="","",IF(ISNA(MATCH(A1414,السندات!$A$5:$A$504,0)),"رقم سند غير موجود ✘",IF(AND(F1414&lt;&gt;"",G1414&lt;&gt;""),"اكتب مدين أو دائن فقط ✘",IF(AND(N(F1414)=0,N(G1414)=0),"بدون مبلغ ⚠",IF(B1414&gt;12,"يتجاوز 12 بنداً في الطباعة ⚠","")))))</f>
        <v/>
      </c>
    </row>
    <row r="1415" customFormat="false" ht="15" hidden="false" customHeight="false" outlineLevel="0" collapsed="false">
      <c r="A1415" s="58"/>
      <c r="B1415" s="68" t="str">
        <f aca="false">IF(A1415="","",COUNTIF(A$5:A1415,A1415))</f>
        <v/>
      </c>
      <c r="C1415" s="68" t="str">
        <f aca="false">IF(A1415="","",A1415&amp;"-"&amp;B1415)</f>
        <v/>
      </c>
      <c r="D1415" s="58"/>
      <c r="E1415" s="57"/>
      <c r="F1415" s="69"/>
      <c r="G1415" s="69"/>
      <c r="H1415" s="70" t="str">
        <f aca="false">IF(A1415="","",IFERROR(INDEX(السندات!$C$5:$C$504,MATCH(A1415,السندات!$A$5:$A$504,0)),""))</f>
        <v/>
      </c>
      <c r="I1415" s="71" t="str">
        <f aca="false">IF(A1415="","",IFERROR(INDEX(السندات!$D$5:$D$504,MATCH(A1415,السندات!$A$5:$A$504,0)),""))</f>
        <v/>
      </c>
      <c r="J1415" s="72" t="str">
        <f aca="false">IF(A1415="","",IF(ISNA(MATCH(A1415,السندات!$A$5:$A$504,0)),"رقم سند غير موجود ✘",IF(AND(F1415&lt;&gt;"",G1415&lt;&gt;""),"اكتب مدين أو دائن فقط ✘",IF(AND(N(F1415)=0,N(G1415)=0),"بدون مبلغ ⚠",IF(B1415&gt;12,"يتجاوز 12 بنداً في الطباعة ⚠","")))))</f>
        <v/>
      </c>
    </row>
    <row r="1416" customFormat="false" ht="15" hidden="false" customHeight="false" outlineLevel="0" collapsed="false">
      <c r="A1416" s="58"/>
      <c r="B1416" s="73" t="str">
        <f aca="false">IF(A1416="","",COUNTIF(A$5:A1416,A1416))</f>
        <v/>
      </c>
      <c r="C1416" s="73" t="str">
        <f aca="false">IF(A1416="","",A1416&amp;"-"&amp;B1416)</f>
        <v/>
      </c>
      <c r="D1416" s="58"/>
      <c r="E1416" s="57"/>
      <c r="F1416" s="69"/>
      <c r="G1416" s="69"/>
      <c r="H1416" s="74" t="str">
        <f aca="false">IF(A1416="","",IFERROR(INDEX(السندات!$C$5:$C$504,MATCH(A1416,السندات!$A$5:$A$504,0)),""))</f>
        <v/>
      </c>
      <c r="I1416" s="75" t="str">
        <f aca="false">IF(A1416="","",IFERROR(INDEX(السندات!$D$5:$D$504,MATCH(A1416,السندات!$A$5:$A$504,0)),""))</f>
        <v/>
      </c>
      <c r="J1416" s="76" t="str">
        <f aca="false">IF(A1416="","",IF(ISNA(MATCH(A1416,السندات!$A$5:$A$504,0)),"رقم سند غير موجود ✘",IF(AND(F1416&lt;&gt;"",G1416&lt;&gt;""),"اكتب مدين أو دائن فقط ✘",IF(AND(N(F1416)=0,N(G1416)=0),"بدون مبلغ ⚠",IF(B1416&gt;12,"يتجاوز 12 بنداً في الطباعة ⚠","")))))</f>
        <v/>
      </c>
    </row>
    <row r="1417" customFormat="false" ht="15" hidden="false" customHeight="false" outlineLevel="0" collapsed="false">
      <c r="A1417" s="58"/>
      <c r="B1417" s="68" t="str">
        <f aca="false">IF(A1417="","",COUNTIF(A$5:A1417,A1417))</f>
        <v/>
      </c>
      <c r="C1417" s="68" t="str">
        <f aca="false">IF(A1417="","",A1417&amp;"-"&amp;B1417)</f>
        <v/>
      </c>
      <c r="D1417" s="58"/>
      <c r="E1417" s="57"/>
      <c r="F1417" s="69"/>
      <c r="G1417" s="69"/>
      <c r="H1417" s="70" t="str">
        <f aca="false">IF(A1417="","",IFERROR(INDEX(السندات!$C$5:$C$504,MATCH(A1417,السندات!$A$5:$A$504,0)),""))</f>
        <v/>
      </c>
      <c r="I1417" s="71" t="str">
        <f aca="false">IF(A1417="","",IFERROR(INDEX(السندات!$D$5:$D$504,MATCH(A1417,السندات!$A$5:$A$504,0)),""))</f>
        <v/>
      </c>
      <c r="J1417" s="72" t="str">
        <f aca="false">IF(A1417="","",IF(ISNA(MATCH(A1417,السندات!$A$5:$A$504,0)),"رقم سند غير موجود ✘",IF(AND(F1417&lt;&gt;"",G1417&lt;&gt;""),"اكتب مدين أو دائن فقط ✘",IF(AND(N(F1417)=0,N(G1417)=0),"بدون مبلغ ⚠",IF(B1417&gt;12,"يتجاوز 12 بنداً في الطباعة ⚠","")))))</f>
        <v/>
      </c>
    </row>
    <row r="1418" customFormat="false" ht="15" hidden="false" customHeight="false" outlineLevel="0" collapsed="false">
      <c r="A1418" s="58"/>
      <c r="B1418" s="73" t="str">
        <f aca="false">IF(A1418="","",COUNTIF(A$5:A1418,A1418))</f>
        <v/>
      </c>
      <c r="C1418" s="73" t="str">
        <f aca="false">IF(A1418="","",A1418&amp;"-"&amp;B1418)</f>
        <v/>
      </c>
      <c r="D1418" s="58"/>
      <c r="E1418" s="57"/>
      <c r="F1418" s="69"/>
      <c r="G1418" s="69"/>
      <c r="H1418" s="74" t="str">
        <f aca="false">IF(A1418="","",IFERROR(INDEX(السندات!$C$5:$C$504,MATCH(A1418,السندات!$A$5:$A$504,0)),""))</f>
        <v/>
      </c>
      <c r="I1418" s="75" t="str">
        <f aca="false">IF(A1418="","",IFERROR(INDEX(السندات!$D$5:$D$504,MATCH(A1418,السندات!$A$5:$A$504,0)),""))</f>
        <v/>
      </c>
      <c r="J1418" s="76" t="str">
        <f aca="false">IF(A1418="","",IF(ISNA(MATCH(A1418,السندات!$A$5:$A$504,0)),"رقم سند غير موجود ✘",IF(AND(F1418&lt;&gt;"",G1418&lt;&gt;""),"اكتب مدين أو دائن فقط ✘",IF(AND(N(F1418)=0,N(G1418)=0),"بدون مبلغ ⚠",IF(B1418&gt;12,"يتجاوز 12 بنداً في الطباعة ⚠","")))))</f>
        <v/>
      </c>
    </row>
    <row r="1419" customFormat="false" ht="15" hidden="false" customHeight="false" outlineLevel="0" collapsed="false">
      <c r="A1419" s="58"/>
      <c r="B1419" s="68" t="str">
        <f aca="false">IF(A1419="","",COUNTIF(A$5:A1419,A1419))</f>
        <v/>
      </c>
      <c r="C1419" s="68" t="str">
        <f aca="false">IF(A1419="","",A1419&amp;"-"&amp;B1419)</f>
        <v/>
      </c>
      <c r="D1419" s="58"/>
      <c r="E1419" s="57"/>
      <c r="F1419" s="69"/>
      <c r="G1419" s="69"/>
      <c r="H1419" s="70" t="str">
        <f aca="false">IF(A1419="","",IFERROR(INDEX(السندات!$C$5:$C$504,MATCH(A1419,السندات!$A$5:$A$504,0)),""))</f>
        <v/>
      </c>
      <c r="I1419" s="71" t="str">
        <f aca="false">IF(A1419="","",IFERROR(INDEX(السندات!$D$5:$D$504,MATCH(A1419,السندات!$A$5:$A$504,0)),""))</f>
        <v/>
      </c>
      <c r="J1419" s="72" t="str">
        <f aca="false">IF(A1419="","",IF(ISNA(MATCH(A1419,السندات!$A$5:$A$504,0)),"رقم سند غير موجود ✘",IF(AND(F1419&lt;&gt;"",G1419&lt;&gt;""),"اكتب مدين أو دائن فقط ✘",IF(AND(N(F1419)=0,N(G1419)=0),"بدون مبلغ ⚠",IF(B1419&gt;12,"يتجاوز 12 بنداً في الطباعة ⚠","")))))</f>
        <v/>
      </c>
    </row>
    <row r="1420" customFormat="false" ht="15" hidden="false" customHeight="false" outlineLevel="0" collapsed="false">
      <c r="A1420" s="58"/>
      <c r="B1420" s="73" t="str">
        <f aca="false">IF(A1420="","",COUNTIF(A$5:A1420,A1420))</f>
        <v/>
      </c>
      <c r="C1420" s="73" t="str">
        <f aca="false">IF(A1420="","",A1420&amp;"-"&amp;B1420)</f>
        <v/>
      </c>
      <c r="D1420" s="58"/>
      <c r="E1420" s="57"/>
      <c r="F1420" s="69"/>
      <c r="G1420" s="69"/>
      <c r="H1420" s="74" t="str">
        <f aca="false">IF(A1420="","",IFERROR(INDEX(السندات!$C$5:$C$504,MATCH(A1420,السندات!$A$5:$A$504,0)),""))</f>
        <v/>
      </c>
      <c r="I1420" s="75" t="str">
        <f aca="false">IF(A1420="","",IFERROR(INDEX(السندات!$D$5:$D$504,MATCH(A1420,السندات!$A$5:$A$504,0)),""))</f>
        <v/>
      </c>
      <c r="J1420" s="76" t="str">
        <f aca="false">IF(A1420="","",IF(ISNA(MATCH(A1420,السندات!$A$5:$A$504,0)),"رقم سند غير موجود ✘",IF(AND(F1420&lt;&gt;"",G1420&lt;&gt;""),"اكتب مدين أو دائن فقط ✘",IF(AND(N(F1420)=0,N(G1420)=0),"بدون مبلغ ⚠",IF(B1420&gt;12,"يتجاوز 12 بنداً في الطباعة ⚠","")))))</f>
        <v/>
      </c>
    </row>
    <row r="1421" customFormat="false" ht="15" hidden="false" customHeight="false" outlineLevel="0" collapsed="false">
      <c r="A1421" s="58"/>
      <c r="B1421" s="68" t="str">
        <f aca="false">IF(A1421="","",COUNTIF(A$5:A1421,A1421))</f>
        <v/>
      </c>
      <c r="C1421" s="68" t="str">
        <f aca="false">IF(A1421="","",A1421&amp;"-"&amp;B1421)</f>
        <v/>
      </c>
      <c r="D1421" s="58"/>
      <c r="E1421" s="57"/>
      <c r="F1421" s="69"/>
      <c r="G1421" s="69"/>
      <c r="H1421" s="70" t="str">
        <f aca="false">IF(A1421="","",IFERROR(INDEX(السندات!$C$5:$C$504,MATCH(A1421,السندات!$A$5:$A$504,0)),""))</f>
        <v/>
      </c>
      <c r="I1421" s="71" t="str">
        <f aca="false">IF(A1421="","",IFERROR(INDEX(السندات!$D$5:$D$504,MATCH(A1421,السندات!$A$5:$A$504,0)),""))</f>
        <v/>
      </c>
      <c r="J1421" s="72" t="str">
        <f aca="false">IF(A1421="","",IF(ISNA(MATCH(A1421,السندات!$A$5:$A$504,0)),"رقم سند غير موجود ✘",IF(AND(F1421&lt;&gt;"",G1421&lt;&gt;""),"اكتب مدين أو دائن فقط ✘",IF(AND(N(F1421)=0,N(G1421)=0),"بدون مبلغ ⚠",IF(B1421&gt;12,"يتجاوز 12 بنداً في الطباعة ⚠","")))))</f>
        <v/>
      </c>
    </row>
    <row r="1422" customFormat="false" ht="15" hidden="false" customHeight="false" outlineLevel="0" collapsed="false">
      <c r="A1422" s="58"/>
      <c r="B1422" s="73" t="str">
        <f aca="false">IF(A1422="","",COUNTIF(A$5:A1422,A1422))</f>
        <v/>
      </c>
      <c r="C1422" s="73" t="str">
        <f aca="false">IF(A1422="","",A1422&amp;"-"&amp;B1422)</f>
        <v/>
      </c>
      <c r="D1422" s="58"/>
      <c r="E1422" s="57"/>
      <c r="F1422" s="69"/>
      <c r="G1422" s="69"/>
      <c r="H1422" s="74" t="str">
        <f aca="false">IF(A1422="","",IFERROR(INDEX(السندات!$C$5:$C$504,MATCH(A1422,السندات!$A$5:$A$504,0)),""))</f>
        <v/>
      </c>
      <c r="I1422" s="75" t="str">
        <f aca="false">IF(A1422="","",IFERROR(INDEX(السندات!$D$5:$D$504,MATCH(A1422,السندات!$A$5:$A$504,0)),""))</f>
        <v/>
      </c>
      <c r="J1422" s="76" t="str">
        <f aca="false">IF(A1422="","",IF(ISNA(MATCH(A1422,السندات!$A$5:$A$504,0)),"رقم سند غير موجود ✘",IF(AND(F1422&lt;&gt;"",G1422&lt;&gt;""),"اكتب مدين أو دائن فقط ✘",IF(AND(N(F1422)=0,N(G1422)=0),"بدون مبلغ ⚠",IF(B1422&gt;12,"يتجاوز 12 بنداً في الطباعة ⚠","")))))</f>
        <v/>
      </c>
    </row>
    <row r="1423" customFormat="false" ht="15" hidden="false" customHeight="false" outlineLevel="0" collapsed="false">
      <c r="A1423" s="58"/>
      <c r="B1423" s="68" t="str">
        <f aca="false">IF(A1423="","",COUNTIF(A$5:A1423,A1423))</f>
        <v/>
      </c>
      <c r="C1423" s="68" t="str">
        <f aca="false">IF(A1423="","",A1423&amp;"-"&amp;B1423)</f>
        <v/>
      </c>
      <c r="D1423" s="58"/>
      <c r="E1423" s="57"/>
      <c r="F1423" s="69"/>
      <c r="G1423" s="69"/>
      <c r="H1423" s="70" t="str">
        <f aca="false">IF(A1423="","",IFERROR(INDEX(السندات!$C$5:$C$504,MATCH(A1423,السندات!$A$5:$A$504,0)),""))</f>
        <v/>
      </c>
      <c r="I1423" s="71" t="str">
        <f aca="false">IF(A1423="","",IFERROR(INDEX(السندات!$D$5:$D$504,MATCH(A1423,السندات!$A$5:$A$504,0)),""))</f>
        <v/>
      </c>
      <c r="J1423" s="72" t="str">
        <f aca="false">IF(A1423="","",IF(ISNA(MATCH(A1423,السندات!$A$5:$A$504,0)),"رقم سند غير موجود ✘",IF(AND(F1423&lt;&gt;"",G1423&lt;&gt;""),"اكتب مدين أو دائن فقط ✘",IF(AND(N(F1423)=0,N(G1423)=0),"بدون مبلغ ⚠",IF(B1423&gt;12,"يتجاوز 12 بنداً في الطباعة ⚠","")))))</f>
        <v/>
      </c>
    </row>
    <row r="1424" customFormat="false" ht="15" hidden="false" customHeight="false" outlineLevel="0" collapsed="false">
      <c r="A1424" s="58"/>
      <c r="B1424" s="73" t="str">
        <f aca="false">IF(A1424="","",COUNTIF(A$5:A1424,A1424))</f>
        <v/>
      </c>
      <c r="C1424" s="73" t="str">
        <f aca="false">IF(A1424="","",A1424&amp;"-"&amp;B1424)</f>
        <v/>
      </c>
      <c r="D1424" s="58"/>
      <c r="E1424" s="57"/>
      <c r="F1424" s="69"/>
      <c r="G1424" s="69"/>
      <c r="H1424" s="74" t="str">
        <f aca="false">IF(A1424="","",IFERROR(INDEX(السندات!$C$5:$C$504,MATCH(A1424,السندات!$A$5:$A$504,0)),""))</f>
        <v/>
      </c>
      <c r="I1424" s="75" t="str">
        <f aca="false">IF(A1424="","",IFERROR(INDEX(السندات!$D$5:$D$504,MATCH(A1424,السندات!$A$5:$A$504,0)),""))</f>
        <v/>
      </c>
      <c r="J1424" s="76" t="str">
        <f aca="false">IF(A1424="","",IF(ISNA(MATCH(A1424,السندات!$A$5:$A$504,0)),"رقم سند غير موجود ✘",IF(AND(F1424&lt;&gt;"",G1424&lt;&gt;""),"اكتب مدين أو دائن فقط ✘",IF(AND(N(F1424)=0,N(G1424)=0),"بدون مبلغ ⚠",IF(B1424&gt;12,"يتجاوز 12 بنداً في الطباعة ⚠","")))))</f>
        <v/>
      </c>
    </row>
    <row r="1425" customFormat="false" ht="15" hidden="false" customHeight="false" outlineLevel="0" collapsed="false">
      <c r="A1425" s="58"/>
      <c r="B1425" s="68" t="str">
        <f aca="false">IF(A1425="","",COUNTIF(A$5:A1425,A1425))</f>
        <v/>
      </c>
      <c r="C1425" s="68" t="str">
        <f aca="false">IF(A1425="","",A1425&amp;"-"&amp;B1425)</f>
        <v/>
      </c>
      <c r="D1425" s="58"/>
      <c r="E1425" s="57"/>
      <c r="F1425" s="69"/>
      <c r="G1425" s="69"/>
      <c r="H1425" s="70" t="str">
        <f aca="false">IF(A1425="","",IFERROR(INDEX(السندات!$C$5:$C$504,MATCH(A1425,السندات!$A$5:$A$504,0)),""))</f>
        <v/>
      </c>
      <c r="I1425" s="71" t="str">
        <f aca="false">IF(A1425="","",IFERROR(INDEX(السندات!$D$5:$D$504,MATCH(A1425,السندات!$A$5:$A$504,0)),""))</f>
        <v/>
      </c>
      <c r="J1425" s="72" t="str">
        <f aca="false">IF(A1425="","",IF(ISNA(MATCH(A1425,السندات!$A$5:$A$504,0)),"رقم سند غير موجود ✘",IF(AND(F1425&lt;&gt;"",G1425&lt;&gt;""),"اكتب مدين أو دائن فقط ✘",IF(AND(N(F1425)=0,N(G1425)=0),"بدون مبلغ ⚠",IF(B1425&gt;12,"يتجاوز 12 بنداً في الطباعة ⚠","")))))</f>
        <v/>
      </c>
    </row>
    <row r="1426" customFormat="false" ht="15" hidden="false" customHeight="false" outlineLevel="0" collapsed="false">
      <c r="A1426" s="58"/>
      <c r="B1426" s="73" t="str">
        <f aca="false">IF(A1426="","",COUNTIF(A$5:A1426,A1426))</f>
        <v/>
      </c>
      <c r="C1426" s="73" t="str">
        <f aca="false">IF(A1426="","",A1426&amp;"-"&amp;B1426)</f>
        <v/>
      </c>
      <c r="D1426" s="58"/>
      <c r="E1426" s="57"/>
      <c r="F1426" s="69"/>
      <c r="G1426" s="69"/>
      <c r="H1426" s="74" t="str">
        <f aca="false">IF(A1426="","",IFERROR(INDEX(السندات!$C$5:$C$504,MATCH(A1426,السندات!$A$5:$A$504,0)),""))</f>
        <v/>
      </c>
      <c r="I1426" s="75" t="str">
        <f aca="false">IF(A1426="","",IFERROR(INDEX(السندات!$D$5:$D$504,MATCH(A1426,السندات!$A$5:$A$504,0)),""))</f>
        <v/>
      </c>
      <c r="J1426" s="76" t="str">
        <f aca="false">IF(A1426="","",IF(ISNA(MATCH(A1426,السندات!$A$5:$A$504,0)),"رقم سند غير موجود ✘",IF(AND(F1426&lt;&gt;"",G1426&lt;&gt;""),"اكتب مدين أو دائن فقط ✘",IF(AND(N(F1426)=0,N(G1426)=0),"بدون مبلغ ⚠",IF(B1426&gt;12,"يتجاوز 12 بنداً في الطباعة ⚠","")))))</f>
        <v/>
      </c>
    </row>
    <row r="1427" customFormat="false" ht="15" hidden="false" customHeight="false" outlineLevel="0" collapsed="false">
      <c r="A1427" s="58"/>
      <c r="B1427" s="68" t="str">
        <f aca="false">IF(A1427="","",COUNTIF(A$5:A1427,A1427))</f>
        <v/>
      </c>
      <c r="C1427" s="68" t="str">
        <f aca="false">IF(A1427="","",A1427&amp;"-"&amp;B1427)</f>
        <v/>
      </c>
      <c r="D1427" s="58"/>
      <c r="E1427" s="57"/>
      <c r="F1427" s="69"/>
      <c r="G1427" s="69"/>
      <c r="H1427" s="70" t="str">
        <f aca="false">IF(A1427="","",IFERROR(INDEX(السندات!$C$5:$C$504,MATCH(A1427,السندات!$A$5:$A$504,0)),""))</f>
        <v/>
      </c>
      <c r="I1427" s="71" t="str">
        <f aca="false">IF(A1427="","",IFERROR(INDEX(السندات!$D$5:$D$504,MATCH(A1427,السندات!$A$5:$A$504,0)),""))</f>
        <v/>
      </c>
      <c r="J1427" s="72" t="str">
        <f aca="false">IF(A1427="","",IF(ISNA(MATCH(A1427,السندات!$A$5:$A$504,0)),"رقم سند غير موجود ✘",IF(AND(F1427&lt;&gt;"",G1427&lt;&gt;""),"اكتب مدين أو دائن فقط ✘",IF(AND(N(F1427)=0,N(G1427)=0),"بدون مبلغ ⚠",IF(B1427&gt;12,"يتجاوز 12 بنداً في الطباعة ⚠","")))))</f>
        <v/>
      </c>
    </row>
    <row r="1428" customFormat="false" ht="15" hidden="false" customHeight="false" outlineLevel="0" collapsed="false">
      <c r="A1428" s="58"/>
      <c r="B1428" s="73" t="str">
        <f aca="false">IF(A1428="","",COUNTIF(A$5:A1428,A1428))</f>
        <v/>
      </c>
      <c r="C1428" s="73" t="str">
        <f aca="false">IF(A1428="","",A1428&amp;"-"&amp;B1428)</f>
        <v/>
      </c>
      <c r="D1428" s="58"/>
      <c r="E1428" s="57"/>
      <c r="F1428" s="69"/>
      <c r="G1428" s="69"/>
      <c r="H1428" s="74" t="str">
        <f aca="false">IF(A1428="","",IFERROR(INDEX(السندات!$C$5:$C$504,MATCH(A1428,السندات!$A$5:$A$504,0)),""))</f>
        <v/>
      </c>
      <c r="I1428" s="75" t="str">
        <f aca="false">IF(A1428="","",IFERROR(INDEX(السندات!$D$5:$D$504,MATCH(A1428,السندات!$A$5:$A$504,0)),""))</f>
        <v/>
      </c>
      <c r="J1428" s="76" t="str">
        <f aca="false">IF(A1428="","",IF(ISNA(MATCH(A1428,السندات!$A$5:$A$504,0)),"رقم سند غير موجود ✘",IF(AND(F1428&lt;&gt;"",G1428&lt;&gt;""),"اكتب مدين أو دائن فقط ✘",IF(AND(N(F1428)=0,N(G1428)=0),"بدون مبلغ ⚠",IF(B1428&gt;12,"يتجاوز 12 بنداً في الطباعة ⚠","")))))</f>
        <v/>
      </c>
    </row>
    <row r="1429" customFormat="false" ht="15" hidden="false" customHeight="false" outlineLevel="0" collapsed="false">
      <c r="A1429" s="58"/>
      <c r="B1429" s="68" t="str">
        <f aca="false">IF(A1429="","",COUNTIF(A$5:A1429,A1429))</f>
        <v/>
      </c>
      <c r="C1429" s="68" t="str">
        <f aca="false">IF(A1429="","",A1429&amp;"-"&amp;B1429)</f>
        <v/>
      </c>
      <c r="D1429" s="58"/>
      <c r="E1429" s="57"/>
      <c r="F1429" s="69"/>
      <c r="G1429" s="69"/>
      <c r="H1429" s="70" t="str">
        <f aca="false">IF(A1429="","",IFERROR(INDEX(السندات!$C$5:$C$504,MATCH(A1429,السندات!$A$5:$A$504,0)),""))</f>
        <v/>
      </c>
      <c r="I1429" s="71" t="str">
        <f aca="false">IF(A1429="","",IFERROR(INDEX(السندات!$D$5:$D$504,MATCH(A1429,السندات!$A$5:$A$504,0)),""))</f>
        <v/>
      </c>
      <c r="J1429" s="72" t="str">
        <f aca="false">IF(A1429="","",IF(ISNA(MATCH(A1429,السندات!$A$5:$A$504,0)),"رقم سند غير موجود ✘",IF(AND(F1429&lt;&gt;"",G1429&lt;&gt;""),"اكتب مدين أو دائن فقط ✘",IF(AND(N(F1429)=0,N(G1429)=0),"بدون مبلغ ⚠",IF(B1429&gt;12,"يتجاوز 12 بنداً في الطباعة ⚠","")))))</f>
        <v/>
      </c>
    </row>
    <row r="1430" customFormat="false" ht="15" hidden="false" customHeight="false" outlineLevel="0" collapsed="false">
      <c r="A1430" s="58"/>
      <c r="B1430" s="73" t="str">
        <f aca="false">IF(A1430="","",COUNTIF(A$5:A1430,A1430))</f>
        <v/>
      </c>
      <c r="C1430" s="73" t="str">
        <f aca="false">IF(A1430="","",A1430&amp;"-"&amp;B1430)</f>
        <v/>
      </c>
      <c r="D1430" s="58"/>
      <c r="E1430" s="57"/>
      <c r="F1430" s="69"/>
      <c r="G1430" s="69"/>
      <c r="H1430" s="74" t="str">
        <f aca="false">IF(A1430="","",IFERROR(INDEX(السندات!$C$5:$C$504,MATCH(A1430,السندات!$A$5:$A$504,0)),""))</f>
        <v/>
      </c>
      <c r="I1430" s="75" t="str">
        <f aca="false">IF(A1430="","",IFERROR(INDEX(السندات!$D$5:$D$504,MATCH(A1430,السندات!$A$5:$A$504,0)),""))</f>
        <v/>
      </c>
      <c r="J1430" s="76" t="str">
        <f aca="false">IF(A1430="","",IF(ISNA(MATCH(A1430,السندات!$A$5:$A$504,0)),"رقم سند غير موجود ✘",IF(AND(F1430&lt;&gt;"",G1430&lt;&gt;""),"اكتب مدين أو دائن فقط ✘",IF(AND(N(F1430)=0,N(G1430)=0),"بدون مبلغ ⚠",IF(B1430&gt;12,"يتجاوز 12 بنداً في الطباعة ⚠","")))))</f>
        <v/>
      </c>
    </row>
    <row r="1431" customFormat="false" ht="15" hidden="false" customHeight="false" outlineLevel="0" collapsed="false">
      <c r="A1431" s="58"/>
      <c r="B1431" s="68" t="str">
        <f aca="false">IF(A1431="","",COUNTIF(A$5:A1431,A1431))</f>
        <v/>
      </c>
      <c r="C1431" s="68" t="str">
        <f aca="false">IF(A1431="","",A1431&amp;"-"&amp;B1431)</f>
        <v/>
      </c>
      <c r="D1431" s="58"/>
      <c r="E1431" s="57"/>
      <c r="F1431" s="69"/>
      <c r="G1431" s="69"/>
      <c r="H1431" s="70" t="str">
        <f aca="false">IF(A1431="","",IFERROR(INDEX(السندات!$C$5:$C$504,MATCH(A1431,السندات!$A$5:$A$504,0)),""))</f>
        <v/>
      </c>
      <c r="I1431" s="71" t="str">
        <f aca="false">IF(A1431="","",IFERROR(INDEX(السندات!$D$5:$D$504,MATCH(A1431,السندات!$A$5:$A$504,0)),""))</f>
        <v/>
      </c>
      <c r="J1431" s="72" t="str">
        <f aca="false">IF(A1431="","",IF(ISNA(MATCH(A1431,السندات!$A$5:$A$504,0)),"رقم سند غير موجود ✘",IF(AND(F1431&lt;&gt;"",G1431&lt;&gt;""),"اكتب مدين أو دائن فقط ✘",IF(AND(N(F1431)=0,N(G1431)=0),"بدون مبلغ ⚠",IF(B1431&gt;12,"يتجاوز 12 بنداً في الطباعة ⚠","")))))</f>
        <v/>
      </c>
    </row>
    <row r="1432" customFormat="false" ht="15" hidden="false" customHeight="false" outlineLevel="0" collapsed="false">
      <c r="A1432" s="58"/>
      <c r="B1432" s="73" t="str">
        <f aca="false">IF(A1432="","",COUNTIF(A$5:A1432,A1432))</f>
        <v/>
      </c>
      <c r="C1432" s="73" t="str">
        <f aca="false">IF(A1432="","",A1432&amp;"-"&amp;B1432)</f>
        <v/>
      </c>
      <c r="D1432" s="58"/>
      <c r="E1432" s="57"/>
      <c r="F1432" s="69"/>
      <c r="G1432" s="69"/>
      <c r="H1432" s="74" t="str">
        <f aca="false">IF(A1432="","",IFERROR(INDEX(السندات!$C$5:$C$504,MATCH(A1432,السندات!$A$5:$A$504,0)),""))</f>
        <v/>
      </c>
      <c r="I1432" s="75" t="str">
        <f aca="false">IF(A1432="","",IFERROR(INDEX(السندات!$D$5:$D$504,MATCH(A1432,السندات!$A$5:$A$504,0)),""))</f>
        <v/>
      </c>
      <c r="J1432" s="76" t="str">
        <f aca="false">IF(A1432="","",IF(ISNA(MATCH(A1432,السندات!$A$5:$A$504,0)),"رقم سند غير موجود ✘",IF(AND(F1432&lt;&gt;"",G1432&lt;&gt;""),"اكتب مدين أو دائن فقط ✘",IF(AND(N(F1432)=0,N(G1432)=0),"بدون مبلغ ⚠",IF(B1432&gt;12,"يتجاوز 12 بنداً في الطباعة ⚠","")))))</f>
        <v/>
      </c>
    </row>
    <row r="1433" customFormat="false" ht="15" hidden="false" customHeight="false" outlineLevel="0" collapsed="false">
      <c r="A1433" s="58"/>
      <c r="B1433" s="68" t="str">
        <f aca="false">IF(A1433="","",COUNTIF(A$5:A1433,A1433))</f>
        <v/>
      </c>
      <c r="C1433" s="68" t="str">
        <f aca="false">IF(A1433="","",A1433&amp;"-"&amp;B1433)</f>
        <v/>
      </c>
      <c r="D1433" s="58"/>
      <c r="E1433" s="57"/>
      <c r="F1433" s="69"/>
      <c r="G1433" s="69"/>
      <c r="H1433" s="70" t="str">
        <f aca="false">IF(A1433="","",IFERROR(INDEX(السندات!$C$5:$C$504,MATCH(A1433,السندات!$A$5:$A$504,0)),""))</f>
        <v/>
      </c>
      <c r="I1433" s="71" t="str">
        <f aca="false">IF(A1433="","",IFERROR(INDEX(السندات!$D$5:$D$504,MATCH(A1433,السندات!$A$5:$A$504,0)),""))</f>
        <v/>
      </c>
      <c r="J1433" s="72" t="str">
        <f aca="false">IF(A1433="","",IF(ISNA(MATCH(A1433,السندات!$A$5:$A$504,0)),"رقم سند غير موجود ✘",IF(AND(F1433&lt;&gt;"",G1433&lt;&gt;""),"اكتب مدين أو دائن فقط ✘",IF(AND(N(F1433)=0,N(G1433)=0),"بدون مبلغ ⚠",IF(B1433&gt;12,"يتجاوز 12 بنداً في الطباعة ⚠","")))))</f>
        <v/>
      </c>
    </row>
    <row r="1434" customFormat="false" ht="15" hidden="false" customHeight="false" outlineLevel="0" collapsed="false">
      <c r="A1434" s="58"/>
      <c r="B1434" s="73" t="str">
        <f aca="false">IF(A1434="","",COUNTIF(A$5:A1434,A1434))</f>
        <v/>
      </c>
      <c r="C1434" s="73" t="str">
        <f aca="false">IF(A1434="","",A1434&amp;"-"&amp;B1434)</f>
        <v/>
      </c>
      <c r="D1434" s="58"/>
      <c r="E1434" s="57"/>
      <c r="F1434" s="69"/>
      <c r="G1434" s="69"/>
      <c r="H1434" s="74" t="str">
        <f aca="false">IF(A1434="","",IFERROR(INDEX(السندات!$C$5:$C$504,MATCH(A1434,السندات!$A$5:$A$504,0)),""))</f>
        <v/>
      </c>
      <c r="I1434" s="75" t="str">
        <f aca="false">IF(A1434="","",IFERROR(INDEX(السندات!$D$5:$D$504,MATCH(A1434,السندات!$A$5:$A$504,0)),""))</f>
        <v/>
      </c>
      <c r="J1434" s="76" t="str">
        <f aca="false">IF(A1434="","",IF(ISNA(MATCH(A1434,السندات!$A$5:$A$504,0)),"رقم سند غير موجود ✘",IF(AND(F1434&lt;&gt;"",G1434&lt;&gt;""),"اكتب مدين أو دائن فقط ✘",IF(AND(N(F1434)=0,N(G1434)=0),"بدون مبلغ ⚠",IF(B1434&gt;12,"يتجاوز 12 بنداً في الطباعة ⚠","")))))</f>
        <v/>
      </c>
    </row>
    <row r="1435" customFormat="false" ht="15" hidden="false" customHeight="false" outlineLevel="0" collapsed="false">
      <c r="A1435" s="58"/>
      <c r="B1435" s="68" t="str">
        <f aca="false">IF(A1435="","",COUNTIF(A$5:A1435,A1435))</f>
        <v/>
      </c>
      <c r="C1435" s="68" t="str">
        <f aca="false">IF(A1435="","",A1435&amp;"-"&amp;B1435)</f>
        <v/>
      </c>
      <c r="D1435" s="58"/>
      <c r="E1435" s="57"/>
      <c r="F1435" s="69"/>
      <c r="G1435" s="69"/>
      <c r="H1435" s="70" t="str">
        <f aca="false">IF(A1435="","",IFERROR(INDEX(السندات!$C$5:$C$504,MATCH(A1435,السندات!$A$5:$A$504,0)),""))</f>
        <v/>
      </c>
      <c r="I1435" s="71" t="str">
        <f aca="false">IF(A1435="","",IFERROR(INDEX(السندات!$D$5:$D$504,MATCH(A1435,السندات!$A$5:$A$504,0)),""))</f>
        <v/>
      </c>
      <c r="J1435" s="72" t="str">
        <f aca="false">IF(A1435="","",IF(ISNA(MATCH(A1435,السندات!$A$5:$A$504,0)),"رقم سند غير موجود ✘",IF(AND(F1435&lt;&gt;"",G1435&lt;&gt;""),"اكتب مدين أو دائن فقط ✘",IF(AND(N(F1435)=0,N(G1435)=0),"بدون مبلغ ⚠",IF(B1435&gt;12,"يتجاوز 12 بنداً في الطباعة ⚠","")))))</f>
        <v/>
      </c>
    </row>
    <row r="1436" customFormat="false" ht="15" hidden="false" customHeight="false" outlineLevel="0" collapsed="false">
      <c r="A1436" s="58"/>
      <c r="B1436" s="73" t="str">
        <f aca="false">IF(A1436="","",COUNTIF(A$5:A1436,A1436))</f>
        <v/>
      </c>
      <c r="C1436" s="73" t="str">
        <f aca="false">IF(A1436="","",A1436&amp;"-"&amp;B1436)</f>
        <v/>
      </c>
      <c r="D1436" s="58"/>
      <c r="E1436" s="57"/>
      <c r="F1436" s="69"/>
      <c r="G1436" s="69"/>
      <c r="H1436" s="74" t="str">
        <f aca="false">IF(A1436="","",IFERROR(INDEX(السندات!$C$5:$C$504,MATCH(A1436,السندات!$A$5:$A$504,0)),""))</f>
        <v/>
      </c>
      <c r="I1436" s="75" t="str">
        <f aca="false">IF(A1436="","",IFERROR(INDEX(السندات!$D$5:$D$504,MATCH(A1436,السندات!$A$5:$A$504,0)),""))</f>
        <v/>
      </c>
      <c r="J1436" s="76" t="str">
        <f aca="false">IF(A1436="","",IF(ISNA(MATCH(A1436,السندات!$A$5:$A$504,0)),"رقم سند غير موجود ✘",IF(AND(F1436&lt;&gt;"",G1436&lt;&gt;""),"اكتب مدين أو دائن فقط ✘",IF(AND(N(F1436)=0,N(G1436)=0),"بدون مبلغ ⚠",IF(B1436&gt;12,"يتجاوز 12 بنداً في الطباعة ⚠","")))))</f>
        <v/>
      </c>
    </row>
    <row r="1437" customFormat="false" ht="15" hidden="false" customHeight="false" outlineLevel="0" collapsed="false">
      <c r="A1437" s="58"/>
      <c r="B1437" s="68" t="str">
        <f aca="false">IF(A1437="","",COUNTIF(A$5:A1437,A1437))</f>
        <v/>
      </c>
      <c r="C1437" s="68" t="str">
        <f aca="false">IF(A1437="","",A1437&amp;"-"&amp;B1437)</f>
        <v/>
      </c>
      <c r="D1437" s="58"/>
      <c r="E1437" s="57"/>
      <c r="F1437" s="69"/>
      <c r="G1437" s="69"/>
      <c r="H1437" s="70" t="str">
        <f aca="false">IF(A1437="","",IFERROR(INDEX(السندات!$C$5:$C$504,MATCH(A1437,السندات!$A$5:$A$504,0)),""))</f>
        <v/>
      </c>
      <c r="I1437" s="71" t="str">
        <f aca="false">IF(A1437="","",IFERROR(INDEX(السندات!$D$5:$D$504,MATCH(A1437,السندات!$A$5:$A$504,0)),""))</f>
        <v/>
      </c>
      <c r="J1437" s="72" t="str">
        <f aca="false">IF(A1437="","",IF(ISNA(MATCH(A1437,السندات!$A$5:$A$504,0)),"رقم سند غير موجود ✘",IF(AND(F1437&lt;&gt;"",G1437&lt;&gt;""),"اكتب مدين أو دائن فقط ✘",IF(AND(N(F1437)=0,N(G1437)=0),"بدون مبلغ ⚠",IF(B1437&gt;12,"يتجاوز 12 بنداً في الطباعة ⚠","")))))</f>
        <v/>
      </c>
    </row>
    <row r="1438" customFormat="false" ht="15" hidden="false" customHeight="false" outlineLevel="0" collapsed="false">
      <c r="A1438" s="58"/>
      <c r="B1438" s="73" t="str">
        <f aca="false">IF(A1438="","",COUNTIF(A$5:A1438,A1438))</f>
        <v/>
      </c>
      <c r="C1438" s="73" t="str">
        <f aca="false">IF(A1438="","",A1438&amp;"-"&amp;B1438)</f>
        <v/>
      </c>
      <c r="D1438" s="58"/>
      <c r="E1438" s="57"/>
      <c r="F1438" s="69"/>
      <c r="G1438" s="69"/>
      <c r="H1438" s="74" t="str">
        <f aca="false">IF(A1438="","",IFERROR(INDEX(السندات!$C$5:$C$504,MATCH(A1438,السندات!$A$5:$A$504,0)),""))</f>
        <v/>
      </c>
      <c r="I1438" s="75" t="str">
        <f aca="false">IF(A1438="","",IFERROR(INDEX(السندات!$D$5:$D$504,MATCH(A1438,السندات!$A$5:$A$504,0)),""))</f>
        <v/>
      </c>
      <c r="J1438" s="76" t="str">
        <f aca="false">IF(A1438="","",IF(ISNA(MATCH(A1438,السندات!$A$5:$A$504,0)),"رقم سند غير موجود ✘",IF(AND(F1438&lt;&gt;"",G1438&lt;&gt;""),"اكتب مدين أو دائن فقط ✘",IF(AND(N(F1438)=0,N(G1438)=0),"بدون مبلغ ⚠",IF(B1438&gt;12,"يتجاوز 12 بنداً في الطباعة ⚠","")))))</f>
        <v/>
      </c>
    </row>
    <row r="1439" customFormat="false" ht="15" hidden="false" customHeight="false" outlineLevel="0" collapsed="false">
      <c r="A1439" s="58"/>
      <c r="B1439" s="68" t="str">
        <f aca="false">IF(A1439="","",COUNTIF(A$5:A1439,A1439))</f>
        <v/>
      </c>
      <c r="C1439" s="68" t="str">
        <f aca="false">IF(A1439="","",A1439&amp;"-"&amp;B1439)</f>
        <v/>
      </c>
      <c r="D1439" s="58"/>
      <c r="E1439" s="57"/>
      <c r="F1439" s="69"/>
      <c r="G1439" s="69"/>
      <c r="H1439" s="70" t="str">
        <f aca="false">IF(A1439="","",IFERROR(INDEX(السندات!$C$5:$C$504,MATCH(A1439,السندات!$A$5:$A$504,0)),""))</f>
        <v/>
      </c>
      <c r="I1439" s="71" t="str">
        <f aca="false">IF(A1439="","",IFERROR(INDEX(السندات!$D$5:$D$504,MATCH(A1439,السندات!$A$5:$A$504,0)),""))</f>
        <v/>
      </c>
      <c r="J1439" s="72" t="str">
        <f aca="false">IF(A1439="","",IF(ISNA(MATCH(A1439,السندات!$A$5:$A$504,0)),"رقم سند غير موجود ✘",IF(AND(F1439&lt;&gt;"",G1439&lt;&gt;""),"اكتب مدين أو دائن فقط ✘",IF(AND(N(F1439)=0,N(G1439)=0),"بدون مبلغ ⚠",IF(B1439&gt;12,"يتجاوز 12 بنداً في الطباعة ⚠","")))))</f>
        <v/>
      </c>
    </row>
    <row r="1440" customFormat="false" ht="15" hidden="false" customHeight="false" outlineLevel="0" collapsed="false">
      <c r="A1440" s="58"/>
      <c r="B1440" s="73" t="str">
        <f aca="false">IF(A1440="","",COUNTIF(A$5:A1440,A1440))</f>
        <v/>
      </c>
      <c r="C1440" s="73" t="str">
        <f aca="false">IF(A1440="","",A1440&amp;"-"&amp;B1440)</f>
        <v/>
      </c>
      <c r="D1440" s="58"/>
      <c r="E1440" s="57"/>
      <c r="F1440" s="69"/>
      <c r="G1440" s="69"/>
      <c r="H1440" s="74" t="str">
        <f aca="false">IF(A1440="","",IFERROR(INDEX(السندات!$C$5:$C$504,MATCH(A1440,السندات!$A$5:$A$504,0)),""))</f>
        <v/>
      </c>
      <c r="I1440" s="75" t="str">
        <f aca="false">IF(A1440="","",IFERROR(INDEX(السندات!$D$5:$D$504,MATCH(A1440,السندات!$A$5:$A$504,0)),""))</f>
        <v/>
      </c>
      <c r="J1440" s="76" t="str">
        <f aca="false">IF(A1440="","",IF(ISNA(MATCH(A1440,السندات!$A$5:$A$504,0)),"رقم سند غير موجود ✘",IF(AND(F1440&lt;&gt;"",G1440&lt;&gt;""),"اكتب مدين أو دائن فقط ✘",IF(AND(N(F1440)=0,N(G1440)=0),"بدون مبلغ ⚠",IF(B1440&gt;12,"يتجاوز 12 بنداً في الطباعة ⚠","")))))</f>
        <v/>
      </c>
    </row>
    <row r="1441" customFormat="false" ht="15" hidden="false" customHeight="false" outlineLevel="0" collapsed="false">
      <c r="A1441" s="58"/>
      <c r="B1441" s="68" t="str">
        <f aca="false">IF(A1441="","",COUNTIF(A$5:A1441,A1441))</f>
        <v/>
      </c>
      <c r="C1441" s="68" t="str">
        <f aca="false">IF(A1441="","",A1441&amp;"-"&amp;B1441)</f>
        <v/>
      </c>
      <c r="D1441" s="58"/>
      <c r="E1441" s="57"/>
      <c r="F1441" s="69"/>
      <c r="G1441" s="69"/>
      <c r="H1441" s="70" t="str">
        <f aca="false">IF(A1441="","",IFERROR(INDEX(السندات!$C$5:$C$504,MATCH(A1441,السندات!$A$5:$A$504,0)),""))</f>
        <v/>
      </c>
      <c r="I1441" s="71" t="str">
        <f aca="false">IF(A1441="","",IFERROR(INDEX(السندات!$D$5:$D$504,MATCH(A1441,السندات!$A$5:$A$504,0)),""))</f>
        <v/>
      </c>
      <c r="J1441" s="72" t="str">
        <f aca="false">IF(A1441="","",IF(ISNA(MATCH(A1441,السندات!$A$5:$A$504,0)),"رقم سند غير موجود ✘",IF(AND(F1441&lt;&gt;"",G1441&lt;&gt;""),"اكتب مدين أو دائن فقط ✘",IF(AND(N(F1441)=0,N(G1441)=0),"بدون مبلغ ⚠",IF(B1441&gt;12,"يتجاوز 12 بنداً في الطباعة ⚠","")))))</f>
        <v/>
      </c>
    </row>
    <row r="1442" customFormat="false" ht="15" hidden="false" customHeight="false" outlineLevel="0" collapsed="false">
      <c r="A1442" s="58"/>
      <c r="B1442" s="73" t="str">
        <f aca="false">IF(A1442="","",COUNTIF(A$5:A1442,A1442))</f>
        <v/>
      </c>
      <c r="C1442" s="73" t="str">
        <f aca="false">IF(A1442="","",A1442&amp;"-"&amp;B1442)</f>
        <v/>
      </c>
      <c r="D1442" s="58"/>
      <c r="E1442" s="57"/>
      <c r="F1442" s="69"/>
      <c r="G1442" s="69"/>
      <c r="H1442" s="74" t="str">
        <f aca="false">IF(A1442="","",IFERROR(INDEX(السندات!$C$5:$C$504,MATCH(A1442,السندات!$A$5:$A$504,0)),""))</f>
        <v/>
      </c>
      <c r="I1442" s="75" t="str">
        <f aca="false">IF(A1442="","",IFERROR(INDEX(السندات!$D$5:$D$504,MATCH(A1442,السندات!$A$5:$A$504,0)),""))</f>
        <v/>
      </c>
      <c r="J1442" s="76" t="str">
        <f aca="false">IF(A1442="","",IF(ISNA(MATCH(A1442,السندات!$A$5:$A$504,0)),"رقم سند غير موجود ✘",IF(AND(F1442&lt;&gt;"",G1442&lt;&gt;""),"اكتب مدين أو دائن فقط ✘",IF(AND(N(F1442)=0,N(G1442)=0),"بدون مبلغ ⚠",IF(B1442&gt;12,"يتجاوز 12 بنداً في الطباعة ⚠","")))))</f>
        <v/>
      </c>
    </row>
    <row r="1443" customFormat="false" ht="15" hidden="false" customHeight="false" outlineLevel="0" collapsed="false">
      <c r="A1443" s="58"/>
      <c r="B1443" s="68" t="str">
        <f aca="false">IF(A1443="","",COUNTIF(A$5:A1443,A1443))</f>
        <v/>
      </c>
      <c r="C1443" s="68" t="str">
        <f aca="false">IF(A1443="","",A1443&amp;"-"&amp;B1443)</f>
        <v/>
      </c>
      <c r="D1443" s="58"/>
      <c r="E1443" s="57"/>
      <c r="F1443" s="69"/>
      <c r="G1443" s="69"/>
      <c r="H1443" s="70" t="str">
        <f aca="false">IF(A1443="","",IFERROR(INDEX(السندات!$C$5:$C$504,MATCH(A1443,السندات!$A$5:$A$504,0)),""))</f>
        <v/>
      </c>
      <c r="I1443" s="71" t="str">
        <f aca="false">IF(A1443="","",IFERROR(INDEX(السندات!$D$5:$D$504,MATCH(A1443,السندات!$A$5:$A$504,0)),""))</f>
        <v/>
      </c>
      <c r="J1443" s="72" t="str">
        <f aca="false">IF(A1443="","",IF(ISNA(MATCH(A1443,السندات!$A$5:$A$504,0)),"رقم سند غير موجود ✘",IF(AND(F1443&lt;&gt;"",G1443&lt;&gt;""),"اكتب مدين أو دائن فقط ✘",IF(AND(N(F1443)=0,N(G1443)=0),"بدون مبلغ ⚠",IF(B1443&gt;12,"يتجاوز 12 بنداً في الطباعة ⚠","")))))</f>
        <v/>
      </c>
    </row>
    <row r="1444" customFormat="false" ht="15" hidden="false" customHeight="false" outlineLevel="0" collapsed="false">
      <c r="A1444" s="58"/>
      <c r="B1444" s="73" t="str">
        <f aca="false">IF(A1444="","",COUNTIF(A$5:A1444,A1444))</f>
        <v/>
      </c>
      <c r="C1444" s="73" t="str">
        <f aca="false">IF(A1444="","",A1444&amp;"-"&amp;B1444)</f>
        <v/>
      </c>
      <c r="D1444" s="58"/>
      <c r="E1444" s="57"/>
      <c r="F1444" s="69"/>
      <c r="G1444" s="69"/>
      <c r="H1444" s="74" t="str">
        <f aca="false">IF(A1444="","",IFERROR(INDEX(السندات!$C$5:$C$504,MATCH(A1444,السندات!$A$5:$A$504,0)),""))</f>
        <v/>
      </c>
      <c r="I1444" s="75" t="str">
        <f aca="false">IF(A1444="","",IFERROR(INDEX(السندات!$D$5:$D$504,MATCH(A1444,السندات!$A$5:$A$504,0)),""))</f>
        <v/>
      </c>
      <c r="J1444" s="76" t="str">
        <f aca="false">IF(A1444="","",IF(ISNA(MATCH(A1444,السندات!$A$5:$A$504,0)),"رقم سند غير موجود ✘",IF(AND(F1444&lt;&gt;"",G1444&lt;&gt;""),"اكتب مدين أو دائن فقط ✘",IF(AND(N(F1444)=0,N(G1444)=0),"بدون مبلغ ⚠",IF(B1444&gt;12,"يتجاوز 12 بنداً في الطباعة ⚠","")))))</f>
        <v/>
      </c>
    </row>
    <row r="1445" customFormat="false" ht="15" hidden="false" customHeight="false" outlineLevel="0" collapsed="false">
      <c r="A1445" s="58"/>
      <c r="B1445" s="68" t="str">
        <f aca="false">IF(A1445="","",COUNTIF(A$5:A1445,A1445))</f>
        <v/>
      </c>
      <c r="C1445" s="68" t="str">
        <f aca="false">IF(A1445="","",A1445&amp;"-"&amp;B1445)</f>
        <v/>
      </c>
      <c r="D1445" s="58"/>
      <c r="E1445" s="57"/>
      <c r="F1445" s="69"/>
      <c r="G1445" s="69"/>
      <c r="H1445" s="70" t="str">
        <f aca="false">IF(A1445="","",IFERROR(INDEX(السندات!$C$5:$C$504,MATCH(A1445,السندات!$A$5:$A$504,0)),""))</f>
        <v/>
      </c>
      <c r="I1445" s="71" t="str">
        <f aca="false">IF(A1445="","",IFERROR(INDEX(السندات!$D$5:$D$504,MATCH(A1445,السندات!$A$5:$A$504,0)),""))</f>
        <v/>
      </c>
      <c r="J1445" s="72" t="str">
        <f aca="false">IF(A1445="","",IF(ISNA(MATCH(A1445,السندات!$A$5:$A$504,0)),"رقم سند غير موجود ✘",IF(AND(F1445&lt;&gt;"",G1445&lt;&gt;""),"اكتب مدين أو دائن فقط ✘",IF(AND(N(F1445)=0,N(G1445)=0),"بدون مبلغ ⚠",IF(B1445&gt;12,"يتجاوز 12 بنداً في الطباعة ⚠","")))))</f>
        <v/>
      </c>
    </row>
    <row r="1446" customFormat="false" ht="15" hidden="false" customHeight="false" outlineLevel="0" collapsed="false">
      <c r="A1446" s="58"/>
      <c r="B1446" s="73" t="str">
        <f aca="false">IF(A1446="","",COUNTIF(A$5:A1446,A1446))</f>
        <v/>
      </c>
      <c r="C1446" s="73" t="str">
        <f aca="false">IF(A1446="","",A1446&amp;"-"&amp;B1446)</f>
        <v/>
      </c>
      <c r="D1446" s="58"/>
      <c r="E1446" s="57"/>
      <c r="F1446" s="69"/>
      <c r="G1446" s="69"/>
      <c r="H1446" s="74" t="str">
        <f aca="false">IF(A1446="","",IFERROR(INDEX(السندات!$C$5:$C$504,MATCH(A1446,السندات!$A$5:$A$504,0)),""))</f>
        <v/>
      </c>
      <c r="I1446" s="75" t="str">
        <f aca="false">IF(A1446="","",IFERROR(INDEX(السندات!$D$5:$D$504,MATCH(A1446,السندات!$A$5:$A$504,0)),""))</f>
        <v/>
      </c>
      <c r="J1446" s="76" t="str">
        <f aca="false">IF(A1446="","",IF(ISNA(MATCH(A1446,السندات!$A$5:$A$504,0)),"رقم سند غير موجود ✘",IF(AND(F1446&lt;&gt;"",G1446&lt;&gt;""),"اكتب مدين أو دائن فقط ✘",IF(AND(N(F1446)=0,N(G1446)=0),"بدون مبلغ ⚠",IF(B1446&gt;12,"يتجاوز 12 بنداً في الطباعة ⚠","")))))</f>
        <v/>
      </c>
    </row>
    <row r="1447" customFormat="false" ht="15" hidden="false" customHeight="false" outlineLevel="0" collapsed="false">
      <c r="A1447" s="58"/>
      <c r="B1447" s="68" t="str">
        <f aca="false">IF(A1447="","",COUNTIF(A$5:A1447,A1447))</f>
        <v/>
      </c>
      <c r="C1447" s="68" t="str">
        <f aca="false">IF(A1447="","",A1447&amp;"-"&amp;B1447)</f>
        <v/>
      </c>
      <c r="D1447" s="58"/>
      <c r="E1447" s="57"/>
      <c r="F1447" s="69"/>
      <c r="G1447" s="69"/>
      <c r="H1447" s="70" t="str">
        <f aca="false">IF(A1447="","",IFERROR(INDEX(السندات!$C$5:$C$504,MATCH(A1447,السندات!$A$5:$A$504,0)),""))</f>
        <v/>
      </c>
      <c r="I1447" s="71" t="str">
        <f aca="false">IF(A1447="","",IFERROR(INDEX(السندات!$D$5:$D$504,MATCH(A1447,السندات!$A$5:$A$504,0)),""))</f>
        <v/>
      </c>
      <c r="J1447" s="72" t="str">
        <f aca="false">IF(A1447="","",IF(ISNA(MATCH(A1447,السندات!$A$5:$A$504,0)),"رقم سند غير موجود ✘",IF(AND(F1447&lt;&gt;"",G1447&lt;&gt;""),"اكتب مدين أو دائن فقط ✘",IF(AND(N(F1447)=0,N(G1447)=0),"بدون مبلغ ⚠",IF(B1447&gt;12,"يتجاوز 12 بنداً في الطباعة ⚠","")))))</f>
        <v/>
      </c>
    </row>
    <row r="1448" customFormat="false" ht="15" hidden="false" customHeight="false" outlineLevel="0" collapsed="false">
      <c r="A1448" s="58"/>
      <c r="B1448" s="73" t="str">
        <f aca="false">IF(A1448="","",COUNTIF(A$5:A1448,A1448))</f>
        <v/>
      </c>
      <c r="C1448" s="73" t="str">
        <f aca="false">IF(A1448="","",A1448&amp;"-"&amp;B1448)</f>
        <v/>
      </c>
      <c r="D1448" s="58"/>
      <c r="E1448" s="57"/>
      <c r="F1448" s="69"/>
      <c r="G1448" s="69"/>
      <c r="H1448" s="74" t="str">
        <f aca="false">IF(A1448="","",IFERROR(INDEX(السندات!$C$5:$C$504,MATCH(A1448,السندات!$A$5:$A$504,0)),""))</f>
        <v/>
      </c>
      <c r="I1448" s="75" t="str">
        <f aca="false">IF(A1448="","",IFERROR(INDEX(السندات!$D$5:$D$504,MATCH(A1448,السندات!$A$5:$A$504,0)),""))</f>
        <v/>
      </c>
      <c r="J1448" s="76" t="str">
        <f aca="false">IF(A1448="","",IF(ISNA(MATCH(A1448,السندات!$A$5:$A$504,0)),"رقم سند غير موجود ✘",IF(AND(F1448&lt;&gt;"",G1448&lt;&gt;""),"اكتب مدين أو دائن فقط ✘",IF(AND(N(F1448)=0,N(G1448)=0),"بدون مبلغ ⚠",IF(B1448&gt;12,"يتجاوز 12 بنداً في الطباعة ⚠","")))))</f>
        <v/>
      </c>
    </row>
    <row r="1449" customFormat="false" ht="15" hidden="false" customHeight="false" outlineLevel="0" collapsed="false">
      <c r="A1449" s="58"/>
      <c r="B1449" s="68" t="str">
        <f aca="false">IF(A1449="","",COUNTIF(A$5:A1449,A1449))</f>
        <v/>
      </c>
      <c r="C1449" s="68" t="str">
        <f aca="false">IF(A1449="","",A1449&amp;"-"&amp;B1449)</f>
        <v/>
      </c>
      <c r="D1449" s="58"/>
      <c r="E1449" s="57"/>
      <c r="F1449" s="69"/>
      <c r="G1449" s="69"/>
      <c r="H1449" s="70" t="str">
        <f aca="false">IF(A1449="","",IFERROR(INDEX(السندات!$C$5:$C$504,MATCH(A1449,السندات!$A$5:$A$504,0)),""))</f>
        <v/>
      </c>
      <c r="I1449" s="71" t="str">
        <f aca="false">IF(A1449="","",IFERROR(INDEX(السندات!$D$5:$D$504,MATCH(A1449,السندات!$A$5:$A$504,0)),""))</f>
        <v/>
      </c>
      <c r="J1449" s="72" t="str">
        <f aca="false">IF(A1449="","",IF(ISNA(MATCH(A1449,السندات!$A$5:$A$504,0)),"رقم سند غير موجود ✘",IF(AND(F1449&lt;&gt;"",G1449&lt;&gt;""),"اكتب مدين أو دائن فقط ✘",IF(AND(N(F1449)=0,N(G1449)=0),"بدون مبلغ ⚠",IF(B1449&gt;12,"يتجاوز 12 بنداً في الطباعة ⚠","")))))</f>
        <v/>
      </c>
    </row>
    <row r="1450" customFormat="false" ht="15" hidden="false" customHeight="false" outlineLevel="0" collapsed="false">
      <c r="A1450" s="58"/>
      <c r="B1450" s="73" t="str">
        <f aca="false">IF(A1450="","",COUNTIF(A$5:A1450,A1450))</f>
        <v/>
      </c>
      <c r="C1450" s="73" t="str">
        <f aca="false">IF(A1450="","",A1450&amp;"-"&amp;B1450)</f>
        <v/>
      </c>
      <c r="D1450" s="58"/>
      <c r="E1450" s="57"/>
      <c r="F1450" s="69"/>
      <c r="G1450" s="69"/>
      <c r="H1450" s="74" t="str">
        <f aca="false">IF(A1450="","",IFERROR(INDEX(السندات!$C$5:$C$504,MATCH(A1450,السندات!$A$5:$A$504,0)),""))</f>
        <v/>
      </c>
      <c r="I1450" s="75" t="str">
        <f aca="false">IF(A1450="","",IFERROR(INDEX(السندات!$D$5:$D$504,MATCH(A1450,السندات!$A$5:$A$504,0)),""))</f>
        <v/>
      </c>
      <c r="J1450" s="76" t="str">
        <f aca="false">IF(A1450="","",IF(ISNA(MATCH(A1450,السندات!$A$5:$A$504,0)),"رقم سند غير موجود ✘",IF(AND(F1450&lt;&gt;"",G1450&lt;&gt;""),"اكتب مدين أو دائن فقط ✘",IF(AND(N(F1450)=0,N(G1450)=0),"بدون مبلغ ⚠",IF(B1450&gt;12,"يتجاوز 12 بنداً في الطباعة ⚠","")))))</f>
        <v/>
      </c>
    </row>
    <row r="1451" customFormat="false" ht="15" hidden="false" customHeight="false" outlineLevel="0" collapsed="false">
      <c r="A1451" s="58"/>
      <c r="B1451" s="68" t="str">
        <f aca="false">IF(A1451="","",COUNTIF(A$5:A1451,A1451))</f>
        <v/>
      </c>
      <c r="C1451" s="68" t="str">
        <f aca="false">IF(A1451="","",A1451&amp;"-"&amp;B1451)</f>
        <v/>
      </c>
      <c r="D1451" s="58"/>
      <c r="E1451" s="57"/>
      <c r="F1451" s="69"/>
      <c r="G1451" s="69"/>
      <c r="H1451" s="70" t="str">
        <f aca="false">IF(A1451="","",IFERROR(INDEX(السندات!$C$5:$C$504,MATCH(A1451,السندات!$A$5:$A$504,0)),""))</f>
        <v/>
      </c>
      <c r="I1451" s="71" t="str">
        <f aca="false">IF(A1451="","",IFERROR(INDEX(السندات!$D$5:$D$504,MATCH(A1451,السندات!$A$5:$A$504,0)),""))</f>
        <v/>
      </c>
      <c r="J1451" s="72" t="str">
        <f aca="false">IF(A1451="","",IF(ISNA(MATCH(A1451,السندات!$A$5:$A$504,0)),"رقم سند غير موجود ✘",IF(AND(F1451&lt;&gt;"",G1451&lt;&gt;""),"اكتب مدين أو دائن فقط ✘",IF(AND(N(F1451)=0,N(G1451)=0),"بدون مبلغ ⚠",IF(B1451&gt;12,"يتجاوز 12 بنداً في الطباعة ⚠","")))))</f>
        <v/>
      </c>
    </row>
    <row r="1452" customFormat="false" ht="15" hidden="false" customHeight="false" outlineLevel="0" collapsed="false">
      <c r="A1452" s="58"/>
      <c r="B1452" s="73" t="str">
        <f aca="false">IF(A1452="","",COUNTIF(A$5:A1452,A1452))</f>
        <v/>
      </c>
      <c r="C1452" s="73" t="str">
        <f aca="false">IF(A1452="","",A1452&amp;"-"&amp;B1452)</f>
        <v/>
      </c>
      <c r="D1452" s="58"/>
      <c r="E1452" s="57"/>
      <c r="F1452" s="69"/>
      <c r="G1452" s="69"/>
      <c r="H1452" s="74" t="str">
        <f aca="false">IF(A1452="","",IFERROR(INDEX(السندات!$C$5:$C$504,MATCH(A1452,السندات!$A$5:$A$504,0)),""))</f>
        <v/>
      </c>
      <c r="I1452" s="75" t="str">
        <f aca="false">IF(A1452="","",IFERROR(INDEX(السندات!$D$5:$D$504,MATCH(A1452,السندات!$A$5:$A$504,0)),""))</f>
        <v/>
      </c>
      <c r="J1452" s="76" t="str">
        <f aca="false">IF(A1452="","",IF(ISNA(MATCH(A1452,السندات!$A$5:$A$504,0)),"رقم سند غير موجود ✘",IF(AND(F1452&lt;&gt;"",G1452&lt;&gt;""),"اكتب مدين أو دائن فقط ✘",IF(AND(N(F1452)=0,N(G1452)=0),"بدون مبلغ ⚠",IF(B1452&gt;12,"يتجاوز 12 بنداً في الطباعة ⚠","")))))</f>
        <v/>
      </c>
    </row>
    <row r="1453" customFormat="false" ht="15" hidden="false" customHeight="false" outlineLevel="0" collapsed="false">
      <c r="A1453" s="58"/>
      <c r="B1453" s="68" t="str">
        <f aca="false">IF(A1453="","",COUNTIF(A$5:A1453,A1453))</f>
        <v/>
      </c>
      <c r="C1453" s="68" t="str">
        <f aca="false">IF(A1453="","",A1453&amp;"-"&amp;B1453)</f>
        <v/>
      </c>
      <c r="D1453" s="58"/>
      <c r="E1453" s="57"/>
      <c r="F1453" s="69"/>
      <c r="G1453" s="69"/>
      <c r="H1453" s="70" t="str">
        <f aca="false">IF(A1453="","",IFERROR(INDEX(السندات!$C$5:$C$504,MATCH(A1453,السندات!$A$5:$A$504,0)),""))</f>
        <v/>
      </c>
      <c r="I1453" s="71" t="str">
        <f aca="false">IF(A1453="","",IFERROR(INDEX(السندات!$D$5:$D$504,MATCH(A1453,السندات!$A$5:$A$504,0)),""))</f>
        <v/>
      </c>
      <c r="J1453" s="72" t="str">
        <f aca="false">IF(A1453="","",IF(ISNA(MATCH(A1453,السندات!$A$5:$A$504,0)),"رقم سند غير موجود ✘",IF(AND(F1453&lt;&gt;"",G1453&lt;&gt;""),"اكتب مدين أو دائن فقط ✘",IF(AND(N(F1453)=0,N(G1453)=0),"بدون مبلغ ⚠",IF(B1453&gt;12,"يتجاوز 12 بنداً في الطباعة ⚠","")))))</f>
        <v/>
      </c>
    </row>
    <row r="1454" customFormat="false" ht="15" hidden="false" customHeight="false" outlineLevel="0" collapsed="false">
      <c r="A1454" s="58"/>
      <c r="B1454" s="73" t="str">
        <f aca="false">IF(A1454="","",COUNTIF(A$5:A1454,A1454))</f>
        <v/>
      </c>
      <c r="C1454" s="73" t="str">
        <f aca="false">IF(A1454="","",A1454&amp;"-"&amp;B1454)</f>
        <v/>
      </c>
      <c r="D1454" s="58"/>
      <c r="E1454" s="57"/>
      <c r="F1454" s="69"/>
      <c r="G1454" s="69"/>
      <c r="H1454" s="74" t="str">
        <f aca="false">IF(A1454="","",IFERROR(INDEX(السندات!$C$5:$C$504,MATCH(A1454,السندات!$A$5:$A$504,0)),""))</f>
        <v/>
      </c>
      <c r="I1454" s="75" t="str">
        <f aca="false">IF(A1454="","",IFERROR(INDEX(السندات!$D$5:$D$504,MATCH(A1454,السندات!$A$5:$A$504,0)),""))</f>
        <v/>
      </c>
      <c r="J1454" s="76" t="str">
        <f aca="false">IF(A1454="","",IF(ISNA(MATCH(A1454,السندات!$A$5:$A$504,0)),"رقم سند غير موجود ✘",IF(AND(F1454&lt;&gt;"",G1454&lt;&gt;""),"اكتب مدين أو دائن فقط ✘",IF(AND(N(F1454)=0,N(G1454)=0),"بدون مبلغ ⚠",IF(B1454&gt;12,"يتجاوز 12 بنداً في الطباعة ⚠","")))))</f>
        <v/>
      </c>
    </row>
    <row r="1455" customFormat="false" ht="15" hidden="false" customHeight="false" outlineLevel="0" collapsed="false">
      <c r="A1455" s="58"/>
      <c r="B1455" s="68" t="str">
        <f aca="false">IF(A1455="","",COUNTIF(A$5:A1455,A1455))</f>
        <v/>
      </c>
      <c r="C1455" s="68" t="str">
        <f aca="false">IF(A1455="","",A1455&amp;"-"&amp;B1455)</f>
        <v/>
      </c>
      <c r="D1455" s="58"/>
      <c r="E1455" s="57"/>
      <c r="F1455" s="69"/>
      <c r="G1455" s="69"/>
      <c r="H1455" s="70" t="str">
        <f aca="false">IF(A1455="","",IFERROR(INDEX(السندات!$C$5:$C$504,MATCH(A1455,السندات!$A$5:$A$504,0)),""))</f>
        <v/>
      </c>
      <c r="I1455" s="71" t="str">
        <f aca="false">IF(A1455="","",IFERROR(INDEX(السندات!$D$5:$D$504,MATCH(A1455,السندات!$A$5:$A$504,0)),""))</f>
        <v/>
      </c>
      <c r="J1455" s="72" t="str">
        <f aca="false">IF(A1455="","",IF(ISNA(MATCH(A1455,السندات!$A$5:$A$504,0)),"رقم سند غير موجود ✘",IF(AND(F1455&lt;&gt;"",G1455&lt;&gt;""),"اكتب مدين أو دائن فقط ✘",IF(AND(N(F1455)=0,N(G1455)=0),"بدون مبلغ ⚠",IF(B1455&gt;12,"يتجاوز 12 بنداً في الطباعة ⚠","")))))</f>
        <v/>
      </c>
    </row>
    <row r="1456" customFormat="false" ht="15" hidden="false" customHeight="false" outlineLevel="0" collapsed="false">
      <c r="A1456" s="58"/>
      <c r="B1456" s="73" t="str">
        <f aca="false">IF(A1456="","",COUNTIF(A$5:A1456,A1456))</f>
        <v/>
      </c>
      <c r="C1456" s="73" t="str">
        <f aca="false">IF(A1456="","",A1456&amp;"-"&amp;B1456)</f>
        <v/>
      </c>
      <c r="D1456" s="58"/>
      <c r="E1456" s="57"/>
      <c r="F1456" s="69"/>
      <c r="G1456" s="69"/>
      <c r="H1456" s="74" t="str">
        <f aca="false">IF(A1456="","",IFERROR(INDEX(السندات!$C$5:$C$504,MATCH(A1456,السندات!$A$5:$A$504,0)),""))</f>
        <v/>
      </c>
      <c r="I1456" s="75" t="str">
        <f aca="false">IF(A1456="","",IFERROR(INDEX(السندات!$D$5:$D$504,MATCH(A1456,السندات!$A$5:$A$504,0)),""))</f>
        <v/>
      </c>
      <c r="J1456" s="76" t="str">
        <f aca="false">IF(A1456="","",IF(ISNA(MATCH(A1456,السندات!$A$5:$A$504,0)),"رقم سند غير موجود ✘",IF(AND(F1456&lt;&gt;"",G1456&lt;&gt;""),"اكتب مدين أو دائن فقط ✘",IF(AND(N(F1456)=0,N(G1456)=0),"بدون مبلغ ⚠",IF(B1456&gt;12,"يتجاوز 12 بنداً في الطباعة ⚠","")))))</f>
        <v/>
      </c>
    </row>
    <row r="1457" customFormat="false" ht="15" hidden="false" customHeight="false" outlineLevel="0" collapsed="false">
      <c r="A1457" s="58"/>
      <c r="B1457" s="68" t="str">
        <f aca="false">IF(A1457="","",COUNTIF(A$5:A1457,A1457))</f>
        <v/>
      </c>
      <c r="C1457" s="68" t="str">
        <f aca="false">IF(A1457="","",A1457&amp;"-"&amp;B1457)</f>
        <v/>
      </c>
      <c r="D1457" s="58"/>
      <c r="E1457" s="57"/>
      <c r="F1457" s="69"/>
      <c r="G1457" s="69"/>
      <c r="H1457" s="70" t="str">
        <f aca="false">IF(A1457="","",IFERROR(INDEX(السندات!$C$5:$C$504,MATCH(A1457,السندات!$A$5:$A$504,0)),""))</f>
        <v/>
      </c>
      <c r="I1457" s="71" t="str">
        <f aca="false">IF(A1457="","",IFERROR(INDEX(السندات!$D$5:$D$504,MATCH(A1457,السندات!$A$5:$A$504,0)),""))</f>
        <v/>
      </c>
      <c r="J1457" s="72" t="str">
        <f aca="false">IF(A1457="","",IF(ISNA(MATCH(A1457,السندات!$A$5:$A$504,0)),"رقم سند غير موجود ✘",IF(AND(F1457&lt;&gt;"",G1457&lt;&gt;""),"اكتب مدين أو دائن فقط ✘",IF(AND(N(F1457)=0,N(G1457)=0),"بدون مبلغ ⚠",IF(B1457&gt;12,"يتجاوز 12 بنداً في الطباعة ⚠","")))))</f>
        <v/>
      </c>
    </row>
    <row r="1458" customFormat="false" ht="15" hidden="false" customHeight="false" outlineLevel="0" collapsed="false">
      <c r="A1458" s="58"/>
      <c r="B1458" s="73" t="str">
        <f aca="false">IF(A1458="","",COUNTIF(A$5:A1458,A1458))</f>
        <v/>
      </c>
      <c r="C1458" s="73" t="str">
        <f aca="false">IF(A1458="","",A1458&amp;"-"&amp;B1458)</f>
        <v/>
      </c>
      <c r="D1458" s="58"/>
      <c r="E1458" s="57"/>
      <c r="F1458" s="69"/>
      <c r="G1458" s="69"/>
      <c r="H1458" s="74" t="str">
        <f aca="false">IF(A1458="","",IFERROR(INDEX(السندات!$C$5:$C$504,MATCH(A1458,السندات!$A$5:$A$504,0)),""))</f>
        <v/>
      </c>
      <c r="I1458" s="75" t="str">
        <f aca="false">IF(A1458="","",IFERROR(INDEX(السندات!$D$5:$D$504,MATCH(A1458,السندات!$A$5:$A$504,0)),""))</f>
        <v/>
      </c>
      <c r="J1458" s="76" t="str">
        <f aca="false">IF(A1458="","",IF(ISNA(MATCH(A1458,السندات!$A$5:$A$504,0)),"رقم سند غير موجود ✘",IF(AND(F1458&lt;&gt;"",G1458&lt;&gt;""),"اكتب مدين أو دائن فقط ✘",IF(AND(N(F1458)=0,N(G1458)=0),"بدون مبلغ ⚠",IF(B1458&gt;12,"يتجاوز 12 بنداً في الطباعة ⚠","")))))</f>
        <v/>
      </c>
    </row>
    <row r="1459" customFormat="false" ht="15" hidden="false" customHeight="false" outlineLevel="0" collapsed="false">
      <c r="A1459" s="58"/>
      <c r="B1459" s="68" t="str">
        <f aca="false">IF(A1459="","",COUNTIF(A$5:A1459,A1459))</f>
        <v/>
      </c>
      <c r="C1459" s="68" t="str">
        <f aca="false">IF(A1459="","",A1459&amp;"-"&amp;B1459)</f>
        <v/>
      </c>
      <c r="D1459" s="58"/>
      <c r="E1459" s="57"/>
      <c r="F1459" s="69"/>
      <c r="G1459" s="69"/>
      <c r="H1459" s="70" t="str">
        <f aca="false">IF(A1459="","",IFERROR(INDEX(السندات!$C$5:$C$504,MATCH(A1459,السندات!$A$5:$A$504,0)),""))</f>
        <v/>
      </c>
      <c r="I1459" s="71" t="str">
        <f aca="false">IF(A1459="","",IFERROR(INDEX(السندات!$D$5:$D$504,MATCH(A1459,السندات!$A$5:$A$504,0)),""))</f>
        <v/>
      </c>
      <c r="J1459" s="72" t="str">
        <f aca="false">IF(A1459="","",IF(ISNA(MATCH(A1459,السندات!$A$5:$A$504,0)),"رقم سند غير موجود ✘",IF(AND(F1459&lt;&gt;"",G1459&lt;&gt;""),"اكتب مدين أو دائن فقط ✘",IF(AND(N(F1459)=0,N(G1459)=0),"بدون مبلغ ⚠",IF(B1459&gt;12,"يتجاوز 12 بنداً في الطباعة ⚠","")))))</f>
        <v/>
      </c>
    </row>
    <row r="1460" customFormat="false" ht="15" hidden="false" customHeight="false" outlineLevel="0" collapsed="false">
      <c r="A1460" s="58"/>
      <c r="B1460" s="73" t="str">
        <f aca="false">IF(A1460="","",COUNTIF(A$5:A1460,A1460))</f>
        <v/>
      </c>
      <c r="C1460" s="73" t="str">
        <f aca="false">IF(A1460="","",A1460&amp;"-"&amp;B1460)</f>
        <v/>
      </c>
      <c r="D1460" s="58"/>
      <c r="E1460" s="57"/>
      <c r="F1460" s="69"/>
      <c r="G1460" s="69"/>
      <c r="H1460" s="74" t="str">
        <f aca="false">IF(A1460="","",IFERROR(INDEX(السندات!$C$5:$C$504,MATCH(A1460,السندات!$A$5:$A$504,0)),""))</f>
        <v/>
      </c>
      <c r="I1460" s="75" t="str">
        <f aca="false">IF(A1460="","",IFERROR(INDEX(السندات!$D$5:$D$504,MATCH(A1460,السندات!$A$5:$A$504,0)),""))</f>
        <v/>
      </c>
      <c r="J1460" s="76" t="str">
        <f aca="false">IF(A1460="","",IF(ISNA(MATCH(A1460,السندات!$A$5:$A$504,0)),"رقم سند غير موجود ✘",IF(AND(F1460&lt;&gt;"",G1460&lt;&gt;""),"اكتب مدين أو دائن فقط ✘",IF(AND(N(F1460)=0,N(G1460)=0),"بدون مبلغ ⚠",IF(B1460&gt;12,"يتجاوز 12 بنداً في الطباعة ⚠","")))))</f>
        <v/>
      </c>
    </row>
    <row r="1461" customFormat="false" ht="15" hidden="false" customHeight="false" outlineLevel="0" collapsed="false">
      <c r="A1461" s="58"/>
      <c r="B1461" s="68" t="str">
        <f aca="false">IF(A1461="","",COUNTIF(A$5:A1461,A1461))</f>
        <v/>
      </c>
      <c r="C1461" s="68" t="str">
        <f aca="false">IF(A1461="","",A1461&amp;"-"&amp;B1461)</f>
        <v/>
      </c>
      <c r="D1461" s="58"/>
      <c r="E1461" s="57"/>
      <c r="F1461" s="69"/>
      <c r="G1461" s="69"/>
      <c r="H1461" s="70" t="str">
        <f aca="false">IF(A1461="","",IFERROR(INDEX(السندات!$C$5:$C$504,MATCH(A1461,السندات!$A$5:$A$504,0)),""))</f>
        <v/>
      </c>
      <c r="I1461" s="71" t="str">
        <f aca="false">IF(A1461="","",IFERROR(INDEX(السندات!$D$5:$D$504,MATCH(A1461,السندات!$A$5:$A$504,0)),""))</f>
        <v/>
      </c>
      <c r="J1461" s="72" t="str">
        <f aca="false">IF(A1461="","",IF(ISNA(MATCH(A1461,السندات!$A$5:$A$504,0)),"رقم سند غير موجود ✘",IF(AND(F1461&lt;&gt;"",G1461&lt;&gt;""),"اكتب مدين أو دائن فقط ✘",IF(AND(N(F1461)=0,N(G1461)=0),"بدون مبلغ ⚠",IF(B1461&gt;12,"يتجاوز 12 بنداً في الطباعة ⚠","")))))</f>
        <v/>
      </c>
    </row>
    <row r="1462" customFormat="false" ht="15" hidden="false" customHeight="false" outlineLevel="0" collapsed="false">
      <c r="A1462" s="58"/>
      <c r="B1462" s="73" t="str">
        <f aca="false">IF(A1462="","",COUNTIF(A$5:A1462,A1462))</f>
        <v/>
      </c>
      <c r="C1462" s="73" t="str">
        <f aca="false">IF(A1462="","",A1462&amp;"-"&amp;B1462)</f>
        <v/>
      </c>
      <c r="D1462" s="58"/>
      <c r="E1462" s="57"/>
      <c r="F1462" s="69"/>
      <c r="G1462" s="69"/>
      <c r="H1462" s="74" t="str">
        <f aca="false">IF(A1462="","",IFERROR(INDEX(السندات!$C$5:$C$504,MATCH(A1462,السندات!$A$5:$A$504,0)),""))</f>
        <v/>
      </c>
      <c r="I1462" s="75" t="str">
        <f aca="false">IF(A1462="","",IFERROR(INDEX(السندات!$D$5:$D$504,MATCH(A1462,السندات!$A$5:$A$504,0)),""))</f>
        <v/>
      </c>
      <c r="J1462" s="76" t="str">
        <f aca="false">IF(A1462="","",IF(ISNA(MATCH(A1462,السندات!$A$5:$A$504,0)),"رقم سند غير موجود ✘",IF(AND(F1462&lt;&gt;"",G1462&lt;&gt;""),"اكتب مدين أو دائن فقط ✘",IF(AND(N(F1462)=0,N(G1462)=0),"بدون مبلغ ⚠",IF(B1462&gt;12,"يتجاوز 12 بنداً في الطباعة ⚠","")))))</f>
        <v/>
      </c>
    </row>
    <row r="1463" customFormat="false" ht="15" hidden="false" customHeight="false" outlineLevel="0" collapsed="false">
      <c r="A1463" s="58"/>
      <c r="B1463" s="68" t="str">
        <f aca="false">IF(A1463="","",COUNTIF(A$5:A1463,A1463))</f>
        <v/>
      </c>
      <c r="C1463" s="68" t="str">
        <f aca="false">IF(A1463="","",A1463&amp;"-"&amp;B1463)</f>
        <v/>
      </c>
      <c r="D1463" s="58"/>
      <c r="E1463" s="57"/>
      <c r="F1463" s="69"/>
      <c r="G1463" s="69"/>
      <c r="H1463" s="70" t="str">
        <f aca="false">IF(A1463="","",IFERROR(INDEX(السندات!$C$5:$C$504,MATCH(A1463,السندات!$A$5:$A$504,0)),""))</f>
        <v/>
      </c>
      <c r="I1463" s="71" t="str">
        <f aca="false">IF(A1463="","",IFERROR(INDEX(السندات!$D$5:$D$504,MATCH(A1463,السندات!$A$5:$A$504,0)),""))</f>
        <v/>
      </c>
      <c r="J1463" s="72" t="str">
        <f aca="false">IF(A1463="","",IF(ISNA(MATCH(A1463,السندات!$A$5:$A$504,0)),"رقم سند غير موجود ✘",IF(AND(F1463&lt;&gt;"",G1463&lt;&gt;""),"اكتب مدين أو دائن فقط ✘",IF(AND(N(F1463)=0,N(G1463)=0),"بدون مبلغ ⚠",IF(B1463&gt;12,"يتجاوز 12 بنداً في الطباعة ⚠","")))))</f>
        <v/>
      </c>
    </row>
    <row r="1464" customFormat="false" ht="15" hidden="false" customHeight="false" outlineLevel="0" collapsed="false">
      <c r="A1464" s="58"/>
      <c r="B1464" s="73" t="str">
        <f aca="false">IF(A1464="","",COUNTIF(A$5:A1464,A1464))</f>
        <v/>
      </c>
      <c r="C1464" s="73" t="str">
        <f aca="false">IF(A1464="","",A1464&amp;"-"&amp;B1464)</f>
        <v/>
      </c>
      <c r="D1464" s="58"/>
      <c r="E1464" s="57"/>
      <c r="F1464" s="69"/>
      <c r="G1464" s="69"/>
      <c r="H1464" s="74" t="str">
        <f aca="false">IF(A1464="","",IFERROR(INDEX(السندات!$C$5:$C$504,MATCH(A1464,السندات!$A$5:$A$504,0)),""))</f>
        <v/>
      </c>
      <c r="I1464" s="75" t="str">
        <f aca="false">IF(A1464="","",IFERROR(INDEX(السندات!$D$5:$D$504,MATCH(A1464,السندات!$A$5:$A$504,0)),""))</f>
        <v/>
      </c>
      <c r="J1464" s="76" t="str">
        <f aca="false">IF(A1464="","",IF(ISNA(MATCH(A1464,السندات!$A$5:$A$504,0)),"رقم سند غير موجود ✘",IF(AND(F1464&lt;&gt;"",G1464&lt;&gt;""),"اكتب مدين أو دائن فقط ✘",IF(AND(N(F1464)=0,N(G1464)=0),"بدون مبلغ ⚠",IF(B1464&gt;12,"يتجاوز 12 بنداً في الطباعة ⚠","")))))</f>
        <v/>
      </c>
    </row>
    <row r="1465" customFormat="false" ht="15" hidden="false" customHeight="false" outlineLevel="0" collapsed="false">
      <c r="A1465" s="58"/>
      <c r="B1465" s="68" t="str">
        <f aca="false">IF(A1465="","",COUNTIF(A$5:A1465,A1465))</f>
        <v/>
      </c>
      <c r="C1465" s="68" t="str">
        <f aca="false">IF(A1465="","",A1465&amp;"-"&amp;B1465)</f>
        <v/>
      </c>
      <c r="D1465" s="58"/>
      <c r="E1465" s="57"/>
      <c r="F1465" s="69"/>
      <c r="G1465" s="69"/>
      <c r="H1465" s="70" t="str">
        <f aca="false">IF(A1465="","",IFERROR(INDEX(السندات!$C$5:$C$504,MATCH(A1465,السندات!$A$5:$A$504,0)),""))</f>
        <v/>
      </c>
      <c r="I1465" s="71" t="str">
        <f aca="false">IF(A1465="","",IFERROR(INDEX(السندات!$D$5:$D$504,MATCH(A1465,السندات!$A$5:$A$504,0)),""))</f>
        <v/>
      </c>
      <c r="J1465" s="72" t="str">
        <f aca="false">IF(A1465="","",IF(ISNA(MATCH(A1465,السندات!$A$5:$A$504,0)),"رقم سند غير موجود ✘",IF(AND(F1465&lt;&gt;"",G1465&lt;&gt;""),"اكتب مدين أو دائن فقط ✘",IF(AND(N(F1465)=0,N(G1465)=0),"بدون مبلغ ⚠",IF(B1465&gt;12,"يتجاوز 12 بنداً في الطباعة ⚠","")))))</f>
        <v/>
      </c>
    </row>
    <row r="1466" customFormat="false" ht="15" hidden="false" customHeight="false" outlineLevel="0" collapsed="false">
      <c r="A1466" s="58"/>
      <c r="B1466" s="73" t="str">
        <f aca="false">IF(A1466="","",COUNTIF(A$5:A1466,A1466))</f>
        <v/>
      </c>
      <c r="C1466" s="73" t="str">
        <f aca="false">IF(A1466="","",A1466&amp;"-"&amp;B1466)</f>
        <v/>
      </c>
      <c r="D1466" s="58"/>
      <c r="E1466" s="57"/>
      <c r="F1466" s="69"/>
      <c r="G1466" s="69"/>
      <c r="H1466" s="74" t="str">
        <f aca="false">IF(A1466="","",IFERROR(INDEX(السندات!$C$5:$C$504,MATCH(A1466,السندات!$A$5:$A$504,0)),""))</f>
        <v/>
      </c>
      <c r="I1466" s="75" t="str">
        <f aca="false">IF(A1466="","",IFERROR(INDEX(السندات!$D$5:$D$504,MATCH(A1466,السندات!$A$5:$A$504,0)),""))</f>
        <v/>
      </c>
      <c r="J1466" s="76" t="str">
        <f aca="false">IF(A1466="","",IF(ISNA(MATCH(A1466,السندات!$A$5:$A$504,0)),"رقم سند غير موجود ✘",IF(AND(F1466&lt;&gt;"",G1466&lt;&gt;""),"اكتب مدين أو دائن فقط ✘",IF(AND(N(F1466)=0,N(G1466)=0),"بدون مبلغ ⚠",IF(B1466&gt;12,"يتجاوز 12 بنداً في الطباعة ⚠","")))))</f>
        <v/>
      </c>
    </row>
    <row r="1467" customFormat="false" ht="15" hidden="false" customHeight="false" outlineLevel="0" collapsed="false">
      <c r="A1467" s="58"/>
      <c r="B1467" s="68" t="str">
        <f aca="false">IF(A1467="","",COUNTIF(A$5:A1467,A1467))</f>
        <v/>
      </c>
      <c r="C1467" s="68" t="str">
        <f aca="false">IF(A1467="","",A1467&amp;"-"&amp;B1467)</f>
        <v/>
      </c>
      <c r="D1467" s="58"/>
      <c r="E1467" s="57"/>
      <c r="F1467" s="69"/>
      <c r="G1467" s="69"/>
      <c r="H1467" s="70" t="str">
        <f aca="false">IF(A1467="","",IFERROR(INDEX(السندات!$C$5:$C$504,MATCH(A1467,السندات!$A$5:$A$504,0)),""))</f>
        <v/>
      </c>
      <c r="I1467" s="71" t="str">
        <f aca="false">IF(A1467="","",IFERROR(INDEX(السندات!$D$5:$D$504,MATCH(A1467,السندات!$A$5:$A$504,0)),""))</f>
        <v/>
      </c>
      <c r="J1467" s="72" t="str">
        <f aca="false">IF(A1467="","",IF(ISNA(MATCH(A1467,السندات!$A$5:$A$504,0)),"رقم سند غير موجود ✘",IF(AND(F1467&lt;&gt;"",G1467&lt;&gt;""),"اكتب مدين أو دائن فقط ✘",IF(AND(N(F1467)=0,N(G1467)=0),"بدون مبلغ ⚠",IF(B1467&gt;12,"يتجاوز 12 بنداً في الطباعة ⚠","")))))</f>
        <v/>
      </c>
    </row>
    <row r="1468" customFormat="false" ht="15" hidden="false" customHeight="false" outlineLevel="0" collapsed="false">
      <c r="A1468" s="58"/>
      <c r="B1468" s="73" t="str">
        <f aca="false">IF(A1468="","",COUNTIF(A$5:A1468,A1468))</f>
        <v/>
      </c>
      <c r="C1468" s="73" t="str">
        <f aca="false">IF(A1468="","",A1468&amp;"-"&amp;B1468)</f>
        <v/>
      </c>
      <c r="D1468" s="58"/>
      <c r="E1468" s="57"/>
      <c r="F1468" s="69"/>
      <c r="G1468" s="69"/>
      <c r="H1468" s="74" t="str">
        <f aca="false">IF(A1468="","",IFERROR(INDEX(السندات!$C$5:$C$504,MATCH(A1468,السندات!$A$5:$A$504,0)),""))</f>
        <v/>
      </c>
      <c r="I1468" s="75" t="str">
        <f aca="false">IF(A1468="","",IFERROR(INDEX(السندات!$D$5:$D$504,MATCH(A1468,السندات!$A$5:$A$504,0)),""))</f>
        <v/>
      </c>
      <c r="J1468" s="76" t="str">
        <f aca="false">IF(A1468="","",IF(ISNA(MATCH(A1468,السندات!$A$5:$A$504,0)),"رقم سند غير موجود ✘",IF(AND(F1468&lt;&gt;"",G1468&lt;&gt;""),"اكتب مدين أو دائن فقط ✘",IF(AND(N(F1468)=0,N(G1468)=0),"بدون مبلغ ⚠",IF(B1468&gt;12,"يتجاوز 12 بنداً في الطباعة ⚠","")))))</f>
        <v/>
      </c>
    </row>
    <row r="1469" customFormat="false" ht="15" hidden="false" customHeight="false" outlineLevel="0" collapsed="false">
      <c r="A1469" s="58"/>
      <c r="B1469" s="68" t="str">
        <f aca="false">IF(A1469="","",COUNTIF(A$5:A1469,A1469))</f>
        <v/>
      </c>
      <c r="C1469" s="68" t="str">
        <f aca="false">IF(A1469="","",A1469&amp;"-"&amp;B1469)</f>
        <v/>
      </c>
      <c r="D1469" s="58"/>
      <c r="E1469" s="57"/>
      <c r="F1469" s="69"/>
      <c r="G1469" s="69"/>
      <c r="H1469" s="70" t="str">
        <f aca="false">IF(A1469="","",IFERROR(INDEX(السندات!$C$5:$C$504,MATCH(A1469,السندات!$A$5:$A$504,0)),""))</f>
        <v/>
      </c>
      <c r="I1469" s="71" t="str">
        <f aca="false">IF(A1469="","",IFERROR(INDEX(السندات!$D$5:$D$504,MATCH(A1469,السندات!$A$5:$A$504,0)),""))</f>
        <v/>
      </c>
      <c r="J1469" s="72" t="str">
        <f aca="false">IF(A1469="","",IF(ISNA(MATCH(A1469,السندات!$A$5:$A$504,0)),"رقم سند غير موجود ✘",IF(AND(F1469&lt;&gt;"",G1469&lt;&gt;""),"اكتب مدين أو دائن فقط ✘",IF(AND(N(F1469)=0,N(G1469)=0),"بدون مبلغ ⚠",IF(B1469&gt;12,"يتجاوز 12 بنداً في الطباعة ⚠","")))))</f>
        <v/>
      </c>
    </row>
    <row r="1470" customFormat="false" ht="15" hidden="false" customHeight="false" outlineLevel="0" collapsed="false">
      <c r="A1470" s="58"/>
      <c r="B1470" s="73" t="str">
        <f aca="false">IF(A1470="","",COUNTIF(A$5:A1470,A1470))</f>
        <v/>
      </c>
      <c r="C1470" s="73" t="str">
        <f aca="false">IF(A1470="","",A1470&amp;"-"&amp;B1470)</f>
        <v/>
      </c>
      <c r="D1470" s="58"/>
      <c r="E1470" s="57"/>
      <c r="F1470" s="69"/>
      <c r="G1470" s="69"/>
      <c r="H1470" s="74" t="str">
        <f aca="false">IF(A1470="","",IFERROR(INDEX(السندات!$C$5:$C$504,MATCH(A1470,السندات!$A$5:$A$504,0)),""))</f>
        <v/>
      </c>
      <c r="I1470" s="75" t="str">
        <f aca="false">IF(A1470="","",IFERROR(INDEX(السندات!$D$5:$D$504,MATCH(A1470,السندات!$A$5:$A$504,0)),""))</f>
        <v/>
      </c>
      <c r="J1470" s="76" t="str">
        <f aca="false">IF(A1470="","",IF(ISNA(MATCH(A1470,السندات!$A$5:$A$504,0)),"رقم سند غير موجود ✘",IF(AND(F1470&lt;&gt;"",G1470&lt;&gt;""),"اكتب مدين أو دائن فقط ✘",IF(AND(N(F1470)=0,N(G1470)=0),"بدون مبلغ ⚠",IF(B1470&gt;12,"يتجاوز 12 بنداً في الطباعة ⚠","")))))</f>
        <v/>
      </c>
    </row>
    <row r="1471" customFormat="false" ht="15" hidden="false" customHeight="false" outlineLevel="0" collapsed="false">
      <c r="A1471" s="58"/>
      <c r="B1471" s="68" t="str">
        <f aca="false">IF(A1471="","",COUNTIF(A$5:A1471,A1471))</f>
        <v/>
      </c>
      <c r="C1471" s="68" t="str">
        <f aca="false">IF(A1471="","",A1471&amp;"-"&amp;B1471)</f>
        <v/>
      </c>
      <c r="D1471" s="58"/>
      <c r="E1471" s="57"/>
      <c r="F1471" s="69"/>
      <c r="G1471" s="69"/>
      <c r="H1471" s="70" t="str">
        <f aca="false">IF(A1471="","",IFERROR(INDEX(السندات!$C$5:$C$504,MATCH(A1471,السندات!$A$5:$A$504,0)),""))</f>
        <v/>
      </c>
      <c r="I1471" s="71" t="str">
        <f aca="false">IF(A1471="","",IFERROR(INDEX(السندات!$D$5:$D$504,MATCH(A1471,السندات!$A$5:$A$504,0)),""))</f>
        <v/>
      </c>
      <c r="J1471" s="72" t="str">
        <f aca="false">IF(A1471="","",IF(ISNA(MATCH(A1471,السندات!$A$5:$A$504,0)),"رقم سند غير موجود ✘",IF(AND(F1471&lt;&gt;"",G1471&lt;&gt;""),"اكتب مدين أو دائن فقط ✘",IF(AND(N(F1471)=0,N(G1471)=0),"بدون مبلغ ⚠",IF(B1471&gt;12,"يتجاوز 12 بنداً في الطباعة ⚠","")))))</f>
        <v/>
      </c>
    </row>
    <row r="1472" customFormat="false" ht="15" hidden="false" customHeight="false" outlineLevel="0" collapsed="false">
      <c r="A1472" s="58"/>
      <c r="B1472" s="73" t="str">
        <f aca="false">IF(A1472="","",COUNTIF(A$5:A1472,A1472))</f>
        <v/>
      </c>
      <c r="C1472" s="73" t="str">
        <f aca="false">IF(A1472="","",A1472&amp;"-"&amp;B1472)</f>
        <v/>
      </c>
      <c r="D1472" s="58"/>
      <c r="E1472" s="57"/>
      <c r="F1472" s="69"/>
      <c r="G1472" s="69"/>
      <c r="H1472" s="74" t="str">
        <f aca="false">IF(A1472="","",IFERROR(INDEX(السندات!$C$5:$C$504,MATCH(A1472,السندات!$A$5:$A$504,0)),""))</f>
        <v/>
      </c>
      <c r="I1472" s="75" t="str">
        <f aca="false">IF(A1472="","",IFERROR(INDEX(السندات!$D$5:$D$504,MATCH(A1472,السندات!$A$5:$A$504,0)),""))</f>
        <v/>
      </c>
      <c r="J1472" s="76" t="str">
        <f aca="false">IF(A1472="","",IF(ISNA(MATCH(A1472,السندات!$A$5:$A$504,0)),"رقم سند غير موجود ✘",IF(AND(F1472&lt;&gt;"",G1472&lt;&gt;""),"اكتب مدين أو دائن فقط ✘",IF(AND(N(F1472)=0,N(G1472)=0),"بدون مبلغ ⚠",IF(B1472&gt;12,"يتجاوز 12 بنداً في الطباعة ⚠","")))))</f>
        <v/>
      </c>
    </row>
    <row r="1473" customFormat="false" ht="15" hidden="false" customHeight="false" outlineLevel="0" collapsed="false">
      <c r="A1473" s="58"/>
      <c r="B1473" s="68" t="str">
        <f aca="false">IF(A1473="","",COUNTIF(A$5:A1473,A1473))</f>
        <v/>
      </c>
      <c r="C1473" s="68" t="str">
        <f aca="false">IF(A1473="","",A1473&amp;"-"&amp;B1473)</f>
        <v/>
      </c>
      <c r="D1473" s="58"/>
      <c r="E1473" s="57"/>
      <c r="F1473" s="69"/>
      <c r="G1473" s="69"/>
      <c r="H1473" s="70" t="str">
        <f aca="false">IF(A1473="","",IFERROR(INDEX(السندات!$C$5:$C$504,MATCH(A1473,السندات!$A$5:$A$504,0)),""))</f>
        <v/>
      </c>
      <c r="I1473" s="71" t="str">
        <f aca="false">IF(A1473="","",IFERROR(INDEX(السندات!$D$5:$D$504,MATCH(A1473,السندات!$A$5:$A$504,0)),""))</f>
        <v/>
      </c>
      <c r="J1473" s="72" t="str">
        <f aca="false">IF(A1473="","",IF(ISNA(MATCH(A1473,السندات!$A$5:$A$504,0)),"رقم سند غير موجود ✘",IF(AND(F1473&lt;&gt;"",G1473&lt;&gt;""),"اكتب مدين أو دائن فقط ✘",IF(AND(N(F1473)=0,N(G1473)=0),"بدون مبلغ ⚠",IF(B1473&gt;12,"يتجاوز 12 بنداً في الطباعة ⚠","")))))</f>
        <v/>
      </c>
    </row>
    <row r="1474" customFormat="false" ht="15" hidden="false" customHeight="false" outlineLevel="0" collapsed="false">
      <c r="A1474" s="58"/>
      <c r="B1474" s="73" t="str">
        <f aca="false">IF(A1474="","",COUNTIF(A$5:A1474,A1474))</f>
        <v/>
      </c>
      <c r="C1474" s="73" t="str">
        <f aca="false">IF(A1474="","",A1474&amp;"-"&amp;B1474)</f>
        <v/>
      </c>
      <c r="D1474" s="58"/>
      <c r="E1474" s="57"/>
      <c r="F1474" s="69"/>
      <c r="G1474" s="69"/>
      <c r="H1474" s="74" t="str">
        <f aca="false">IF(A1474="","",IFERROR(INDEX(السندات!$C$5:$C$504,MATCH(A1474,السندات!$A$5:$A$504,0)),""))</f>
        <v/>
      </c>
      <c r="I1474" s="75" t="str">
        <f aca="false">IF(A1474="","",IFERROR(INDEX(السندات!$D$5:$D$504,MATCH(A1474,السندات!$A$5:$A$504,0)),""))</f>
        <v/>
      </c>
      <c r="J1474" s="76" t="str">
        <f aca="false">IF(A1474="","",IF(ISNA(MATCH(A1474,السندات!$A$5:$A$504,0)),"رقم سند غير موجود ✘",IF(AND(F1474&lt;&gt;"",G1474&lt;&gt;""),"اكتب مدين أو دائن فقط ✘",IF(AND(N(F1474)=0,N(G1474)=0),"بدون مبلغ ⚠",IF(B1474&gt;12,"يتجاوز 12 بنداً في الطباعة ⚠","")))))</f>
        <v/>
      </c>
    </row>
    <row r="1475" customFormat="false" ht="15" hidden="false" customHeight="false" outlineLevel="0" collapsed="false">
      <c r="A1475" s="58"/>
      <c r="B1475" s="68" t="str">
        <f aca="false">IF(A1475="","",COUNTIF(A$5:A1475,A1475))</f>
        <v/>
      </c>
      <c r="C1475" s="68" t="str">
        <f aca="false">IF(A1475="","",A1475&amp;"-"&amp;B1475)</f>
        <v/>
      </c>
      <c r="D1475" s="58"/>
      <c r="E1475" s="57"/>
      <c r="F1475" s="69"/>
      <c r="G1475" s="69"/>
      <c r="H1475" s="70" t="str">
        <f aca="false">IF(A1475="","",IFERROR(INDEX(السندات!$C$5:$C$504,MATCH(A1475,السندات!$A$5:$A$504,0)),""))</f>
        <v/>
      </c>
      <c r="I1475" s="71" t="str">
        <f aca="false">IF(A1475="","",IFERROR(INDEX(السندات!$D$5:$D$504,MATCH(A1475,السندات!$A$5:$A$504,0)),""))</f>
        <v/>
      </c>
      <c r="J1475" s="72" t="str">
        <f aca="false">IF(A1475="","",IF(ISNA(MATCH(A1475,السندات!$A$5:$A$504,0)),"رقم سند غير موجود ✘",IF(AND(F1475&lt;&gt;"",G1475&lt;&gt;""),"اكتب مدين أو دائن فقط ✘",IF(AND(N(F1475)=0,N(G1475)=0),"بدون مبلغ ⚠",IF(B1475&gt;12,"يتجاوز 12 بنداً في الطباعة ⚠","")))))</f>
        <v/>
      </c>
    </row>
    <row r="1476" customFormat="false" ht="15" hidden="false" customHeight="false" outlineLevel="0" collapsed="false">
      <c r="A1476" s="58"/>
      <c r="B1476" s="73" t="str">
        <f aca="false">IF(A1476="","",COUNTIF(A$5:A1476,A1476))</f>
        <v/>
      </c>
      <c r="C1476" s="73" t="str">
        <f aca="false">IF(A1476="","",A1476&amp;"-"&amp;B1476)</f>
        <v/>
      </c>
      <c r="D1476" s="58"/>
      <c r="E1476" s="57"/>
      <c r="F1476" s="69"/>
      <c r="G1476" s="69"/>
      <c r="H1476" s="74" t="str">
        <f aca="false">IF(A1476="","",IFERROR(INDEX(السندات!$C$5:$C$504,MATCH(A1476,السندات!$A$5:$A$504,0)),""))</f>
        <v/>
      </c>
      <c r="I1476" s="75" t="str">
        <f aca="false">IF(A1476="","",IFERROR(INDEX(السندات!$D$5:$D$504,MATCH(A1476,السندات!$A$5:$A$504,0)),""))</f>
        <v/>
      </c>
      <c r="J1476" s="76" t="str">
        <f aca="false">IF(A1476="","",IF(ISNA(MATCH(A1476,السندات!$A$5:$A$504,0)),"رقم سند غير موجود ✘",IF(AND(F1476&lt;&gt;"",G1476&lt;&gt;""),"اكتب مدين أو دائن فقط ✘",IF(AND(N(F1476)=0,N(G1476)=0),"بدون مبلغ ⚠",IF(B1476&gt;12,"يتجاوز 12 بنداً في الطباعة ⚠","")))))</f>
        <v/>
      </c>
    </row>
    <row r="1477" customFormat="false" ht="15" hidden="false" customHeight="false" outlineLevel="0" collapsed="false">
      <c r="A1477" s="58"/>
      <c r="B1477" s="68" t="str">
        <f aca="false">IF(A1477="","",COUNTIF(A$5:A1477,A1477))</f>
        <v/>
      </c>
      <c r="C1477" s="68" t="str">
        <f aca="false">IF(A1477="","",A1477&amp;"-"&amp;B1477)</f>
        <v/>
      </c>
      <c r="D1477" s="58"/>
      <c r="E1477" s="57"/>
      <c r="F1477" s="69"/>
      <c r="G1477" s="69"/>
      <c r="H1477" s="70" t="str">
        <f aca="false">IF(A1477="","",IFERROR(INDEX(السندات!$C$5:$C$504,MATCH(A1477,السندات!$A$5:$A$504,0)),""))</f>
        <v/>
      </c>
      <c r="I1477" s="71" t="str">
        <f aca="false">IF(A1477="","",IFERROR(INDEX(السندات!$D$5:$D$504,MATCH(A1477,السندات!$A$5:$A$504,0)),""))</f>
        <v/>
      </c>
      <c r="J1477" s="72" t="str">
        <f aca="false">IF(A1477="","",IF(ISNA(MATCH(A1477,السندات!$A$5:$A$504,0)),"رقم سند غير موجود ✘",IF(AND(F1477&lt;&gt;"",G1477&lt;&gt;""),"اكتب مدين أو دائن فقط ✘",IF(AND(N(F1477)=0,N(G1477)=0),"بدون مبلغ ⚠",IF(B1477&gt;12,"يتجاوز 12 بنداً في الطباعة ⚠","")))))</f>
        <v/>
      </c>
    </row>
    <row r="1478" customFormat="false" ht="15" hidden="false" customHeight="false" outlineLevel="0" collapsed="false">
      <c r="A1478" s="58"/>
      <c r="B1478" s="73" t="str">
        <f aca="false">IF(A1478="","",COUNTIF(A$5:A1478,A1478))</f>
        <v/>
      </c>
      <c r="C1478" s="73" t="str">
        <f aca="false">IF(A1478="","",A1478&amp;"-"&amp;B1478)</f>
        <v/>
      </c>
      <c r="D1478" s="58"/>
      <c r="E1478" s="57"/>
      <c r="F1478" s="69"/>
      <c r="G1478" s="69"/>
      <c r="H1478" s="74" t="str">
        <f aca="false">IF(A1478="","",IFERROR(INDEX(السندات!$C$5:$C$504,MATCH(A1478,السندات!$A$5:$A$504,0)),""))</f>
        <v/>
      </c>
      <c r="I1478" s="75" t="str">
        <f aca="false">IF(A1478="","",IFERROR(INDEX(السندات!$D$5:$D$504,MATCH(A1478,السندات!$A$5:$A$504,0)),""))</f>
        <v/>
      </c>
      <c r="J1478" s="76" t="str">
        <f aca="false">IF(A1478="","",IF(ISNA(MATCH(A1478,السندات!$A$5:$A$504,0)),"رقم سند غير موجود ✘",IF(AND(F1478&lt;&gt;"",G1478&lt;&gt;""),"اكتب مدين أو دائن فقط ✘",IF(AND(N(F1478)=0,N(G1478)=0),"بدون مبلغ ⚠",IF(B1478&gt;12,"يتجاوز 12 بنداً في الطباعة ⚠","")))))</f>
        <v/>
      </c>
    </row>
    <row r="1479" customFormat="false" ht="15" hidden="false" customHeight="false" outlineLevel="0" collapsed="false">
      <c r="A1479" s="58"/>
      <c r="B1479" s="68" t="str">
        <f aca="false">IF(A1479="","",COUNTIF(A$5:A1479,A1479))</f>
        <v/>
      </c>
      <c r="C1479" s="68" t="str">
        <f aca="false">IF(A1479="","",A1479&amp;"-"&amp;B1479)</f>
        <v/>
      </c>
      <c r="D1479" s="58"/>
      <c r="E1479" s="57"/>
      <c r="F1479" s="69"/>
      <c r="G1479" s="69"/>
      <c r="H1479" s="70" t="str">
        <f aca="false">IF(A1479="","",IFERROR(INDEX(السندات!$C$5:$C$504,MATCH(A1479,السندات!$A$5:$A$504,0)),""))</f>
        <v/>
      </c>
      <c r="I1479" s="71" t="str">
        <f aca="false">IF(A1479="","",IFERROR(INDEX(السندات!$D$5:$D$504,MATCH(A1479,السندات!$A$5:$A$504,0)),""))</f>
        <v/>
      </c>
      <c r="J1479" s="72" t="str">
        <f aca="false">IF(A1479="","",IF(ISNA(MATCH(A1479,السندات!$A$5:$A$504,0)),"رقم سند غير موجود ✘",IF(AND(F1479&lt;&gt;"",G1479&lt;&gt;""),"اكتب مدين أو دائن فقط ✘",IF(AND(N(F1479)=0,N(G1479)=0),"بدون مبلغ ⚠",IF(B1479&gt;12,"يتجاوز 12 بنداً في الطباعة ⚠","")))))</f>
        <v/>
      </c>
    </row>
    <row r="1480" customFormat="false" ht="15" hidden="false" customHeight="false" outlineLevel="0" collapsed="false">
      <c r="A1480" s="58"/>
      <c r="B1480" s="73" t="str">
        <f aca="false">IF(A1480="","",COUNTIF(A$5:A1480,A1480))</f>
        <v/>
      </c>
      <c r="C1480" s="73" t="str">
        <f aca="false">IF(A1480="","",A1480&amp;"-"&amp;B1480)</f>
        <v/>
      </c>
      <c r="D1480" s="58"/>
      <c r="E1480" s="57"/>
      <c r="F1480" s="69"/>
      <c r="G1480" s="69"/>
      <c r="H1480" s="74" t="str">
        <f aca="false">IF(A1480="","",IFERROR(INDEX(السندات!$C$5:$C$504,MATCH(A1480,السندات!$A$5:$A$504,0)),""))</f>
        <v/>
      </c>
      <c r="I1480" s="75" t="str">
        <f aca="false">IF(A1480="","",IFERROR(INDEX(السندات!$D$5:$D$504,MATCH(A1480,السندات!$A$5:$A$504,0)),""))</f>
        <v/>
      </c>
      <c r="J1480" s="76" t="str">
        <f aca="false">IF(A1480="","",IF(ISNA(MATCH(A1480,السندات!$A$5:$A$504,0)),"رقم سند غير موجود ✘",IF(AND(F1480&lt;&gt;"",G1480&lt;&gt;""),"اكتب مدين أو دائن فقط ✘",IF(AND(N(F1480)=0,N(G1480)=0),"بدون مبلغ ⚠",IF(B1480&gt;12,"يتجاوز 12 بنداً في الطباعة ⚠","")))))</f>
        <v/>
      </c>
    </row>
    <row r="1481" customFormat="false" ht="15" hidden="false" customHeight="false" outlineLevel="0" collapsed="false">
      <c r="A1481" s="58"/>
      <c r="B1481" s="68" t="str">
        <f aca="false">IF(A1481="","",COUNTIF(A$5:A1481,A1481))</f>
        <v/>
      </c>
      <c r="C1481" s="68" t="str">
        <f aca="false">IF(A1481="","",A1481&amp;"-"&amp;B1481)</f>
        <v/>
      </c>
      <c r="D1481" s="58"/>
      <c r="E1481" s="57"/>
      <c r="F1481" s="69"/>
      <c r="G1481" s="69"/>
      <c r="H1481" s="70" t="str">
        <f aca="false">IF(A1481="","",IFERROR(INDEX(السندات!$C$5:$C$504,MATCH(A1481,السندات!$A$5:$A$504,0)),""))</f>
        <v/>
      </c>
      <c r="I1481" s="71" t="str">
        <f aca="false">IF(A1481="","",IFERROR(INDEX(السندات!$D$5:$D$504,MATCH(A1481,السندات!$A$5:$A$504,0)),""))</f>
        <v/>
      </c>
      <c r="J1481" s="72" t="str">
        <f aca="false">IF(A1481="","",IF(ISNA(MATCH(A1481,السندات!$A$5:$A$504,0)),"رقم سند غير موجود ✘",IF(AND(F1481&lt;&gt;"",G1481&lt;&gt;""),"اكتب مدين أو دائن فقط ✘",IF(AND(N(F1481)=0,N(G1481)=0),"بدون مبلغ ⚠",IF(B1481&gt;12,"يتجاوز 12 بنداً في الطباعة ⚠","")))))</f>
        <v/>
      </c>
    </row>
    <row r="1482" customFormat="false" ht="15" hidden="false" customHeight="false" outlineLevel="0" collapsed="false">
      <c r="A1482" s="58"/>
      <c r="B1482" s="73" t="str">
        <f aca="false">IF(A1482="","",COUNTIF(A$5:A1482,A1482))</f>
        <v/>
      </c>
      <c r="C1482" s="73" t="str">
        <f aca="false">IF(A1482="","",A1482&amp;"-"&amp;B1482)</f>
        <v/>
      </c>
      <c r="D1482" s="58"/>
      <c r="E1482" s="57"/>
      <c r="F1482" s="69"/>
      <c r="G1482" s="69"/>
      <c r="H1482" s="74" t="str">
        <f aca="false">IF(A1482="","",IFERROR(INDEX(السندات!$C$5:$C$504,MATCH(A1482,السندات!$A$5:$A$504,0)),""))</f>
        <v/>
      </c>
      <c r="I1482" s="75" t="str">
        <f aca="false">IF(A1482="","",IFERROR(INDEX(السندات!$D$5:$D$504,MATCH(A1482,السندات!$A$5:$A$504,0)),""))</f>
        <v/>
      </c>
      <c r="J1482" s="76" t="str">
        <f aca="false">IF(A1482="","",IF(ISNA(MATCH(A1482,السندات!$A$5:$A$504,0)),"رقم سند غير موجود ✘",IF(AND(F1482&lt;&gt;"",G1482&lt;&gt;""),"اكتب مدين أو دائن فقط ✘",IF(AND(N(F1482)=0,N(G1482)=0),"بدون مبلغ ⚠",IF(B1482&gt;12,"يتجاوز 12 بنداً في الطباعة ⚠","")))))</f>
        <v/>
      </c>
    </row>
    <row r="1483" customFormat="false" ht="15" hidden="false" customHeight="false" outlineLevel="0" collapsed="false">
      <c r="A1483" s="58"/>
      <c r="B1483" s="68" t="str">
        <f aca="false">IF(A1483="","",COUNTIF(A$5:A1483,A1483))</f>
        <v/>
      </c>
      <c r="C1483" s="68" t="str">
        <f aca="false">IF(A1483="","",A1483&amp;"-"&amp;B1483)</f>
        <v/>
      </c>
      <c r="D1483" s="58"/>
      <c r="E1483" s="57"/>
      <c r="F1483" s="69"/>
      <c r="G1483" s="69"/>
      <c r="H1483" s="70" t="str">
        <f aca="false">IF(A1483="","",IFERROR(INDEX(السندات!$C$5:$C$504,MATCH(A1483,السندات!$A$5:$A$504,0)),""))</f>
        <v/>
      </c>
      <c r="I1483" s="71" t="str">
        <f aca="false">IF(A1483="","",IFERROR(INDEX(السندات!$D$5:$D$504,MATCH(A1483,السندات!$A$5:$A$504,0)),""))</f>
        <v/>
      </c>
      <c r="J1483" s="72" t="str">
        <f aca="false">IF(A1483="","",IF(ISNA(MATCH(A1483,السندات!$A$5:$A$504,0)),"رقم سند غير موجود ✘",IF(AND(F1483&lt;&gt;"",G1483&lt;&gt;""),"اكتب مدين أو دائن فقط ✘",IF(AND(N(F1483)=0,N(G1483)=0),"بدون مبلغ ⚠",IF(B1483&gt;12,"يتجاوز 12 بنداً في الطباعة ⚠","")))))</f>
        <v/>
      </c>
    </row>
    <row r="1484" customFormat="false" ht="15" hidden="false" customHeight="false" outlineLevel="0" collapsed="false">
      <c r="A1484" s="58"/>
      <c r="B1484" s="73" t="str">
        <f aca="false">IF(A1484="","",COUNTIF(A$5:A1484,A1484))</f>
        <v/>
      </c>
      <c r="C1484" s="73" t="str">
        <f aca="false">IF(A1484="","",A1484&amp;"-"&amp;B1484)</f>
        <v/>
      </c>
      <c r="D1484" s="58"/>
      <c r="E1484" s="57"/>
      <c r="F1484" s="69"/>
      <c r="G1484" s="69"/>
      <c r="H1484" s="74" t="str">
        <f aca="false">IF(A1484="","",IFERROR(INDEX(السندات!$C$5:$C$504,MATCH(A1484,السندات!$A$5:$A$504,0)),""))</f>
        <v/>
      </c>
      <c r="I1484" s="75" t="str">
        <f aca="false">IF(A1484="","",IFERROR(INDEX(السندات!$D$5:$D$504,MATCH(A1484,السندات!$A$5:$A$504,0)),""))</f>
        <v/>
      </c>
      <c r="J1484" s="76" t="str">
        <f aca="false">IF(A1484="","",IF(ISNA(MATCH(A1484,السندات!$A$5:$A$504,0)),"رقم سند غير موجود ✘",IF(AND(F1484&lt;&gt;"",G1484&lt;&gt;""),"اكتب مدين أو دائن فقط ✘",IF(AND(N(F1484)=0,N(G1484)=0),"بدون مبلغ ⚠",IF(B1484&gt;12,"يتجاوز 12 بنداً في الطباعة ⚠","")))))</f>
        <v/>
      </c>
    </row>
    <row r="1485" customFormat="false" ht="15" hidden="false" customHeight="false" outlineLevel="0" collapsed="false">
      <c r="A1485" s="58"/>
      <c r="B1485" s="68" t="str">
        <f aca="false">IF(A1485="","",COUNTIF(A$5:A1485,A1485))</f>
        <v/>
      </c>
      <c r="C1485" s="68" t="str">
        <f aca="false">IF(A1485="","",A1485&amp;"-"&amp;B1485)</f>
        <v/>
      </c>
      <c r="D1485" s="58"/>
      <c r="E1485" s="57"/>
      <c r="F1485" s="69"/>
      <c r="G1485" s="69"/>
      <c r="H1485" s="70" t="str">
        <f aca="false">IF(A1485="","",IFERROR(INDEX(السندات!$C$5:$C$504,MATCH(A1485,السندات!$A$5:$A$504,0)),""))</f>
        <v/>
      </c>
      <c r="I1485" s="71" t="str">
        <f aca="false">IF(A1485="","",IFERROR(INDEX(السندات!$D$5:$D$504,MATCH(A1485,السندات!$A$5:$A$504,0)),""))</f>
        <v/>
      </c>
      <c r="J1485" s="72" t="str">
        <f aca="false">IF(A1485="","",IF(ISNA(MATCH(A1485,السندات!$A$5:$A$504,0)),"رقم سند غير موجود ✘",IF(AND(F1485&lt;&gt;"",G1485&lt;&gt;""),"اكتب مدين أو دائن فقط ✘",IF(AND(N(F1485)=0,N(G1485)=0),"بدون مبلغ ⚠",IF(B1485&gt;12,"يتجاوز 12 بنداً في الطباعة ⚠","")))))</f>
        <v/>
      </c>
    </row>
    <row r="1486" customFormat="false" ht="15" hidden="false" customHeight="false" outlineLevel="0" collapsed="false">
      <c r="A1486" s="58"/>
      <c r="B1486" s="73" t="str">
        <f aca="false">IF(A1486="","",COUNTIF(A$5:A1486,A1486))</f>
        <v/>
      </c>
      <c r="C1486" s="73" t="str">
        <f aca="false">IF(A1486="","",A1486&amp;"-"&amp;B1486)</f>
        <v/>
      </c>
      <c r="D1486" s="58"/>
      <c r="E1486" s="57"/>
      <c r="F1486" s="69"/>
      <c r="G1486" s="69"/>
      <c r="H1486" s="74" t="str">
        <f aca="false">IF(A1486="","",IFERROR(INDEX(السندات!$C$5:$C$504,MATCH(A1486,السندات!$A$5:$A$504,0)),""))</f>
        <v/>
      </c>
      <c r="I1486" s="75" t="str">
        <f aca="false">IF(A1486="","",IFERROR(INDEX(السندات!$D$5:$D$504,MATCH(A1486,السندات!$A$5:$A$504,0)),""))</f>
        <v/>
      </c>
      <c r="J1486" s="76" t="str">
        <f aca="false">IF(A1486="","",IF(ISNA(MATCH(A1486,السندات!$A$5:$A$504,0)),"رقم سند غير موجود ✘",IF(AND(F1486&lt;&gt;"",G1486&lt;&gt;""),"اكتب مدين أو دائن فقط ✘",IF(AND(N(F1486)=0,N(G1486)=0),"بدون مبلغ ⚠",IF(B1486&gt;12,"يتجاوز 12 بنداً في الطباعة ⚠","")))))</f>
        <v/>
      </c>
    </row>
    <row r="1487" customFormat="false" ht="15" hidden="false" customHeight="false" outlineLevel="0" collapsed="false">
      <c r="A1487" s="58"/>
      <c r="B1487" s="68" t="str">
        <f aca="false">IF(A1487="","",COUNTIF(A$5:A1487,A1487))</f>
        <v/>
      </c>
      <c r="C1487" s="68" t="str">
        <f aca="false">IF(A1487="","",A1487&amp;"-"&amp;B1487)</f>
        <v/>
      </c>
      <c r="D1487" s="58"/>
      <c r="E1487" s="57"/>
      <c r="F1487" s="69"/>
      <c r="G1487" s="69"/>
      <c r="H1487" s="70" t="str">
        <f aca="false">IF(A1487="","",IFERROR(INDEX(السندات!$C$5:$C$504,MATCH(A1487,السندات!$A$5:$A$504,0)),""))</f>
        <v/>
      </c>
      <c r="I1487" s="71" t="str">
        <f aca="false">IF(A1487="","",IFERROR(INDEX(السندات!$D$5:$D$504,MATCH(A1487,السندات!$A$5:$A$504,0)),""))</f>
        <v/>
      </c>
      <c r="J1487" s="72" t="str">
        <f aca="false">IF(A1487="","",IF(ISNA(MATCH(A1487,السندات!$A$5:$A$504,0)),"رقم سند غير موجود ✘",IF(AND(F1487&lt;&gt;"",G1487&lt;&gt;""),"اكتب مدين أو دائن فقط ✘",IF(AND(N(F1487)=0,N(G1487)=0),"بدون مبلغ ⚠",IF(B1487&gt;12,"يتجاوز 12 بنداً في الطباعة ⚠","")))))</f>
        <v/>
      </c>
    </row>
    <row r="1488" customFormat="false" ht="15" hidden="false" customHeight="false" outlineLevel="0" collapsed="false">
      <c r="A1488" s="58"/>
      <c r="B1488" s="73" t="str">
        <f aca="false">IF(A1488="","",COUNTIF(A$5:A1488,A1488))</f>
        <v/>
      </c>
      <c r="C1488" s="73" t="str">
        <f aca="false">IF(A1488="","",A1488&amp;"-"&amp;B1488)</f>
        <v/>
      </c>
      <c r="D1488" s="58"/>
      <c r="E1488" s="57"/>
      <c r="F1488" s="69"/>
      <c r="G1488" s="69"/>
      <c r="H1488" s="74" t="str">
        <f aca="false">IF(A1488="","",IFERROR(INDEX(السندات!$C$5:$C$504,MATCH(A1488,السندات!$A$5:$A$504,0)),""))</f>
        <v/>
      </c>
      <c r="I1488" s="75" t="str">
        <f aca="false">IF(A1488="","",IFERROR(INDEX(السندات!$D$5:$D$504,MATCH(A1488,السندات!$A$5:$A$504,0)),""))</f>
        <v/>
      </c>
      <c r="J1488" s="76" t="str">
        <f aca="false">IF(A1488="","",IF(ISNA(MATCH(A1488,السندات!$A$5:$A$504,0)),"رقم سند غير موجود ✘",IF(AND(F1488&lt;&gt;"",G1488&lt;&gt;""),"اكتب مدين أو دائن فقط ✘",IF(AND(N(F1488)=0,N(G1488)=0),"بدون مبلغ ⚠",IF(B1488&gt;12,"يتجاوز 12 بنداً في الطباعة ⚠","")))))</f>
        <v/>
      </c>
    </row>
    <row r="1489" customFormat="false" ht="15" hidden="false" customHeight="false" outlineLevel="0" collapsed="false">
      <c r="A1489" s="58"/>
      <c r="B1489" s="68" t="str">
        <f aca="false">IF(A1489="","",COUNTIF(A$5:A1489,A1489))</f>
        <v/>
      </c>
      <c r="C1489" s="68" t="str">
        <f aca="false">IF(A1489="","",A1489&amp;"-"&amp;B1489)</f>
        <v/>
      </c>
      <c r="D1489" s="58"/>
      <c r="E1489" s="57"/>
      <c r="F1489" s="69"/>
      <c r="G1489" s="69"/>
      <c r="H1489" s="70" t="str">
        <f aca="false">IF(A1489="","",IFERROR(INDEX(السندات!$C$5:$C$504,MATCH(A1489,السندات!$A$5:$A$504,0)),""))</f>
        <v/>
      </c>
      <c r="I1489" s="71" t="str">
        <f aca="false">IF(A1489="","",IFERROR(INDEX(السندات!$D$5:$D$504,MATCH(A1489,السندات!$A$5:$A$504,0)),""))</f>
        <v/>
      </c>
      <c r="J1489" s="72" t="str">
        <f aca="false">IF(A1489="","",IF(ISNA(MATCH(A1489,السندات!$A$5:$A$504,0)),"رقم سند غير موجود ✘",IF(AND(F1489&lt;&gt;"",G1489&lt;&gt;""),"اكتب مدين أو دائن فقط ✘",IF(AND(N(F1489)=0,N(G1489)=0),"بدون مبلغ ⚠",IF(B1489&gt;12,"يتجاوز 12 بنداً في الطباعة ⚠","")))))</f>
        <v/>
      </c>
    </row>
    <row r="1490" customFormat="false" ht="15" hidden="false" customHeight="false" outlineLevel="0" collapsed="false">
      <c r="A1490" s="58"/>
      <c r="B1490" s="73" t="str">
        <f aca="false">IF(A1490="","",COUNTIF(A$5:A1490,A1490))</f>
        <v/>
      </c>
      <c r="C1490" s="73" t="str">
        <f aca="false">IF(A1490="","",A1490&amp;"-"&amp;B1490)</f>
        <v/>
      </c>
      <c r="D1490" s="58"/>
      <c r="E1490" s="57"/>
      <c r="F1490" s="69"/>
      <c r="G1490" s="69"/>
      <c r="H1490" s="74" t="str">
        <f aca="false">IF(A1490="","",IFERROR(INDEX(السندات!$C$5:$C$504,MATCH(A1490,السندات!$A$5:$A$504,0)),""))</f>
        <v/>
      </c>
      <c r="I1490" s="75" t="str">
        <f aca="false">IF(A1490="","",IFERROR(INDEX(السندات!$D$5:$D$504,MATCH(A1490,السندات!$A$5:$A$504,0)),""))</f>
        <v/>
      </c>
      <c r="J1490" s="76" t="str">
        <f aca="false">IF(A1490="","",IF(ISNA(MATCH(A1490,السندات!$A$5:$A$504,0)),"رقم سند غير موجود ✘",IF(AND(F1490&lt;&gt;"",G1490&lt;&gt;""),"اكتب مدين أو دائن فقط ✘",IF(AND(N(F1490)=0,N(G1490)=0),"بدون مبلغ ⚠",IF(B1490&gt;12,"يتجاوز 12 بنداً في الطباعة ⚠","")))))</f>
        <v/>
      </c>
    </row>
    <row r="1491" customFormat="false" ht="15" hidden="false" customHeight="false" outlineLevel="0" collapsed="false">
      <c r="A1491" s="58"/>
      <c r="B1491" s="68" t="str">
        <f aca="false">IF(A1491="","",COUNTIF(A$5:A1491,A1491))</f>
        <v/>
      </c>
      <c r="C1491" s="68" t="str">
        <f aca="false">IF(A1491="","",A1491&amp;"-"&amp;B1491)</f>
        <v/>
      </c>
      <c r="D1491" s="58"/>
      <c r="E1491" s="57"/>
      <c r="F1491" s="69"/>
      <c r="G1491" s="69"/>
      <c r="H1491" s="70" t="str">
        <f aca="false">IF(A1491="","",IFERROR(INDEX(السندات!$C$5:$C$504,MATCH(A1491,السندات!$A$5:$A$504,0)),""))</f>
        <v/>
      </c>
      <c r="I1491" s="71" t="str">
        <f aca="false">IF(A1491="","",IFERROR(INDEX(السندات!$D$5:$D$504,MATCH(A1491,السندات!$A$5:$A$504,0)),""))</f>
        <v/>
      </c>
      <c r="J1491" s="72" t="str">
        <f aca="false">IF(A1491="","",IF(ISNA(MATCH(A1491,السندات!$A$5:$A$504,0)),"رقم سند غير موجود ✘",IF(AND(F1491&lt;&gt;"",G1491&lt;&gt;""),"اكتب مدين أو دائن فقط ✘",IF(AND(N(F1491)=0,N(G1491)=0),"بدون مبلغ ⚠",IF(B1491&gt;12,"يتجاوز 12 بنداً في الطباعة ⚠","")))))</f>
        <v/>
      </c>
    </row>
    <row r="1492" customFormat="false" ht="15" hidden="false" customHeight="false" outlineLevel="0" collapsed="false">
      <c r="A1492" s="58"/>
      <c r="B1492" s="73" t="str">
        <f aca="false">IF(A1492="","",COUNTIF(A$5:A1492,A1492))</f>
        <v/>
      </c>
      <c r="C1492" s="73" t="str">
        <f aca="false">IF(A1492="","",A1492&amp;"-"&amp;B1492)</f>
        <v/>
      </c>
      <c r="D1492" s="58"/>
      <c r="E1492" s="57"/>
      <c r="F1492" s="69"/>
      <c r="G1492" s="69"/>
      <c r="H1492" s="74" t="str">
        <f aca="false">IF(A1492="","",IFERROR(INDEX(السندات!$C$5:$C$504,MATCH(A1492,السندات!$A$5:$A$504,0)),""))</f>
        <v/>
      </c>
      <c r="I1492" s="75" t="str">
        <f aca="false">IF(A1492="","",IFERROR(INDEX(السندات!$D$5:$D$504,MATCH(A1492,السندات!$A$5:$A$504,0)),""))</f>
        <v/>
      </c>
      <c r="J1492" s="76" t="str">
        <f aca="false">IF(A1492="","",IF(ISNA(MATCH(A1492,السندات!$A$5:$A$504,0)),"رقم سند غير موجود ✘",IF(AND(F1492&lt;&gt;"",G1492&lt;&gt;""),"اكتب مدين أو دائن فقط ✘",IF(AND(N(F1492)=0,N(G1492)=0),"بدون مبلغ ⚠",IF(B1492&gt;12,"يتجاوز 12 بنداً في الطباعة ⚠","")))))</f>
        <v/>
      </c>
    </row>
    <row r="1493" customFormat="false" ht="15" hidden="false" customHeight="false" outlineLevel="0" collapsed="false">
      <c r="A1493" s="58"/>
      <c r="B1493" s="68" t="str">
        <f aca="false">IF(A1493="","",COUNTIF(A$5:A1493,A1493))</f>
        <v/>
      </c>
      <c r="C1493" s="68" t="str">
        <f aca="false">IF(A1493="","",A1493&amp;"-"&amp;B1493)</f>
        <v/>
      </c>
      <c r="D1493" s="58"/>
      <c r="E1493" s="57"/>
      <c r="F1493" s="69"/>
      <c r="G1493" s="69"/>
      <c r="H1493" s="70" t="str">
        <f aca="false">IF(A1493="","",IFERROR(INDEX(السندات!$C$5:$C$504,MATCH(A1493,السندات!$A$5:$A$504,0)),""))</f>
        <v/>
      </c>
      <c r="I1493" s="71" t="str">
        <f aca="false">IF(A1493="","",IFERROR(INDEX(السندات!$D$5:$D$504,MATCH(A1493,السندات!$A$5:$A$504,0)),""))</f>
        <v/>
      </c>
      <c r="J1493" s="72" t="str">
        <f aca="false">IF(A1493="","",IF(ISNA(MATCH(A1493,السندات!$A$5:$A$504,0)),"رقم سند غير موجود ✘",IF(AND(F1493&lt;&gt;"",G1493&lt;&gt;""),"اكتب مدين أو دائن فقط ✘",IF(AND(N(F1493)=0,N(G1493)=0),"بدون مبلغ ⚠",IF(B1493&gt;12,"يتجاوز 12 بنداً في الطباعة ⚠","")))))</f>
        <v/>
      </c>
    </row>
    <row r="1494" customFormat="false" ht="15" hidden="false" customHeight="false" outlineLevel="0" collapsed="false">
      <c r="A1494" s="58"/>
      <c r="B1494" s="73" t="str">
        <f aca="false">IF(A1494="","",COUNTIF(A$5:A1494,A1494))</f>
        <v/>
      </c>
      <c r="C1494" s="73" t="str">
        <f aca="false">IF(A1494="","",A1494&amp;"-"&amp;B1494)</f>
        <v/>
      </c>
      <c r="D1494" s="58"/>
      <c r="E1494" s="57"/>
      <c r="F1494" s="69"/>
      <c r="G1494" s="69"/>
      <c r="H1494" s="74" t="str">
        <f aca="false">IF(A1494="","",IFERROR(INDEX(السندات!$C$5:$C$504,MATCH(A1494,السندات!$A$5:$A$504,0)),""))</f>
        <v/>
      </c>
      <c r="I1494" s="75" t="str">
        <f aca="false">IF(A1494="","",IFERROR(INDEX(السندات!$D$5:$D$504,MATCH(A1494,السندات!$A$5:$A$504,0)),""))</f>
        <v/>
      </c>
      <c r="J1494" s="76" t="str">
        <f aca="false">IF(A1494="","",IF(ISNA(MATCH(A1494,السندات!$A$5:$A$504,0)),"رقم سند غير موجود ✘",IF(AND(F1494&lt;&gt;"",G1494&lt;&gt;""),"اكتب مدين أو دائن فقط ✘",IF(AND(N(F1494)=0,N(G1494)=0),"بدون مبلغ ⚠",IF(B1494&gt;12,"يتجاوز 12 بنداً في الطباعة ⚠","")))))</f>
        <v/>
      </c>
    </row>
    <row r="1495" customFormat="false" ht="15" hidden="false" customHeight="false" outlineLevel="0" collapsed="false">
      <c r="A1495" s="58"/>
      <c r="B1495" s="68" t="str">
        <f aca="false">IF(A1495="","",COUNTIF(A$5:A1495,A1495))</f>
        <v/>
      </c>
      <c r="C1495" s="68" t="str">
        <f aca="false">IF(A1495="","",A1495&amp;"-"&amp;B1495)</f>
        <v/>
      </c>
      <c r="D1495" s="58"/>
      <c r="E1495" s="57"/>
      <c r="F1495" s="69"/>
      <c r="G1495" s="69"/>
      <c r="H1495" s="70" t="str">
        <f aca="false">IF(A1495="","",IFERROR(INDEX(السندات!$C$5:$C$504,MATCH(A1495,السندات!$A$5:$A$504,0)),""))</f>
        <v/>
      </c>
      <c r="I1495" s="71" t="str">
        <f aca="false">IF(A1495="","",IFERROR(INDEX(السندات!$D$5:$D$504,MATCH(A1495,السندات!$A$5:$A$504,0)),""))</f>
        <v/>
      </c>
      <c r="J1495" s="72" t="str">
        <f aca="false">IF(A1495="","",IF(ISNA(MATCH(A1495,السندات!$A$5:$A$504,0)),"رقم سند غير موجود ✘",IF(AND(F1495&lt;&gt;"",G1495&lt;&gt;""),"اكتب مدين أو دائن فقط ✘",IF(AND(N(F1495)=0,N(G1495)=0),"بدون مبلغ ⚠",IF(B1495&gt;12,"يتجاوز 12 بنداً في الطباعة ⚠","")))))</f>
        <v/>
      </c>
    </row>
    <row r="1496" customFormat="false" ht="15" hidden="false" customHeight="false" outlineLevel="0" collapsed="false">
      <c r="A1496" s="58"/>
      <c r="B1496" s="73" t="str">
        <f aca="false">IF(A1496="","",COUNTIF(A$5:A1496,A1496))</f>
        <v/>
      </c>
      <c r="C1496" s="73" t="str">
        <f aca="false">IF(A1496="","",A1496&amp;"-"&amp;B1496)</f>
        <v/>
      </c>
      <c r="D1496" s="58"/>
      <c r="E1496" s="57"/>
      <c r="F1496" s="69"/>
      <c r="G1496" s="69"/>
      <c r="H1496" s="74" t="str">
        <f aca="false">IF(A1496="","",IFERROR(INDEX(السندات!$C$5:$C$504,MATCH(A1496,السندات!$A$5:$A$504,0)),""))</f>
        <v/>
      </c>
      <c r="I1496" s="75" t="str">
        <f aca="false">IF(A1496="","",IFERROR(INDEX(السندات!$D$5:$D$504,MATCH(A1496,السندات!$A$5:$A$504,0)),""))</f>
        <v/>
      </c>
      <c r="J1496" s="76" t="str">
        <f aca="false">IF(A1496="","",IF(ISNA(MATCH(A1496,السندات!$A$5:$A$504,0)),"رقم سند غير موجود ✘",IF(AND(F1496&lt;&gt;"",G1496&lt;&gt;""),"اكتب مدين أو دائن فقط ✘",IF(AND(N(F1496)=0,N(G1496)=0),"بدون مبلغ ⚠",IF(B1496&gt;12,"يتجاوز 12 بنداً في الطباعة ⚠","")))))</f>
        <v/>
      </c>
    </row>
    <row r="1497" customFormat="false" ht="15" hidden="false" customHeight="false" outlineLevel="0" collapsed="false">
      <c r="A1497" s="58"/>
      <c r="B1497" s="68" t="str">
        <f aca="false">IF(A1497="","",COUNTIF(A$5:A1497,A1497))</f>
        <v/>
      </c>
      <c r="C1497" s="68" t="str">
        <f aca="false">IF(A1497="","",A1497&amp;"-"&amp;B1497)</f>
        <v/>
      </c>
      <c r="D1497" s="58"/>
      <c r="E1497" s="57"/>
      <c r="F1497" s="69"/>
      <c r="G1497" s="69"/>
      <c r="H1497" s="70" t="str">
        <f aca="false">IF(A1497="","",IFERROR(INDEX(السندات!$C$5:$C$504,MATCH(A1497,السندات!$A$5:$A$504,0)),""))</f>
        <v/>
      </c>
      <c r="I1497" s="71" t="str">
        <f aca="false">IF(A1497="","",IFERROR(INDEX(السندات!$D$5:$D$504,MATCH(A1497,السندات!$A$5:$A$504,0)),""))</f>
        <v/>
      </c>
      <c r="J1497" s="72" t="str">
        <f aca="false">IF(A1497="","",IF(ISNA(MATCH(A1497,السندات!$A$5:$A$504,0)),"رقم سند غير موجود ✘",IF(AND(F1497&lt;&gt;"",G1497&lt;&gt;""),"اكتب مدين أو دائن فقط ✘",IF(AND(N(F1497)=0,N(G1497)=0),"بدون مبلغ ⚠",IF(B1497&gt;12,"يتجاوز 12 بنداً في الطباعة ⚠","")))))</f>
        <v/>
      </c>
    </row>
    <row r="1498" customFormat="false" ht="15" hidden="false" customHeight="false" outlineLevel="0" collapsed="false">
      <c r="A1498" s="58"/>
      <c r="B1498" s="73" t="str">
        <f aca="false">IF(A1498="","",COUNTIF(A$5:A1498,A1498))</f>
        <v/>
      </c>
      <c r="C1498" s="73" t="str">
        <f aca="false">IF(A1498="","",A1498&amp;"-"&amp;B1498)</f>
        <v/>
      </c>
      <c r="D1498" s="58"/>
      <c r="E1498" s="57"/>
      <c r="F1498" s="69"/>
      <c r="G1498" s="69"/>
      <c r="H1498" s="74" t="str">
        <f aca="false">IF(A1498="","",IFERROR(INDEX(السندات!$C$5:$C$504,MATCH(A1498,السندات!$A$5:$A$504,0)),""))</f>
        <v/>
      </c>
      <c r="I1498" s="75" t="str">
        <f aca="false">IF(A1498="","",IFERROR(INDEX(السندات!$D$5:$D$504,MATCH(A1498,السندات!$A$5:$A$504,0)),""))</f>
        <v/>
      </c>
      <c r="J1498" s="76" t="str">
        <f aca="false">IF(A1498="","",IF(ISNA(MATCH(A1498,السندات!$A$5:$A$504,0)),"رقم سند غير موجود ✘",IF(AND(F1498&lt;&gt;"",G1498&lt;&gt;""),"اكتب مدين أو دائن فقط ✘",IF(AND(N(F1498)=0,N(G1498)=0),"بدون مبلغ ⚠",IF(B1498&gt;12,"يتجاوز 12 بنداً في الطباعة ⚠","")))))</f>
        <v/>
      </c>
    </row>
    <row r="1499" customFormat="false" ht="15" hidden="false" customHeight="false" outlineLevel="0" collapsed="false">
      <c r="A1499" s="58"/>
      <c r="B1499" s="68" t="str">
        <f aca="false">IF(A1499="","",COUNTIF(A$5:A1499,A1499))</f>
        <v/>
      </c>
      <c r="C1499" s="68" t="str">
        <f aca="false">IF(A1499="","",A1499&amp;"-"&amp;B1499)</f>
        <v/>
      </c>
      <c r="D1499" s="58"/>
      <c r="E1499" s="57"/>
      <c r="F1499" s="69"/>
      <c r="G1499" s="69"/>
      <c r="H1499" s="70" t="str">
        <f aca="false">IF(A1499="","",IFERROR(INDEX(السندات!$C$5:$C$504,MATCH(A1499,السندات!$A$5:$A$504,0)),""))</f>
        <v/>
      </c>
      <c r="I1499" s="71" t="str">
        <f aca="false">IF(A1499="","",IFERROR(INDEX(السندات!$D$5:$D$504,MATCH(A1499,السندات!$A$5:$A$504,0)),""))</f>
        <v/>
      </c>
      <c r="J1499" s="72" t="str">
        <f aca="false">IF(A1499="","",IF(ISNA(MATCH(A1499,السندات!$A$5:$A$504,0)),"رقم سند غير موجود ✘",IF(AND(F1499&lt;&gt;"",G1499&lt;&gt;""),"اكتب مدين أو دائن فقط ✘",IF(AND(N(F1499)=0,N(G1499)=0),"بدون مبلغ ⚠",IF(B1499&gt;12,"يتجاوز 12 بنداً في الطباعة ⚠","")))))</f>
        <v/>
      </c>
    </row>
    <row r="1500" customFormat="false" ht="15" hidden="false" customHeight="false" outlineLevel="0" collapsed="false">
      <c r="A1500" s="58"/>
      <c r="B1500" s="73" t="str">
        <f aca="false">IF(A1500="","",COUNTIF(A$5:A1500,A1500))</f>
        <v/>
      </c>
      <c r="C1500" s="73" t="str">
        <f aca="false">IF(A1500="","",A1500&amp;"-"&amp;B1500)</f>
        <v/>
      </c>
      <c r="D1500" s="58"/>
      <c r="E1500" s="57"/>
      <c r="F1500" s="69"/>
      <c r="G1500" s="69"/>
      <c r="H1500" s="74" t="str">
        <f aca="false">IF(A1500="","",IFERROR(INDEX(السندات!$C$5:$C$504,MATCH(A1500,السندات!$A$5:$A$504,0)),""))</f>
        <v/>
      </c>
      <c r="I1500" s="75" t="str">
        <f aca="false">IF(A1500="","",IFERROR(INDEX(السندات!$D$5:$D$504,MATCH(A1500,السندات!$A$5:$A$504,0)),""))</f>
        <v/>
      </c>
      <c r="J1500" s="76" t="str">
        <f aca="false">IF(A1500="","",IF(ISNA(MATCH(A1500,السندات!$A$5:$A$504,0)),"رقم سند غير موجود ✘",IF(AND(F1500&lt;&gt;"",G1500&lt;&gt;""),"اكتب مدين أو دائن فقط ✘",IF(AND(N(F1500)=0,N(G1500)=0),"بدون مبلغ ⚠",IF(B1500&gt;12,"يتجاوز 12 بنداً في الطباعة ⚠","")))))</f>
        <v/>
      </c>
    </row>
    <row r="1501" customFormat="false" ht="15" hidden="false" customHeight="false" outlineLevel="0" collapsed="false">
      <c r="A1501" s="58"/>
      <c r="B1501" s="68" t="str">
        <f aca="false">IF(A1501="","",COUNTIF(A$5:A1501,A1501))</f>
        <v/>
      </c>
      <c r="C1501" s="68" t="str">
        <f aca="false">IF(A1501="","",A1501&amp;"-"&amp;B1501)</f>
        <v/>
      </c>
      <c r="D1501" s="58"/>
      <c r="E1501" s="57"/>
      <c r="F1501" s="69"/>
      <c r="G1501" s="69"/>
      <c r="H1501" s="70" t="str">
        <f aca="false">IF(A1501="","",IFERROR(INDEX(السندات!$C$5:$C$504,MATCH(A1501,السندات!$A$5:$A$504,0)),""))</f>
        <v/>
      </c>
      <c r="I1501" s="71" t="str">
        <f aca="false">IF(A1501="","",IFERROR(INDEX(السندات!$D$5:$D$504,MATCH(A1501,السندات!$A$5:$A$504,0)),""))</f>
        <v/>
      </c>
      <c r="J1501" s="72" t="str">
        <f aca="false">IF(A1501="","",IF(ISNA(MATCH(A1501,السندات!$A$5:$A$504,0)),"رقم سند غير موجود ✘",IF(AND(F1501&lt;&gt;"",G1501&lt;&gt;""),"اكتب مدين أو دائن فقط ✘",IF(AND(N(F1501)=0,N(G1501)=0),"بدون مبلغ ⚠",IF(B1501&gt;12,"يتجاوز 12 بنداً في الطباعة ⚠","")))))</f>
        <v/>
      </c>
    </row>
    <row r="1502" customFormat="false" ht="15" hidden="false" customHeight="false" outlineLevel="0" collapsed="false">
      <c r="A1502" s="58"/>
      <c r="B1502" s="73" t="str">
        <f aca="false">IF(A1502="","",COUNTIF(A$5:A1502,A1502))</f>
        <v/>
      </c>
      <c r="C1502" s="73" t="str">
        <f aca="false">IF(A1502="","",A1502&amp;"-"&amp;B1502)</f>
        <v/>
      </c>
      <c r="D1502" s="58"/>
      <c r="E1502" s="57"/>
      <c r="F1502" s="69"/>
      <c r="G1502" s="69"/>
      <c r="H1502" s="74" t="str">
        <f aca="false">IF(A1502="","",IFERROR(INDEX(السندات!$C$5:$C$504,MATCH(A1502,السندات!$A$5:$A$504,0)),""))</f>
        <v/>
      </c>
      <c r="I1502" s="75" t="str">
        <f aca="false">IF(A1502="","",IFERROR(INDEX(السندات!$D$5:$D$504,MATCH(A1502,السندات!$A$5:$A$504,0)),""))</f>
        <v/>
      </c>
      <c r="J1502" s="76" t="str">
        <f aca="false">IF(A1502="","",IF(ISNA(MATCH(A1502,السندات!$A$5:$A$504,0)),"رقم سند غير موجود ✘",IF(AND(F1502&lt;&gt;"",G1502&lt;&gt;""),"اكتب مدين أو دائن فقط ✘",IF(AND(N(F1502)=0,N(G1502)=0),"بدون مبلغ ⚠",IF(B1502&gt;12,"يتجاوز 12 بنداً في الطباعة ⚠","")))))</f>
        <v/>
      </c>
    </row>
    <row r="1503" customFormat="false" ht="15" hidden="false" customHeight="false" outlineLevel="0" collapsed="false">
      <c r="A1503" s="58"/>
      <c r="B1503" s="68" t="str">
        <f aca="false">IF(A1503="","",COUNTIF(A$5:A1503,A1503))</f>
        <v/>
      </c>
      <c r="C1503" s="68" t="str">
        <f aca="false">IF(A1503="","",A1503&amp;"-"&amp;B1503)</f>
        <v/>
      </c>
      <c r="D1503" s="58"/>
      <c r="E1503" s="57"/>
      <c r="F1503" s="69"/>
      <c r="G1503" s="69"/>
      <c r="H1503" s="70" t="str">
        <f aca="false">IF(A1503="","",IFERROR(INDEX(السندات!$C$5:$C$504,MATCH(A1503,السندات!$A$5:$A$504,0)),""))</f>
        <v/>
      </c>
      <c r="I1503" s="71" t="str">
        <f aca="false">IF(A1503="","",IFERROR(INDEX(السندات!$D$5:$D$504,MATCH(A1503,السندات!$A$5:$A$504,0)),""))</f>
        <v/>
      </c>
      <c r="J1503" s="72" t="str">
        <f aca="false">IF(A1503="","",IF(ISNA(MATCH(A1503,السندات!$A$5:$A$504,0)),"رقم سند غير موجود ✘",IF(AND(F1503&lt;&gt;"",G1503&lt;&gt;""),"اكتب مدين أو دائن فقط ✘",IF(AND(N(F1503)=0,N(G1503)=0),"بدون مبلغ ⚠",IF(B1503&gt;12,"يتجاوز 12 بنداً في الطباعة ⚠","")))))</f>
        <v/>
      </c>
    </row>
    <row r="1504" customFormat="false" ht="15" hidden="false" customHeight="false" outlineLevel="0" collapsed="false">
      <c r="A1504" s="58"/>
      <c r="B1504" s="73" t="str">
        <f aca="false">IF(A1504="","",COUNTIF(A$5:A1504,A1504))</f>
        <v/>
      </c>
      <c r="C1504" s="73" t="str">
        <f aca="false">IF(A1504="","",A1504&amp;"-"&amp;B1504)</f>
        <v/>
      </c>
      <c r="D1504" s="58"/>
      <c r="E1504" s="57"/>
      <c r="F1504" s="69"/>
      <c r="G1504" s="69"/>
      <c r="H1504" s="74" t="str">
        <f aca="false">IF(A1504="","",IFERROR(INDEX(السندات!$C$5:$C$504,MATCH(A1504,السندات!$A$5:$A$504,0)),""))</f>
        <v/>
      </c>
      <c r="I1504" s="75" t="str">
        <f aca="false">IF(A1504="","",IFERROR(INDEX(السندات!$D$5:$D$504,MATCH(A1504,السندات!$A$5:$A$504,0)),""))</f>
        <v/>
      </c>
      <c r="J1504" s="76" t="str">
        <f aca="false">IF(A1504="","",IF(ISNA(MATCH(A1504,السندات!$A$5:$A$504,0)),"رقم سند غير موجود ✘",IF(AND(F1504&lt;&gt;"",G1504&lt;&gt;""),"اكتب مدين أو دائن فقط ✘",IF(AND(N(F1504)=0,N(G1504)=0),"بدون مبلغ ⚠",IF(B1504&gt;12,"يتجاوز 12 بنداً في الطباعة ⚠","")))))</f>
        <v/>
      </c>
    </row>
    <row r="1505" customFormat="false" ht="15" hidden="false" customHeight="false" outlineLevel="0" collapsed="false">
      <c r="A1505" s="58"/>
      <c r="B1505" s="68" t="str">
        <f aca="false">IF(A1505="","",COUNTIF(A$5:A1505,A1505))</f>
        <v/>
      </c>
      <c r="C1505" s="68" t="str">
        <f aca="false">IF(A1505="","",A1505&amp;"-"&amp;B1505)</f>
        <v/>
      </c>
      <c r="D1505" s="58"/>
      <c r="E1505" s="57"/>
      <c r="F1505" s="69"/>
      <c r="G1505" s="69"/>
      <c r="H1505" s="70" t="str">
        <f aca="false">IF(A1505="","",IFERROR(INDEX(السندات!$C$5:$C$504,MATCH(A1505,السندات!$A$5:$A$504,0)),""))</f>
        <v/>
      </c>
      <c r="I1505" s="71" t="str">
        <f aca="false">IF(A1505="","",IFERROR(INDEX(السندات!$D$5:$D$504,MATCH(A1505,السندات!$A$5:$A$504,0)),""))</f>
        <v/>
      </c>
      <c r="J1505" s="72" t="str">
        <f aca="false">IF(A1505="","",IF(ISNA(MATCH(A1505,السندات!$A$5:$A$504,0)),"رقم سند غير موجود ✘",IF(AND(F1505&lt;&gt;"",G1505&lt;&gt;""),"اكتب مدين أو دائن فقط ✘",IF(AND(N(F1505)=0,N(G1505)=0),"بدون مبلغ ⚠",IF(B1505&gt;12,"يتجاوز 12 بنداً في الطباعة ⚠","")))))</f>
        <v/>
      </c>
    </row>
    <row r="1506" customFormat="false" ht="15" hidden="false" customHeight="false" outlineLevel="0" collapsed="false">
      <c r="A1506" s="58"/>
      <c r="B1506" s="73" t="str">
        <f aca="false">IF(A1506="","",COUNTIF(A$5:A1506,A1506))</f>
        <v/>
      </c>
      <c r="C1506" s="73" t="str">
        <f aca="false">IF(A1506="","",A1506&amp;"-"&amp;B1506)</f>
        <v/>
      </c>
      <c r="D1506" s="58"/>
      <c r="E1506" s="57"/>
      <c r="F1506" s="69"/>
      <c r="G1506" s="69"/>
      <c r="H1506" s="74" t="str">
        <f aca="false">IF(A1506="","",IFERROR(INDEX(السندات!$C$5:$C$504,MATCH(A1506,السندات!$A$5:$A$504,0)),""))</f>
        <v/>
      </c>
      <c r="I1506" s="75" t="str">
        <f aca="false">IF(A1506="","",IFERROR(INDEX(السندات!$D$5:$D$504,MATCH(A1506,السندات!$A$5:$A$504,0)),""))</f>
        <v/>
      </c>
      <c r="J1506" s="76" t="str">
        <f aca="false">IF(A1506="","",IF(ISNA(MATCH(A1506,السندات!$A$5:$A$504,0)),"رقم سند غير موجود ✘",IF(AND(F1506&lt;&gt;"",G1506&lt;&gt;""),"اكتب مدين أو دائن فقط ✘",IF(AND(N(F1506)=0,N(G1506)=0),"بدون مبلغ ⚠",IF(B1506&gt;12,"يتجاوز 12 بنداً في الطباعة ⚠","")))))</f>
        <v/>
      </c>
    </row>
    <row r="1507" customFormat="false" ht="15" hidden="false" customHeight="false" outlineLevel="0" collapsed="false">
      <c r="A1507" s="58"/>
      <c r="B1507" s="68" t="str">
        <f aca="false">IF(A1507="","",COUNTIF(A$5:A1507,A1507))</f>
        <v/>
      </c>
      <c r="C1507" s="68" t="str">
        <f aca="false">IF(A1507="","",A1507&amp;"-"&amp;B1507)</f>
        <v/>
      </c>
      <c r="D1507" s="58"/>
      <c r="E1507" s="57"/>
      <c r="F1507" s="69"/>
      <c r="G1507" s="69"/>
      <c r="H1507" s="70" t="str">
        <f aca="false">IF(A1507="","",IFERROR(INDEX(السندات!$C$5:$C$504,MATCH(A1507,السندات!$A$5:$A$504,0)),""))</f>
        <v/>
      </c>
      <c r="I1507" s="71" t="str">
        <f aca="false">IF(A1507="","",IFERROR(INDEX(السندات!$D$5:$D$504,MATCH(A1507,السندات!$A$5:$A$504,0)),""))</f>
        <v/>
      </c>
      <c r="J1507" s="72" t="str">
        <f aca="false">IF(A1507="","",IF(ISNA(MATCH(A1507,السندات!$A$5:$A$504,0)),"رقم سند غير موجود ✘",IF(AND(F1507&lt;&gt;"",G1507&lt;&gt;""),"اكتب مدين أو دائن فقط ✘",IF(AND(N(F1507)=0,N(G1507)=0),"بدون مبلغ ⚠",IF(B1507&gt;12,"يتجاوز 12 بنداً في الطباعة ⚠","")))))</f>
        <v/>
      </c>
    </row>
    <row r="1508" customFormat="false" ht="15" hidden="false" customHeight="false" outlineLevel="0" collapsed="false">
      <c r="A1508" s="58"/>
      <c r="B1508" s="73" t="str">
        <f aca="false">IF(A1508="","",COUNTIF(A$5:A1508,A1508))</f>
        <v/>
      </c>
      <c r="C1508" s="73" t="str">
        <f aca="false">IF(A1508="","",A1508&amp;"-"&amp;B1508)</f>
        <v/>
      </c>
      <c r="D1508" s="58"/>
      <c r="E1508" s="57"/>
      <c r="F1508" s="69"/>
      <c r="G1508" s="69"/>
      <c r="H1508" s="74" t="str">
        <f aca="false">IF(A1508="","",IFERROR(INDEX(السندات!$C$5:$C$504,MATCH(A1508,السندات!$A$5:$A$504,0)),""))</f>
        <v/>
      </c>
      <c r="I1508" s="75" t="str">
        <f aca="false">IF(A1508="","",IFERROR(INDEX(السندات!$D$5:$D$504,MATCH(A1508,السندات!$A$5:$A$504,0)),""))</f>
        <v/>
      </c>
      <c r="J1508" s="76" t="str">
        <f aca="false">IF(A1508="","",IF(ISNA(MATCH(A1508,السندات!$A$5:$A$504,0)),"رقم سند غير موجود ✘",IF(AND(F1508&lt;&gt;"",G1508&lt;&gt;""),"اكتب مدين أو دائن فقط ✘",IF(AND(N(F1508)=0,N(G1508)=0),"بدون مبلغ ⚠",IF(B1508&gt;12,"يتجاوز 12 بنداً في الطباعة ⚠","")))))</f>
        <v/>
      </c>
    </row>
    <row r="1509" customFormat="false" ht="15" hidden="false" customHeight="false" outlineLevel="0" collapsed="false">
      <c r="A1509" s="58"/>
      <c r="B1509" s="68" t="str">
        <f aca="false">IF(A1509="","",COUNTIF(A$5:A1509,A1509))</f>
        <v/>
      </c>
      <c r="C1509" s="68" t="str">
        <f aca="false">IF(A1509="","",A1509&amp;"-"&amp;B1509)</f>
        <v/>
      </c>
      <c r="D1509" s="58"/>
      <c r="E1509" s="57"/>
      <c r="F1509" s="69"/>
      <c r="G1509" s="69"/>
      <c r="H1509" s="70" t="str">
        <f aca="false">IF(A1509="","",IFERROR(INDEX(السندات!$C$5:$C$504,MATCH(A1509,السندات!$A$5:$A$504,0)),""))</f>
        <v/>
      </c>
      <c r="I1509" s="71" t="str">
        <f aca="false">IF(A1509="","",IFERROR(INDEX(السندات!$D$5:$D$504,MATCH(A1509,السندات!$A$5:$A$504,0)),""))</f>
        <v/>
      </c>
      <c r="J1509" s="72" t="str">
        <f aca="false">IF(A1509="","",IF(ISNA(MATCH(A1509,السندات!$A$5:$A$504,0)),"رقم سند غير موجود ✘",IF(AND(F1509&lt;&gt;"",G1509&lt;&gt;""),"اكتب مدين أو دائن فقط ✘",IF(AND(N(F1509)=0,N(G1509)=0),"بدون مبلغ ⚠",IF(B1509&gt;12,"يتجاوز 12 بنداً في الطباعة ⚠","")))))</f>
        <v/>
      </c>
    </row>
    <row r="1510" customFormat="false" ht="15" hidden="false" customHeight="false" outlineLevel="0" collapsed="false">
      <c r="A1510" s="58"/>
      <c r="B1510" s="73" t="str">
        <f aca="false">IF(A1510="","",COUNTIF(A$5:A1510,A1510))</f>
        <v/>
      </c>
      <c r="C1510" s="73" t="str">
        <f aca="false">IF(A1510="","",A1510&amp;"-"&amp;B1510)</f>
        <v/>
      </c>
      <c r="D1510" s="58"/>
      <c r="E1510" s="57"/>
      <c r="F1510" s="69"/>
      <c r="G1510" s="69"/>
      <c r="H1510" s="74" t="str">
        <f aca="false">IF(A1510="","",IFERROR(INDEX(السندات!$C$5:$C$504,MATCH(A1510,السندات!$A$5:$A$504,0)),""))</f>
        <v/>
      </c>
      <c r="I1510" s="75" t="str">
        <f aca="false">IF(A1510="","",IFERROR(INDEX(السندات!$D$5:$D$504,MATCH(A1510,السندات!$A$5:$A$504,0)),""))</f>
        <v/>
      </c>
      <c r="J1510" s="76" t="str">
        <f aca="false">IF(A1510="","",IF(ISNA(MATCH(A1510,السندات!$A$5:$A$504,0)),"رقم سند غير موجود ✘",IF(AND(F1510&lt;&gt;"",G1510&lt;&gt;""),"اكتب مدين أو دائن فقط ✘",IF(AND(N(F1510)=0,N(G1510)=0),"بدون مبلغ ⚠",IF(B1510&gt;12,"يتجاوز 12 بنداً في الطباعة ⚠","")))))</f>
        <v/>
      </c>
    </row>
    <row r="1511" customFormat="false" ht="15" hidden="false" customHeight="false" outlineLevel="0" collapsed="false">
      <c r="A1511" s="58"/>
      <c r="B1511" s="68" t="str">
        <f aca="false">IF(A1511="","",COUNTIF(A$5:A1511,A1511))</f>
        <v/>
      </c>
      <c r="C1511" s="68" t="str">
        <f aca="false">IF(A1511="","",A1511&amp;"-"&amp;B1511)</f>
        <v/>
      </c>
      <c r="D1511" s="58"/>
      <c r="E1511" s="57"/>
      <c r="F1511" s="69"/>
      <c r="G1511" s="69"/>
      <c r="H1511" s="70" t="str">
        <f aca="false">IF(A1511="","",IFERROR(INDEX(السندات!$C$5:$C$504,MATCH(A1511,السندات!$A$5:$A$504,0)),""))</f>
        <v/>
      </c>
      <c r="I1511" s="71" t="str">
        <f aca="false">IF(A1511="","",IFERROR(INDEX(السندات!$D$5:$D$504,MATCH(A1511,السندات!$A$5:$A$504,0)),""))</f>
        <v/>
      </c>
      <c r="J1511" s="72" t="str">
        <f aca="false">IF(A1511="","",IF(ISNA(MATCH(A1511,السندات!$A$5:$A$504,0)),"رقم سند غير موجود ✘",IF(AND(F1511&lt;&gt;"",G1511&lt;&gt;""),"اكتب مدين أو دائن فقط ✘",IF(AND(N(F1511)=0,N(G1511)=0),"بدون مبلغ ⚠",IF(B1511&gt;12,"يتجاوز 12 بنداً في الطباعة ⚠","")))))</f>
        <v/>
      </c>
    </row>
    <row r="1512" customFormat="false" ht="15" hidden="false" customHeight="false" outlineLevel="0" collapsed="false">
      <c r="A1512" s="58"/>
      <c r="B1512" s="73" t="str">
        <f aca="false">IF(A1512="","",COUNTIF(A$5:A1512,A1512))</f>
        <v/>
      </c>
      <c r="C1512" s="73" t="str">
        <f aca="false">IF(A1512="","",A1512&amp;"-"&amp;B1512)</f>
        <v/>
      </c>
      <c r="D1512" s="58"/>
      <c r="E1512" s="57"/>
      <c r="F1512" s="69"/>
      <c r="G1512" s="69"/>
      <c r="H1512" s="74" t="str">
        <f aca="false">IF(A1512="","",IFERROR(INDEX(السندات!$C$5:$C$504,MATCH(A1512,السندات!$A$5:$A$504,0)),""))</f>
        <v/>
      </c>
      <c r="I1512" s="75" t="str">
        <f aca="false">IF(A1512="","",IFERROR(INDEX(السندات!$D$5:$D$504,MATCH(A1512,السندات!$A$5:$A$504,0)),""))</f>
        <v/>
      </c>
      <c r="J1512" s="76" t="str">
        <f aca="false">IF(A1512="","",IF(ISNA(MATCH(A1512,السندات!$A$5:$A$504,0)),"رقم سند غير موجود ✘",IF(AND(F1512&lt;&gt;"",G1512&lt;&gt;""),"اكتب مدين أو دائن فقط ✘",IF(AND(N(F1512)=0,N(G1512)=0),"بدون مبلغ ⚠",IF(B1512&gt;12,"يتجاوز 12 بنداً في الطباعة ⚠","")))))</f>
        <v/>
      </c>
    </row>
    <row r="1513" customFormat="false" ht="15" hidden="false" customHeight="false" outlineLevel="0" collapsed="false">
      <c r="A1513" s="58"/>
      <c r="B1513" s="68" t="str">
        <f aca="false">IF(A1513="","",COUNTIF(A$5:A1513,A1513))</f>
        <v/>
      </c>
      <c r="C1513" s="68" t="str">
        <f aca="false">IF(A1513="","",A1513&amp;"-"&amp;B1513)</f>
        <v/>
      </c>
      <c r="D1513" s="58"/>
      <c r="E1513" s="57"/>
      <c r="F1513" s="69"/>
      <c r="G1513" s="69"/>
      <c r="H1513" s="70" t="str">
        <f aca="false">IF(A1513="","",IFERROR(INDEX(السندات!$C$5:$C$504,MATCH(A1513,السندات!$A$5:$A$504,0)),""))</f>
        <v/>
      </c>
      <c r="I1513" s="71" t="str">
        <f aca="false">IF(A1513="","",IFERROR(INDEX(السندات!$D$5:$D$504,MATCH(A1513,السندات!$A$5:$A$504,0)),""))</f>
        <v/>
      </c>
      <c r="J1513" s="72" t="str">
        <f aca="false">IF(A1513="","",IF(ISNA(MATCH(A1513,السندات!$A$5:$A$504,0)),"رقم سند غير موجود ✘",IF(AND(F1513&lt;&gt;"",G1513&lt;&gt;""),"اكتب مدين أو دائن فقط ✘",IF(AND(N(F1513)=0,N(G1513)=0),"بدون مبلغ ⚠",IF(B1513&gt;12,"يتجاوز 12 بنداً في الطباعة ⚠","")))))</f>
        <v/>
      </c>
    </row>
    <row r="1514" customFormat="false" ht="15" hidden="false" customHeight="false" outlineLevel="0" collapsed="false">
      <c r="A1514" s="58"/>
      <c r="B1514" s="73" t="str">
        <f aca="false">IF(A1514="","",COUNTIF(A$5:A1514,A1514))</f>
        <v/>
      </c>
      <c r="C1514" s="73" t="str">
        <f aca="false">IF(A1514="","",A1514&amp;"-"&amp;B1514)</f>
        <v/>
      </c>
      <c r="D1514" s="58"/>
      <c r="E1514" s="57"/>
      <c r="F1514" s="69"/>
      <c r="G1514" s="69"/>
      <c r="H1514" s="74" t="str">
        <f aca="false">IF(A1514="","",IFERROR(INDEX(السندات!$C$5:$C$504,MATCH(A1514,السندات!$A$5:$A$504,0)),""))</f>
        <v/>
      </c>
      <c r="I1514" s="75" t="str">
        <f aca="false">IF(A1514="","",IFERROR(INDEX(السندات!$D$5:$D$504,MATCH(A1514,السندات!$A$5:$A$504,0)),""))</f>
        <v/>
      </c>
      <c r="J1514" s="76" t="str">
        <f aca="false">IF(A1514="","",IF(ISNA(MATCH(A1514,السندات!$A$5:$A$504,0)),"رقم سند غير موجود ✘",IF(AND(F1514&lt;&gt;"",G1514&lt;&gt;""),"اكتب مدين أو دائن فقط ✘",IF(AND(N(F1514)=0,N(G1514)=0),"بدون مبلغ ⚠",IF(B1514&gt;12,"يتجاوز 12 بنداً في الطباعة ⚠","")))))</f>
        <v/>
      </c>
    </row>
    <row r="1515" customFormat="false" ht="15" hidden="false" customHeight="false" outlineLevel="0" collapsed="false">
      <c r="A1515" s="58"/>
      <c r="B1515" s="68" t="str">
        <f aca="false">IF(A1515="","",COUNTIF(A$5:A1515,A1515))</f>
        <v/>
      </c>
      <c r="C1515" s="68" t="str">
        <f aca="false">IF(A1515="","",A1515&amp;"-"&amp;B1515)</f>
        <v/>
      </c>
      <c r="D1515" s="58"/>
      <c r="E1515" s="57"/>
      <c r="F1515" s="69"/>
      <c r="G1515" s="69"/>
      <c r="H1515" s="70" t="str">
        <f aca="false">IF(A1515="","",IFERROR(INDEX(السندات!$C$5:$C$504,MATCH(A1515,السندات!$A$5:$A$504,0)),""))</f>
        <v/>
      </c>
      <c r="I1515" s="71" t="str">
        <f aca="false">IF(A1515="","",IFERROR(INDEX(السندات!$D$5:$D$504,MATCH(A1515,السندات!$A$5:$A$504,0)),""))</f>
        <v/>
      </c>
      <c r="J1515" s="72" t="str">
        <f aca="false">IF(A1515="","",IF(ISNA(MATCH(A1515,السندات!$A$5:$A$504,0)),"رقم سند غير موجود ✘",IF(AND(F1515&lt;&gt;"",G1515&lt;&gt;""),"اكتب مدين أو دائن فقط ✘",IF(AND(N(F1515)=0,N(G1515)=0),"بدون مبلغ ⚠",IF(B1515&gt;12,"يتجاوز 12 بنداً في الطباعة ⚠","")))))</f>
        <v/>
      </c>
    </row>
    <row r="1516" customFormat="false" ht="15" hidden="false" customHeight="false" outlineLevel="0" collapsed="false">
      <c r="A1516" s="58"/>
      <c r="B1516" s="73" t="str">
        <f aca="false">IF(A1516="","",COUNTIF(A$5:A1516,A1516))</f>
        <v/>
      </c>
      <c r="C1516" s="73" t="str">
        <f aca="false">IF(A1516="","",A1516&amp;"-"&amp;B1516)</f>
        <v/>
      </c>
      <c r="D1516" s="58"/>
      <c r="E1516" s="57"/>
      <c r="F1516" s="69"/>
      <c r="G1516" s="69"/>
      <c r="H1516" s="74" t="str">
        <f aca="false">IF(A1516="","",IFERROR(INDEX(السندات!$C$5:$C$504,MATCH(A1516,السندات!$A$5:$A$504,0)),""))</f>
        <v/>
      </c>
      <c r="I1516" s="75" t="str">
        <f aca="false">IF(A1516="","",IFERROR(INDEX(السندات!$D$5:$D$504,MATCH(A1516,السندات!$A$5:$A$504,0)),""))</f>
        <v/>
      </c>
      <c r="J1516" s="76" t="str">
        <f aca="false">IF(A1516="","",IF(ISNA(MATCH(A1516,السندات!$A$5:$A$504,0)),"رقم سند غير موجود ✘",IF(AND(F1516&lt;&gt;"",G1516&lt;&gt;""),"اكتب مدين أو دائن فقط ✘",IF(AND(N(F1516)=0,N(G1516)=0),"بدون مبلغ ⚠",IF(B1516&gt;12,"يتجاوز 12 بنداً في الطباعة ⚠","")))))</f>
        <v/>
      </c>
    </row>
    <row r="1517" customFormat="false" ht="15" hidden="false" customHeight="false" outlineLevel="0" collapsed="false">
      <c r="A1517" s="58"/>
      <c r="B1517" s="68" t="str">
        <f aca="false">IF(A1517="","",COUNTIF(A$5:A1517,A1517))</f>
        <v/>
      </c>
      <c r="C1517" s="68" t="str">
        <f aca="false">IF(A1517="","",A1517&amp;"-"&amp;B1517)</f>
        <v/>
      </c>
      <c r="D1517" s="58"/>
      <c r="E1517" s="57"/>
      <c r="F1517" s="69"/>
      <c r="G1517" s="69"/>
      <c r="H1517" s="70" t="str">
        <f aca="false">IF(A1517="","",IFERROR(INDEX(السندات!$C$5:$C$504,MATCH(A1517,السندات!$A$5:$A$504,0)),""))</f>
        <v/>
      </c>
      <c r="I1517" s="71" t="str">
        <f aca="false">IF(A1517="","",IFERROR(INDEX(السندات!$D$5:$D$504,MATCH(A1517,السندات!$A$5:$A$504,0)),""))</f>
        <v/>
      </c>
      <c r="J1517" s="72" t="str">
        <f aca="false">IF(A1517="","",IF(ISNA(MATCH(A1517,السندات!$A$5:$A$504,0)),"رقم سند غير موجود ✘",IF(AND(F1517&lt;&gt;"",G1517&lt;&gt;""),"اكتب مدين أو دائن فقط ✘",IF(AND(N(F1517)=0,N(G1517)=0),"بدون مبلغ ⚠",IF(B1517&gt;12,"يتجاوز 12 بنداً في الطباعة ⚠","")))))</f>
        <v/>
      </c>
    </row>
    <row r="1518" customFormat="false" ht="15" hidden="false" customHeight="false" outlineLevel="0" collapsed="false">
      <c r="A1518" s="58"/>
      <c r="B1518" s="73" t="str">
        <f aca="false">IF(A1518="","",COUNTIF(A$5:A1518,A1518))</f>
        <v/>
      </c>
      <c r="C1518" s="73" t="str">
        <f aca="false">IF(A1518="","",A1518&amp;"-"&amp;B1518)</f>
        <v/>
      </c>
      <c r="D1518" s="58"/>
      <c r="E1518" s="57"/>
      <c r="F1518" s="69"/>
      <c r="G1518" s="69"/>
      <c r="H1518" s="74" t="str">
        <f aca="false">IF(A1518="","",IFERROR(INDEX(السندات!$C$5:$C$504,MATCH(A1518,السندات!$A$5:$A$504,0)),""))</f>
        <v/>
      </c>
      <c r="I1518" s="75" t="str">
        <f aca="false">IF(A1518="","",IFERROR(INDEX(السندات!$D$5:$D$504,MATCH(A1518,السندات!$A$5:$A$504,0)),""))</f>
        <v/>
      </c>
      <c r="J1518" s="76" t="str">
        <f aca="false">IF(A1518="","",IF(ISNA(MATCH(A1518,السندات!$A$5:$A$504,0)),"رقم سند غير موجود ✘",IF(AND(F1518&lt;&gt;"",G1518&lt;&gt;""),"اكتب مدين أو دائن فقط ✘",IF(AND(N(F1518)=0,N(G1518)=0),"بدون مبلغ ⚠",IF(B1518&gt;12,"يتجاوز 12 بنداً في الطباعة ⚠","")))))</f>
        <v/>
      </c>
    </row>
    <row r="1519" customFormat="false" ht="15" hidden="false" customHeight="false" outlineLevel="0" collapsed="false">
      <c r="A1519" s="58"/>
      <c r="B1519" s="68" t="str">
        <f aca="false">IF(A1519="","",COUNTIF(A$5:A1519,A1519))</f>
        <v/>
      </c>
      <c r="C1519" s="68" t="str">
        <f aca="false">IF(A1519="","",A1519&amp;"-"&amp;B1519)</f>
        <v/>
      </c>
      <c r="D1519" s="58"/>
      <c r="E1519" s="57"/>
      <c r="F1519" s="69"/>
      <c r="G1519" s="69"/>
      <c r="H1519" s="70" t="str">
        <f aca="false">IF(A1519="","",IFERROR(INDEX(السندات!$C$5:$C$504,MATCH(A1519,السندات!$A$5:$A$504,0)),""))</f>
        <v/>
      </c>
      <c r="I1519" s="71" t="str">
        <f aca="false">IF(A1519="","",IFERROR(INDEX(السندات!$D$5:$D$504,MATCH(A1519,السندات!$A$5:$A$504,0)),""))</f>
        <v/>
      </c>
      <c r="J1519" s="72" t="str">
        <f aca="false">IF(A1519="","",IF(ISNA(MATCH(A1519,السندات!$A$5:$A$504,0)),"رقم سند غير موجود ✘",IF(AND(F1519&lt;&gt;"",G1519&lt;&gt;""),"اكتب مدين أو دائن فقط ✘",IF(AND(N(F1519)=0,N(G1519)=0),"بدون مبلغ ⚠",IF(B1519&gt;12,"يتجاوز 12 بنداً في الطباعة ⚠","")))))</f>
        <v/>
      </c>
    </row>
    <row r="1520" customFormat="false" ht="15" hidden="false" customHeight="false" outlineLevel="0" collapsed="false">
      <c r="A1520" s="58"/>
      <c r="B1520" s="73" t="str">
        <f aca="false">IF(A1520="","",COUNTIF(A$5:A1520,A1520))</f>
        <v/>
      </c>
      <c r="C1520" s="73" t="str">
        <f aca="false">IF(A1520="","",A1520&amp;"-"&amp;B1520)</f>
        <v/>
      </c>
      <c r="D1520" s="58"/>
      <c r="E1520" s="57"/>
      <c r="F1520" s="69"/>
      <c r="G1520" s="69"/>
      <c r="H1520" s="74" t="str">
        <f aca="false">IF(A1520="","",IFERROR(INDEX(السندات!$C$5:$C$504,MATCH(A1520,السندات!$A$5:$A$504,0)),""))</f>
        <v/>
      </c>
      <c r="I1520" s="75" t="str">
        <f aca="false">IF(A1520="","",IFERROR(INDEX(السندات!$D$5:$D$504,MATCH(A1520,السندات!$A$5:$A$504,0)),""))</f>
        <v/>
      </c>
      <c r="J1520" s="76" t="str">
        <f aca="false">IF(A1520="","",IF(ISNA(MATCH(A1520,السندات!$A$5:$A$504,0)),"رقم سند غير موجود ✘",IF(AND(F1520&lt;&gt;"",G1520&lt;&gt;""),"اكتب مدين أو دائن فقط ✘",IF(AND(N(F1520)=0,N(G1520)=0),"بدون مبلغ ⚠",IF(B1520&gt;12,"يتجاوز 12 بنداً في الطباعة ⚠","")))))</f>
        <v/>
      </c>
    </row>
    <row r="1521" customFormat="false" ht="15" hidden="false" customHeight="false" outlineLevel="0" collapsed="false">
      <c r="A1521" s="58"/>
      <c r="B1521" s="68" t="str">
        <f aca="false">IF(A1521="","",COUNTIF(A$5:A1521,A1521))</f>
        <v/>
      </c>
      <c r="C1521" s="68" t="str">
        <f aca="false">IF(A1521="","",A1521&amp;"-"&amp;B1521)</f>
        <v/>
      </c>
      <c r="D1521" s="58"/>
      <c r="E1521" s="57"/>
      <c r="F1521" s="69"/>
      <c r="G1521" s="69"/>
      <c r="H1521" s="70" t="str">
        <f aca="false">IF(A1521="","",IFERROR(INDEX(السندات!$C$5:$C$504,MATCH(A1521,السندات!$A$5:$A$504,0)),""))</f>
        <v/>
      </c>
      <c r="I1521" s="71" t="str">
        <f aca="false">IF(A1521="","",IFERROR(INDEX(السندات!$D$5:$D$504,MATCH(A1521,السندات!$A$5:$A$504,0)),""))</f>
        <v/>
      </c>
      <c r="J1521" s="72" t="str">
        <f aca="false">IF(A1521="","",IF(ISNA(MATCH(A1521,السندات!$A$5:$A$504,0)),"رقم سند غير موجود ✘",IF(AND(F1521&lt;&gt;"",G1521&lt;&gt;""),"اكتب مدين أو دائن فقط ✘",IF(AND(N(F1521)=0,N(G1521)=0),"بدون مبلغ ⚠",IF(B1521&gt;12,"يتجاوز 12 بنداً في الطباعة ⚠","")))))</f>
        <v/>
      </c>
    </row>
    <row r="1522" customFormat="false" ht="15" hidden="false" customHeight="false" outlineLevel="0" collapsed="false">
      <c r="A1522" s="58"/>
      <c r="B1522" s="73" t="str">
        <f aca="false">IF(A1522="","",COUNTIF(A$5:A1522,A1522))</f>
        <v/>
      </c>
      <c r="C1522" s="73" t="str">
        <f aca="false">IF(A1522="","",A1522&amp;"-"&amp;B1522)</f>
        <v/>
      </c>
      <c r="D1522" s="58"/>
      <c r="E1522" s="57"/>
      <c r="F1522" s="69"/>
      <c r="G1522" s="69"/>
      <c r="H1522" s="74" t="str">
        <f aca="false">IF(A1522="","",IFERROR(INDEX(السندات!$C$5:$C$504,MATCH(A1522,السندات!$A$5:$A$504,0)),""))</f>
        <v/>
      </c>
      <c r="I1522" s="75" t="str">
        <f aca="false">IF(A1522="","",IFERROR(INDEX(السندات!$D$5:$D$504,MATCH(A1522,السندات!$A$5:$A$504,0)),""))</f>
        <v/>
      </c>
      <c r="J1522" s="76" t="str">
        <f aca="false">IF(A1522="","",IF(ISNA(MATCH(A1522,السندات!$A$5:$A$504,0)),"رقم سند غير موجود ✘",IF(AND(F1522&lt;&gt;"",G1522&lt;&gt;""),"اكتب مدين أو دائن فقط ✘",IF(AND(N(F1522)=0,N(G1522)=0),"بدون مبلغ ⚠",IF(B1522&gt;12,"يتجاوز 12 بنداً في الطباعة ⚠","")))))</f>
        <v/>
      </c>
    </row>
    <row r="1523" customFormat="false" ht="15" hidden="false" customHeight="false" outlineLevel="0" collapsed="false">
      <c r="A1523" s="58"/>
      <c r="B1523" s="68" t="str">
        <f aca="false">IF(A1523="","",COUNTIF(A$5:A1523,A1523))</f>
        <v/>
      </c>
      <c r="C1523" s="68" t="str">
        <f aca="false">IF(A1523="","",A1523&amp;"-"&amp;B1523)</f>
        <v/>
      </c>
      <c r="D1523" s="58"/>
      <c r="E1523" s="57"/>
      <c r="F1523" s="69"/>
      <c r="G1523" s="69"/>
      <c r="H1523" s="70" t="str">
        <f aca="false">IF(A1523="","",IFERROR(INDEX(السندات!$C$5:$C$504,MATCH(A1523,السندات!$A$5:$A$504,0)),""))</f>
        <v/>
      </c>
      <c r="I1523" s="71" t="str">
        <f aca="false">IF(A1523="","",IFERROR(INDEX(السندات!$D$5:$D$504,MATCH(A1523,السندات!$A$5:$A$504,0)),""))</f>
        <v/>
      </c>
      <c r="J1523" s="72" t="str">
        <f aca="false">IF(A1523="","",IF(ISNA(MATCH(A1523,السندات!$A$5:$A$504,0)),"رقم سند غير موجود ✘",IF(AND(F1523&lt;&gt;"",G1523&lt;&gt;""),"اكتب مدين أو دائن فقط ✘",IF(AND(N(F1523)=0,N(G1523)=0),"بدون مبلغ ⚠",IF(B1523&gt;12,"يتجاوز 12 بنداً في الطباعة ⚠","")))))</f>
        <v/>
      </c>
    </row>
    <row r="1524" customFormat="false" ht="15" hidden="false" customHeight="false" outlineLevel="0" collapsed="false">
      <c r="A1524" s="58"/>
      <c r="B1524" s="73" t="str">
        <f aca="false">IF(A1524="","",COUNTIF(A$5:A1524,A1524))</f>
        <v/>
      </c>
      <c r="C1524" s="73" t="str">
        <f aca="false">IF(A1524="","",A1524&amp;"-"&amp;B1524)</f>
        <v/>
      </c>
      <c r="D1524" s="58"/>
      <c r="E1524" s="57"/>
      <c r="F1524" s="69"/>
      <c r="G1524" s="69"/>
      <c r="H1524" s="74" t="str">
        <f aca="false">IF(A1524="","",IFERROR(INDEX(السندات!$C$5:$C$504,MATCH(A1524,السندات!$A$5:$A$504,0)),""))</f>
        <v/>
      </c>
      <c r="I1524" s="75" t="str">
        <f aca="false">IF(A1524="","",IFERROR(INDEX(السندات!$D$5:$D$504,MATCH(A1524,السندات!$A$5:$A$504,0)),""))</f>
        <v/>
      </c>
      <c r="J1524" s="76" t="str">
        <f aca="false">IF(A1524="","",IF(ISNA(MATCH(A1524,السندات!$A$5:$A$504,0)),"رقم سند غير موجود ✘",IF(AND(F1524&lt;&gt;"",G1524&lt;&gt;""),"اكتب مدين أو دائن فقط ✘",IF(AND(N(F1524)=0,N(G1524)=0),"بدون مبلغ ⚠",IF(B1524&gt;12,"يتجاوز 12 بنداً في الطباعة ⚠","")))))</f>
        <v/>
      </c>
    </row>
    <row r="1525" customFormat="false" ht="15" hidden="false" customHeight="false" outlineLevel="0" collapsed="false">
      <c r="A1525" s="58"/>
      <c r="B1525" s="68" t="str">
        <f aca="false">IF(A1525="","",COUNTIF(A$5:A1525,A1525))</f>
        <v/>
      </c>
      <c r="C1525" s="68" t="str">
        <f aca="false">IF(A1525="","",A1525&amp;"-"&amp;B1525)</f>
        <v/>
      </c>
      <c r="D1525" s="58"/>
      <c r="E1525" s="57"/>
      <c r="F1525" s="69"/>
      <c r="G1525" s="69"/>
      <c r="H1525" s="70" t="str">
        <f aca="false">IF(A1525="","",IFERROR(INDEX(السندات!$C$5:$C$504,MATCH(A1525,السندات!$A$5:$A$504,0)),""))</f>
        <v/>
      </c>
      <c r="I1525" s="71" t="str">
        <f aca="false">IF(A1525="","",IFERROR(INDEX(السندات!$D$5:$D$504,MATCH(A1525,السندات!$A$5:$A$504,0)),""))</f>
        <v/>
      </c>
      <c r="J1525" s="72" t="str">
        <f aca="false">IF(A1525="","",IF(ISNA(MATCH(A1525,السندات!$A$5:$A$504,0)),"رقم سند غير موجود ✘",IF(AND(F1525&lt;&gt;"",G1525&lt;&gt;""),"اكتب مدين أو دائن فقط ✘",IF(AND(N(F1525)=0,N(G1525)=0),"بدون مبلغ ⚠",IF(B1525&gt;12,"يتجاوز 12 بنداً في الطباعة ⚠","")))))</f>
        <v/>
      </c>
    </row>
    <row r="1526" customFormat="false" ht="15" hidden="false" customHeight="false" outlineLevel="0" collapsed="false">
      <c r="A1526" s="58"/>
      <c r="B1526" s="73" t="str">
        <f aca="false">IF(A1526="","",COUNTIF(A$5:A1526,A1526))</f>
        <v/>
      </c>
      <c r="C1526" s="73" t="str">
        <f aca="false">IF(A1526="","",A1526&amp;"-"&amp;B1526)</f>
        <v/>
      </c>
      <c r="D1526" s="58"/>
      <c r="E1526" s="57"/>
      <c r="F1526" s="69"/>
      <c r="G1526" s="69"/>
      <c r="H1526" s="74" t="str">
        <f aca="false">IF(A1526="","",IFERROR(INDEX(السندات!$C$5:$C$504,MATCH(A1526,السندات!$A$5:$A$504,0)),""))</f>
        <v/>
      </c>
      <c r="I1526" s="75" t="str">
        <f aca="false">IF(A1526="","",IFERROR(INDEX(السندات!$D$5:$D$504,MATCH(A1526,السندات!$A$5:$A$504,0)),""))</f>
        <v/>
      </c>
      <c r="J1526" s="76" t="str">
        <f aca="false">IF(A1526="","",IF(ISNA(MATCH(A1526,السندات!$A$5:$A$504,0)),"رقم سند غير موجود ✘",IF(AND(F1526&lt;&gt;"",G1526&lt;&gt;""),"اكتب مدين أو دائن فقط ✘",IF(AND(N(F1526)=0,N(G1526)=0),"بدون مبلغ ⚠",IF(B1526&gt;12,"يتجاوز 12 بنداً في الطباعة ⚠","")))))</f>
        <v/>
      </c>
    </row>
    <row r="1527" customFormat="false" ht="15" hidden="false" customHeight="false" outlineLevel="0" collapsed="false">
      <c r="A1527" s="58"/>
      <c r="B1527" s="68" t="str">
        <f aca="false">IF(A1527="","",COUNTIF(A$5:A1527,A1527))</f>
        <v/>
      </c>
      <c r="C1527" s="68" t="str">
        <f aca="false">IF(A1527="","",A1527&amp;"-"&amp;B1527)</f>
        <v/>
      </c>
      <c r="D1527" s="58"/>
      <c r="E1527" s="57"/>
      <c r="F1527" s="69"/>
      <c r="G1527" s="69"/>
      <c r="H1527" s="70" t="str">
        <f aca="false">IF(A1527="","",IFERROR(INDEX(السندات!$C$5:$C$504,MATCH(A1527,السندات!$A$5:$A$504,0)),""))</f>
        <v/>
      </c>
      <c r="I1527" s="71" t="str">
        <f aca="false">IF(A1527="","",IFERROR(INDEX(السندات!$D$5:$D$504,MATCH(A1527,السندات!$A$5:$A$504,0)),""))</f>
        <v/>
      </c>
      <c r="J1527" s="72" t="str">
        <f aca="false">IF(A1527="","",IF(ISNA(MATCH(A1527,السندات!$A$5:$A$504,0)),"رقم سند غير موجود ✘",IF(AND(F1527&lt;&gt;"",G1527&lt;&gt;""),"اكتب مدين أو دائن فقط ✘",IF(AND(N(F1527)=0,N(G1527)=0),"بدون مبلغ ⚠",IF(B1527&gt;12,"يتجاوز 12 بنداً في الطباعة ⚠","")))))</f>
        <v/>
      </c>
    </row>
    <row r="1528" customFormat="false" ht="15" hidden="false" customHeight="false" outlineLevel="0" collapsed="false">
      <c r="A1528" s="58"/>
      <c r="B1528" s="73" t="str">
        <f aca="false">IF(A1528="","",COUNTIF(A$5:A1528,A1528))</f>
        <v/>
      </c>
      <c r="C1528" s="73" t="str">
        <f aca="false">IF(A1528="","",A1528&amp;"-"&amp;B1528)</f>
        <v/>
      </c>
      <c r="D1528" s="58"/>
      <c r="E1528" s="57"/>
      <c r="F1528" s="69"/>
      <c r="G1528" s="69"/>
      <c r="H1528" s="74" t="str">
        <f aca="false">IF(A1528="","",IFERROR(INDEX(السندات!$C$5:$C$504,MATCH(A1528,السندات!$A$5:$A$504,0)),""))</f>
        <v/>
      </c>
      <c r="I1528" s="75" t="str">
        <f aca="false">IF(A1528="","",IFERROR(INDEX(السندات!$D$5:$D$504,MATCH(A1528,السندات!$A$5:$A$504,0)),""))</f>
        <v/>
      </c>
      <c r="J1528" s="76" t="str">
        <f aca="false">IF(A1528="","",IF(ISNA(MATCH(A1528,السندات!$A$5:$A$504,0)),"رقم سند غير موجود ✘",IF(AND(F1528&lt;&gt;"",G1528&lt;&gt;""),"اكتب مدين أو دائن فقط ✘",IF(AND(N(F1528)=0,N(G1528)=0),"بدون مبلغ ⚠",IF(B1528&gt;12,"يتجاوز 12 بنداً في الطباعة ⚠","")))))</f>
        <v/>
      </c>
    </row>
    <row r="1529" customFormat="false" ht="15" hidden="false" customHeight="false" outlineLevel="0" collapsed="false">
      <c r="A1529" s="58"/>
      <c r="B1529" s="68" t="str">
        <f aca="false">IF(A1529="","",COUNTIF(A$5:A1529,A1529))</f>
        <v/>
      </c>
      <c r="C1529" s="68" t="str">
        <f aca="false">IF(A1529="","",A1529&amp;"-"&amp;B1529)</f>
        <v/>
      </c>
      <c r="D1529" s="58"/>
      <c r="E1529" s="57"/>
      <c r="F1529" s="69"/>
      <c r="G1529" s="69"/>
      <c r="H1529" s="70" t="str">
        <f aca="false">IF(A1529="","",IFERROR(INDEX(السندات!$C$5:$C$504,MATCH(A1529,السندات!$A$5:$A$504,0)),""))</f>
        <v/>
      </c>
      <c r="I1529" s="71" t="str">
        <f aca="false">IF(A1529="","",IFERROR(INDEX(السندات!$D$5:$D$504,MATCH(A1529,السندات!$A$5:$A$504,0)),""))</f>
        <v/>
      </c>
      <c r="J1529" s="72" t="str">
        <f aca="false">IF(A1529="","",IF(ISNA(MATCH(A1529,السندات!$A$5:$A$504,0)),"رقم سند غير موجود ✘",IF(AND(F1529&lt;&gt;"",G1529&lt;&gt;""),"اكتب مدين أو دائن فقط ✘",IF(AND(N(F1529)=0,N(G1529)=0),"بدون مبلغ ⚠",IF(B1529&gt;12,"يتجاوز 12 بنداً في الطباعة ⚠","")))))</f>
        <v/>
      </c>
    </row>
    <row r="1530" customFormat="false" ht="15" hidden="false" customHeight="false" outlineLevel="0" collapsed="false">
      <c r="A1530" s="58"/>
      <c r="B1530" s="73" t="str">
        <f aca="false">IF(A1530="","",COUNTIF(A$5:A1530,A1530))</f>
        <v/>
      </c>
      <c r="C1530" s="73" t="str">
        <f aca="false">IF(A1530="","",A1530&amp;"-"&amp;B1530)</f>
        <v/>
      </c>
      <c r="D1530" s="58"/>
      <c r="E1530" s="57"/>
      <c r="F1530" s="69"/>
      <c r="G1530" s="69"/>
      <c r="H1530" s="74" t="str">
        <f aca="false">IF(A1530="","",IFERROR(INDEX(السندات!$C$5:$C$504,MATCH(A1530,السندات!$A$5:$A$504,0)),""))</f>
        <v/>
      </c>
      <c r="I1530" s="75" t="str">
        <f aca="false">IF(A1530="","",IFERROR(INDEX(السندات!$D$5:$D$504,MATCH(A1530,السندات!$A$5:$A$504,0)),""))</f>
        <v/>
      </c>
      <c r="J1530" s="76" t="str">
        <f aca="false">IF(A1530="","",IF(ISNA(MATCH(A1530,السندات!$A$5:$A$504,0)),"رقم سند غير موجود ✘",IF(AND(F1530&lt;&gt;"",G1530&lt;&gt;""),"اكتب مدين أو دائن فقط ✘",IF(AND(N(F1530)=0,N(G1530)=0),"بدون مبلغ ⚠",IF(B1530&gt;12,"يتجاوز 12 بنداً في الطباعة ⚠","")))))</f>
        <v/>
      </c>
    </row>
    <row r="1531" customFormat="false" ht="15" hidden="false" customHeight="false" outlineLevel="0" collapsed="false">
      <c r="A1531" s="58"/>
      <c r="B1531" s="68" t="str">
        <f aca="false">IF(A1531="","",COUNTIF(A$5:A1531,A1531))</f>
        <v/>
      </c>
      <c r="C1531" s="68" t="str">
        <f aca="false">IF(A1531="","",A1531&amp;"-"&amp;B1531)</f>
        <v/>
      </c>
      <c r="D1531" s="58"/>
      <c r="E1531" s="57"/>
      <c r="F1531" s="69"/>
      <c r="G1531" s="69"/>
      <c r="H1531" s="70" t="str">
        <f aca="false">IF(A1531="","",IFERROR(INDEX(السندات!$C$5:$C$504,MATCH(A1531,السندات!$A$5:$A$504,0)),""))</f>
        <v/>
      </c>
      <c r="I1531" s="71" t="str">
        <f aca="false">IF(A1531="","",IFERROR(INDEX(السندات!$D$5:$D$504,MATCH(A1531,السندات!$A$5:$A$504,0)),""))</f>
        <v/>
      </c>
      <c r="J1531" s="72" t="str">
        <f aca="false">IF(A1531="","",IF(ISNA(MATCH(A1531,السندات!$A$5:$A$504,0)),"رقم سند غير موجود ✘",IF(AND(F1531&lt;&gt;"",G1531&lt;&gt;""),"اكتب مدين أو دائن فقط ✘",IF(AND(N(F1531)=0,N(G1531)=0),"بدون مبلغ ⚠",IF(B1531&gt;12,"يتجاوز 12 بنداً في الطباعة ⚠","")))))</f>
        <v/>
      </c>
    </row>
    <row r="1532" customFormat="false" ht="15" hidden="false" customHeight="false" outlineLevel="0" collapsed="false">
      <c r="A1532" s="58"/>
      <c r="B1532" s="73" t="str">
        <f aca="false">IF(A1532="","",COUNTIF(A$5:A1532,A1532))</f>
        <v/>
      </c>
      <c r="C1532" s="73" t="str">
        <f aca="false">IF(A1532="","",A1532&amp;"-"&amp;B1532)</f>
        <v/>
      </c>
      <c r="D1532" s="58"/>
      <c r="E1532" s="57"/>
      <c r="F1532" s="69"/>
      <c r="G1532" s="69"/>
      <c r="H1532" s="74" t="str">
        <f aca="false">IF(A1532="","",IFERROR(INDEX(السندات!$C$5:$C$504,MATCH(A1532,السندات!$A$5:$A$504,0)),""))</f>
        <v/>
      </c>
      <c r="I1532" s="75" t="str">
        <f aca="false">IF(A1532="","",IFERROR(INDEX(السندات!$D$5:$D$504,MATCH(A1532,السندات!$A$5:$A$504,0)),""))</f>
        <v/>
      </c>
      <c r="J1532" s="76" t="str">
        <f aca="false">IF(A1532="","",IF(ISNA(MATCH(A1532,السندات!$A$5:$A$504,0)),"رقم سند غير موجود ✘",IF(AND(F1532&lt;&gt;"",G1532&lt;&gt;""),"اكتب مدين أو دائن فقط ✘",IF(AND(N(F1532)=0,N(G1532)=0),"بدون مبلغ ⚠",IF(B1532&gt;12,"يتجاوز 12 بنداً في الطباعة ⚠","")))))</f>
        <v/>
      </c>
    </row>
    <row r="1533" customFormat="false" ht="15" hidden="false" customHeight="false" outlineLevel="0" collapsed="false">
      <c r="A1533" s="58"/>
      <c r="B1533" s="68" t="str">
        <f aca="false">IF(A1533="","",COUNTIF(A$5:A1533,A1533))</f>
        <v/>
      </c>
      <c r="C1533" s="68" t="str">
        <f aca="false">IF(A1533="","",A1533&amp;"-"&amp;B1533)</f>
        <v/>
      </c>
      <c r="D1533" s="58"/>
      <c r="E1533" s="57"/>
      <c r="F1533" s="69"/>
      <c r="G1533" s="69"/>
      <c r="H1533" s="70" t="str">
        <f aca="false">IF(A1533="","",IFERROR(INDEX(السندات!$C$5:$C$504,MATCH(A1533,السندات!$A$5:$A$504,0)),""))</f>
        <v/>
      </c>
      <c r="I1533" s="71" t="str">
        <f aca="false">IF(A1533="","",IFERROR(INDEX(السندات!$D$5:$D$504,MATCH(A1533,السندات!$A$5:$A$504,0)),""))</f>
        <v/>
      </c>
      <c r="J1533" s="72" t="str">
        <f aca="false">IF(A1533="","",IF(ISNA(MATCH(A1533,السندات!$A$5:$A$504,0)),"رقم سند غير موجود ✘",IF(AND(F1533&lt;&gt;"",G1533&lt;&gt;""),"اكتب مدين أو دائن فقط ✘",IF(AND(N(F1533)=0,N(G1533)=0),"بدون مبلغ ⚠",IF(B1533&gt;12,"يتجاوز 12 بنداً في الطباعة ⚠","")))))</f>
        <v/>
      </c>
    </row>
    <row r="1534" customFormat="false" ht="15" hidden="false" customHeight="false" outlineLevel="0" collapsed="false">
      <c r="A1534" s="58"/>
      <c r="B1534" s="73" t="str">
        <f aca="false">IF(A1534="","",COUNTIF(A$5:A1534,A1534))</f>
        <v/>
      </c>
      <c r="C1534" s="73" t="str">
        <f aca="false">IF(A1534="","",A1534&amp;"-"&amp;B1534)</f>
        <v/>
      </c>
      <c r="D1534" s="58"/>
      <c r="E1534" s="57"/>
      <c r="F1534" s="69"/>
      <c r="G1534" s="69"/>
      <c r="H1534" s="74" t="str">
        <f aca="false">IF(A1534="","",IFERROR(INDEX(السندات!$C$5:$C$504,MATCH(A1534,السندات!$A$5:$A$504,0)),""))</f>
        <v/>
      </c>
      <c r="I1534" s="75" t="str">
        <f aca="false">IF(A1534="","",IFERROR(INDEX(السندات!$D$5:$D$504,MATCH(A1534,السندات!$A$5:$A$504,0)),""))</f>
        <v/>
      </c>
      <c r="J1534" s="76" t="str">
        <f aca="false">IF(A1534="","",IF(ISNA(MATCH(A1534,السندات!$A$5:$A$504,0)),"رقم سند غير موجود ✘",IF(AND(F1534&lt;&gt;"",G1534&lt;&gt;""),"اكتب مدين أو دائن فقط ✘",IF(AND(N(F1534)=0,N(G1534)=0),"بدون مبلغ ⚠",IF(B1534&gt;12,"يتجاوز 12 بنداً في الطباعة ⚠","")))))</f>
        <v/>
      </c>
    </row>
    <row r="1535" customFormat="false" ht="15" hidden="false" customHeight="false" outlineLevel="0" collapsed="false">
      <c r="A1535" s="58"/>
      <c r="B1535" s="68" t="str">
        <f aca="false">IF(A1535="","",COUNTIF(A$5:A1535,A1535))</f>
        <v/>
      </c>
      <c r="C1535" s="68" t="str">
        <f aca="false">IF(A1535="","",A1535&amp;"-"&amp;B1535)</f>
        <v/>
      </c>
      <c r="D1535" s="58"/>
      <c r="E1535" s="57"/>
      <c r="F1535" s="69"/>
      <c r="G1535" s="69"/>
      <c r="H1535" s="70" t="str">
        <f aca="false">IF(A1535="","",IFERROR(INDEX(السندات!$C$5:$C$504,MATCH(A1535,السندات!$A$5:$A$504,0)),""))</f>
        <v/>
      </c>
      <c r="I1535" s="71" t="str">
        <f aca="false">IF(A1535="","",IFERROR(INDEX(السندات!$D$5:$D$504,MATCH(A1535,السندات!$A$5:$A$504,0)),""))</f>
        <v/>
      </c>
      <c r="J1535" s="72" t="str">
        <f aca="false">IF(A1535="","",IF(ISNA(MATCH(A1535,السندات!$A$5:$A$504,0)),"رقم سند غير موجود ✘",IF(AND(F1535&lt;&gt;"",G1535&lt;&gt;""),"اكتب مدين أو دائن فقط ✘",IF(AND(N(F1535)=0,N(G1535)=0),"بدون مبلغ ⚠",IF(B1535&gt;12,"يتجاوز 12 بنداً في الطباعة ⚠","")))))</f>
        <v/>
      </c>
    </row>
    <row r="1536" customFormat="false" ht="15" hidden="false" customHeight="false" outlineLevel="0" collapsed="false">
      <c r="A1536" s="58"/>
      <c r="B1536" s="73" t="str">
        <f aca="false">IF(A1536="","",COUNTIF(A$5:A1536,A1536))</f>
        <v/>
      </c>
      <c r="C1536" s="73" t="str">
        <f aca="false">IF(A1536="","",A1536&amp;"-"&amp;B1536)</f>
        <v/>
      </c>
      <c r="D1536" s="58"/>
      <c r="E1536" s="57"/>
      <c r="F1536" s="69"/>
      <c r="G1536" s="69"/>
      <c r="H1536" s="74" t="str">
        <f aca="false">IF(A1536="","",IFERROR(INDEX(السندات!$C$5:$C$504,MATCH(A1536,السندات!$A$5:$A$504,0)),""))</f>
        <v/>
      </c>
      <c r="I1536" s="75" t="str">
        <f aca="false">IF(A1536="","",IFERROR(INDEX(السندات!$D$5:$D$504,MATCH(A1536,السندات!$A$5:$A$504,0)),""))</f>
        <v/>
      </c>
      <c r="J1536" s="76" t="str">
        <f aca="false">IF(A1536="","",IF(ISNA(MATCH(A1536,السندات!$A$5:$A$504,0)),"رقم سند غير موجود ✘",IF(AND(F1536&lt;&gt;"",G1536&lt;&gt;""),"اكتب مدين أو دائن فقط ✘",IF(AND(N(F1536)=0,N(G1536)=0),"بدون مبلغ ⚠",IF(B1536&gt;12,"يتجاوز 12 بنداً في الطباعة ⚠","")))))</f>
        <v/>
      </c>
    </row>
    <row r="1537" customFormat="false" ht="15" hidden="false" customHeight="false" outlineLevel="0" collapsed="false">
      <c r="A1537" s="58"/>
      <c r="B1537" s="68" t="str">
        <f aca="false">IF(A1537="","",COUNTIF(A$5:A1537,A1537))</f>
        <v/>
      </c>
      <c r="C1537" s="68" t="str">
        <f aca="false">IF(A1537="","",A1537&amp;"-"&amp;B1537)</f>
        <v/>
      </c>
      <c r="D1537" s="58"/>
      <c r="E1537" s="57"/>
      <c r="F1537" s="69"/>
      <c r="G1537" s="69"/>
      <c r="H1537" s="70" t="str">
        <f aca="false">IF(A1537="","",IFERROR(INDEX(السندات!$C$5:$C$504,MATCH(A1537,السندات!$A$5:$A$504,0)),""))</f>
        <v/>
      </c>
      <c r="I1537" s="71" t="str">
        <f aca="false">IF(A1537="","",IFERROR(INDEX(السندات!$D$5:$D$504,MATCH(A1537,السندات!$A$5:$A$504,0)),""))</f>
        <v/>
      </c>
      <c r="J1537" s="72" t="str">
        <f aca="false">IF(A1537="","",IF(ISNA(MATCH(A1537,السندات!$A$5:$A$504,0)),"رقم سند غير موجود ✘",IF(AND(F1537&lt;&gt;"",G1537&lt;&gt;""),"اكتب مدين أو دائن فقط ✘",IF(AND(N(F1537)=0,N(G1537)=0),"بدون مبلغ ⚠",IF(B1537&gt;12,"يتجاوز 12 بنداً في الطباعة ⚠","")))))</f>
        <v/>
      </c>
    </row>
    <row r="1538" customFormat="false" ht="15" hidden="false" customHeight="false" outlineLevel="0" collapsed="false">
      <c r="A1538" s="58"/>
      <c r="B1538" s="73" t="str">
        <f aca="false">IF(A1538="","",COUNTIF(A$5:A1538,A1538))</f>
        <v/>
      </c>
      <c r="C1538" s="73" t="str">
        <f aca="false">IF(A1538="","",A1538&amp;"-"&amp;B1538)</f>
        <v/>
      </c>
      <c r="D1538" s="58"/>
      <c r="E1538" s="57"/>
      <c r="F1538" s="69"/>
      <c r="G1538" s="69"/>
      <c r="H1538" s="74" t="str">
        <f aca="false">IF(A1538="","",IFERROR(INDEX(السندات!$C$5:$C$504,MATCH(A1538,السندات!$A$5:$A$504,0)),""))</f>
        <v/>
      </c>
      <c r="I1538" s="75" t="str">
        <f aca="false">IF(A1538="","",IFERROR(INDEX(السندات!$D$5:$D$504,MATCH(A1538,السندات!$A$5:$A$504,0)),""))</f>
        <v/>
      </c>
      <c r="J1538" s="76" t="str">
        <f aca="false">IF(A1538="","",IF(ISNA(MATCH(A1538,السندات!$A$5:$A$504,0)),"رقم سند غير موجود ✘",IF(AND(F1538&lt;&gt;"",G1538&lt;&gt;""),"اكتب مدين أو دائن فقط ✘",IF(AND(N(F1538)=0,N(G1538)=0),"بدون مبلغ ⚠",IF(B1538&gt;12,"يتجاوز 12 بنداً في الطباعة ⚠","")))))</f>
        <v/>
      </c>
    </row>
    <row r="1539" customFormat="false" ht="15" hidden="false" customHeight="false" outlineLevel="0" collapsed="false">
      <c r="A1539" s="58"/>
      <c r="B1539" s="68" t="str">
        <f aca="false">IF(A1539="","",COUNTIF(A$5:A1539,A1539))</f>
        <v/>
      </c>
      <c r="C1539" s="68" t="str">
        <f aca="false">IF(A1539="","",A1539&amp;"-"&amp;B1539)</f>
        <v/>
      </c>
      <c r="D1539" s="58"/>
      <c r="E1539" s="57"/>
      <c r="F1539" s="69"/>
      <c r="G1539" s="69"/>
      <c r="H1539" s="70" t="str">
        <f aca="false">IF(A1539="","",IFERROR(INDEX(السندات!$C$5:$C$504,MATCH(A1539,السندات!$A$5:$A$504,0)),""))</f>
        <v/>
      </c>
      <c r="I1539" s="71" t="str">
        <f aca="false">IF(A1539="","",IFERROR(INDEX(السندات!$D$5:$D$504,MATCH(A1539,السندات!$A$5:$A$504,0)),""))</f>
        <v/>
      </c>
      <c r="J1539" s="72" t="str">
        <f aca="false">IF(A1539="","",IF(ISNA(MATCH(A1539,السندات!$A$5:$A$504,0)),"رقم سند غير موجود ✘",IF(AND(F1539&lt;&gt;"",G1539&lt;&gt;""),"اكتب مدين أو دائن فقط ✘",IF(AND(N(F1539)=0,N(G1539)=0),"بدون مبلغ ⚠",IF(B1539&gt;12,"يتجاوز 12 بنداً في الطباعة ⚠","")))))</f>
        <v/>
      </c>
    </row>
    <row r="1540" customFormat="false" ht="15" hidden="false" customHeight="false" outlineLevel="0" collapsed="false">
      <c r="A1540" s="58"/>
      <c r="B1540" s="73" t="str">
        <f aca="false">IF(A1540="","",COUNTIF(A$5:A1540,A1540))</f>
        <v/>
      </c>
      <c r="C1540" s="73" t="str">
        <f aca="false">IF(A1540="","",A1540&amp;"-"&amp;B1540)</f>
        <v/>
      </c>
      <c r="D1540" s="58"/>
      <c r="E1540" s="57"/>
      <c r="F1540" s="69"/>
      <c r="G1540" s="69"/>
      <c r="H1540" s="74" t="str">
        <f aca="false">IF(A1540="","",IFERROR(INDEX(السندات!$C$5:$C$504,MATCH(A1540,السندات!$A$5:$A$504,0)),""))</f>
        <v/>
      </c>
      <c r="I1540" s="75" t="str">
        <f aca="false">IF(A1540="","",IFERROR(INDEX(السندات!$D$5:$D$504,MATCH(A1540,السندات!$A$5:$A$504,0)),""))</f>
        <v/>
      </c>
      <c r="J1540" s="76" t="str">
        <f aca="false">IF(A1540="","",IF(ISNA(MATCH(A1540,السندات!$A$5:$A$504,0)),"رقم سند غير موجود ✘",IF(AND(F1540&lt;&gt;"",G1540&lt;&gt;""),"اكتب مدين أو دائن فقط ✘",IF(AND(N(F1540)=0,N(G1540)=0),"بدون مبلغ ⚠",IF(B1540&gt;12,"يتجاوز 12 بنداً في الطباعة ⚠","")))))</f>
        <v/>
      </c>
    </row>
    <row r="1541" customFormat="false" ht="15" hidden="false" customHeight="false" outlineLevel="0" collapsed="false">
      <c r="A1541" s="58"/>
      <c r="B1541" s="68" t="str">
        <f aca="false">IF(A1541="","",COUNTIF(A$5:A1541,A1541))</f>
        <v/>
      </c>
      <c r="C1541" s="68" t="str">
        <f aca="false">IF(A1541="","",A1541&amp;"-"&amp;B1541)</f>
        <v/>
      </c>
      <c r="D1541" s="58"/>
      <c r="E1541" s="57"/>
      <c r="F1541" s="69"/>
      <c r="G1541" s="69"/>
      <c r="H1541" s="70" t="str">
        <f aca="false">IF(A1541="","",IFERROR(INDEX(السندات!$C$5:$C$504,MATCH(A1541,السندات!$A$5:$A$504,0)),""))</f>
        <v/>
      </c>
      <c r="I1541" s="71" t="str">
        <f aca="false">IF(A1541="","",IFERROR(INDEX(السندات!$D$5:$D$504,MATCH(A1541,السندات!$A$5:$A$504,0)),""))</f>
        <v/>
      </c>
      <c r="J1541" s="72" t="str">
        <f aca="false">IF(A1541="","",IF(ISNA(MATCH(A1541,السندات!$A$5:$A$504,0)),"رقم سند غير موجود ✘",IF(AND(F1541&lt;&gt;"",G1541&lt;&gt;""),"اكتب مدين أو دائن فقط ✘",IF(AND(N(F1541)=0,N(G1541)=0),"بدون مبلغ ⚠",IF(B1541&gt;12,"يتجاوز 12 بنداً في الطباعة ⚠","")))))</f>
        <v/>
      </c>
    </row>
    <row r="1542" customFormat="false" ht="15" hidden="false" customHeight="false" outlineLevel="0" collapsed="false">
      <c r="A1542" s="58"/>
      <c r="B1542" s="73" t="str">
        <f aca="false">IF(A1542="","",COUNTIF(A$5:A1542,A1542))</f>
        <v/>
      </c>
      <c r="C1542" s="73" t="str">
        <f aca="false">IF(A1542="","",A1542&amp;"-"&amp;B1542)</f>
        <v/>
      </c>
      <c r="D1542" s="58"/>
      <c r="E1542" s="57"/>
      <c r="F1542" s="69"/>
      <c r="G1542" s="69"/>
      <c r="H1542" s="74" t="str">
        <f aca="false">IF(A1542="","",IFERROR(INDEX(السندات!$C$5:$C$504,MATCH(A1542,السندات!$A$5:$A$504,0)),""))</f>
        <v/>
      </c>
      <c r="I1542" s="75" t="str">
        <f aca="false">IF(A1542="","",IFERROR(INDEX(السندات!$D$5:$D$504,MATCH(A1542,السندات!$A$5:$A$504,0)),""))</f>
        <v/>
      </c>
      <c r="J1542" s="76" t="str">
        <f aca="false">IF(A1542="","",IF(ISNA(MATCH(A1542,السندات!$A$5:$A$504,0)),"رقم سند غير موجود ✘",IF(AND(F1542&lt;&gt;"",G1542&lt;&gt;""),"اكتب مدين أو دائن فقط ✘",IF(AND(N(F1542)=0,N(G1542)=0),"بدون مبلغ ⚠",IF(B1542&gt;12,"يتجاوز 12 بنداً في الطباعة ⚠","")))))</f>
        <v/>
      </c>
    </row>
    <row r="1543" customFormat="false" ht="15" hidden="false" customHeight="false" outlineLevel="0" collapsed="false">
      <c r="A1543" s="58"/>
      <c r="B1543" s="68" t="str">
        <f aca="false">IF(A1543="","",COUNTIF(A$5:A1543,A1543))</f>
        <v/>
      </c>
      <c r="C1543" s="68" t="str">
        <f aca="false">IF(A1543="","",A1543&amp;"-"&amp;B1543)</f>
        <v/>
      </c>
      <c r="D1543" s="58"/>
      <c r="E1543" s="57"/>
      <c r="F1543" s="69"/>
      <c r="G1543" s="69"/>
      <c r="H1543" s="70" t="str">
        <f aca="false">IF(A1543="","",IFERROR(INDEX(السندات!$C$5:$C$504,MATCH(A1543,السندات!$A$5:$A$504,0)),""))</f>
        <v/>
      </c>
      <c r="I1543" s="71" t="str">
        <f aca="false">IF(A1543="","",IFERROR(INDEX(السندات!$D$5:$D$504,MATCH(A1543,السندات!$A$5:$A$504,0)),""))</f>
        <v/>
      </c>
      <c r="J1543" s="72" t="str">
        <f aca="false">IF(A1543="","",IF(ISNA(MATCH(A1543,السندات!$A$5:$A$504,0)),"رقم سند غير موجود ✘",IF(AND(F1543&lt;&gt;"",G1543&lt;&gt;""),"اكتب مدين أو دائن فقط ✘",IF(AND(N(F1543)=0,N(G1543)=0),"بدون مبلغ ⚠",IF(B1543&gt;12,"يتجاوز 12 بنداً في الطباعة ⚠","")))))</f>
        <v/>
      </c>
    </row>
    <row r="1544" customFormat="false" ht="15" hidden="false" customHeight="false" outlineLevel="0" collapsed="false">
      <c r="A1544" s="58"/>
      <c r="B1544" s="73" t="str">
        <f aca="false">IF(A1544="","",COUNTIF(A$5:A1544,A1544))</f>
        <v/>
      </c>
      <c r="C1544" s="73" t="str">
        <f aca="false">IF(A1544="","",A1544&amp;"-"&amp;B1544)</f>
        <v/>
      </c>
      <c r="D1544" s="58"/>
      <c r="E1544" s="57"/>
      <c r="F1544" s="69"/>
      <c r="G1544" s="69"/>
      <c r="H1544" s="74" t="str">
        <f aca="false">IF(A1544="","",IFERROR(INDEX(السندات!$C$5:$C$504,MATCH(A1544,السندات!$A$5:$A$504,0)),""))</f>
        <v/>
      </c>
      <c r="I1544" s="75" t="str">
        <f aca="false">IF(A1544="","",IFERROR(INDEX(السندات!$D$5:$D$504,MATCH(A1544,السندات!$A$5:$A$504,0)),""))</f>
        <v/>
      </c>
      <c r="J1544" s="76" t="str">
        <f aca="false">IF(A1544="","",IF(ISNA(MATCH(A1544,السندات!$A$5:$A$504,0)),"رقم سند غير موجود ✘",IF(AND(F1544&lt;&gt;"",G1544&lt;&gt;""),"اكتب مدين أو دائن فقط ✘",IF(AND(N(F1544)=0,N(G1544)=0),"بدون مبلغ ⚠",IF(B1544&gt;12,"يتجاوز 12 بنداً في الطباعة ⚠","")))))</f>
        <v/>
      </c>
    </row>
    <row r="1545" customFormat="false" ht="15" hidden="false" customHeight="false" outlineLevel="0" collapsed="false">
      <c r="A1545" s="58"/>
      <c r="B1545" s="68" t="str">
        <f aca="false">IF(A1545="","",COUNTIF(A$5:A1545,A1545))</f>
        <v/>
      </c>
      <c r="C1545" s="68" t="str">
        <f aca="false">IF(A1545="","",A1545&amp;"-"&amp;B1545)</f>
        <v/>
      </c>
      <c r="D1545" s="58"/>
      <c r="E1545" s="57"/>
      <c r="F1545" s="69"/>
      <c r="G1545" s="69"/>
      <c r="H1545" s="70" t="str">
        <f aca="false">IF(A1545="","",IFERROR(INDEX(السندات!$C$5:$C$504,MATCH(A1545,السندات!$A$5:$A$504,0)),""))</f>
        <v/>
      </c>
      <c r="I1545" s="71" t="str">
        <f aca="false">IF(A1545="","",IFERROR(INDEX(السندات!$D$5:$D$504,MATCH(A1545,السندات!$A$5:$A$504,0)),""))</f>
        <v/>
      </c>
      <c r="J1545" s="72" t="str">
        <f aca="false">IF(A1545="","",IF(ISNA(MATCH(A1545,السندات!$A$5:$A$504,0)),"رقم سند غير موجود ✘",IF(AND(F1545&lt;&gt;"",G1545&lt;&gt;""),"اكتب مدين أو دائن فقط ✘",IF(AND(N(F1545)=0,N(G1545)=0),"بدون مبلغ ⚠",IF(B1545&gt;12,"يتجاوز 12 بنداً في الطباعة ⚠","")))))</f>
        <v/>
      </c>
    </row>
    <row r="1546" customFormat="false" ht="15" hidden="false" customHeight="false" outlineLevel="0" collapsed="false">
      <c r="A1546" s="58"/>
      <c r="B1546" s="73" t="str">
        <f aca="false">IF(A1546="","",COUNTIF(A$5:A1546,A1546))</f>
        <v/>
      </c>
      <c r="C1546" s="73" t="str">
        <f aca="false">IF(A1546="","",A1546&amp;"-"&amp;B1546)</f>
        <v/>
      </c>
      <c r="D1546" s="58"/>
      <c r="E1546" s="57"/>
      <c r="F1546" s="69"/>
      <c r="G1546" s="69"/>
      <c r="H1546" s="74" t="str">
        <f aca="false">IF(A1546="","",IFERROR(INDEX(السندات!$C$5:$C$504,MATCH(A1546,السندات!$A$5:$A$504,0)),""))</f>
        <v/>
      </c>
      <c r="I1546" s="75" t="str">
        <f aca="false">IF(A1546="","",IFERROR(INDEX(السندات!$D$5:$D$504,MATCH(A1546,السندات!$A$5:$A$504,0)),""))</f>
        <v/>
      </c>
      <c r="J1546" s="76" t="str">
        <f aca="false">IF(A1546="","",IF(ISNA(MATCH(A1546,السندات!$A$5:$A$504,0)),"رقم سند غير موجود ✘",IF(AND(F1546&lt;&gt;"",G1546&lt;&gt;""),"اكتب مدين أو دائن فقط ✘",IF(AND(N(F1546)=0,N(G1546)=0),"بدون مبلغ ⚠",IF(B1546&gt;12,"يتجاوز 12 بنداً في الطباعة ⚠","")))))</f>
        <v/>
      </c>
    </row>
    <row r="1547" customFormat="false" ht="15" hidden="false" customHeight="false" outlineLevel="0" collapsed="false">
      <c r="A1547" s="58"/>
      <c r="B1547" s="68" t="str">
        <f aca="false">IF(A1547="","",COUNTIF(A$5:A1547,A1547))</f>
        <v/>
      </c>
      <c r="C1547" s="68" t="str">
        <f aca="false">IF(A1547="","",A1547&amp;"-"&amp;B1547)</f>
        <v/>
      </c>
      <c r="D1547" s="58"/>
      <c r="E1547" s="57"/>
      <c r="F1547" s="69"/>
      <c r="G1547" s="69"/>
      <c r="H1547" s="70" t="str">
        <f aca="false">IF(A1547="","",IFERROR(INDEX(السندات!$C$5:$C$504,MATCH(A1547,السندات!$A$5:$A$504,0)),""))</f>
        <v/>
      </c>
      <c r="I1547" s="71" t="str">
        <f aca="false">IF(A1547="","",IFERROR(INDEX(السندات!$D$5:$D$504,MATCH(A1547,السندات!$A$5:$A$504,0)),""))</f>
        <v/>
      </c>
      <c r="J1547" s="72" t="str">
        <f aca="false">IF(A1547="","",IF(ISNA(MATCH(A1547,السندات!$A$5:$A$504,0)),"رقم سند غير موجود ✘",IF(AND(F1547&lt;&gt;"",G1547&lt;&gt;""),"اكتب مدين أو دائن فقط ✘",IF(AND(N(F1547)=0,N(G1547)=0),"بدون مبلغ ⚠",IF(B1547&gt;12,"يتجاوز 12 بنداً في الطباعة ⚠","")))))</f>
        <v/>
      </c>
    </row>
    <row r="1548" customFormat="false" ht="15" hidden="false" customHeight="false" outlineLevel="0" collapsed="false">
      <c r="A1548" s="58"/>
      <c r="B1548" s="73" t="str">
        <f aca="false">IF(A1548="","",COUNTIF(A$5:A1548,A1548))</f>
        <v/>
      </c>
      <c r="C1548" s="73" t="str">
        <f aca="false">IF(A1548="","",A1548&amp;"-"&amp;B1548)</f>
        <v/>
      </c>
      <c r="D1548" s="58"/>
      <c r="E1548" s="57"/>
      <c r="F1548" s="69"/>
      <c r="G1548" s="69"/>
      <c r="H1548" s="74" t="str">
        <f aca="false">IF(A1548="","",IFERROR(INDEX(السندات!$C$5:$C$504,MATCH(A1548,السندات!$A$5:$A$504,0)),""))</f>
        <v/>
      </c>
      <c r="I1548" s="75" t="str">
        <f aca="false">IF(A1548="","",IFERROR(INDEX(السندات!$D$5:$D$504,MATCH(A1548,السندات!$A$5:$A$504,0)),""))</f>
        <v/>
      </c>
      <c r="J1548" s="76" t="str">
        <f aca="false">IF(A1548="","",IF(ISNA(MATCH(A1548,السندات!$A$5:$A$504,0)),"رقم سند غير موجود ✘",IF(AND(F1548&lt;&gt;"",G1548&lt;&gt;""),"اكتب مدين أو دائن فقط ✘",IF(AND(N(F1548)=0,N(G1548)=0),"بدون مبلغ ⚠",IF(B1548&gt;12,"يتجاوز 12 بنداً في الطباعة ⚠","")))))</f>
        <v/>
      </c>
    </row>
    <row r="1549" customFormat="false" ht="15" hidden="false" customHeight="false" outlineLevel="0" collapsed="false">
      <c r="A1549" s="58"/>
      <c r="B1549" s="68" t="str">
        <f aca="false">IF(A1549="","",COUNTIF(A$5:A1549,A1549))</f>
        <v/>
      </c>
      <c r="C1549" s="68" t="str">
        <f aca="false">IF(A1549="","",A1549&amp;"-"&amp;B1549)</f>
        <v/>
      </c>
      <c r="D1549" s="58"/>
      <c r="E1549" s="57"/>
      <c r="F1549" s="69"/>
      <c r="G1549" s="69"/>
      <c r="H1549" s="70" t="str">
        <f aca="false">IF(A1549="","",IFERROR(INDEX(السندات!$C$5:$C$504,MATCH(A1549,السندات!$A$5:$A$504,0)),""))</f>
        <v/>
      </c>
      <c r="I1549" s="71" t="str">
        <f aca="false">IF(A1549="","",IFERROR(INDEX(السندات!$D$5:$D$504,MATCH(A1549,السندات!$A$5:$A$504,0)),""))</f>
        <v/>
      </c>
      <c r="J1549" s="72" t="str">
        <f aca="false">IF(A1549="","",IF(ISNA(MATCH(A1549,السندات!$A$5:$A$504,0)),"رقم سند غير موجود ✘",IF(AND(F1549&lt;&gt;"",G1549&lt;&gt;""),"اكتب مدين أو دائن فقط ✘",IF(AND(N(F1549)=0,N(G1549)=0),"بدون مبلغ ⚠",IF(B1549&gt;12,"يتجاوز 12 بنداً في الطباعة ⚠","")))))</f>
        <v/>
      </c>
    </row>
    <row r="1550" customFormat="false" ht="15" hidden="false" customHeight="false" outlineLevel="0" collapsed="false">
      <c r="A1550" s="58"/>
      <c r="B1550" s="73" t="str">
        <f aca="false">IF(A1550="","",COUNTIF(A$5:A1550,A1550))</f>
        <v/>
      </c>
      <c r="C1550" s="73" t="str">
        <f aca="false">IF(A1550="","",A1550&amp;"-"&amp;B1550)</f>
        <v/>
      </c>
      <c r="D1550" s="58"/>
      <c r="E1550" s="57"/>
      <c r="F1550" s="69"/>
      <c r="G1550" s="69"/>
      <c r="H1550" s="74" t="str">
        <f aca="false">IF(A1550="","",IFERROR(INDEX(السندات!$C$5:$C$504,MATCH(A1550,السندات!$A$5:$A$504,0)),""))</f>
        <v/>
      </c>
      <c r="I1550" s="75" t="str">
        <f aca="false">IF(A1550="","",IFERROR(INDEX(السندات!$D$5:$D$504,MATCH(A1550,السندات!$A$5:$A$504,0)),""))</f>
        <v/>
      </c>
      <c r="J1550" s="76" t="str">
        <f aca="false">IF(A1550="","",IF(ISNA(MATCH(A1550,السندات!$A$5:$A$504,0)),"رقم سند غير موجود ✘",IF(AND(F1550&lt;&gt;"",G1550&lt;&gt;""),"اكتب مدين أو دائن فقط ✘",IF(AND(N(F1550)=0,N(G1550)=0),"بدون مبلغ ⚠",IF(B1550&gt;12,"يتجاوز 12 بنداً في الطباعة ⚠","")))))</f>
        <v/>
      </c>
    </row>
    <row r="1551" customFormat="false" ht="15" hidden="false" customHeight="false" outlineLevel="0" collapsed="false">
      <c r="A1551" s="58"/>
      <c r="B1551" s="68" t="str">
        <f aca="false">IF(A1551="","",COUNTIF(A$5:A1551,A1551))</f>
        <v/>
      </c>
      <c r="C1551" s="68" t="str">
        <f aca="false">IF(A1551="","",A1551&amp;"-"&amp;B1551)</f>
        <v/>
      </c>
      <c r="D1551" s="58"/>
      <c r="E1551" s="57"/>
      <c r="F1551" s="69"/>
      <c r="G1551" s="69"/>
      <c r="H1551" s="70" t="str">
        <f aca="false">IF(A1551="","",IFERROR(INDEX(السندات!$C$5:$C$504,MATCH(A1551,السندات!$A$5:$A$504,0)),""))</f>
        <v/>
      </c>
      <c r="I1551" s="71" t="str">
        <f aca="false">IF(A1551="","",IFERROR(INDEX(السندات!$D$5:$D$504,MATCH(A1551,السندات!$A$5:$A$504,0)),""))</f>
        <v/>
      </c>
      <c r="J1551" s="72" t="str">
        <f aca="false">IF(A1551="","",IF(ISNA(MATCH(A1551,السندات!$A$5:$A$504,0)),"رقم سند غير موجود ✘",IF(AND(F1551&lt;&gt;"",G1551&lt;&gt;""),"اكتب مدين أو دائن فقط ✘",IF(AND(N(F1551)=0,N(G1551)=0),"بدون مبلغ ⚠",IF(B1551&gt;12,"يتجاوز 12 بنداً في الطباعة ⚠","")))))</f>
        <v/>
      </c>
    </row>
    <row r="1552" customFormat="false" ht="15" hidden="false" customHeight="false" outlineLevel="0" collapsed="false">
      <c r="A1552" s="58"/>
      <c r="B1552" s="73" t="str">
        <f aca="false">IF(A1552="","",COUNTIF(A$5:A1552,A1552))</f>
        <v/>
      </c>
      <c r="C1552" s="73" t="str">
        <f aca="false">IF(A1552="","",A1552&amp;"-"&amp;B1552)</f>
        <v/>
      </c>
      <c r="D1552" s="58"/>
      <c r="E1552" s="57"/>
      <c r="F1552" s="69"/>
      <c r="G1552" s="69"/>
      <c r="H1552" s="74" t="str">
        <f aca="false">IF(A1552="","",IFERROR(INDEX(السندات!$C$5:$C$504,MATCH(A1552,السندات!$A$5:$A$504,0)),""))</f>
        <v/>
      </c>
      <c r="I1552" s="75" t="str">
        <f aca="false">IF(A1552="","",IFERROR(INDEX(السندات!$D$5:$D$504,MATCH(A1552,السندات!$A$5:$A$504,0)),""))</f>
        <v/>
      </c>
      <c r="J1552" s="76" t="str">
        <f aca="false">IF(A1552="","",IF(ISNA(MATCH(A1552,السندات!$A$5:$A$504,0)),"رقم سند غير موجود ✘",IF(AND(F1552&lt;&gt;"",G1552&lt;&gt;""),"اكتب مدين أو دائن فقط ✘",IF(AND(N(F1552)=0,N(G1552)=0),"بدون مبلغ ⚠",IF(B1552&gt;12,"يتجاوز 12 بنداً في الطباعة ⚠","")))))</f>
        <v/>
      </c>
    </row>
    <row r="1553" customFormat="false" ht="15" hidden="false" customHeight="false" outlineLevel="0" collapsed="false">
      <c r="A1553" s="58"/>
      <c r="B1553" s="68" t="str">
        <f aca="false">IF(A1553="","",COUNTIF(A$5:A1553,A1553))</f>
        <v/>
      </c>
      <c r="C1553" s="68" t="str">
        <f aca="false">IF(A1553="","",A1553&amp;"-"&amp;B1553)</f>
        <v/>
      </c>
      <c r="D1553" s="58"/>
      <c r="E1553" s="57"/>
      <c r="F1553" s="69"/>
      <c r="G1553" s="69"/>
      <c r="H1553" s="70" t="str">
        <f aca="false">IF(A1553="","",IFERROR(INDEX(السندات!$C$5:$C$504,MATCH(A1553,السندات!$A$5:$A$504,0)),""))</f>
        <v/>
      </c>
      <c r="I1553" s="71" t="str">
        <f aca="false">IF(A1553="","",IFERROR(INDEX(السندات!$D$5:$D$504,MATCH(A1553,السندات!$A$5:$A$504,0)),""))</f>
        <v/>
      </c>
      <c r="J1553" s="72" t="str">
        <f aca="false">IF(A1553="","",IF(ISNA(MATCH(A1553,السندات!$A$5:$A$504,0)),"رقم سند غير موجود ✘",IF(AND(F1553&lt;&gt;"",G1553&lt;&gt;""),"اكتب مدين أو دائن فقط ✘",IF(AND(N(F1553)=0,N(G1553)=0),"بدون مبلغ ⚠",IF(B1553&gt;12,"يتجاوز 12 بنداً في الطباعة ⚠","")))))</f>
        <v/>
      </c>
    </row>
    <row r="1554" customFormat="false" ht="15" hidden="false" customHeight="false" outlineLevel="0" collapsed="false">
      <c r="A1554" s="58"/>
      <c r="B1554" s="73" t="str">
        <f aca="false">IF(A1554="","",COUNTIF(A$5:A1554,A1554))</f>
        <v/>
      </c>
      <c r="C1554" s="73" t="str">
        <f aca="false">IF(A1554="","",A1554&amp;"-"&amp;B1554)</f>
        <v/>
      </c>
      <c r="D1554" s="58"/>
      <c r="E1554" s="57"/>
      <c r="F1554" s="69"/>
      <c r="G1554" s="69"/>
      <c r="H1554" s="74" t="str">
        <f aca="false">IF(A1554="","",IFERROR(INDEX(السندات!$C$5:$C$504,MATCH(A1554,السندات!$A$5:$A$504,0)),""))</f>
        <v/>
      </c>
      <c r="I1554" s="75" t="str">
        <f aca="false">IF(A1554="","",IFERROR(INDEX(السندات!$D$5:$D$504,MATCH(A1554,السندات!$A$5:$A$504,0)),""))</f>
        <v/>
      </c>
      <c r="J1554" s="76" t="str">
        <f aca="false">IF(A1554="","",IF(ISNA(MATCH(A1554,السندات!$A$5:$A$504,0)),"رقم سند غير موجود ✘",IF(AND(F1554&lt;&gt;"",G1554&lt;&gt;""),"اكتب مدين أو دائن فقط ✘",IF(AND(N(F1554)=0,N(G1554)=0),"بدون مبلغ ⚠",IF(B1554&gt;12,"يتجاوز 12 بنداً في الطباعة ⚠","")))))</f>
        <v/>
      </c>
    </row>
    <row r="1555" customFormat="false" ht="15" hidden="false" customHeight="false" outlineLevel="0" collapsed="false">
      <c r="A1555" s="58"/>
      <c r="B1555" s="68" t="str">
        <f aca="false">IF(A1555="","",COUNTIF(A$5:A1555,A1555))</f>
        <v/>
      </c>
      <c r="C1555" s="68" t="str">
        <f aca="false">IF(A1555="","",A1555&amp;"-"&amp;B1555)</f>
        <v/>
      </c>
      <c r="D1555" s="58"/>
      <c r="E1555" s="57"/>
      <c r="F1555" s="69"/>
      <c r="G1555" s="69"/>
      <c r="H1555" s="70" t="str">
        <f aca="false">IF(A1555="","",IFERROR(INDEX(السندات!$C$5:$C$504,MATCH(A1555,السندات!$A$5:$A$504,0)),""))</f>
        <v/>
      </c>
      <c r="I1555" s="71" t="str">
        <f aca="false">IF(A1555="","",IFERROR(INDEX(السندات!$D$5:$D$504,MATCH(A1555,السندات!$A$5:$A$504,0)),""))</f>
        <v/>
      </c>
      <c r="J1555" s="72" t="str">
        <f aca="false">IF(A1555="","",IF(ISNA(MATCH(A1555,السندات!$A$5:$A$504,0)),"رقم سند غير موجود ✘",IF(AND(F1555&lt;&gt;"",G1555&lt;&gt;""),"اكتب مدين أو دائن فقط ✘",IF(AND(N(F1555)=0,N(G1555)=0),"بدون مبلغ ⚠",IF(B1555&gt;12,"يتجاوز 12 بنداً في الطباعة ⚠","")))))</f>
        <v/>
      </c>
    </row>
    <row r="1556" customFormat="false" ht="15" hidden="false" customHeight="false" outlineLevel="0" collapsed="false">
      <c r="A1556" s="58"/>
      <c r="B1556" s="73" t="str">
        <f aca="false">IF(A1556="","",COUNTIF(A$5:A1556,A1556))</f>
        <v/>
      </c>
      <c r="C1556" s="73" t="str">
        <f aca="false">IF(A1556="","",A1556&amp;"-"&amp;B1556)</f>
        <v/>
      </c>
      <c r="D1556" s="58"/>
      <c r="E1556" s="57"/>
      <c r="F1556" s="69"/>
      <c r="G1556" s="69"/>
      <c r="H1556" s="74" t="str">
        <f aca="false">IF(A1556="","",IFERROR(INDEX(السندات!$C$5:$C$504,MATCH(A1556,السندات!$A$5:$A$504,0)),""))</f>
        <v/>
      </c>
      <c r="I1556" s="75" t="str">
        <f aca="false">IF(A1556="","",IFERROR(INDEX(السندات!$D$5:$D$504,MATCH(A1556,السندات!$A$5:$A$504,0)),""))</f>
        <v/>
      </c>
      <c r="J1556" s="76" t="str">
        <f aca="false">IF(A1556="","",IF(ISNA(MATCH(A1556,السندات!$A$5:$A$504,0)),"رقم سند غير موجود ✘",IF(AND(F1556&lt;&gt;"",G1556&lt;&gt;""),"اكتب مدين أو دائن فقط ✘",IF(AND(N(F1556)=0,N(G1556)=0),"بدون مبلغ ⚠",IF(B1556&gt;12,"يتجاوز 12 بنداً في الطباعة ⚠","")))))</f>
        <v/>
      </c>
    </row>
    <row r="1557" customFormat="false" ht="15" hidden="false" customHeight="false" outlineLevel="0" collapsed="false">
      <c r="A1557" s="58"/>
      <c r="B1557" s="68" t="str">
        <f aca="false">IF(A1557="","",COUNTIF(A$5:A1557,A1557))</f>
        <v/>
      </c>
      <c r="C1557" s="68" t="str">
        <f aca="false">IF(A1557="","",A1557&amp;"-"&amp;B1557)</f>
        <v/>
      </c>
      <c r="D1557" s="58"/>
      <c r="E1557" s="57"/>
      <c r="F1557" s="69"/>
      <c r="G1557" s="69"/>
      <c r="H1557" s="70" t="str">
        <f aca="false">IF(A1557="","",IFERROR(INDEX(السندات!$C$5:$C$504,MATCH(A1557,السندات!$A$5:$A$504,0)),""))</f>
        <v/>
      </c>
      <c r="I1557" s="71" t="str">
        <f aca="false">IF(A1557="","",IFERROR(INDEX(السندات!$D$5:$D$504,MATCH(A1557,السندات!$A$5:$A$504,0)),""))</f>
        <v/>
      </c>
      <c r="J1557" s="72" t="str">
        <f aca="false">IF(A1557="","",IF(ISNA(MATCH(A1557,السندات!$A$5:$A$504,0)),"رقم سند غير موجود ✘",IF(AND(F1557&lt;&gt;"",G1557&lt;&gt;""),"اكتب مدين أو دائن فقط ✘",IF(AND(N(F1557)=0,N(G1557)=0),"بدون مبلغ ⚠",IF(B1557&gt;12,"يتجاوز 12 بنداً في الطباعة ⚠","")))))</f>
        <v/>
      </c>
    </row>
    <row r="1558" customFormat="false" ht="15" hidden="false" customHeight="false" outlineLevel="0" collapsed="false">
      <c r="A1558" s="58"/>
      <c r="B1558" s="73" t="str">
        <f aca="false">IF(A1558="","",COUNTIF(A$5:A1558,A1558))</f>
        <v/>
      </c>
      <c r="C1558" s="73" t="str">
        <f aca="false">IF(A1558="","",A1558&amp;"-"&amp;B1558)</f>
        <v/>
      </c>
      <c r="D1558" s="58"/>
      <c r="E1558" s="57"/>
      <c r="F1558" s="69"/>
      <c r="G1558" s="69"/>
      <c r="H1558" s="74" t="str">
        <f aca="false">IF(A1558="","",IFERROR(INDEX(السندات!$C$5:$C$504,MATCH(A1558,السندات!$A$5:$A$504,0)),""))</f>
        <v/>
      </c>
      <c r="I1558" s="75" t="str">
        <f aca="false">IF(A1558="","",IFERROR(INDEX(السندات!$D$5:$D$504,MATCH(A1558,السندات!$A$5:$A$504,0)),""))</f>
        <v/>
      </c>
      <c r="J1558" s="76" t="str">
        <f aca="false">IF(A1558="","",IF(ISNA(MATCH(A1558,السندات!$A$5:$A$504,0)),"رقم سند غير موجود ✘",IF(AND(F1558&lt;&gt;"",G1558&lt;&gt;""),"اكتب مدين أو دائن فقط ✘",IF(AND(N(F1558)=0,N(G1558)=0),"بدون مبلغ ⚠",IF(B1558&gt;12,"يتجاوز 12 بنداً في الطباعة ⚠","")))))</f>
        <v/>
      </c>
    </row>
    <row r="1559" customFormat="false" ht="15" hidden="false" customHeight="false" outlineLevel="0" collapsed="false">
      <c r="A1559" s="58"/>
      <c r="B1559" s="68" t="str">
        <f aca="false">IF(A1559="","",COUNTIF(A$5:A1559,A1559))</f>
        <v/>
      </c>
      <c r="C1559" s="68" t="str">
        <f aca="false">IF(A1559="","",A1559&amp;"-"&amp;B1559)</f>
        <v/>
      </c>
      <c r="D1559" s="58"/>
      <c r="E1559" s="57"/>
      <c r="F1559" s="69"/>
      <c r="G1559" s="69"/>
      <c r="H1559" s="70" t="str">
        <f aca="false">IF(A1559="","",IFERROR(INDEX(السندات!$C$5:$C$504,MATCH(A1559,السندات!$A$5:$A$504,0)),""))</f>
        <v/>
      </c>
      <c r="I1559" s="71" t="str">
        <f aca="false">IF(A1559="","",IFERROR(INDEX(السندات!$D$5:$D$504,MATCH(A1559,السندات!$A$5:$A$504,0)),""))</f>
        <v/>
      </c>
      <c r="J1559" s="72" t="str">
        <f aca="false">IF(A1559="","",IF(ISNA(MATCH(A1559,السندات!$A$5:$A$504,0)),"رقم سند غير موجود ✘",IF(AND(F1559&lt;&gt;"",G1559&lt;&gt;""),"اكتب مدين أو دائن فقط ✘",IF(AND(N(F1559)=0,N(G1559)=0),"بدون مبلغ ⚠",IF(B1559&gt;12,"يتجاوز 12 بنداً في الطباعة ⚠","")))))</f>
        <v/>
      </c>
    </row>
    <row r="1560" customFormat="false" ht="15" hidden="false" customHeight="false" outlineLevel="0" collapsed="false">
      <c r="A1560" s="58"/>
      <c r="B1560" s="73" t="str">
        <f aca="false">IF(A1560="","",COUNTIF(A$5:A1560,A1560))</f>
        <v/>
      </c>
      <c r="C1560" s="73" t="str">
        <f aca="false">IF(A1560="","",A1560&amp;"-"&amp;B1560)</f>
        <v/>
      </c>
      <c r="D1560" s="58"/>
      <c r="E1560" s="57"/>
      <c r="F1560" s="69"/>
      <c r="G1560" s="69"/>
      <c r="H1560" s="74" t="str">
        <f aca="false">IF(A1560="","",IFERROR(INDEX(السندات!$C$5:$C$504,MATCH(A1560,السندات!$A$5:$A$504,0)),""))</f>
        <v/>
      </c>
      <c r="I1560" s="75" t="str">
        <f aca="false">IF(A1560="","",IFERROR(INDEX(السندات!$D$5:$D$504,MATCH(A1560,السندات!$A$5:$A$504,0)),""))</f>
        <v/>
      </c>
      <c r="J1560" s="76" t="str">
        <f aca="false">IF(A1560="","",IF(ISNA(MATCH(A1560,السندات!$A$5:$A$504,0)),"رقم سند غير موجود ✘",IF(AND(F1560&lt;&gt;"",G1560&lt;&gt;""),"اكتب مدين أو دائن فقط ✘",IF(AND(N(F1560)=0,N(G1560)=0),"بدون مبلغ ⚠",IF(B1560&gt;12,"يتجاوز 12 بنداً في الطباعة ⚠","")))))</f>
        <v/>
      </c>
    </row>
    <row r="1561" customFormat="false" ht="15" hidden="false" customHeight="false" outlineLevel="0" collapsed="false">
      <c r="A1561" s="58"/>
      <c r="B1561" s="68" t="str">
        <f aca="false">IF(A1561="","",COUNTIF(A$5:A1561,A1561))</f>
        <v/>
      </c>
      <c r="C1561" s="68" t="str">
        <f aca="false">IF(A1561="","",A1561&amp;"-"&amp;B1561)</f>
        <v/>
      </c>
      <c r="D1561" s="58"/>
      <c r="E1561" s="57"/>
      <c r="F1561" s="69"/>
      <c r="G1561" s="69"/>
      <c r="H1561" s="70" t="str">
        <f aca="false">IF(A1561="","",IFERROR(INDEX(السندات!$C$5:$C$504,MATCH(A1561,السندات!$A$5:$A$504,0)),""))</f>
        <v/>
      </c>
      <c r="I1561" s="71" t="str">
        <f aca="false">IF(A1561="","",IFERROR(INDEX(السندات!$D$5:$D$504,MATCH(A1561,السندات!$A$5:$A$504,0)),""))</f>
        <v/>
      </c>
      <c r="J1561" s="72" t="str">
        <f aca="false">IF(A1561="","",IF(ISNA(MATCH(A1561,السندات!$A$5:$A$504,0)),"رقم سند غير موجود ✘",IF(AND(F1561&lt;&gt;"",G1561&lt;&gt;""),"اكتب مدين أو دائن فقط ✘",IF(AND(N(F1561)=0,N(G1561)=0),"بدون مبلغ ⚠",IF(B1561&gt;12,"يتجاوز 12 بنداً في الطباعة ⚠","")))))</f>
        <v/>
      </c>
    </row>
    <row r="1562" customFormat="false" ht="15" hidden="false" customHeight="false" outlineLevel="0" collapsed="false">
      <c r="A1562" s="58"/>
      <c r="B1562" s="73" t="str">
        <f aca="false">IF(A1562="","",COUNTIF(A$5:A1562,A1562))</f>
        <v/>
      </c>
      <c r="C1562" s="73" t="str">
        <f aca="false">IF(A1562="","",A1562&amp;"-"&amp;B1562)</f>
        <v/>
      </c>
      <c r="D1562" s="58"/>
      <c r="E1562" s="57"/>
      <c r="F1562" s="69"/>
      <c r="G1562" s="69"/>
      <c r="H1562" s="74" t="str">
        <f aca="false">IF(A1562="","",IFERROR(INDEX(السندات!$C$5:$C$504,MATCH(A1562,السندات!$A$5:$A$504,0)),""))</f>
        <v/>
      </c>
      <c r="I1562" s="75" t="str">
        <f aca="false">IF(A1562="","",IFERROR(INDEX(السندات!$D$5:$D$504,MATCH(A1562,السندات!$A$5:$A$504,0)),""))</f>
        <v/>
      </c>
      <c r="J1562" s="76" t="str">
        <f aca="false">IF(A1562="","",IF(ISNA(MATCH(A1562,السندات!$A$5:$A$504,0)),"رقم سند غير موجود ✘",IF(AND(F1562&lt;&gt;"",G1562&lt;&gt;""),"اكتب مدين أو دائن فقط ✘",IF(AND(N(F1562)=0,N(G1562)=0),"بدون مبلغ ⚠",IF(B1562&gt;12,"يتجاوز 12 بنداً في الطباعة ⚠","")))))</f>
        <v/>
      </c>
    </row>
    <row r="1563" customFormat="false" ht="15" hidden="false" customHeight="false" outlineLevel="0" collapsed="false">
      <c r="A1563" s="58"/>
      <c r="B1563" s="68" t="str">
        <f aca="false">IF(A1563="","",COUNTIF(A$5:A1563,A1563))</f>
        <v/>
      </c>
      <c r="C1563" s="68" t="str">
        <f aca="false">IF(A1563="","",A1563&amp;"-"&amp;B1563)</f>
        <v/>
      </c>
      <c r="D1563" s="58"/>
      <c r="E1563" s="57"/>
      <c r="F1563" s="69"/>
      <c r="G1563" s="69"/>
      <c r="H1563" s="70" t="str">
        <f aca="false">IF(A1563="","",IFERROR(INDEX(السندات!$C$5:$C$504,MATCH(A1563,السندات!$A$5:$A$504,0)),""))</f>
        <v/>
      </c>
      <c r="I1563" s="71" t="str">
        <f aca="false">IF(A1563="","",IFERROR(INDEX(السندات!$D$5:$D$504,MATCH(A1563,السندات!$A$5:$A$504,0)),""))</f>
        <v/>
      </c>
      <c r="J1563" s="72" t="str">
        <f aca="false">IF(A1563="","",IF(ISNA(MATCH(A1563,السندات!$A$5:$A$504,0)),"رقم سند غير موجود ✘",IF(AND(F1563&lt;&gt;"",G1563&lt;&gt;""),"اكتب مدين أو دائن فقط ✘",IF(AND(N(F1563)=0,N(G1563)=0),"بدون مبلغ ⚠",IF(B1563&gt;12,"يتجاوز 12 بنداً في الطباعة ⚠","")))))</f>
        <v/>
      </c>
    </row>
    <row r="1564" customFormat="false" ht="15" hidden="false" customHeight="false" outlineLevel="0" collapsed="false">
      <c r="A1564" s="58"/>
      <c r="B1564" s="73" t="str">
        <f aca="false">IF(A1564="","",COUNTIF(A$5:A1564,A1564))</f>
        <v/>
      </c>
      <c r="C1564" s="73" t="str">
        <f aca="false">IF(A1564="","",A1564&amp;"-"&amp;B1564)</f>
        <v/>
      </c>
      <c r="D1564" s="58"/>
      <c r="E1564" s="57"/>
      <c r="F1564" s="69"/>
      <c r="G1564" s="69"/>
      <c r="H1564" s="74" t="str">
        <f aca="false">IF(A1564="","",IFERROR(INDEX(السندات!$C$5:$C$504,MATCH(A1564,السندات!$A$5:$A$504,0)),""))</f>
        <v/>
      </c>
      <c r="I1564" s="75" t="str">
        <f aca="false">IF(A1564="","",IFERROR(INDEX(السندات!$D$5:$D$504,MATCH(A1564,السندات!$A$5:$A$504,0)),""))</f>
        <v/>
      </c>
      <c r="J1564" s="76" t="str">
        <f aca="false">IF(A1564="","",IF(ISNA(MATCH(A1564,السندات!$A$5:$A$504,0)),"رقم سند غير موجود ✘",IF(AND(F1564&lt;&gt;"",G1564&lt;&gt;""),"اكتب مدين أو دائن فقط ✘",IF(AND(N(F1564)=0,N(G1564)=0),"بدون مبلغ ⚠",IF(B1564&gt;12,"يتجاوز 12 بنداً في الطباعة ⚠","")))))</f>
        <v/>
      </c>
    </row>
    <row r="1565" customFormat="false" ht="15" hidden="false" customHeight="false" outlineLevel="0" collapsed="false">
      <c r="A1565" s="58"/>
      <c r="B1565" s="68" t="str">
        <f aca="false">IF(A1565="","",COUNTIF(A$5:A1565,A1565))</f>
        <v/>
      </c>
      <c r="C1565" s="68" t="str">
        <f aca="false">IF(A1565="","",A1565&amp;"-"&amp;B1565)</f>
        <v/>
      </c>
      <c r="D1565" s="58"/>
      <c r="E1565" s="57"/>
      <c r="F1565" s="69"/>
      <c r="G1565" s="69"/>
      <c r="H1565" s="70" t="str">
        <f aca="false">IF(A1565="","",IFERROR(INDEX(السندات!$C$5:$C$504,MATCH(A1565,السندات!$A$5:$A$504,0)),""))</f>
        <v/>
      </c>
      <c r="I1565" s="71" t="str">
        <f aca="false">IF(A1565="","",IFERROR(INDEX(السندات!$D$5:$D$504,MATCH(A1565,السندات!$A$5:$A$504,0)),""))</f>
        <v/>
      </c>
      <c r="J1565" s="72" t="str">
        <f aca="false">IF(A1565="","",IF(ISNA(MATCH(A1565,السندات!$A$5:$A$504,0)),"رقم سند غير موجود ✘",IF(AND(F1565&lt;&gt;"",G1565&lt;&gt;""),"اكتب مدين أو دائن فقط ✘",IF(AND(N(F1565)=0,N(G1565)=0),"بدون مبلغ ⚠",IF(B1565&gt;12,"يتجاوز 12 بنداً في الطباعة ⚠","")))))</f>
        <v/>
      </c>
    </row>
    <row r="1566" customFormat="false" ht="15" hidden="false" customHeight="false" outlineLevel="0" collapsed="false">
      <c r="A1566" s="58"/>
      <c r="B1566" s="73" t="str">
        <f aca="false">IF(A1566="","",COUNTIF(A$5:A1566,A1566))</f>
        <v/>
      </c>
      <c r="C1566" s="73" t="str">
        <f aca="false">IF(A1566="","",A1566&amp;"-"&amp;B1566)</f>
        <v/>
      </c>
      <c r="D1566" s="58"/>
      <c r="E1566" s="57"/>
      <c r="F1566" s="69"/>
      <c r="G1566" s="69"/>
      <c r="H1566" s="74" t="str">
        <f aca="false">IF(A1566="","",IFERROR(INDEX(السندات!$C$5:$C$504,MATCH(A1566,السندات!$A$5:$A$504,0)),""))</f>
        <v/>
      </c>
      <c r="I1566" s="75" t="str">
        <f aca="false">IF(A1566="","",IFERROR(INDEX(السندات!$D$5:$D$504,MATCH(A1566,السندات!$A$5:$A$504,0)),""))</f>
        <v/>
      </c>
      <c r="J1566" s="76" t="str">
        <f aca="false">IF(A1566="","",IF(ISNA(MATCH(A1566,السندات!$A$5:$A$504,0)),"رقم سند غير موجود ✘",IF(AND(F1566&lt;&gt;"",G1566&lt;&gt;""),"اكتب مدين أو دائن فقط ✘",IF(AND(N(F1566)=0,N(G1566)=0),"بدون مبلغ ⚠",IF(B1566&gt;12,"يتجاوز 12 بنداً في الطباعة ⚠","")))))</f>
        <v/>
      </c>
    </row>
    <row r="1567" customFormat="false" ht="15" hidden="false" customHeight="false" outlineLevel="0" collapsed="false">
      <c r="A1567" s="58"/>
      <c r="B1567" s="68" t="str">
        <f aca="false">IF(A1567="","",COUNTIF(A$5:A1567,A1567))</f>
        <v/>
      </c>
      <c r="C1567" s="68" t="str">
        <f aca="false">IF(A1567="","",A1567&amp;"-"&amp;B1567)</f>
        <v/>
      </c>
      <c r="D1567" s="58"/>
      <c r="E1567" s="57"/>
      <c r="F1567" s="69"/>
      <c r="G1567" s="69"/>
      <c r="H1567" s="70" t="str">
        <f aca="false">IF(A1567="","",IFERROR(INDEX(السندات!$C$5:$C$504,MATCH(A1567,السندات!$A$5:$A$504,0)),""))</f>
        <v/>
      </c>
      <c r="I1567" s="71" t="str">
        <f aca="false">IF(A1567="","",IFERROR(INDEX(السندات!$D$5:$D$504,MATCH(A1567,السندات!$A$5:$A$504,0)),""))</f>
        <v/>
      </c>
      <c r="J1567" s="72" t="str">
        <f aca="false">IF(A1567="","",IF(ISNA(MATCH(A1567,السندات!$A$5:$A$504,0)),"رقم سند غير موجود ✘",IF(AND(F1567&lt;&gt;"",G1567&lt;&gt;""),"اكتب مدين أو دائن فقط ✘",IF(AND(N(F1567)=0,N(G1567)=0),"بدون مبلغ ⚠",IF(B1567&gt;12,"يتجاوز 12 بنداً في الطباعة ⚠","")))))</f>
        <v/>
      </c>
    </row>
    <row r="1568" customFormat="false" ht="15" hidden="false" customHeight="false" outlineLevel="0" collapsed="false">
      <c r="A1568" s="58"/>
      <c r="B1568" s="73" t="str">
        <f aca="false">IF(A1568="","",COUNTIF(A$5:A1568,A1568))</f>
        <v/>
      </c>
      <c r="C1568" s="73" t="str">
        <f aca="false">IF(A1568="","",A1568&amp;"-"&amp;B1568)</f>
        <v/>
      </c>
      <c r="D1568" s="58"/>
      <c r="E1568" s="57"/>
      <c r="F1568" s="69"/>
      <c r="G1568" s="69"/>
      <c r="H1568" s="74" t="str">
        <f aca="false">IF(A1568="","",IFERROR(INDEX(السندات!$C$5:$C$504,MATCH(A1568,السندات!$A$5:$A$504,0)),""))</f>
        <v/>
      </c>
      <c r="I1568" s="75" t="str">
        <f aca="false">IF(A1568="","",IFERROR(INDEX(السندات!$D$5:$D$504,MATCH(A1568,السندات!$A$5:$A$504,0)),""))</f>
        <v/>
      </c>
      <c r="J1568" s="76" t="str">
        <f aca="false">IF(A1568="","",IF(ISNA(MATCH(A1568,السندات!$A$5:$A$504,0)),"رقم سند غير موجود ✘",IF(AND(F1568&lt;&gt;"",G1568&lt;&gt;""),"اكتب مدين أو دائن فقط ✘",IF(AND(N(F1568)=0,N(G1568)=0),"بدون مبلغ ⚠",IF(B1568&gt;12,"يتجاوز 12 بنداً في الطباعة ⚠","")))))</f>
        <v/>
      </c>
    </row>
    <row r="1569" customFormat="false" ht="15" hidden="false" customHeight="false" outlineLevel="0" collapsed="false">
      <c r="A1569" s="58"/>
      <c r="B1569" s="68" t="str">
        <f aca="false">IF(A1569="","",COUNTIF(A$5:A1569,A1569))</f>
        <v/>
      </c>
      <c r="C1569" s="68" t="str">
        <f aca="false">IF(A1569="","",A1569&amp;"-"&amp;B1569)</f>
        <v/>
      </c>
      <c r="D1569" s="58"/>
      <c r="E1569" s="57"/>
      <c r="F1569" s="69"/>
      <c r="G1569" s="69"/>
      <c r="H1569" s="70" t="str">
        <f aca="false">IF(A1569="","",IFERROR(INDEX(السندات!$C$5:$C$504,MATCH(A1569,السندات!$A$5:$A$504,0)),""))</f>
        <v/>
      </c>
      <c r="I1569" s="71" t="str">
        <f aca="false">IF(A1569="","",IFERROR(INDEX(السندات!$D$5:$D$504,MATCH(A1569,السندات!$A$5:$A$504,0)),""))</f>
        <v/>
      </c>
      <c r="J1569" s="72" t="str">
        <f aca="false">IF(A1569="","",IF(ISNA(MATCH(A1569,السندات!$A$5:$A$504,0)),"رقم سند غير موجود ✘",IF(AND(F1569&lt;&gt;"",G1569&lt;&gt;""),"اكتب مدين أو دائن فقط ✘",IF(AND(N(F1569)=0,N(G1569)=0),"بدون مبلغ ⚠",IF(B1569&gt;12,"يتجاوز 12 بنداً في الطباعة ⚠","")))))</f>
        <v/>
      </c>
    </row>
    <row r="1570" customFormat="false" ht="15" hidden="false" customHeight="false" outlineLevel="0" collapsed="false">
      <c r="A1570" s="58"/>
      <c r="B1570" s="73" t="str">
        <f aca="false">IF(A1570="","",COUNTIF(A$5:A1570,A1570))</f>
        <v/>
      </c>
      <c r="C1570" s="73" t="str">
        <f aca="false">IF(A1570="","",A1570&amp;"-"&amp;B1570)</f>
        <v/>
      </c>
      <c r="D1570" s="58"/>
      <c r="E1570" s="57"/>
      <c r="F1570" s="69"/>
      <c r="G1570" s="69"/>
      <c r="H1570" s="74" t="str">
        <f aca="false">IF(A1570="","",IFERROR(INDEX(السندات!$C$5:$C$504,MATCH(A1570,السندات!$A$5:$A$504,0)),""))</f>
        <v/>
      </c>
      <c r="I1570" s="75" t="str">
        <f aca="false">IF(A1570="","",IFERROR(INDEX(السندات!$D$5:$D$504,MATCH(A1570,السندات!$A$5:$A$504,0)),""))</f>
        <v/>
      </c>
      <c r="J1570" s="76" t="str">
        <f aca="false">IF(A1570="","",IF(ISNA(MATCH(A1570,السندات!$A$5:$A$504,0)),"رقم سند غير موجود ✘",IF(AND(F1570&lt;&gt;"",G1570&lt;&gt;""),"اكتب مدين أو دائن فقط ✘",IF(AND(N(F1570)=0,N(G1570)=0),"بدون مبلغ ⚠",IF(B1570&gt;12,"يتجاوز 12 بنداً في الطباعة ⚠","")))))</f>
        <v/>
      </c>
    </row>
    <row r="1571" customFormat="false" ht="15" hidden="false" customHeight="false" outlineLevel="0" collapsed="false">
      <c r="A1571" s="58"/>
      <c r="B1571" s="68" t="str">
        <f aca="false">IF(A1571="","",COUNTIF(A$5:A1571,A1571))</f>
        <v/>
      </c>
      <c r="C1571" s="68" t="str">
        <f aca="false">IF(A1571="","",A1571&amp;"-"&amp;B1571)</f>
        <v/>
      </c>
      <c r="D1571" s="58"/>
      <c r="E1571" s="57"/>
      <c r="F1571" s="69"/>
      <c r="G1571" s="69"/>
      <c r="H1571" s="70" t="str">
        <f aca="false">IF(A1571="","",IFERROR(INDEX(السندات!$C$5:$C$504,MATCH(A1571,السندات!$A$5:$A$504,0)),""))</f>
        <v/>
      </c>
      <c r="I1571" s="71" t="str">
        <f aca="false">IF(A1571="","",IFERROR(INDEX(السندات!$D$5:$D$504,MATCH(A1571,السندات!$A$5:$A$504,0)),""))</f>
        <v/>
      </c>
      <c r="J1571" s="72" t="str">
        <f aca="false">IF(A1571="","",IF(ISNA(MATCH(A1571,السندات!$A$5:$A$504,0)),"رقم سند غير موجود ✘",IF(AND(F1571&lt;&gt;"",G1571&lt;&gt;""),"اكتب مدين أو دائن فقط ✘",IF(AND(N(F1571)=0,N(G1571)=0),"بدون مبلغ ⚠",IF(B1571&gt;12,"يتجاوز 12 بنداً في الطباعة ⚠","")))))</f>
        <v/>
      </c>
    </row>
    <row r="1572" customFormat="false" ht="15" hidden="false" customHeight="false" outlineLevel="0" collapsed="false">
      <c r="A1572" s="58"/>
      <c r="B1572" s="73" t="str">
        <f aca="false">IF(A1572="","",COUNTIF(A$5:A1572,A1572))</f>
        <v/>
      </c>
      <c r="C1572" s="73" t="str">
        <f aca="false">IF(A1572="","",A1572&amp;"-"&amp;B1572)</f>
        <v/>
      </c>
      <c r="D1572" s="58"/>
      <c r="E1572" s="57"/>
      <c r="F1572" s="69"/>
      <c r="G1572" s="69"/>
      <c r="H1572" s="74" t="str">
        <f aca="false">IF(A1572="","",IFERROR(INDEX(السندات!$C$5:$C$504,MATCH(A1572,السندات!$A$5:$A$504,0)),""))</f>
        <v/>
      </c>
      <c r="I1572" s="75" t="str">
        <f aca="false">IF(A1572="","",IFERROR(INDEX(السندات!$D$5:$D$504,MATCH(A1572,السندات!$A$5:$A$504,0)),""))</f>
        <v/>
      </c>
      <c r="J1572" s="76" t="str">
        <f aca="false">IF(A1572="","",IF(ISNA(MATCH(A1572,السندات!$A$5:$A$504,0)),"رقم سند غير موجود ✘",IF(AND(F1572&lt;&gt;"",G1572&lt;&gt;""),"اكتب مدين أو دائن فقط ✘",IF(AND(N(F1572)=0,N(G1572)=0),"بدون مبلغ ⚠",IF(B1572&gt;12,"يتجاوز 12 بنداً في الطباعة ⚠","")))))</f>
        <v/>
      </c>
    </row>
    <row r="1573" customFormat="false" ht="15" hidden="false" customHeight="false" outlineLevel="0" collapsed="false">
      <c r="A1573" s="58"/>
      <c r="B1573" s="68" t="str">
        <f aca="false">IF(A1573="","",COUNTIF(A$5:A1573,A1573))</f>
        <v/>
      </c>
      <c r="C1573" s="68" t="str">
        <f aca="false">IF(A1573="","",A1573&amp;"-"&amp;B1573)</f>
        <v/>
      </c>
      <c r="D1573" s="58"/>
      <c r="E1573" s="57"/>
      <c r="F1573" s="69"/>
      <c r="G1573" s="69"/>
      <c r="H1573" s="70" t="str">
        <f aca="false">IF(A1573="","",IFERROR(INDEX(السندات!$C$5:$C$504,MATCH(A1573,السندات!$A$5:$A$504,0)),""))</f>
        <v/>
      </c>
      <c r="I1573" s="71" t="str">
        <f aca="false">IF(A1573="","",IFERROR(INDEX(السندات!$D$5:$D$504,MATCH(A1573,السندات!$A$5:$A$504,0)),""))</f>
        <v/>
      </c>
      <c r="J1573" s="72" t="str">
        <f aca="false">IF(A1573="","",IF(ISNA(MATCH(A1573,السندات!$A$5:$A$504,0)),"رقم سند غير موجود ✘",IF(AND(F1573&lt;&gt;"",G1573&lt;&gt;""),"اكتب مدين أو دائن فقط ✘",IF(AND(N(F1573)=0,N(G1573)=0),"بدون مبلغ ⚠",IF(B1573&gt;12,"يتجاوز 12 بنداً في الطباعة ⚠","")))))</f>
        <v/>
      </c>
    </row>
    <row r="1574" customFormat="false" ht="15" hidden="false" customHeight="false" outlineLevel="0" collapsed="false">
      <c r="A1574" s="58"/>
      <c r="B1574" s="73" t="str">
        <f aca="false">IF(A1574="","",COUNTIF(A$5:A1574,A1574))</f>
        <v/>
      </c>
      <c r="C1574" s="73" t="str">
        <f aca="false">IF(A1574="","",A1574&amp;"-"&amp;B1574)</f>
        <v/>
      </c>
      <c r="D1574" s="58"/>
      <c r="E1574" s="57"/>
      <c r="F1574" s="69"/>
      <c r="G1574" s="69"/>
      <c r="H1574" s="74" t="str">
        <f aca="false">IF(A1574="","",IFERROR(INDEX(السندات!$C$5:$C$504,MATCH(A1574,السندات!$A$5:$A$504,0)),""))</f>
        <v/>
      </c>
      <c r="I1574" s="75" t="str">
        <f aca="false">IF(A1574="","",IFERROR(INDEX(السندات!$D$5:$D$504,MATCH(A1574,السندات!$A$5:$A$504,0)),""))</f>
        <v/>
      </c>
      <c r="J1574" s="76" t="str">
        <f aca="false">IF(A1574="","",IF(ISNA(MATCH(A1574,السندات!$A$5:$A$504,0)),"رقم سند غير موجود ✘",IF(AND(F1574&lt;&gt;"",G1574&lt;&gt;""),"اكتب مدين أو دائن فقط ✘",IF(AND(N(F1574)=0,N(G1574)=0),"بدون مبلغ ⚠",IF(B1574&gt;12,"يتجاوز 12 بنداً في الطباعة ⚠","")))))</f>
        <v/>
      </c>
    </row>
    <row r="1575" customFormat="false" ht="15" hidden="false" customHeight="false" outlineLevel="0" collapsed="false">
      <c r="A1575" s="58"/>
      <c r="B1575" s="68" t="str">
        <f aca="false">IF(A1575="","",COUNTIF(A$5:A1575,A1575))</f>
        <v/>
      </c>
      <c r="C1575" s="68" t="str">
        <f aca="false">IF(A1575="","",A1575&amp;"-"&amp;B1575)</f>
        <v/>
      </c>
      <c r="D1575" s="58"/>
      <c r="E1575" s="57"/>
      <c r="F1575" s="69"/>
      <c r="G1575" s="69"/>
      <c r="H1575" s="70" t="str">
        <f aca="false">IF(A1575="","",IFERROR(INDEX(السندات!$C$5:$C$504,MATCH(A1575,السندات!$A$5:$A$504,0)),""))</f>
        <v/>
      </c>
      <c r="I1575" s="71" t="str">
        <f aca="false">IF(A1575="","",IFERROR(INDEX(السندات!$D$5:$D$504,MATCH(A1575,السندات!$A$5:$A$504,0)),""))</f>
        <v/>
      </c>
      <c r="J1575" s="72" t="str">
        <f aca="false">IF(A1575="","",IF(ISNA(MATCH(A1575,السندات!$A$5:$A$504,0)),"رقم سند غير موجود ✘",IF(AND(F1575&lt;&gt;"",G1575&lt;&gt;""),"اكتب مدين أو دائن فقط ✘",IF(AND(N(F1575)=0,N(G1575)=0),"بدون مبلغ ⚠",IF(B1575&gt;12,"يتجاوز 12 بنداً في الطباعة ⚠","")))))</f>
        <v/>
      </c>
    </row>
    <row r="1576" customFormat="false" ht="15" hidden="false" customHeight="false" outlineLevel="0" collapsed="false">
      <c r="A1576" s="58"/>
      <c r="B1576" s="73" t="str">
        <f aca="false">IF(A1576="","",COUNTIF(A$5:A1576,A1576))</f>
        <v/>
      </c>
      <c r="C1576" s="73" t="str">
        <f aca="false">IF(A1576="","",A1576&amp;"-"&amp;B1576)</f>
        <v/>
      </c>
      <c r="D1576" s="58"/>
      <c r="E1576" s="57"/>
      <c r="F1576" s="69"/>
      <c r="G1576" s="69"/>
      <c r="H1576" s="74" t="str">
        <f aca="false">IF(A1576="","",IFERROR(INDEX(السندات!$C$5:$C$504,MATCH(A1576,السندات!$A$5:$A$504,0)),""))</f>
        <v/>
      </c>
      <c r="I1576" s="75" t="str">
        <f aca="false">IF(A1576="","",IFERROR(INDEX(السندات!$D$5:$D$504,MATCH(A1576,السندات!$A$5:$A$504,0)),""))</f>
        <v/>
      </c>
      <c r="J1576" s="76" t="str">
        <f aca="false">IF(A1576="","",IF(ISNA(MATCH(A1576,السندات!$A$5:$A$504,0)),"رقم سند غير موجود ✘",IF(AND(F1576&lt;&gt;"",G1576&lt;&gt;""),"اكتب مدين أو دائن فقط ✘",IF(AND(N(F1576)=0,N(G1576)=0),"بدون مبلغ ⚠",IF(B1576&gt;12,"يتجاوز 12 بنداً في الطباعة ⚠","")))))</f>
        <v/>
      </c>
    </row>
    <row r="1577" customFormat="false" ht="15" hidden="false" customHeight="false" outlineLevel="0" collapsed="false">
      <c r="A1577" s="58"/>
      <c r="B1577" s="68" t="str">
        <f aca="false">IF(A1577="","",COUNTIF(A$5:A1577,A1577))</f>
        <v/>
      </c>
      <c r="C1577" s="68" t="str">
        <f aca="false">IF(A1577="","",A1577&amp;"-"&amp;B1577)</f>
        <v/>
      </c>
      <c r="D1577" s="58"/>
      <c r="E1577" s="57"/>
      <c r="F1577" s="69"/>
      <c r="G1577" s="69"/>
      <c r="H1577" s="70" t="str">
        <f aca="false">IF(A1577="","",IFERROR(INDEX(السندات!$C$5:$C$504,MATCH(A1577,السندات!$A$5:$A$504,0)),""))</f>
        <v/>
      </c>
      <c r="I1577" s="71" t="str">
        <f aca="false">IF(A1577="","",IFERROR(INDEX(السندات!$D$5:$D$504,MATCH(A1577,السندات!$A$5:$A$504,0)),""))</f>
        <v/>
      </c>
      <c r="J1577" s="72" t="str">
        <f aca="false">IF(A1577="","",IF(ISNA(MATCH(A1577,السندات!$A$5:$A$504,0)),"رقم سند غير موجود ✘",IF(AND(F1577&lt;&gt;"",G1577&lt;&gt;""),"اكتب مدين أو دائن فقط ✘",IF(AND(N(F1577)=0,N(G1577)=0),"بدون مبلغ ⚠",IF(B1577&gt;12,"يتجاوز 12 بنداً في الطباعة ⚠","")))))</f>
        <v/>
      </c>
    </row>
    <row r="1578" customFormat="false" ht="15" hidden="false" customHeight="false" outlineLevel="0" collapsed="false">
      <c r="A1578" s="58"/>
      <c r="B1578" s="73" t="str">
        <f aca="false">IF(A1578="","",COUNTIF(A$5:A1578,A1578))</f>
        <v/>
      </c>
      <c r="C1578" s="73" t="str">
        <f aca="false">IF(A1578="","",A1578&amp;"-"&amp;B1578)</f>
        <v/>
      </c>
      <c r="D1578" s="58"/>
      <c r="E1578" s="57"/>
      <c r="F1578" s="69"/>
      <c r="G1578" s="69"/>
      <c r="H1578" s="74" t="str">
        <f aca="false">IF(A1578="","",IFERROR(INDEX(السندات!$C$5:$C$504,MATCH(A1578,السندات!$A$5:$A$504,0)),""))</f>
        <v/>
      </c>
      <c r="I1578" s="75" t="str">
        <f aca="false">IF(A1578="","",IFERROR(INDEX(السندات!$D$5:$D$504,MATCH(A1578,السندات!$A$5:$A$504,0)),""))</f>
        <v/>
      </c>
      <c r="J1578" s="76" t="str">
        <f aca="false">IF(A1578="","",IF(ISNA(MATCH(A1578,السندات!$A$5:$A$504,0)),"رقم سند غير موجود ✘",IF(AND(F1578&lt;&gt;"",G1578&lt;&gt;""),"اكتب مدين أو دائن فقط ✘",IF(AND(N(F1578)=0,N(G1578)=0),"بدون مبلغ ⚠",IF(B1578&gt;12,"يتجاوز 12 بنداً في الطباعة ⚠","")))))</f>
        <v/>
      </c>
    </row>
    <row r="1579" customFormat="false" ht="15" hidden="false" customHeight="false" outlineLevel="0" collapsed="false">
      <c r="A1579" s="58"/>
      <c r="B1579" s="68" t="str">
        <f aca="false">IF(A1579="","",COUNTIF(A$5:A1579,A1579))</f>
        <v/>
      </c>
      <c r="C1579" s="68" t="str">
        <f aca="false">IF(A1579="","",A1579&amp;"-"&amp;B1579)</f>
        <v/>
      </c>
      <c r="D1579" s="58"/>
      <c r="E1579" s="57"/>
      <c r="F1579" s="69"/>
      <c r="G1579" s="69"/>
      <c r="H1579" s="70" t="str">
        <f aca="false">IF(A1579="","",IFERROR(INDEX(السندات!$C$5:$C$504,MATCH(A1579,السندات!$A$5:$A$504,0)),""))</f>
        <v/>
      </c>
      <c r="I1579" s="71" t="str">
        <f aca="false">IF(A1579="","",IFERROR(INDEX(السندات!$D$5:$D$504,MATCH(A1579,السندات!$A$5:$A$504,0)),""))</f>
        <v/>
      </c>
      <c r="J1579" s="72" t="str">
        <f aca="false">IF(A1579="","",IF(ISNA(MATCH(A1579,السندات!$A$5:$A$504,0)),"رقم سند غير موجود ✘",IF(AND(F1579&lt;&gt;"",G1579&lt;&gt;""),"اكتب مدين أو دائن فقط ✘",IF(AND(N(F1579)=0,N(G1579)=0),"بدون مبلغ ⚠",IF(B1579&gt;12,"يتجاوز 12 بنداً في الطباعة ⚠","")))))</f>
        <v/>
      </c>
    </row>
    <row r="1580" customFormat="false" ht="15" hidden="false" customHeight="false" outlineLevel="0" collapsed="false">
      <c r="A1580" s="58"/>
      <c r="B1580" s="73" t="str">
        <f aca="false">IF(A1580="","",COUNTIF(A$5:A1580,A1580))</f>
        <v/>
      </c>
      <c r="C1580" s="73" t="str">
        <f aca="false">IF(A1580="","",A1580&amp;"-"&amp;B1580)</f>
        <v/>
      </c>
      <c r="D1580" s="58"/>
      <c r="E1580" s="57"/>
      <c r="F1580" s="69"/>
      <c r="G1580" s="69"/>
      <c r="H1580" s="74" t="str">
        <f aca="false">IF(A1580="","",IFERROR(INDEX(السندات!$C$5:$C$504,MATCH(A1580,السندات!$A$5:$A$504,0)),""))</f>
        <v/>
      </c>
      <c r="I1580" s="75" t="str">
        <f aca="false">IF(A1580="","",IFERROR(INDEX(السندات!$D$5:$D$504,MATCH(A1580,السندات!$A$5:$A$504,0)),""))</f>
        <v/>
      </c>
      <c r="J1580" s="76" t="str">
        <f aca="false">IF(A1580="","",IF(ISNA(MATCH(A1580,السندات!$A$5:$A$504,0)),"رقم سند غير موجود ✘",IF(AND(F1580&lt;&gt;"",G1580&lt;&gt;""),"اكتب مدين أو دائن فقط ✘",IF(AND(N(F1580)=0,N(G1580)=0),"بدون مبلغ ⚠",IF(B1580&gt;12,"يتجاوز 12 بنداً في الطباعة ⚠","")))))</f>
        <v/>
      </c>
    </row>
    <row r="1581" customFormat="false" ht="15" hidden="false" customHeight="false" outlineLevel="0" collapsed="false">
      <c r="A1581" s="58"/>
      <c r="B1581" s="68" t="str">
        <f aca="false">IF(A1581="","",COUNTIF(A$5:A1581,A1581))</f>
        <v/>
      </c>
      <c r="C1581" s="68" t="str">
        <f aca="false">IF(A1581="","",A1581&amp;"-"&amp;B1581)</f>
        <v/>
      </c>
      <c r="D1581" s="58"/>
      <c r="E1581" s="57"/>
      <c r="F1581" s="69"/>
      <c r="G1581" s="69"/>
      <c r="H1581" s="70" t="str">
        <f aca="false">IF(A1581="","",IFERROR(INDEX(السندات!$C$5:$C$504,MATCH(A1581,السندات!$A$5:$A$504,0)),""))</f>
        <v/>
      </c>
      <c r="I1581" s="71" t="str">
        <f aca="false">IF(A1581="","",IFERROR(INDEX(السندات!$D$5:$D$504,MATCH(A1581,السندات!$A$5:$A$504,0)),""))</f>
        <v/>
      </c>
      <c r="J1581" s="72" t="str">
        <f aca="false">IF(A1581="","",IF(ISNA(MATCH(A1581,السندات!$A$5:$A$504,0)),"رقم سند غير موجود ✘",IF(AND(F1581&lt;&gt;"",G1581&lt;&gt;""),"اكتب مدين أو دائن فقط ✘",IF(AND(N(F1581)=0,N(G1581)=0),"بدون مبلغ ⚠",IF(B1581&gt;12,"يتجاوز 12 بنداً في الطباعة ⚠","")))))</f>
        <v/>
      </c>
    </row>
    <row r="1582" customFormat="false" ht="15" hidden="false" customHeight="false" outlineLevel="0" collapsed="false">
      <c r="A1582" s="58"/>
      <c r="B1582" s="73" t="str">
        <f aca="false">IF(A1582="","",COUNTIF(A$5:A1582,A1582))</f>
        <v/>
      </c>
      <c r="C1582" s="73" t="str">
        <f aca="false">IF(A1582="","",A1582&amp;"-"&amp;B1582)</f>
        <v/>
      </c>
      <c r="D1582" s="58"/>
      <c r="E1582" s="57"/>
      <c r="F1582" s="69"/>
      <c r="G1582" s="69"/>
      <c r="H1582" s="74" t="str">
        <f aca="false">IF(A1582="","",IFERROR(INDEX(السندات!$C$5:$C$504,MATCH(A1582,السندات!$A$5:$A$504,0)),""))</f>
        <v/>
      </c>
      <c r="I1582" s="75" t="str">
        <f aca="false">IF(A1582="","",IFERROR(INDEX(السندات!$D$5:$D$504,MATCH(A1582,السندات!$A$5:$A$504,0)),""))</f>
        <v/>
      </c>
      <c r="J1582" s="76" t="str">
        <f aca="false">IF(A1582="","",IF(ISNA(MATCH(A1582,السندات!$A$5:$A$504,0)),"رقم سند غير موجود ✘",IF(AND(F1582&lt;&gt;"",G1582&lt;&gt;""),"اكتب مدين أو دائن فقط ✘",IF(AND(N(F1582)=0,N(G1582)=0),"بدون مبلغ ⚠",IF(B1582&gt;12,"يتجاوز 12 بنداً في الطباعة ⚠","")))))</f>
        <v/>
      </c>
    </row>
    <row r="1583" customFormat="false" ht="15" hidden="false" customHeight="false" outlineLevel="0" collapsed="false">
      <c r="A1583" s="58"/>
      <c r="B1583" s="68" t="str">
        <f aca="false">IF(A1583="","",COUNTIF(A$5:A1583,A1583))</f>
        <v/>
      </c>
      <c r="C1583" s="68" t="str">
        <f aca="false">IF(A1583="","",A1583&amp;"-"&amp;B1583)</f>
        <v/>
      </c>
      <c r="D1583" s="58"/>
      <c r="E1583" s="57"/>
      <c r="F1583" s="69"/>
      <c r="G1583" s="69"/>
      <c r="H1583" s="70" t="str">
        <f aca="false">IF(A1583="","",IFERROR(INDEX(السندات!$C$5:$C$504,MATCH(A1583,السندات!$A$5:$A$504,0)),""))</f>
        <v/>
      </c>
      <c r="I1583" s="71" t="str">
        <f aca="false">IF(A1583="","",IFERROR(INDEX(السندات!$D$5:$D$504,MATCH(A1583,السندات!$A$5:$A$504,0)),""))</f>
        <v/>
      </c>
      <c r="J1583" s="72" t="str">
        <f aca="false">IF(A1583="","",IF(ISNA(MATCH(A1583,السندات!$A$5:$A$504,0)),"رقم سند غير موجود ✘",IF(AND(F1583&lt;&gt;"",G1583&lt;&gt;""),"اكتب مدين أو دائن فقط ✘",IF(AND(N(F1583)=0,N(G1583)=0),"بدون مبلغ ⚠",IF(B1583&gt;12,"يتجاوز 12 بنداً في الطباعة ⚠","")))))</f>
        <v/>
      </c>
    </row>
    <row r="1584" customFormat="false" ht="15" hidden="false" customHeight="false" outlineLevel="0" collapsed="false">
      <c r="A1584" s="58"/>
      <c r="B1584" s="73" t="str">
        <f aca="false">IF(A1584="","",COUNTIF(A$5:A1584,A1584))</f>
        <v/>
      </c>
      <c r="C1584" s="73" t="str">
        <f aca="false">IF(A1584="","",A1584&amp;"-"&amp;B1584)</f>
        <v/>
      </c>
      <c r="D1584" s="58"/>
      <c r="E1584" s="57"/>
      <c r="F1584" s="69"/>
      <c r="G1584" s="69"/>
      <c r="H1584" s="74" t="str">
        <f aca="false">IF(A1584="","",IFERROR(INDEX(السندات!$C$5:$C$504,MATCH(A1584,السندات!$A$5:$A$504,0)),""))</f>
        <v/>
      </c>
      <c r="I1584" s="75" t="str">
        <f aca="false">IF(A1584="","",IFERROR(INDEX(السندات!$D$5:$D$504,MATCH(A1584,السندات!$A$5:$A$504,0)),""))</f>
        <v/>
      </c>
      <c r="J1584" s="76" t="str">
        <f aca="false">IF(A1584="","",IF(ISNA(MATCH(A1584,السندات!$A$5:$A$504,0)),"رقم سند غير موجود ✘",IF(AND(F1584&lt;&gt;"",G1584&lt;&gt;""),"اكتب مدين أو دائن فقط ✘",IF(AND(N(F1584)=0,N(G1584)=0),"بدون مبلغ ⚠",IF(B1584&gt;12,"يتجاوز 12 بنداً في الطباعة ⚠","")))))</f>
        <v/>
      </c>
    </row>
    <row r="1585" customFormat="false" ht="15" hidden="false" customHeight="false" outlineLevel="0" collapsed="false">
      <c r="A1585" s="58"/>
      <c r="B1585" s="68" t="str">
        <f aca="false">IF(A1585="","",COUNTIF(A$5:A1585,A1585))</f>
        <v/>
      </c>
      <c r="C1585" s="68" t="str">
        <f aca="false">IF(A1585="","",A1585&amp;"-"&amp;B1585)</f>
        <v/>
      </c>
      <c r="D1585" s="58"/>
      <c r="E1585" s="57"/>
      <c r="F1585" s="69"/>
      <c r="G1585" s="69"/>
      <c r="H1585" s="70" t="str">
        <f aca="false">IF(A1585="","",IFERROR(INDEX(السندات!$C$5:$C$504,MATCH(A1585,السندات!$A$5:$A$504,0)),""))</f>
        <v/>
      </c>
      <c r="I1585" s="71" t="str">
        <f aca="false">IF(A1585="","",IFERROR(INDEX(السندات!$D$5:$D$504,MATCH(A1585,السندات!$A$5:$A$504,0)),""))</f>
        <v/>
      </c>
      <c r="J1585" s="72" t="str">
        <f aca="false">IF(A1585="","",IF(ISNA(MATCH(A1585,السندات!$A$5:$A$504,0)),"رقم سند غير موجود ✘",IF(AND(F1585&lt;&gt;"",G1585&lt;&gt;""),"اكتب مدين أو دائن فقط ✘",IF(AND(N(F1585)=0,N(G1585)=0),"بدون مبلغ ⚠",IF(B1585&gt;12,"يتجاوز 12 بنداً في الطباعة ⚠","")))))</f>
        <v/>
      </c>
    </row>
    <row r="1586" customFormat="false" ht="15" hidden="false" customHeight="false" outlineLevel="0" collapsed="false">
      <c r="A1586" s="58"/>
      <c r="B1586" s="73" t="str">
        <f aca="false">IF(A1586="","",COUNTIF(A$5:A1586,A1586))</f>
        <v/>
      </c>
      <c r="C1586" s="73" t="str">
        <f aca="false">IF(A1586="","",A1586&amp;"-"&amp;B1586)</f>
        <v/>
      </c>
      <c r="D1586" s="58"/>
      <c r="E1586" s="57"/>
      <c r="F1586" s="69"/>
      <c r="G1586" s="69"/>
      <c r="H1586" s="74" t="str">
        <f aca="false">IF(A1586="","",IFERROR(INDEX(السندات!$C$5:$C$504,MATCH(A1586,السندات!$A$5:$A$504,0)),""))</f>
        <v/>
      </c>
      <c r="I1586" s="75" t="str">
        <f aca="false">IF(A1586="","",IFERROR(INDEX(السندات!$D$5:$D$504,MATCH(A1586,السندات!$A$5:$A$504,0)),""))</f>
        <v/>
      </c>
      <c r="J1586" s="76" t="str">
        <f aca="false">IF(A1586="","",IF(ISNA(MATCH(A1586,السندات!$A$5:$A$504,0)),"رقم سند غير موجود ✘",IF(AND(F1586&lt;&gt;"",G1586&lt;&gt;""),"اكتب مدين أو دائن فقط ✘",IF(AND(N(F1586)=0,N(G1586)=0),"بدون مبلغ ⚠",IF(B1586&gt;12,"يتجاوز 12 بنداً في الطباعة ⚠","")))))</f>
        <v/>
      </c>
    </row>
    <row r="1587" customFormat="false" ht="15" hidden="false" customHeight="false" outlineLevel="0" collapsed="false">
      <c r="A1587" s="58"/>
      <c r="B1587" s="68" t="str">
        <f aca="false">IF(A1587="","",COUNTIF(A$5:A1587,A1587))</f>
        <v/>
      </c>
      <c r="C1587" s="68" t="str">
        <f aca="false">IF(A1587="","",A1587&amp;"-"&amp;B1587)</f>
        <v/>
      </c>
      <c r="D1587" s="58"/>
      <c r="E1587" s="57"/>
      <c r="F1587" s="69"/>
      <c r="G1587" s="69"/>
      <c r="H1587" s="70" t="str">
        <f aca="false">IF(A1587="","",IFERROR(INDEX(السندات!$C$5:$C$504,MATCH(A1587,السندات!$A$5:$A$504,0)),""))</f>
        <v/>
      </c>
      <c r="I1587" s="71" t="str">
        <f aca="false">IF(A1587="","",IFERROR(INDEX(السندات!$D$5:$D$504,MATCH(A1587,السندات!$A$5:$A$504,0)),""))</f>
        <v/>
      </c>
      <c r="J1587" s="72" t="str">
        <f aca="false">IF(A1587="","",IF(ISNA(MATCH(A1587,السندات!$A$5:$A$504,0)),"رقم سند غير موجود ✘",IF(AND(F1587&lt;&gt;"",G1587&lt;&gt;""),"اكتب مدين أو دائن فقط ✘",IF(AND(N(F1587)=0,N(G1587)=0),"بدون مبلغ ⚠",IF(B1587&gt;12,"يتجاوز 12 بنداً في الطباعة ⚠","")))))</f>
        <v/>
      </c>
    </row>
    <row r="1588" customFormat="false" ht="15" hidden="false" customHeight="false" outlineLevel="0" collapsed="false">
      <c r="A1588" s="58"/>
      <c r="B1588" s="73" t="str">
        <f aca="false">IF(A1588="","",COUNTIF(A$5:A1588,A1588))</f>
        <v/>
      </c>
      <c r="C1588" s="73" t="str">
        <f aca="false">IF(A1588="","",A1588&amp;"-"&amp;B1588)</f>
        <v/>
      </c>
      <c r="D1588" s="58"/>
      <c r="E1588" s="57"/>
      <c r="F1588" s="69"/>
      <c r="G1588" s="69"/>
      <c r="H1588" s="74" t="str">
        <f aca="false">IF(A1588="","",IFERROR(INDEX(السندات!$C$5:$C$504,MATCH(A1588,السندات!$A$5:$A$504,0)),""))</f>
        <v/>
      </c>
      <c r="I1588" s="75" t="str">
        <f aca="false">IF(A1588="","",IFERROR(INDEX(السندات!$D$5:$D$504,MATCH(A1588,السندات!$A$5:$A$504,0)),""))</f>
        <v/>
      </c>
      <c r="J1588" s="76" t="str">
        <f aca="false">IF(A1588="","",IF(ISNA(MATCH(A1588,السندات!$A$5:$A$504,0)),"رقم سند غير موجود ✘",IF(AND(F1588&lt;&gt;"",G1588&lt;&gt;""),"اكتب مدين أو دائن فقط ✘",IF(AND(N(F1588)=0,N(G1588)=0),"بدون مبلغ ⚠",IF(B1588&gt;12,"يتجاوز 12 بنداً في الطباعة ⚠","")))))</f>
        <v/>
      </c>
    </row>
    <row r="1589" customFormat="false" ht="15" hidden="false" customHeight="false" outlineLevel="0" collapsed="false">
      <c r="A1589" s="58"/>
      <c r="B1589" s="68" t="str">
        <f aca="false">IF(A1589="","",COUNTIF(A$5:A1589,A1589))</f>
        <v/>
      </c>
      <c r="C1589" s="68" t="str">
        <f aca="false">IF(A1589="","",A1589&amp;"-"&amp;B1589)</f>
        <v/>
      </c>
      <c r="D1589" s="58"/>
      <c r="E1589" s="57"/>
      <c r="F1589" s="69"/>
      <c r="G1589" s="69"/>
      <c r="H1589" s="70" t="str">
        <f aca="false">IF(A1589="","",IFERROR(INDEX(السندات!$C$5:$C$504,MATCH(A1589,السندات!$A$5:$A$504,0)),""))</f>
        <v/>
      </c>
      <c r="I1589" s="71" t="str">
        <f aca="false">IF(A1589="","",IFERROR(INDEX(السندات!$D$5:$D$504,MATCH(A1589,السندات!$A$5:$A$504,0)),""))</f>
        <v/>
      </c>
      <c r="J1589" s="72" t="str">
        <f aca="false">IF(A1589="","",IF(ISNA(MATCH(A1589,السندات!$A$5:$A$504,0)),"رقم سند غير موجود ✘",IF(AND(F1589&lt;&gt;"",G1589&lt;&gt;""),"اكتب مدين أو دائن فقط ✘",IF(AND(N(F1589)=0,N(G1589)=0),"بدون مبلغ ⚠",IF(B1589&gt;12,"يتجاوز 12 بنداً في الطباعة ⚠","")))))</f>
        <v/>
      </c>
    </row>
    <row r="1590" customFormat="false" ht="15" hidden="false" customHeight="false" outlineLevel="0" collapsed="false">
      <c r="A1590" s="58"/>
      <c r="B1590" s="73" t="str">
        <f aca="false">IF(A1590="","",COUNTIF(A$5:A1590,A1590))</f>
        <v/>
      </c>
      <c r="C1590" s="73" t="str">
        <f aca="false">IF(A1590="","",A1590&amp;"-"&amp;B1590)</f>
        <v/>
      </c>
      <c r="D1590" s="58"/>
      <c r="E1590" s="57"/>
      <c r="F1590" s="69"/>
      <c r="G1590" s="69"/>
      <c r="H1590" s="74" t="str">
        <f aca="false">IF(A1590="","",IFERROR(INDEX(السندات!$C$5:$C$504,MATCH(A1590,السندات!$A$5:$A$504,0)),""))</f>
        <v/>
      </c>
      <c r="I1590" s="75" t="str">
        <f aca="false">IF(A1590="","",IFERROR(INDEX(السندات!$D$5:$D$504,MATCH(A1590,السندات!$A$5:$A$504,0)),""))</f>
        <v/>
      </c>
      <c r="J1590" s="76" t="str">
        <f aca="false">IF(A1590="","",IF(ISNA(MATCH(A1590,السندات!$A$5:$A$504,0)),"رقم سند غير موجود ✘",IF(AND(F1590&lt;&gt;"",G1590&lt;&gt;""),"اكتب مدين أو دائن فقط ✘",IF(AND(N(F1590)=0,N(G1590)=0),"بدون مبلغ ⚠",IF(B1590&gt;12,"يتجاوز 12 بنداً في الطباعة ⚠","")))))</f>
        <v/>
      </c>
    </row>
    <row r="1591" customFormat="false" ht="15" hidden="false" customHeight="false" outlineLevel="0" collapsed="false">
      <c r="A1591" s="58"/>
      <c r="B1591" s="68" t="str">
        <f aca="false">IF(A1591="","",COUNTIF(A$5:A1591,A1591))</f>
        <v/>
      </c>
      <c r="C1591" s="68" t="str">
        <f aca="false">IF(A1591="","",A1591&amp;"-"&amp;B1591)</f>
        <v/>
      </c>
      <c r="D1591" s="58"/>
      <c r="E1591" s="57"/>
      <c r="F1591" s="69"/>
      <c r="G1591" s="69"/>
      <c r="H1591" s="70" t="str">
        <f aca="false">IF(A1591="","",IFERROR(INDEX(السندات!$C$5:$C$504,MATCH(A1591,السندات!$A$5:$A$504,0)),""))</f>
        <v/>
      </c>
      <c r="I1591" s="71" t="str">
        <f aca="false">IF(A1591="","",IFERROR(INDEX(السندات!$D$5:$D$504,MATCH(A1591,السندات!$A$5:$A$504,0)),""))</f>
        <v/>
      </c>
      <c r="J1591" s="72" t="str">
        <f aca="false">IF(A1591="","",IF(ISNA(MATCH(A1591,السندات!$A$5:$A$504,0)),"رقم سند غير موجود ✘",IF(AND(F1591&lt;&gt;"",G1591&lt;&gt;""),"اكتب مدين أو دائن فقط ✘",IF(AND(N(F1591)=0,N(G1591)=0),"بدون مبلغ ⚠",IF(B1591&gt;12,"يتجاوز 12 بنداً في الطباعة ⚠","")))))</f>
        <v/>
      </c>
    </row>
    <row r="1592" customFormat="false" ht="15" hidden="false" customHeight="false" outlineLevel="0" collapsed="false">
      <c r="A1592" s="58"/>
      <c r="B1592" s="73" t="str">
        <f aca="false">IF(A1592="","",COUNTIF(A$5:A1592,A1592))</f>
        <v/>
      </c>
      <c r="C1592" s="73" t="str">
        <f aca="false">IF(A1592="","",A1592&amp;"-"&amp;B1592)</f>
        <v/>
      </c>
      <c r="D1592" s="58"/>
      <c r="E1592" s="57"/>
      <c r="F1592" s="69"/>
      <c r="G1592" s="69"/>
      <c r="H1592" s="74" t="str">
        <f aca="false">IF(A1592="","",IFERROR(INDEX(السندات!$C$5:$C$504,MATCH(A1592,السندات!$A$5:$A$504,0)),""))</f>
        <v/>
      </c>
      <c r="I1592" s="75" t="str">
        <f aca="false">IF(A1592="","",IFERROR(INDEX(السندات!$D$5:$D$504,MATCH(A1592,السندات!$A$5:$A$504,0)),""))</f>
        <v/>
      </c>
      <c r="J1592" s="76" t="str">
        <f aca="false">IF(A1592="","",IF(ISNA(MATCH(A1592,السندات!$A$5:$A$504,0)),"رقم سند غير موجود ✘",IF(AND(F1592&lt;&gt;"",G1592&lt;&gt;""),"اكتب مدين أو دائن فقط ✘",IF(AND(N(F1592)=0,N(G1592)=0),"بدون مبلغ ⚠",IF(B1592&gt;12,"يتجاوز 12 بنداً في الطباعة ⚠","")))))</f>
        <v/>
      </c>
    </row>
    <row r="1593" customFormat="false" ht="15" hidden="false" customHeight="false" outlineLevel="0" collapsed="false">
      <c r="A1593" s="58"/>
      <c r="B1593" s="68" t="str">
        <f aca="false">IF(A1593="","",COUNTIF(A$5:A1593,A1593))</f>
        <v/>
      </c>
      <c r="C1593" s="68" t="str">
        <f aca="false">IF(A1593="","",A1593&amp;"-"&amp;B1593)</f>
        <v/>
      </c>
      <c r="D1593" s="58"/>
      <c r="E1593" s="57"/>
      <c r="F1593" s="69"/>
      <c r="G1593" s="69"/>
      <c r="H1593" s="70" t="str">
        <f aca="false">IF(A1593="","",IFERROR(INDEX(السندات!$C$5:$C$504,MATCH(A1593,السندات!$A$5:$A$504,0)),""))</f>
        <v/>
      </c>
      <c r="I1593" s="71" t="str">
        <f aca="false">IF(A1593="","",IFERROR(INDEX(السندات!$D$5:$D$504,MATCH(A1593,السندات!$A$5:$A$504,0)),""))</f>
        <v/>
      </c>
      <c r="J1593" s="72" t="str">
        <f aca="false">IF(A1593="","",IF(ISNA(MATCH(A1593,السندات!$A$5:$A$504,0)),"رقم سند غير موجود ✘",IF(AND(F1593&lt;&gt;"",G1593&lt;&gt;""),"اكتب مدين أو دائن فقط ✘",IF(AND(N(F1593)=0,N(G1593)=0),"بدون مبلغ ⚠",IF(B1593&gt;12,"يتجاوز 12 بنداً في الطباعة ⚠","")))))</f>
        <v/>
      </c>
    </row>
    <row r="1594" customFormat="false" ht="15" hidden="false" customHeight="false" outlineLevel="0" collapsed="false">
      <c r="A1594" s="58"/>
      <c r="B1594" s="73" t="str">
        <f aca="false">IF(A1594="","",COUNTIF(A$5:A1594,A1594))</f>
        <v/>
      </c>
      <c r="C1594" s="73" t="str">
        <f aca="false">IF(A1594="","",A1594&amp;"-"&amp;B1594)</f>
        <v/>
      </c>
      <c r="D1594" s="58"/>
      <c r="E1594" s="57"/>
      <c r="F1594" s="69"/>
      <c r="G1594" s="69"/>
      <c r="H1594" s="74" t="str">
        <f aca="false">IF(A1594="","",IFERROR(INDEX(السندات!$C$5:$C$504,MATCH(A1594,السندات!$A$5:$A$504,0)),""))</f>
        <v/>
      </c>
      <c r="I1594" s="75" t="str">
        <f aca="false">IF(A1594="","",IFERROR(INDEX(السندات!$D$5:$D$504,MATCH(A1594,السندات!$A$5:$A$504,0)),""))</f>
        <v/>
      </c>
      <c r="J1594" s="76" t="str">
        <f aca="false">IF(A1594="","",IF(ISNA(MATCH(A1594,السندات!$A$5:$A$504,0)),"رقم سند غير موجود ✘",IF(AND(F1594&lt;&gt;"",G1594&lt;&gt;""),"اكتب مدين أو دائن فقط ✘",IF(AND(N(F1594)=0,N(G1594)=0),"بدون مبلغ ⚠",IF(B1594&gt;12,"يتجاوز 12 بنداً في الطباعة ⚠","")))))</f>
        <v/>
      </c>
    </row>
    <row r="1595" customFormat="false" ht="15" hidden="false" customHeight="false" outlineLevel="0" collapsed="false">
      <c r="A1595" s="58"/>
      <c r="B1595" s="68" t="str">
        <f aca="false">IF(A1595="","",COUNTIF(A$5:A1595,A1595))</f>
        <v/>
      </c>
      <c r="C1595" s="68" t="str">
        <f aca="false">IF(A1595="","",A1595&amp;"-"&amp;B1595)</f>
        <v/>
      </c>
      <c r="D1595" s="58"/>
      <c r="E1595" s="57"/>
      <c r="F1595" s="69"/>
      <c r="G1595" s="69"/>
      <c r="H1595" s="70" t="str">
        <f aca="false">IF(A1595="","",IFERROR(INDEX(السندات!$C$5:$C$504,MATCH(A1595,السندات!$A$5:$A$504,0)),""))</f>
        <v/>
      </c>
      <c r="I1595" s="71" t="str">
        <f aca="false">IF(A1595="","",IFERROR(INDEX(السندات!$D$5:$D$504,MATCH(A1595,السندات!$A$5:$A$504,0)),""))</f>
        <v/>
      </c>
      <c r="J1595" s="72" t="str">
        <f aca="false">IF(A1595="","",IF(ISNA(MATCH(A1595,السندات!$A$5:$A$504,0)),"رقم سند غير موجود ✘",IF(AND(F1595&lt;&gt;"",G1595&lt;&gt;""),"اكتب مدين أو دائن فقط ✘",IF(AND(N(F1595)=0,N(G1595)=0),"بدون مبلغ ⚠",IF(B1595&gt;12,"يتجاوز 12 بنداً في الطباعة ⚠","")))))</f>
        <v/>
      </c>
    </row>
    <row r="1596" customFormat="false" ht="15" hidden="false" customHeight="false" outlineLevel="0" collapsed="false">
      <c r="A1596" s="58"/>
      <c r="B1596" s="73" t="str">
        <f aca="false">IF(A1596="","",COUNTIF(A$5:A1596,A1596))</f>
        <v/>
      </c>
      <c r="C1596" s="73" t="str">
        <f aca="false">IF(A1596="","",A1596&amp;"-"&amp;B1596)</f>
        <v/>
      </c>
      <c r="D1596" s="58"/>
      <c r="E1596" s="57"/>
      <c r="F1596" s="69"/>
      <c r="G1596" s="69"/>
      <c r="H1596" s="74" t="str">
        <f aca="false">IF(A1596="","",IFERROR(INDEX(السندات!$C$5:$C$504,MATCH(A1596,السندات!$A$5:$A$504,0)),""))</f>
        <v/>
      </c>
      <c r="I1596" s="75" t="str">
        <f aca="false">IF(A1596="","",IFERROR(INDEX(السندات!$D$5:$D$504,MATCH(A1596,السندات!$A$5:$A$504,0)),""))</f>
        <v/>
      </c>
      <c r="J1596" s="76" t="str">
        <f aca="false">IF(A1596="","",IF(ISNA(MATCH(A1596,السندات!$A$5:$A$504,0)),"رقم سند غير موجود ✘",IF(AND(F1596&lt;&gt;"",G1596&lt;&gt;""),"اكتب مدين أو دائن فقط ✘",IF(AND(N(F1596)=0,N(G1596)=0),"بدون مبلغ ⚠",IF(B1596&gt;12,"يتجاوز 12 بنداً في الطباعة ⚠","")))))</f>
        <v/>
      </c>
    </row>
    <row r="1597" customFormat="false" ht="15" hidden="false" customHeight="false" outlineLevel="0" collapsed="false">
      <c r="A1597" s="58"/>
      <c r="B1597" s="68" t="str">
        <f aca="false">IF(A1597="","",COUNTIF(A$5:A1597,A1597))</f>
        <v/>
      </c>
      <c r="C1597" s="68" t="str">
        <f aca="false">IF(A1597="","",A1597&amp;"-"&amp;B1597)</f>
        <v/>
      </c>
      <c r="D1597" s="58"/>
      <c r="E1597" s="57"/>
      <c r="F1597" s="69"/>
      <c r="G1597" s="69"/>
      <c r="H1597" s="70" t="str">
        <f aca="false">IF(A1597="","",IFERROR(INDEX(السندات!$C$5:$C$504,MATCH(A1597,السندات!$A$5:$A$504,0)),""))</f>
        <v/>
      </c>
      <c r="I1597" s="71" t="str">
        <f aca="false">IF(A1597="","",IFERROR(INDEX(السندات!$D$5:$D$504,MATCH(A1597,السندات!$A$5:$A$504,0)),""))</f>
        <v/>
      </c>
      <c r="J1597" s="72" t="str">
        <f aca="false">IF(A1597="","",IF(ISNA(MATCH(A1597,السندات!$A$5:$A$504,0)),"رقم سند غير موجود ✘",IF(AND(F1597&lt;&gt;"",G1597&lt;&gt;""),"اكتب مدين أو دائن فقط ✘",IF(AND(N(F1597)=0,N(G1597)=0),"بدون مبلغ ⚠",IF(B1597&gt;12,"يتجاوز 12 بنداً في الطباعة ⚠","")))))</f>
        <v/>
      </c>
    </row>
    <row r="1598" customFormat="false" ht="15" hidden="false" customHeight="false" outlineLevel="0" collapsed="false">
      <c r="A1598" s="58"/>
      <c r="B1598" s="73" t="str">
        <f aca="false">IF(A1598="","",COUNTIF(A$5:A1598,A1598))</f>
        <v/>
      </c>
      <c r="C1598" s="73" t="str">
        <f aca="false">IF(A1598="","",A1598&amp;"-"&amp;B1598)</f>
        <v/>
      </c>
      <c r="D1598" s="58"/>
      <c r="E1598" s="57"/>
      <c r="F1598" s="69"/>
      <c r="G1598" s="69"/>
      <c r="H1598" s="74" t="str">
        <f aca="false">IF(A1598="","",IFERROR(INDEX(السندات!$C$5:$C$504,MATCH(A1598,السندات!$A$5:$A$504,0)),""))</f>
        <v/>
      </c>
      <c r="I1598" s="75" t="str">
        <f aca="false">IF(A1598="","",IFERROR(INDEX(السندات!$D$5:$D$504,MATCH(A1598,السندات!$A$5:$A$504,0)),""))</f>
        <v/>
      </c>
      <c r="J1598" s="76" t="str">
        <f aca="false">IF(A1598="","",IF(ISNA(MATCH(A1598,السندات!$A$5:$A$504,0)),"رقم سند غير موجود ✘",IF(AND(F1598&lt;&gt;"",G1598&lt;&gt;""),"اكتب مدين أو دائن فقط ✘",IF(AND(N(F1598)=0,N(G1598)=0),"بدون مبلغ ⚠",IF(B1598&gt;12,"يتجاوز 12 بنداً في الطباعة ⚠","")))))</f>
        <v/>
      </c>
    </row>
    <row r="1599" customFormat="false" ht="15" hidden="false" customHeight="false" outlineLevel="0" collapsed="false">
      <c r="A1599" s="58"/>
      <c r="B1599" s="68" t="str">
        <f aca="false">IF(A1599="","",COUNTIF(A$5:A1599,A1599))</f>
        <v/>
      </c>
      <c r="C1599" s="68" t="str">
        <f aca="false">IF(A1599="","",A1599&amp;"-"&amp;B1599)</f>
        <v/>
      </c>
      <c r="D1599" s="58"/>
      <c r="E1599" s="57"/>
      <c r="F1599" s="69"/>
      <c r="G1599" s="69"/>
      <c r="H1599" s="70" t="str">
        <f aca="false">IF(A1599="","",IFERROR(INDEX(السندات!$C$5:$C$504,MATCH(A1599,السندات!$A$5:$A$504,0)),""))</f>
        <v/>
      </c>
      <c r="I1599" s="71" t="str">
        <f aca="false">IF(A1599="","",IFERROR(INDEX(السندات!$D$5:$D$504,MATCH(A1599,السندات!$A$5:$A$504,0)),""))</f>
        <v/>
      </c>
      <c r="J1599" s="72" t="str">
        <f aca="false">IF(A1599="","",IF(ISNA(MATCH(A1599,السندات!$A$5:$A$504,0)),"رقم سند غير موجود ✘",IF(AND(F1599&lt;&gt;"",G1599&lt;&gt;""),"اكتب مدين أو دائن فقط ✘",IF(AND(N(F1599)=0,N(G1599)=0),"بدون مبلغ ⚠",IF(B1599&gt;12,"يتجاوز 12 بنداً في الطباعة ⚠","")))))</f>
        <v/>
      </c>
    </row>
    <row r="1600" customFormat="false" ht="15" hidden="false" customHeight="false" outlineLevel="0" collapsed="false">
      <c r="A1600" s="58"/>
      <c r="B1600" s="73" t="str">
        <f aca="false">IF(A1600="","",COUNTIF(A$5:A1600,A1600))</f>
        <v/>
      </c>
      <c r="C1600" s="73" t="str">
        <f aca="false">IF(A1600="","",A1600&amp;"-"&amp;B1600)</f>
        <v/>
      </c>
      <c r="D1600" s="58"/>
      <c r="E1600" s="57"/>
      <c r="F1600" s="69"/>
      <c r="G1600" s="69"/>
      <c r="H1600" s="74" t="str">
        <f aca="false">IF(A1600="","",IFERROR(INDEX(السندات!$C$5:$C$504,MATCH(A1600,السندات!$A$5:$A$504,0)),""))</f>
        <v/>
      </c>
      <c r="I1600" s="75" t="str">
        <f aca="false">IF(A1600="","",IFERROR(INDEX(السندات!$D$5:$D$504,MATCH(A1600,السندات!$A$5:$A$504,0)),""))</f>
        <v/>
      </c>
      <c r="J1600" s="76" t="str">
        <f aca="false">IF(A1600="","",IF(ISNA(MATCH(A1600,السندات!$A$5:$A$504,0)),"رقم سند غير موجود ✘",IF(AND(F1600&lt;&gt;"",G1600&lt;&gt;""),"اكتب مدين أو دائن فقط ✘",IF(AND(N(F1600)=0,N(G1600)=0),"بدون مبلغ ⚠",IF(B1600&gt;12,"يتجاوز 12 بنداً في الطباعة ⚠","")))))</f>
        <v/>
      </c>
    </row>
    <row r="1601" customFormat="false" ht="15" hidden="false" customHeight="false" outlineLevel="0" collapsed="false">
      <c r="A1601" s="58"/>
      <c r="B1601" s="68" t="str">
        <f aca="false">IF(A1601="","",COUNTIF(A$5:A1601,A1601))</f>
        <v/>
      </c>
      <c r="C1601" s="68" t="str">
        <f aca="false">IF(A1601="","",A1601&amp;"-"&amp;B1601)</f>
        <v/>
      </c>
      <c r="D1601" s="58"/>
      <c r="E1601" s="57"/>
      <c r="F1601" s="69"/>
      <c r="G1601" s="69"/>
      <c r="H1601" s="70" t="str">
        <f aca="false">IF(A1601="","",IFERROR(INDEX(السندات!$C$5:$C$504,MATCH(A1601,السندات!$A$5:$A$504,0)),""))</f>
        <v/>
      </c>
      <c r="I1601" s="71" t="str">
        <f aca="false">IF(A1601="","",IFERROR(INDEX(السندات!$D$5:$D$504,MATCH(A1601,السندات!$A$5:$A$504,0)),""))</f>
        <v/>
      </c>
      <c r="J1601" s="72" t="str">
        <f aca="false">IF(A1601="","",IF(ISNA(MATCH(A1601,السندات!$A$5:$A$504,0)),"رقم سند غير موجود ✘",IF(AND(F1601&lt;&gt;"",G1601&lt;&gt;""),"اكتب مدين أو دائن فقط ✘",IF(AND(N(F1601)=0,N(G1601)=0),"بدون مبلغ ⚠",IF(B1601&gt;12,"يتجاوز 12 بنداً في الطباعة ⚠","")))))</f>
        <v/>
      </c>
    </row>
    <row r="1602" customFormat="false" ht="15" hidden="false" customHeight="false" outlineLevel="0" collapsed="false">
      <c r="A1602" s="58"/>
      <c r="B1602" s="73" t="str">
        <f aca="false">IF(A1602="","",COUNTIF(A$5:A1602,A1602))</f>
        <v/>
      </c>
      <c r="C1602" s="73" t="str">
        <f aca="false">IF(A1602="","",A1602&amp;"-"&amp;B1602)</f>
        <v/>
      </c>
      <c r="D1602" s="58"/>
      <c r="E1602" s="57"/>
      <c r="F1602" s="69"/>
      <c r="G1602" s="69"/>
      <c r="H1602" s="74" t="str">
        <f aca="false">IF(A1602="","",IFERROR(INDEX(السندات!$C$5:$C$504,MATCH(A1602,السندات!$A$5:$A$504,0)),""))</f>
        <v/>
      </c>
      <c r="I1602" s="75" t="str">
        <f aca="false">IF(A1602="","",IFERROR(INDEX(السندات!$D$5:$D$504,MATCH(A1602,السندات!$A$5:$A$504,0)),""))</f>
        <v/>
      </c>
      <c r="J1602" s="76" t="str">
        <f aca="false">IF(A1602="","",IF(ISNA(MATCH(A1602,السندات!$A$5:$A$504,0)),"رقم سند غير موجود ✘",IF(AND(F1602&lt;&gt;"",G1602&lt;&gt;""),"اكتب مدين أو دائن فقط ✘",IF(AND(N(F1602)=0,N(G1602)=0),"بدون مبلغ ⚠",IF(B1602&gt;12,"يتجاوز 12 بنداً في الطباعة ⚠","")))))</f>
        <v/>
      </c>
    </row>
    <row r="1603" customFormat="false" ht="15" hidden="false" customHeight="false" outlineLevel="0" collapsed="false">
      <c r="A1603" s="58"/>
      <c r="B1603" s="68" t="str">
        <f aca="false">IF(A1603="","",COUNTIF(A$5:A1603,A1603))</f>
        <v/>
      </c>
      <c r="C1603" s="68" t="str">
        <f aca="false">IF(A1603="","",A1603&amp;"-"&amp;B1603)</f>
        <v/>
      </c>
      <c r="D1603" s="58"/>
      <c r="E1603" s="57"/>
      <c r="F1603" s="69"/>
      <c r="G1603" s="69"/>
      <c r="H1603" s="70" t="str">
        <f aca="false">IF(A1603="","",IFERROR(INDEX(السندات!$C$5:$C$504,MATCH(A1603,السندات!$A$5:$A$504,0)),""))</f>
        <v/>
      </c>
      <c r="I1603" s="71" t="str">
        <f aca="false">IF(A1603="","",IFERROR(INDEX(السندات!$D$5:$D$504,MATCH(A1603,السندات!$A$5:$A$504,0)),""))</f>
        <v/>
      </c>
      <c r="J1603" s="72" t="str">
        <f aca="false">IF(A1603="","",IF(ISNA(MATCH(A1603,السندات!$A$5:$A$504,0)),"رقم سند غير موجود ✘",IF(AND(F1603&lt;&gt;"",G1603&lt;&gt;""),"اكتب مدين أو دائن فقط ✘",IF(AND(N(F1603)=0,N(G1603)=0),"بدون مبلغ ⚠",IF(B1603&gt;12,"يتجاوز 12 بنداً في الطباعة ⚠","")))))</f>
        <v/>
      </c>
    </row>
    <row r="1604" customFormat="false" ht="15" hidden="false" customHeight="false" outlineLevel="0" collapsed="false">
      <c r="A1604" s="58"/>
      <c r="B1604" s="73" t="str">
        <f aca="false">IF(A1604="","",COUNTIF(A$5:A1604,A1604))</f>
        <v/>
      </c>
      <c r="C1604" s="73" t="str">
        <f aca="false">IF(A1604="","",A1604&amp;"-"&amp;B1604)</f>
        <v/>
      </c>
      <c r="D1604" s="58"/>
      <c r="E1604" s="57"/>
      <c r="F1604" s="69"/>
      <c r="G1604" s="69"/>
      <c r="H1604" s="74" t="str">
        <f aca="false">IF(A1604="","",IFERROR(INDEX(السندات!$C$5:$C$504,MATCH(A1604,السندات!$A$5:$A$504,0)),""))</f>
        <v/>
      </c>
      <c r="I1604" s="75" t="str">
        <f aca="false">IF(A1604="","",IFERROR(INDEX(السندات!$D$5:$D$504,MATCH(A1604,السندات!$A$5:$A$504,0)),""))</f>
        <v/>
      </c>
      <c r="J1604" s="76" t="str">
        <f aca="false">IF(A1604="","",IF(ISNA(MATCH(A1604,السندات!$A$5:$A$504,0)),"رقم سند غير موجود ✘",IF(AND(F1604&lt;&gt;"",G1604&lt;&gt;""),"اكتب مدين أو دائن فقط ✘",IF(AND(N(F1604)=0,N(G1604)=0),"بدون مبلغ ⚠",IF(B1604&gt;12,"يتجاوز 12 بنداً في الطباعة ⚠","")))))</f>
        <v/>
      </c>
    </row>
    <row r="1605" customFormat="false" ht="15" hidden="false" customHeight="false" outlineLevel="0" collapsed="false">
      <c r="A1605" s="58"/>
      <c r="B1605" s="68" t="str">
        <f aca="false">IF(A1605="","",COUNTIF(A$5:A1605,A1605))</f>
        <v/>
      </c>
      <c r="C1605" s="68" t="str">
        <f aca="false">IF(A1605="","",A1605&amp;"-"&amp;B1605)</f>
        <v/>
      </c>
      <c r="D1605" s="58"/>
      <c r="E1605" s="57"/>
      <c r="F1605" s="69"/>
      <c r="G1605" s="69"/>
      <c r="H1605" s="70" t="str">
        <f aca="false">IF(A1605="","",IFERROR(INDEX(السندات!$C$5:$C$504,MATCH(A1605,السندات!$A$5:$A$504,0)),""))</f>
        <v/>
      </c>
      <c r="I1605" s="71" t="str">
        <f aca="false">IF(A1605="","",IFERROR(INDEX(السندات!$D$5:$D$504,MATCH(A1605,السندات!$A$5:$A$504,0)),""))</f>
        <v/>
      </c>
      <c r="J1605" s="72" t="str">
        <f aca="false">IF(A1605="","",IF(ISNA(MATCH(A1605,السندات!$A$5:$A$504,0)),"رقم سند غير موجود ✘",IF(AND(F1605&lt;&gt;"",G1605&lt;&gt;""),"اكتب مدين أو دائن فقط ✘",IF(AND(N(F1605)=0,N(G1605)=0),"بدون مبلغ ⚠",IF(B1605&gt;12,"يتجاوز 12 بنداً في الطباعة ⚠","")))))</f>
        <v/>
      </c>
    </row>
    <row r="1606" customFormat="false" ht="15" hidden="false" customHeight="false" outlineLevel="0" collapsed="false">
      <c r="A1606" s="58"/>
      <c r="B1606" s="73" t="str">
        <f aca="false">IF(A1606="","",COUNTIF(A$5:A1606,A1606))</f>
        <v/>
      </c>
      <c r="C1606" s="73" t="str">
        <f aca="false">IF(A1606="","",A1606&amp;"-"&amp;B1606)</f>
        <v/>
      </c>
      <c r="D1606" s="58"/>
      <c r="E1606" s="57"/>
      <c r="F1606" s="69"/>
      <c r="G1606" s="69"/>
      <c r="H1606" s="74" t="str">
        <f aca="false">IF(A1606="","",IFERROR(INDEX(السندات!$C$5:$C$504,MATCH(A1606,السندات!$A$5:$A$504,0)),""))</f>
        <v/>
      </c>
      <c r="I1606" s="75" t="str">
        <f aca="false">IF(A1606="","",IFERROR(INDEX(السندات!$D$5:$D$504,MATCH(A1606,السندات!$A$5:$A$504,0)),""))</f>
        <v/>
      </c>
      <c r="J1606" s="76" t="str">
        <f aca="false">IF(A1606="","",IF(ISNA(MATCH(A1606,السندات!$A$5:$A$504,0)),"رقم سند غير موجود ✘",IF(AND(F1606&lt;&gt;"",G1606&lt;&gt;""),"اكتب مدين أو دائن فقط ✘",IF(AND(N(F1606)=0,N(G1606)=0),"بدون مبلغ ⚠",IF(B1606&gt;12,"يتجاوز 12 بنداً في الطباعة ⚠","")))))</f>
        <v/>
      </c>
    </row>
    <row r="1607" customFormat="false" ht="15" hidden="false" customHeight="false" outlineLevel="0" collapsed="false">
      <c r="A1607" s="58"/>
      <c r="B1607" s="68" t="str">
        <f aca="false">IF(A1607="","",COUNTIF(A$5:A1607,A1607))</f>
        <v/>
      </c>
      <c r="C1607" s="68" t="str">
        <f aca="false">IF(A1607="","",A1607&amp;"-"&amp;B1607)</f>
        <v/>
      </c>
      <c r="D1607" s="58"/>
      <c r="E1607" s="57"/>
      <c r="F1607" s="69"/>
      <c r="G1607" s="69"/>
      <c r="H1607" s="70" t="str">
        <f aca="false">IF(A1607="","",IFERROR(INDEX(السندات!$C$5:$C$504,MATCH(A1607,السندات!$A$5:$A$504,0)),""))</f>
        <v/>
      </c>
      <c r="I1607" s="71" t="str">
        <f aca="false">IF(A1607="","",IFERROR(INDEX(السندات!$D$5:$D$504,MATCH(A1607,السندات!$A$5:$A$504,0)),""))</f>
        <v/>
      </c>
      <c r="J1607" s="72" t="str">
        <f aca="false">IF(A1607="","",IF(ISNA(MATCH(A1607,السندات!$A$5:$A$504,0)),"رقم سند غير موجود ✘",IF(AND(F1607&lt;&gt;"",G1607&lt;&gt;""),"اكتب مدين أو دائن فقط ✘",IF(AND(N(F1607)=0,N(G1607)=0),"بدون مبلغ ⚠",IF(B1607&gt;12,"يتجاوز 12 بنداً في الطباعة ⚠","")))))</f>
        <v/>
      </c>
    </row>
    <row r="1608" customFormat="false" ht="15" hidden="false" customHeight="false" outlineLevel="0" collapsed="false">
      <c r="A1608" s="58"/>
      <c r="B1608" s="73" t="str">
        <f aca="false">IF(A1608="","",COUNTIF(A$5:A1608,A1608))</f>
        <v/>
      </c>
      <c r="C1608" s="73" t="str">
        <f aca="false">IF(A1608="","",A1608&amp;"-"&amp;B1608)</f>
        <v/>
      </c>
      <c r="D1608" s="58"/>
      <c r="E1608" s="57"/>
      <c r="F1608" s="69"/>
      <c r="G1608" s="69"/>
      <c r="H1608" s="74" t="str">
        <f aca="false">IF(A1608="","",IFERROR(INDEX(السندات!$C$5:$C$504,MATCH(A1608,السندات!$A$5:$A$504,0)),""))</f>
        <v/>
      </c>
      <c r="I1608" s="75" t="str">
        <f aca="false">IF(A1608="","",IFERROR(INDEX(السندات!$D$5:$D$504,MATCH(A1608,السندات!$A$5:$A$504,0)),""))</f>
        <v/>
      </c>
      <c r="J1608" s="76" t="str">
        <f aca="false">IF(A1608="","",IF(ISNA(MATCH(A1608,السندات!$A$5:$A$504,0)),"رقم سند غير موجود ✘",IF(AND(F1608&lt;&gt;"",G1608&lt;&gt;""),"اكتب مدين أو دائن فقط ✘",IF(AND(N(F1608)=0,N(G1608)=0),"بدون مبلغ ⚠",IF(B1608&gt;12,"يتجاوز 12 بنداً في الطباعة ⚠","")))))</f>
        <v/>
      </c>
    </row>
    <row r="1609" customFormat="false" ht="15" hidden="false" customHeight="false" outlineLevel="0" collapsed="false">
      <c r="A1609" s="58"/>
      <c r="B1609" s="68" t="str">
        <f aca="false">IF(A1609="","",COUNTIF(A$5:A1609,A1609))</f>
        <v/>
      </c>
      <c r="C1609" s="68" t="str">
        <f aca="false">IF(A1609="","",A1609&amp;"-"&amp;B1609)</f>
        <v/>
      </c>
      <c r="D1609" s="58"/>
      <c r="E1609" s="57"/>
      <c r="F1609" s="69"/>
      <c r="G1609" s="69"/>
      <c r="H1609" s="70" t="str">
        <f aca="false">IF(A1609="","",IFERROR(INDEX(السندات!$C$5:$C$504,MATCH(A1609,السندات!$A$5:$A$504,0)),""))</f>
        <v/>
      </c>
      <c r="I1609" s="71" t="str">
        <f aca="false">IF(A1609="","",IFERROR(INDEX(السندات!$D$5:$D$504,MATCH(A1609,السندات!$A$5:$A$504,0)),""))</f>
        <v/>
      </c>
      <c r="J1609" s="72" t="str">
        <f aca="false">IF(A1609="","",IF(ISNA(MATCH(A1609,السندات!$A$5:$A$504,0)),"رقم سند غير موجود ✘",IF(AND(F1609&lt;&gt;"",G1609&lt;&gt;""),"اكتب مدين أو دائن فقط ✘",IF(AND(N(F1609)=0,N(G1609)=0),"بدون مبلغ ⚠",IF(B1609&gt;12,"يتجاوز 12 بنداً في الطباعة ⚠","")))))</f>
        <v/>
      </c>
    </row>
    <row r="1610" customFormat="false" ht="15" hidden="false" customHeight="false" outlineLevel="0" collapsed="false">
      <c r="A1610" s="58"/>
      <c r="B1610" s="73" t="str">
        <f aca="false">IF(A1610="","",COUNTIF(A$5:A1610,A1610))</f>
        <v/>
      </c>
      <c r="C1610" s="73" t="str">
        <f aca="false">IF(A1610="","",A1610&amp;"-"&amp;B1610)</f>
        <v/>
      </c>
      <c r="D1610" s="58"/>
      <c r="E1610" s="57"/>
      <c r="F1610" s="69"/>
      <c r="G1610" s="69"/>
      <c r="H1610" s="74" t="str">
        <f aca="false">IF(A1610="","",IFERROR(INDEX(السندات!$C$5:$C$504,MATCH(A1610,السندات!$A$5:$A$504,0)),""))</f>
        <v/>
      </c>
      <c r="I1610" s="75" t="str">
        <f aca="false">IF(A1610="","",IFERROR(INDEX(السندات!$D$5:$D$504,MATCH(A1610,السندات!$A$5:$A$504,0)),""))</f>
        <v/>
      </c>
      <c r="J1610" s="76" t="str">
        <f aca="false">IF(A1610="","",IF(ISNA(MATCH(A1610,السندات!$A$5:$A$504,0)),"رقم سند غير موجود ✘",IF(AND(F1610&lt;&gt;"",G1610&lt;&gt;""),"اكتب مدين أو دائن فقط ✘",IF(AND(N(F1610)=0,N(G1610)=0),"بدون مبلغ ⚠",IF(B1610&gt;12,"يتجاوز 12 بنداً في الطباعة ⚠","")))))</f>
        <v/>
      </c>
    </row>
    <row r="1611" customFormat="false" ht="15" hidden="false" customHeight="false" outlineLevel="0" collapsed="false">
      <c r="A1611" s="58"/>
      <c r="B1611" s="68" t="str">
        <f aca="false">IF(A1611="","",COUNTIF(A$5:A1611,A1611))</f>
        <v/>
      </c>
      <c r="C1611" s="68" t="str">
        <f aca="false">IF(A1611="","",A1611&amp;"-"&amp;B1611)</f>
        <v/>
      </c>
      <c r="D1611" s="58"/>
      <c r="E1611" s="57"/>
      <c r="F1611" s="69"/>
      <c r="G1611" s="69"/>
      <c r="H1611" s="70" t="str">
        <f aca="false">IF(A1611="","",IFERROR(INDEX(السندات!$C$5:$C$504,MATCH(A1611,السندات!$A$5:$A$504,0)),""))</f>
        <v/>
      </c>
      <c r="I1611" s="71" t="str">
        <f aca="false">IF(A1611="","",IFERROR(INDEX(السندات!$D$5:$D$504,MATCH(A1611,السندات!$A$5:$A$504,0)),""))</f>
        <v/>
      </c>
      <c r="J1611" s="72" t="str">
        <f aca="false">IF(A1611="","",IF(ISNA(MATCH(A1611,السندات!$A$5:$A$504,0)),"رقم سند غير موجود ✘",IF(AND(F1611&lt;&gt;"",G1611&lt;&gt;""),"اكتب مدين أو دائن فقط ✘",IF(AND(N(F1611)=0,N(G1611)=0),"بدون مبلغ ⚠",IF(B1611&gt;12,"يتجاوز 12 بنداً في الطباعة ⚠","")))))</f>
        <v/>
      </c>
    </row>
    <row r="1612" customFormat="false" ht="15" hidden="false" customHeight="false" outlineLevel="0" collapsed="false">
      <c r="A1612" s="58"/>
      <c r="B1612" s="73" t="str">
        <f aca="false">IF(A1612="","",COUNTIF(A$5:A1612,A1612))</f>
        <v/>
      </c>
      <c r="C1612" s="73" t="str">
        <f aca="false">IF(A1612="","",A1612&amp;"-"&amp;B1612)</f>
        <v/>
      </c>
      <c r="D1612" s="58"/>
      <c r="E1612" s="57"/>
      <c r="F1612" s="69"/>
      <c r="G1612" s="69"/>
      <c r="H1612" s="74" t="str">
        <f aca="false">IF(A1612="","",IFERROR(INDEX(السندات!$C$5:$C$504,MATCH(A1612,السندات!$A$5:$A$504,0)),""))</f>
        <v/>
      </c>
      <c r="I1612" s="75" t="str">
        <f aca="false">IF(A1612="","",IFERROR(INDEX(السندات!$D$5:$D$504,MATCH(A1612,السندات!$A$5:$A$504,0)),""))</f>
        <v/>
      </c>
      <c r="J1612" s="76" t="str">
        <f aca="false">IF(A1612="","",IF(ISNA(MATCH(A1612,السندات!$A$5:$A$504,0)),"رقم سند غير موجود ✘",IF(AND(F1612&lt;&gt;"",G1612&lt;&gt;""),"اكتب مدين أو دائن فقط ✘",IF(AND(N(F1612)=0,N(G1612)=0),"بدون مبلغ ⚠",IF(B1612&gt;12,"يتجاوز 12 بنداً في الطباعة ⚠","")))))</f>
        <v/>
      </c>
    </row>
    <row r="1613" customFormat="false" ht="15" hidden="false" customHeight="false" outlineLevel="0" collapsed="false">
      <c r="A1613" s="58"/>
      <c r="B1613" s="68" t="str">
        <f aca="false">IF(A1613="","",COUNTIF(A$5:A1613,A1613))</f>
        <v/>
      </c>
      <c r="C1613" s="68" t="str">
        <f aca="false">IF(A1613="","",A1613&amp;"-"&amp;B1613)</f>
        <v/>
      </c>
      <c r="D1613" s="58"/>
      <c r="E1613" s="57"/>
      <c r="F1613" s="69"/>
      <c r="G1613" s="69"/>
      <c r="H1613" s="70" t="str">
        <f aca="false">IF(A1613="","",IFERROR(INDEX(السندات!$C$5:$C$504,MATCH(A1613,السندات!$A$5:$A$504,0)),""))</f>
        <v/>
      </c>
      <c r="I1613" s="71" t="str">
        <f aca="false">IF(A1613="","",IFERROR(INDEX(السندات!$D$5:$D$504,MATCH(A1613,السندات!$A$5:$A$504,0)),""))</f>
        <v/>
      </c>
      <c r="J1613" s="72" t="str">
        <f aca="false">IF(A1613="","",IF(ISNA(MATCH(A1613,السندات!$A$5:$A$504,0)),"رقم سند غير موجود ✘",IF(AND(F1613&lt;&gt;"",G1613&lt;&gt;""),"اكتب مدين أو دائن فقط ✘",IF(AND(N(F1613)=0,N(G1613)=0),"بدون مبلغ ⚠",IF(B1613&gt;12,"يتجاوز 12 بنداً في الطباعة ⚠","")))))</f>
        <v/>
      </c>
    </row>
    <row r="1614" customFormat="false" ht="15" hidden="false" customHeight="false" outlineLevel="0" collapsed="false">
      <c r="A1614" s="58"/>
      <c r="B1614" s="73" t="str">
        <f aca="false">IF(A1614="","",COUNTIF(A$5:A1614,A1614))</f>
        <v/>
      </c>
      <c r="C1614" s="73" t="str">
        <f aca="false">IF(A1614="","",A1614&amp;"-"&amp;B1614)</f>
        <v/>
      </c>
      <c r="D1614" s="58"/>
      <c r="E1614" s="57"/>
      <c r="F1614" s="69"/>
      <c r="G1614" s="69"/>
      <c r="H1614" s="74" t="str">
        <f aca="false">IF(A1614="","",IFERROR(INDEX(السندات!$C$5:$C$504,MATCH(A1614,السندات!$A$5:$A$504,0)),""))</f>
        <v/>
      </c>
      <c r="I1614" s="75" t="str">
        <f aca="false">IF(A1614="","",IFERROR(INDEX(السندات!$D$5:$D$504,MATCH(A1614,السندات!$A$5:$A$504,0)),""))</f>
        <v/>
      </c>
      <c r="J1614" s="76" t="str">
        <f aca="false">IF(A1614="","",IF(ISNA(MATCH(A1614,السندات!$A$5:$A$504,0)),"رقم سند غير موجود ✘",IF(AND(F1614&lt;&gt;"",G1614&lt;&gt;""),"اكتب مدين أو دائن فقط ✘",IF(AND(N(F1614)=0,N(G1614)=0),"بدون مبلغ ⚠",IF(B1614&gt;12,"يتجاوز 12 بنداً في الطباعة ⚠","")))))</f>
        <v/>
      </c>
    </row>
    <row r="1615" customFormat="false" ht="15" hidden="false" customHeight="false" outlineLevel="0" collapsed="false">
      <c r="A1615" s="58"/>
      <c r="B1615" s="68" t="str">
        <f aca="false">IF(A1615="","",COUNTIF(A$5:A1615,A1615))</f>
        <v/>
      </c>
      <c r="C1615" s="68" t="str">
        <f aca="false">IF(A1615="","",A1615&amp;"-"&amp;B1615)</f>
        <v/>
      </c>
      <c r="D1615" s="58"/>
      <c r="E1615" s="57"/>
      <c r="F1615" s="69"/>
      <c r="G1615" s="69"/>
      <c r="H1615" s="70" t="str">
        <f aca="false">IF(A1615="","",IFERROR(INDEX(السندات!$C$5:$C$504,MATCH(A1615,السندات!$A$5:$A$504,0)),""))</f>
        <v/>
      </c>
      <c r="I1615" s="71" t="str">
        <f aca="false">IF(A1615="","",IFERROR(INDEX(السندات!$D$5:$D$504,MATCH(A1615,السندات!$A$5:$A$504,0)),""))</f>
        <v/>
      </c>
      <c r="J1615" s="72" t="str">
        <f aca="false">IF(A1615="","",IF(ISNA(MATCH(A1615,السندات!$A$5:$A$504,0)),"رقم سند غير موجود ✘",IF(AND(F1615&lt;&gt;"",G1615&lt;&gt;""),"اكتب مدين أو دائن فقط ✘",IF(AND(N(F1615)=0,N(G1615)=0),"بدون مبلغ ⚠",IF(B1615&gt;12,"يتجاوز 12 بنداً في الطباعة ⚠","")))))</f>
        <v/>
      </c>
    </row>
    <row r="1616" customFormat="false" ht="15" hidden="false" customHeight="false" outlineLevel="0" collapsed="false">
      <c r="A1616" s="58"/>
      <c r="B1616" s="73" t="str">
        <f aca="false">IF(A1616="","",COUNTIF(A$5:A1616,A1616))</f>
        <v/>
      </c>
      <c r="C1616" s="73" t="str">
        <f aca="false">IF(A1616="","",A1616&amp;"-"&amp;B1616)</f>
        <v/>
      </c>
      <c r="D1616" s="58"/>
      <c r="E1616" s="57"/>
      <c r="F1616" s="69"/>
      <c r="G1616" s="69"/>
      <c r="H1616" s="74" t="str">
        <f aca="false">IF(A1616="","",IFERROR(INDEX(السندات!$C$5:$C$504,MATCH(A1616,السندات!$A$5:$A$504,0)),""))</f>
        <v/>
      </c>
      <c r="I1616" s="75" t="str">
        <f aca="false">IF(A1616="","",IFERROR(INDEX(السندات!$D$5:$D$504,MATCH(A1616,السندات!$A$5:$A$504,0)),""))</f>
        <v/>
      </c>
      <c r="J1616" s="76" t="str">
        <f aca="false">IF(A1616="","",IF(ISNA(MATCH(A1616,السندات!$A$5:$A$504,0)),"رقم سند غير موجود ✘",IF(AND(F1616&lt;&gt;"",G1616&lt;&gt;""),"اكتب مدين أو دائن فقط ✘",IF(AND(N(F1616)=0,N(G1616)=0),"بدون مبلغ ⚠",IF(B1616&gt;12,"يتجاوز 12 بنداً في الطباعة ⚠","")))))</f>
        <v/>
      </c>
    </row>
    <row r="1617" customFormat="false" ht="15" hidden="false" customHeight="false" outlineLevel="0" collapsed="false">
      <c r="A1617" s="58"/>
      <c r="B1617" s="68" t="str">
        <f aca="false">IF(A1617="","",COUNTIF(A$5:A1617,A1617))</f>
        <v/>
      </c>
      <c r="C1617" s="68" t="str">
        <f aca="false">IF(A1617="","",A1617&amp;"-"&amp;B1617)</f>
        <v/>
      </c>
      <c r="D1617" s="58"/>
      <c r="E1617" s="57"/>
      <c r="F1617" s="69"/>
      <c r="G1617" s="69"/>
      <c r="H1617" s="70" t="str">
        <f aca="false">IF(A1617="","",IFERROR(INDEX(السندات!$C$5:$C$504,MATCH(A1617,السندات!$A$5:$A$504,0)),""))</f>
        <v/>
      </c>
      <c r="I1617" s="71" t="str">
        <f aca="false">IF(A1617="","",IFERROR(INDEX(السندات!$D$5:$D$504,MATCH(A1617,السندات!$A$5:$A$504,0)),""))</f>
        <v/>
      </c>
      <c r="J1617" s="72" t="str">
        <f aca="false">IF(A1617="","",IF(ISNA(MATCH(A1617,السندات!$A$5:$A$504,0)),"رقم سند غير موجود ✘",IF(AND(F1617&lt;&gt;"",G1617&lt;&gt;""),"اكتب مدين أو دائن فقط ✘",IF(AND(N(F1617)=0,N(G1617)=0),"بدون مبلغ ⚠",IF(B1617&gt;12,"يتجاوز 12 بنداً في الطباعة ⚠","")))))</f>
        <v/>
      </c>
    </row>
    <row r="1618" customFormat="false" ht="15" hidden="false" customHeight="false" outlineLevel="0" collapsed="false">
      <c r="A1618" s="58"/>
      <c r="B1618" s="73" t="str">
        <f aca="false">IF(A1618="","",COUNTIF(A$5:A1618,A1618))</f>
        <v/>
      </c>
      <c r="C1618" s="73" t="str">
        <f aca="false">IF(A1618="","",A1618&amp;"-"&amp;B1618)</f>
        <v/>
      </c>
      <c r="D1618" s="58"/>
      <c r="E1618" s="57"/>
      <c r="F1618" s="69"/>
      <c r="G1618" s="69"/>
      <c r="H1618" s="74" t="str">
        <f aca="false">IF(A1618="","",IFERROR(INDEX(السندات!$C$5:$C$504,MATCH(A1618,السندات!$A$5:$A$504,0)),""))</f>
        <v/>
      </c>
      <c r="I1618" s="75" t="str">
        <f aca="false">IF(A1618="","",IFERROR(INDEX(السندات!$D$5:$D$504,MATCH(A1618,السندات!$A$5:$A$504,0)),""))</f>
        <v/>
      </c>
      <c r="J1618" s="76" t="str">
        <f aca="false">IF(A1618="","",IF(ISNA(MATCH(A1618,السندات!$A$5:$A$504,0)),"رقم سند غير موجود ✘",IF(AND(F1618&lt;&gt;"",G1618&lt;&gt;""),"اكتب مدين أو دائن فقط ✘",IF(AND(N(F1618)=0,N(G1618)=0),"بدون مبلغ ⚠",IF(B1618&gt;12,"يتجاوز 12 بنداً في الطباعة ⚠","")))))</f>
        <v/>
      </c>
    </row>
    <row r="1619" customFormat="false" ht="15" hidden="false" customHeight="false" outlineLevel="0" collapsed="false">
      <c r="A1619" s="58"/>
      <c r="B1619" s="68" t="str">
        <f aca="false">IF(A1619="","",COUNTIF(A$5:A1619,A1619))</f>
        <v/>
      </c>
      <c r="C1619" s="68" t="str">
        <f aca="false">IF(A1619="","",A1619&amp;"-"&amp;B1619)</f>
        <v/>
      </c>
      <c r="D1619" s="58"/>
      <c r="E1619" s="57"/>
      <c r="F1619" s="69"/>
      <c r="G1619" s="69"/>
      <c r="H1619" s="70" t="str">
        <f aca="false">IF(A1619="","",IFERROR(INDEX(السندات!$C$5:$C$504,MATCH(A1619,السندات!$A$5:$A$504,0)),""))</f>
        <v/>
      </c>
      <c r="I1619" s="71" t="str">
        <f aca="false">IF(A1619="","",IFERROR(INDEX(السندات!$D$5:$D$504,MATCH(A1619,السندات!$A$5:$A$504,0)),""))</f>
        <v/>
      </c>
      <c r="J1619" s="72" t="str">
        <f aca="false">IF(A1619="","",IF(ISNA(MATCH(A1619,السندات!$A$5:$A$504,0)),"رقم سند غير موجود ✘",IF(AND(F1619&lt;&gt;"",G1619&lt;&gt;""),"اكتب مدين أو دائن فقط ✘",IF(AND(N(F1619)=0,N(G1619)=0),"بدون مبلغ ⚠",IF(B1619&gt;12,"يتجاوز 12 بنداً في الطباعة ⚠","")))))</f>
        <v/>
      </c>
    </row>
    <row r="1620" customFormat="false" ht="15" hidden="false" customHeight="false" outlineLevel="0" collapsed="false">
      <c r="A1620" s="58"/>
      <c r="B1620" s="73" t="str">
        <f aca="false">IF(A1620="","",COUNTIF(A$5:A1620,A1620))</f>
        <v/>
      </c>
      <c r="C1620" s="73" t="str">
        <f aca="false">IF(A1620="","",A1620&amp;"-"&amp;B1620)</f>
        <v/>
      </c>
      <c r="D1620" s="58"/>
      <c r="E1620" s="57"/>
      <c r="F1620" s="69"/>
      <c r="G1620" s="69"/>
      <c r="H1620" s="74" t="str">
        <f aca="false">IF(A1620="","",IFERROR(INDEX(السندات!$C$5:$C$504,MATCH(A1620,السندات!$A$5:$A$504,0)),""))</f>
        <v/>
      </c>
      <c r="I1620" s="75" t="str">
        <f aca="false">IF(A1620="","",IFERROR(INDEX(السندات!$D$5:$D$504,MATCH(A1620,السندات!$A$5:$A$504,0)),""))</f>
        <v/>
      </c>
      <c r="J1620" s="76" t="str">
        <f aca="false">IF(A1620="","",IF(ISNA(MATCH(A1620,السندات!$A$5:$A$504,0)),"رقم سند غير موجود ✘",IF(AND(F1620&lt;&gt;"",G1620&lt;&gt;""),"اكتب مدين أو دائن فقط ✘",IF(AND(N(F1620)=0,N(G1620)=0),"بدون مبلغ ⚠",IF(B1620&gt;12,"يتجاوز 12 بنداً في الطباعة ⚠","")))))</f>
        <v/>
      </c>
    </row>
    <row r="1621" customFormat="false" ht="15" hidden="false" customHeight="false" outlineLevel="0" collapsed="false">
      <c r="A1621" s="58"/>
      <c r="B1621" s="68" t="str">
        <f aca="false">IF(A1621="","",COUNTIF(A$5:A1621,A1621))</f>
        <v/>
      </c>
      <c r="C1621" s="68" t="str">
        <f aca="false">IF(A1621="","",A1621&amp;"-"&amp;B1621)</f>
        <v/>
      </c>
      <c r="D1621" s="58"/>
      <c r="E1621" s="57"/>
      <c r="F1621" s="69"/>
      <c r="G1621" s="69"/>
      <c r="H1621" s="70" t="str">
        <f aca="false">IF(A1621="","",IFERROR(INDEX(السندات!$C$5:$C$504,MATCH(A1621,السندات!$A$5:$A$504,0)),""))</f>
        <v/>
      </c>
      <c r="I1621" s="71" t="str">
        <f aca="false">IF(A1621="","",IFERROR(INDEX(السندات!$D$5:$D$504,MATCH(A1621,السندات!$A$5:$A$504,0)),""))</f>
        <v/>
      </c>
      <c r="J1621" s="72" t="str">
        <f aca="false">IF(A1621="","",IF(ISNA(MATCH(A1621,السندات!$A$5:$A$504,0)),"رقم سند غير موجود ✘",IF(AND(F1621&lt;&gt;"",G1621&lt;&gt;""),"اكتب مدين أو دائن فقط ✘",IF(AND(N(F1621)=0,N(G1621)=0),"بدون مبلغ ⚠",IF(B1621&gt;12,"يتجاوز 12 بنداً في الطباعة ⚠","")))))</f>
        <v/>
      </c>
    </row>
    <row r="1622" customFormat="false" ht="15" hidden="false" customHeight="false" outlineLevel="0" collapsed="false">
      <c r="A1622" s="58"/>
      <c r="B1622" s="73" t="str">
        <f aca="false">IF(A1622="","",COUNTIF(A$5:A1622,A1622))</f>
        <v/>
      </c>
      <c r="C1622" s="73" t="str">
        <f aca="false">IF(A1622="","",A1622&amp;"-"&amp;B1622)</f>
        <v/>
      </c>
      <c r="D1622" s="58"/>
      <c r="E1622" s="57"/>
      <c r="F1622" s="69"/>
      <c r="G1622" s="69"/>
      <c r="H1622" s="74" t="str">
        <f aca="false">IF(A1622="","",IFERROR(INDEX(السندات!$C$5:$C$504,MATCH(A1622,السندات!$A$5:$A$504,0)),""))</f>
        <v/>
      </c>
      <c r="I1622" s="75" t="str">
        <f aca="false">IF(A1622="","",IFERROR(INDEX(السندات!$D$5:$D$504,MATCH(A1622,السندات!$A$5:$A$504,0)),""))</f>
        <v/>
      </c>
      <c r="J1622" s="76" t="str">
        <f aca="false">IF(A1622="","",IF(ISNA(MATCH(A1622,السندات!$A$5:$A$504,0)),"رقم سند غير موجود ✘",IF(AND(F1622&lt;&gt;"",G1622&lt;&gt;""),"اكتب مدين أو دائن فقط ✘",IF(AND(N(F1622)=0,N(G1622)=0),"بدون مبلغ ⚠",IF(B1622&gt;12,"يتجاوز 12 بنداً في الطباعة ⚠","")))))</f>
        <v/>
      </c>
    </row>
    <row r="1623" customFormat="false" ht="15" hidden="false" customHeight="false" outlineLevel="0" collapsed="false">
      <c r="A1623" s="58"/>
      <c r="B1623" s="68" t="str">
        <f aca="false">IF(A1623="","",COUNTIF(A$5:A1623,A1623))</f>
        <v/>
      </c>
      <c r="C1623" s="68" t="str">
        <f aca="false">IF(A1623="","",A1623&amp;"-"&amp;B1623)</f>
        <v/>
      </c>
      <c r="D1623" s="58"/>
      <c r="E1623" s="57"/>
      <c r="F1623" s="69"/>
      <c r="G1623" s="69"/>
      <c r="H1623" s="70" t="str">
        <f aca="false">IF(A1623="","",IFERROR(INDEX(السندات!$C$5:$C$504,MATCH(A1623,السندات!$A$5:$A$504,0)),""))</f>
        <v/>
      </c>
      <c r="I1623" s="71" t="str">
        <f aca="false">IF(A1623="","",IFERROR(INDEX(السندات!$D$5:$D$504,MATCH(A1623,السندات!$A$5:$A$504,0)),""))</f>
        <v/>
      </c>
      <c r="J1623" s="72" t="str">
        <f aca="false">IF(A1623="","",IF(ISNA(MATCH(A1623,السندات!$A$5:$A$504,0)),"رقم سند غير موجود ✘",IF(AND(F1623&lt;&gt;"",G1623&lt;&gt;""),"اكتب مدين أو دائن فقط ✘",IF(AND(N(F1623)=0,N(G1623)=0),"بدون مبلغ ⚠",IF(B1623&gt;12,"يتجاوز 12 بنداً في الطباعة ⚠","")))))</f>
        <v/>
      </c>
    </row>
    <row r="1624" customFormat="false" ht="15" hidden="false" customHeight="false" outlineLevel="0" collapsed="false">
      <c r="A1624" s="58"/>
      <c r="B1624" s="73" t="str">
        <f aca="false">IF(A1624="","",COUNTIF(A$5:A1624,A1624))</f>
        <v/>
      </c>
      <c r="C1624" s="73" t="str">
        <f aca="false">IF(A1624="","",A1624&amp;"-"&amp;B1624)</f>
        <v/>
      </c>
      <c r="D1624" s="58"/>
      <c r="E1624" s="57"/>
      <c r="F1624" s="69"/>
      <c r="G1624" s="69"/>
      <c r="H1624" s="74" t="str">
        <f aca="false">IF(A1624="","",IFERROR(INDEX(السندات!$C$5:$C$504,MATCH(A1624,السندات!$A$5:$A$504,0)),""))</f>
        <v/>
      </c>
      <c r="I1624" s="75" t="str">
        <f aca="false">IF(A1624="","",IFERROR(INDEX(السندات!$D$5:$D$504,MATCH(A1624,السندات!$A$5:$A$504,0)),""))</f>
        <v/>
      </c>
      <c r="J1624" s="76" t="str">
        <f aca="false">IF(A1624="","",IF(ISNA(MATCH(A1624,السندات!$A$5:$A$504,0)),"رقم سند غير موجود ✘",IF(AND(F1624&lt;&gt;"",G1624&lt;&gt;""),"اكتب مدين أو دائن فقط ✘",IF(AND(N(F1624)=0,N(G1624)=0),"بدون مبلغ ⚠",IF(B1624&gt;12,"يتجاوز 12 بنداً في الطباعة ⚠","")))))</f>
        <v/>
      </c>
    </row>
    <row r="1625" customFormat="false" ht="15" hidden="false" customHeight="false" outlineLevel="0" collapsed="false">
      <c r="A1625" s="58"/>
      <c r="B1625" s="68" t="str">
        <f aca="false">IF(A1625="","",COUNTIF(A$5:A1625,A1625))</f>
        <v/>
      </c>
      <c r="C1625" s="68" t="str">
        <f aca="false">IF(A1625="","",A1625&amp;"-"&amp;B1625)</f>
        <v/>
      </c>
      <c r="D1625" s="58"/>
      <c r="E1625" s="57"/>
      <c r="F1625" s="69"/>
      <c r="G1625" s="69"/>
      <c r="H1625" s="70" t="str">
        <f aca="false">IF(A1625="","",IFERROR(INDEX(السندات!$C$5:$C$504,MATCH(A1625,السندات!$A$5:$A$504,0)),""))</f>
        <v/>
      </c>
      <c r="I1625" s="71" t="str">
        <f aca="false">IF(A1625="","",IFERROR(INDEX(السندات!$D$5:$D$504,MATCH(A1625,السندات!$A$5:$A$504,0)),""))</f>
        <v/>
      </c>
      <c r="J1625" s="72" t="str">
        <f aca="false">IF(A1625="","",IF(ISNA(MATCH(A1625,السندات!$A$5:$A$504,0)),"رقم سند غير موجود ✘",IF(AND(F1625&lt;&gt;"",G1625&lt;&gt;""),"اكتب مدين أو دائن فقط ✘",IF(AND(N(F1625)=0,N(G1625)=0),"بدون مبلغ ⚠",IF(B1625&gt;12,"يتجاوز 12 بنداً في الطباعة ⚠","")))))</f>
        <v/>
      </c>
    </row>
    <row r="1626" customFormat="false" ht="15" hidden="false" customHeight="false" outlineLevel="0" collapsed="false">
      <c r="A1626" s="58"/>
      <c r="B1626" s="73" t="str">
        <f aca="false">IF(A1626="","",COUNTIF(A$5:A1626,A1626))</f>
        <v/>
      </c>
      <c r="C1626" s="73" t="str">
        <f aca="false">IF(A1626="","",A1626&amp;"-"&amp;B1626)</f>
        <v/>
      </c>
      <c r="D1626" s="58"/>
      <c r="E1626" s="57"/>
      <c r="F1626" s="69"/>
      <c r="G1626" s="69"/>
      <c r="H1626" s="74" t="str">
        <f aca="false">IF(A1626="","",IFERROR(INDEX(السندات!$C$5:$C$504,MATCH(A1626,السندات!$A$5:$A$504,0)),""))</f>
        <v/>
      </c>
      <c r="I1626" s="75" t="str">
        <f aca="false">IF(A1626="","",IFERROR(INDEX(السندات!$D$5:$D$504,MATCH(A1626,السندات!$A$5:$A$504,0)),""))</f>
        <v/>
      </c>
      <c r="J1626" s="76" t="str">
        <f aca="false">IF(A1626="","",IF(ISNA(MATCH(A1626,السندات!$A$5:$A$504,0)),"رقم سند غير موجود ✘",IF(AND(F1626&lt;&gt;"",G1626&lt;&gt;""),"اكتب مدين أو دائن فقط ✘",IF(AND(N(F1626)=0,N(G1626)=0),"بدون مبلغ ⚠",IF(B1626&gt;12,"يتجاوز 12 بنداً في الطباعة ⚠","")))))</f>
        <v/>
      </c>
    </row>
    <row r="1627" customFormat="false" ht="15" hidden="false" customHeight="false" outlineLevel="0" collapsed="false">
      <c r="A1627" s="58"/>
      <c r="B1627" s="68" t="str">
        <f aca="false">IF(A1627="","",COUNTIF(A$5:A1627,A1627))</f>
        <v/>
      </c>
      <c r="C1627" s="68" t="str">
        <f aca="false">IF(A1627="","",A1627&amp;"-"&amp;B1627)</f>
        <v/>
      </c>
      <c r="D1627" s="58"/>
      <c r="E1627" s="57"/>
      <c r="F1627" s="69"/>
      <c r="G1627" s="69"/>
      <c r="H1627" s="70" t="str">
        <f aca="false">IF(A1627="","",IFERROR(INDEX(السندات!$C$5:$C$504,MATCH(A1627,السندات!$A$5:$A$504,0)),""))</f>
        <v/>
      </c>
      <c r="I1627" s="71" t="str">
        <f aca="false">IF(A1627="","",IFERROR(INDEX(السندات!$D$5:$D$504,MATCH(A1627,السندات!$A$5:$A$504,0)),""))</f>
        <v/>
      </c>
      <c r="J1627" s="72" t="str">
        <f aca="false">IF(A1627="","",IF(ISNA(MATCH(A1627,السندات!$A$5:$A$504,0)),"رقم سند غير موجود ✘",IF(AND(F1627&lt;&gt;"",G1627&lt;&gt;""),"اكتب مدين أو دائن فقط ✘",IF(AND(N(F1627)=0,N(G1627)=0),"بدون مبلغ ⚠",IF(B1627&gt;12,"يتجاوز 12 بنداً في الطباعة ⚠","")))))</f>
        <v/>
      </c>
    </row>
    <row r="1628" customFormat="false" ht="15" hidden="false" customHeight="false" outlineLevel="0" collapsed="false">
      <c r="A1628" s="58"/>
      <c r="B1628" s="73" t="str">
        <f aca="false">IF(A1628="","",COUNTIF(A$5:A1628,A1628))</f>
        <v/>
      </c>
      <c r="C1628" s="73" t="str">
        <f aca="false">IF(A1628="","",A1628&amp;"-"&amp;B1628)</f>
        <v/>
      </c>
      <c r="D1628" s="58"/>
      <c r="E1628" s="57"/>
      <c r="F1628" s="69"/>
      <c r="G1628" s="69"/>
      <c r="H1628" s="74" t="str">
        <f aca="false">IF(A1628="","",IFERROR(INDEX(السندات!$C$5:$C$504,MATCH(A1628,السندات!$A$5:$A$504,0)),""))</f>
        <v/>
      </c>
      <c r="I1628" s="75" t="str">
        <f aca="false">IF(A1628="","",IFERROR(INDEX(السندات!$D$5:$D$504,MATCH(A1628,السندات!$A$5:$A$504,0)),""))</f>
        <v/>
      </c>
      <c r="J1628" s="76" t="str">
        <f aca="false">IF(A1628="","",IF(ISNA(MATCH(A1628,السندات!$A$5:$A$504,0)),"رقم سند غير موجود ✘",IF(AND(F1628&lt;&gt;"",G1628&lt;&gt;""),"اكتب مدين أو دائن فقط ✘",IF(AND(N(F1628)=0,N(G1628)=0),"بدون مبلغ ⚠",IF(B1628&gt;12,"يتجاوز 12 بنداً في الطباعة ⚠","")))))</f>
        <v/>
      </c>
    </row>
    <row r="1629" customFormat="false" ht="15" hidden="false" customHeight="false" outlineLevel="0" collapsed="false">
      <c r="A1629" s="58"/>
      <c r="B1629" s="68" t="str">
        <f aca="false">IF(A1629="","",COUNTIF(A$5:A1629,A1629))</f>
        <v/>
      </c>
      <c r="C1629" s="68" t="str">
        <f aca="false">IF(A1629="","",A1629&amp;"-"&amp;B1629)</f>
        <v/>
      </c>
      <c r="D1629" s="58"/>
      <c r="E1629" s="57"/>
      <c r="F1629" s="69"/>
      <c r="G1629" s="69"/>
      <c r="H1629" s="70" t="str">
        <f aca="false">IF(A1629="","",IFERROR(INDEX(السندات!$C$5:$C$504,MATCH(A1629,السندات!$A$5:$A$504,0)),""))</f>
        <v/>
      </c>
      <c r="I1629" s="71" t="str">
        <f aca="false">IF(A1629="","",IFERROR(INDEX(السندات!$D$5:$D$504,MATCH(A1629,السندات!$A$5:$A$504,0)),""))</f>
        <v/>
      </c>
      <c r="J1629" s="72" t="str">
        <f aca="false">IF(A1629="","",IF(ISNA(MATCH(A1629,السندات!$A$5:$A$504,0)),"رقم سند غير موجود ✘",IF(AND(F1629&lt;&gt;"",G1629&lt;&gt;""),"اكتب مدين أو دائن فقط ✘",IF(AND(N(F1629)=0,N(G1629)=0),"بدون مبلغ ⚠",IF(B1629&gt;12,"يتجاوز 12 بنداً في الطباعة ⚠","")))))</f>
        <v/>
      </c>
    </row>
    <row r="1630" customFormat="false" ht="15" hidden="false" customHeight="false" outlineLevel="0" collapsed="false">
      <c r="A1630" s="58"/>
      <c r="B1630" s="73" t="str">
        <f aca="false">IF(A1630="","",COUNTIF(A$5:A1630,A1630))</f>
        <v/>
      </c>
      <c r="C1630" s="73" t="str">
        <f aca="false">IF(A1630="","",A1630&amp;"-"&amp;B1630)</f>
        <v/>
      </c>
      <c r="D1630" s="58"/>
      <c r="E1630" s="57"/>
      <c r="F1630" s="69"/>
      <c r="G1630" s="69"/>
      <c r="H1630" s="74" t="str">
        <f aca="false">IF(A1630="","",IFERROR(INDEX(السندات!$C$5:$C$504,MATCH(A1630,السندات!$A$5:$A$504,0)),""))</f>
        <v/>
      </c>
      <c r="I1630" s="75" t="str">
        <f aca="false">IF(A1630="","",IFERROR(INDEX(السندات!$D$5:$D$504,MATCH(A1630,السندات!$A$5:$A$504,0)),""))</f>
        <v/>
      </c>
      <c r="J1630" s="76" t="str">
        <f aca="false">IF(A1630="","",IF(ISNA(MATCH(A1630,السندات!$A$5:$A$504,0)),"رقم سند غير موجود ✘",IF(AND(F1630&lt;&gt;"",G1630&lt;&gt;""),"اكتب مدين أو دائن فقط ✘",IF(AND(N(F1630)=0,N(G1630)=0),"بدون مبلغ ⚠",IF(B1630&gt;12,"يتجاوز 12 بنداً في الطباعة ⚠","")))))</f>
        <v/>
      </c>
    </row>
    <row r="1631" customFormat="false" ht="15" hidden="false" customHeight="false" outlineLevel="0" collapsed="false">
      <c r="A1631" s="58"/>
      <c r="B1631" s="68" t="str">
        <f aca="false">IF(A1631="","",COUNTIF(A$5:A1631,A1631))</f>
        <v/>
      </c>
      <c r="C1631" s="68" t="str">
        <f aca="false">IF(A1631="","",A1631&amp;"-"&amp;B1631)</f>
        <v/>
      </c>
      <c r="D1631" s="58"/>
      <c r="E1631" s="57"/>
      <c r="F1631" s="69"/>
      <c r="G1631" s="69"/>
      <c r="H1631" s="70" t="str">
        <f aca="false">IF(A1631="","",IFERROR(INDEX(السندات!$C$5:$C$504,MATCH(A1631,السندات!$A$5:$A$504,0)),""))</f>
        <v/>
      </c>
      <c r="I1631" s="71" t="str">
        <f aca="false">IF(A1631="","",IFERROR(INDEX(السندات!$D$5:$D$504,MATCH(A1631,السندات!$A$5:$A$504,0)),""))</f>
        <v/>
      </c>
      <c r="J1631" s="72" t="str">
        <f aca="false">IF(A1631="","",IF(ISNA(MATCH(A1631,السندات!$A$5:$A$504,0)),"رقم سند غير موجود ✘",IF(AND(F1631&lt;&gt;"",G1631&lt;&gt;""),"اكتب مدين أو دائن فقط ✘",IF(AND(N(F1631)=0,N(G1631)=0),"بدون مبلغ ⚠",IF(B1631&gt;12,"يتجاوز 12 بنداً في الطباعة ⚠","")))))</f>
        <v/>
      </c>
    </row>
    <row r="1632" customFormat="false" ht="15" hidden="false" customHeight="false" outlineLevel="0" collapsed="false">
      <c r="A1632" s="58"/>
      <c r="B1632" s="73" t="str">
        <f aca="false">IF(A1632="","",COUNTIF(A$5:A1632,A1632))</f>
        <v/>
      </c>
      <c r="C1632" s="73" t="str">
        <f aca="false">IF(A1632="","",A1632&amp;"-"&amp;B1632)</f>
        <v/>
      </c>
      <c r="D1632" s="58"/>
      <c r="E1632" s="57"/>
      <c r="F1632" s="69"/>
      <c r="G1632" s="69"/>
      <c r="H1632" s="74" t="str">
        <f aca="false">IF(A1632="","",IFERROR(INDEX(السندات!$C$5:$C$504,MATCH(A1632,السندات!$A$5:$A$504,0)),""))</f>
        <v/>
      </c>
      <c r="I1632" s="75" t="str">
        <f aca="false">IF(A1632="","",IFERROR(INDEX(السندات!$D$5:$D$504,MATCH(A1632,السندات!$A$5:$A$504,0)),""))</f>
        <v/>
      </c>
      <c r="J1632" s="76" t="str">
        <f aca="false">IF(A1632="","",IF(ISNA(MATCH(A1632,السندات!$A$5:$A$504,0)),"رقم سند غير موجود ✘",IF(AND(F1632&lt;&gt;"",G1632&lt;&gt;""),"اكتب مدين أو دائن فقط ✘",IF(AND(N(F1632)=0,N(G1632)=0),"بدون مبلغ ⚠",IF(B1632&gt;12,"يتجاوز 12 بنداً في الطباعة ⚠","")))))</f>
        <v/>
      </c>
    </row>
    <row r="1633" customFormat="false" ht="15" hidden="false" customHeight="false" outlineLevel="0" collapsed="false">
      <c r="A1633" s="58"/>
      <c r="B1633" s="68" t="str">
        <f aca="false">IF(A1633="","",COUNTIF(A$5:A1633,A1633))</f>
        <v/>
      </c>
      <c r="C1633" s="68" t="str">
        <f aca="false">IF(A1633="","",A1633&amp;"-"&amp;B1633)</f>
        <v/>
      </c>
      <c r="D1633" s="58"/>
      <c r="E1633" s="57"/>
      <c r="F1633" s="69"/>
      <c r="G1633" s="69"/>
      <c r="H1633" s="70" t="str">
        <f aca="false">IF(A1633="","",IFERROR(INDEX(السندات!$C$5:$C$504,MATCH(A1633,السندات!$A$5:$A$504,0)),""))</f>
        <v/>
      </c>
      <c r="I1633" s="71" t="str">
        <f aca="false">IF(A1633="","",IFERROR(INDEX(السندات!$D$5:$D$504,MATCH(A1633,السندات!$A$5:$A$504,0)),""))</f>
        <v/>
      </c>
      <c r="J1633" s="72" t="str">
        <f aca="false">IF(A1633="","",IF(ISNA(MATCH(A1633,السندات!$A$5:$A$504,0)),"رقم سند غير موجود ✘",IF(AND(F1633&lt;&gt;"",G1633&lt;&gt;""),"اكتب مدين أو دائن فقط ✘",IF(AND(N(F1633)=0,N(G1633)=0),"بدون مبلغ ⚠",IF(B1633&gt;12,"يتجاوز 12 بنداً في الطباعة ⚠","")))))</f>
        <v/>
      </c>
    </row>
    <row r="1634" customFormat="false" ht="15" hidden="false" customHeight="false" outlineLevel="0" collapsed="false">
      <c r="A1634" s="58"/>
      <c r="B1634" s="73" t="str">
        <f aca="false">IF(A1634="","",COUNTIF(A$5:A1634,A1634))</f>
        <v/>
      </c>
      <c r="C1634" s="73" t="str">
        <f aca="false">IF(A1634="","",A1634&amp;"-"&amp;B1634)</f>
        <v/>
      </c>
      <c r="D1634" s="58"/>
      <c r="E1634" s="57"/>
      <c r="F1634" s="69"/>
      <c r="G1634" s="69"/>
      <c r="H1634" s="74" t="str">
        <f aca="false">IF(A1634="","",IFERROR(INDEX(السندات!$C$5:$C$504,MATCH(A1634,السندات!$A$5:$A$504,0)),""))</f>
        <v/>
      </c>
      <c r="I1634" s="75" t="str">
        <f aca="false">IF(A1634="","",IFERROR(INDEX(السندات!$D$5:$D$504,MATCH(A1634,السندات!$A$5:$A$504,0)),""))</f>
        <v/>
      </c>
      <c r="J1634" s="76" t="str">
        <f aca="false">IF(A1634="","",IF(ISNA(MATCH(A1634,السندات!$A$5:$A$504,0)),"رقم سند غير موجود ✘",IF(AND(F1634&lt;&gt;"",G1634&lt;&gt;""),"اكتب مدين أو دائن فقط ✘",IF(AND(N(F1634)=0,N(G1634)=0),"بدون مبلغ ⚠",IF(B1634&gt;12,"يتجاوز 12 بنداً في الطباعة ⚠","")))))</f>
        <v/>
      </c>
    </row>
    <row r="1635" customFormat="false" ht="15" hidden="false" customHeight="false" outlineLevel="0" collapsed="false">
      <c r="A1635" s="58"/>
      <c r="B1635" s="68" t="str">
        <f aca="false">IF(A1635="","",COUNTIF(A$5:A1635,A1635))</f>
        <v/>
      </c>
      <c r="C1635" s="68" t="str">
        <f aca="false">IF(A1635="","",A1635&amp;"-"&amp;B1635)</f>
        <v/>
      </c>
      <c r="D1635" s="58"/>
      <c r="E1635" s="57"/>
      <c r="F1635" s="69"/>
      <c r="G1635" s="69"/>
      <c r="H1635" s="70" t="str">
        <f aca="false">IF(A1635="","",IFERROR(INDEX(السندات!$C$5:$C$504,MATCH(A1635,السندات!$A$5:$A$504,0)),""))</f>
        <v/>
      </c>
      <c r="I1635" s="71" t="str">
        <f aca="false">IF(A1635="","",IFERROR(INDEX(السندات!$D$5:$D$504,MATCH(A1635,السندات!$A$5:$A$504,0)),""))</f>
        <v/>
      </c>
      <c r="J1635" s="72" t="str">
        <f aca="false">IF(A1635="","",IF(ISNA(MATCH(A1635,السندات!$A$5:$A$504,0)),"رقم سند غير موجود ✘",IF(AND(F1635&lt;&gt;"",G1635&lt;&gt;""),"اكتب مدين أو دائن فقط ✘",IF(AND(N(F1635)=0,N(G1635)=0),"بدون مبلغ ⚠",IF(B1635&gt;12,"يتجاوز 12 بنداً في الطباعة ⚠","")))))</f>
        <v/>
      </c>
    </row>
    <row r="1636" customFormat="false" ht="15" hidden="false" customHeight="false" outlineLevel="0" collapsed="false">
      <c r="A1636" s="58"/>
      <c r="B1636" s="73" t="str">
        <f aca="false">IF(A1636="","",COUNTIF(A$5:A1636,A1636))</f>
        <v/>
      </c>
      <c r="C1636" s="73" t="str">
        <f aca="false">IF(A1636="","",A1636&amp;"-"&amp;B1636)</f>
        <v/>
      </c>
      <c r="D1636" s="58"/>
      <c r="E1636" s="57"/>
      <c r="F1636" s="69"/>
      <c r="G1636" s="69"/>
      <c r="H1636" s="74" t="str">
        <f aca="false">IF(A1636="","",IFERROR(INDEX(السندات!$C$5:$C$504,MATCH(A1636,السندات!$A$5:$A$504,0)),""))</f>
        <v/>
      </c>
      <c r="I1636" s="75" t="str">
        <f aca="false">IF(A1636="","",IFERROR(INDEX(السندات!$D$5:$D$504,MATCH(A1636,السندات!$A$5:$A$504,0)),""))</f>
        <v/>
      </c>
      <c r="J1636" s="76" t="str">
        <f aca="false">IF(A1636="","",IF(ISNA(MATCH(A1636,السندات!$A$5:$A$504,0)),"رقم سند غير موجود ✘",IF(AND(F1636&lt;&gt;"",G1636&lt;&gt;""),"اكتب مدين أو دائن فقط ✘",IF(AND(N(F1636)=0,N(G1636)=0),"بدون مبلغ ⚠",IF(B1636&gt;12,"يتجاوز 12 بنداً في الطباعة ⚠","")))))</f>
        <v/>
      </c>
    </row>
    <row r="1637" customFormat="false" ht="15" hidden="false" customHeight="false" outlineLevel="0" collapsed="false">
      <c r="A1637" s="58"/>
      <c r="B1637" s="68" t="str">
        <f aca="false">IF(A1637="","",COUNTIF(A$5:A1637,A1637))</f>
        <v/>
      </c>
      <c r="C1637" s="68" t="str">
        <f aca="false">IF(A1637="","",A1637&amp;"-"&amp;B1637)</f>
        <v/>
      </c>
      <c r="D1637" s="58"/>
      <c r="E1637" s="57"/>
      <c r="F1637" s="69"/>
      <c r="G1637" s="69"/>
      <c r="H1637" s="70" t="str">
        <f aca="false">IF(A1637="","",IFERROR(INDEX(السندات!$C$5:$C$504,MATCH(A1637,السندات!$A$5:$A$504,0)),""))</f>
        <v/>
      </c>
      <c r="I1637" s="71" t="str">
        <f aca="false">IF(A1637="","",IFERROR(INDEX(السندات!$D$5:$D$504,MATCH(A1637,السندات!$A$5:$A$504,0)),""))</f>
        <v/>
      </c>
      <c r="J1637" s="72" t="str">
        <f aca="false">IF(A1637="","",IF(ISNA(MATCH(A1637,السندات!$A$5:$A$504,0)),"رقم سند غير موجود ✘",IF(AND(F1637&lt;&gt;"",G1637&lt;&gt;""),"اكتب مدين أو دائن فقط ✘",IF(AND(N(F1637)=0,N(G1637)=0),"بدون مبلغ ⚠",IF(B1637&gt;12,"يتجاوز 12 بنداً في الطباعة ⚠","")))))</f>
        <v/>
      </c>
    </row>
    <row r="1638" customFormat="false" ht="15" hidden="false" customHeight="false" outlineLevel="0" collapsed="false">
      <c r="A1638" s="58"/>
      <c r="B1638" s="73" t="str">
        <f aca="false">IF(A1638="","",COUNTIF(A$5:A1638,A1638))</f>
        <v/>
      </c>
      <c r="C1638" s="73" t="str">
        <f aca="false">IF(A1638="","",A1638&amp;"-"&amp;B1638)</f>
        <v/>
      </c>
      <c r="D1638" s="58"/>
      <c r="E1638" s="57"/>
      <c r="F1638" s="69"/>
      <c r="G1638" s="69"/>
      <c r="H1638" s="74" t="str">
        <f aca="false">IF(A1638="","",IFERROR(INDEX(السندات!$C$5:$C$504,MATCH(A1638,السندات!$A$5:$A$504,0)),""))</f>
        <v/>
      </c>
      <c r="I1638" s="75" t="str">
        <f aca="false">IF(A1638="","",IFERROR(INDEX(السندات!$D$5:$D$504,MATCH(A1638,السندات!$A$5:$A$504,0)),""))</f>
        <v/>
      </c>
      <c r="J1638" s="76" t="str">
        <f aca="false">IF(A1638="","",IF(ISNA(MATCH(A1638,السندات!$A$5:$A$504,0)),"رقم سند غير موجود ✘",IF(AND(F1638&lt;&gt;"",G1638&lt;&gt;""),"اكتب مدين أو دائن فقط ✘",IF(AND(N(F1638)=0,N(G1638)=0),"بدون مبلغ ⚠",IF(B1638&gt;12,"يتجاوز 12 بنداً في الطباعة ⚠","")))))</f>
        <v/>
      </c>
    </row>
    <row r="1639" customFormat="false" ht="15" hidden="false" customHeight="false" outlineLevel="0" collapsed="false">
      <c r="A1639" s="58"/>
      <c r="B1639" s="68" t="str">
        <f aca="false">IF(A1639="","",COUNTIF(A$5:A1639,A1639))</f>
        <v/>
      </c>
      <c r="C1639" s="68" t="str">
        <f aca="false">IF(A1639="","",A1639&amp;"-"&amp;B1639)</f>
        <v/>
      </c>
      <c r="D1639" s="58"/>
      <c r="E1639" s="57"/>
      <c r="F1639" s="69"/>
      <c r="G1639" s="69"/>
      <c r="H1639" s="70" t="str">
        <f aca="false">IF(A1639="","",IFERROR(INDEX(السندات!$C$5:$C$504,MATCH(A1639,السندات!$A$5:$A$504,0)),""))</f>
        <v/>
      </c>
      <c r="I1639" s="71" t="str">
        <f aca="false">IF(A1639="","",IFERROR(INDEX(السندات!$D$5:$D$504,MATCH(A1639,السندات!$A$5:$A$504,0)),""))</f>
        <v/>
      </c>
      <c r="J1639" s="72" t="str">
        <f aca="false">IF(A1639="","",IF(ISNA(MATCH(A1639,السندات!$A$5:$A$504,0)),"رقم سند غير موجود ✘",IF(AND(F1639&lt;&gt;"",G1639&lt;&gt;""),"اكتب مدين أو دائن فقط ✘",IF(AND(N(F1639)=0,N(G1639)=0),"بدون مبلغ ⚠",IF(B1639&gt;12,"يتجاوز 12 بنداً في الطباعة ⚠","")))))</f>
        <v/>
      </c>
    </row>
    <row r="1640" customFormat="false" ht="15" hidden="false" customHeight="false" outlineLevel="0" collapsed="false">
      <c r="A1640" s="58"/>
      <c r="B1640" s="73" t="str">
        <f aca="false">IF(A1640="","",COUNTIF(A$5:A1640,A1640))</f>
        <v/>
      </c>
      <c r="C1640" s="73" t="str">
        <f aca="false">IF(A1640="","",A1640&amp;"-"&amp;B1640)</f>
        <v/>
      </c>
      <c r="D1640" s="58"/>
      <c r="E1640" s="57"/>
      <c r="F1640" s="69"/>
      <c r="G1640" s="69"/>
      <c r="H1640" s="74" t="str">
        <f aca="false">IF(A1640="","",IFERROR(INDEX(السندات!$C$5:$C$504,MATCH(A1640,السندات!$A$5:$A$504,0)),""))</f>
        <v/>
      </c>
      <c r="I1640" s="75" t="str">
        <f aca="false">IF(A1640="","",IFERROR(INDEX(السندات!$D$5:$D$504,MATCH(A1640,السندات!$A$5:$A$504,0)),""))</f>
        <v/>
      </c>
      <c r="J1640" s="76" t="str">
        <f aca="false">IF(A1640="","",IF(ISNA(MATCH(A1640,السندات!$A$5:$A$504,0)),"رقم سند غير موجود ✘",IF(AND(F1640&lt;&gt;"",G1640&lt;&gt;""),"اكتب مدين أو دائن فقط ✘",IF(AND(N(F1640)=0,N(G1640)=0),"بدون مبلغ ⚠",IF(B1640&gt;12,"يتجاوز 12 بنداً في الطباعة ⚠","")))))</f>
        <v/>
      </c>
    </row>
    <row r="1641" customFormat="false" ht="15" hidden="false" customHeight="false" outlineLevel="0" collapsed="false">
      <c r="A1641" s="58"/>
      <c r="B1641" s="68" t="str">
        <f aca="false">IF(A1641="","",COUNTIF(A$5:A1641,A1641))</f>
        <v/>
      </c>
      <c r="C1641" s="68" t="str">
        <f aca="false">IF(A1641="","",A1641&amp;"-"&amp;B1641)</f>
        <v/>
      </c>
      <c r="D1641" s="58"/>
      <c r="E1641" s="57"/>
      <c r="F1641" s="69"/>
      <c r="G1641" s="69"/>
      <c r="H1641" s="70" t="str">
        <f aca="false">IF(A1641="","",IFERROR(INDEX(السندات!$C$5:$C$504,MATCH(A1641,السندات!$A$5:$A$504,0)),""))</f>
        <v/>
      </c>
      <c r="I1641" s="71" t="str">
        <f aca="false">IF(A1641="","",IFERROR(INDEX(السندات!$D$5:$D$504,MATCH(A1641,السندات!$A$5:$A$504,0)),""))</f>
        <v/>
      </c>
      <c r="J1641" s="72" t="str">
        <f aca="false">IF(A1641="","",IF(ISNA(MATCH(A1641,السندات!$A$5:$A$504,0)),"رقم سند غير موجود ✘",IF(AND(F1641&lt;&gt;"",G1641&lt;&gt;""),"اكتب مدين أو دائن فقط ✘",IF(AND(N(F1641)=0,N(G1641)=0),"بدون مبلغ ⚠",IF(B1641&gt;12,"يتجاوز 12 بنداً في الطباعة ⚠","")))))</f>
        <v/>
      </c>
    </row>
    <row r="1642" customFormat="false" ht="15" hidden="false" customHeight="false" outlineLevel="0" collapsed="false">
      <c r="A1642" s="58"/>
      <c r="B1642" s="73" t="str">
        <f aca="false">IF(A1642="","",COUNTIF(A$5:A1642,A1642))</f>
        <v/>
      </c>
      <c r="C1642" s="73" t="str">
        <f aca="false">IF(A1642="","",A1642&amp;"-"&amp;B1642)</f>
        <v/>
      </c>
      <c r="D1642" s="58"/>
      <c r="E1642" s="57"/>
      <c r="F1642" s="69"/>
      <c r="G1642" s="69"/>
      <c r="H1642" s="74" t="str">
        <f aca="false">IF(A1642="","",IFERROR(INDEX(السندات!$C$5:$C$504,MATCH(A1642,السندات!$A$5:$A$504,0)),""))</f>
        <v/>
      </c>
      <c r="I1642" s="75" t="str">
        <f aca="false">IF(A1642="","",IFERROR(INDEX(السندات!$D$5:$D$504,MATCH(A1642,السندات!$A$5:$A$504,0)),""))</f>
        <v/>
      </c>
      <c r="J1642" s="76" t="str">
        <f aca="false">IF(A1642="","",IF(ISNA(MATCH(A1642,السندات!$A$5:$A$504,0)),"رقم سند غير موجود ✘",IF(AND(F1642&lt;&gt;"",G1642&lt;&gt;""),"اكتب مدين أو دائن فقط ✘",IF(AND(N(F1642)=0,N(G1642)=0),"بدون مبلغ ⚠",IF(B1642&gt;12,"يتجاوز 12 بنداً في الطباعة ⚠","")))))</f>
        <v/>
      </c>
    </row>
    <row r="1643" customFormat="false" ht="15" hidden="false" customHeight="false" outlineLevel="0" collapsed="false">
      <c r="A1643" s="58"/>
      <c r="B1643" s="68" t="str">
        <f aca="false">IF(A1643="","",COUNTIF(A$5:A1643,A1643))</f>
        <v/>
      </c>
      <c r="C1643" s="68" t="str">
        <f aca="false">IF(A1643="","",A1643&amp;"-"&amp;B1643)</f>
        <v/>
      </c>
      <c r="D1643" s="58"/>
      <c r="E1643" s="57"/>
      <c r="F1643" s="69"/>
      <c r="G1643" s="69"/>
      <c r="H1643" s="70" t="str">
        <f aca="false">IF(A1643="","",IFERROR(INDEX(السندات!$C$5:$C$504,MATCH(A1643,السندات!$A$5:$A$504,0)),""))</f>
        <v/>
      </c>
      <c r="I1643" s="71" t="str">
        <f aca="false">IF(A1643="","",IFERROR(INDEX(السندات!$D$5:$D$504,MATCH(A1643,السندات!$A$5:$A$504,0)),""))</f>
        <v/>
      </c>
      <c r="J1643" s="72" t="str">
        <f aca="false">IF(A1643="","",IF(ISNA(MATCH(A1643,السندات!$A$5:$A$504,0)),"رقم سند غير موجود ✘",IF(AND(F1643&lt;&gt;"",G1643&lt;&gt;""),"اكتب مدين أو دائن فقط ✘",IF(AND(N(F1643)=0,N(G1643)=0),"بدون مبلغ ⚠",IF(B1643&gt;12,"يتجاوز 12 بنداً في الطباعة ⚠","")))))</f>
        <v/>
      </c>
    </row>
    <row r="1644" customFormat="false" ht="15" hidden="false" customHeight="false" outlineLevel="0" collapsed="false">
      <c r="A1644" s="58"/>
      <c r="B1644" s="73" t="str">
        <f aca="false">IF(A1644="","",COUNTIF(A$5:A1644,A1644))</f>
        <v/>
      </c>
      <c r="C1644" s="73" t="str">
        <f aca="false">IF(A1644="","",A1644&amp;"-"&amp;B1644)</f>
        <v/>
      </c>
      <c r="D1644" s="58"/>
      <c r="E1644" s="57"/>
      <c r="F1644" s="69"/>
      <c r="G1644" s="69"/>
      <c r="H1644" s="74" t="str">
        <f aca="false">IF(A1644="","",IFERROR(INDEX(السندات!$C$5:$C$504,MATCH(A1644,السندات!$A$5:$A$504,0)),""))</f>
        <v/>
      </c>
      <c r="I1644" s="75" t="str">
        <f aca="false">IF(A1644="","",IFERROR(INDEX(السندات!$D$5:$D$504,MATCH(A1644,السندات!$A$5:$A$504,0)),""))</f>
        <v/>
      </c>
      <c r="J1644" s="76" t="str">
        <f aca="false">IF(A1644="","",IF(ISNA(MATCH(A1644,السندات!$A$5:$A$504,0)),"رقم سند غير موجود ✘",IF(AND(F1644&lt;&gt;"",G1644&lt;&gt;""),"اكتب مدين أو دائن فقط ✘",IF(AND(N(F1644)=0,N(G1644)=0),"بدون مبلغ ⚠",IF(B1644&gt;12,"يتجاوز 12 بنداً في الطباعة ⚠","")))))</f>
        <v/>
      </c>
    </row>
    <row r="1645" customFormat="false" ht="15" hidden="false" customHeight="false" outlineLevel="0" collapsed="false">
      <c r="A1645" s="58"/>
      <c r="B1645" s="68" t="str">
        <f aca="false">IF(A1645="","",COUNTIF(A$5:A1645,A1645))</f>
        <v/>
      </c>
      <c r="C1645" s="68" t="str">
        <f aca="false">IF(A1645="","",A1645&amp;"-"&amp;B1645)</f>
        <v/>
      </c>
      <c r="D1645" s="58"/>
      <c r="E1645" s="57"/>
      <c r="F1645" s="69"/>
      <c r="G1645" s="69"/>
      <c r="H1645" s="70" t="str">
        <f aca="false">IF(A1645="","",IFERROR(INDEX(السندات!$C$5:$C$504,MATCH(A1645,السندات!$A$5:$A$504,0)),""))</f>
        <v/>
      </c>
      <c r="I1645" s="71" t="str">
        <f aca="false">IF(A1645="","",IFERROR(INDEX(السندات!$D$5:$D$504,MATCH(A1645,السندات!$A$5:$A$504,0)),""))</f>
        <v/>
      </c>
      <c r="J1645" s="72" t="str">
        <f aca="false">IF(A1645="","",IF(ISNA(MATCH(A1645,السندات!$A$5:$A$504,0)),"رقم سند غير موجود ✘",IF(AND(F1645&lt;&gt;"",G1645&lt;&gt;""),"اكتب مدين أو دائن فقط ✘",IF(AND(N(F1645)=0,N(G1645)=0),"بدون مبلغ ⚠",IF(B1645&gt;12,"يتجاوز 12 بنداً في الطباعة ⚠","")))))</f>
        <v/>
      </c>
    </row>
    <row r="1646" customFormat="false" ht="15" hidden="false" customHeight="false" outlineLevel="0" collapsed="false">
      <c r="A1646" s="58"/>
      <c r="B1646" s="73" t="str">
        <f aca="false">IF(A1646="","",COUNTIF(A$5:A1646,A1646))</f>
        <v/>
      </c>
      <c r="C1646" s="73" t="str">
        <f aca="false">IF(A1646="","",A1646&amp;"-"&amp;B1646)</f>
        <v/>
      </c>
      <c r="D1646" s="58"/>
      <c r="E1646" s="57"/>
      <c r="F1646" s="69"/>
      <c r="G1646" s="69"/>
      <c r="H1646" s="74" t="str">
        <f aca="false">IF(A1646="","",IFERROR(INDEX(السندات!$C$5:$C$504,MATCH(A1646,السندات!$A$5:$A$504,0)),""))</f>
        <v/>
      </c>
      <c r="I1646" s="75" t="str">
        <f aca="false">IF(A1646="","",IFERROR(INDEX(السندات!$D$5:$D$504,MATCH(A1646,السندات!$A$5:$A$504,0)),""))</f>
        <v/>
      </c>
      <c r="J1646" s="76" t="str">
        <f aca="false">IF(A1646="","",IF(ISNA(MATCH(A1646,السندات!$A$5:$A$504,0)),"رقم سند غير موجود ✘",IF(AND(F1646&lt;&gt;"",G1646&lt;&gt;""),"اكتب مدين أو دائن فقط ✘",IF(AND(N(F1646)=0,N(G1646)=0),"بدون مبلغ ⚠",IF(B1646&gt;12,"يتجاوز 12 بنداً في الطباعة ⚠","")))))</f>
        <v/>
      </c>
    </row>
    <row r="1647" customFormat="false" ht="15" hidden="false" customHeight="false" outlineLevel="0" collapsed="false">
      <c r="A1647" s="58"/>
      <c r="B1647" s="68" t="str">
        <f aca="false">IF(A1647="","",COUNTIF(A$5:A1647,A1647))</f>
        <v/>
      </c>
      <c r="C1647" s="68" t="str">
        <f aca="false">IF(A1647="","",A1647&amp;"-"&amp;B1647)</f>
        <v/>
      </c>
      <c r="D1647" s="58"/>
      <c r="E1647" s="57"/>
      <c r="F1647" s="69"/>
      <c r="G1647" s="69"/>
      <c r="H1647" s="70" t="str">
        <f aca="false">IF(A1647="","",IFERROR(INDEX(السندات!$C$5:$C$504,MATCH(A1647,السندات!$A$5:$A$504,0)),""))</f>
        <v/>
      </c>
      <c r="I1647" s="71" t="str">
        <f aca="false">IF(A1647="","",IFERROR(INDEX(السندات!$D$5:$D$504,MATCH(A1647,السندات!$A$5:$A$504,0)),""))</f>
        <v/>
      </c>
      <c r="J1647" s="72" t="str">
        <f aca="false">IF(A1647="","",IF(ISNA(MATCH(A1647,السندات!$A$5:$A$504,0)),"رقم سند غير موجود ✘",IF(AND(F1647&lt;&gt;"",G1647&lt;&gt;""),"اكتب مدين أو دائن فقط ✘",IF(AND(N(F1647)=0,N(G1647)=0),"بدون مبلغ ⚠",IF(B1647&gt;12,"يتجاوز 12 بنداً في الطباعة ⚠","")))))</f>
        <v/>
      </c>
    </row>
    <row r="1648" customFormat="false" ht="15" hidden="false" customHeight="false" outlineLevel="0" collapsed="false">
      <c r="A1648" s="58"/>
      <c r="B1648" s="73" t="str">
        <f aca="false">IF(A1648="","",COUNTIF(A$5:A1648,A1648))</f>
        <v/>
      </c>
      <c r="C1648" s="73" t="str">
        <f aca="false">IF(A1648="","",A1648&amp;"-"&amp;B1648)</f>
        <v/>
      </c>
      <c r="D1648" s="58"/>
      <c r="E1648" s="57"/>
      <c r="F1648" s="69"/>
      <c r="G1648" s="69"/>
      <c r="H1648" s="74" t="str">
        <f aca="false">IF(A1648="","",IFERROR(INDEX(السندات!$C$5:$C$504,MATCH(A1648,السندات!$A$5:$A$504,0)),""))</f>
        <v/>
      </c>
      <c r="I1648" s="75" t="str">
        <f aca="false">IF(A1648="","",IFERROR(INDEX(السندات!$D$5:$D$504,MATCH(A1648,السندات!$A$5:$A$504,0)),""))</f>
        <v/>
      </c>
      <c r="J1648" s="76" t="str">
        <f aca="false">IF(A1648="","",IF(ISNA(MATCH(A1648,السندات!$A$5:$A$504,0)),"رقم سند غير موجود ✘",IF(AND(F1648&lt;&gt;"",G1648&lt;&gt;""),"اكتب مدين أو دائن فقط ✘",IF(AND(N(F1648)=0,N(G1648)=0),"بدون مبلغ ⚠",IF(B1648&gt;12,"يتجاوز 12 بنداً في الطباعة ⚠","")))))</f>
        <v/>
      </c>
    </row>
    <row r="1649" customFormat="false" ht="15" hidden="false" customHeight="false" outlineLevel="0" collapsed="false">
      <c r="A1649" s="58"/>
      <c r="B1649" s="68" t="str">
        <f aca="false">IF(A1649="","",COUNTIF(A$5:A1649,A1649))</f>
        <v/>
      </c>
      <c r="C1649" s="68" t="str">
        <f aca="false">IF(A1649="","",A1649&amp;"-"&amp;B1649)</f>
        <v/>
      </c>
      <c r="D1649" s="58"/>
      <c r="E1649" s="57"/>
      <c r="F1649" s="69"/>
      <c r="G1649" s="69"/>
      <c r="H1649" s="70" t="str">
        <f aca="false">IF(A1649="","",IFERROR(INDEX(السندات!$C$5:$C$504,MATCH(A1649,السندات!$A$5:$A$504,0)),""))</f>
        <v/>
      </c>
      <c r="I1649" s="71" t="str">
        <f aca="false">IF(A1649="","",IFERROR(INDEX(السندات!$D$5:$D$504,MATCH(A1649,السندات!$A$5:$A$504,0)),""))</f>
        <v/>
      </c>
      <c r="J1649" s="72" t="str">
        <f aca="false">IF(A1649="","",IF(ISNA(MATCH(A1649,السندات!$A$5:$A$504,0)),"رقم سند غير موجود ✘",IF(AND(F1649&lt;&gt;"",G1649&lt;&gt;""),"اكتب مدين أو دائن فقط ✘",IF(AND(N(F1649)=0,N(G1649)=0),"بدون مبلغ ⚠",IF(B1649&gt;12,"يتجاوز 12 بنداً في الطباعة ⚠","")))))</f>
        <v/>
      </c>
    </row>
    <row r="1650" customFormat="false" ht="15" hidden="false" customHeight="false" outlineLevel="0" collapsed="false">
      <c r="A1650" s="58"/>
      <c r="B1650" s="73" t="str">
        <f aca="false">IF(A1650="","",COUNTIF(A$5:A1650,A1650))</f>
        <v/>
      </c>
      <c r="C1650" s="73" t="str">
        <f aca="false">IF(A1650="","",A1650&amp;"-"&amp;B1650)</f>
        <v/>
      </c>
      <c r="D1650" s="58"/>
      <c r="E1650" s="57"/>
      <c r="F1650" s="69"/>
      <c r="G1650" s="69"/>
      <c r="H1650" s="74" t="str">
        <f aca="false">IF(A1650="","",IFERROR(INDEX(السندات!$C$5:$C$504,MATCH(A1650,السندات!$A$5:$A$504,0)),""))</f>
        <v/>
      </c>
      <c r="I1650" s="75" t="str">
        <f aca="false">IF(A1650="","",IFERROR(INDEX(السندات!$D$5:$D$504,MATCH(A1650,السندات!$A$5:$A$504,0)),""))</f>
        <v/>
      </c>
      <c r="J1650" s="76" t="str">
        <f aca="false">IF(A1650="","",IF(ISNA(MATCH(A1650,السندات!$A$5:$A$504,0)),"رقم سند غير موجود ✘",IF(AND(F1650&lt;&gt;"",G1650&lt;&gt;""),"اكتب مدين أو دائن فقط ✘",IF(AND(N(F1650)=0,N(G1650)=0),"بدون مبلغ ⚠",IF(B1650&gt;12,"يتجاوز 12 بنداً في الطباعة ⚠","")))))</f>
        <v/>
      </c>
    </row>
    <row r="1651" customFormat="false" ht="15" hidden="false" customHeight="false" outlineLevel="0" collapsed="false">
      <c r="A1651" s="58"/>
      <c r="B1651" s="68" t="str">
        <f aca="false">IF(A1651="","",COUNTIF(A$5:A1651,A1651))</f>
        <v/>
      </c>
      <c r="C1651" s="68" t="str">
        <f aca="false">IF(A1651="","",A1651&amp;"-"&amp;B1651)</f>
        <v/>
      </c>
      <c r="D1651" s="58"/>
      <c r="E1651" s="57"/>
      <c r="F1651" s="69"/>
      <c r="G1651" s="69"/>
      <c r="H1651" s="70" t="str">
        <f aca="false">IF(A1651="","",IFERROR(INDEX(السندات!$C$5:$C$504,MATCH(A1651,السندات!$A$5:$A$504,0)),""))</f>
        <v/>
      </c>
      <c r="I1651" s="71" t="str">
        <f aca="false">IF(A1651="","",IFERROR(INDEX(السندات!$D$5:$D$504,MATCH(A1651,السندات!$A$5:$A$504,0)),""))</f>
        <v/>
      </c>
      <c r="J1651" s="72" t="str">
        <f aca="false">IF(A1651="","",IF(ISNA(MATCH(A1651,السندات!$A$5:$A$504,0)),"رقم سند غير موجود ✘",IF(AND(F1651&lt;&gt;"",G1651&lt;&gt;""),"اكتب مدين أو دائن فقط ✘",IF(AND(N(F1651)=0,N(G1651)=0),"بدون مبلغ ⚠",IF(B1651&gt;12,"يتجاوز 12 بنداً في الطباعة ⚠","")))))</f>
        <v/>
      </c>
    </row>
    <row r="1652" customFormat="false" ht="15" hidden="false" customHeight="false" outlineLevel="0" collapsed="false">
      <c r="A1652" s="58"/>
      <c r="B1652" s="73" t="str">
        <f aca="false">IF(A1652="","",COUNTIF(A$5:A1652,A1652))</f>
        <v/>
      </c>
      <c r="C1652" s="73" t="str">
        <f aca="false">IF(A1652="","",A1652&amp;"-"&amp;B1652)</f>
        <v/>
      </c>
      <c r="D1652" s="58"/>
      <c r="E1652" s="57"/>
      <c r="F1652" s="69"/>
      <c r="G1652" s="69"/>
      <c r="H1652" s="74" t="str">
        <f aca="false">IF(A1652="","",IFERROR(INDEX(السندات!$C$5:$C$504,MATCH(A1652,السندات!$A$5:$A$504,0)),""))</f>
        <v/>
      </c>
      <c r="I1652" s="75" t="str">
        <f aca="false">IF(A1652="","",IFERROR(INDEX(السندات!$D$5:$D$504,MATCH(A1652,السندات!$A$5:$A$504,0)),""))</f>
        <v/>
      </c>
      <c r="J1652" s="76" t="str">
        <f aca="false">IF(A1652="","",IF(ISNA(MATCH(A1652,السندات!$A$5:$A$504,0)),"رقم سند غير موجود ✘",IF(AND(F1652&lt;&gt;"",G1652&lt;&gt;""),"اكتب مدين أو دائن فقط ✘",IF(AND(N(F1652)=0,N(G1652)=0),"بدون مبلغ ⚠",IF(B1652&gt;12,"يتجاوز 12 بنداً في الطباعة ⚠","")))))</f>
        <v/>
      </c>
    </row>
    <row r="1653" customFormat="false" ht="15" hidden="false" customHeight="false" outlineLevel="0" collapsed="false">
      <c r="A1653" s="58"/>
      <c r="B1653" s="68" t="str">
        <f aca="false">IF(A1653="","",COUNTIF(A$5:A1653,A1653))</f>
        <v/>
      </c>
      <c r="C1653" s="68" t="str">
        <f aca="false">IF(A1653="","",A1653&amp;"-"&amp;B1653)</f>
        <v/>
      </c>
      <c r="D1653" s="58"/>
      <c r="E1653" s="57"/>
      <c r="F1653" s="69"/>
      <c r="G1653" s="69"/>
      <c r="H1653" s="70" t="str">
        <f aca="false">IF(A1653="","",IFERROR(INDEX(السندات!$C$5:$C$504,MATCH(A1653,السندات!$A$5:$A$504,0)),""))</f>
        <v/>
      </c>
      <c r="I1653" s="71" t="str">
        <f aca="false">IF(A1653="","",IFERROR(INDEX(السندات!$D$5:$D$504,MATCH(A1653,السندات!$A$5:$A$504,0)),""))</f>
        <v/>
      </c>
      <c r="J1653" s="72" t="str">
        <f aca="false">IF(A1653="","",IF(ISNA(MATCH(A1653,السندات!$A$5:$A$504,0)),"رقم سند غير موجود ✘",IF(AND(F1653&lt;&gt;"",G1653&lt;&gt;""),"اكتب مدين أو دائن فقط ✘",IF(AND(N(F1653)=0,N(G1653)=0),"بدون مبلغ ⚠",IF(B1653&gt;12,"يتجاوز 12 بنداً في الطباعة ⚠","")))))</f>
        <v/>
      </c>
    </row>
    <row r="1654" customFormat="false" ht="15" hidden="false" customHeight="false" outlineLevel="0" collapsed="false">
      <c r="A1654" s="58"/>
      <c r="B1654" s="73" t="str">
        <f aca="false">IF(A1654="","",COUNTIF(A$5:A1654,A1654))</f>
        <v/>
      </c>
      <c r="C1654" s="73" t="str">
        <f aca="false">IF(A1654="","",A1654&amp;"-"&amp;B1654)</f>
        <v/>
      </c>
      <c r="D1654" s="58"/>
      <c r="E1654" s="57"/>
      <c r="F1654" s="69"/>
      <c r="G1654" s="69"/>
      <c r="H1654" s="74" t="str">
        <f aca="false">IF(A1654="","",IFERROR(INDEX(السندات!$C$5:$C$504,MATCH(A1654,السندات!$A$5:$A$504,0)),""))</f>
        <v/>
      </c>
      <c r="I1654" s="75" t="str">
        <f aca="false">IF(A1654="","",IFERROR(INDEX(السندات!$D$5:$D$504,MATCH(A1654,السندات!$A$5:$A$504,0)),""))</f>
        <v/>
      </c>
      <c r="J1654" s="76" t="str">
        <f aca="false">IF(A1654="","",IF(ISNA(MATCH(A1654,السندات!$A$5:$A$504,0)),"رقم سند غير موجود ✘",IF(AND(F1654&lt;&gt;"",G1654&lt;&gt;""),"اكتب مدين أو دائن فقط ✘",IF(AND(N(F1654)=0,N(G1654)=0),"بدون مبلغ ⚠",IF(B1654&gt;12,"يتجاوز 12 بنداً في الطباعة ⚠","")))))</f>
        <v/>
      </c>
    </row>
    <row r="1655" customFormat="false" ht="15" hidden="false" customHeight="false" outlineLevel="0" collapsed="false">
      <c r="A1655" s="58"/>
      <c r="B1655" s="68" t="str">
        <f aca="false">IF(A1655="","",COUNTIF(A$5:A1655,A1655))</f>
        <v/>
      </c>
      <c r="C1655" s="68" t="str">
        <f aca="false">IF(A1655="","",A1655&amp;"-"&amp;B1655)</f>
        <v/>
      </c>
      <c r="D1655" s="58"/>
      <c r="E1655" s="57"/>
      <c r="F1655" s="69"/>
      <c r="G1655" s="69"/>
      <c r="H1655" s="70" t="str">
        <f aca="false">IF(A1655="","",IFERROR(INDEX(السندات!$C$5:$C$504,MATCH(A1655,السندات!$A$5:$A$504,0)),""))</f>
        <v/>
      </c>
      <c r="I1655" s="71" t="str">
        <f aca="false">IF(A1655="","",IFERROR(INDEX(السندات!$D$5:$D$504,MATCH(A1655,السندات!$A$5:$A$504,0)),""))</f>
        <v/>
      </c>
      <c r="J1655" s="72" t="str">
        <f aca="false">IF(A1655="","",IF(ISNA(MATCH(A1655,السندات!$A$5:$A$504,0)),"رقم سند غير موجود ✘",IF(AND(F1655&lt;&gt;"",G1655&lt;&gt;""),"اكتب مدين أو دائن فقط ✘",IF(AND(N(F1655)=0,N(G1655)=0),"بدون مبلغ ⚠",IF(B1655&gt;12,"يتجاوز 12 بنداً في الطباعة ⚠","")))))</f>
        <v/>
      </c>
    </row>
    <row r="1656" customFormat="false" ht="15" hidden="false" customHeight="false" outlineLevel="0" collapsed="false">
      <c r="A1656" s="58"/>
      <c r="B1656" s="73" t="str">
        <f aca="false">IF(A1656="","",COUNTIF(A$5:A1656,A1656))</f>
        <v/>
      </c>
      <c r="C1656" s="73" t="str">
        <f aca="false">IF(A1656="","",A1656&amp;"-"&amp;B1656)</f>
        <v/>
      </c>
      <c r="D1656" s="58"/>
      <c r="E1656" s="57"/>
      <c r="F1656" s="69"/>
      <c r="G1656" s="69"/>
      <c r="H1656" s="74" t="str">
        <f aca="false">IF(A1656="","",IFERROR(INDEX(السندات!$C$5:$C$504,MATCH(A1656,السندات!$A$5:$A$504,0)),""))</f>
        <v/>
      </c>
      <c r="I1656" s="75" t="str">
        <f aca="false">IF(A1656="","",IFERROR(INDEX(السندات!$D$5:$D$504,MATCH(A1656,السندات!$A$5:$A$504,0)),""))</f>
        <v/>
      </c>
      <c r="J1656" s="76" t="str">
        <f aca="false">IF(A1656="","",IF(ISNA(MATCH(A1656,السندات!$A$5:$A$504,0)),"رقم سند غير موجود ✘",IF(AND(F1656&lt;&gt;"",G1656&lt;&gt;""),"اكتب مدين أو دائن فقط ✘",IF(AND(N(F1656)=0,N(G1656)=0),"بدون مبلغ ⚠",IF(B1656&gt;12,"يتجاوز 12 بنداً في الطباعة ⚠","")))))</f>
        <v/>
      </c>
    </row>
    <row r="1657" customFormat="false" ht="15" hidden="false" customHeight="false" outlineLevel="0" collapsed="false">
      <c r="A1657" s="58"/>
      <c r="B1657" s="68" t="str">
        <f aca="false">IF(A1657="","",COUNTIF(A$5:A1657,A1657))</f>
        <v/>
      </c>
      <c r="C1657" s="68" t="str">
        <f aca="false">IF(A1657="","",A1657&amp;"-"&amp;B1657)</f>
        <v/>
      </c>
      <c r="D1657" s="58"/>
      <c r="E1657" s="57"/>
      <c r="F1657" s="69"/>
      <c r="G1657" s="69"/>
      <c r="H1657" s="70" t="str">
        <f aca="false">IF(A1657="","",IFERROR(INDEX(السندات!$C$5:$C$504,MATCH(A1657,السندات!$A$5:$A$504,0)),""))</f>
        <v/>
      </c>
      <c r="I1657" s="71" t="str">
        <f aca="false">IF(A1657="","",IFERROR(INDEX(السندات!$D$5:$D$504,MATCH(A1657,السندات!$A$5:$A$504,0)),""))</f>
        <v/>
      </c>
      <c r="J1657" s="72" t="str">
        <f aca="false">IF(A1657="","",IF(ISNA(MATCH(A1657,السندات!$A$5:$A$504,0)),"رقم سند غير موجود ✘",IF(AND(F1657&lt;&gt;"",G1657&lt;&gt;""),"اكتب مدين أو دائن فقط ✘",IF(AND(N(F1657)=0,N(G1657)=0),"بدون مبلغ ⚠",IF(B1657&gt;12,"يتجاوز 12 بنداً في الطباعة ⚠","")))))</f>
        <v/>
      </c>
    </row>
    <row r="1658" customFormat="false" ht="15" hidden="false" customHeight="false" outlineLevel="0" collapsed="false">
      <c r="A1658" s="58"/>
      <c r="B1658" s="73" t="str">
        <f aca="false">IF(A1658="","",COUNTIF(A$5:A1658,A1658))</f>
        <v/>
      </c>
      <c r="C1658" s="73" t="str">
        <f aca="false">IF(A1658="","",A1658&amp;"-"&amp;B1658)</f>
        <v/>
      </c>
      <c r="D1658" s="58"/>
      <c r="E1658" s="57"/>
      <c r="F1658" s="69"/>
      <c r="G1658" s="69"/>
      <c r="H1658" s="74" t="str">
        <f aca="false">IF(A1658="","",IFERROR(INDEX(السندات!$C$5:$C$504,MATCH(A1658,السندات!$A$5:$A$504,0)),""))</f>
        <v/>
      </c>
      <c r="I1658" s="75" t="str">
        <f aca="false">IF(A1658="","",IFERROR(INDEX(السندات!$D$5:$D$504,MATCH(A1658,السندات!$A$5:$A$504,0)),""))</f>
        <v/>
      </c>
      <c r="J1658" s="76" t="str">
        <f aca="false">IF(A1658="","",IF(ISNA(MATCH(A1658,السندات!$A$5:$A$504,0)),"رقم سند غير موجود ✘",IF(AND(F1658&lt;&gt;"",G1658&lt;&gt;""),"اكتب مدين أو دائن فقط ✘",IF(AND(N(F1658)=0,N(G1658)=0),"بدون مبلغ ⚠",IF(B1658&gt;12,"يتجاوز 12 بنداً في الطباعة ⚠","")))))</f>
        <v/>
      </c>
    </row>
    <row r="1659" customFormat="false" ht="15" hidden="false" customHeight="false" outlineLevel="0" collapsed="false">
      <c r="A1659" s="58"/>
      <c r="B1659" s="68" t="str">
        <f aca="false">IF(A1659="","",COUNTIF(A$5:A1659,A1659))</f>
        <v/>
      </c>
      <c r="C1659" s="68" t="str">
        <f aca="false">IF(A1659="","",A1659&amp;"-"&amp;B1659)</f>
        <v/>
      </c>
      <c r="D1659" s="58"/>
      <c r="E1659" s="57"/>
      <c r="F1659" s="69"/>
      <c r="G1659" s="69"/>
      <c r="H1659" s="70" t="str">
        <f aca="false">IF(A1659="","",IFERROR(INDEX(السندات!$C$5:$C$504,MATCH(A1659,السندات!$A$5:$A$504,0)),""))</f>
        <v/>
      </c>
      <c r="I1659" s="71" t="str">
        <f aca="false">IF(A1659="","",IFERROR(INDEX(السندات!$D$5:$D$504,MATCH(A1659,السندات!$A$5:$A$504,0)),""))</f>
        <v/>
      </c>
      <c r="J1659" s="72" t="str">
        <f aca="false">IF(A1659="","",IF(ISNA(MATCH(A1659,السندات!$A$5:$A$504,0)),"رقم سند غير موجود ✘",IF(AND(F1659&lt;&gt;"",G1659&lt;&gt;""),"اكتب مدين أو دائن فقط ✘",IF(AND(N(F1659)=0,N(G1659)=0),"بدون مبلغ ⚠",IF(B1659&gt;12,"يتجاوز 12 بنداً في الطباعة ⚠","")))))</f>
        <v/>
      </c>
    </row>
    <row r="1660" customFormat="false" ht="15" hidden="false" customHeight="false" outlineLevel="0" collapsed="false">
      <c r="A1660" s="58"/>
      <c r="B1660" s="73" t="str">
        <f aca="false">IF(A1660="","",COUNTIF(A$5:A1660,A1660))</f>
        <v/>
      </c>
      <c r="C1660" s="73" t="str">
        <f aca="false">IF(A1660="","",A1660&amp;"-"&amp;B1660)</f>
        <v/>
      </c>
      <c r="D1660" s="58"/>
      <c r="E1660" s="57"/>
      <c r="F1660" s="69"/>
      <c r="G1660" s="69"/>
      <c r="H1660" s="74" t="str">
        <f aca="false">IF(A1660="","",IFERROR(INDEX(السندات!$C$5:$C$504,MATCH(A1660,السندات!$A$5:$A$504,0)),""))</f>
        <v/>
      </c>
      <c r="I1660" s="75" t="str">
        <f aca="false">IF(A1660="","",IFERROR(INDEX(السندات!$D$5:$D$504,MATCH(A1660,السندات!$A$5:$A$504,0)),""))</f>
        <v/>
      </c>
      <c r="J1660" s="76" t="str">
        <f aca="false">IF(A1660="","",IF(ISNA(MATCH(A1660,السندات!$A$5:$A$504,0)),"رقم سند غير موجود ✘",IF(AND(F1660&lt;&gt;"",G1660&lt;&gt;""),"اكتب مدين أو دائن فقط ✘",IF(AND(N(F1660)=0,N(G1660)=0),"بدون مبلغ ⚠",IF(B1660&gt;12,"يتجاوز 12 بنداً في الطباعة ⚠","")))))</f>
        <v/>
      </c>
    </row>
    <row r="1661" customFormat="false" ht="15" hidden="false" customHeight="false" outlineLevel="0" collapsed="false">
      <c r="A1661" s="58"/>
      <c r="B1661" s="68" t="str">
        <f aca="false">IF(A1661="","",COUNTIF(A$5:A1661,A1661))</f>
        <v/>
      </c>
      <c r="C1661" s="68" t="str">
        <f aca="false">IF(A1661="","",A1661&amp;"-"&amp;B1661)</f>
        <v/>
      </c>
      <c r="D1661" s="58"/>
      <c r="E1661" s="57"/>
      <c r="F1661" s="69"/>
      <c r="G1661" s="69"/>
      <c r="H1661" s="70" t="str">
        <f aca="false">IF(A1661="","",IFERROR(INDEX(السندات!$C$5:$C$504,MATCH(A1661,السندات!$A$5:$A$504,0)),""))</f>
        <v/>
      </c>
      <c r="I1661" s="71" t="str">
        <f aca="false">IF(A1661="","",IFERROR(INDEX(السندات!$D$5:$D$504,MATCH(A1661,السندات!$A$5:$A$504,0)),""))</f>
        <v/>
      </c>
      <c r="J1661" s="72" t="str">
        <f aca="false">IF(A1661="","",IF(ISNA(MATCH(A1661,السندات!$A$5:$A$504,0)),"رقم سند غير موجود ✘",IF(AND(F1661&lt;&gt;"",G1661&lt;&gt;""),"اكتب مدين أو دائن فقط ✘",IF(AND(N(F1661)=0,N(G1661)=0),"بدون مبلغ ⚠",IF(B1661&gt;12,"يتجاوز 12 بنداً في الطباعة ⚠","")))))</f>
        <v/>
      </c>
    </row>
    <row r="1662" customFormat="false" ht="15" hidden="false" customHeight="false" outlineLevel="0" collapsed="false">
      <c r="A1662" s="58"/>
      <c r="B1662" s="73" t="str">
        <f aca="false">IF(A1662="","",COUNTIF(A$5:A1662,A1662))</f>
        <v/>
      </c>
      <c r="C1662" s="73" t="str">
        <f aca="false">IF(A1662="","",A1662&amp;"-"&amp;B1662)</f>
        <v/>
      </c>
      <c r="D1662" s="58"/>
      <c r="E1662" s="57"/>
      <c r="F1662" s="69"/>
      <c r="G1662" s="69"/>
      <c r="H1662" s="74" t="str">
        <f aca="false">IF(A1662="","",IFERROR(INDEX(السندات!$C$5:$C$504,MATCH(A1662,السندات!$A$5:$A$504,0)),""))</f>
        <v/>
      </c>
      <c r="I1662" s="75" t="str">
        <f aca="false">IF(A1662="","",IFERROR(INDEX(السندات!$D$5:$D$504,MATCH(A1662,السندات!$A$5:$A$504,0)),""))</f>
        <v/>
      </c>
      <c r="J1662" s="76" t="str">
        <f aca="false">IF(A1662="","",IF(ISNA(MATCH(A1662,السندات!$A$5:$A$504,0)),"رقم سند غير موجود ✘",IF(AND(F1662&lt;&gt;"",G1662&lt;&gt;""),"اكتب مدين أو دائن فقط ✘",IF(AND(N(F1662)=0,N(G1662)=0),"بدون مبلغ ⚠",IF(B1662&gt;12,"يتجاوز 12 بنداً في الطباعة ⚠","")))))</f>
        <v/>
      </c>
    </row>
    <row r="1663" customFormat="false" ht="15" hidden="false" customHeight="false" outlineLevel="0" collapsed="false">
      <c r="A1663" s="58"/>
      <c r="B1663" s="68" t="str">
        <f aca="false">IF(A1663="","",COUNTIF(A$5:A1663,A1663))</f>
        <v/>
      </c>
      <c r="C1663" s="68" t="str">
        <f aca="false">IF(A1663="","",A1663&amp;"-"&amp;B1663)</f>
        <v/>
      </c>
      <c r="D1663" s="58"/>
      <c r="E1663" s="57"/>
      <c r="F1663" s="69"/>
      <c r="G1663" s="69"/>
      <c r="H1663" s="70" t="str">
        <f aca="false">IF(A1663="","",IFERROR(INDEX(السندات!$C$5:$C$504,MATCH(A1663,السندات!$A$5:$A$504,0)),""))</f>
        <v/>
      </c>
      <c r="I1663" s="71" t="str">
        <f aca="false">IF(A1663="","",IFERROR(INDEX(السندات!$D$5:$D$504,MATCH(A1663,السندات!$A$5:$A$504,0)),""))</f>
        <v/>
      </c>
      <c r="J1663" s="72" t="str">
        <f aca="false">IF(A1663="","",IF(ISNA(MATCH(A1663,السندات!$A$5:$A$504,0)),"رقم سند غير موجود ✘",IF(AND(F1663&lt;&gt;"",G1663&lt;&gt;""),"اكتب مدين أو دائن فقط ✘",IF(AND(N(F1663)=0,N(G1663)=0),"بدون مبلغ ⚠",IF(B1663&gt;12,"يتجاوز 12 بنداً في الطباعة ⚠","")))))</f>
        <v/>
      </c>
    </row>
    <row r="1664" customFormat="false" ht="15" hidden="false" customHeight="false" outlineLevel="0" collapsed="false">
      <c r="A1664" s="58"/>
      <c r="B1664" s="73" t="str">
        <f aca="false">IF(A1664="","",COUNTIF(A$5:A1664,A1664))</f>
        <v/>
      </c>
      <c r="C1664" s="73" t="str">
        <f aca="false">IF(A1664="","",A1664&amp;"-"&amp;B1664)</f>
        <v/>
      </c>
      <c r="D1664" s="58"/>
      <c r="E1664" s="57"/>
      <c r="F1664" s="69"/>
      <c r="G1664" s="69"/>
      <c r="H1664" s="74" t="str">
        <f aca="false">IF(A1664="","",IFERROR(INDEX(السندات!$C$5:$C$504,MATCH(A1664,السندات!$A$5:$A$504,0)),""))</f>
        <v/>
      </c>
      <c r="I1664" s="75" t="str">
        <f aca="false">IF(A1664="","",IFERROR(INDEX(السندات!$D$5:$D$504,MATCH(A1664,السندات!$A$5:$A$504,0)),""))</f>
        <v/>
      </c>
      <c r="J1664" s="76" t="str">
        <f aca="false">IF(A1664="","",IF(ISNA(MATCH(A1664,السندات!$A$5:$A$504,0)),"رقم سند غير موجود ✘",IF(AND(F1664&lt;&gt;"",G1664&lt;&gt;""),"اكتب مدين أو دائن فقط ✘",IF(AND(N(F1664)=0,N(G1664)=0),"بدون مبلغ ⚠",IF(B1664&gt;12,"يتجاوز 12 بنداً في الطباعة ⚠","")))))</f>
        <v/>
      </c>
    </row>
    <row r="1665" customFormat="false" ht="15" hidden="false" customHeight="false" outlineLevel="0" collapsed="false">
      <c r="A1665" s="58"/>
      <c r="B1665" s="68" t="str">
        <f aca="false">IF(A1665="","",COUNTIF(A$5:A1665,A1665))</f>
        <v/>
      </c>
      <c r="C1665" s="68" t="str">
        <f aca="false">IF(A1665="","",A1665&amp;"-"&amp;B1665)</f>
        <v/>
      </c>
      <c r="D1665" s="58"/>
      <c r="E1665" s="57"/>
      <c r="F1665" s="69"/>
      <c r="G1665" s="69"/>
      <c r="H1665" s="70" t="str">
        <f aca="false">IF(A1665="","",IFERROR(INDEX(السندات!$C$5:$C$504,MATCH(A1665,السندات!$A$5:$A$504,0)),""))</f>
        <v/>
      </c>
      <c r="I1665" s="71" t="str">
        <f aca="false">IF(A1665="","",IFERROR(INDEX(السندات!$D$5:$D$504,MATCH(A1665,السندات!$A$5:$A$504,0)),""))</f>
        <v/>
      </c>
      <c r="J1665" s="72" t="str">
        <f aca="false">IF(A1665="","",IF(ISNA(MATCH(A1665,السندات!$A$5:$A$504,0)),"رقم سند غير موجود ✘",IF(AND(F1665&lt;&gt;"",G1665&lt;&gt;""),"اكتب مدين أو دائن فقط ✘",IF(AND(N(F1665)=0,N(G1665)=0),"بدون مبلغ ⚠",IF(B1665&gt;12,"يتجاوز 12 بنداً في الطباعة ⚠","")))))</f>
        <v/>
      </c>
    </row>
    <row r="1666" customFormat="false" ht="15" hidden="false" customHeight="false" outlineLevel="0" collapsed="false">
      <c r="A1666" s="58"/>
      <c r="B1666" s="73" t="str">
        <f aca="false">IF(A1666="","",COUNTIF(A$5:A1666,A1666))</f>
        <v/>
      </c>
      <c r="C1666" s="73" t="str">
        <f aca="false">IF(A1666="","",A1666&amp;"-"&amp;B1666)</f>
        <v/>
      </c>
      <c r="D1666" s="58"/>
      <c r="E1666" s="57"/>
      <c r="F1666" s="69"/>
      <c r="G1666" s="69"/>
      <c r="H1666" s="74" t="str">
        <f aca="false">IF(A1666="","",IFERROR(INDEX(السندات!$C$5:$C$504,MATCH(A1666,السندات!$A$5:$A$504,0)),""))</f>
        <v/>
      </c>
      <c r="I1666" s="75" t="str">
        <f aca="false">IF(A1666="","",IFERROR(INDEX(السندات!$D$5:$D$504,MATCH(A1666,السندات!$A$5:$A$504,0)),""))</f>
        <v/>
      </c>
      <c r="J1666" s="76" t="str">
        <f aca="false">IF(A1666="","",IF(ISNA(MATCH(A1666,السندات!$A$5:$A$504,0)),"رقم سند غير موجود ✘",IF(AND(F1666&lt;&gt;"",G1666&lt;&gt;""),"اكتب مدين أو دائن فقط ✘",IF(AND(N(F1666)=0,N(G1666)=0),"بدون مبلغ ⚠",IF(B1666&gt;12,"يتجاوز 12 بنداً في الطباعة ⚠","")))))</f>
        <v/>
      </c>
    </row>
    <row r="1667" customFormat="false" ht="15" hidden="false" customHeight="false" outlineLevel="0" collapsed="false">
      <c r="A1667" s="58"/>
      <c r="B1667" s="68" t="str">
        <f aca="false">IF(A1667="","",COUNTIF(A$5:A1667,A1667))</f>
        <v/>
      </c>
      <c r="C1667" s="68" t="str">
        <f aca="false">IF(A1667="","",A1667&amp;"-"&amp;B1667)</f>
        <v/>
      </c>
      <c r="D1667" s="58"/>
      <c r="E1667" s="57"/>
      <c r="F1667" s="69"/>
      <c r="G1667" s="69"/>
      <c r="H1667" s="70" t="str">
        <f aca="false">IF(A1667="","",IFERROR(INDEX(السندات!$C$5:$C$504,MATCH(A1667,السندات!$A$5:$A$504,0)),""))</f>
        <v/>
      </c>
      <c r="I1667" s="71" t="str">
        <f aca="false">IF(A1667="","",IFERROR(INDEX(السندات!$D$5:$D$504,MATCH(A1667,السندات!$A$5:$A$504,0)),""))</f>
        <v/>
      </c>
      <c r="J1667" s="72" t="str">
        <f aca="false">IF(A1667="","",IF(ISNA(MATCH(A1667,السندات!$A$5:$A$504,0)),"رقم سند غير موجود ✘",IF(AND(F1667&lt;&gt;"",G1667&lt;&gt;""),"اكتب مدين أو دائن فقط ✘",IF(AND(N(F1667)=0,N(G1667)=0),"بدون مبلغ ⚠",IF(B1667&gt;12,"يتجاوز 12 بنداً في الطباعة ⚠","")))))</f>
        <v/>
      </c>
    </row>
    <row r="1668" customFormat="false" ht="15" hidden="false" customHeight="false" outlineLevel="0" collapsed="false">
      <c r="A1668" s="58"/>
      <c r="B1668" s="73" t="str">
        <f aca="false">IF(A1668="","",COUNTIF(A$5:A1668,A1668))</f>
        <v/>
      </c>
      <c r="C1668" s="73" t="str">
        <f aca="false">IF(A1668="","",A1668&amp;"-"&amp;B1668)</f>
        <v/>
      </c>
      <c r="D1668" s="58"/>
      <c r="E1668" s="57"/>
      <c r="F1668" s="69"/>
      <c r="G1668" s="69"/>
      <c r="H1668" s="74" t="str">
        <f aca="false">IF(A1668="","",IFERROR(INDEX(السندات!$C$5:$C$504,MATCH(A1668,السندات!$A$5:$A$504,0)),""))</f>
        <v/>
      </c>
      <c r="I1668" s="75" t="str">
        <f aca="false">IF(A1668="","",IFERROR(INDEX(السندات!$D$5:$D$504,MATCH(A1668,السندات!$A$5:$A$504,0)),""))</f>
        <v/>
      </c>
      <c r="J1668" s="76" t="str">
        <f aca="false">IF(A1668="","",IF(ISNA(MATCH(A1668,السندات!$A$5:$A$504,0)),"رقم سند غير موجود ✘",IF(AND(F1668&lt;&gt;"",G1668&lt;&gt;""),"اكتب مدين أو دائن فقط ✘",IF(AND(N(F1668)=0,N(G1668)=0),"بدون مبلغ ⚠",IF(B1668&gt;12,"يتجاوز 12 بنداً في الطباعة ⚠","")))))</f>
        <v/>
      </c>
    </row>
    <row r="1669" customFormat="false" ht="15" hidden="false" customHeight="false" outlineLevel="0" collapsed="false">
      <c r="A1669" s="58"/>
      <c r="B1669" s="68" t="str">
        <f aca="false">IF(A1669="","",COUNTIF(A$5:A1669,A1669))</f>
        <v/>
      </c>
      <c r="C1669" s="68" t="str">
        <f aca="false">IF(A1669="","",A1669&amp;"-"&amp;B1669)</f>
        <v/>
      </c>
      <c r="D1669" s="58"/>
      <c r="E1669" s="57"/>
      <c r="F1669" s="69"/>
      <c r="G1669" s="69"/>
      <c r="H1669" s="70" t="str">
        <f aca="false">IF(A1669="","",IFERROR(INDEX(السندات!$C$5:$C$504,MATCH(A1669,السندات!$A$5:$A$504,0)),""))</f>
        <v/>
      </c>
      <c r="I1669" s="71" t="str">
        <f aca="false">IF(A1669="","",IFERROR(INDEX(السندات!$D$5:$D$504,MATCH(A1669,السندات!$A$5:$A$504,0)),""))</f>
        <v/>
      </c>
      <c r="J1669" s="72" t="str">
        <f aca="false">IF(A1669="","",IF(ISNA(MATCH(A1669,السندات!$A$5:$A$504,0)),"رقم سند غير موجود ✘",IF(AND(F1669&lt;&gt;"",G1669&lt;&gt;""),"اكتب مدين أو دائن فقط ✘",IF(AND(N(F1669)=0,N(G1669)=0),"بدون مبلغ ⚠",IF(B1669&gt;12,"يتجاوز 12 بنداً في الطباعة ⚠","")))))</f>
        <v/>
      </c>
    </row>
    <row r="1670" customFormat="false" ht="15" hidden="false" customHeight="false" outlineLevel="0" collapsed="false">
      <c r="A1670" s="58"/>
      <c r="B1670" s="73" t="str">
        <f aca="false">IF(A1670="","",COUNTIF(A$5:A1670,A1670))</f>
        <v/>
      </c>
      <c r="C1670" s="73" t="str">
        <f aca="false">IF(A1670="","",A1670&amp;"-"&amp;B1670)</f>
        <v/>
      </c>
      <c r="D1670" s="58"/>
      <c r="E1670" s="57"/>
      <c r="F1670" s="69"/>
      <c r="G1670" s="69"/>
      <c r="H1670" s="74" t="str">
        <f aca="false">IF(A1670="","",IFERROR(INDEX(السندات!$C$5:$C$504,MATCH(A1670,السندات!$A$5:$A$504,0)),""))</f>
        <v/>
      </c>
      <c r="I1670" s="75" t="str">
        <f aca="false">IF(A1670="","",IFERROR(INDEX(السندات!$D$5:$D$504,MATCH(A1670,السندات!$A$5:$A$504,0)),""))</f>
        <v/>
      </c>
      <c r="J1670" s="76" t="str">
        <f aca="false">IF(A1670="","",IF(ISNA(MATCH(A1670,السندات!$A$5:$A$504,0)),"رقم سند غير موجود ✘",IF(AND(F1670&lt;&gt;"",G1670&lt;&gt;""),"اكتب مدين أو دائن فقط ✘",IF(AND(N(F1670)=0,N(G1670)=0),"بدون مبلغ ⚠",IF(B1670&gt;12,"يتجاوز 12 بنداً في الطباعة ⚠","")))))</f>
        <v/>
      </c>
    </row>
    <row r="1671" customFormat="false" ht="15" hidden="false" customHeight="false" outlineLevel="0" collapsed="false">
      <c r="A1671" s="58"/>
      <c r="B1671" s="68" t="str">
        <f aca="false">IF(A1671="","",COUNTIF(A$5:A1671,A1671))</f>
        <v/>
      </c>
      <c r="C1671" s="68" t="str">
        <f aca="false">IF(A1671="","",A1671&amp;"-"&amp;B1671)</f>
        <v/>
      </c>
      <c r="D1671" s="58"/>
      <c r="E1671" s="57"/>
      <c r="F1671" s="69"/>
      <c r="G1671" s="69"/>
      <c r="H1671" s="70" t="str">
        <f aca="false">IF(A1671="","",IFERROR(INDEX(السندات!$C$5:$C$504,MATCH(A1671,السندات!$A$5:$A$504,0)),""))</f>
        <v/>
      </c>
      <c r="I1671" s="71" t="str">
        <f aca="false">IF(A1671="","",IFERROR(INDEX(السندات!$D$5:$D$504,MATCH(A1671,السندات!$A$5:$A$504,0)),""))</f>
        <v/>
      </c>
      <c r="J1671" s="72" t="str">
        <f aca="false">IF(A1671="","",IF(ISNA(MATCH(A1671,السندات!$A$5:$A$504,0)),"رقم سند غير موجود ✘",IF(AND(F1671&lt;&gt;"",G1671&lt;&gt;""),"اكتب مدين أو دائن فقط ✘",IF(AND(N(F1671)=0,N(G1671)=0),"بدون مبلغ ⚠",IF(B1671&gt;12,"يتجاوز 12 بنداً في الطباعة ⚠","")))))</f>
        <v/>
      </c>
    </row>
    <row r="1672" customFormat="false" ht="15" hidden="false" customHeight="false" outlineLevel="0" collapsed="false">
      <c r="A1672" s="58"/>
      <c r="B1672" s="73" t="str">
        <f aca="false">IF(A1672="","",COUNTIF(A$5:A1672,A1672))</f>
        <v/>
      </c>
      <c r="C1672" s="73" t="str">
        <f aca="false">IF(A1672="","",A1672&amp;"-"&amp;B1672)</f>
        <v/>
      </c>
      <c r="D1672" s="58"/>
      <c r="E1672" s="57"/>
      <c r="F1672" s="69"/>
      <c r="G1672" s="69"/>
      <c r="H1672" s="74" t="str">
        <f aca="false">IF(A1672="","",IFERROR(INDEX(السندات!$C$5:$C$504,MATCH(A1672,السندات!$A$5:$A$504,0)),""))</f>
        <v/>
      </c>
      <c r="I1672" s="75" t="str">
        <f aca="false">IF(A1672="","",IFERROR(INDEX(السندات!$D$5:$D$504,MATCH(A1672,السندات!$A$5:$A$504,0)),""))</f>
        <v/>
      </c>
      <c r="J1672" s="76" t="str">
        <f aca="false">IF(A1672="","",IF(ISNA(MATCH(A1672,السندات!$A$5:$A$504,0)),"رقم سند غير موجود ✘",IF(AND(F1672&lt;&gt;"",G1672&lt;&gt;""),"اكتب مدين أو دائن فقط ✘",IF(AND(N(F1672)=0,N(G1672)=0),"بدون مبلغ ⚠",IF(B1672&gt;12,"يتجاوز 12 بنداً في الطباعة ⚠","")))))</f>
        <v/>
      </c>
    </row>
    <row r="1673" customFormat="false" ht="15" hidden="false" customHeight="false" outlineLevel="0" collapsed="false">
      <c r="A1673" s="58"/>
      <c r="B1673" s="68" t="str">
        <f aca="false">IF(A1673="","",COUNTIF(A$5:A1673,A1673))</f>
        <v/>
      </c>
      <c r="C1673" s="68" t="str">
        <f aca="false">IF(A1673="","",A1673&amp;"-"&amp;B1673)</f>
        <v/>
      </c>
      <c r="D1673" s="58"/>
      <c r="E1673" s="57"/>
      <c r="F1673" s="69"/>
      <c r="G1673" s="69"/>
      <c r="H1673" s="70" t="str">
        <f aca="false">IF(A1673="","",IFERROR(INDEX(السندات!$C$5:$C$504,MATCH(A1673,السندات!$A$5:$A$504,0)),""))</f>
        <v/>
      </c>
      <c r="I1673" s="71" t="str">
        <f aca="false">IF(A1673="","",IFERROR(INDEX(السندات!$D$5:$D$504,MATCH(A1673,السندات!$A$5:$A$504,0)),""))</f>
        <v/>
      </c>
      <c r="J1673" s="72" t="str">
        <f aca="false">IF(A1673="","",IF(ISNA(MATCH(A1673,السندات!$A$5:$A$504,0)),"رقم سند غير موجود ✘",IF(AND(F1673&lt;&gt;"",G1673&lt;&gt;""),"اكتب مدين أو دائن فقط ✘",IF(AND(N(F1673)=0,N(G1673)=0),"بدون مبلغ ⚠",IF(B1673&gt;12,"يتجاوز 12 بنداً في الطباعة ⚠","")))))</f>
        <v/>
      </c>
    </row>
    <row r="1674" customFormat="false" ht="15" hidden="false" customHeight="false" outlineLevel="0" collapsed="false">
      <c r="A1674" s="58"/>
      <c r="B1674" s="73" t="str">
        <f aca="false">IF(A1674="","",COUNTIF(A$5:A1674,A1674))</f>
        <v/>
      </c>
      <c r="C1674" s="73" t="str">
        <f aca="false">IF(A1674="","",A1674&amp;"-"&amp;B1674)</f>
        <v/>
      </c>
      <c r="D1674" s="58"/>
      <c r="E1674" s="57"/>
      <c r="F1674" s="69"/>
      <c r="G1674" s="69"/>
      <c r="H1674" s="74" t="str">
        <f aca="false">IF(A1674="","",IFERROR(INDEX(السندات!$C$5:$C$504,MATCH(A1674,السندات!$A$5:$A$504,0)),""))</f>
        <v/>
      </c>
      <c r="I1674" s="75" t="str">
        <f aca="false">IF(A1674="","",IFERROR(INDEX(السندات!$D$5:$D$504,MATCH(A1674,السندات!$A$5:$A$504,0)),""))</f>
        <v/>
      </c>
      <c r="J1674" s="76" t="str">
        <f aca="false">IF(A1674="","",IF(ISNA(MATCH(A1674,السندات!$A$5:$A$504,0)),"رقم سند غير موجود ✘",IF(AND(F1674&lt;&gt;"",G1674&lt;&gt;""),"اكتب مدين أو دائن فقط ✘",IF(AND(N(F1674)=0,N(G1674)=0),"بدون مبلغ ⚠",IF(B1674&gt;12,"يتجاوز 12 بنداً في الطباعة ⚠","")))))</f>
        <v/>
      </c>
    </row>
    <row r="1675" customFormat="false" ht="15" hidden="false" customHeight="false" outlineLevel="0" collapsed="false">
      <c r="A1675" s="58"/>
      <c r="B1675" s="68" t="str">
        <f aca="false">IF(A1675="","",COUNTIF(A$5:A1675,A1675))</f>
        <v/>
      </c>
      <c r="C1675" s="68" t="str">
        <f aca="false">IF(A1675="","",A1675&amp;"-"&amp;B1675)</f>
        <v/>
      </c>
      <c r="D1675" s="58"/>
      <c r="E1675" s="57"/>
      <c r="F1675" s="69"/>
      <c r="G1675" s="69"/>
      <c r="H1675" s="70" t="str">
        <f aca="false">IF(A1675="","",IFERROR(INDEX(السندات!$C$5:$C$504,MATCH(A1675,السندات!$A$5:$A$504,0)),""))</f>
        <v/>
      </c>
      <c r="I1675" s="71" t="str">
        <f aca="false">IF(A1675="","",IFERROR(INDEX(السندات!$D$5:$D$504,MATCH(A1675,السندات!$A$5:$A$504,0)),""))</f>
        <v/>
      </c>
      <c r="J1675" s="72" t="str">
        <f aca="false">IF(A1675="","",IF(ISNA(MATCH(A1675,السندات!$A$5:$A$504,0)),"رقم سند غير موجود ✘",IF(AND(F1675&lt;&gt;"",G1675&lt;&gt;""),"اكتب مدين أو دائن فقط ✘",IF(AND(N(F1675)=0,N(G1675)=0),"بدون مبلغ ⚠",IF(B1675&gt;12,"يتجاوز 12 بنداً في الطباعة ⚠","")))))</f>
        <v/>
      </c>
    </row>
    <row r="1676" customFormat="false" ht="15" hidden="false" customHeight="false" outlineLevel="0" collapsed="false">
      <c r="A1676" s="58"/>
      <c r="B1676" s="73" t="str">
        <f aca="false">IF(A1676="","",COUNTIF(A$5:A1676,A1676))</f>
        <v/>
      </c>
      <c r="C1676" s="73" t="str">
        <f aca="false">IF(A1676="","",A1676&amp;"-"&amp;B1676)</f>
        <v/>
      </c>
      <c r="D1676" s="58"/>
      <c r="E1676" s="57"/>
      <c r="F1676" s="69"/>
      <c r="G1676" s="69"/>
      <c r="H1676" s="74" t="str">
        <f aca="false">IF(A1676="","",IFERROR(INDEX(السندات!$C$5:$C$504,MATCH(A1676,السندات!$A$5:$A$504,0)),""))</f>
        <v/>
      </c>
      <c r="I1676" s="75" t="str">
        <f aca="false">IF(A1676="","",IFERROR(INDEX(السندات!$D$5:$D$504,MATCH(A1676,السندات!$A$5:$A$504,0)),""))</f>
        <v/>
      </c>
      <c r="J1676" s="76" t="str">
        <f aca="false">IF(A1676="","",IF(ISNA(MATCH(A1676,السندات!$A$5:$A$504,0)),"رقم سند غير موجود ✘",IF(AND(F1676&lt;&gt;"",G1676&lt;&gt;""),"اكتب مدين أو دائن فقط ✘",IF(AND(N(F1676)=0,N(G1676)=0),"بدون مبلغ ⚠",IF(B1676&gt;12,"يتجاوز 12 بنداً في الطباعة ⚠","")))))</f>
        <v/>
      </c>
    </row>
    <row r="1677" customFormat="false" ht="15" hidden="false" customHeight="false" outlineLevel="0" collapsed="false">
      <c r="A1677" s="58"/>
      <c r="B1677" s="68" t="str">
        <f aca="false">IF(A1677="","",COUNTIF(A$5:A1677,A1677))</f>
        <v/>
      </c>
      <c r="C1677" s="68" t="str">
        <f aca="false">IF(A1677="","",A1677&amp;"-"&amp;B1677)</f>
        <v/>
      </c>
      <c r="D1677" s="58"/>
      <c r="E1677" s="57"/>
      <c r="F1677" s="69"/>
      <c r="G1677" s="69"/>
      <c r="H1677" s="70" t="str">
        <f aca="false">IF(A1677="","",IFERROR(INDEX(السندات!$C$5:$C$504,MATCH(A1677,السندات!$A$5:$A$504,0)),""))</f>
        <v/>
      </c>
      <c r="I1677" s="71" t="str">
        <f aca="false">IF(A1677="","",IFERROR(INDEX(السندات!$D$5:$D$504,MATCH(A1677,السندات!$A$5:$A$504,0)),""))</f>
        <v/>
      </c>
      <c r="J1677" s="72" t="str">
        <f aca="false">IF(A1677="","",IF(ISNA(MATCH(A1677,السندات!$A$5:$A$504,0)),"رقم سند غير موجود ✘",IF(AND(F1677&lt;&gt;"",G1677&lt;&gt;""),"اكتب مدين أو دائن فقط ✘",IF(AND(N(F1677)=0,N(G1677)=0),"بدون مبلغ ⚠",IF(B1677&gt;12,"يتجاوز 12 بنداً في الطباعة ⚠","")))))</f>
        <v/>
      </c>
    </row>
    <row r="1678" customFormat="false" ht="15" hidden="false" customHeight="false" outlineLevel="0" collapsed="false">
      <c r="A1678" s="58"/>
      <c r="B1678" s="73" t="str">
        <f aca="false">IF(A1678="","",COUNTIF(A$5:A1678,A1678))</f>
        <v/>
      </c>
      <c r="C1678" s="73" t="str">
        <f aca="false">IF(A1678="","",A1678&amp;"-"&amp;B1678)</f>
        <v/>
      </c>
      <c r="D1678" s="58"/>
      <c r="E1678" s="57"/>
      <c r="F1678" s="69"/>
      <c r="G1678" s="69"/>
      <c r="H1678" s="74" t="str">
        <f aca="false">IF(A1678="","",IFERROR(INDEX(السندات!$C$5:$C$504,MATCH(A1678,السندات!$A$5:$A$504,0)),""))</f>
        <v/>
      </c>
      <c r="I1678" s="75" t="str">
        <f aca="false">IF(A1678="","",IFERROR(INDEX(السندات!$D$5:$D$504,MATCH(A1678,السندات!$A$5:$A$504,0)),""))</f>
        <v/>
      </c>
      <c r="J1678" s="76" t="str">
        <f aca="false">IF(A1678="","",IF(ISNA(MATCH(A1678,السندات!$A$5:$A$504,0)),"رقم سند غير موجود ✘",IF(AND(F1678&lt;&gt;"",G1678&lt;&gt;""),"اكتب مدين أو دائن فقط ✘",IF(AND(N(F1678)=0,N(G1678)=0),"بدون مبلغ ⚠",IF(B1678&gt;12,"يتجاوز 12 بنداً في الطباعة ⚠","")))))</f>
        <v/>
      </c>
    </row>
    <row r="1679" customFormat="false" ht="15" hidden="false" customHeight="false" outlineLevel="0" collapsed="false">
      <c r="A1679" s="58"/>
      <c r="B1679" s="68" t="str">
        <f aca="false">IF(A1679="","",COUNTIF(A$5:A1679,A1679))</f>
        <v/>
      </c>
      <c r="C1679" s="68" t="str">
        <f aca="false">IF(A1679="","",A1679&amp;"-"&amp;B1679)</f>
        <v/>
      </c>
      <c r="D1679" s="58"/>
      <c r="E1679" s="57"/>
      <c r="F1679" s="69"/>
      <c r="G1679" s="69"/>
      <c r="H1679" s="70" t="str">
        <f aca="false">IF(A1679="","",IFERROR(INDEX(السندات!$C$5:$C$504,MATCH(A1679,السندات!$A$5:$A$504,0)),""))</f>
        <v/>
      </c>
      <c r="I1679" s="71" t="str">
        <f aca="false">IF(A1679="","",IFERROR(INDEX(السندات!$D$5:$D$504,MATCH(A1679,السندات!$A$5:$A$504,0)),""))</f>
        <v/>
      </c>
      <c r="J1679" s="72" t="str">
        <f aca="false">IF(A1679="","",IF(ISNA(MATCH(A1679,السندات!$A$5:$A$504,0)),"رقم سند غير موجود ✘",IF(AND(F1679&lt;&gt;"",G1679&lt;&gt;""),"اكتب مدين أو دائن فقط ✘",IF(AND(N(F1679)=0,N(G1679)=0),"بدون مبلغ ⚠",IF(B1679&gt;12,"يتجاوز 12 بنداً في الطباعة ⚠","")))))</f>
        <v/>
      </c>
    </row>
    <row r="1680" customFormat="false" ht="15" hidden="false" customHeight="false" outlineLevel="0" collapsed="false">
      <c r="A1680" s="58"/>
      <c r="B1680" s="73" t="str">
        <f aca="false">IF(A1680="","",COUNTIF(A$5:A1680,A1680))</f>
        <v/>
      </c>
      <c r="C1680" s="73" t="str">
        <f aca="false">IF(A1680="","",A1680&amp;"-"&amp;B1680)</f>
        <v/>
      </c>
      <c r="D1680" s="58"/>
      <c r="E1680" s="57"/>
      <c r="F1680" s="69"/>
      <c r="G1680" s="69"/>
      <c r="H1680" s="74" t="str">
        <f aca="false">IF(A1680="","",IFERROR(INDEX(السندات!$C$5:$C$504,MATCH(A1680,السندات!$A$5:$A$504,0)),""))</f>
        <v/>
      </c>
      <c r="I1680" s="75" t="str">
        <f aca="false">IF(A1680="","",IFERROR(INDEX(السندات!$D$5:$D$504,MATCH(A1680,السندات!$A$5:$A$504,0)),""))</f>
        <v/>
      </c>
      <c r="J1680" s="76" t="str">
        <f aca="false">IF(A1680="","",IF(ISNA(MATCH(A1680,السندات!$A$5:$A$504,0)),"رقم سند غير موجود ✘",IF(AND(F1680&lt;&gt;"",G1680&lt;&gt;""),"اكتب مدين أو دائن فقط ✘",IF(AND(N(F1680)=0,N(G1680)=0),"بدون مبلغ ⚠",IF(B1680&gt;12,"يتجاوز 12 بنداً في الطباعة ⚠","")))))</f>
        <v/>
      </c>
    </row>
    <row r="1681" customFormat="false" ht="15" hidden="false" customHeight="false" outlineLevel="0" collapsed="false">
      <c r="A1681" s="58"/>
      <c r="B1681" s="68" t="str">
        <f aca="false">IF(A1681="","",COUNTIF(A$5:A1681,A1681))</f>
        <v/>
      </c>
      <c r="C1681" s="68" t="str">
        <f aca="false">IF(A1681="","",A1681&amp;"-"&amp;B1681)</f>
        <v/>
      </c>
      <c r="D1681" s="58"/>
      <c r="E1681" s="57"/>
      <c r="F1681" s="69"/>
      <c r="G1681" s="69"/>
      <c r="H1681" s="70" t="str">
        <f aca="false">IF(A1681="","",IFERROR(INDEX(السندات!$C$5:$C$504,MATCH(A1681,السندات!$A$5:$A$504,0)),""))</f>
        <v/>
      </c>
      <c r="I1681" s="71" t="str">
        <f aca="false">IF(A1681="","",IFERROR(INDEX(السندات!$D$5:$D$504,MATCH(A1681,السندات!$A$5:$A$504,0)),""))</f>
        <v/>
      </c>
      <c r="J1681" s="72" t="str">
        <f aca="false">IF(A1681="","",IF(ISNA(MATCH(A1681,السندات!$A$5:$A$504,0)),"رقم سند غير موجود ✘",IF(AND(F1681&lt;&gt;"",G1681&lt;&gt;""),"اكتب مدين أو دائن فقط ✘",IF(AND(N(F1681)=0,N(G1681)=0),"بدون مبلغ ⚠",IF(B1681&gt;12,"يتجاوز 12 بنداً في الطباعة ⚠","")))))</f>
        <v/>
      </c>
    </row>
    <row r="1682" customFormat="false" ht="15" hidden="false" customHeight="false" outlineLevel="0" collapsed="false">
      <c r="A1682" s="58"/>
      <c r="B1682" s="73" t="str">
        <f aca="false">IF(A1682="","",COUNTIF(A$5:A1682,A1682))</f>
        <v/>
      </c>
      <c r="C1682" s="73" t="str">
        <f aca="false">IF(A1682="","",A1682&amp;"-"&amp;B1682)</f>
        <v/>
      </c>
      <c r="D1682" s="58"/>
      <c r="E1682" s="57"/>
      <c r="F1682" s="69"/>
      <c r="G1682" s="69"/>
      <c r="H1682" s="74" t="str">
        <f aca="false">IF(A1682="","",IFERROR(INDEX(السندات!$C$5:$C$504,MATCH(A1682,السندات!$A$5:$A$504,0)),""))</f>
        <v/>
      </c>
      <c r="I1682" s="75" t="str">
        <f aca="false">IF(A1682="","",IFERROR(INDEX(السندات!$D$5:$D$504,MATCH(A1682,السندات!$A$5:$A$504,0)),""))</f>
        <v/>
      </c>
      <c r="J1682" s="76" t="str">
        <f aca="false">IF(A1682="","",IF(ISNA(MATCH(A1682,السندات!$A$5:$A$504,0)),"رقم سند غير موجود ✘",IF(AND(F1682&lt;&gt;"",G1682&lt;&gt;""),"اكتب مدين أو دائن فقط ✘",IF(AND(N(F1682)=0,N(G1682)=0),"بدون مبلغ ⚠",IF(B1682&gt;12,"يتجاوز 12 بنداً في الطباعة ⚠","")))))</f>
        <v/>
      </c>
    </row>
    <row r="1683" customFormat="false" ht="15" hidden="false" customHeight="false" outlineLevel="0" collapsed="false">
      <c r="A1683" s="58"/>
      <c r="B1683" s="68" t="str">
        <f aca="false">IF(A1683="","",COUNTIF(A$5:A1683,A1683))</f>
        <v/>
      </c>
      <c r="C1683" s="68" t="str">
        <f aca="false">IF(A1683="","",A1683&amp;"-"&amp;B1683)</f>
        <v/>
      </c>
      <c r="D1683" s="58"/>
      <c r="E1683" s="57"/>
      <c r="F1683" s="69"/>
      <c r="G1683" s="69"/>
      <c r="H1683" s="70" t="str">
        <f aca="false">IF(A1683="","",IFERROR(INDEX(السندات!$C$5:$C$504,MATCH(A1683,السندات!$A$5:$A$504,0)),""))</f>
        <v/>
      </c>
      <c r="I1683" s="71" t="str">
        <f aca="false">IF(A1683="","",IFERROR(INDEX(السندات!$D$5:$D$504,MATCH(A1683,السندات!$A$5:$A$504,0)),""))</f>
        <v/>
      </c>
      <c r="J1683" s="72" t="str">
        <f aca="false">IF(A1683="","",IF(ISNA(MATCH(A1683,السندات!$A$5:$A$504,0)),"رقم سند غير موجود ✘",IF(AND(F1683&lt;&gt;"",G1683&lt;&gt;""),"اكتب مدين أو دائن فقط ✘",IF(AND(N(F1683)=0,N(G1683)=0),"بدون مبلغ ⚠",IF(B1683&gt;12,"يتجاوز 12 بنداً في الطباعة ⚠","")))))</f>
        <v/>
      </c>
    </row>
    <row r="1684" customFormat="false" ht="15" hidden="false" customHeight="false" outlineLevel="0" collapsed="false">
      <c r="A1684" s="58"/>
      <c r="B1684" s="73" t="str">
        <f aca="false">IF(A1684="","",COUNTIF(A$5:A1684,A1684))</f>
        <v/>
      </c>
      <c r="C1684" s="73" t="str">
        <f aca="false">IF(A1684="","",A1684&amp;"-"&amp;B1684)</f>
        <v/>
      </c>
      <c r="D1684" s="58"/>
      <c r="E1684" s="57"/>
      <c r="F1684" s="69"/>
      <c r="G1684" s="69"/>
      <c r="H1684" s="74" t="str">
        <f aca="false">IF(A1684="","",IFERROR(INDEX(السندات!$C$5:$C$504,MATCH(A1684,السندات!$A$5:$A$504,0)),""))</f>
        <v/>
      </c>
      <c r="I1684" s="75" t="str">
        <f aca="false">IF(A1684="","",IFERROR(INDEX(السندات!$D$5:$D$504,MATCH(A1684,السندات!$A$5:$A$504,0)),""))</f>
        <v/>
      </c>
      <c r="J1684" s="76" t="str">
        <f aca="false">IF(A1684="","",IF(ISNA(MATCH(A1684,السندات!$A$5:$A$504,0)),"رقم سند غير موجود ✘",IF(AND(F1684&lt;&gt;"",G1684&lt;&gt;""),"اكتب مدين أو دائن فقط ✘",IF(AND(N(F1684)=0,N(G1684)=0),"بدون مبلغ ⚠",IF(B1684&gt;12,"يتجاوز 12 بنداً في الطباعة ⚠","")))))</f>
        <v/>
      </c>
    </row>
    <row r="1685" customFormat="false" ht="15" hidden="false" customHeight="false" outlineLevel="0" collapsed="false">
      <c r="A1685" s="58"/>
      <c r="B1685" s="68" t="str">
        <f aca="false">IF(A1685="","",COUNTIF(A$5:A1685,A1685))</f>
        <v/>
      </c>
      <c r="C1685" s="68" t="str">
        <f aca="false">IF(A1685="","",A1685&amp;"-"&amp;B1685)</f>
        <v/>
      </c>
      <c r="D1685" s="58"/>
      <c r="E1685" s="57"/>
      <c r="F1685" s="69"/>
      <c r="G1685" s="69"/>
      <c r="H1685" s="70" t="str">
        <f aca="false">IF(A1685="","",IFERROR(INDEX(السندات!$C$5:$C$504,MATCH(A1685,السندات!$A$5:$A$504,0)),""))</f>
        <v/>
      </c>
      <c r="I1685" s="71" t="str">
        <f aca="false">IF(A1685="","",IFERROR(INDEX(السندات!$D$5:$D$504,MATCH(A1685,السندات!$A$5:$A$504,0)),""))</f>
        <v/>
      </c>
      <c r="J1685" s="72" t="str">
        <f aca="false">IF(A1685="","",IF(ISNA(MATCH(A1685,السندات!$A$5:$A$504,0)),"رقم سند غير موجود ✘",IF(AND(F1685&lt;&gt;"",G1685&lt;&gt;""),"اكتب مدين أو دائن فقط ✘",IF(AND(N(F1685)=0,N(G1685)=0),"بدون مبلغ ⚠",IF(B1685&gt;12,"يتجاوز 12 بنداً في الطباعة ⚠","")))))</f>
        <v/>
      </c>
    </row>
    <row r="1686" customFormat="false" ht="15" hidden="false" customHeight="false" outlineLevel="0" collapsed="false">
      <c r="A1686" s="58"/>
      <c r="B1686" s="73" t="str">
        <f aca="false">IF(A1686="","",COUNTIF(A$5:A1686,A1686))</f>
        <v/>
      </c>
      <c r="C1686" s="73" t="str">
        <f aca="false">IF(A1686="","",A1686&amp;"-"&amp;B1686)</f>
        <v/>
      </c>
      <c r="D1686" s="58"/>
      <c r="E1686" s="57"/>
      <c r="F1686" s="69"/>
      <c r="G1686" s="69"/>
      <c r="H1686" s="74" t="str">
        <f aca="false">IF(A1686="","",IFERROR(INDEX(السندات!$C$5:$C$504,MATCH(A1686,السندات!$A$5:$A$504,0)),""))</f>
        <v/>
      </c>
      <c r="I1686" s="75" t="str">
        <f aca="false">IF(A1686="","",IFERROR(INDEX(السندات!$D$5:$D$504,MATCH(A1686,السندات!$A$5:$A$504,0)),""))</f>
        <v/>
      </c>
      <c r="J1686" s="76" t="str">
        <f aca="false">IF(A1686="","",IF(ISNA(MATCH(A1686,السندات!$A$5:$A$504,0)),"رقم سند غير موجود ✘",IF(AND(F1686&lt;&gt;"",G1686&lt;&gt;""),"اكتب مدين أو دائن فقط ✘",IF(AND(N(F1686)=0,N(G1686)=0),"بدون مبلغ ⚠",IF(B1686&gt;12,"يتجاوز 12 بنداً في الطباعة ⚠","")))))</f>
        <v/>
      </c>
    </row>
    <row r="1687" customFormat="false" ht="15" hidden="false" customHeight="false" outlineLevel="0" collapsed="false">
      <c r="A1687" s="58"/>
      <c r="B1687" s="68" t="str">
        <f aca="false">IF(A1687="","",COUNTIF(A$5:A1687,A1687))</f>
        <v/>
      </c>
      <c r="C1687" s="68" t="str">
        <f aca="false">IF(A1687="","",A1687&amp;"-"&amp;B1687)</f>
        <v/>
      </c>
      <c r="D1687" s="58"/>
      <c r="E1687" s="57"/>
      <c r="F1687" s="69"/>
      <c r="G1687" s="69"/>
      <c r="H1687" s="70" t="str">
        <f aca="false">IF(A1687="","",IFERROR(INDEX(السندات!$C$5:$C$504,MATCH(A1687,السندات!$A$5:$A$504,0)),""))</f>
        <v/>
      </c>
      <c r="I1687" s="71" t="str">
        <f aca="false">IF(A1687="","",IFERROR(INDEX(السندات!$D$5:$D$504,MATCH(A1687,السندات!$A$5:$A$504,0)),""))</f>
        <v/>
      </c>
      <c r="J1687" s="72" t="str">
        <f aca="false">IF(A1687="","",IF(ISNA(MATCH(A1687,السندات!$A$5:$A$504,0)),"رقم سند غير موجود ✘",IF(AND(F1687&lt;&gt;"",G1687&lt;&gt;""),"اكتب مدين أو دائن فقط ✘",IF(AND(N(F1687)=0,N(G1687)=0),"بدون مبلغ ⚠",IF(B1687&gt;12,"يتجاوز 12 بنداً في الطباعة ⚠","")))))</f>
        <v/>
      </c>
    </row>
    <row r="1688" customFormat="false" ht="15" hidden="false" customHeight="false" outlineLevel="0" collapsed="false">
      <c r="A1688" s="58"/>
      <c r="B1688" s="73" t="str">
        <f aca="false">IF(A1688="","",COUNTIF(A$5:A1688,A1688))</f>
        <v/>
      </c>
      <c r="C1688" s="73" t="str">
        <f aca="false">IF(A1688="","",A1688&amp;"-"&amp;B1688)</f>
        <v/>
      </c>
      <c r="D1688" s="58"/>
      <c r="E1688" s="57"/>
      <c r="F1688" s="69"/>
      <c r="G1688" s="69"/>
      <c r="H1688" s="74" t="str">
        <f aca="false">IF(A1688="","",IFERROR(INDEX(السندات!$C$5:$C$504,MATCH(A1688,السندات!$A$5:$A$504,0)),""))</f>
        <v/>
      </c>
      <c r="I1688" s="75" t="str">
        <f aca="false">IF(A1688="","",IFERROR(INDEX(السندات!$D$5:$D$504,MATCH(A1688,السندات!$A$5:$A$504,0)),""))</f>
        <v/>
      </c>
      <c r="J1688" s="76" t="str">
        <f aca="false">IF(A1688="","",IF(ISNA(MATCH(A1688,السندات!$A$5:$A$504,0)),"رقم سند غير موجود ✘",IF(AND(F1688&lt;&gt;"",G1688&lt;&gt;""),"اكتب مدين أو دائن فقط ✘",IF(AND(N(F1688)=0,N(G1688)=0),"بدون مبلغ ⚠",IF(B1688&gt;12,"يتجاوز 12 بنداً في الطباعة ⚠","")))))</f>
        <v/>
      </c>
    </row>
    <row r="1689" customFormat="false" ht="15" hidden="false" customHeight="false" outlineLevel="0" collapsed="false">
      <c r="A1689" s="58"/>
      <c r="B1689" s="68" t="str">
        <f aca="false">IF(A1689="","",COUNTIF(A$5:A1689,A1689))</f>
        <v/>
      </c>
      <c r="C1689" s="68" t="str">
        <f aca="false">IF(A1689="","",A1689&amp;"-"&amp;B1689)</f>
        <v/>
      </c>
      <c r="D1689" s="58"/>
      <c r="E1689" s="57"/>
      <c r="F1689" s="69"/>
      <c r="G1689" s="69"/>
      <c r="H1689" s="70" t="str">
        <f aca="false">IF(A1689="","",IFERROR(INDEX(السندات!$C$5:$C$504,MATCH(A1689,السندات!$A$5:$A$504,0)),""))</f>
        <v/>
      </c>
      <c r="I1689" s="71" t="str">
        <f aca="false">IF(A1689="","",IFERROR(INDEX(السندات!$D$5:$D$504,MATCH(A1689,السندات!$A$5:$A$504,0)),""))</f>
        <v/>
      </c>
      <c r="J1689" s="72" t="str">
        <f aca="false">IF(A1689="","",IF(ISNA(MATCH(A1689,السندات!$A$5:$A$504,0)),"رقم سند غير موجود ✘",IF(AND(F1689&lt;&gt;"",G1689&lt;&gt;""),"اكتب مدين أو دائن فقط ✘",IF(AND(N(F1689)=0,N(G1689)=0),"بدون مبلغ ⚠",IF(B1689&gt;12,"يتجاوز 12 بنداً في الطباعة ⚠","")))))</f>
        <v/>
      </c>
    </row>
    <row r="1690" customFormat="false" ht="15" hidden="false" customHeight="false" outlineLevel="0" collapsed="false">
      <c r="A1690" s="58"/>
      <c r="B1690" s="73" t="str">
        <f aca="false">IF(A1690="","",COUNTIF(A$5:A1690,A1690))</f>
        <v/>
      </c>
      <c r="C1690" s="73" t="str">
        <f aca="false">IF(A1690="","",A1690&amp;"-"&amp;B1690)</f>
        <v/>
      </c>
      <c r="D1690" s="58"/>
      <c r="E1690" s="57"/>
      <c r="F1690" s="69"/>
      <c r="G1690" s="69"/>
      <c r="H1690" s="74" t="str">
        <f aca="false">IF(A1690="","",IFERROR(INDEX(السندات!$C$5:$C$504,MATCH(A1690,السندات!$A$5:$A$504,0)),""))</f>
        <v/>
      </c>
      <c r="I1690" s="75" t="str">
        <f aca="false">IF(A1690="","",IFERROR(INDEX(السندات!$D$5:$D$504,MATCH(A1690,السندات!$A$5:$A$504,0)),""))</f>
        <v/>
      </c>
      <c r="J1690" s="76" t="str">
        <f aca="false">IF(A1690="","",IF(ISNA(MATCH(A1690,السندات!$A$5:$A$504,0)),"رقم سند غير موجود ✘",IF(AND(F1690&lt;&gt;"",G1690&lt;&gt;""),"اكتب مدين أو دائن فقط ✘",IF(AND(N(F1690)=0,N(G1690)=0),"بدون مبلغ ⚠",IF(B1690&gt;12,"يتجاوز 12 بنداً في الطباعة ⚠","")))))</f>
        <v/>
      </c>
    </row>
    <row r="1691" customFormat="false" ht="15" hidden="false" customHeight="false" outlineLevel="0" collapsed="false">
      <c r="A1691" s="58"/>
      <c r="B1691" s="68" t="str">
        <f aca="false">IF(A1691="","",COUNTIF(A$5:A1691,A1691))</f>
        <v/>
      </c>
      <c r="C1691" s="68" t="str">
        <f aca="false">IF(A1691="","",A1691&amp;"-"&amp;B1691)</f>
        <v/>
      </c>
      <c r="D1691" s="58"/>
      <c r="E1691" s="57"/>
      <c r="F1691" s="69"/>
      <c r="G1691" s="69"/>
      <c r="H1691" s="70" t="str">
        <f aca="false">IF(A1691="","",IFERROR(INDEX(السندات!$C$5:$C$504,MATCH(A1691,السندات!$A$5:$A$504,0)),""))</f>
        <v/>
      </c>
      <c r="I1691" s="71" t="str">
        <f aca="false">IF(A1691="","",IFERROR(INDEX(السندات!$D$5:$D$504,MATCH(A1691,السندات!$A$5:$A$504,0)),""))</f>
        <v/>
      </c>
      <c r="J1691" s="72" t="str">
        <f aca="false">IF(A1691="","",IF(ISNA(MATCH(A1691,السندات!$A$5:$A$504,0)),"رقم سند غير موجود ✘",IF(AND(F1691&lt;&gt;"",G1691&lt;&gt;""),"اكتب مدين أو دائن فقط ✘",IF(AND(N(F1691)=0,N(G1691)=0),"بدون مبلغ ⚠",IF(B1691&gt;12,"يتجاوز 12 بنداً في الطباعة ⚠","")))))</f>
        <v/>
      </c>
    </row>
    <row r="1692" customFormat="false" ht="15" hidden="false" customHeight="false" outlineLevel="0" collapsed="false">
      <c r="A1692" s="58"/>
      <c r="B1692" s="73" t="str">
        <f aca="false">IF(A1692="","",COUNTIF(A$5:A1692,A1692))</f>
        <v/>
      </c>
      <c r="C1692" s="73" t="str">
        <f aca="false">IF(A1692="","",A1692&amp;"-"&amp;B1692)</f>
        <v/>
      </c>
      <c r="D1692" s="58"/>
      <c r="E1692" s="57"/>
      <c r="F1692" s="69"/>
      <c r="G1692" s="69"/>
      <c r="H1692" s="74" t="str">
        <f aca="false">IF(A1692="","",IFERROR(INDEX(السندات!$C$5:$C$504,MATCH(A1692,السندات!$A$5:$A$504,0)),""))</f>
        <v/>
      </c>
      <c r="I1692" s="75" t="str">
        <f aca="false">IF(A1692="","",IFERROR(INDEX(السندات!$D$5:$D$504,MATCH(A1692,السندات!$A$5:$A$504,0)),""))</f>
        <v/>
      </c>
      <c r="J1692" s="76" t="str">
        <f aca="false">IF(A1692="","",IF(ISNA(MATCH(A1692,السندات!$A$5:$A$504,0)),"رقم سند غير موجود ✘",IF(AND(F1692&lt;&gt;"",G1692&lt;&gt;""),"اكتب مدين أو دائن فقط ✘",IF(AND(N(F1692)=0,N(G1692)=0),"بدون مبلغ ⚠",IF(B1692&gt;12,"يتجاوز 12 بنداً في الطباعة ⚠","")))))</f>
        <v/>
      </c>
    </row>
    <row r="1693" customFormat="false" ht="15" hidden="false" customHeight="false" outlineLevel="0" collapsed="false">
      <c r="A1693" s="58"/>
      <c r="B1693" s="68" t="str">
        <f aca="false">IF(A1693="","",COUNTIF(A$5:A1693,A1693))</f>
        <v/>
      </c>
      <c r="C1693" s="68" t="str">
        <f aca="false">IF(A1693="","",A1693&amp;"-"&amp;B1693)</f>
        <v/>
      </c>
      <c r="D1693" s="58"/>
      <c r="E1693" s="57"/>
      <c r="F1693" s="69"/>
      <c r="G1693" s="69"/>
      <c r="H1693" s="70" t="str">
        <f aca="false">IF(A1693="","",IFERROR(INDEX(السندات!$C$5:$C$504,MATCH(A1693,السندات!$A$5:$A$504,0)),""))</f>
        <v/>
      </c>
      <c r="I1693" s="71" t="str">
        <f aca="false">IF(A1693="","",IFERROR(INDEX(السندات!$D$5:$D$504,MATCH(A1693,السندات!$A$5:$A$504,0)),""))</f>
        <v/>
      </c>
      <c r="J1693" s="72" t="str">
        <f aca="false">IF(A1693="","",IF(ISNA(MATCH(A1693,السندات!$A$5:$A$504,0)),"رقم سند غير موجود ✘",IF(AND(F1693&lt;&gt;"",G1693&lt;&gt;""),"اكتب مدين أو دائن فقط ✘",IF(AND(N(F1693)=0,N(G1693)=0),"بدون مبلغ ⚠",IF(B1693&gt;12,"يتجاوز 12 بنداً في الطباعة ⚠","")))))</f>
        <v/>
      </c>
    </row>
    <row r="1694" customFormat="false" ht="15" hidden="false" customHeight="false" outlineLevel="0" collapsed="false">
      <c r="A1694" s="58"/>
      <c r="B1694" s="73" t="str">
        <f aca="false">IF(A1694="","",COUNTIF(A$5:A1694,A1694))</f>
        <v/>
      </c>
      <c r="C1694" s="73" t="str">
        <f aca="false">IF(A1694="","",A1694&amp;"-"&amp;B1694)</f>
        <v/>
      </c>
      <c r="D1694" s="58"/>
      <c r="E1694" s="57"/>
      <c r="F1694" s="69"/>
      <c r="G1694" s="69"/>
      <c r="H1694" s="74" t="str">
        <f aca="false">IF(A1694="","",IFERROR(INDEX(السندات!$C$5:$C$504,MATCH(A1694,السندات!$A$5:$A$504,0)),""))</f>
        <v/>
      </c>
      <c r="I1694" s="75" t="str">
        <f aca="false">IF(A1694="","",IFERROR(INDEX(السندات!$D$5:$D$504,MATCH(A1694,السندات!$A$5:$A$504,0)),""))</f>
        <v/>
      </c>
      <c r="J1694" s="76" t="str">
        <f aca="false">IF(A1694="","",IF(ISNA(MATCH(A1694,السندات!$A$5:$A$504,0)),"رقم سند غير موجود ✘",IF(AND(F1694&lt;&gt;"",G1694&lt;&gt;""),"اكتب مدين أو دائن فقط ✘",IF(AND(N(F1694)=0,N(G1694)=0),"بدون مبلغ ⚠",IF(B1694&gt;12,"يتجاوز 12 بنداً في الطباعة ⚠","")))))</f>
        <v/>
      </c>
    </row>
    <row r="1695" customFormat="false" ht="15" hidden="false" customHeight="false" outlineLevel="0" collapsed="false">
      <c r="A1695" s="58"/>
      <c r="B1695" s="68" t="str">
        <f aca="false">IF(A1695="","",COUNTIF(A$5:A1695,A1695))</f>
        <v/>
      </c>
      <c r="C1695" s="68" t="str">
        <f aca="false">IF(A1695="","",A1695&amp;"-"&amp;B1695)</f>
        <v/>
      </c>
      <c r="D1695" s="58"/>
      <c r="E1695" s="57"/>
      <c r="F1695" s="69"/>
      <c r="G1695" s="69"/>
      <c r="H1695" s="70" t="str">
        <f aca="false">IF(A1695="","",IFERROR(INDEX(السندات!$C$5:$C$504,MATCH(A1695,السندات!$A$5:$A$504,0)),""))</f>
        <v/>
      </c>
      <c r="I1695" s="71" t="str">
        <f aca="false">IF(A1695="","",IFERROR(INDEX(السندات!$D$5:$D$504,MATCH(A1695,السندات!$A$5:$A$504,0)),""))</f>
        <v/>
      </c>
      <c r="J1695" s="72" t="str">
        <f aca="false">IF(A1695="","",IF(ISNA(MATCH(A1695,السندات!$A$5:$A$504,0)),"رقم سند غير موجود ✘",IF(AND(F1695&lt;&gt;"",G1695&lt;&gt;""),"اكتب مدين أو دائن فقط ✘",IF(AND(N(F1695)=0,N(G1695)=0),"بدون مبلغ ⚠",IF(B1695&gt;12,"يتجاوز 12 بنداً في الطباعة ⚠","")))))</f>
        <v/>
      </c>
    </row>
    <row r="1696" customFormat="false" ht="15" hidden="false" customHeight="false" outlineLevel="0" collapsed="false">
      <c r="A1696" s="58"/>
      <c r="B1696" s="73" t="str">
        <f aca="false">IF(A1696="","",COUNTIF(A$5:A1696,A1696))</f>
        <v/>
      </c>
      <c r="C1696" s="73" t="str">
        <f aca="false">IF(A1696="","",A1696&amp;"-"&amp;B1696)</f>
        <v/>
      </c>
      <c r="D1696" s="58"/>
      <c r="E1696" s="57"/>
      <c r="F1696" s="69"/>
      <c r="G1696" s="69"/>
      <c r="H1696" s="74" t="str">
        <f aca="false">IF(A1696="","",IFERROR(INDEX(السندات!$C$5:$C$504,MATCH(A1696,السندات!$A$5:$A$504,0)),""))</f>
        <v/>
      </c>
      <c r="I1696" s="75" t="str">
        <f aca="false">IF(A1696="","",IFERROR(INDEX(السندات!$D$5:$D$504,MATCH(A1696,السندات!$A$5:$A$504,0)),""))</f>
        <v/>
      </c>
      <c r="J1696" s="76" t="str">
        <f aca="false">IF(A1696="","",IF(ISNA(MATCH(A1696,السندات!$A$5:$A$504,0)),"رقم سند غير موجود ✘",IF(AND(F1696&lt;&gt;"",G1696&lt;&gt;""),"اكتب مدين أو دائن فقط ✘",IF(AND(N(F1696)=0,N(G1696)=0),"بدون مبلغ ⚠",IF(B1696&gt;12,"يتجاوز 12 بنداً في الطباعة ⚠","")))))</f>
        <v/>
      </c>
    </row>
    <row r="1697" customFormat="false" ht="15" hidden="false" customHeight="false" outlineLevel="0" collapsed="false">
      <c r="A1697" s="58"/>
      <c r="B1697" s="68" t="str">
        <f aca="false">IF(A1697="","",COUNTIF(A$5:A1697,A1697))</f>
        <v/>
      </c>
      <c r="C1697" s="68" t="str">
        <f aca="false">IF(A1697="","",A1697&amp;"-"&amp;B1697)</f>
        <v/>
      </c>
      <c r="D1697" s="58"/>
      <c r="E1697" s="57"/>
      <c r="F1697" s="69"/>
      <c r="G1697" s="69"/>
      <c r="H1697" s="70" t="str">
        <f aca="false">IF(A1697="","",IFERROR(INDEX(السندات!$C$5:$C$504,MATCH(A1697,السندات!$A$5:$A$504,0)),""))</f>
        <v/>
      </c>
      <c r="I1697" s="71" t="str">
        <f aca="false">IF(A1697="","",IFERROR(INDEX(السندات!$D$5:$D$504,MATCH(A1697,السندات!$A$5:$A$504,0)),""))</f>
        <v/>
      </c>
      <c r="J1697" s="72" t="str">
        <f aca="false">IF(A1697="","",IF(ISNA(MATCH(A1697,السندات!$A$5:$A$504,0)),"رقم سند غير موجود ✘",IF(AND(F1697&lt;&gt;"",G1697&lt;&gt;""),"اكتب مدين أو دائن فقط ✘",IF(AND(N(F1697)=0,N(G1697)=0),"بدون مبلغ ⚠",IF(B1697&gt;12,"يتجاوز 12 بنداً في الطباعة ⚠","")))))</f>
        <v/>
      </c>
    </row>
    <row r="1698" customFormat="false" ht="15" hidden="false" customHeight="false" outlineLevel="0" collapsed="false">
      <c r="A1698" s="58"/>
      <c r="B1698" s="73" t="str">
        <f aca="false">IF(A1698="","",COUNTIF(A$5:A1698,A1698))</f>
        <v/>
      </c>
      <c r="C1698" s="73" t="str">
        <f aca="false">IF(A1698="","",A1698&amp;"-"&amp;B1698)</f>
        <v/>
      </c>
      <c r="D1698" s="58"/>
      <c r="E1698" s="57"/>
      <c r="F1698" s="69"/>
      <c r="G1698" s="69"/>
      <c r="H1698" s="74" t="str">
        <f aca="false">IF(A1698="","",IFERROR(INDEX(السندات!$C$5:$C$504,MATCH(A1698,السندات!$A$5:$A$504,0)),""))</f>
        <v/>
      </c>
      <c r="I1698" s="75" t="str">
        <f aca="false">IF(A1698="","",IFERROR(INDEX(السندات!$D$5:$D$504,MATCH(A1698,السندات!$A$5:$A$504,0)),""))</f>
        <v/>
      </c>
      <c r="J1698" s="76" t="str">
        <f aca="false">IF(A1698="","",IF(ISNA(MATCH(A1698,السندات!$A$5:$A$504,0)),"رقم سند غير موجود ✘",IF(AND(F1698&lt;&gt;"",G1698&lt;&gt;""),"اكتب مدين أو دائن فقط ✘",IF(AND(N(F1698)=0,N(G1698)=0),"بدون مبلغ ⚠",IF(B1698&gt;12,"يتجاوز 12 بنداً في الطباعة ⚠","")))))</f>
        <v/>
      </c>
    </row>
    <row r="1699" customFormat="false" ht="15" hidden="false" customHeight="false" outlineLevel="0" collapsed="false">
      <c r="A1699" s="58"/>
      <c r="B1699" s="68" t="str">
        <f aca="false">IF(A1699="","",COUNTIF(A$5:A1699,A1699))</f>
        <v/>
      </c>
      <c r="C1699" s="68" t="str">
        <f aca="false">IF(A1699="","",A1699&amp;"-"&amp;B1699)</f>
        <v/>
      </c>
      <c r="D1699" s="58"/>
      <c r="E1699" s="57"/>
      <c r="F1699" s="69"/>
      <c r="G1699" s="69"/>
      <c r="H1699" s="70" t="str">
        <f aca="false">IF(A1699="","",IFERROR(INDEX(السندات!$C$5:$C$504,MATCH(A1699,السندات!$A$5:$A$504,0)),""))</f>
        <v/>
      </c>
      <c r="I1699" s="71" t="str">
        <f aca="false">IF(A1699="","",IFERROR(INDEX(السندات!$D$5:$D$504,MATCH(A1699,السندات!$A$5:$A$504,0)),""))</f>
        <v/>
      </c>
      <c r="J1699" s="72" t="str">
        <f aca="false">IF(A1699="","",IF(ISNA(MATCH(A1699,السندات!$A$5:$A$504,0)),"رقم سند غير موجود ✘",IF(AND(F1699&lt;&gt;"",G1699&lt;&gt;""),"اكتب مدين أو دائن فقط ✘",IF(AND(N(F1699)=0,N(G1699)=0),"بدون مبلغ ⚠",IF(B1699&gt;12,"يتجاوز 12 بنداً في الطباعة ⚠","")))))</f>
        <v/>
      </c>
    </row>
    <row r="1700" customFormat="false" ht="15" hidden="false" customHeight="false" outlineLevel="0" collapsed="false">
      <c r="A1700" s="58"/>
      <c r="B1700" s="73" t="str">
        <f aca="false">IF(A1700="","",COUNTIF(A$5:A1700,A1700))</f>
        <v/>
      </c>
      <c r="C1700" s="73" t="str">
        <f aca="false">IF(A1700="","",A1700&amp;"-"&amp;B1700)</f>
        <v/>
      </c>
      <c r="D1700" s="58"/>
      <c r="E1700" s="57"/>
      <c r="F1700" s="69"/>
      <c r="G1700" s="69"/>
      <c r="H1700" s="74" t="str">
        <f aca="false">IF(A1700="","",IFERROR(INDEX(السندات!$C$5:$C$504,MATCH(A1700,السندات!$A$5:$A$504,0)),""))</f>
        <v/>
      </c>
      <c r="I1700" s="75" t="str">
        <f aca="false">IF(A1700="","",IFERROR(INDEX(السندات!$D$5:$D$504,MATCH(A1700,السندات!$A$5:$A$504,0)),""))</f>
        <v/>
      </c>
      <c r="J1700" s="76" t="str">
        <f aca="false">IF(A1700="","",IF(ISNA(MATCH(A1700,السندات!$A$5:$A$504,0)),"رقم سند غير موجود ✘",IF(AND(F1700&lt;&gt;"",G1700&lt;&gt;""),"اكتب مدين أو دائن فقط ✘",IF(AND(N(F1700)=0,N(G1700)=0),"بدون مبلغ ⚠",IF(B1700&gt;12,"يتجاوز 12 بنداً في الطباعة ⚠","")))))</f>
        <v/>
      </c>
    </row>
    <row r="1701" customFormat="false" ht="15" hidden="false" customHeight="false" outlineLevel="0" collapsed="false">
      <c r="A1701" s="58"/>
      <c r="B1701" s="68" t="str">
        <f aca="false">IF(A1701="","",COUNTIF(A$5:A1701,A1701))</f>
        <v/>
      </c>
      <c r="C1701" s="68" t="str">
        <f aca="false">IF(A1701="","",A1701&amp;"-"&amp;B1701)</f>
        <v/>
      </c>
      <c r="D1701" s="58"/>
      <c r="E1701" s="57"/>
      <c r="F1701" s="69"/>
      <c r="G1701" s="69"/>
      <c r="H1701" s="70" t="str">
        <f aca="false">IF(A1701="","",IFERROR(INDEX(السندات!$C$5:$C$504,MATCH(A1701,السندات!$A$5:$A$504,0)),""))</f>
        <v/>
      </c>
      <c r="I1701" s="71" t="str">
        <f aca="false">IF(A1701="","",IFERROR(INDEX(السندات!$D$5:$D$504,MATCH(A1701,السندات!$A$5:$A$504,0)),""))</f>
        <v/>
      </c>
      <c r="J1701" s="72" t="str">
        <f aca="false">IF(A1701="","",IF(ISNA(MATCH(A1701,السندات!$A$5:$A$504,0)),"رقم سند غير موجود ✘",IF(AND(F1701&lt;&gt;"",G1701&lt;&gt;""),"اكتب مدين أو دائن فقط ✘",IF(AND(N(F1701)=0,N(G1701)=0),"بدون مبلغ ⚠",IF(B1701&gt;12,"يتجاوز 12 بنداً في الطباعة ⚠","")))))</f>
        <v/>
      </c>
    </row>
    <row r="1702" customFormat="false" ht="15" hidden="false" customHeight="false" outlineLevel="0" collapsed="false">
      <c r="A1702" s="58"/>
      <c r="B1702" s="73" t="str">
        <f aca="false">IF(A1702="","",COUNTIF(A$5:A1702,A1702))</f>
        <v/>
      </c>
      <c r="C1702" s="73" t="str">
        <f aca="false">IF(A1702="","",A1702&amp;"-"&amp;B1702)</f>
        <v/>
      </c>
      <c r="D1702" s="58"/>
      <c r="E1702" s="57"/>
      <c r="F1702" s="69"/>
      <c r="G1702" s="69"/>
      <c r="H1702" s="74" t="str">
        <f aca="false">IF(A1702="","",IFERROR(INDEX(السندات!$C$5:$C$504,MATCH(A1702,السندات!$A$5:$A$504,0)),""))</f>
        <v/>
      </c>
      <c r="I1702" s="75" t="str">
        <f aca="false">IF(A1702="","",IFERROR(INDEX(السندات!$D$5:$D$504,MATCH(A1702,السندات!$A$5:$A$504,0)),""))</f>
        <v/>
      </c>
      <c r="J1702" s="76" t="str">
        <f aca="false">IF(A1702="","",IF(ISNA(MATCH(A1702,السندات!$A$5:$A$504,0)),"رقم سند غير موجود ✘",IF(AND(F1702&lt;&gt;"",G1702&lt;&gt;""),"اكتب مدين أو دائن فقط ✘",IF(AND(N(F1702)=0,N(G1702)=0),"بدون مبلغ ⚠",IF(B1702&gt;12,"يتجاوز 12 بنداً في الطباعة ⚠","")))))</f>
        <v/>
      </c>
    </row>
    <row r="1703" customFormat="false" ht="15" hidden="false" customHeight="false" outlineLevel="0" collapsed="false">
      <c r="A1703" s="58"/>
      <c r="B1703" s="68" t="str">
        <f aca="false">IF(A1703="","",COUNTIF(A$5:A1703,A1703))</f>
        <v/>
      </c>
      <c r="C1703" s="68" t="str">
        <f aca="false">IF(A1703="","",A1703&amp;"-"&amp;B1703)</f>
        <v/>
      </c>
      <c r="D1703" s="58"/>
      <c r="E1703" s="57"/>
      <c r="F1703" s="69"/>
      <c r="G1703" s="69"/>
      <c r="H1703" s="70" t="str">
        <f aca="false">IF(A1703="","",IFERROR(INDEX(السندات!$C$5:$C$504,MATCH(A1703,السندات!$A$5:$A$504,0)),""))</f>
        <v/>
      </c>
      <c r="I1703" s="71" t="str">
        <f aca="false">IF(A1703="","",IFERROR(INDEX(السندات!$D$5:$D$504,MATCH(A1703,السندات!$A$5:$A$504,0)),""))</f>
        <v/>
      </c>
      <c r="J1703" s="72" t="str">
        <f aca="false">IF(A1703="","",IF(ISNA(MATCH(A1703,السندات!$A$5:$A$504,0)),"رقم سند غير موجود ✘",IF(AND(F1703&lt;&gt;"",G1703&lt;&gt;""),"اكتب مدين أو دائن فقط ✘",IF(AND(N(F1703)=0,N(G1703)=0),"بدون مبلغ ⚠",IF(B1703&gt;12,"يتجاوز 12 بنداً في الطباعة ⚠","")))))</f>
        <v/>
      </c>
    </row>
    <row r="1704" customFormat="false" ht="15" hidden="false" customHeight="false" outlineLevel="0" collapsed="false">
      <c r="A1704" s="58"/>
      <c r="B1704" s="73" t="str">
        <f aca="false">IF(A1704="","",COUNTIF(A$5:A1704,A1704))</f>
        <v/>
      </c>
      <c r="C1704" s="73" t="str">
        <f aca="false">IF(A1704="","",A1704&amp;"-"&amp;B1704)</f>
        <v/>
      </c>
      <c r="D1704" s="58"/>
      <c r="E1704" s="57"/>
      <c r="F1704" s="69"/>
      <c r="G1704" s="69"/>
      <c r="H1704" s="74" t="str">
        <f aca="false">IF(A1704="","",IFERROR(INDEX(السندات!$C$5:$C$504,MATCH(A1704,السندات!$A$5:$A$504,0)),""))</f>
        <v/>
      </c>
      <c r="I1704" s="75" t="str">
        <f aca="false">IF(A1704="","",IFERROR(INDEX(السندات!$D$5:$D$504,MATCH(A1704,السندات!$A$5:$A$504,0)),""))</f>
        <v/>
      </c>
      <c r="J1704" s="76" t="str">
        <f aca="false">IF(A1704="","",IF(ISNA(MATCH(A1704,السندات!$A$5:$A$504,0)),"رقم سند غير موجود ✘",IF(AND(F1704&lt;&gt;"",G1704&lt;&gt;""),"اكتب مدين أو دائن فقط ✘",IF(AND(N(F1704)=0,N(G1704)=0),"بدون مبلغ ⚠",IF(B1704&gt;12,"يتجاوز 12 بنداً في الطباعة ⚠","")))))</f>
        <v/>
      </c>
    </row>
    <row r="1705" customFormat="false" ht="15" hidden="false" customHeight="false" outlineLevel="0" collapsed="false">
      <c r="A1705" s="58"/>
      <c r="B1705" s="68" t="str">
        <f aca="false">IF(A1705="","",COUNTIF(A$5:A1705,A1705))</f>
        <v/>
      </c>
      <c r="C1705" s="68" t="str">
        <f aca="false">IF(A1705="","",A1705&amp;"-"&amp;B1705)</f>
        <v/>
      </c>
      <c r="D1705" s="58"/>
      <c r="E1705" s="57"/>
      <c r="F1705" s="69"/>
      <c r="G1705" s="69"/>
      <c r="H1705" s="70" t="str">
        <f aca="false">IF(A1705="","",IFERROR(INDEX(السندات!$C$5:$C$504,MATCH(A1705,السندات!$A$5:$A$504,0)),""))</f>
        <v/>
      </c>
      <c r="I1705" s="71" t="str">
        <f aca="false">IF(A1705="","",IFERROR(INDEX(السندات!$D$5:$D$504,MATCH(A1705,السندات!$A$5:$A$504,0)),""))</f>
        <v/>
      </c>
      <c r="J1705" s="72" t="str">
        <f aca="false">IF(A1705="","",IF(ISNA(MATCH(A1705,السندات!$A$5:$A$504,0)),"رقم سند غير موجود ✘",IF(AND(F1705&lt;&gt;"",G1705&lt;&gt;""),"اكتب مدين أو دائن فقط ✘",IF(AND(N(F1705)=0,N(G1705)=0),"بدون مبلغ ⚠",IF(B1705&gt;12,"يتجاوز 12 بنداً في الطباعة ⚠","")))))</f>
        <v/>
      </c>
    </row>
    <row r="1706" customFormat="false" ht="15" hidden="false" customHeight="false" outlineLevel="0" collapsed="false">
      <c r="A1706" s="58"/>
      <c r="B1706" s="73" t="str">
        <f aca="false">IF(A1706="","",COUNTIF(A$5:A1706,A1706))</f>
        <v/>
      </c>
      <c r="C1706" s="73" t="str">
        <f aca="false">IF(A1706="","",A1706&amp;"-"&amp;B1706)</f>
        <v/>
      </c>
      <c r="D1706" s="58"/>
      <c r="E1706" s="57"/>
      <c r="F1706" s="69"/>
      <c r="G1706" s="69"/>
      <c r="H1706" s="74" t="str">
        <f aca="false">IF(A1706="","",IFERROR(INDEX(السندات!$C$5:$C$504,MATCH(A1706,السندات!$A$5:$A$504,0)),""))</f>
        <v/>
      </c>
      <c r="I1706" s="75" t="str">
        <f aca="false">IF(A1706="","",IFERROR(INDEX(السندات!$D$5:$D$504,MATCH(A1706,السندات!$A$5:$A$504,0)),""))</f>
        <v/>
      </c>
      <c r="J1706" s="76" t="str">
        <f aca="false">IF(A1706="","",IF(ISNA(MATCH(A1706,السندات!$A$5:$A$504,0)),"رقم سند غير موجود ✘",IF(AND(F1706&lt;&gt;"",G1706&lt;&gt;""),"اكتب مدين أو دائن فقط ✘",IF(AND(N(F1706)=0,N(G1706)=0),"بدون مبلغ ⚠",IF(B1706&gt;12,"يتجاوز 12 بنداً في الطباعة ⚠","")))))</f>
        <v/>
      </c>
    </row>
    <row r="1707" customFormat="false" ht="15" hidden="false" customHeight="false" outlineLevel="0" collapsed="false">
      <c r="A1707" s="58"/>
      <c r="B1707" s="68" t="str">
        <f aca="false">IF(A1707="","",COUNTIF(A$5:A1707,A1707))</f>
        <v/>
      </c>
      <c r="C1707" s="68" t="str">
        <f aca="false">IF(A1707="","",A1707&amp;"-"&amp;B1707)</f>
        <v/>
      </c>
      <c r="D1707" s="58"/>
      <c r="E1707" s="57"/>
      <c r="F1707" s="69"/>
      <c r="G1707" s="69"/>
      <c r="H1707" s="70" t="str">
        <f aca="false">IF(A1707="","",IFERROR(INDEX(السندات!$C$5:$C$504,MATCH(A1707,السندات!$A$5:$A$504,0)),""))</f>
        <v/>
      </c>
      <c r="I1707" s="71" t="str">
        <f aca="false">IF(A1707="","",IFERROR(INDEX(السندات!$D$5:$D$504,MATCH(A1707,السندات!$A$5:$A$504,0)),""))</f>
        <v/>
      </c>
      <c r="J1707" s="72" t="str">
        <f aca="false">IF(A1707="","",IF(ISNA(MATCH(A1707,السندات!$A$5:$A$504,0)),"رقم سند غير موجود ✘",IF(AND(F1707&lt;&gt;"",G1707&lt;&gt;""),"اكتب مدين أو دائن فقط ✘",IF(AND(N(F1707)=0,N(G1707)=0),"بدون مبلغ ⚠",IF(B1707&gt;12,"يتجاوز 12 بنداً في الطباعة ⚠","")))))</f>
        <v/>
      </c>
    </row>
    <row r="1708" customFormat="false" ht="15" hidden="false" customHeight="false" outlineLevel="0" collapsed="false">
      <c r="A1708" s="58"/>
      <c r="B1708" s="73" t="str">
        <f aca="false">IF(A1708="","",COUNTIF(A$5:A1708,A1708))</f>
        <v/>
      </c>
      <c r="C1708" s="73" t="str">
        <f aca="false">IF(A1708="","",A1708&amp;"-"&amp;B1708)</f>
        <v/>
      </c>
      <c r="D1708" s="58"/>
      <c r="E1708" s="57"/>
      <c r="F1708" s="69"/>
      <c r="G1708" s="69"/>
      <c r="H1708" s="74" t="str">
        <f aca="false">IF(A1708="","",IFERROR(INDEX(السندات!$C$5:$C$504,MATCH(A1708,السندات!$A$5:$A$504,0)),""))</f>
        <v/>
      </c>
      <c r="I1708" s="75" t="str">
        <f aca="false">IF(A1708="","",IFERROR(INDEX(السندات!$D$5:$D$504,MATCH(A1708,السندات!$A$5:$A$504,0)),""))</f>
        <v/>
      </c>
      <c r="J1708" s="76" t="str">
        <f aca="false">IF(A1708="","",IF(ISNA(MATCH(A1708,السندات!$A$5:$A$504,0)),"رقم سند غير موجود ✘",IF(AND(F1708&lt;&gt;"",G1708&lt;&gt;""),"اكتب مدين أو دائن فقط ✘",IF(AND(N(F1708)=0,N(G1708)=0),"بدون مبلغ ⚠",IF(B1708&gt;12,"يتجاوز 12 بنداً في الطباعة ⚠","")))))</f>
        <v/>
      </c>
    </row>
    <row r="1709" customFormat="false" ht="15" hidden="false" customHeight="false" outlineLevel="0" collapsed="false">
      <c r="A1709" s="58"/>
      <c r="B1709" s="68" t="str">
        <f aca="false">IF(A1709="","",COUNTIF(A$5:A1709,A1709))</f>
        <v/>
      </c>
      <c r="C1709" s="68" t="str">
        <f aca="false">IF(A1709="","",A1709&amp;"-"&amp;B1709)</f>
        <v/>
      </c>
      <c r="D1709" s="58"/>
      <c r="E1709" s="57"/>
      <c r="F1709" s="69"/>
      <c r="G1709" s="69"/>
      <c r="H1709" s="70" t="str">
        <f aca="false">IF(A1709="","",IFERROR(INDEX(السندات!$C$5:$C$504,MATCH(A1709,السندات!$A$5:$A$504,0)),""))</f>
        <v/>
      </c>
      <c r="I1709" s="71" t="str">
        <f aca="false">IF(A1709="","",IFERROR(INDEX(السندات!$D$5:$D$504,MATCH(A1709,السندات!$A$5:$A$504,0)),""))</f>
        <v/>
      </c>
      <c r="J1709" s="72" t="str">
        <f aca="false">IF(A1709="","",IF(ISNA(MATCH(A1709,السندات!$A$5:$A$504,0)),"رقم سند غير موجود ✘",IF(AND(F1709&lt;&gt;"",G1709&lt;&gt;""),"اكتب مدين أو دائن فقط ✘",IF(AND(N(F1709)=0,N(G1709)=0),"بدون مبلغ ⚠",IF(B1709&gt;12,"يتجاوز 12 بنداً في الطباعة ⚠","")))))</f>
        <v/>
      </c>
    </row>
    <row r="1710" customFormat="false" ht="15" hidden="false" customHeight="false" outlineLevel="0" collapsed="false">
      <c r="A1710" s="58"/>
      <c r="B1710" s="73" t="str">
        <f aca="false">IF(A1710="","",COUNTIF(A$5:A1710,A1710))</f>
        <v/>
      </c>
      <c r="C1710" s="73" t="str">
        <f aca="false">IF(A1710="","",A1710&amp;"-"&amp;B1710)</f>
        <v/>
      </c>
      <c r="D1710" s="58"/>
      <c r="E1710" s="57"/>
      <c r="F1710" s="69"/>
      <c r="G1710" s="69"/>
      <c r="H1710" s="74" t="str">
        <f aca="false">IF(A1710="","",IFERROR(INDEX(السندات!$C$5:$C$504,MATCH(A1710,السندات!$A$5:$A$504,0)),""))</f>
        <v/>
      </c>
      <c r="I1710" s="75" t="str">
        <f aca="false">IF(A1710="","",IFERROR(INDEX(السندات!$D$5:$D$504,MATCH(A1710,السندات!$A$5:$A$504,0)),""))</f>
        <v/>
      </c>
      <c r="J1710" s="76" t="str">
        <f aca="false">IF(A1710="","",IF(ISNA(MATCH(A1710,السندات!$A$5:$A$504,0)),"رقم سند غير موجود ✘",IF(AND(F1710&lt;&gt;"",G1710&lt;&gt;""),"اكتب مدين أو دائن فقط ✘",IF(AND(N(F1710)=0,N(G1710)=0),"بدون مبلغ ⚠",IF(B1710&gt;12,"يتجاوز 12 بنداً في الطباعة ⚠","")))))</f>
        <v/>
      </c>
    </row>
    <row r="1711" customFormat="false" ht="15" hidden="false" customHeight="false" outlineLevel="0" collapsed="false">
      <c r="A1711" s="58"/>
      <c r="B1711" s="68" t="str">
        <f aca="false">IF(A1711="","",COUNTIF(A$5:A1711,A1711))</f>
        <v/>
      </c>
      <c r="C1711" s="68" t="str">
        <f aca="false">IF(A1711="","",A1711&amp;"-"&amp;B1711)</f>
        <v/>
      </c>
      <c r="D1711" s="58"/>
      <c r="E1711" s="57"/>
      <c r="F1711" s="69"/>
      <c r="G1711" s="69"/>
      <c r="H1711" s="70" t="str">
        <f aca="false">IF(A1711="","",IFERROR(INDEX(السندات!$C$5:$C$504,MATCH(A1711,السندات!$A$5:$A$504,0)),""))</f>
        <v/>
      </c>
      <c r="I1711" s="71" t="str">
        <f aca="false">IF(A1711="","",IFERROR(INDEX(السندات!$D$5:$D$504,MATCH(A1711,السندات!$A$5:$A$504,0)),""))</f>
        <v/>
      </c>
      <c r="J1711" s="72" t="str">
        <f aca="false">IF(A1711="","",IF(ISNA(MATCH(A1711,السندات!$A$5:$A$504,0)),"رقم سند غير موجود ✘",IF(AND(F1711&lt;&gt;"",G1711&lt;&gt;""),"اكتب مدين أو دائن فقط ✘",IF(AND(N(F1711)=0,N(G1711)=0),"بدون مبلغ ⚠",IF(B1711&gt;12,"يتجاوز 12 بنداً في الطباعة ⚠","")))))</f>
        <v/>
      </c>
    </row>
    <row r="1712" customFormat="false" ht="15" hidden="false" customHeight="false" outlineLevel="0" collapsed="false">
      <c r="A1712" s="58"/>
      <c r="B1712" s="73" t="str">
        <f aca="false">IF(A1712="","",COUNTIF(A$5:A1712,A1712))</f>
        <v/>
      </c>
      <c r="C1712" s="73" t="str">
        <f aca="false">IF(A1712="","",A1712&amp;"-"&amp;B1712)</f>
        <v/>
      </c>
      <c r="D1712" s="58"/>
      <c r="E1712" s="57"/>
      <c r="F1712" s="69"/>
      <c r="G1712" s="69"/>
      <c r="H1712" s="74" t="str">
        <f aca="false">IF(A1712="","",IFERROR(INDEX(السندات!$C$5:$C$504,MATCH(A1712,السندات!$A$5:$A$504,0)),""))</f>
        <v/>
      </c>
      <c r="I1712" s="75" t="str">
        <f aca="false">IF(A1712="","",IFERROR(INDEX(السندات!$D$5:$D$504,MATCH(A1712,السندات!$A$5:$A$504,0)),""))</f>
        <v/>
      </c>
      <c r="J1712" s="76" t="str">
        <f aca="false">IF(A1712="","",IF(ISNA(MATCH(A1712,السندات!$A$5:$A$504,0)),"رقم سند غير موجود ✘",IF(AND(F1712&lt;&gt;"",G1712&lt;&gt;""),"اكتب مدين أو دائن فقط ✘",IF(AND(N(F1712)=0,N(G1712)=0),"بدون مبلغ ⚠",IF(B1712&gt;12,"يتجاوز 12 بنداً في الطباعة ⚠","")))))</f>
        <v/>
      </c>
    </row>
    <row r="1713" customFormat="false" ht="15" hidden="false" customHeight="false" outlineLevel="0" collapsed="false">
      <c r="A1713" s="58"/>
      <c r="B1713" s="68" t="str">
        <f aca="false">IF(A1713="","",COUNTIF(A$5:A1713,A1713))</f>
        <v/>
      </c>
      <c r="C1713" s="68" t="str">
        <f aca="false">IF(A1713="","",A1713&amp;"-"&amp;B1713)</f>
        <v/>
      </c>
      <c r="D1713" s="58"/>
      <c r="E1713" s="57"/>
      <c r="F1713" s="69"/>
      <c r="G1713" s="69"/>
      <c r="H1713" s="70" t="str">
        <f aca="false">IF(A1713="","",IFERROR(INDEX(السندات!$C$5:$C$504,MATCH(A1713,السندات!$A$5:$A$504,0)),""))</f>
        <v/>
      </c>
      <c r="I1713" s="71" t="str">
        <f aca="false">IF(A1713="","",IFERROR(INDEX(السندات!$D$5:$D$504,MATCH(A1713,السندات!$A$5:$A$504,0)),""))</f>
        <v/>
      </c>
      <c r="J1713" s="72" t="str">
        <f aca="false">IF(A1713="","",IF(ISNA(MATCH(A1713,السندات!$A$5:$A$504,0)),"رقم سند غير موجود ✘",IF(AND(F1713&lt;&gt;"",G1713&lt;&gt;""),"اكتب مدين أو دائن فقط ✘",IF(AND(N(F1713)=0,N(G1713)=0),"بدون مبلغ ⚠",IF(B1713&gt;12,"يتجاوز 12 بنداً في الطباعة ⚠","")))))</f>
        <v/>
      </c>
    </row>
    <row r="1714" customFormat="false" ht="15" hidden="false" customHeight="false" outlineLevel="0" collapsed="false">
      <c r="A1714" s="58"/>
      <c r="B1714" s="73" t="str">
        <f aca="false">IF(A1714="","",COUNTIF(A$5:A1714,A1714))</f>
        <v/>
      </c>
      <c r="C1714" s="73" t="str">
        <f aca="false">IF(A1714="","",A1714&amp;"-"&amp;B1714)</f>
        <v/>
      </c>
      <c r="D1714" s="58"/>
      <c r="E1714" s="57"/>
      <c r="F1714" s="69"/>
      <c r="G1714" s="69"/>
      <c r="H1714" s="74" t="str">
        <f aca="false">IF(A1714="","",IFERROR(INDEX(السندات!$C$5:$C$504,MATCH(A1714,السندات!$A$5:$A$504,0)),""))</f>
        <v/>
      </c>
      <c r="I1714" s="75" t="str">
        <f aca="false">IF(A1714="","",IFERROR(INDEX(السندات!$D$5:$D$504,MATCH(A1714,السندات!$A$5:$A$504,0)),""))</f>
        <v/>
      </c>
      <c r="J1714" s="76" t="str">
        <f aca="false">IF(A1714="","",IF(ISNA(MATCH(A1714,السندات!$A$5:$A$504,0)),"رقم سند غير موجود ✘",IF(AND(F1714&lt;&gt;"",G1714&lt;&gt;""),"اكتب مدين أو دائن فقط ✘",IF(AND(N(F1714)=0,N(G1714)=0),"بدون مبلغ ⚠",IF(B1714&gt;12,"يتجاوز 12 بنداً في الطباعة ⚠","")))))</f>
        <v/>
      </c>
    </row>
    <row r="1715" customFormat="false" ht="15" hidden="false" customHeight="false" outlineLevel="0" collapsed="false">
      <c r="A1715" s="58"/>
      <c r="B1715" s="68" t="str">
        <f aca="false">IF(A1715="","",COUNTIF(A$5:A1715,A1715))</f>
        <v/>
      </c>
      <c r="C1715" s="68" t="str">
        <f aca="false">IF(A1715="","",A1715&amp;"-"&amp;B1715)</f>
        <v/>
      </c>
      <c r="D1715" s="58"/>
      <c r="E1715" s="57"/>
      <c r="F1715" s="69"/>
      <c r="G1715" s="69"/>
      <c r="H1715" s="70" t="str">
        <f aca="false">IF(A1715="","",IFERROR(INDEX(السندات!$C$5:$C$504,MATCH(A1715,السندات!$A$5:$A$504,0)),""))</f>
        <v/>
      </c>
      <c r="I1715" s="71" t="str">
        <f aca="false">IF(A1715="","",IFERROR(INDEX(السندات!$D$5:$D$504,MATCH(A1715,السندات!$A$5:$A$504,0)),""))</f>
        <v/>
      </c>
      <c r="J1715" s="72" t="str">
        <f aca="false">IF(A1715="","",IF(ISNA(MATCH(A1715,السندات!$A$5:$A$504,0)),"رقم سند غير موجود ✘",IF(AND(F1715&lt;&gt;"",G1715&lt;&gt;""),"اكتب مدين أو دائن فقط ✘",IF(AND(N(F1715)=0,N(G1715)=0),"بدون مبلغ ⚠",IF(B1715&gt;12,"يتجاوز 12 بنداً في الطباعة ⚠","")))))</f>
        <v/>
      </c>
    </row>
    <row r="1716" customFormat="false" ht="15" hidden="false" customHeight="false" outlineLevel="0" collapsed="false">
      <c r="A1716" s="58"/>
      <c r="B1716" s="73" t="str">
        <f aca="false">IF(A1716="","",COUNTIF(A$5:A1716,A1716))</f>
        <v/>
      </c>
      <c r="C1716" s="73" t="str">
        <f aca="false">IF(A1716="","",A1716&amp;"-"&amp;B1716)</f>
        <v/>
      </c>
      <c r="D1716" s="58"/>
      <c r="E1716" s="57"/>
      <c r="F1716" s="69"/>
      <c r="G1716" s="69"/>
      <c r="H1716" s="74" t="str">
        <f aca="false">IF(A1716="","",IFERROR(INDEX(السندات!$C$5:$C$504,MATCH(A1716,السندات!$A$5:$A$504,0)),""))</f>
        <v/>
      </c>
      <c r="I1716" s="75" t="str">
        <f aca="false">IF(A1716="","",IFERROR(INDEX(السندات!$D$5:$D$504,MATCH(A1716,السندات!$A$5:$A$504,0)),""))</f>
        <v/>
      </c>
      <c r="J1716" s="76" t="str">
        <f aca="false">IF(A1716="","",IF(ISNA(MATCH(A1716,السندات!$A$5:$A$504,0)),"رقم سند غير موجود ✘",IF(AND(F1716&lt;&gt;"",G1716&lt;&gt;""),"اكتب مدين أو دائن فقط ✘",IF(AND(N(F1716)=0,N(G1716)=0),"بدون مبلغ ⚠",IF(B1716&gt;12,"يتجاوز 12 بنداً في الطباعة ⚠","")))))</f>
        <v/>
      </c>
    </row>
    <row r="1717" customFormat="false" ht="15" hidden="false" customHeight="false" outlineLevel="0" collapsed="false">
      <c r="A1717" s="58"/>
      <c r="B1717" s="68" t="str">
        <f aca="false">IF(A1717="","",COUNTIF(A$5:A1717,A1717))</f>
        <v/>
      </c>
      <c r="C1717" s="68" t="str">
        <f aca="false">IF(A1717="","",A1717&amp;"-"&amp;B1717)</f>
        <v/>
      </c>
      <c r="D1717" s="58"/>
      <c r="E1717" s="57"/>
      <c r="F1717" s="69"/>
      <c r="G1717" s="69"/>
      <c r="H1717" s="70" t="str">
        <f aca="false">IF(A1717="","",IFERROR(INDEX(السندات!$C$5:$C$504,MATCH(A1717,السندات!$A$5:$A$504,0)),""))</f>
        <v/>
      </c>
      <c r="I1717" s="71" t="str">
        <f aca="false">IF(A1717="","",IFERROR(INDEX(السندات!$D$5:$D$504,MATCH(A1717,السندات!$A$5:$A$504,0)),""))</f>
        <v/>
      </c>
      <c r="J1717" s="72" t="str">
        <f aca="false">IF(A1717="","",IF(ISNA(MATCH(A1717,السندات!$A$5:$A$504,0)),"رقم سند غير موجود ✘",IF(AND(F1717&lt;&gt;"",G1717&lt;&gt;""),"اكتب مدين أو دائن فقط ✘",IF(AND(N(F1717)=0,N(G1717)=0),"بدون مبلغ ⚠",IF(B1717&gt;12,"يتجاوز 12 بنداً في الطباعة ⚠","")))))</f>
        <v/>
      </c>
    </row>
    <row r="1718" customFormat="false" ht="15" hidden="false" customHeight="false" outlineLevel="0" collapsed="false">
      <c r="A1718" s="58"/>
      <c r="B1718" s="73" t="str">
        <f aca="false">IF(A1718="","",COUNTIF(A$5:A1718,A1718))</f>
        <v/>
      </c>
      <c r="C1718" s="73" t="str">
        <f aca="false">IF(A1718="","",A1718&amp;"-"&amp;B1718)</f>
        <v/>
      </c>
      <c r="D1718" s="58"/>
      <c r="E1718" s="57"/>
      <c r="F1718" s="69"/>
      <c r="G1718" s="69"/>
      <c r="H1718" s="74" t="str">
        <f aca="false">IF(A1718="","",IFERROR(INDEX(السندات!$C$5:$C$504,MATCH(A1718,السندات!$A$5:$A$504,0)),""))</f>
        <v/>
      </c>
      <c r="I1718" s="75" t="str">
        <f aca="false">IF(A1718="","",IFERROR(INDEX(السندات!$D$5:$D$504,MATCH(A1718,السندات!$A$5:$A$504,0)),""))</f>
        <v/>
      </c>
      <c r="J1718" s="76" t="str">
        <f aca="false">IF(A1718="","",IF(ISNA(MATCH(A1718,السندات!$A$5:$A$504,0)),"رقم سند غير موجود ✘",IF(AND(F1718&lt;&gt;"",G1718&lt;&gt;""),"اكتب مدين أو دائن فقط ✘",IF(AND(N(F1718)=0,N(G1718)=0),"بدون مبلغ ⚠",IF(B1718&gt;12,"يتجاوز 12 بنداً في الطباعة ⚠","")))))</f>
        <v/>
      </c>
    </row>
    <row r="1719" customFormat="false" ht="15" hidden="false" customHeight="false" outlineLevel="0" collapsed="false">
      <c r="A1719" s="58"/>
      <c r="B1719" s="68" t="str">
        <f aca="false">IF(A1719="","",COUNTIF(A$5:A1719,A1719))</f>
        <v/>
      </c>
      <c r="C1719" s="68" t="str">
        <f aca="false">IF(A1719="","",A1719&amp;"-"&amp;B1719)</f>
        <v/>
      </c>
      <c r="D1719" s="58"/>
      <c r="E1719" s="57"/>
      <c r="F1719" s="69"/>
      <c r="G1719" s="69"/>
      <c r="H1719" s="70" t="str">
        <f aca="false">IF(A1719="","",IFERROR(INDEX(السندات!$C$5:$C$504,MATCH(A1719,السندات!$A$5:$A$504,0)),""))</f>
        <v/>
      </c>
      <c r="I1719" s="71" t="str">
        <f aca="false">IF(A1719="","",IFERROR(INDEX(السندات!$D$5:$D$504,MATCH(A1719,السندات!$A$5:$A$504,0)),""))</f>
        <v/>
      </c>
      <c r="J1719" s="72" t="str">
        <f aca="false">IF(A1719="","",IF(ISNA(MATCH(A1719,السندات!$A$5:$A$504,0)),"رقم سند غير موجود ✘",IF(AND(F1719&lt;&gt;"",G1719&lt;&gt;""),"اكتب مدين أو دائن فقط ✘",IF(AND(N(F1719)=0,N(G1719)=0),"بدون مبلغ ⚠",IF(B1719&gt;12,"يتجاوز 12 بنداً في الطباعة ⚠","")))))</f>
        <v/>
      </c>
    </row>
    <row r="1720" customFormat="false" ht="15" hidden="false" customHeight="false" outlineLevel="0" collapsed="false">
      <c r="A1720" s="58"/>
      <c r="B1720" s="73" t="str">
        <f aca="false">IF(A1720="","",COUNTIF(A$5:A1720,A1720))</f>
        <v/>
      </c>
      <c r="C1720" s="73" t="str">
        <f aca="false">IF(A1720="","",A1720&amp;"-"&amp;B1720)</f>
        <v/>
      </c>
      <c r="D1720" s="58"/>
      <c r="E1720" s="57"/>
      <c r="F1720" s="69"/>
      <c r="G1720" s="69"/>
      <c r="H1720" s="74" t="str">
        <f aca="false">IF(A1720="","",IFERROR(INDEX(السندات!$C$5:$C$504,MATCH(A1720,السندات!$A$5:$A$504,0)),""))</f>
        <v/>
      </c>
      <c r="I1720" s="75" t="str">
        <f aca="false">IF(A1720="","",IFERROR(INDEX(السندات!$D$5:$D$504,MATCH(A1720,السندات!$A$5:$A$504,0)),""))</f>
        <v/>
      </c>
      <c r="J1720" s="76" t="str">
        <f aca="false">IF(A1720="","",IF(ISNA(MATCH(A1720,السندات!$A$5:$A$504,0)),"رقم سند غير موجود ✘",IF(AND(F1720&lt;&gt;"",G1720&lt;&gt;""),"اكتب مدين أو دائن فقط ✘",IF(AND(N(F1720)=0,N(G1720)=0),"بدون مبلغ ⚠",IF(B1720&gt;12,"يتجاوز 12 بنداً في الطباعة ⚠","")))))</f>
        <v/>
      </c>
    </row>
    <row r="1721" customFormat="false" ht="15" hidden="false" customHeight="false" outlineLevel="0" collapsed="false">
      <c r="A1721" s="58"/>
      <c r="B1721" s="68" t="str">
        <f aca="false">IF(A1721="","",COUNTIF(A$5:A1721,A1721))</f>
        <v/>
      </c>
      <c r="C1721" s="68" t="str">
        <f aca="false">IF(A1721="","",A1721&amp;"-"&amp;B1721)</f>
        <v/>
      </c>
      <c r="D1721" s="58"/>
      <c r="E1721" s="57"/>
      <c r="F1721" s="69"/>
      <c r="G1721" s="69"/>
      <c r="H1721" s="70" t="str">
        <f aca="false">IF(A1721="","",IFERROR(INDEX(السندات!$C$5:$C$504,MATCH(A1721,السندات!$A$5:$A$504,0)),""))</f>
        <v/>
      </c>
      <c r="I1721" s="71" t="str">
        <f aca="false">IF(A1721="","",IFERROR(INDEX(السندات!$D$5:$D$504,MATCH(A1721,السندات!$A$5:$A$504,0)),""))</f>
        <v/>
      </c>
      <c r="J1721" s="72" t="str">
        <f aca="false">IF(A1721="","",IF(ISNA(MATCH(A1721,السندات!$A$5:$A$504,0)),"رقم سند غير موجود ✘",IF(AND(F1721&lt;&gt;"",G1721&lt;&gt;""),"اكتب مدين أو دائن فقط ✘",IF(AND(N(F1721)=0,N(G1721)=0),"بدون مبلغ ⚠",IF(B1721&gt;12,"يتجاوز 12 بنداً في الطباعة ⚠","")))))</f>
        <v/>
      </c>
    </row>
    <row r="1722" customFormat="false" ht="15" hidden="false" customHeight="false" outlineLevel="0" collapsed="false">
      <c r="A1722" s="58"/>
      <c r="B1722" s="73" t="str">
        <f aca="false">IF(A1722="","",COUNTIF(A$5:A1722,A1722))</f>
        <v/>
      </c>
      <c r="C1722" s="73" t="str">
        <f aca="false">IF(A1722="","",A1722&amp;"-"&amp;B1722)</f>
        <v/>
      </c>
      <c r="D1722" s="58"/>
      <c r="E1722" s="57"/>
      <c r="F1722" s="69"/>
      <c r="G1722" s="69"/>
      <c r="H1722" s="74" t="str">
        <f aca="false">IF(A1722="","",IFERROR(INDEX(السندات!$C$5:$C$504,MATCH(A1722,السندات!$A$5:$A$504,0)),""))</f>
        <v/>
      </c>
      <c r="I1722" s="75" t="str">
        <f aca="false">IF(A1722="","",IFERROR(INDEX(السندات!$D$5:$D$504,MATCH(A1722,السندات!$A$5:$A$504,0)),""))</f>
        <v/>
      </c>
      <c r="J1722" s="76" t="str">
        <f aca="false">IF(A1722="","",IF(ISNA(MATCH(A1722,السندات!$A$5:$A$504,0)),"رقم سند غير موجود ✘",IF(AND(F1722&lt;&gt;"",G1722&lt;&gt;""),"اكتب مدين أو دائن فقط ✘",IF(AND(N(F1722)=0,N(G1722)=0),"بدون مبلغ ⚠",IF(B1722&gt;12,"يتجاوز 12 بنداً في الطباعة ⚠","")))))</f>
        <v/>
      </c>
    </row>
    <row r="1723" customFormat="false" ht="15" hidden="false" customHeight="false" outlineLevel="0" collapsed="false">
      <c r="A1723" s="58"/>
      <c r="B1723" s="68" t="str">
        <f aca="false">IF(A1723="","",COUNTIF(A$5:A1723,A1723))</f>
        <v/>
      </c>
      <c r="C1723" s="68" t="str">
        <f aca="false">IF(A1723="","",A1723&amp;"-"&amp;B1723)</f>
        <v/>
      </c>
      <c r="D1723" s="58"/>
      <c r="E1723" s="57"/>
      <c r="F1723" s="69"/>
      <c r="G1723" s="69"/>
      <c r="H1723" s="70" t="str">
        <f aca="false">IF(A1723="","",IFERROR(INDEX(السندات!$C$5:$C$504,MATCH(A1723,السندات!$A$5:$A$504,0)),""))</f>
        <v/>
      </c>
      <c r="I1723" s="71" t="str">
        <f aca="false">IF(A1723="","",IFERROR(INDEX(السندات!$D$5:$D$504,MATCH(A1723,السندات!$A$5:$A$504,0)),""))</f>
        <v/>
      </c>
      <c r="J1723" s="72" t="str">
        <f aca="false">IF(A1723="","",IF(ISNA(MATCH(A1723,السندات!$A$5:$A$504,0)),"رقم سند غير موجود ✘",IF(AND(F1723&lt;&gt;"",G1723&lt;&gt;""),"اكتب مدين أو دائن فقط ✘",IF(AND(N(F1723)=0,N(G1723)=0),"بدون مبلغ ⚠",IF(B1723&gt;12,"يتجاوز 12 بنداً في الطباعة ⚠","")))))</f>
        <v/>
      </c>
    </row>
    <row r="1724" customFormat="false" ht="15" hidden="false" customHeight="false" outlineLevel="0" collapsed="false">
      <c r="A1724" s="58"/>
      <c r="B1724" s="73" t="str">
        <f aca="false">IF(A1724="","",COUNTIF(A$5:A1724,A1724))</f>
        <v/>
      </c>
      <c r="C1724" s="73" t="str">
        <f aca="false">IF(A1724="","",A1724&amp;"-"&amp;B1724)</f>
        <v/>
      </c>
      <c r="D1724" s="58"/>
      <c r="E1724" s="57"/>
      <c r="F1724" s="69"/>
      <c r="G1724" s="69"/>
      <c r="H1724" s="74" t="str">
        <f aca="false">IF(A1724="","",IFERROR(INDEX(السندات!$C$5:$C$504,MATCH(A1724,السندات!$A$5:$A$504,0)),""))</f>
        <v/>
      </c>
      <c r="I1724" s="75" t="str">
        <f aca="false">IF(A1724="","",IFERROR(INDEX(السندات!$D$5:$D$504,MATCH(A1724,السندات!$A$5:$A$504,0)),""))</f>
        <v/>
      </c>
      <c r="J1724" s="76" t="str">
        <f aca="false">IF(A1724="","",IF(ISNA(MATCH(A1724,السندات!$A$5:$A$504,0)),"رقم سند غير موجود ✘",IF(AND(F1724&lt;&gt;"",G1724&lt;&gt;""),"اكتب مدين أو دائن فقط ✘",IF(AND(N(F1724)=0,N(G1724)=0),"بدون مبلغ ⚠",IF(B1724&gt;12,"يتجاوز 12 بنداً في الطباعة ⚠","")))))</f>
        <v/>
      </c>
    </row>
    <row r="1725" customFormat="false" ht="15" hidden="false" customHeight="false" outlineLevel="0" collapsed="false">
      <c r="A1725" s="58"/>
      <c r="B1725" s="68" t="str">
        <f aca="false">IF(A1725="","",COUNTIF(A$5:A1725,A1725))</f>
        <v/>
      </c>
      <c r="C1725" s="68" t="str">
        <f aca="false">IF(A1725="","",A1725&amp;"-"&amp;B1725)</f>
        <v/>
      </c>
      <c r="D1725" s="58"/>
      <c r="E1725" s="57"/>
      <c r="F1725" s="69"/>
      <c r="G1725" s="69"/>
      <c r="H1725" s="70" t="str">
        <f aca="false">IF(A1725="","",IFERROR(INDEX(السندات!$C$5:$C$504,MATCH(A1725,السندات!$A$5:$A$504,0)),""))</f>
        <v/>
      </c>
      <c r="I1725" s="71" t="str">
        <f aca="false">IF(A1725="","",IFERROR(INDEX(السندات!$D$5:$D$504,MATCH(A1725,السندات!$A$5:$A$504,0)),""))</f>
        <v/>
      </c>
      <c r="J1725" s="72" t="str">
        <f aca="false">IF(A1725="","",IF(ISNA(MATCH(A1725,السندات!$A$5:$A$504,0)),"رقم سند غير موجود ✘",IF(AND(F1725&lt;&gt;"",G1725&lt;&gt;""),"اكتب مدين أو دائن فقط ✘",IF(AND(N(F1725)=0,N(G1725)=0),"بدون مبلغ ⚠",IF(B1725&gt;12,"يتجاوز 12 بنداً في الطباعة ⚠","")))))</f>
        <v/>
      </c>
    </row>
    <row r="1726" customFormat="false" ht="15" hidden="false" customHeight="false" outlineLevel="0" collapsed="false">
      <c r="A1726" s="58"/>
      <c r="B1726" s="73" t="str">
        <f aca="false">IF(A1726="","",COUNTIF(A$5:A1726,A1726))</f>
        <v/>
      </c>
      <c r="C1726" s="73" t="str">
        <f aca="false">IF(A1726="","",A1726&amp;"-"&amp;B1726)</f>
        <v/>
      </c>
      <c r="D1726" s="58"/>
      <c r="E1726" s="57"/>
      <c r="F1726" s="69"/>
      <c r="G1726" s="69"/>
      <c r="H1726" s="74" t="str">
        <f aca="false">IF(A1726="","",IFERROR(INDEX(السندات!$C$5:$C$504,MATCH(A1726,السندات!$A$5:$A$504,0)),""))</f>
        <v/>
      </c>
      <c r="I1726" s="75" t="str">
        <f aca="false">IF(A1726="","",IFERROR(INDEX(السندات!$D$5:$D$504,MATCH(A1726,السندات!$A$5:$A$504,0)),""))</f>
        <v/>
      </c>
      <c r="J1726" s="76" t="str">
        <f aca="false">IF(A1726="","",IF(ISNA(MATCH(A1726,السندات!$A$5:$A$504,0)),"رقم سند غير موجود ✘",IF(AND(F1726&lt;&gt;"",G1726&lt;&gt;""),"اكتب مدين أو دائن فقط ✘",IF(AND(N(F1726)=0,N(G1726)=0),"بدون مبلغ ⚠",IF(B1726&gt;12,"يتجاوز 12 بنداً في الطباعة ⚠","")))))</f>
        <v/>
      </c>
    </row>
    <row r="1727" customFormat="false" ht="15" hidden="false" customHeight="false" outlineLevel="0" collapsed="false">
      <c r="A1727" s="58"/>
      <c r="B1727" s="68" t="str">
        <f aca="false">IF(A1727="","",COUNTIF(A$5:A1727,A1727))</f>
        <v/>
      </c>
      <c r="C1727" s="68" t="str">
        <f aca="false">IF(A1727="","",A1727&amp;"-"&amp;B1727)</f>
        <v/>
      </c>
      <c r="D1727" s="58"/>
      <c r="E1727" s="57"/>
      <c r="F1727" s="69"/>
      <c r="G1727" s="69"/>
      <c r="H1727" s="70" t="str">
        <f aca="false">IF(A1727="","",IFERROR(INDEX(السندات!$C$5:$C$504,MATCH(A1727,السندات!$A$5:$A$504,0)),""))</f>
        <v/>
      </c>
      <c r="I1727" s="71" t="str">
        <f aca="false">IF(A1727="","",IFERROR(INDEX(السندات!$D$5:$D$504,MATCH(A1727,السندات!$A$5:$A$504,0)),""))</f>
        <v/>
      </c>
      <c r="J1727" s="72" t="str">
        <f aca="false">IF(A1727="","",IF(ISNA(MATCH(A1727,السندات!$A$5:$A$504,0)),"رقم سند غير موجود ✘",IF(AND(F1727&lt;&gt;"",G1727&lt;&gt;""),"اكتب مدين أو دائن فقط ✘",IF(AND(N(F1727)=0,N(G1727)=0),"بدون مبلغ ⚠",IF(B1727&gt;12,"يتجاوز 12 بنداً في الطباعة ⚠","")))))</f>
        <v/>
      </c>
    </row>
    <row r="1728" customFormat="false" ht="15" hidden="false" customHeight="false" outlineLevel="0" collapsed="false">
      <c r="A1728" s="58"/>
      <c r="B1728" s="73" t="str">
        <f aca="false">IF(A1728="","",COUNTIF(A$5:A1728,A1728))</f>
        <v/>
      </c>
      <c r="C1728" s="73" t="str">
        <f aca="false">IF(A1728="","",A1728&amp;"-"&amp;B1728)</f>
        <v/>
      </c>
      <c r="D1728" s="58"/>
      <c r="E1728" s="57"/>
      <c r="F1728" s="69"/>
      <c r="G1728" s="69"/>
      <c r="H1728" s="74" t="str">
        <f aca="false">IF(A1728="","",IFERROR(INDEX(السندات!$C$5:$C$504,MATCH(A1728,السندات!$A$5:$A$504,0)),""))</f>
        <v/>
      </c>
      <c r="I1728" s="75" t="str">
        <f aca="false">IF(A1728="","",IFERROR(INDEX(السندات!$D$5:$D$504,MATCH(A1728,السندات!$A$5:$A$504,0)),""))</f>
        <v/>
      </c>
      <c r="J1728" s="76" t="str">
        <f aca="false">IF(A1728="","",IF(ISNA(MATCH(A1728,السندات!$A$5:$A$504,0)),"رقم سند غير موجود ✘",IF(AND(F1728&lt;&gt;"",G1728&lt;&gt;""),"اكتب مدين أو دائن فقط ✘",IF(AND(N(F1728)=0,N(G1728)=0),"بدون مبلغ ⚠",IF(B1728&gt;12,"يتجاوز 12 بنداً في الطباعة ⚠","")))))</f>
        <v/>
      </c>
    </row>
    <row r="1729" customFormat="false" ht="15" hidden="false" customHeight="false" outlineLevel="0" collapsed="false">
      <c r="A1729" s="58"/>
      <c r="B1729" s="68" t="str">
        <f aca="false">IF(A1729="","",COUNTIF(A$5:A1729,A1729))</f>
        <v/>
      </c>
      <c r="C1729" s="68" t="str">
        <f aca="false">IF(A1729="","",A1729&amp;"-"&amp;B1729)</f>
        <v/>
      </c>
      <c r="D1729" s="58"/>
      <c r="E1729" s="57"/>
      <c r="F1729" s="69"/>
      <c r="G1729" s="69"/>
      <c r="H1729" s="70" t="str">
        <f aca="false">IF(A1729="","",IFERROR(INDEX(السندات!$C$5:$C$504,MATCH(A1729,السندات!$A$5:$A$504,0)),""))</f>
        <v/>
      </c>
      <c r="I1729" s="71" t="str">
        <f aca="false">IF(A1729="","",IFERROR(INDEX(السندات!$D$5:$D$504,MATCH(A1729,السندات!$A$5:$A$504,0)),""))</f>
        <v/>
      </c>
      <c r="J1729" s="72" t="str">
        <f aca="false">IF(A1729="","",IF(ISNA(MATCH(A1729,السندات!$A$5:$A$504,0)),"رقم سند غير موجود ✘",IF(AND(F1729&lt;&gt;"",G1729&lt;&gt;""),"اكتب مدين أو دائن فقط ✘",IF(AND(N(F1729)=0,N(G1729)=0),"بدون مبلغ ⚠",IF(B1729&gt;12,"يتجاوز 12 بنداً في الطباعة ⚠","")))))</f>
        <v/>
      </c>
    </row>
    <row r="1730" customFormat="false" ht="15" hidden="false" customHeight="false" outlineLevel="0" collapsed="false">
      <c r="A1730" s="58"/>
      <c r="B1730" s="73" t="str">
        <f aca="false">IF(A1730="","",COUNTIF(A$5:A1730,A1730))</f>
        <v/>
      </c>
      <c r="C1730" s="73" t="str">
        <f aca="false">IF(A1730="","",A1730&amp;"-"&amp;B1730)</f>
        <v/>
      </c>
      <c r="D1730" s="58"/>
      <c r="E1730" s="57"/>
      <c r="F1730" s="69"/>
      <c r="G1730" s="69"/>
      <c r="H1730" s="74" t="str">
        <f aca="false">IF(A1730="","",IFERROR(INDEX(السندات!$C$5:$C$504,MATCH(A1730,السندات!$A$5:$A$504,0)),""))</f>
        <v/>
      </c>
      <c r="I1730" s="75" t="str">
        <f aca="false">IF(A1730="","",IFERROR(INDEX(السندات!$D$5:$D$504,MATCH(A1730,السندات!$A$5:$A$504,0)),""))</f>
        <v/>
      </c>
      <c r="J1730" s="76" t="str">
        <f aca="false">IF(A1730="","",IF(ISNA(MATCH(A1730,السندات!$A$5:$A$504,0)),"رقم سند غير موجود ✘",IF(AND(F1730&lt;&gt;"",G1730&lt;&gt;""),"اكتب مدين أو دائن فقط ✘",IF(AND(N(F1730)=0,N(G1730)=0),"بدون مبلغ ⚠",IF(B1730&gt;12,"يتجاوز 12 بنداً في الطباعة ⚠","")))))</f>
        <v/>
      </c>
    </row>
    <row r="1731" customFormat="false" ht="15" hidden="false" customHeight="false" outlineLevel="0" collapsed="false">
      <c r="A1731" s="58"/>
      <c r="B1731" s="68" t="str">
        <f aca="false">IF(A1731="","",COUNTIF(A$5:A1731,A1731))</f>
        <v/>
      </c>
      <c r="C1731" s="68" t="str">
        <f aca="false">IF(A1731="","",A1731&amp;"-"&amp;B1731)</f>
        <v/>
      </c>
      <c r="D1731" s="58"/>
      <c r="E1731" s="57"/>
      <c r="F1731" s="69"/>
      <c r="G1731" s="69"/>
      <c r="H1731" s="70" t="str">
        <f aca="false">IF(A1731="","",IFERROR(INDEX(السندات!$C$5:$C$504,MATCH(A1731,السندات!$A$5:$A$504,0)),""))</f>
        <v/>
      </c>
      <c r="I1731" s="71" t="str">
        <f aca="false">IF(A1731="","",IFERROR(INDEX(السندات!$D$5:$D$504,MATCH(A1731,السندات!$A$5:$A$504,0)),""))</f>
        <v/>
      </c>
      <c r="J1731" s="72" t="str">
        <f aca="false">IF(A1731="","",IF(ISNA(MATCH(A1731,السندات!$A$5:$A$504,0)),"رقم سند غير موجود ✘",IF(AND(F1731&lt;&gt;"",G1731&lt;&gt;""),"اكتب مدين أو دائن فقط ✘",IF(AND(N(F1731)=0,N(G1731)=0),"بدون مبلغ ⚠",IF(B1731&gt;12,"يتجاوز 12 بنداً في الطباعة ⚠","")))))</f>
        <v/>
      </c>
    </row>
    <row r="1732" customFormat="false" ht="15" hidden="false" customHeight="false" outlineLevel="0" collapsed="false">
      <c r="A1732" s="58"/>
      <c r="B1732" s="73" t="str">
        <f aca="false">IF(A1732="","",COUNTIF(A$5:A1732,A1732))</f>
        <v/>
      </c>
      <c r="C1732" s="73" t="str">
        <f aca="false">IF(A1732="","",A1732&amp;"-"&amp;B1732)</f>
        <v/>
      </c>
      <c r="D1732" s="58"/>
      <c r="E1732" s="57"/>
      <c r="F1732" s="69"/>
      <c r="G1732" s="69"/>
      <c r="H1732" s="74" t="str">
        <f aca="false">IF(A1732="","",IFERROR(INDEX(السندات!$C$5:$C$504,MATCH(A1732,السندات!$A$5:$A$504,0)),""))</f>
        <v/>
      </c>
      <c r="I1732" s="75" t="str">
        <f aca="false">IF(A1732="","",IFERROR(INDEX(السندات!$D$5:$D$504,MATCH(A1732,السندات!$A$5:$A$504,0)),""))</f>
        <v/>
      </c>
      <c r="J1732" s="76" t="str">
        <f aca="false">IF(A1732="","",IF(ISNA(MATCH(A1732,السندات!$A$5:$A$504,0)),"رقم سند غير موجود ✘",IF(AND(F1732&lt;&gt;"",G1732&lt;&gt;""),"اكتب مدين أو دائن فقط ✘",IF(AND(N(F1732)=0,N(G1732)=0),"بدون مبلغ ⚠",IF(B1732&gt;12,"يتجاوز 12 بنداً في الطباعة ⚠","")))))</f>
        <v/>
      </c>
    </row>
    <row r="1733" customFormat="false" ht="15" hidden="false" customHeight="false" outlineLevel="0" collapsed="false">
      <c r="A1733" s="58"/>
      <c r="B1733" s="68" t="str">
        <f aca="false">IF(A1733="","",COUNTIF(A$5:A1733,A1733))</f>
        <v/>
      </c>
      <c r="C1733" s="68" t="str">
        <f aca="false">IF(A1733="","",A1733&amp;"-"&amp;B1733)</f>
        <v/>
      </c>
      <c r="D1733" s="58"/>
      <c r="E1733" s="57"/>
      <c r="F1733" s="69"/>
      <c r="G1733" s="69"/>
      <c r="H1733" s="70" t="str">
        <f aca="false">IF(A1733="","",IFERROR(INDEX(السندات!$C$5:$C$504,MATCH(A1733,السندات!$A$5:$A$504,0)),""))</f>
        <v/>
      </c>
      <c r="I1733" s="71" t="str">
        <f aca="false">IF(A1733="","",IFERROR(INDEX(السندات!$D$5:$D$504,MATCH(A1733,السندات!$A$5:$A$504,0)),""))</f>
        <v/>
      </c>
      <c r="J1733" s="72" t="str">
        <f aca="false">IF(A1733="","",IF(ISNA(MATCH(A1733,السندات!$A$5:$A$504,0)),"رقم سند غير موجود ✘",IF(AND(F1733&lt;&gt;"",G1733&lt;&gt;""),"اكتب مدين أو دائن فقط ✘",IF(AND(N(F1733)=0,N(G1733)=0),"بدون مبلغ ⚠",IF(B1733&gt;12,"يتجاوز 12 بنداً في الطباعة ⚠","")))))</f>
        <v/>
      </c>
    </row>
    <row r="1734" customFormat="false" ht="15" hidden="false" customHeight="false" outlineLevel="0" collapsed="false">
      <c r="A1734" s="58"/>
      <c r="B1734" s="73" t="str">
        <f aca="false">IF(A1734="","",COUNTIF(A$5:A1734,A1734))</f>
        <v/>
      </c>
      <c r="C1734" s="73" t="str">
        <f aca="false">IF(A1734="","",A1734&amp;"-"&amp;B1734)</f>
        <v/>
      </c>
      <c r="D1734" s="58"/>
      <c r="E1734" s="57"/>
      <c r="F1734" s="69"/>
      <c r="G1734" s="69"/>
      <c r="H1734" s="74" t="str">
        <f aca="false">IF(A1734="","",IFERROR(INDEX(السندات!$C$5:$C$504,MATCH(A1734,السندات!$A$5:$A$504,0)),""))</f>
        <v/>
      </c>
      <c r="I1734" s="75" t="str">
        <f aca="false">IF(A1734="","",IFERROR(INDEX(السندات!$D$5:$D$504,MATCH(A1734,السندات!$A$5:$A$504,0)),""))</f>
        <v/>
      </c>
      <c r="J1734" s="76" t="str">
        <f aca="false">IF(A1734="","",IF(ISNA(MATCH(A1734,السندات!$A$5:$A$504,0)),"رقم سند غير موجود ✘",IF(AND(F1734&lt;&gt;"",G1734&lt;&gt;""),"اكتب مدين أو دائن فقط ✘",IF(AND(N(F1734)=0,N(G1734)=0),"بدون مبلغ ⚠",IF(B1734&gt;12,"يتجاوز 12 بنداً في الطباعة ⚠","")))))</f>
        <v/>
      </c>
    </row>
    <row r="1735" customFormat="false" ht="15" hidden="false" customHeight="false" outlineLevel="0" collapsed="false">
      <c r="A1735" s="58"/>
      <c r="B1735" s="68" t="str">
        <f aca="false">IF(A1735="","",COUNTIF(A$5:A1735,A1735))</f>
        <v/>
      </c>
      <c r="C1735" s="68" t="str">
        <f aca="false">IF(A1735="","",A1735&amp;"-"&amp;B1735)</f>
        <v/>
      </c>
      <c r="D1735" s="58"/>
      <c r="E1735" s="57"/>
      <c r="F1735" s="69"/>
      <c r="G1735" s="69"/>
      <c r="H1735" s="70" t="str">
        <f aca="false">IF(A1735="","",IFERROR(INDEX(السندات!$C$5:$C$504,MATCH(A1735,السندات!$A$5:$A$504,0)),""))</f>
        <v/>
      </c>
      <c r="I1735" s="71" t="str">
        <f aca="false">IF(A1735="","",IFERROR(INDEX(السندات!$D$5:$D$504,MATCH(A1735,السندات!$A$5:$A$504,0)),""))</f>
        <v/>
      </c>
      <c r="J1735" s="72" t="str">
        <f aca="false">IF(A1735="","",IF(ISNA(MATCH(A1735,السندات!$A$5:$A$504,0)),"رقم سند غير موجود ✘",IF(AND(F1735&lt;&gt;"",G1735&lt;&gt;""),"اكتب مدين أو دائن فقط ✘",IF(AND(N(F1735)=0,N(G1735)=0),"بدون مبلغ ⚠",IF(B1735&gt;12,"يتجاوز 12 بنداً في الطباعة ⚠","")))))</f>
        <v/>
      </c>
    </row>
    <row r="1736" customFormat="false" ht="15" hidden="false" customHeight="false" outlineLevel="0" collapsed="false">
      <c r="A1736" s="58"/>
      <c r="B1736" s="73" t="str">
        <f aca="false">IF(A1736="","",COUNTIF(A$5:A1736,A1736))</f>
        <v/>
      </c>
      <c r="C1736" s="73" t="str">
        <f aca="false">IF(A1736="","",A1736&amp;"-"&amp;B1736)</f>
        <v/>
      </c>
      <c r="D1736" s="58"/>
      <c r="E1736" s="57"/>
      <c r="F1736" s="69"/>
      <c r="G1736" s="69"/>
      <c r="H1736" s="74" t="str">
        <f aca="false">IF(A1736="","",IFERROR(INDEX(السندات!$C$5:$C$504,MATCH(A1736,السندات!$A$5:$A$504,0)),""))</f>
        <v/>
      </c>
      <c r="I1736" s="75" t="str">
        <f aca="false">IF(A1736="","",IFERROR(INDEX(السندات!$D$5:$D$504,MATCH(A1736,السندات!$A$5:$A$504,0)),""))</f>
        <v/>
      </c>
      <c r="J1736" s="76" t="str">
        <f aca="false">IF(A1736="","",IF(ISNA(MATCH(A1736,السندات!$A$5:$A$504,0)),"رقم سند غير موجود ✘",IF(AND(F1736&lt;&gt;"",G1736&lt;&gt;""),"اكتب مدين أو دائن فقط ✘",IF(AND(N(F1736)=0,N(G1736)=0),"بدون مبلغ ⚠",IF(B1736&gt;12,"يتجاوز 12 بنداً في الطباعة ⚠","")))))</f>
        <v/>
      </c>
    </row>
    <row r="1737" customFormat="false" ht="15" hidden="false" customHeight="false" outlineLevel="0" collapsed="false">
      <c r="A1737" s="58"/>
      <c r="B1737" s="68" t="str">
        <f aca="false">IF(A1737="","",COUNTIF(A$5:A1737,A1737))</f>
        <v/>
      </c>
      <c r="C1737" s="68" t="str">
        <f aca="false">IF(A1737="","",A1737&amp;"-"&amp;B1737)</f>
        <v/>
      </c>
      <c r="D1737" s="58"/>
      <c r="E1737" s="57"/>
      <c r="F1737" s="69"/>
      <c r="G1737" s="69"/>
      <c r="H1737" s="70" t="str">
        <f aca="false">IF(A1737="","",IFERROR(INDEX(السندات!$C$5:$C$504,MATCH(A1737,السندات!$A$5:$A$504,0)),""))</f>
        <v/>
      </c>
      <c r="I1737" s="71" t="str">
        <f aca="false">IF(A1737="","",IFERROR(INDEX(السندات!$D$5:$D$504,MATCH(A1737,السندات!$A$5:$A$504,0)),""))</f>
        <v/>
      </c>
      <c r="J1737" s="72" t="str">
        <f aca="false">IF(A1737="","",IF(ISNA(MATCH(A1737,السندات!$A$5:$A$504,0)),"رقم سند غير موجود ✘",IF(AND(F1737&lt;&gt;"",G1737&lt;&gt;""),"اكتب مدين أو دائن فقط ✘",IF(AND(N(F1737)=0,N(G1737)=0),"بدون مبلغ ⚠",IF(B1737&gt;12,"يتجاوز 12 بنداً في الطباعة ⚠","")))))</f>
        <v/>
      </c>
    </row>
    <row r="1738" customFormat="false" ht="15" hidden="false" customHeight="false" outlineLevel="0" collapsed="false">
      <c r="A1738" s="58"/>
      <c r="B1738" s="73" t="str">
        <f aca="false">IF(A1738="","",COUNTIF(A$5:A1738,A1738))</f>
        <v/>
      </c>
      <c r="C1738" s="73" t="str">
        <f aca="false">IF(A1738="","",A1738&amp;"-"&amp;B1738)</f>
        <v/>
      </c>
      <c r="D1738" s="58"/>
      <c r="E1738" s="57"/>
      <c r="F1738" s="69"/>
      <c r="G1738" s="69"/>
      <c r="H1738" s="74" t="str">
        <f aca="false">IF(A1738="","",IFERROR(INDEX(السندات!$C$5:$C$504,MATCH(A1738,السندات!$A$5:$A$504,0)),""))</f>
        <v/>
      </c>
      <c r="I1738" s="75" t="str">
        <f aca="false">IF(A1738="","",IFERROR(INDEX(السندات!$D$5:$D$504,MATCH(A1738,السندات!$A$5:$A$504,0)),""))</f>
        <v/>
      </c>
      <c r="J1738" s="76" t="str">
        <f aca="false">IF(A1738="","",IF(ISNA(MATCH(A1738,السندات!$A$5:$A$504,0)),"رقم سند غير موجود ✘",IF(AND(F1738&lt;&gt;"",G1738&lt;&gt;""),"اكتب مدين أو دائن فقط ✘",IF(AND(N(F1738)=0,N(G1738)=0),"بدون مبلغ ⚠",IF(B1738&gt;12,"يتجاوز 12 بنداً في الطباعة ⚠","")))))</f>
        <v/>
      </c>
    </row>
    <row r="1739" customFormat="false" ht="15" hidden="false" customHeight="false" outlineLevel="0" collapsed="false">
      <c r="A1739" s="58"/>
      <c r="B1739" s="68" t="str">
        <f aca="false">IF(A1739="","",COUNTIF(A$5:A1739,A1739))</f>
        <v/>
      </c>
      <c r="C1739" s="68" t="str">
        <f aca="false">IF(A1739="","",A1739&amp;"-"&amp;B1739)</f>
        <v/>
      </c>
      <c r="D1739" s="58"/>
      <c r="E1739" s="57"/>
      <c r="F1739" s="69"/>
      <c r="G1739" s="69"/>
      <c r="H1739" s="70" t="str">
        <f aca="false">IF(A1739="","",IFERROR(INDEX(السندات!$C$5:$C$504,MATCH(A1739,السندات!$A$5:$A$504,0)),""))</f>
        <v/>
      </c>
      <c r="I1739" s="71" t="str">
        <f aca="false">IF(A1739="","",IFERROR(INDEX(السندات!$D$5:$D$504,MATCH(A1739,السندات!$A$5:$A$504,0)),""))</f>
        <v/>
      </c>
      <c r="J1739" s="72" t="str">
        <f aca="false">IF(A1739="","",IF(ISNA(MATCH(A1739,السندات!$A$5:$A$504,0)),"رقم سند غير موجود ✘",IF(AND(F1739&lt;&gt;"",G1739&lt;&gt;""),"اكتب مدين أو دائن فقط ✘",IF(AND(N(F1739)=0,N(G1739)=0),"بدون مبلغ ⚠",IF(B1739&gt;12,"يتجاوز 12 بنداً في الطباعة ⚠","")))))</f>
        <v/>
      </c>
    </row>
    <row r="1740" customFormat="false" ht="15" hidden="false" customHeight="false" outlineLevel="0" collapsed="false">
      <c r="A1740" s="58"/>
      <c r="B1740" s="73" t="str">
        <f aca="false">IF(A1740="","",COUNTIF(A$5:A1740,A1740))</f>
        <v/>
      </c>
      <c r="C1740" s="73" t="str">
        <f aca="false">IF(A1740="","",A1740&amp;"-"&amp;B1740)</f>
        <v/>
      </c>
      <c r="D1740" s="58"/>
      <c r="E1740" s="57"/>
      <c r="F1740" s="69"/>
      <c r="G1740" s="69"/>
      <c r="H1740" s="74" t="str">
        <f aca="false">IF(A1740="","",IFERROR(INDEX(السندات!$C$5:$C$504,MATCH(A1740,السندات!$A$5:$A$504,0)),""))</f>
        <v/>
      </c>
      <c r="I1740" s="75" t="str">
        <f aca="false">IF(A1740="","",IFERROR(INDEX(السندات!$D$5:$D$504,MATCH(A1740,السندات!$A$5:$A$504,0)),""))</f>
        <v/>
      </c>
      <c r="J1740" s="76" t="str">
        <f aca="false">IF(A1740="","",IF(ISNA(MATCH(A1740,السندات!$A$5:$A$504,0)),"رقم سند غير موجود ✘",IF(AND(F1740&lt;&gt;"",G1740&lt;&gt;""),"اكتب مدين أو دائن فقط ✘",IF(AND(N(F1740)=0,N(G1740)=0),"بدون مبلغ ⚠",IF(B1740&gt;12,"يتجاوز 12 بنداً في الطباعة ⚠","")))))</f>
        <v/>
      </c>
    </row>
    <row r="1741" customFormat="false" ht="15" hidden="false" customHeight="false" outlineLevel="0" collapsed="false">
      <c r="A1741" s="58"/>
      <c r="B1741" s="68" t="str">
        <f aca="false">IF(A1741="","",COUNTIF(A$5:A1741,A1741))</f>
        <v/>
      </c>
      <c r="C1741" s="68" t="str">
        <f aca="false">IF(A1741="","",A1741&amp;"-"&amp;B1741)</f>
        <v/>
      </c>
      <c r="D1741" s="58"/>
      <c r="E1741" s="57"/>
      <c r="F1741" s="69"/>
      <c r="G1741" s="69"/>
      <c r="H1741" s="70" t="str">
        <f aca="false">IF(A1741="","",IFERROR(INDEX(السندات!$C$5:$C$504,MATCH(A1741,السندات!$A$5:$A$504,0)),""))</f>
        <v/>
      </c>
      <c r="I1741" s="71" t="str">
        <f aca="false">IF(A1741="","",IFERROR(INDEX(السندات!$D$5:$D$504,MATCH(A1741,السندات!$A$5:$A$504,0)),""))</f>
        <v/>
      </c>
      <c r="J1741" s="72" t="str">
        <f aca="false">IF(A1741="","",IF(ISNA(MATCH(A1741,السندات!$A$5:$A$504,0)),"رقم سند غير موجود ✘",IF(AND(F1741&lt;&gt;"",G1741&lt;&gt;""),"اكتب مدين أو دائن فقط ✘",IF(AND(N(F1741)=0,N(G1741)=0),"بدون مبلغ ⚠",IF(B1741&gt;12,"يتجاوز 12 بنداً في الطباعة ⚠","")))))</f>
        <v/>
      </c>
    </row>
    <row r="1742" customFormat="false" ht="15" hidden="false" customHeight="false" outlineLevel="0" collapsed="false">
      <c r="A1742" s="58"/>
      <c r="B1742" s="73" t="str">
        <f aca="false">IF(A1742="","",COUNTIF(A$5:A1742,A1742))</f>
        <v/>
      </c>
      <c r="C1742" s="73" t="str">
        <f aca="false">IF(A1742="","",A1742&amp;"-"&amp;B1742)</f>
        <v/>
      </c>
      <c r="D1742" s="58"/>
      <c r="E1742" s="57"/>
      <c r="F1742" s="69"/>
      <c r="G1742" s="69"/>
      <c r="H1742" s="74" t="str">
        <f aca="false">IF(A1742="","",IFERROR(INDEX(السندات!$C$5:$C$504,MATCH(A1742,السندات!$A$5:$A$504,0)),""))</f>
        <v/>
      </c>
      <c r="I1742" s="75" t="str">
        <f aca="false">IF(A1742="","",IFERROR(INDEX(السندات!$D$5:$D$504,MATCH(A1742,السندات!$A$5:$A$504,0)),""))</f>
        <v/>
      </c>
      <c r="J1742" s="76" t="str">
        <f aca="false">IF(A1742="","",IF(ISNA(MATCH(A1742,السندات!$A$5:$A$504,0)),"رقم سند غير موجود ✘",IF(AND(F1742&lt;&gt;"",G1742&lt;&gt;""),"اكتب مدين أو دائن فقط ✘",IF(AND(N(F1742)=0,N(G1742)=0),"بدون مبلغ ⚠",IF(B1742&gt;12,"يتجاوز 12 بنداً في الطباعة ⚠","")))))</f>
        <v/>
      </c>
    </row>
    <row r="1743" customFormat="false" ht="15" hidden="false" customHeight="false" outlineLevel="0" collapsed="false">
      <c r="A1743" s="58"/>
      <c r="B1743" s="68" t="str">
        <f aca="false">IF(A1743="","",COUNTIF(A$5:A1743,A1743))</f>
        <v/>
      </c>
      <c r="C1743" s="68" t="str">
        <f aca="false">IF(A1743="","",A1743&amp;"-"&amp;B1743)</f>
        <v/>
      </c>
      <c r="D1743" s="58"/>
      <c r="E1743" s="57"/>
      <c r="F1743" s="69"/>
      <c r="G1743" s="69"/>
      <c r="H1743" s="70" t="str">
        <f aca="false">IF(A1743="","",IFERROR(INDEX(السندات!$C$5:$C$504,MATCH(A1743,السندات!$A$5:$A$504,0)),""))</f>
        <v/>
      </c>
      <c r="I1743" s="71" t="str">
        <f aca="false">IF(A1743="","",IFERROR(INDEX(السندات!$D$5:$D$504,MATCH(A1743,السندات!$A$5:$A$504,0)),""))</f>
        <v/>
      </c>
      <c r="J1743" s="72" t="str">
        <f aca="false">IF(A1743="","",IF(ISNA(MATCH(A1743,السندات!$A$5:$A$504,0)),"رقم سند غير موجود ✘",IF(AND(F1743&lt;&gt;"",G1743&lt;&gt;""),"اكتب مدين أو دائن فقط ✘",IF(AND(N(F1743)=0,N(G1743)=0),"بدون مبلغ ⚠",IF(B1743&gt;12,"يتجاوز 12 بنداً في الطباعة ⚠","")))))</f>
        <v/>
      </c>
    </row>
    <row r="1744" customFormat="false" ht="15" hidden="false" customHeight="false" outlineLevel="0" collapsed="false">
      <c r="A1744" s="58"/>
      <c r="B1744" s="73" t="str">
        <f aca="false">IF(A1744="","",COUNTIF(A$5:A1744,A1744))</f>
        <v/>
      </c>
      <c r="C1744" s="73" t="str">
        <f aca="false">IF(A1744="","",A1744&amp;"-"&amp;B1744)</f>
        <v/>
      </c>
      <c r="D1744" s="58"/>
      <c r="E1744" s="57"/>
      <c r="F1744" s="69"/>
      <c r="G1744" s="69"/>
      <c r="H1744" s="74" t="str">
        <f aca="false">IF(A1744="","",IFERROR(INDEX(السندات!$C$5:$C$504,MATCH(A1744,السندات!$A$5:$A$504,0)),""))</f>
        <v/>
      </c>
      <c r="I1744" s="75" t="str">
        <f aca="false">IF(A1744="","",IFERROR(INDEX(السندات!$D$5:$D$504,MATCH(A1744,السندات!$A$5:$A$504,0)),""))</f>
        <v/>
      </c>
      <c r="J1744" s="76" t="str">
        <f aca="false">IF(A1744="","",IF(ISNA(MATCH(A1744,السندات!$A$5:$A$504,0)),"رقم سند غير موجود ✘",IF(AND(F1744&lt;&gt;"",G1744&lt;&gt;""),"اكتب مدين أو دائن فقط ✘",IF(AND(N(F1744)=0,N(G1744)=0),"بدون مبلغ ⚠",IF(B1744&gt;12,"يتجاوز 12 بنداً في الطباعة ⚠","")))))</f>
        <v/>
      </c>
    </row>
    <row r="1745" customFormat="false" ht="15" hidden="false" customHeight="false" outlineLevel="0" collapsed="false">
      <c r="A1745" s="58"/>
      <c r="B1745" s="68" t="str">
        <f aca="false">IF(A1745="","",COUNTIF(A$5:A1745,A1745))</f>
        <v/>
      </c>
      <c r="C1745" s="68" t="str">
        <f aca="false">IF(A1745="","",A1745&amp;"-"&amp;B1745)</f>
        <v/>
      </c>
      <c r="D1745" s="58"/>
      <c r="E1745" s="57"/>
      <c r="F1745" s="69"/>
      <c r="G1745" s="69"/>
      <c r="H1745" s="70" t="str">
        <f aca="false">IF(A1745="","",IFERROR(INDEX(السندات!$C$5:$C$504,MATCH(A1745,السندات!$A$5:$A$504,0)),""))</f>
        <v/>
      </c>
      <c r="I1745" s="71" t="str">
        <f aca="false">IF(A1745="","",IFERROR(INDEX(السندات!$D$5:$D$504,MATCH(A1745,السندات!$A$5:$A$504,0)),""))</f>
        <v/>
      </c>
      <c r="J1745" s="72" t="str">
        <f aca="false">IF(A1745="","",IF(ISNA(MATCH(A1745,السندات!$A$5:$A$504,0)),"رقم سند غير موجود ✘",IF(AND(F1745&lt;&gt;"",G1745&lt;&gt;""),"اكتب مدين أو دائن فقط ✘",IF(AND(N(F1745)=0,N(G1745)=0),"بدون مبلغ ⚠",IF(B1745&gt;12,"يتجاوز 12 بنداً في الطباعة ⚠","")))))</f>
        <v/>
      </c>
    </row>
    <row r="1746" customFormat="false" ht="15" hidden="false" customHeight="false" outlineLevel="0" collapsed="false">
      <c r="A1746" s="58"/>
      <c r="B1746" s="73" t="str">
        <f aca="false">IF(A1746="","",COUNTIF(A$5:A1746,A1746))</f>
        <v/>
      </c>
      <c r="C1746" s="73" t="str">
        <f aca="false">IF(A1746="","",A1746&amp;"-"&amp;B1746)</f>
        <v/>
      </c>
      <c r="D1746" s="58"/>
      <c r="E1746" s="57"/>
      <c r="F1746" s="69"/>
      <c r="G1746" s="69"/>
      <c r="H1746" s="74" t="str">
        <f aca="false">IF(A1746="","",IFERROR(INDEX(السندات!$C$5:$C$504,MATCH(A1746,السندات!$A$5:$A$504,0)),""))</f>
        <v/>
      </c>
      <c r="I1746" s="75" t="str">
        <f aca="false">IF(A1746="","",IFERROR(INDEX(السندات!$D$5:$D$504,MATCH(A1746,السندات!$A$5:$A$504,0)),""))</f>
        <v/>
      </c>
      <c r="J1746" s="76" t="str">
        <f aca="false">IF(A1746="","",IF(ISNA(MATCH(A1746,السندات!$A$5:$A$504,0)),"رقم سند غير موجود ✘",IF(AND(F1746&lt;&gt;"",G1746&lt;&gt;""),"اكتب مدين أو دائن فقط ✘",IF(AND(N(F1746)=0,N(G1746)=0),"بدون مبلغ ⚠",IF(B1746&gt;12,"يتجاوز 12 بنداً في الطباعة ⚠","")))))</f>
        <v/>
      </c>
    </row>
    <row r="1747" customFormat="false" ht="15" hidden="false" customHeight="false" outlineLevel="0" collapsed="false">
      <c r="A1747" s="58"/>
      <c r="B1747" s="68" t="str">
        <f aca="false">IF(A1747="","",COUNTIF(A$5:A1747,A1747))</f>
        <v/>
      </c>
      <c r="C1747" s="68" t="str">
        <f aca="false">IF(A1747="","",A1747&amp;"-"&amp;B1747)</f>
        <v/>
      </c>
      <c r="D1747" s="58"/>
      <c r="E1747" s="57"/>
      <c r="F1747" s="69"/>
      <c r="G1747" s="69"/>
      <c r="H1747" s="70" t="str">
        <f aca="false">IF(A1747="","",IFERROR(INDEX(السندات!$C$5:$C$504,MATCH(A1747,السندات!$A$5:$A$504,0)),""))</f>
        <v/>
      </c>
      <c r="I1747" s="71" t="str">
        <f aca="false">IF(A1747="","",IFERROR(INDEX(السندات!$D$5:$D$504,MATCH(A1747,السندات!$A$5:$A$504,0)),""))</f>
        <v/>
      </c>
      <c r="J1747" s="72" t="str">
        <f aca="false">IF(A1747="","",IF(ISNA(MATCH(A1747,السندات!$A$5:$A$504,0)),"رقم سند غير موجود ✘",IF(AND(F1747&lt;&gt;"",G1747&lt;&gt;""),"اكتب مدين أو دائن فقط ✘",IF(AND(N(F1747)=0,N(G1747)=0),"بدون مبلغ ⚠",IF(B1747&gt;12,"يتجاوز 12 بنداً في الطباعة ⚠","")))))</f>
        <v/>
      </c>
    </row>
    <row r="1748" customFormat="false" ht="15" hidden="false" customHeight="false" outlineLevel="0" collapsed="false">
      <c r="A1748" s="58"/>
      <c r="B1748" s="73" t="str">
        <f aca="false">IF(A1748="","",COUNTIF(A$5:A1748,A1748))</f>
        <v/>
      </c>
      <c r="C1748" s="73" t="str">
        <f aca="false">IF(A1748="","",A1748&amp;"-"&amp;B1748)</f>
        <v/>
      </c>
      <c r="D1748" s="58"/>
      <c r="E1748" s="57"/>
      <c r="F1748" s="69"/>
      <c r="G1748" s="69"/>
      <c r="H1748" s="74" t="str">
        <f aca="false">IF(A1748="","",IFERROR(INDEX(السندات!$C$5:$C$504,MATCH(A1748,السندات!$A$5:$A$504,0)),""))</f>
        <v/>
      </c>
      <c r="I1748" s="75" t="str">
        <f aca="false">IF(A1748="","",IFERROR(INDEX(السندات!$D$5:$D$504,MATCH(A1748,السندات!$A$5:$A$504,0)),""))</f>
        <v/>
      </c>
      <c r="J1748" s="76" t="str">
        <f aca="false">IF(A1748="","",IF(ISNA(MATCH(A1748,السندات!$A$5:$A$504,0)),"رقم سند غير موجود ✘",IF(AND(F1748&lt;&gt;"",G1748&lt;&gt;""),"اكتب مدين أو دائن فقط ✘",IF(AND(N(F1748)=0,N(G1748)=0),"بدون مبلغ ⚠",IF(B1748&gt;12,"يتجاوز 12 بنداً في الطباعة ⚠","")))))</f>
        <v/>
      </c>
    </row>
    <row r="1749" customFormat="false" ht="15" hidden="false" customHeight="false" outlineLevel="0" collapsed="false">
      <c r="A1749" s="58"/>
      <c r="B1749" s="68" t="str">
        <f aca="false">IF(A1749="","",COUNTIF(A$5:A1749,A1749))</f>
        <v/>
      </c>
      <c r="C1749" s="68" t="str">
        <f aca="false">IF(A1749="","",A1749&amp;"-"&amp;B1749)</f>
        <v/>
      </c>
      <c r="D1749" s="58"/>
      <c r="E1749" s="57"/>
      <c r="F1749" s="69"/>
      <c r="G1749" s="69"/>
      <c r="H1749" s="70" t="str">
        <f aca="false">IF(A1749="","",IFERROR(INDEX(السندات!$C$5:$C$504,MATCH(A1749,السندات!$A$5:$A$504,0)),""))</f>
        <v/>
      </c>
      <c r="I1749" s="71" t="str">
        <f aca="false">IF(A1749="","",IFERROR(INDEX(السندات!$D$5:$D$504,MATCH(A1749,السندات!$A$5:$A$504,0)),""))</f>
        <v/>
      </c>
      <c r="J1749" s="72" t="str">
        <f aca="false">IF(A1749="","",IF(ISNA(MATCH(A1749,السندات!$A$5:$A$504,0)),"رقم سند غير موجود ✘",IF(AND(F1749&lt;&gt;"",G1749&lt;&gt;""),"اكتب مدين أو دائن فقط ✘",IF(AND(N(F1749)=0,N(G1749)=0),"بدون مبلغ ⚠",IF(B1749&gt;12,"يتجاوز 12 بنداً في الطباعة ⚠","")))))</f>
        <v/>
      </c>
    </row>
    <row r="1750" customFormat="false" ht="15" hidden="false" customHeight="false" outlineLevel="0" collapsed="false">
      <c r="A1750" s="58"/>
      <c r="B1750" s="73" t="str">
        <f aca="false">IF(A1750="","",COUNTIF(A$5:A1750,A1750))</f>
        <v/>
      </c>
      <c r="C1750" s="73" t="str">
        <f aca="false">IF(A1750="","",A1750&amp;"-"&amp;B1750)</f>
        <v/>
      </c>
      <c r="D1750" s="58"/>
      <c r="E1750" s="57"/>
      <c r="F1750" s="69"/>
      <c r="G1750" s="69"/>
      <c r="H1750" s="74" t="str">
        <f aca="false">IF(A1750="","",IFERROR(INDEX(السندات!$C$5:$C$504,MATCH(A1750,السندات!$A$5:$A$504,0)),""))</f>
        <v/>
      </c>
      <c r="I1750" s="75" t="str">
        <f aca="false">IF(A1750="","",IFERROR(INDEX(السندات!$D$5:$D$504,MATCH(A1750,السندات!$A$5:$A$504,0)),""))</f>
        <v/>
      </c>
      <c r="J1750" s="76" t="str">
        <f aca="false">IF(A1750="","",IF(ISNA(MATCH(A1750,السندات!$A$5:$A$504,0)),"رقم سند غير موجود ✘",IF(AND(F1750&lt;&gt;"",G1750&lt;&gt;""),"اكتب مدين أو دائن فقط ✘",IF(AND(N(F1750)=0,N(G1750)=0),"بدون مبلغ ⚠",IF(B1750&gt;12,"يتجاوز 12 بنداً في الطباعة ⚠","")))))</f>
        <v/>
      </c>
    </row>
    <row r="1751" customFormat="false" ht="15" hidden="false" customHeight="false" outlineLevel="0" collapsed="false">
      <c r="A1751" s="58"/>
      <c r="B1751" s="68" t="str">
        <f aca="false">IF(A1751="","",COUNTIF(A$5:A1751,A1751))</f>
        <v/>
      </c>
      <c r="C1751" s="68" t="str">
        <f aca="false">IF(A1751="","",A1751&amp;"-"&amp;B1751)</f>
        <v/>
      </c>
      <c r="D1751" s="58"/>
      <c r="E1751" s="57"/>
      <c r="F1751" s="69"/>
      <c r="G1751" s="69"/>
      <c r="H1751" s="70" t="str">
        <f aca="false">IF(A1751="","",IFERROR(INDEX(السندات!$C$5:$C$504,MATCH(A1751,السندات!$A$5:$A$504,0)),""))</f>
        <v/>
      </c>
      <c r="I1751" s="71" t="str">
        <f aca="false">IF(A1751="","",IFERROR(INDEX(السندات!$D$5:$D$504,MATCH(A1751,السندات!$A$5:$A$504,0)),""))</f>
        <v/>
      </c>
      <c r="J1751" s="72" t="str">
        <f aca="false">IF(A1751="","",IF(ISNA(MATCH(A1751,السندات!$A$5:$A$504,0)),"رقم سند غير موجود ✘",IF(AND(F1751&lt;&gt;"",G1751&lt;&gt;""),"اكتب مدين أو دائن فقط ✘",IF(AND(N(F1751)=0,N(G1751)=0),"بدون مبلغ ⚠",IF(B1751&gt;12,"يتجاوز 12 بنداً في الطباعة ⚠","")))))</f>
        <v/>
      </c>
    </row>
    <row r="1752" customFormat="false" ht="15" hidden="false" customHeight="false" outlineLevel="0" collapsed="false">
      <c r="A1752" s="58"/>
      <c r="B1752" s="73" t="str">
        <f aca="false">IF(A1752="","",COUNTIF(A$5:A1752,A1752))</f>
        <v/>
      </c>
      <c r="C1752" s="73" t="str">
        <f aca="false">IF(A1752="","",A1752&amp;"-"&amp;B1752)</f>
        <v/>
      </c>
      <c r="D1752" s="58"/>
      <c r="E1752" s="57"/>
      <c r="F1752" s="69"/>
      <c r="G1752" s="69"/>
      <c r="H1752" s="74" t="str">
        <f aca="false">IF(A1752="","",IFERROR(INDEX(السندات!$C$5:$C$504,MATCH(A1752,السندات!$A$5:$A$504,0)),""))</f>
        <v/>
      </c>
      <c r="I1752" s="75" t="str">
        <f aca="false">IF(A1752="","",IFERROR(INDEX(السندات!$D$5:$D$504,MATCH(A1752,السندات!$A$5:$A$504,0)),""))</f>
        <v/>
      </c>
      <c r="J1752" s="76" t="str">
        <f aca="false">IF(A1752="","",IF(ISNA(MATCH(A1752,السندات!$A$5:$A$504,0)),"رقم سند غير موجود ✘",IF(AND(F1752&lt;&gt;"",G1752&lt;&gt;""),"اكتب مدين أو دائن فقط ✘",IF(AND(N(F1752)=0,N(G1752)=0),"بدون مبلغ ⚠",IF(B1752&gt;12,"يتجاوز 12 بنداً في الطباعة ⚠","")))))</f>
        <v/>
      </c>
    </row>
    <row r="1753" customFormat="false" ht="15" hidden="false" customHeight="false" outlineLevel="0" collapsed="false">
      <c r="A1753" s="58"/>
      <c r="B1753" s="68" t="str">
        <f aca="false">IF(A1753="","",COUNTIF(A$5:A1753,A1753))</f>
        <v/>
      </c>
      <c r="C1753" s="68" t="str">
        <f aca="false">IF(A1753="","",A1753&amp;"-"&amp;B1753)</f>
        <v/>
      </c>
      <c r="D1753" s="58"/>
      <c r="E1753" s="57"/>
      <c r="F1753" s="69"/>
      <c r="G1753" s="69"/>
      <c r="H1753" s="70" t="str">
        <f aca="false">IF(A1753="","",IFERROR(INDEX(السندات!$C$5:$C$504,MATCH(A1753,السندات!$A$5:$A$504,0)),""))</f>
        <v/>
      </c>
      <c r="I1753" s="71" t="str">
        <f aca="false">IF(A1753="","",IFERROR(INDEX(السندات!$D$5:$D$504,MATCH(A1753,السندات!$A$5:$A$504,0)),""))</f>
        <v/>
      </c>
      <c r="J1753" s="72" t="str">
        <f aca="false">IF(A1753="","",IF(ISNA(MATCH(A1753,السندات!$A$5:$A$504,0)),"رقم سند غير موجود ✘",IF(AND(F1753&lt;&gt;"",G1753&lt;&gt;""),"اكتب مدين أو دائن فقط ✘",IF(AND(N(F1753)=0,N(G1753)=0),"بدون مبلغ ⚠",IF(B1753&gt;12,"يتجاوز 12 بنداً في الطباعة ⚠","")))))</f>
        <v/>
      </c>
    </row>
    <row r="1754" customFormat="false" ht="15" hidden="false" customHeight="false" outlineLevel="0" collapsed="false">
      <c r="A1754" s="58"/>
      <c r="B1754" s="73" t="str">
        <f aca="false">IF(A1754="","",COUNTIF(A$5:A1754,A1754))</f>
        <v/>
      </c>
      <c r="C1754" s="73" t="str">
        <f aca="false">IF(A1754="","",A1754&amp;"-"&amp;B1754)</f>
        <v/>
      </c>
      <c r="D1754" s="58"/>
      <c r="E1754" s="57"/>
      <c r="F1754" s="69"/>
      <c r="G1754" s="69"/>
      <c r="H1754" s="74" t="str">
        <f aca="false">IF(A1754="","",IFERROR(INDEX(السندات!$C$5:$C$504,MATCH(A1754,السندات!$A$5:$A$504,0)),""))</f>
        <v/>
      </c>
      <c r="I1754" s="75" t="str">
        <f aca="false">IF(A1754="","",IFERROR(INDEX(السندات!$D$5:$D$504,MATCH(A1754,السندات!$A$5:$A$504,0)),""))</f>
        <v/>
      </c>
      <c r="J1754" s="76" t="str">
        <f aca="false">IF(A1754="","",IF(ISNA(MATCH(A1754,السندات!$A$5:$A$504,0)),"رقم سند غير موجود ✘",IF(AND(F1754&lt;&gt;"",G1754&lt;&gt;""),"اكتب مدين أو دائن فقط ✘",IF(AND(N(F1754)=0,N(G1754)=0),"بدون مبلغ ⚠",IF(B1754&gt;12,"يتجاوز 12 بنداً في الطباعة ⚠","")))))</f>
        <v/>
      </c>
    </row>
    <row r="1755" customFormat="false" ht="15" hidden="false" customHeight="false" outlineLevel="0" collapsed="false">
      <c r="A1755" s="58"/>
      <c r="B1755" s="68" t="str">
        <f aca="false">IF(A1755="","",COUNTIF(A$5:A1755,A1755))</f>
        <v/>
      </c>
      <c r="C1755" s="68" t="str">
        <f aca="false">IF(A1755="","",A1755&amp;"-"&amp;B1755)</f>
        <v/>
      </c>
      <c r="D1755" s="58"/>
      <c r="E1755" s="57"/>
      <c r="F1755" s="69"/>
      <c r="G1755" s="69"/>
      <c r="H1755" s="70" t="str">
        <f aca="false">IF(A1755="","",IFERROR(INDEX(السندات!$C$5:$C$504,MATCH(A1755,السندات!$A$5:$A$504,0)),""))</f>
        <v/>
      </c>
      <c r="I1755" s="71" t="str">
        <f aca="false">IF(A1755="","",IFERROR(INDEX(السندات!$D$5:$D$504,MATCH(A1755,السندات!$A$5:$A$504,0)),""))</f>
        <v/>
      </c>
      <c r="J1755" s="72" t="str">
        <f aca="false">IF(A1755="","",IF(ISNA(MATCH(A1755,السندات!$A$5:$A$504,0)),"رقم سند غير موجود ✘",IF(AND(F1755&lt;&gt;"",G1755&lt;&gt;""),"اكتب مدين أو دائن فقط ✘",IF(AND(N(F1755)=0,N(G1755)=0),"بدون مبلغ ⚠",IF(B1755&gt;12,"يتجاوز 12 بنداً في الطباعة ⚠","")))))</f>
        <v/>
      </c>
    </row>
    <row r="1756" customFormat="false" ht="15" hidden="false" customHeight="false" outlineLevel="0" collapsed="false">
      <c r="A1756" s="58"/>
      <c r="B1756" s="73" t="str">
        <f aca="false">IF(A1756="","",COUNTIF(A$5:A1756,A1756))</f>
        <v/>
      </c>
      <c r="C1756" s="73" t="str">
        <f aca="false">IF(A1756="","",A1756&amp;"-"&amp;B1756)</f>
        <v/>
      </c>
      <c r="D1756" s="58"/>
      <c r="E1756" s="57"/>
      <c r="F1756" s="69"/>
      <c r="G1756" s="69"/>
      <c r="H1756" s="74" t="str">
        <f aca="false">IF(A1756="","",IFERROR(INDEX(السندات!$C$5:$C$504,MATCH(A1756,السندات!$A$5:$A$504,0)),""))</f>
        <v/>
      </c>
      <c r="I1756" s="75" t="str">
        <f aca="false">IF(A1756="","",IFERROR(INDEX(السندات!$D$5:$D$504,MATCH(A1756,السندات!$A$5:$A$504,0)),""))</f>
        <v/>
      </c>
      <c r="J1756" s="76" t="str">
        <f aca="false">IF(A1756="","",IF(ISNA(MATCH(A1756,السندات!$A$5:$A$504,0)),"رقم سند غير موجود ✘",IF(AND(F1756&lt;&gt;"",G1756&lt;&gt;""),"اكتب مدين أو دائن فقط ✘",IF(AND(N(F1756)=0,N(G1756)=0),"بدون مبلغ ⚠",IF(B1756&gt;12,"يتجاوز 12 بنداً في الطباعة ⚠","")))))</f>
        <v/>
      </c>
    </row>
    <row r="1757" customFormat="false" ht="15" hidden="false" customHeight="false" outlineLevel="0" collapsed="false">
      <c r="A1757" s="58"/>
      <c r="B1757" s="68" t="str">
        <f aca="false">IF(A1757="","",COUNTIF(A$5:A1757,A1757))</f>
        <v/>
      </c>
      <c r="C1757" s="68" t="str">
        <f aca="false">IF(A1757="","",A1757&amp;"-"&amp;B1757)</f>
        <v/>
      </c>
      <c r="D1757" s="58"/>
      <c r="E1757" s="57"/>
      <c r="F1757" s="69"/>
      <c r="G1757" s="69"/>
      <c r="H1757" s="70" t="str">
        <f aca="false">IF(A1757="","",IFERROR(INDEX(السندات!$C$5:$C$504,MATCH(A1757,السندات!$A$5:$A$504,0)),""))</f>
        <v/>
      </c>
      <c r="I1757" s="71" t="str">
        <f aca="false">IF(A1757="","",IFERROR(INDEX(السندات!$D$5:$D$504,MATCH(A1757,السندات!$A$5:$A$504,0)),""))</f>
        <v/>
      </c>
      <c r="J1757" s="72" t="str">
        <f aca="false">IF(A1757="","",IF(ISNA(MATCH(A1757,السندات!$A$5:$A$504,0)),"رقم سند غير موجود ✘",IF(AND(F1757&lt;&gt;"",G1757&lt;&gt;""),"اكتب مدين أو دائن فقط ✘",IF(AND(N(F1757)=0,N(G1757)=0),"بدون مبلغ ⚠",IF(B1757&gt;12,"يتجاوز 12 بنداً في الطباعة ⚠","")))))</f>
        <v/>
      </c>
    </row>
    <row r="1758" customFormat="false" ht="15" hidden="false" customHeight="false" outlineLevel="0" collapsed="false">
      <c r="A1758" s="58"/>
      <c r="B1758" s="73" t="str">
        <f aca="false">IF(A1758="","",COUNTIF(A$5:A1758,A1758))</f>
        <v/>
      </c>
      <c r="C1758" s="73" t="str">
        <f aca="false">IF(A1758="","",A1758&amp;"-"&amp;B1758)</f>
        <v/>
      </c>
      <c r="D1758" s="58"/>
      <c r="E1758" s="57"/>
      <c r="F1758" s="69"/>
      <c r="G1758" s="69"/>
      <c r="H1758" s="74" t="str">
        <f aca="false">IF(A1758="","",IFERROR(INDEX(السندات!$C$5:$C$504,MATCH(A1758,السندات!$A$5:$A$504,0)),""))</f>
        <v/>
      </c>
      <c r="I1758" s="75" t="str">
        <f aca="false">IF(A1758="","",IFERROR(INDEX(السندات!$D$5:$D$504,MATCH(A1758,السندات!$A$5:$A$504,0)),""))</f>
        <v/>
      </c>
      <c r="J1758" s="76" t="str">
        <f aca="false">IF(A1758="","",IF(ISNA(MATCH(A1758,السندات!$A$5:$A$504,0)),"رقم سند غير موجود ✘",IF(AND(F1758&lt;&gt;"",G1758&lt;&gt;""),"اكتب مدين أو دائن فقط ✘",IF(AND(N(F1758)=0,N(G1758)=0),"بدون مبلغ ⚠",IF(B1758&gt;12,"يتجاوز 12 بنداً في الطباعة ⚠","")))))</f>
        <v/>
      </c>
    </row>
    <row r="1759" customFormat="false" ht="15" hidden="false" customHeight="false" outlineLevel="0" collapsed="false">
      <c r="A1759" s="58"/>
      <c r="B1759" s="68" t="str">
        <f aca="false">IF(A1759="","",COUNTIF(A$5:A1759,A1759))</f>
        <v/>
      </c>
      <c r="C1759" s="68" t="str">
        <f aca="false">IF(A1759="","",A1759&amp;"-"&amp;B1759)</f>
        <v/>
      </c>
      <c r="D1759" s="58"/>
      <c r="E1759" s="57"/>
      <c r="F1759" s="69"/>
      <c r="G1759" s="69"/>
      <c r="H1759" s="70" t="str">
        <f aca="false">IF(A1759="","",IFERROR(INDEX(السندات!$C$5:$C$504,MATCH(A1759,السندات!$A$5:$A$504,0)),""))</f>
        <v/>
      </c>
      <c r="I1759" s="71" t="str">
        <f aca="false">IF(A1759="","",IFERROR(INDEX(السندات!$D$5:$D$504,MATCH(A1759,السندات!$A$5:$A$504,0)),""))</f>
        <v/>
      </c>
      <c r="J1759" s="72" t="str">
        <f aca="false">IF(A1759="","",IF(ISNA(MATCH(A1759,السندات!$A$5:$A$504,0)),"رقم سند غير موجود ✘",IF(AND(F1759&lt;&gt;"",G1759&lt;&gt;""),"اكتب مدين أو دائن فقط ✘",IF(AND(N(F1759)=0,N(G1759)=0),"بدون مبلغ ⚠",IF(B1759&gt;12,"يتجاوز 12 بنداً في الطباعة ⚠","")))))</f>
        <v/>
      </c>
    </row>
    <row r="1760" customFormat="false" ht="15" hidden="false" customHeight="false" outlineLevel="0" collapsed="false">
      <c r="A1760" s="58"/>
      <c r="B1760" s="73" t="str">
        <f aca="false">IF(A1760="","",COUNTIF(A$5:A1760,A1760))</f>
        <v/>
      </c>
      <c r="C1760" s="73" t="str">
        <f aca="false">IF(A1760="","",A1760&amp;"-"&amp;B1760)</f>
        <v/>
      </c>
      <c r="D1760" s="58"/>
      <c r="E1760" s="57"/>
      <c r="F1760" s="69"/>
      <c r="G1760" s="69"/>
      <c r="H1760" s="74" t="str">
        <f aca="false">IF(A1760="","",IFERROR(INDEX(السندات!$C$5:$C$504,MATCH(A1760,السندات!$A$5:$A$504,0)),""))</f>
        <v/>
      </c>
      <c r="I1760" s="75" t="str">
        <f aca="false">IF(A1760="","",IFERROR(INDEX(السندات!$D$5:$D$504,MATCH(A1760,السندات!$A$5:$A$504,0)),""))</f>
        <v/>
      </c>
      <c r="J1760" s="76" t="str">
        <f aca="false">IF(A1760="","",IF(ISNA(MATCH(A1760,السندات!$A$5:$A$504,0)),"رقم سند غير موجود ✘",IF(AND(F1760&lt;&gt;"",G1760&lt;&gt;""),"اكتب مدين أو دائن فقط ✘",IF(AND(N(F1760)=0,N(G1760)=0),"بدون مبلغ ⚠",IF(B1760&gt;12,"يتجاوز 12 بنداً في الطباعة ⚠","")))))</f>
        <v/>
      </c>
    </row>
    <row r="1761" customFormat="false" ht="15" hidden="false" customHeight="false" outlineLevel="0" collapsed="false">
      <c r="A1761" s="58"/>
      <c r="B1761" s="68" t="str">
        <f aca="false">IF(A1761="","",COUNTIF(A$5:A1761,A1761))</f>
        <v/>
      </c>
      <c r="C1761" s="68" t="str">
        <f aca="false">IF(A1761="","",A1761&amp;"-"&amp;B1761)</f>
        <v/>
      </c>
      <c r="D1761" s="58"/>
      <c r="E1761" s="57"/>
      <c r="F1761" s="69"/>
      <c r="G1761" s="69"/>
      <c r="H1761" s="70" t="str">
        <f aca="false">IF(A1761="","",IFERROR(INDEX(السندات!$C$5:$C$504,MATCH(A1761,السندات!$A$5:$A$504,0)),""))</f>
        <v/>
      </c>
      <c r="I1761" s="71" t="str">
        <f aca="false">IF(A1761="","",IFERROR(INDEX(السندات!$D$5:$D$504,MATCH(A1761,السندات!$A$5:$A$504,0)),""))</f>
        <v/>
      </c>
      <c r="J1761" s="72" t="str">
        <f aca="false">IF(A1761="","",IF(ISNA(MATCH(A1761,السندات!$A$5:$A$504,0)),"رقم سند غير موجود ✘",IF(AND(F1761&lt;&gt;"",G1761&lt;&gt;""),"اكتب مدين أو دائن فقط ✘",IF(AND(N(F1761)=0,N(G1761)=0),"بدون مبلغ ⚠",IF(B1761&gt;12,"يتجاوز 12 بنداً في الطباعة ⚠","")))))</f>
        <v/>
      </c>
    </row>
    <row r="1762" customFormat="false" ht="15" hidden="false" customHeight="false" outlineLevel="0" collapsed="false">
      <c r="A1762" s="58"/>
      <c r="B1762" s="73" t="str">
        <f aca="false">IF(A1762="","",COUNTIF(A$5:A1762,A1762))</f>
        <v/>
      </c>
      <c r="C1762" s="73" t="str">
        <f aca="false">IF(A1762="","",A1762&amp;"-"&amp;B1762)</f>
        <v/>
      </c>
      <c r="D1762" s="58"/>
      <c r="E1762" s="57"/>
      <c r="F1762" s="69"/>
      <c r="G1762" s="69"/>
      <c r="H1762" s="74" t="str">
        <f aca="false">IF(A1762="","",IFERROR(INDEX(السندات!$C$5:$C$504,MATCH(A1762,السندات!$A$5:$A$504,0)),""))</f>
        <v/>
      </c>
      <c r="I1762" s="75" t="str">
        <f aca="false">IF(A1762="","",IFERROR(INDEX(السندات!$D$5:$D$504,MATCH(A1762,السندات!$A$5:$A$504,0)),""))</f>
        <v/>
      </c>
      <c r="J1762" s="76" t="str">
        <f aca="false">IF(A1762="","",IF(ISNA(MATCH(A1762,السندات!$A$5:$A$504,0)),"رقم سند غير موجود ✘",IF(AND(F1762&lt;&gt;"",G1762&lt;&gt;""),"اكتب مدين أو دائن فقط ✘",IF(AND(N(F1762)=0,N(G1762)=0),"بدون مبلغ ⚠",IF(B1762&gt;12,"يتجاوز 12 بنداً في الطباعة ⚠","")))))</f>
        <v/>
      </c>
    </row>
    <row r="1763" customFormat="false" ht="15" hidden="false" customHeight="false" outlineLevel="0" collapsed="false">
      <c r="A1763" s="58"/>
      <c r="B1763" s="68" t="str">
        <f aca="false">IF(A1763="","",COUNTIF(A$5:A1763,A1763))</f>
        <v/>
      </c>
      <c r="C1763" s="68" t="str">
        <f aca="false">IF(A1763="","",A1763&amp;"-"&amp;B1763)</f>
        <v/>
      </c>
      <c r="D1763" s="58"/>
      <c r="E1763" s="57"/>
      <c r="F1763" s="69"/>
      <c r="G1763" s="69"/>
      <c r="H1763" s="70" t="str">
        <f aca="false">IF(A1763="","",IFERROR(INDEX(السندات!$C$5:$C$504,MATCH(A1763,السندات!$A$5:$A$504,0)),""))</f>
        <v/>
      </c>
      <c r="I1763" s="71" t="str">
        <f aca="false">IF(A1763="","",IFERROR(INDEX(السندات!$D$5:$D$504,MATCH(A1763,السندات!$A$5:$A$504,0)),""))</f>
        <v/>
      </c>
      <c r="J1763" s="72" t="str">
        <f aca="false">IF(A1763="","",IF(ISNA(MATCH(A1763,السندات!$A$5:$A$504,0)),"رقم سند غير موجود ✘",IF(AND(F1763&lt;&gt;"",G1763&lt;&gt;""),"اكتب مدين أو دائن فقط ✘",IF(AND(N(F1763)=0,N(G1763)=0),"بدون مبلغ ⚠",IF(B1763&gt;12,"يتجاوز 12 بنداً في الطباعة ⚠","")))))</f>
        <v/>
      </c>
    </row>
    <row r="1764" customFormat="false" ht="15" hidden="false" customHeight="false" outlineLevel="0" collapsed="false">
      <c r="A1764" s="58"/>
      <c r="B1764" s="73" t="str">
        <f aca="false">IF(A1764="","",COUNTIF(A$5:A1764,A1764))</f>
        <v/>
      </c>
      <c r="C1764" s="73" t="str">
        <f aca="false">IF(A1764="","",A1764&amp;"-"&amp;B1764)</f>
        <v/>
      </c>
      <c r="D1764" s="58"/>
      <c r="E1764" s="57"/>
      <c r="F1764" s="69"/>
      <c r="G1764" s="69"/>
      <c r="H1764" s="74" t="str">
        <f aca="false">IF(A1764="","",IFERROR(INDEX(السندات!$C$5:$C$504,MATCH(A1764,السندات!$A$5:$A$504,0)),""))</f>
        <v/>
      </c>
      <c r="I1764" s="75" t="str">
        <f aca="false">IF(A1764="","",IFERROR(INDEX(السندات!$D$5:$D$504,MATCH(A1764,السندات!$A$5:$A$504,0)),""))</f>
        <v/>
      </c>
      <c r="J1764" s="76" t="str">
        <f aca="false">IF(A1764="","",IF(ISNA(MATCH(A1764,السندات!$A$5:$A$504,0)),"رقم سند غير موجود ✘",IF(AND(F1764&lt;&gt;"",G1764&lt;&gt;""),"اكتب مدين أو دائن فقط ✘",IF(AND(N(F1764)=0,N(G1764)=0),"بدون مبلغ ⚠",IF(B1764&gt;12,"يتجاوز 12 بنداً في الطباعة ⚠","")))))</f>
        <v/>
      </c>
    </row>
    <row r="1765" customFormat="false" ht="15" hidden="false" customHeight="false" outlineLevel="0" collapsed="false">
      <c r="A1765" s="58"/>
      <c r="B1765" s="68" t="str">
        <f aca="false">IF(A1765="","",COUNTIF(A$5:A1765,A1765))</f>
        <v/>
      </c>
      <c r="C1765" s="68" t="str">
        <f aca="false">IF(A1765="","",A1765&amp;"-"&amp;B1765)</f>
        <v/>
      </c>
      <c r="D1765" s="58"/>
      <c r="E1765" s="57"/>
      <c r="F1765" s="69"/>
      <c r="G1765" s="69"/>
      <c r="H1765" s="70" t="str">
        <f aca="false">IF(A1765="","",IFERROR(INDEX(السندات!$C$5:$C$504,MATCH(A1765,السندات!$A$5:$A$504,0)),""))</f>
        <v/>
      </c>
      <c r="I1765" s="71" t="str">
        <f aca="false">IF(A1765="","",IFERROR(INDEX(السندات!$D$5:$D$504,MATCH(A1765,السندات!$A$5:$A$504,0)),""))</f>
        <v/>
      </c>
      <c r="J1765" s="72" t="str">
        <f aca="false">IF(A1765="","",IF(ISNA(MATCH(A1765,السندات!$A$5:$A$504,0)),"رقم سند غير موجود ✘",IF(AND(F1765&lt;&gt;"",G1765&lt;&gt;""),"اكتب مدين أو دائن فقط ✘",IF(AND(N(F1765)=0,N(G1765)=0),"بدون مبلغ ⚠",IF(B1765&gt;12,"يتجاوز 12 بنداً في الطباعة ⚠","")))))</f>
        <v/>
      </c>
    </row>
    <row r="1766" customFormat="false" ht="15" hidden="false" customHeight="false" outlineLevel="0" collapsed="false">
      <c r="A1766" s="58"/>
      <c r="B1766" s="73" t="str">
        <f aca="false">IF(A1766="","",COUNTIF(A$5:A1766,A1766))</f>
        <v/>
      </c>
      <c r="C1766" s="73" t="str">
        <f aca="false">IF(A1766="","",A1766&amp;"-"&amp;B1766)</f>
        <v/>
      </c>
      <c r="D1766" s="58"/>
      <c r="E1766" s="57"/>
      <c r="F1766" s="69"/>
      <c r="G1766" s="69"/>
      <c r="H1766" s="74" t="str">
        <f aca="false">IF(A1766="","",IFERROR(INDEX(السندات!$C$5:$C$504,MATCH(A1766,السندات!$A$5:$A$504,0)),""))</f>
        <v/>
      </c>
      <c r="I1766" s="75" t="str">
        <f aca="false">IF(A1766="","",IFERROR(INDEX(السندات!$D$5:$D$504,MATCH(A1766,السندات!$A$5:$A$504,0)),""))</f>
        <v/>
      </c>
      <c r="J1766" s="76" t="str">
        <f aca="false">IF(A1766="","",IF(ISNA(MATCH(A1766,السندات!$A$5:$A$504,0)),"رقم سند غير موجود ✘",IF(AND(F1766&lt;&gt;"",G1766&lt;&gt;""),"اكتب مدين أو دائن فقط ✘",IF(AND(N(F1766)=0,N(G1766)=0),"بدون مبلغ ⚠",IF(B1766&gt;12,"يتجاوز 12 بنداً في الطباعة ⚠","")))))</f>
        <v/>
      </c>
    </row>
    <row r="1767" customFormat="false" ht="15" hidden="false" customHeight="false" outlineLevel="0" collapsed="false">
      <c r="A1767" s="58"/>
      <c r="B1767" s="68" t="str">
        <f aca="false">IF(A1767="","",COUNTIF(A$5:A1767,A1767))</f>
        <v/>
      </c>
      <c r="C1767" s="68" t="str">
        <f aca="false">IF(A1767="","",A1767&amp;"-"&amp;B1767)</f>
        <v/>
      </c>
      <c r="D1767" s="58"/>
      <c r="E1767" s="57"/>
      <c r="F1767" s="69"/>
      <c r="G1767" s="69"/>
      <c r="H1767" s="70" t="str">
        <f aca="false">IF(A1767="","",IFERROR(INDEX(السندات!$C$5:$C$504,MATCH(A1767,السندات!$A$5:$A$504,0)),""))</f>
        <v/>
      </c>
      <c r="I1767" s="71" t="str">
        <f aca="false">IF(A1767="","",IFERROR(INDEX(السندات!$D$5:$D$504,MATCH(A1767,السندات!$A$5:$A$504,0)),""))</f>
        <v/>
      </c>
      <c r="J1767" s="72" t="str">
        <f aca="false">IF(A1767="","",IF(ISNA(MATCH(A1767,السندات!$A$5:$A$504,0)),"رقم سند غير موجود ✘",IF(AND(F1767&lt;&gt;"",G1767&lt;&gt;""),"اكتب مدين أو دائن فقط ✘",IF(AND(N(F1767)=0,N(G1767)=0),"بدون مبلغ ⚠",IF(B1767&gt;12,"يتجاوز 12 بنداً في الطباعة ⚠","")))))</f>
        <v/>
      </c>
    </row>
    <row r="1768" customFormat="false" ht="15" hidden="false" customHeight="false" outlineLevel="0" collapsed="false">
      <c r="A1768" s="58"/>
      <c r="B1768" s="73" t="str">
        <f aca="false">IF(A1768="","",COUNTIF(A$5:A1768,A1768))</f>
        <v/>
      </c>
      <c r="C1768" s="73" t="str">
        <f aca="false">IF(A1768="","",A1768&amp;"-"&amp;B1768)</f>
        <v/>
      </c>
      <c r="D1768" s="58"/>
      <c r="E1768" s="57"/>
      <c r="F1768" s="69"/>
      <c r="G1768" s="69"/>
      <c r="H1768" s="74" t="str">
        <f aca="false">IF(A1768="","",IFERROR(INDEX(السندات!$C$5:$C$504,MATCH(A1768,السندات!$A$5:$A$504,0)),""))</f>
        <v/>
      </c>
      <c r="I1768" s="75" t="str">
        <f aca="false">IF(A1768="","",IFERROR(INDEX(السندات!$D$5:$D$504,MATCH(A1768,السندات!$A$5:$A$504,0)),""))</f>
        <v/>
      </c>
      <c r="J1768" s="76" t="str">
        <f aca="false">IF(A1768="","",IF(ISNA(MATCH(A1768,السندات!$A$5:$A$504,0)),"رقم سند غير موجود ✘",IF(AND(F1768&lt;&gt;"",G1768&lt;&gt;""),"اكتب مدين أو دائن فقط ✘",IF(AND(N(F1768)=0,N(G1768)=0),"بدون مبلغ ⚠",IF(B1768&gt;12,"يتجاوز 12 بنداً في الطباعة ⚠","")))))</f>
        <v/>
      </c>
    </row>
    <row r="1769" customFormat="false" ht="15" hidden="false" customHeight="false" outlineLevel="0" collapsed="false">
      <c r="A1769" s="58"/>
      <c r="B1769" s="68" t="str">
        <f aca="false">IF(A1769="","",COUNTIF(A$5:A1769,A1769))</f>
        <v/>
      </c>
      <c r="C1769" s="68" t="str">
        <f aca="false">IF(A1769="","",A1769&amp;"-"&amp;B1769)</f>
        <v/>
      </c>
      <c r="D1769" s="58"/>
      <c r="E1769" s="57"/>
      <c r="F1769" s="69"/>
      <c r="G1769" s="69"/>
      <c r="H1769" s="70" t="str">
        <f aca="false">IF(A1769="","",IFERROR(INDEX(السندات!$C$5:$C$504,MATCH(A1769,السندات!$A$5:$A$504,0)),""))</f>
        <v/>
      </c>
      <c r="I1769" s="71" t="str">
        <f aca="false">IF(A1769="","",IFERROR(INDEX(السندات!$D$5:$D$504,MATCH(A1769,السندات!$A$5:$A$504,0)),""))</f>
        <v/>
      </c>
      <c r="J1769" s="72" t="str">
        <f aca="false">IF(A1769="","",IF(ISNA(MATCH(A1769,السندات!$A$5:$A$504,0)),"رقم سند غير موجود ✘",IF(AND(F1769&lt;&gt;"",G1769&lt;&gt;""),"اكتب مدين أو دائن فقط ✘",IF(AND(N(F1769)=0,N(G1769)=0),"بدون مبلغ ⚠",IF(B1769&gt;12,"يتجاوز 12 بنداً في الطباعة ⚠","")))))</f>
        <v/>
      </c>
    </row>
    <row r="1770" customFormat="false" ht="15" hidden="false" customHeight="false" outlineLevel="0" collapsed="false">
      <c r="A1770" s="58"/>
      <c r="B1770" s="73" t="str">
        <f aca="false">IF(A1770="","",COUNTIF(A$5:A1770,A1770))</f>
        <v/>
      </c>
      <c r="C1770" s="73" t="str">
        <f aca="false">IF(A1770="","",A1770&amp;"-"&amp;B1770)</f>
        <v/>
      </c>
      <c r="D1770" s="58"/>
      <c r="E1770" s="57"/>
      <c r="F1770" s="69"/>
      <c r="G1770" s="69"/>
      <c r="H1770" s="74" t="str">
        <f aca="false">IF(A1770="","",IFERROR(INDEX(السندات!$C$5:$C$504,MATCH(A1770,السندات!$A$5:$A$504,0)),""))</f>
        <v/>
      </c>
      <c r="I1770" s="75" t="str">
        <f aca="false">IF(A1770="","",IFERROR(INDEX(السندات!$D$5:$D$504,MATCH(A1770,السندات!$A$5:$A$504,0)),""))</f>
        <v/>
      </c>
      <c r="J1770" s="76" t="str">
        <f aca="false">IF(A1770="","",IF(ISNA(MATCH(A1770,السندات!$A$5:$A$504,0)),"رقم سند غير موجود ✘",IF(AND(F1770&lt;&gt;"",G1770&lt;&gt;""),"اكتب مدين أو دائن فقط ✘",IF(AND(N(F1770)=0,N(G1770)=0),"بدون مبلغ ⚠",IF(B1770&gt;12,"يتجاوز 12 بنداً في الطباعة ⚠","")))))</f>
        <v/>
      </c>
    </row>
    <row r="1771" customFormat="false" ht="15" hidden="false" customHeight="false" outlineLevel="0" collapsed="false">
      <c r="A1771" s="58"/>
      <c r="B1771" s="68" t="str">
        <f aca="false">IF(A1771="","",COUNTIF(A$5:A1771,A1771))</f>
        <v/>
      </c>
      <c r="C1771" s="68" t="str">
        <f aca="false">IF(A1771="","",A1771&amp;"-"&amp;B1771)</f>
        <v/>
      </c>
      <c r="D1771" s="58"/>
      <c r="E1771" s="57"/>
      <c r="F1771" s="69"/>
      <c r="G1771" s="69"/>
      <c r="H1771" s="70" t="str">
        <f aca="false">IF(A1771="","",IFERROR(INDEX(السندات!$C$5:$C$504,MATCH(A1771,السندات!$A$5:$A$504,0)),""))</f>
        <v/>
      </c>
      <c r="I1771" s="71" t="str">
        <f aca="false">IF(A1771="","",IFERROR(INDEX(السندات!$D$5:$D$504,MATCH(A1771,السندات!$A$5:$A$504,0)),""))</f>
        <v/>
      </c>
      <c r="J1771" s="72" t="str">
        <f aca="false">IF(A1771="","",IF(ISNA(MATCH(A1771,السندات!$A$5:$A$504,0)),"رقم سند غير موجود ✘",IF(AND(F1771&lt;&gt;"",G1771&lt;&gt;""),"اكتب مدين أو دائن فقط ✘",IF(AND(N(F1771)=0,N(G1771)=0),"بدون مبلغ ⚠",IF(B1771&gt;12,"يتجاوز 12 بنداً في الطباعة ⚠","")))))</f>
        <v/>
      </c>
    </row>
    <row r="1772" customFormat="false" ht="15" hidden="false" customHeight="false" outlineLevel="0" collapsed="false">
      <c r="A1772" s="58"/>
      <c r="B1772" s="73" t="str">
        <f aca="false">IF(A1772="","",COUNTIF(A$5:A1772,A1772))</f>
        <v/>
      </c>
      <c r="C1772" s="73" t="str">
        <f aca="false">IF(A1772="","",A1772&amp;"-"&amp;B1772)</f>
        <v/>
      </c>
      <c r="D1772" s="58"/>
      <c r="E1772" s="57"/>
      <c r="F1772" s="69"/>
      <c r="G1772" s="69"/>
      <c r="H1772" s="74" t="str">
        <f aca="false">IF(A1772="","",IFERROR(INDEX(السندات!$C$5:$C$504,MATCH(A1772,السندات!$A$5:$A$504,0)),""))</f>
        <v/>
      </c>
      <c r="I1772" s="75" t="str">
        <f aca="false">IF(A1772="","",IFERROR(INDEX(السندات!$D$5:$D$504,MATCH(A1772,السندات!$A$5:$A$504,0)),""))</f>
        <v/>
      </c>
      <c r="J1772" s="76" t="str">
        <f aca="false">IF(A1772="","",IF(ISNA(MATCH(A1772,السندات!$A$5:$A$504,0)),"رقم سند غير موجود ✘",IF(AND(F1772&lt;&gt;"",G1772&lt;&gt;""),"اكتب مدين أو دائن فقط ✘",IF(AND(N(F1772)=0,N(G1772)=0),"بدون مبلغ ⚠",IF(B1772&gt;12,"يتجاوز 12 بنداً في الطباعة ⚠","")))))</f>
        <v/>
      </c>
    </row>
    <row r="1773" customFormat="false" ht="15" hidden="false" customHeight="false" outlineLevel="0" collapsed="false">
      <c r="A1773" s="58"/>
      <c r="B1773" s="68" t="str">
        <f aca="false">IF(A1773="","",COUNTIF(A$5:A1773,A1773))</f>
        <v/>
      </c>
      <c r="C1773" s="68" t="str">
        <f aca="false">IF(A1773="","",A1773&amp;"-"&amp;B1773)</f>
        <v/>
      </c>
      <c r="D1773" s="58"/>
      <c r="E1773" s="57"/>
      <c r="F1773" s="69"/>
      <c r="G1773" s="69"/>
      <c r="H1773" s="70" t="str">
        <f aca="false">IF(A1773="","",IFERROR(INDEX(السندات!$C$5:$C$504,MATCH(A1773,السندات!$A$5:$A$504,0)),""))</f>
        <v/>
      </c>
      <c r="I1773" s="71" t="str">
        <f aca="false">IF(A1773="","",IFERROR(INDEX(السندات!$D$5:$D$504,MATCH(A1773,السندات!$A$5:$A$504,0)),""))</f>
        <v/>
      </c>
      <c r="J1773" s="72" t="str">
        <f aca="false">IF(A1773="","",IF(ISNA(MATCH(A1773,السندات!$A$5:$A$504,0)),"رقم سند غير موجود ✘",IF(AND(F1773&lt;&gt;"",G1773&lt;&gt;""),"اكتب مدين أو دائن فقط ✘",IF(AND(N(F1773)=0,N(G1773)=0),"بدون مبلغ ⚠",IF(B1773&gt;12,"يتجاوز 12 بنداً في الطباعة ⚠","")))))</f>
        <v/>
      </c>
    </row>
    <row r="1774" customFormat="false" ht="15" hidden="false" customHeight="false" outlineLevel="0" collapsed="false">
      <c r="A1774" s="58"/>
      <c r="B1774" s="73" t="str">
        <f aca="false">IF(A1774="","",COUNTIF(A$5:A1774,A1774))</f>
        <v/>
      </c>
      <c r="C1774" s="73" t="str">
        <f aca="false">IF(A1774="","",A1774&amp;"-"&amp;B1774)</f>
        <v/>
      </c>
      <c r="D1774" s="58"/>
      <c r="E1774" s="57"/>
      <c r="F1774" s="69"/>
      <c r="G1774" s="69"/>
      <c r="H1774" s="74" t="str">
        <f aca="false">IF(A1774="","",IFERROR(INDEX(السندات!$C$5:$C$504,MATCH(A1774,السندات!$A$5:$A$504,0)),""))</f>
        <v/>
      </c>
      <c r="I1774" s="75" t="str">
        <f aca="false">IF(A1774="","",IFERROR(INDEX(السندات!$D$5:$D$504,MATCH(A1774,السندات!$A$5:$A$504,0)),""))</f>
        <v/>
      </c>
      <c r="J1774" s="76" t="str">
        <f aca="false">IF(A1774="","",IF(ISNA(MATCH(A1774,السندات!$A$5:$A$504,0)),"رقم سند غير موجود ✘",IF(AND(F1774&lt;&gt;"",G1774&lt;&gt;""),"اكتب مدين أو دائن فقط ✘",IF(AND(N(F1774)=0,N(G1774)=0),"بدون مبلغ ⚠",IF(B1774&gt;12,"يتجاوز 12 بنداً في الطباعة ⚠","")))))</f>
        <v/>
      </c>
    </row>
    <row r="1775" customFormat="false" ht="15" hidden="false" customHeight="false" outlineLevel="0" collapsed="false">
      <c r="A1775" s="58"/>
      <c r="B1775" s="68" t="str">
        <f aca="false">IF(A1775="","",COUNTIF(A$5:A1775,A1775))</f>
        <v/>
      </c>
      <c r="C1775" s="68" t="str">
        <f aca="false">IF(A1775="","",A1775&amp;"-"&amp;B1775)</f>
        <v/>
      </c>
      <c r="D1775" s="58"/>
      <c r="E1775" s="57"/>
      <c r="F1775" s="69"/>
      <c r="G1775" s="69"/>
      <c r="H1775" s="70" t="str">
        <f aca="false">IF(A1775="","",IFERROR(INDEX(السندات!$C$5:$C$504,MATCH(A1775,السندات!$A$5:$A$504,0)),""))</f>
        <v/>
      </c>
      <c r="I1775" s="71" t="str">
        <f aca="false">IF(A1775="","",IFERROR(INDEX(السندات!$D$5:$D$504,MATCH(A1775,السندات!$A$5:$A$504,0)),""))</f>
        <v/>
      </c>
      <c r="J1775" s="72" t="str">
        <f aca="false">IF(A1775="","",IF(ISNA(MATCH(A1775,السندات!$A$5:$A$504,0)),"رقم سند غير موجود ✘",IF(AND(F1775&lt;&gt;"",G1775&lt;&gt;""),"اكتب مدين أو دائن فقط ✘",IF(AND(N(F1775)=0,N(G1775)=0),"بدون مبلغ ⚠",IF(B1775&gt;12,"يتجاوز 12 بنداً في الطباعة ⚠","")))))</f>
        <v/>
      </c>
    </row>
    <row r="1776" customFormat="false" ht="15" hidden="false" customHeight="false" outlineLevel="0" collapsed="false">
      <c r="A1776" s="58"/>
      <c r="B1776" s="73" t="str">
        <f aca="false">IF(A1776="","",COUNTIF(A$5:A1776,A1776))</f>
        <v/>
      </c>
      <c r="C1776" s="73" t="str">
        <f aca="false">IF(A1776="","",A1776&amp;"-"&amp;B1776)</f>
        <v/>
      </c>
      <c r="D1776" s="58"/>
      <c r="E1776" s="57"/>
      <c r="F1776" s="69"/>
      <c r="G1776" s="69"/>
      <c r="H1776" s="74" t="str">
        <f aca="false">IF(A1776="","",IFERROR(INDEX(السندات!$C$5:$C$504,MATCH(A1776,السندات!$A$5:$A$504,0)),""))</f>
        <v/>
      </c>
      <c r="I1776" s="75" t="str">
        <f aca="false">IF(A1776="","",IFERROR(INDEX(السندات!$D$5:$D$504,MATCH(A1776,السندات!$A$5:$A$504,0)),""))</f>
        <v/>
      </c>
      <c r="J1776" s="76" t="str">
        <f aca="false">IF(A1776="","",IF(ISNA(MATCH(A1776,السندات!$A$5:$A$504,0)),"رقم سند غير موجود ✘",IF(AND(F1776&lt;&gt;"",G1776&lt;&gt;""),"اكتب مدين أو دائن فقط ✘",IF(AND(N(F1776)=0,N(G1776)=0),"بدون مبلغ ⚠",IF(B1776&gt;12,"يتجاوز 12 بنداً في الطباعة ⚠","")))))</f>
        <v/>
      </c>
    </row>
    <row r="1777" customFormat="false" ht="15" hidden="false" customHeight="false" outlineLevel="0" collapsed="false">
      <c r="A1777" s="58"/>
      <c r="B1777" s="68" t="str">
        <f aca="false">IF(A1777="","",COUNTIF(A$5:A1777,A1777))</f>
        <v/>
      </c>
      <c r="C1777" s="68" t="str">
        <f aca="false">IF(A1777="","",A1777&amp;"-"&amp;B1777)</f>
        <v/>
      </c>
      <c r="D1777" s="58"/>
      <c r="E1777" s="57"/>
      <c r="F1777" s="69"/>
      <c r="G1777" s="69"/>
      <c r="H1777" s="70" t="str">
        <f aca="false">IF(A1777="","",IFERROR(INDEX(السندات!$C$5:$C$504,MATCH(A1777,السندات!$A$5:$A$504,0)),""))</f>
        <v/>
      </c>
      <c r="I1777" s="71" t="str">
        <f aca="false">IF(A1777="","",IFERROR(INDEX(السندات!$D$5:$D$504,MATCH(A1777,السندات!$A$5:$A$504,0)),""))</f>
        <v/>
      </c>
      <c r="J1777" s="72" t="str">
        <f aca="false">IF(A1777="","",IF(ISNA(MATCH(A1777,السندات!$A$5:$A$504,0)),"رقم سند غير موجود ✘",IF(AND(F1777&lt;&gt;"",G1777&lt;&gt;""),"اكتب مدين أو دائن فقط ✘",IF(AND(N(F1777)=0,N(G1777)=0),"بدون مبلغ ⚠",IF(B1777&gt;12,"يتجاوز 12 بنداً في الطباعة ⚠","")))))</f>
        <v/>
      </c>
    </row>
    <row r="1778" customFormat="false" ht="15" hidden="false" customHeight="false" outlineLevel="0" collapsed="false">
      <c r="A1778" s="58"/>
      <c r="B1778" s="73" t="str">
        <f aca="false">IF(A1778="","",COUNTIF(A$5:A1778,A1778))</f>
        <v/>
      </c>
      <c r="C1778" s="73" t="str">
        <f aca="false">IF(A1778="","",A1778&amp;"-"&amp;B1778)</f>
        <v/>
      </c>
      <c r="D1778" s="58"/>
      <c r="E1778" s="57"/>
      <c r="F1778" s="69"/>
      <c r="G1778" s="69"/>
      <c r="H1778" s="74" t="str">
        <f aca="false">IF(A1778="","",IFERROR(INDEX(السندات!$C$5:$C$504,MATCH(A1778,السندات!$A$5:$A$504,0)),""))</f>
        <v/>
      </c>
      <c r="I1778" s="75" t="str">
        <f aca="false">IF(A1778="","",IFERROR(INDEX(السندات!$D$5:$D$504,MATCH(A1778,السندات!$A$5:$A$504,0)),""))</f>
        <v/>
      </c>
      <c r="J1778" s="76" t="str">
        <f aca="false">IF(A1778="","",IF(ISNA(MATCH(A1778,السندات!$A$5:$A$504,0)),"رقم سند غير موجود ✘",IF(AND(F1778&lt;&gt;"",G1778&lt;&gt;""),"اكتب مدين أو دائن فقط ✘",IF(AND(N(F1778)=0,N(G1778)=0),"بدون مبلغ ⚠",IF(B1778&gt;12,"يتجاوز 12 بنداً في الطباعة ⚠","")))))</f>
        <v/>
      </c>
    </row>
    <row r="1779" customFormat="false" ht="15" hidden="false" customHeight="false" outlineLevel="0" collapsed="false">
      <c r="A1779" s="58"/>
      <c r="B1779" s="68" t="str">
        <f aca="false">IF(A1779="","",COUNTIF(A$5:A1779,A1779))</f>
        <v/>
      </c>
      <c r="C1779" s="68" t="str">
        <f aca="false">IF(A1779="","",A1779&amp;"-"&amp;B1779)</f>
        <v/>
      </c>
      <c r="D1779" s="58"/>
      <c r="E1779" s="57"/>
      <c r="F1779" s="69"/>
      <c r="G1779" s="69"/>
      <c r="H1779" s="70" t="str">
        <f aca="false">IF(A1779="","",IFERROR(INDEX(السندات!$C$5:$C$504,MATCH(A1779,السندات!$A$5:$A$504,0)),""))</f>
        <v/>
      </c>
      <c r="I1779" s="71" t="str">
        <f aca="false">IF(A1779="","",IFERROR(INDEX(السندات!$D$5:$D$504,MATCH(A1779,السندات!$A$5:$A$504,0)),""))</f>
        <v/>
      </c>
      <c r="J1779" s="72" t="str">
        <f aca="false">IF(A1779="","",IF(ISNA(MATCH(A1779,السندات!$A$5:$A$504,0)),"رقم سند غير موجود ✘",IF(AND(F1779&lt;&gt;"",G1779&lt;&gt;""),"اكتب مدين أو دائن فقط ✘",IF(AND(N(F1779)=0,N(G1779)=0),"بدون مبلغ ⚠",IF(B1779&gt;12,"يتجاوز 12 بنداً في الطباعة ⚠","")))))</f>
        <v/>
      </c>
    </row>
    <row r="1780" customFormat="false" ht="15" hidden="false" customHeight="false" outlineLevel="0" collapsed="false">
      <c r="A1780" s="58"/>
      <c r="B1780" s="73" t="str">
        <f aca="false">IF(A1780="","",COUNTIF(A$5:A1780,A1780))</f>
        <v/>
      </c>
      <c r="C1780" s="73" t="str">
        <f aca="false">IF(A1780="","",A1780&amp;"-"&amp;B1780)</f>
        <v/>
      </c>
      <c r="D1780" s="58"/>
      <c r="E1780" s="57"/>
      <c r="F1780" s="69"/>
      <c r="G1780" s="69"/>
      <c r="H1780" s="74" t="str">
        <f aca="false">IF(A1780="","",IFERROR(INDEX(السندات!$C$5:$C$504,MATCH(A1780,السندات!$A$5:$A$504,0)),""))</f>
        <v/>
      </c>
      <c r="I1780" s="75" t="str">
        <f aca="false">IF(A1780="","",IFERROR(INDEX(السندات!$D$5:$D$504,MATCH(A1780,السندات!$A$5:$A$504,0)),""))</f>
        <v/>
      </c>
      <c r="J1780" s="76" t="str">
        <f aca="false">IF(A1780="","",IF(ISNA(MATCH(A1780,السندات!$A$5:$A$504,0)),"رقم سند غير موجود ✘",IF(AND(F1780&lt;&gt;"",G1780&lt;&gt;""),"اكتب مدين أو دائن فقط ✘",IF(AND(N(F1780)=0,N(G1780)=0),"بدون مبلغ ⚠",IF(B1780&gt;12,"يتجاوز 12 بنداً في الطباعة ⚠","")))))</f>
        <v/>
      </c>
    </row>
    <row r="1781" customFormat="false" ht="15" hidden="false" customHeight="false" outlineLevel="0" collapsed="false">
      <c r="A1781" s="58"/>
      <c r="B1781" s="68" t="str">
        <f aca="false">IF(A1781="","",COUNTIF(A$5:A1781,A1781))</f>
        <v/>
      </c>
      <c r="C1781" s="68" t="str">
        <f aca="false">IF(A1781="","",A1781&amp;"-"&amp;B1781)</f>
        <v/>
      </c>
      <c r="D1781" s="58"/>
      <c r="E1781" s="57"/>
      <c r="F1781" s="69"/>
      <c r="G1781" s="69"/>
      <c r="H1781" s="70" t="str">
        <f aca="false">IF(A1781="","",IFERROR(INDEX(السندات!$C$5:$C$504,MATCH(A1781,السندات!$A$5:$A$504,0)),""))</f>
        <v/>
      </c>
      <c r="I1781" s="71" t="str">
        <f aca="false">IF(A1781="","",IFERROR(INDEX(السندات!$D$5:$D$504,MATCH(A1781,السندات!$A$5:$A$504,0)),""))</f>
        <v/>
      </c>
      <c r="J1781" s="72" t="str">
        <f aca="false">IF(A1781="","",IF(ISNA(MATCH(A1781,السندات!$A$5:$A$504,0)),"رقم سند غير موجود ✘",IF(AND(F1781&lt;&gt;"",G1781&lt;&gt;""),"اكتب مدين أو دائن فقط ✘",IF(AND(N(F1781)=0,N(G1781)=0),"بدون مبلغ ⚠",IF(B1781&gt;12,"يتجاوز 12 بنداً في الطباعة ⚠","")))))</f>
        <v/>
      </c>
    </row>
    <row r="1782" customFormat="false" ht="15" hidden="false" customHeight="false" outlineLevel="0" collapsed="false">
      <c r="A1782" s="58"/>
      <c r="B1782" s="73" t="str">
        <f aca="false">IF(A1782="","",COUNTIF(A$5:A1782,A1782))</f>
        <v/>
      </c>
      <c r="C1782" s="73" t="str">
        <f aca="false">IF(A1782="","",A1782&amp;"-"&amp;B1782)</f>
        <v/>
      </c>
      <c r="D1782" s="58"/>
      <c r="E1782" s="57"/>
      <c r="F1782" s="69"/>
      <c r="G1782" s="69"/>
      <c r="H1782" s="74" t="str">
        <f aca="false">IF(A1782="","",IFERROR(INDEX(السندات!$C$5:$C$504,MATCH(A1782,السندات!$A$5:$A$504,0)),""))</f>
        <v/>
      </c>
      <c r="I1782" s="75" t="str">
        <f aca="false">IF(A1782="","",IFERROR(INDEX(السندات!$D$5:$D$504,MATCH(A1782,السندات!$A$5:$A$504,0)),""))</f>
        <v/>
      </c>
      <c r="J1782" s="76" t="str">
        <f aca="false">IF(A1782="","",IF(ISNA(MATCH(A1782,السندات!$A$5:$A$504,0)),"رقم سند غير موجود ✘",IF(AND(F1782&lt;&gt;"",G1782&lt;&gt;""),"اكتب مدين أو دائن فقط ✘",IF(AND(N(F1782)=0,N(G1782)=0),"بدون مبلغ ⚠",IF(B1782&gt;12,"يتجاوز 12 بنداً في الطباعة ⚠","")))))</f>
        <v/>
      </c>
    </row>
    <row r="1783" customFormat="false" ht="15" hidden="false" customHeight="false" outlineLevel="0" collapsed="false">
      <c r="A1783" s="58"/>
      <c r="B1783" s="68" t="str">
        <f aca="false">IF(A1783="","",COUNTIF(A$5:A1783,A1783))</f>
        <v/>
      </c>
      <c r="C1783" s="68" t="str">
        <f aca="false">IF(A1783="","",A1783&amp;"-"&amp;B1783)</f>
        <v/>
      </c>
      <c r="D1783" s="58"/>
      <c r="E1783" s="57"/>
      <c r="F1783" s="69"/>
      <c r="G1783" s="69"/>
      <c r="H1783" s="70" t="str">
        <f aca="false">IF(A1783="","",IFERROR(INDEX(السندات!$C$5:$C$504,MATCH(A1783,السندات!$A$5:$A$504,0)),""))</f>
        <v/>
      </c>
      <c r="I1783" s="71" t="str">
        <f aca="false">IF(A1783="","",IFERROR(INDEX(السندات!$D$5:$D$504,MATCH(A1783,السندات!$A$5:$A$504,0)),""))</f>
        <v/>
      </c>
      <c r="J1783" s="72" t="str">
        <f aca="false">IF(A1783="","",IF(ISNA(MATCH(A1783,السندات!$A$5:$A$504,0)),"رقم سند غير موجود ✘",IF(AND(F1783&lt;&gt;"",G1783&lt;&gt;""),"اكتب مدين أو دائن فقط ✘",IF(AND(N(F1783)=0,N(G1783)=0),"بدون مبلغ ⚠",IF(B1783&gt;12,"يتجاوز 12 بنداً في الطباعة ⚠","")))))</f>
        <v/>
      </c>
    </row>
    <row r="1784" customFormat="false" ht="15" hidden="false" customHeight="false" outlineLevel="0" collapsed="false">
      <c r="A1784" s="58"/>
      <c r="B1784" s="73" t="str">
        <f aca="false">IF(A1784="","",COUNTIF(A$5:A1784,A1784))</f>
        <v/>
      </c>
      <c r="C1784" s="73" t="str">
        <f aca="false">IF(A1784="","",A1784&amp;"-"&amp;B1784)</f>
        <v/>
      </c>
      <c r="D1784" s="58"/>
      <c r="E1784" s="57"/>
      <c r="F1784" s="69"/>
      <c r="G1784" s="69"/>
      <c r="H1784" s="74" t="str">
        <f aca="false">IF(A1784="","",IFERROR(INDEX(السندات!$C$5:$C$504,MATCH(A1784,السندات!$A$5:$A$504,0)),""))</f>
        <v/>
      </c>
      <c r="I1784" s="75" t="str">
        <f aca="false">IF(A1784="","",IFERROR(INDEX(السندات!$D$5:$D$504,MATCH(A1784,السندات!$A$5:$A$504,0)),""))</f>
        <v/>
      </c>
      <c r="J1784" s="76" t="str">
        <f aca="false">IF(A1784="","",IF(ISNA(MATCH(A1784,السندات!$A$5:$A$504,0)),"رقم سند غير موجود ✘",IF(AND(F1784&lt;&gt;"",G1784&lt;&gt;""),"اكتب مدين أو دائن فقط ✘",IF(AND(N(F1784)=0,N(G1784)=0),"بدون مبلغ ⚠",IF(B1784&gt;12,"يتجاوز 12 بنداً في الطباعة ⚠","")))))</f>
        <v/>
      </c>
    </row>
    <row r="1785" customFormat="false" ht="15" hidden="false" customHeight="false" outlineLevel="0" collapsed="false">
      <c r="A1785" s="58"/>
      <c r="B1785" s="68" t="str">
        <f aca="false">IF(A1785="","",COUNTIF(A$5:A1785,A1785))</f>
        <v/>
      </c>
      <c r="C1785" s="68" t="str">
        <f aca="false">IF(A1785="","",A1785&amp;"-"&amp;B1785)</f>
        <v/>
      </c>
      <c r="D1785" s="58"/>
      <c r="E1785" s="57"/>
      <c r="F1785" s="69"/>
      <c r="G1785" s="69"/>
      <c r="H1785" s="70" t="str">
        <f aca="false">IF(A1785="","",IFERROR(INDEX(السندات!$C$5:$C$504,MATCH(A1785,السندات!$A$5:$A$504,0)),""))</f>
        <v/>
      </c>
      <c r="I1785" s="71" t="str">
        <f aca="false">IF(A1785="","",IFERROR(INDEX(السندات!$D$5:$D$504,MATCH(A1785,السندات!$A$5:$A$504,0)),""))</f>
        <v/>
      </c>
      <c r="J1785" s="72" t="str">
        <f aca="false">IF(A1785="","",IF(ISNA(MATCH(A1785,السندات!$A$5:$A$504,0)),"رقم سند غير موجود ✘",IF(AND(F1785&lt;&gt;"",G1785&lt;&gt;""),"اكتب مدين أو دائن فقط ✘",IF(AND(N(F1785)=0,N(G1785)=0),"بدون مبلغ ⚠",IF(B1785&gt;12,"يتجاوز 12 بنداً في الطباعة ⚠","")))))</f>
        <v/>
      </c>
    </row>
    <row r="1786" customFormat="false" ht="15" hidden="false" customHeight="false" outlineLevel="0" collapsed="false">
      <c r="A1786" s="58"/>
      <c r="B1786" s="73" t="str">
        <f aca="false">IF(A1786="","",COUNTIF(A$5:A1786,A1786))</f>
        <v/>
      </c>
      <c r="C1786" s="73" t="str">
        <f aca="false">IF(A1786="","",A1786&amp;"-"&amp;B1786)</f>
        <v/>
      </c>
      <c r="D1786" s="58"/>
      <c r="E1786" s="57"/>
      <c r="F1786" s="69"/>
      <c r="G1786" s="69"/>
      <c r="H1786" s="74" t="str">
        <f aca="false">IF(A1786="","",IFERROR(INDEX(السندات!$C$5:$C$504,MATCH(A1786,السندات!$A$5:$A$504,0)),""))</f>
        <v/>
      </c>
      <c r="I1786" s="75" t="str">
        <f aca="false">IF(A1786="","",IFERROR(INDEX(السندات!$D$5:$D$504,MATCH(A1786,السندات!$A$5:$A$504,0)),""))</f>
        <v/>
      </c>
      <c r="J1786" s="76" t="str">
        <f aca="false">IF(A1786="","",IF(ISNA(MATCH(A1786,السندات!$A$5:$A$504,0)),"رقم سند غير موجود ✘",IF(AND(F1786&lt;&gt;"",G1786&lt;&gt;""),"اكتب مدين أو دائن فقط ✘",IF(AND(N(F1786)=0,N(G1786)=0),"بدون مبلغ ⚠",IF(B1786&gt;12,"يتجاوز 12 بنداً في الطباعة ⚠","")))))</f>
        <v/>
      </c>
    </row>
    <row r="1787" customFormat="false" ht="15" hidden="false" customHeight="false" outlineLevel="0" collapsed="false">
      <c r="A1787" s="58"/>
      <c r="B1787" s="68" t="str">
        <f aca="false">IF(A1787="","",COUNTIF(A$5:A1787,A1787))</f>
        <v/>
      </c>
      <c r="C1787" s="68" t="str">
        <f aca="false">IF(A1787="","",A1787&amp;"-"&amp;B1787)</f>
        <v/>
      </c>
      <c r="D1787" s="58"/>
      <c r="E1787" s="57"/>
      <c r="F1787" s="69"/>
      <c r="G1787" s="69"/>
      <c r="H1787" s="70" t="str">
        <f aca="false">IF(A1787="","",IFERROR(INDEX(السندات!$C$5:$C$504,MATCH(A1787,السندات!$A$5:$A$504,0)),""))</f>
        <v/>
      </c>
      <c r="I1787" s="71" t="str">
        <f aca="false">IF(A1787="","",IFERROR(INDEX(السندات!$D$5:$D$504,MATCH(A1787,السندات!$A$5:$A$504,0)),""))</f>
        <v/>
      </c>
      <c r="J1787" s="72" t="str">
        <f aca="false">IF(A1787="","",IF(ISNA(MATCH(A1787,السندات!$A$5:$A$504,0)),"رقم سند غير موجود ✘",IF(AND(F1787&lt;&gt;"",G1787&lt;&gt;""),"اكتب مدين أو دائن فقط ✘",IF(AND(N(F1787)=0,N(G1787)=0),"بدون مبلغ ⚠",IF(B1787&gt;12,"يتجاوز 12 بنداً في الطباعة ⚠","")))))</f>
        <v/>
      </c>
    </row>
    <row r="1788" customFormat="false" ht="15" hidden="false" customHeight="false" outlineLevel="0" collapsed="false">
      <c r="A1788" s="58"/>
      <c r="B1788" s="73" t="str">
        <f aca="false">IF(A1788="","",COUNTIF(A$5:A1788,A1788))</f>
        <v/>
      </c>
      <c r="C1788" s="73" t="str">
        <f aca="false">IF(A1788="","",A1788&amp;"-"&amp;B1788)</f>
        <v/>
      </c>
      <c r="D1788" s="58"/>
      <c r="E1788" s="57"/>
      <c r="F1788" s="69"/>
      <c r="G1788" s="69"/>
      <c r="H1788" s="74" t="str">
        <f aca="false">IF(A1788="","",IFERROR(INDEX(السندات!$C$5:$C$504,MATCH(A1788,السندات!$A$5:$A$504,0)),""))</f>
        <v/>
      </c>
      <c r="I1788" s="75" t="str">
        <f aca="false">IF(A1788="","",IFERROR(INDEX(السندات!$D$5:$D$504,MATCH(A1788,السندات!$A$5:$A$504,0)),""))</f>
        <v/>
      </c>
      <c r="J1788" s="76" t="str">
        <f aca="false">IF(A1788="","",IF(ISNA(MATCH(A1788,السندات!$A$5:$A$504,0)),"رقم سند غير موجود ✘",IF(AND(F1788&lt;&gt;"",G1788&lt;&gt;""),"اكتب مدين أو دائن فقط ✘",IF(AND(N(F1788)=0,N(G1788)=0),"بدون مبلغ ⚠",IF(B1788&gt;12,"يتجاوز 12 بنداً في الطباعة ⚠","")))))</f>
        <v/>
      </c>
    </row>
    <row r="1789" customFormat="false" ht="15" hidden="false" customHeight="false" outlineLevel="0" collapsed="false">
      <c r="A1789" s="58"/>
      <c r="B1789" s="68" t="str">
        <f aca="false">IF(A1789="","",COUNTIF(A$5:A1789,A1789))</f>
        <v/>
      </c>
      <c r="C1789" s="68" t="str">
        <f aca="false">IF(A1789="","",A1789&amp;"-"&amp;B1789)</f>
        <v/>
      </c>
      <c r="D1789" s="58"/>
      <c r="E1789" s="57"/>
      <c r="F1789" s="69"/>
      <c r="G1789" s="69"/>
      <c r="H1789" s="70" t="str">
        <f aca="false">IF(A1789="","",IFERROR(INDEX(السندات!$C$5:$C$504,MATCH(A1789,السندات!$A$5:$A$504,0)),""))</f>
        <v/>
      </c>
      <c r="I1789" s="71" t="str">
        <f aca="false">IF(A1789="","",IFERROR(INDEX(السندات!$D$5:$D$504,MATCH(A1789,السندات!$A$5:$A$504,0)),""))</f>
        <v/>
      </c>
      <c r="J1789" s="72" t="str">
        <f aca="false">IF(A1789="","",IF(ISNA(MATCH(A1789,السندات!$A$5:$A$504,0)),"رقم سند غير موجود ✘",IF(AND(F1789&lt;&gt;"",G1789&lt;&gt;""),"اكتب مدين أو دائن فقط ✘",IF(AND(N(F1789)=0,N(G1789)=0),"بدون مبلغ ⚠",IF(B1789&gt;12,"يتجاوز 12 بنداً في الطباعة ⚠","")))))</f>
        <v/>
      </c>
    </row>
    <row r="1790" customFormat="false" ht="15" hidden="false" customHeight="false" outlineLevel="0" collapsed="false">
      <c r="A1790" s="58"/>
      <c r="B1790" s="73" t="str">
        <f aca="false">IF(A1790="","",COUNTIF(A$5:A1790,A1790))</f>
        <v/>
      </c>
      <c r="C1790" s="73" t="str">
        <f aca="false">IF(A1790="","",A1790&amp;"-"&amp;B1790)</f>
        <v/>
      </c>
      <c r="D1790" s="58"/>
      <c r="E1790" s="57"/>
      <c r="F1790" s="69"/>
      <c r="G1790" s="69"/>
      <c r="H1790" s="74" t="str">
        <f aca="false">IF(A1790="","",IFERROR(INDEX(السندات!$C$5:$C$504,MATCH(A1790,السندات!$A$5:$A$504,0)),""))</f>
        <v/>
      </c>
      <c r="I1790" s="75" t="str">
        <f aca="false">IF(A1790="","",IFERROR(INDEX(السندات!$D$5:$D$504,MATCH(A1790,السندات!$A$5:$A$504,0)),""))</f>
        <v/>
      </c>
      <c r="J1790" s="76" t="str">
        <f aca="false">IF(A1790="","",IF(ISNA(MATCH(A1790,السندات!$A$5:$A$504,0)),"رقم سند غير موجود ✘",IF(AND(F1790&lt;&gt;"",G1790&lt;&gt;""),"اكتب مدين أو دائن فقط ✘",IF(AND(N(F1790)=0,N(G1790)=0),"بدون مبلغ ⚠",IF(B1790&gt;12,"يتجاوز 12 بنداً في الطباعة ⚠","")))))</f>
        <v/>
      </c>
    </row>
    <row r="1791" customFormat="false" ht="15" hidden="false" customHeight="false" outlineLevel="0" collapsed="false">
      <c r="A1791" s="58"/>
      <c r="B1791" s="68" t="str">
        <f aca="false">IF(A1791="","",COUNTIF(A$5:A1791,A1791))</f>
        <v/>
      </c>
      <c r="C1791" s="68" t="str">
        <f aca="false">IF(A1791="","",A1791&amp;"-"&amp;B1791)</f>
        <v/>
      </c>
      <c r="D1791" s="58"/>
      <c r="E1791" s="57"/>
      <c r="F1791" s="69"/>
      <c r="G1791" s="69"/>
      <c r="H1791" s="70" t="str">
        <f aca="false">IF(A1791="","",IFERROR(INDEX(السندات!$C$5:$C$504,MATCH(A1791,السندات!$A$5:$A$504,0)),""))</f>
        <v/>
      </c>
      <c r="I1791" s="71" t="str">
        <f aca="false">IF(A1791="","",IFERROR(INDEX(السندات!$D$5:$D$504,MATCH(A1791,السندات!$A$5:$A$504,0)),""))</f>
        <v/>
      </c>
      <c r="J1791" s="72" t="str">
        <f aca="false">IF(A1791="","",IF(ISNA(MATCH(A1791,السندات!$A$5:$A$504,0)),"رقم سند غير موجود ✘",IF(AND(F1791&lt;&gt;"",G1791&lt;&gt;""),"اكتب مدين أو دائن فقط ✘",IF(AND(N(F1791)=0,N(G1791)=0),"بدون مبلغ ⚠",IF(B1791&gt;12,"يتجاوز 12 بنداً في الطباعة ⚠","")))))</f>
        <v/>
      </c>
    </row>
    <row r="1792" customFormat="false" ht="15" hidden="false" customHeight="false" outlineLevel="0" collapsed="false">
      <c r="A1792" s="58"/>
      <c r="B1792" s="73" t="str">
        <f aca="false">IF(A1792="","",COUNTIF(A$5:A1792,A1792))</f>
        <v/>
      </c>
      <c r="C1792" s="73" t="str">
        <f aca="false">IF(A1792="","",A1792&amp;"-"&amp;B1792)</f>
        <v/>
      </c>
      <c r="D1792" s="58"/>
      <c r="E1792" s="57"/>
      <c r="F1792" s="69"/>
      <c r="G1792" s="69"/>
      <c r="H1792" s="74" t="str">
        <f aca="false">IF(A1792="","",IFERROR(INDEX(السندات!$C$5:$C$504,MATCH(A1792,السندات!$A$5:$A$504,0)),""))</f>
        <v/>
      </c>
      <c r="I1792" s="75" t="str">
        <f aca="false">IF(A1792="","",IFERROR(INDEX(السندات!$D$5:$D$504,MATCH(A1792,السندات!$A$5:$A$504,0)),""))</f>
        <v/>
      </c>
      <c r="J1792" s="76" t="str">
        <f aca="false">IF(A1792="","",IF(ISNA(MATCH(A1792,السندات!$A$5:$A$504,0)),"رقم سند غير موجود ✘",IF(AND(F1792&lt;&gt;"",G1792&lt;&gt;""),"اكتب مدين أو دائن فقط ✘",IF(AND(N(F1792)=0,N(G1792)=0),"بدون مبلغ ⚠",IF(B1792&gt;12,"يتجاوز 12 بنداً في الطباعة ⚠","")))))</f>
        <v/>
      </c>
    </row>
    <row r="1793" customFormat="false" ht="15" hidden="false" customHeight="false" outlineLevel="0" collapsed="false">
      <c r="A1793" s="58"/>
      <c r="B1793" s="68" t="str">
        <f aca="false">IF(A1793="","",COUNTIF(A$5:A1793,A1793))</f>
        <v/>
      </c>
      <c r="C1793" s="68" t="str">
        <f aca="false">IF(A1793="","",A1793&amp;"-"&amp;B1793)</f>
        <v/>
      </c>
      <c r="D1793" s="58"/>
      <c r="E1793" s="57"/>
      <c r="F1793" s="69"/>
      <c r="G1793" s="69"/>
      <c r="H1793" s="70" t="str">
        <f aca="false">IF(A1793="","",IFERROR(INDEX(السندات!$C$5:$C$504,MATCH(A1793,السندات!$A$5:$A$504,0)),""))</f>
        <v/>
      </c>
      <c r="I1793" s="71" t="str">
        <f aca="false">IF(A1793="","",IFERROR(INDEX(السندات!$D$5:$D$504,MATCH(A1793,السندات!$A$5:$A$504,0)),""))</f>
        <v/>
      </c>
      <c r="J1793" s="72" t="str">
        <f aca="false">IF(A1793="","",IF(ISNA(MATCH(A1793,السندات!$A$5:$A$504,0)),"رقم سند غير موجود ✘",IF(AND(F1793&lt;&gt;"",G1793&lt;&gt;""),"اكتب مدين أو دائن فقط ✘",IF(AND(N(F1793)=0,N(G1793)=0),"بدون مبلغ ⚠",IF(B1793&gt;12,"يتجاوز 12 بنداً في الطباعة ⚠","")))))</f>
        <v/>
      </c>
    </row>
    <row r="1794" customFormat="false" ht="15" hidden="false" customHeight="false" outlineLevel="0" collapsed="false">
      <c r="A1794" s="58"/>
      <c r="B1794" s="73" t="str">
        <f aca="false">IF(A1794="","",COUNTIF(A$5:A1794,A1794))</f>
        <v/>
      </c>
      <c r="C1794" s="73" t="str">
        <f aca="false">IF(A1794="","",A1794&amp;"-"&amp;B1794)</f>
        <v/>
      </c>
      <c r="D1794" s="58"/>
      <c r="E1794" s="57"/>
      <c r="F1794" s="69"/>
      <c r="G1794" s="69"/>
      <c r="H1794" s="74" t="str">
        <f aca="false">IF(A1794="","",IFERROR(INDEX(السندات!$C$5:$C$504,MATCH(A1794,السندات!$A$5:$A$504,0)),""))</f>
        <v/>
      </c>
      <c r="I1794" s="75" t="str">
        <f aca="false">IF(A1794="","",IFERROR(INDEX(السندات!$D$5:$D$504,MATCH(A1794,السندات!$A$5:$A$504,0)),""))</f>
        <v/>
      </c>
      <c r="J1794" s="76" t="str">
        <f aca="false">IF(A1794="","",IF(ISNA(MATCH(A1794,السندات!$A$5:$A$504,0)),"رقم سند غير موجود ✘",IF(AND(F1794&lt;&gt;"",G1794&lt;&gt;""),"اكتب مدين أو دائن فقط ✘",IF(AND(N(F1794)=0,N(G1794)=0),"بدون مبلغ ⚠",IF(B1794&gt;12,"يتجاوز 12 بنداً في الطباعة ⚠","")))))</f>
        <v/>
      </c>
    </row>
    <row r="1795" customFormat="false" ht="15" hidden="false" customHeight="false" outlineLevel="0" collapsed="false">
      <c r="A1795" s="58"/>
      <c r="B1795" s="68" t="str">
        <f aca="false">IF(A1795="","",COUNTIF(A$5:A1795,A1795))</f>
        <v/>
      </c>
      <c r="C1795" s="68" t="str">
        <f aca="false">IF(A1795="","",A1795&amp;"-"&amp;B1795)</f>
        <v/>
      </c>
      <c r="D1795" s="58"/>
      <c r="E1795" s="57"/>
      <c r="F1795" s="69"/>
      <c r="G1795" s="69"/>
      <c r="H1795" s="70" t="str">
        <f aca="false">IF(A1795="","",IFERROR(INDEX(السندات!$C$5:$C$504,MATCH(A1795,السندات!$A$5:$A$504,0)),""))</f>
        <v/>
      </c>
      <c r="I1795" s="71" t="str">
        <f aca="false">IF(A1795="","",IFERROR(INDEX(السندات!$D$5:$D$504,MATCH(A1795,السندات!$A$5:$A$504,0)),""))</f>
        <v/>
      </c>
      <c r="J1795" s="72" t="str">
        <f aca="false">IF(A1795="","",IF(ISNA(MATCH(A1795,السندات!$A$5:$A$504,0)),"رقم سند غير موجود ✘",IF(AND(F1795&lt;&gt;"",G1795&lt;&gt;""),"اكتب مدين أو دائن فقط ✘",IF(AND(N(F1795)=0,N(G1795)=0),"بدون مبلغ ⚠",IF(B1795&gt;12,"يتجاوز 12 بنداً في الطباعة ⚠","")))))</f>
        <v/>
      </c>
    </row>
    <row r="1796" customFormat="false" ht="15" hidden="false" customHeight="false" outlineLevel="0" collapsed="false">
      <c r="A1796" s="58"/>
      <c r="B1796" s="73" t="str">
        <f aca="false">IF(A1796="","",COUNTIF(A$5:A1796,A1796))</f>
        <v/>
      </c>
      <c r="C1796" s="73" t="str">
        <f aca="false">IF(A1796="","",A1796&amp;"-"&amp;B1796)</f>
        <v/>
      </c>
      <c r="D1796" s="58"/>
      <c r="E1796" s="57"/>
      <c r="F1796" s="69"/>
      <c r="G1796" s="69"/>
      <c r="H1796" s="74" t="str">
        <f aca="false">IF(A1796="","",IFERROR(INDEX(السندات!$C$5:$C$504,MATCH(A1796,السندات!$A$5:$A$504,0)),""))</f>
        <v/>
      </c>
      <c r="I1796" s="75" t="str">
        <f aca="false">IF(A1796="","",IFERROR(INDEX(السندات!$D$5:$D$504,MATCH(A1796,السندات!$A$5:$A$504,0)),""))</f>
        <v/>
      </c>
      <c r="J1796" s="76" t="str">
        <f aca="false">IF(A1796="","",IF(ISNA(MATCH(A1796,السندات!$A$5:$A$504,0)),"رقم سند غير موجود ✘",IF(AND(F1796&lt;&gt;"",G1796&lt;&gt;""),"اكتب مدين أو دائن فقط ✘",IF(AND(N(F1796)=0,N(G1796)=0),"بدون مبلغ ⚠",IF(B1796&gt;12,"يتجاوز 12 بنداً في الطباعة ⚠","")))))</f>
        <v/>
      </c>
    </row>
    <row r="1797" customFormat="false" ht="15" hidden="false" customHeight="false" outlineLevel="0" collapsed="false">
      <c r="A1797" s="58"/>
      <c r="B1797" s="68" t="str">
        <f aca="false">IF(A1797="","",COUNTIF(A$5:A1797,A1797))</f>
        <v/>
      </c>
      <c r="C1797" s="68" t="str">
        <f aca="false">IF(A1797="","",A1797&amp;"-"&amp;B1797)</f>
        <v/>
      </c>
      <c r="D1797" s="58"/>
      <c r="E1797" s="57"/>
      <c r="F1797" s="69"/>
      <c r="G1797" s="69"/>
      <c r="H1797" s="70" t="str">
        <f aca="false">IF(A1797="","",IFERROR(INDEX(السندات!$C$5:$C$504,MATCH(A1797,السندات!$A$5:$A$504,0)),""))</f>
        <v/>
      </c>
      <c r="I1797" s="71" t="str">
        <f aca="false">IF(A1797="","",IFERROR(INDEX(السندات!$D$5:$D$504,MATCH(A1797,السندات!$A$5:$A$504,0)),""))</f>
        <v/>
      </c>
      <c r="J1797" s="72" t="str">
        <f aca="false">IF(A1797="","",IF(ISNA(MATCH(A1797,السندات!$A$5:$A$504,0)),"رقم سند غير موجود ✘",IF(AND(F1797&lt;&gt;"",G1797&lt;&gt;""),"اكتب مدين أو دائن فقط ✘",IF(AND(N(F1797)=0,N(G1797)=0),"بدون مبلغ ⚠",IF(B1797&gt;12,"يتجاوز 12 بنداً في الطباعة ⚠","")))))</f>
        <v/>
      </c>
    </row>
    <row r="1798" customFormat="false" ht="15" hidden="false" customHeight="false" outlineLevel="0" collapsed="false">
      <c r="A1798" s="58"/>
      <c r="B1798" s="73" t="str">
        <f aca="false">IF(A1798="","",COUNTIF(A$5:A1798,A1798))</f>
        <v/>
      </c>
      <c r="C1798" s="73" t="str">
        <f aca="false">IF(A1798="","",A1798&amp;"-"&amp;B1798)</f>
        <v/>
      </c>
      <c r="D1798" s="58"/>
      <c r="E1798" s="57"/>
      <c r="F1798" s="69"/>
      <c r="G1798" s="69"/>
      <c r="H1798" s="74" t="str">
        <f aca="false">IF(A1798="","",IFERROR(INDEX(السندات!$C$5:$C$504,MATCH(A1798,السندات!$A$5:$A$504,0)),""))</f>
        <v/>
      </c>
      <c r="I1798" s="75" t="str">
        <f aca="false">IF(A1798="","",IFERROR(INDEX(السندات!$D$5:$D$504,MATCH(A1798,السندات!$A$5:$A$504,0)),""))</f>
        <v/>
      </c>
      <c r="J1798" s="76" t="str">
        <f aca="false">IF(A1798="","",IF(ISNA(MATCH(A1798,السندات!$A$5:$A$504,0)),"رقم سند غير موجود ✘",IF(AND(F1798&lt;&gt;"",G1798&lt;&gt;""),"اكتب مدين أو دائن فقط ✘",IF(AND(N(F1798)=0,N(G1798)=0),"بدون مبلغ ⚠",IF(B1798&gt;12,"يتجاوز 12 بنداً في الطباعة ⚠","")))))</f>
        <v/>
      </c>
    </row>
    <row r="1799" customFormat="false" ht="15" hidden="false" customHeight="false" outlineLevel="0" collapsed="false">
      <c r="A1799" s="58"/>
      <c r="B1799" s="68" t="str">
        <f aca="false">IF(A1799="","",COUNTIF(A$5:A1799,A1799))</f>
        <v/>
      </c>
      <c r="C1799" s="68" t="str">
        <f aca="false">IF(A1799="","",A1799&amp;"-"&amp;B1799)</f>
        <v/>
      </c>
      <c r="D1799" s="58"/>
      <c r="E1799" s="57"/>
      <c r="F1799" s="69"/>
      <c r="G1799" s="69"/>
      <c r="H1799" s="70" t="str">
        <f aca="false">IF(A1799="","",IFERROR(INDEX(السندات!$C$5:$C$504,MATCH(A1799,السندات!$A$5:$A$504,0)),""))</f>
        <v/>
      </c>
      <c r="I1799" s="71" t="str">
        <f aca="false">IF(A1799="","",IFERROR(INDEX(السندات!$D$5:$D$504,MATCH(A1799,السندات!$A$5:$A$504,0)),""))</f>
        <v/>
      </c>
      <c r="J1799" s="72" t="str">
        <f aca="false">IF(A1799="","",IF(ISNA(MATCH(A1799,السندات!$A$5:$A$504,0)),"رقم سند غير موجود ✘",IF(AND(F1799&lt;&gt;"",G1799&lt;&gt;""),"اكتب مدين أو دائن فقط ✘",IF(AND(N(F1799)=0,N(G1799)=0),"بدون مبلغ ⚠",IF(B1799&gt;12,"يتجاوز 12 بنداً في الطباعة ⚠","")))))</f>
        <v/>
      </c>
    </row>
    <row r="1800" customFormat="false" ht="15" hidden="false" customHeight="false" outlineLevel="0" collapsed="false">
      <c r="A1800" s="58"/>
      <c r="B1800" s="73" t="str">
        <f aca="false">IF(A1800="","",COUNTIF(A$5:A1800,A1800))</f>
        <v/>
      </c>
      <c r="C1800" s="73" t="str">
        <f aca="false">IF(A1800="","",A1800&amp;"-"&amp;B1800)</f>
        <v/>
      </c>
      <c r="D1800" s="58"/>
      <c r="E1800" s="57"/>
      <c r="F1800" s="69"/>
      <c r="G1800" s="69"/>
      <c r="H1800" s="74" t="str">
        <f aca="false">IF(A1800="","",IFERROR(INDEX(السندات!$C$5:$C$504,MATCH(A1800,السندات!$A$5:$A$504,0)),""))</f>
        <v/>
      </c>
      <c r="I1800" s="75" t="str">
        <f aca="false">IF(A1800="","",IFERROR(INDEX(السندات!$D$5:$D$504,MATCH(A1800,السندات!$A$5:$A$504,0)),""))</f>
        <v/>
      </c>
      <c r="J1800" s="76" t="str">
        <f aca="false">IF(A1800="","",IF(ISNA(MATCH(A1800,السندات!$A$5:$A$504,0)),"رقم سند غير موجود ✘",IF(AND(F1800&lt;&gt;"",G1800&lt;&gt;""),"اكتب مدين أو دائن فقط ✘",IF(AND(N(F1800)=0,N(G1800)=0),"بدون مبلغ ⚠",IF(B1800&gt;12,"يتجاوز 12 بنداً في الطباعة ⚠","")))))</f>
        <v/>
      </c>
    </row>
    <row r="1801" customFormat="false" ht="15" hidden="false" customHeight="false" outlineLevel="0" collapsed="false">
      <c r="A1801" s="58"/>
      <c r="B1801" s="68" t="str">
        <f aca="false">IF(A1801="","",COUNTIF(A$5:A1801,A1801))</f>
        <v/>
      </c>
      <c r="C1801" s="68" t="str">
        <f aca="false">IF(A1801="","",A1801&amp;"-"&amp;B1801)</f>
        <v/>
      </c>
      <c r="D1801" s="58"/>
      <c r="E1801" s="57"/>
      <c r="F1801" s="69"/>
      <c r="G1801" s="69"/>
      <c r="H1801" s="70" t="str">
        <f aca="false">IF(A1801="","",IFERROR(INDEX(السندات!$C$5:$C$504,MATCH(A1801,السندات!$A$5:$A$504,0)),""))</f>
        <v/>
      </c>
      <c r="I1801" s="71" t="str">
        <f aca="false">IF(A1801="","",IFERROR(INDEX(السندات!$D$5:$D$504,MATCH(A1801,السندات!$A$5:$A$504,0)),""))</f>
        <v/>
      </c>
      <c r="J1801" s="72" t="str">
        <f aca="false">IF(A1801="","",IF(ISNA(MATCH(A1801,السندات!$A$5:$A$504,0)),"رقم سند غير موجود ✘",IF(AND(F1801&lt;&gt;"",G1801&lt;&gt;""),"اكتب مدين أو دائن فقط ✘",IF(AND(N(F1801)=0,N(G1801)=0),"بدون مبلغ ⚠",IF(B1801&gt;12,"يتجاوز 12 بنداً في الطباعة ⚠","")))))</f>
        <v/>
      </c>
    </row>
    <row r="1802" customFormat="false" ht="15" hidden="false" customHeight="false" outlineLevel="0" collapsed="false">
      <c r="A1802" s="58"/>
      <c r="B1802" s="73" t="str">
        <f aca="false">IF(A1802="","",COUNTIF(A$5:A1802,A1802))</f>
        <v/>
      </c>
      <c r="C1802" s="73" t="str">
        <f aca="false">IF(A1802="","",A1802&amp;"-"&amp;B1802)</f>
        <v/>
      </c>
      <c r="D1802" s="58"/>
      <c r="E1802" s="57"/>
      <c r="F1802" s="69"/>
      <c r="G1802" s="69"/>
      <c r="H1802" s="74" t="str">
        <f aca="false">IF(A1802="","",IFERROR(INDEX(السندات!$C$5:$C$504,MATCH(A1802,السندات!$A$5:$A$504,0)),""))</f>
        <v/>
      </c>
      <c r="I1802" s="75" t="str">
        <f aca="false">IF(A1802="","",IFERROR(INDEX(السندات!$D$5:$D$504,MATCH(A1802,السندات!$A$5:$A$504,0)),""))</f>
        <v/>
      </c>
      <c r="J1802" s="76" t="str">
        <f aca="false">IF(A1802="","",IF(ISNA(MATCH(A1802,السندات!$A$5:$A$504,0)),"رقم سند غير موجود ✘",IF(AND(F1802&lt;&gt;"",G1802&lt;&gt;""),"اكتب مدين أو دائن فقط ✘",IF(AND(N(F1802)=0,N(G1802)=0),"بدون مبلغ ⚠",IF(B1802&gt;12,"يتجاوز 12 بنداً في الطباعة ⚠","")))))</f>
        <v/>
      </c>
    </row>
    <row r="1803" customFormat="false" ht="15" hidden="false" customHeight="false" outlineLevel="0" collapsed="false">
      <c r="A1803" s="58"/>
      <c r="B1803" s="68" t="str">
        <f aca="false">IF(A1803="","",COUNTIF(A$5:A1803,A1803))</f>
        <v/>
      </c>
      <c r="C1803" s="68" t="str">
        <f aca="false">IF(A1803="","",A1803&amp;"-"&amp;B1803)</f>
        <v/>
      </c>
      <c r="D1803" s="58"/>
      <c r="E1803" s="57"/>
      <c r="F1803" s="69"/>
      <c r="G1803" s="69"/>
      <c r="H1803" s="70" t="str">
        <f aca="false">IF(A1803="","",IFERROR(INDEX(السندات!$C$5:$C$504,MATCH(A1803,السندات!$A$5:$A$504,0)),""))</f>
        <v/>
      </c>
      <c r="I1803" s="71" t="str">
        <f aca="false">IF(A1803="","",IFERROR(INDEX(السندات!$D$5:$D$504,MATCH(A1803,السندات!$A$5:$A$504,0)),""))</f>
        <v/>
      </c>
      <c r="J1803" s="72" t="str">
        <f aca="false">IF(A1803="","",IF(ISNA(MATCH(A1803,السندات!$A$5:$A$504,0)),"رقم سند غير موجود ✘",IF(AND(F1803&lt;&gt;"",G1803&lt;&gt;""),"اكتب مدين أو دائن فقط ✘",IF(AND(N(F1803)=0,N(G1803)=0),"بدون مبلغ ⚠",IF(B1803&gt;12,"يتجاوز 12 بنداً في الطباعة ⚠","")))))</f>
        <v/>
      </c>
    </row>
    <row r="1804" customFormat="false" ht="15" hidden="false" customHeight="false" outlineLevel="0" collapsed="false">
      <c r="A1804" s="58"/>
      <c r="B1804" s="73" t="str">
        <f aca="false">IF(A1804="","",COUNTIF(A$5:A1804,A1804))</f>
        <v/>
      </c>
      <c r="C1804" s="73" t="str">
        <f aca="false">IF(A1804="","",A1804&amp;"-"&amp;B1804)</f>
        <v/>
      </c>
      <c r="D1804" s="58"/>
      <c r="E1804" s="57"/>
      <c r="F1804" s="69"/>
      <c r="G1804" s="69"/>
      <c r="H1804" s="74" t="str">
        <f aca="false">IF(A1804="","",IFERROR(INDEX(السندات!$C$5:$C$504,MATCH(A1804,السندات!$A$5:$A$504,0)),""))</f>
        <v/>
      </c>
      <c r="I1804" s="75" t="str">
        <f aca="false">IF(A1804="","",IFERROR(INDEX(السندات!$D$5:$D$504,MATCH(A1804,السندات!$A$5:$A$504,0)),""))</f>
        <v/>
      </c>
      <c r="J1804" s="76" t="str">
        <f aca="false">IF(A1804="","",IF(ISNA(MATCH(A1804,السندات!$A$5:$A$504,0)),"رقم سند غير موجود ✘",IF(AND(F1804&lt;&gt;"",G1804&lt;&gt;""),"اكتب مدين أو دائن فقط ✘",IF(AND(N(F1804)=0,N(G1804)=0),"بدون مبلغ ⚠",IF(B1804&gt;12,"يتجاوز 12 بنداً في الطباعة ⚠","")))))</f>
        <v/>
      </c>
    </row>
    <row r="1805" customFormat="false" ht="15" hidden="false" customHeight="false" outlineLevel="0" collapsed="false">
      <c r="A1805" s="58"/>
      <c r="B1805" s="68" t="str">
        <f aca="false">IF(A1805="","",COUNTIF(A$5:A1805,A1805))</f>
        <v/>
      </c>
      <c r="C1805" s="68" t="str">
        <f aca="false">IF(A1805="","",A1805&amp;"-"&amp;B1805)</f>
        <v/>
      </c>
      <c r="D1805" s="58"/>
      <c r="E1805" s="57"/>
      <c r="F1805" s="69"/>
      <c r="G1805" s="69"/>
      <c r="H1805" s="70" t="str">
        <f aca="false">IF(A1805="","",IFERROR(INDEX(السندات!$C$5:$C$504,MATCH(A1805,السندات!$A$5:$A$504,0)),""))</f>
        <v/>
      </c>
      <c r="I1805" s="71" t="str">
        <f aca="false">IF(A1805="","",IFERROR(INDEX(السندات!$D$5:$D$504,MATCH(A1805,السندات!$A$5:$A$504,0)),""))</f>
        <v/>
      </c>
      <c r="J1805" s="72" t="str">
        <f aca="false">IF(A1805="","",IF(ISNA(MATCH(A1805,السندات!$A$5:$A$504,0)),"رقم سند غير موجود ✘",IF(AND(F1805&lt;&gt;"",G1805&lt;&gt;""),"اكتب مدين أو دائن فقط ✘",IF(AND(N(F1805)=0,N(G1805)=0),"بدون مبلغ ⚠",IF(B1805&gt;12,"يتجاوز 12 بنداً في الطباعة ⚠","")))))</f>
        <v/>
      </c>
    </row>
    <row r="1806" customFormat="false" ht="15" hidden="false" customHeight="false" outlineLevel="0" collapsed="false">
      <c r="A1806" s="58"/>
      <c r="B1806" s="73" t="str">
        <f aca="false">IF(A1806="","",COUNTIF(A$5:A1806,A1806))</f>
        <v/>
      </c>
      <c r="C1806" s="73" t="str">
        <f aca="false">IF(A1806="","",A1806&amp;"-"&amp;B1806)</f>
        <v/>
      </c>
      <c r="D1806" s="58"/>
      <c r="E1806" s="57"/>
      <c r="F1806" s="69"/>
      <c r="G1806" s="69"/>
      <c r="H1806" s="74" t="str">
        <f aca="false">IF(A1806="","",IFERROR(INDEX(السندات!$C$5:$C$504,MATCH(A1806,السندات!$A$5:$A$504,0)),""))</f>
        <v/>
      </c>
      <c r="I1806" s="75" t="str">
        <f aca="false">IF(A1806="","",IFERROR(INDEX(السندات!$D$5:$D$504,MATCH(A1806,السندات!$A$5:$A$504,0)),""))</f>
        <v/>
      </c>
      <c r="J1806" s="76" t="str">
        <f aca="false">IF(A1806="","",IF(ISNA(MATCH(A1806,السندات!$A$5:$A$504,0)),"رقم سند غير موجود ✘",IF(AND(F1806&lt;&gt;"",G1806&lt;&gt;""),"اكتب مدين أو دائن فقط ✘",IF(AND(N(F1806)=0,N(G1806)=0),"بدون مبلغ ⚠",IF(B1806&gt;12,"يتجاوز 12 بنداً في الطباعة ⚠","")))))</f>
        <v/>
      </c>
    </row>
    <row r="1807" customFormat="false" ht="15" hidden="false" customHeight="false" outlineLevel="0" collapsed="false">
      <c r="A1807" s="58"/>
      <c r="B1807" s="68" t="str">
        <f aca="false">IF(A1807="","",COUNTIF(A$5:A1807,A1807))</f>
        <v/>
      </c>
      <c r="C1807" s="68" t="str">
        <f aca="false">IF(A1807="","",A1807&amp;"-"&amp;B1807)</f>
        <v/>
      </c>
      <c r="D1807" s="58"/>
      <c r="E1807" s="57"/>
      <c r="F1807" s="69"/>
      <c r="G1807" s="69"/>
      <c r="H1807" s="70" t="str">
        <f aca="false">IF(A1807="","",IFERROR(INDEX(السندات!$C$5:$C$504,MATCH(A1807,السندات!$A$5:$A$504,0)),""))</f>
        <v/>
      </c>
      <c r="I1807" s="71" t="str">
        <f aca="false">IF(A1807="","",IFERROR(INDEX(السندات!$D$5:$D$504,MATCH(A1807,السندات!$A$5:$A$504,0)),""))</f>
        <v/>
      </c>
      <c r="J1807" s="72" t="str">
        <f aca="false">IF(A1807="","",IF(ISNA(MATCH(A1807,السندات!$A$5:$A$504,0)),"رقم سند غير موجود ✘",IF(AND(F1807&lt;&gt;"",G1807&lt;&gt;""),"اكتب مدين أو دائن فقط ✘",IF(AND(N(F1807)=0,N(G1807)=0),"بدون مبلغ ⚠",IF(B1807&gt;12,"يتجاوز 12 بنداً في الطباعة ⚠","")))))</f>
        <v/>
      </c>
    </row>
    <row r="1808" customFormat="false" ht="15" hidden="false" customHeight="false" outlineLevel="0" collapsed="false">
      <c r="A1808" s="58"/>
      <c r="B1808" s="73" t="str">
        <f aca="false">IF(A1808="","",COUNTIF(A$5:A1808,A1808))</f>
        <v/>
      </c>
      <c r="C1808" s="73" t="str">
        <f aca="false">IF(A1808="","",A1808&amp;"-"&amp;B1808)</f>
        <v/>
      </c>
      <c r="D1808" s="58"/>
      <c r="E1808" s="57"/>
      <c r="F1808" s="69"/>
      <c r="G1808" s="69"/>
      <c r="H1808" s="74" t="str">
        <f aca="false">IF(A1808="","",IFERROR(INDEX(السندات!$C$5:$C$504,MATCH(A1808,السندات!$A$5:$A$504,0)),""))</f>
        <v/>
      </c>
      <c r="I1808" s="75" t="str">
        <f aca="false">IF(A1808="","",IFERROR(INDEX(السندات!$D$5:$D$504,MATCH(A1808,السندات!$A$5:$A$504,0)),""))</f>
        <v/>
      </c>
      <c r="J1808" s="76" t="str">
        <f aca="false">IF(A1808="","",IF(ISNA(MATCH(A1808,السندات!$A$5:$A$504,0)),"رقم سند غير موجود ✘",IF(AND(F1808&lt;&gt;"",G1808&lt;&gt;""),"اكتب مدين أو دائن فقط ✘",IF(AND(N(F1808)=0,N(G1808)=0),"بدون مبلغ ⚠",IF(B1808&gt;12,"يتجاوز 12 بنداً في الطباعة ⚠","")))))</f>
        <v/>
      </c>
    </row>
    <row r="1809" customFormat="false" ht="15" hidden="false" customHeight="false" outlineLevel="0" collapsed="false">
      <c r="A1809" s="58"/>
      <c r="B1809" s="68" t="str">
        <f aca="false">IF(A1809="","",COUNTIF(A$5:A1809,A1809))</f>
        <v/>
      </c>
      <c r="C1809" s="68" t="str">
        <f aca="false">IF(A1809="","",A1809&amp;"-"&amp;B1809)</f>
        <v/>
      </c>
      <c r="D1809" s="58"/>
      <c r="E1809" s="57"/>
      <c r="F1809" s="69"/>
      <c r="G1809" s="69"/>
      <c r="H1809" s="70" t="str">
        <f aca="false">IF(A1809="","",IFERROR(INDEX(السندات!$C$5:$C$504,MATCH(A1809,السندات!$A$5:$A$504,0)),""))</f>
        <v/>
      </c>
      <c r="I1809" s="71" t="str">
        <f aca="false">IF(A1809="","",IFERROR(INDEX(السندات!$D$5:$D$504,MATCH(A1809,السندات!$A$5:$A$504,0)),""))</f>
        <v/>
      </c>
      <c r="J1809" s="72" t="str">
        <f aca="false">IF(A1809="","",IF(ISNA(MATCH(A1809,السندات!$A$5:$A$504,0)),"رقم سند غير موجود ✘",IF(AND(F1809&lt;&gt;"",G1809&lt;&gt;""),"اكتب مدين أو دائن فقط ✘",IF(AND(N(F1809)=0,N(G1809)=0),"بدون مبلغ ⚠",IF(B1809&gt;12,"يتجاوز 12 بنداً في الطباعة ⚠","")))))</f>
        <v/>
      </c>
    </row>
    <row r="1810" customFormat="false" ht="15" hidden="false" customHeight="false" outlineLevel="0" collapsed="false">
      <c r="A1810" s="58"/>
      <c r="B1810" s="73" t="str">
        <f aca="false">IF(A1810="","",COUNTIF(A$5:A1810,A1810))</f>
        <v/>
      </c>
      <c r="C1810" s="73" t="str">
        <f aca="false">IF(A1810="","",A1810&amp;"-"&amp;B1810)</f>
        <v/>
      </c>
      <c r="D1810" s="58"/>
      <c r="E1810" s="57"/>
      <c r="F1810" s="69"/>
      <c r="G1810" s="69"/>
      <c r="H1810" s="74" t="str">
        <f aca="false">IF(A1810="","",IFERROR(INDEX(السندات!$C$5:$C$504,MATCH(A1810,السندات!$A$5:$A$504,0)),""))</f>
        <v/>
      </c>
      <c r="I1810" s="75" t="str">
        <f aca="false">IF(A1810="","",IFERROR(INDEX(السندات!$D$5:$D$504,MATCH(A1810,السندات!$A$5:$A$504,0)),""))</f>
        <v/>
      </c>
      <c r="J1810" s="76" t="str">
        <f aca="false">IF(A1810="","",IF(ISNA(MATCH(A1810,السندات!$A$5:$A$504,0)),"رقم سند غير موجود ✘",IF(AND(F1810&lt;&gt;"",G1810&lt;&gt;""),"اكتب مدين أو دائن فقط ✘",IF(AND(N(F1810)=0,N(G1810)=0),"بدون مبلغ ⚠",IF(B1810&gt;12,"يتجاوز 12 بنداً في الطباعة ⚠","")))))</f>
        <v/>
      </c>
    </row>
    <row r="1811" customFormat="false" ht="15" hidden="false" customHeight="false" outlineLevel="0" collapsed="false">
      <c r="A1811" s="58"/>
      <c r="B1811" s="68" t="str">
        <f aca="false">IF(A1811="","",COUNTIF(A$5:A1811,A1811))</f>
        <v/>
      </c>
      <c r="C1811" s="68" t="str">
        <f aca="false">IF(A1811="","",A1811&amp;"-"&amp;B1811)</f>
        <v/>
      </c>
      <c r="D1811" s="58"/>
      <c r="E1811" s="57"/>
      <c r="F1811" s="69"/>
      <c r="G1811" s="69"/>
      <c r="H1811" s="70" t="str">
        <f aca="false">IF(A1811="","",IFERROR(INDEX(السندات!$C$5:$C$504,MATCH(A1811,السندات!$A$5:$A$504,0)),""))</f>
        <v/>
      </c>
      <c r="I1811" s="71" t="str">
        <f aca="false">IF(A1811="","",IFERROR(INDEX(السندات!$D$5:$D$504,MATCH(A1811,السندات!$A$5:$A$504,0)),""))</f>
        <v/>
      </c>
      <c r="J1811" s="72" t="str">
        <f aca="false">IF(A1811="","",IF(ISNA(MATCH(A1811,السندات!$A$5:$A$504,0)),"رقم سند غير موجود ✘",IF(AND(F1811&lt;&gt;"",G1811&lt;&gt;""),"اكتب مدين أو دائن فقط ✘",IF(AND(N(F1811)=0,N(G1811)=0),"بدون مبلغ ⚠",IF(B1811&gt;12,"يتجاوز 12 بنداً في الطباعة ⚠","")))))</f>
        <v/>
      </c>
    </row>
    <row r="1812" customFormat="false" ht="15" hidden="false" customHeight="false" outlineLevel="0" collapsed="false">
      <c r="A1812" s="58"/>
      <c r="B1812" s="73" t="str">
        <f aca="false">IF(A1812="","",COUNTIF(A$5:A1812,A1812))</f>
        <v/>
      </c>
      <c r="C1812" s="73" t="str">
        <f aca="false">IF(A1812="","",A1812&amp;"-"&amp;B1812)</f>
        <v/>
      </c>
      <c r="D1812" s="58"/>
      <c r="E1812" s="57"/>
      <c r="F1812" s="69"/>
      <c r="G1812" s="69"/>
      <c r="H1812" s="74" t="str">
        <f aca="false">IF(A1812="","",IFERROR(INDEX(السندات!$C$5:$C$504,MATCH(A1812,السندات!$A$5:$A$504,0)),""))</f>
        <v/>
      </c>
      <c r="I1812" s="75" t="str">
        <f aca="false">IF(A1812="","",IFERROR(INDEX(السندات!$D$5:$D$504,MATCH(A1812,السندات!$A$5:$A$504,0)),""))</f>
        <v/>
      </c>
      <c r="J1812" s="76" t="str">
        <f aca="false">IF(A1812="","",IF(ISNA(MATCH(A1812,السندات!$A$5:$A$504,0)),"رقم سند غير موجود ✘",IF(AND(F1812&lt;&gt;"",G1812&lt;&gt;""),"اكتب مدين أو دائن فقط ✘",IF(AND(N(F1812)=0,N(G1812)=0),"بدون مبلغ ⚠",IF(B1812&gt;12,"يتجاوز 12 بنداً في الطباعة ⚠","")))))</f>
        <v/>
      </c>
    </row>
    <row r="1813" customFormat="false" ht="15" hidden="false" customHeight="false" outlineLevel="0" collapsed="false">
      <c r="A1813" s="58"/>
      <c r="B1813" s="68" t="str">
        <f aca="false">IF(A1813="","",COUNTIF(A$5:A1813,A1813))</f>
        <v/>
      </c>
      <c r="C1813" s="68" t="str">
        <f aca="false">IF(A1813="","",A1813&amp;"-"&amp;B1813)</f>
        <v/>
      </c>
      <c r="D1813" s="58"/>
      <c r="E1813" s="57"/>
      <c r="F1813" s="69"/>
      <c r="G1813" s="69"/>
      <c r="H1813" s="70" t="str">
        <f aca="false">IF(A1813="","",IFERROR(INDEX(السندات!$C$5:$C$504,MATCH(A1813,السندات!$A$5:$A$504,0)),""))</f>
        <v/>
      </c>
      <c r="I1813" s="71" t="str">
        <f aca="false">IF(A1813="","",IFERROR(INDEX(السندات!$D$5:$D$504,MATCH(A1813,السندات!$A$5:$A$504,0)),""))</f>
        <v/>
      </c>
      <c r="J1813" s="72" t="str">
        <f aca="false">IF(A1813="","",IF(ISNA(MATCH(A1813,السندات!$A$5:$A$504,0)),"رقم سند غير موجود ✘",IF(AND(F1813&lt;&gt;"",G1813&lt;&gt;""),"اكتب مدين أو دائن فقط ✘",IF(AND(N(F1813)=0,N(G1813)=0),"بدون مبلغ ⚠",IF(B1813&gt;12,"يتجاوز 12 بنداً في الطباعة ⚠","")))))</f>
        <v/>
      </c>
    </row>
    <row r="1814" customFormat="false" ht="15" hidden="false" customHeight="false" outlineLevel="0" collapsed="false">
      <c r="A1814" s="58"/>
      <c r="B1814" s="73" t="str">
        <f aca="false">IF(A1814="","",COUNTIF(A$5:A1814,A1814))</f>
        <v/>
      </c>
      <c r="C1814" s="73" t="str">
        <f aca="false">IF(A1814="","",A1814&amp;"-"&amp;B1814)</f>
        <v/>
      </c>
      <c r="D1814" s="58"/>
      <c r="E1814" s="57"/>
      <c r="F1814" s="69"/>
      <c r="G1814" s="69"/>
      <c r="H1814" s="74" t="str">
        <f aca="false">IF(A1814="","",IFERROR(INDEX(السندات!$C$5:$C$504,MATCH(A1814,السندات!$A$5:$A$504,0)),""))</f>
        <v/>
      </c>
      <c r="I1814" s="75" t="str">
        <f aca="false">IF(A1814="","",IFERROR(INDEX(السندات!$D$5:$D$504,MATCH(A1814,السندات!$A$5:$A$504,0)),""))</f>
        <v/>
      </c>
      <c r="J1814" s="76" t="str">
        <f aca="false">IF(A1814="","",IF(ISNA(MATCH(A1814,السندات!$A$5:$A$504,0)),"رقم سند غير موجود ✘",IF(AND(F1814&lt;&gt;"",G1814&lt;&gt;""),"اكتب مدين أو دائن فقط ✘",IF(AND(N(F1814)=0,N(G1814)=0),"بدون مبلغ ⚠",IF(B1814&gt;12,"يتجاوز 12 بنداً في الطباعة ⚠","")))))</f>
        <v/>
      </c>
    </row>
    <row r="1815" customFormat="false" ht="15" hidden="false" customHeight="false" outlineLevel="0" collapsed="false">
      <c r="A1815" s="58"/>
      <c r="B1815" s="68" t="str">
        <f aca="false">IF(A1815="","",COUNTIF(A$5:A1815,A1815))</f>
        <v/>
      </c>
      <c r="C1815" s="68" t="str">
        <f aca="false">IF(A1815="","",A1815&amp;"-"&amp;B1815)</f>
        <v/>
      </c>
      <c r="D1815" s="58"/>
      <c r="E1815" s="57"/>
      <c r="F1815" s="69"/>
      <c r="G1815" s="69"/>
      <c r="H1815" s="70" t="str">
        <f aca="false">IF(A1815="","",IFERROR(INDEX(السندات!$C$5:$C$504,MATCH(A1815,السندات!$A$5:$A$504,0)),""))</f>
        <v/>
      </c>
      <c r="I1815" s="71" t="str">
        <f aca="false">IF(A1815="","",IFERROR(INDEX(السندات!$D$5:$D$504,MATCH(A1815,السندات!$A$5:$A$504,0)),""))</f>
        <v/>
      </c>
      <c r="J1815" s="72" t="str">
        <f aca="false">IF(A1815="","",IF(ISNA(MATCH(A1815,السندات!$A$5:$A$504,0)),"رقم سند غير موجود ✘",IF(AND(F1815&lt;&gt;"",G1815&lt;&gt;""),"اكتب مدين أو دائن فقط ✘",IF(AND(N(F1815)=0,N(G1815)=0),"بدون مبلغ ⚠",IF(B1815&gt;12,"يتجاوز 12 بنداً في الطباعة ⚠","")))))</f>
        <v/>
      </c>
    </row>
    <row r="1816" customFormat="false" ht="15" hidden="false" customHeight="false" outlineLevel="0" collapsed="false">
      <c r="A1816" s="58"/>
      <c r="B1816" s="73" t="str">
        <f aca="false">IF(A1816="","",COUNTIF(A$5:A1816,A1816))</f>
        <v/>
      </c>
      <c r="C1816" s="73" t="str">
        <f aca="false">IF(A1816="","",A1816&amp;"-"&amp;B1816)</f>
        <v/>
      </c>
      <c r="D1816" s="58"/>
      <c r="E1816" s="57"/>
      <c r="F1816" s="69"/>
      <c r="G1816" s="69"/>
      <c r="H1816" s="74" t="str">
        <f aca="false">IF(A1816="","",IFERROR(INDEX(السندات!$C$5:$C$504,MATCH(A1816,السندات!$A$5:$A$504,0)),""))</f>
        <v/>
      </c>
      <c r="I1816" s="75" t="str">
        <f aca="false">IF(A1816="","",IFERROR(INDEX(السندات!$D$5:$D$504,MATCH(A1816,السندات!$A$5:$A$504,0)),""))</f>
        <v/>
      </c>
      <c r="J1816" s="76" t="str">
        <f aca="false">IF(A1816="","",IF(ISNA(MATCH(A1816,السندات!$A$5:$A$504,0)),"رقم سند غير موجود ✘",IF(AND(F1816&lt;&gt;"",G1816&lt;&gt;""),"اكتب مدين أو دائن فقط ✘",IF(AND(N(F1816)=0,N(G1816)=0),"بدون مبلغ ⚠",IF(B1816&gt;12,"يتجاوز 12 بنداً في الطباعة ⚠","")))))</f>
        <v/>
      </c>
    </row>
    <row r="1817" customFormat="false" ht="15" hidden="false" customHeight="false" outlineLevel="0" collapsed="false">
      <c r="A1817" s="58"/>
      <c r="B1817" s="68" t="str">
        <f aca="false">IF(A1817="","",COUNTIF(A$5:A1817,A1817))</f>
        <v/>
      </c>
      <c r="C1817" s="68" t="str">
        <f aca="false">IF(A1817="","",A1817&amp;"-"&amp;B1817)</f>
        <v/>
      </c>
      <c r="D1817" s="58"/>
      <c r="E1817" s="57"/>
      <c r="F1817" s="69"/>
      <c r="G1817" s="69"/>
      <c r="H1817" s="70" t="str">
        <f aca="false">IF(A1817="","",IFERROR(INDEX(السندات!$C$5:$C$504,MATCH(A1817,السندات!$A$5:$A$504,0)),""))</f>
        <v/>
      </c>
      <c r="I1817" s="71" t="str">
        <f aca="false">IF(A1817="","",IFERROR(INDEX(السندات!$D$5:$D$504,MATCH(A1817,السندات!$A$5:$A$504,0)),""))</f>
        <v/>
      </c>
      <c r="J1817" s="72" t="str">
        <f aca="false">IF(A1817="","",IF(ISNA(MATCH(A1817,السندات!$A$5:$A$504,0)),"رقم سند غير موجود ✘",IF(AND(F1817&lt;&gt;"",G1817&lt;&gt;""),"اكتب مدين أو دائن فقط ✘",IF(AND(N(F1817)=0,N(G1817)=0),"بدون مبلغ ⚠",IF(B1817&gt;12,"يتجاوز 12 بنداً في الطباعة ⚠","")))))</f>
        <v/>
      </c>
    </row>
    <row r="1818" customFormat="false" ht="15" hidden="false" customHeight="false" outlineLevel="0" collapsed="false">
      <c r="A1818" s="58"/>
      <c r="B1818" s="73" t="str">
        <f aca="false">IF(A1818="","",COUNTIF(A$5:A1818,A1818))</f>
        <v/>
      </c>
      <c r="C1818" s="73" t="str">
        <f aca="false">IF(A1818="","",A1818&amp;"-"&amp;B1818)</f>
        <v/>
      </c>
      <c r="D1818" s="58"/>
      <c r="E1818" s="57"/>
      <c r="F1818" s="69"/>
      <c r="G1818" s="69"/>
      <c r="H1818" s="74" t="str">
        <f aca="false">IF(A1818="","",IFERROR(INDEX(السندات!$C$5:$C$504,MATCH(A1818,السندات!$A$5:$A$504,0)),""))</f>
        <v/>
      </c>
      <c r="I1818" s="75" t="str">
        <f aca="false">IF(A1818="","",IFERROR(INDEX(السندات!$D$5:$D$504,MATCH(A1818,السندات!$A$5:$A$504,0)),""))</f>
        <v/>
      </c>
      <c r="J1818" s="76" t="str">
        <f aca="false">IF(A1818="","",IF(ISNA(MATCH(A1818,السندات!$A$5:$A$504,0)),"رقم سند غير موجود ✘",IF(AND(F1818&lt;&gt;"",G1818&lt;&gt;""),"اكتب مدين أو دائن فقط ✘",IF(AND(N(F1818)=0,N(G1818)=0),"بدون مبلغ ⚠",IF(B1818&gt;12,"يتجاوز 12 بنداً في الطباعة ⚠","")))))</f>
        <v/>
      </c>
    </row>
    <row r="1819" customFormat="false" ht="15" hidden="false" customHeight="false" outlineLevel="0" collapsed="false">
      <c r="A1819" s="58"/>
      <c r="B1819" s="68" t="str">
        <f aca="false">IF(A1819="","",COUNTIF(A$5:A1819,A1819))</f>
        <v/>
      </c>
      <c r="C1819" s="68" t="str">
        <f aca="false">IF(A1819="","",A1819&amp;"-"&amp;B1819)</f>
        <v/>
      </c>
      <c r="D1819" s="58"/>
      <c r="E1819" s="57"/>
      <c r="F1819" s="69"/>
      <c r="G1819" s="69"/>
      <c r="H1819" s="70" t="str">
        <f aca="false">IF(A1819="","",IFERROR(INDEX(السندات!$C$5:$C$504,MATCH(A1819,السندات!$A$5:$A$504,0)),""))</f>
        <v/>
      </c>
      <c r="I1819" s="71" t="str">
        <f aca="false">IF(A1819="","",IFERROR(INDEX(السندات!$D$5:$D$504,MATCH(A1819,السندات!$A$5:$A$504,0)),""))</f>
        <v/>
      </c>
      <c r="J1819" s="72" t="str">
        <f aca="false">IF(A1819="","",IF(ISNA(MATCH(A1819,السندات!$A$5:$A$504,0)),"رقم سند غير موجود ✘",IF(AND(F1819&lt;&gt;"",G1819&lt;&gt;""),"اكتب مدين أو دائن فقط ✘",IF(AND(N(F1819)=0,N(G1819)=0),"بدون مبلغ ⚠",IF(B1819&gt;12,"يتجاوز 12 بنداً في الطباعة ⚠","")))))</f>
        <v/>
      </c>
    </row>
    <row r="1820" customFormat="false" ht="15" hidden="false" customHeight="false" outlineLevel="0" collapsed="false">
      <c r="A1820" s="58"/>
      <c r="B1820" s="73" t="str">
        <f aca="false">IF(A1820="","",COUNTIF(A$5:A1820,A1820))</f>
        <v/>
      </c>
      <c r="C1820" s="73" t="str">
        <f aca="false">IF(A1820="","",A1820&amp;"-"&amp;B1820)</f>
        <v/>
      </c>
      <c r="D1820" s="58"/>
      <c r="E1820" s="57"/>
      <c r="F1820" s="69"/>
      <c r="G1820" s="69"/>
      <c r="H1820" s="74" t="str">
        <f aca="false">IF(A1820="","",IFERROR(INDEX(السندات!$C$5:$C$504,MATCH(A1820,السندات!$A$5:$A$504,0)),""))</f>
        <v/>
      </c>
      <c r="I1820" s="75" t="str">
        <f aca="false">IF(A1820="","",IFERROR(INDEX(السندات!$D$5:$D$504,MATCH(A1820,السندات!$A$5:$A$504,0)),""))</f>
        <v/>
      </c>
      <c r="J1820" s="76" t="str">
        <f aca="false">IF(A1820="","",IF(ISNA(MATCH(A1820,السندات!$A$5:$A$504,0)),"رقم سند غير موجود ✘",IF(AND(F1820&lt;&gt;"",G1820&lt;&gt;""),"اكتب مدين أو دائن فقط ✘",IF(AND(N(F1820)=0,N(G1820)=0),"بدون مبلغ ⚠",IF(B1820&gt;12,"يتجاوز 12 بنداً في الطباعة ⚠","")))))</f>
        <v/>
      </c>
    </row>
    <row r="1821" customFormat="false" ht="15" hidden="false" customHeight="false" outlineLevel="0" collapsed="false">
      <c r="A1821" s="58"/>
      <c r="B1821" s="68" t="str">
        <f aca="false">IF(A1821="","",COUNTIF(A$5:A1821,A1821))</f>
        <v/>
      </c>
      <c r="C1821" s="68" t="str">
        <f aca="false">IF(A1821="","",A1821&amp;"-"&amp;B1821)</f>
        <v/>
      </c>
      <c r="D1821" s="58"/>
      <c r="E1821" s="57"/>
      <c r="F1821" s="69"/>
      <c r="G1821" s="69"/>
      <c r="H1821" s="70" t="str">
        <f aca="false">IF(A1821="","",IFERROR(INDEX(السندات!$C$5:$C$504,MATCH(A1821,السندات!$A$5:$A$504,0)),""))</f>
        <v/>
      </c>
      <c r="I1821" s="71" t="str">
        <f aca="false">IF(A1821="","",IFERROR(INDEX(السندات!$D$5:$D$504,MATCH(A1821,السندات!$A$5:$A$504,0)),""))</f>
        <v/>
      </c>
      <c r="J1821" s="72" t="str">
        <f aca="false">IF(A1821="","",IF(ISNA(MATCH(A1821,السندات!$A$5:$A$504,0)),"رقم سند غير موجود ✘",IF(AND(F1821&lt;&gt;"",G1821&lt;&gt;""),"اكتب مدين أو دائن فقط ✘",IF(AND(N(F1821)=0,N(G1821)=0),"بدون مبلغ ⚠",IF(B1821&gt;12,"يتجاوز 12 بنداً في الطباعة ⚠","")))))</f>
        <v/>
      </c>
    </row>
    <row r="1822" customFormat="false" ht="15" hidden="false" customHeight="false" outlineLevel="0" collapsed="false">
      <c r="A1822" s="58"/>
      <c r="B1822" s="73" t="str">
        <f aca="false">IF(A1822="","",COUNTIF(A$5:A1822,A1822))</f>
        <v/>
      </c>
      <c r="C1822" s="73" t="str">
        <f aca="false">IF(A1822="","",A1822&amp;"-"&amp;B1822)</f>
        <v/>
      </c>
      <c r="D1822" s="58"/>
      <c r="E1822" s="57"/>
      <c r="F1822" s="69"/>
      <c r="G1822" s="69"/>
      <c r="H1822" s="74" t="str">
        <f aca="false">IF(A1822="","",IFERROR(INDEX(السندات!$C$5:$C$504,MATCH(A1822,السندات!$A$5:$A$504,0)),""))</f>
        <v/>
      </c>
      <c r="I1822" s="75" t="str">
        <f aca="false">IF(A1822="","",IFERROR(INDEX(السندات!$D$5:$D$504,MATCH(A1822,السندات!$A$5:$A$504,0)),""))</f>
        <v/>
      </c>
      <c r="J1822" s="76" t="str">
        <f aca="false">IF(A1822="","",IF(ISNA(MATCH(A1822,السندات!$A$5:$A$504,0)),"رقم سند غير موجود ✘",IF(AND(F1822&lt;&gt;"",G1822&lt;&gt;""),"اكتب مدين أو دائن فقط ✘",IF(AND(N(F1822)=0,N(G1822)=0),"بدون مبلغ ⚠",IF(B1822&gt;12,"يتجاوز 12 بنداً في الطباعة ⚠","")))))</f>
        <v/>
      </c>
    </row>
    <row r="1823" customFormat="false" ht="15" hidden="false" customHeight="false" outlineLevel="0" collapsed="false">
      <c r="A1823" s="58"/>
      <c r="B1823" s="68" t="str">
        <f aca="false">IF(A1823="","",COUNTIF(A$5:A1823,A1823))</f>
        <v/>
      </c>
      <c r="C1823" s="68" t="str">
        <f aca="false">IF(A1823="","",A1823&amp;"-"&amp;B1823)</f>
        <v/>
      </c>
      <c r="D1823" s="58"/>
      <c r="E1823" s="57"/>
      <c r="F1823" s="69"/>
      <c r="G1823" s="69"/>
      <c r="H1823" s="70" t="str">
        <f aca="false">IF(A1823="","",IFERROR(INDEX(السندات!$C$5:$C$504,MATCH(A1823,السندات!$A$5:$A$504,0)),""))</f>
        <v/>
      </c>
      <c r="I1823" s="71" t="str">
        <f aca="false">IF(A1823="","",IFERROR(INDEX(السندات!$D$5:$D$504,MATCH(A1823,السندات!$A$5:$A$504,0)),""))</f>
        <v/>
      </c>
      <c r="J1823" s="72" t="str">
        <f aca="false">IF(A1823="","",IF(ISNA(MATCH(A1823,السندات!$A$5:$A$504,0)),"رقم سند غير موجود ✘",IF(AND(F1823&lt;&gt;"",G1823&lt;&gt;""),"اكتب مدين أو دائن فقط ✘",IF(AND(N(F1823)=0,N(G1823)=0),"بدون مبلغ ⚠",IF(B1823&gt;12,"يتجاوز 12 بنداً في الطباعة ⚠","")))))</f>
        <v/>
      </c>
    </row>
    <row r="1824" customFormat="false" ht="15" hidden="false" customHeight="false" outlineLevel="0" collapsed="false">
      <c r="A1824" s="58"/>
      <c r="B1824" s="73" t="str">
        <f aca="false">IF(A1824="","",COUNTIF(A$5:A1824,A1824))</f>
        <v/>
      </c>
      <c r="C1824" s="73" t="str">
        <f aca="false">IF(A1824="","",A1824&amp;"-"&amp;B1824)</f>
        <v/>
      </c>
      <c r="D1824" s="58"/>
      <c r="E1824" s="57"/>
      <c r="F1824" s="69"/>
      <c r="G1824" s="69"/>
      <c r="H1824" s="74" t="str">
        <f aca="false">IF(A1824="","",IFERROR(INDEX(السندات!$C$5:$C$504,MATCH(A1824,السندات!$A$5:$A$504,0)),""))</f>
        <v/>
      </c>
      <c r="I1824" s="75" t="str">
        <f aca="false">IF(A1824="","",IFERROR(INDEX(السندات!$D$5:$D$504,MATCH(A1824,السندات!$A$5:$A$504,0)),""))</f>
        <v/>
      </c>
      <c r="J1824" s="76" t="str">
        <f aca="false">IF(A1824="","",IF(ISNA(MATCH(A1824,السندات!$A$5:$A$504,0)),"رقم سند غير موجود ✘",IF(AND(F1824&lt;&gt;"",G1824&lt;&gt;""),"اكتب مدين أو دائن فقط ✘",IF(AND(N(F1824)=0,N(G1824)=0),"بدون مبلغ ⚠",IF(B1824&gt;12,"يتجاوز 12 بنداً في الطباعة ⚠","")))))</f>
        <v/>
      </c>
    </row>
    <row r="1825" customFormat="false" ht="15" hidden="false" customHeight="false" outlineLevel="0" collapsed="false">
      <c r="A1825" s="58"/>
      <c r="B1825" s="68" t="str">
        <f aca="false">IF(A1825="","",COUNTIF(A$5:A1825,A1825))</f>
        <v/>
      </c>
      <c r="C1825" s="68" t="str">
        <f aca="false">IF(A1825="","",A1825&amp;"-"&amp;B1825)</f>
        <v/>
      </c>
      <c r="D1825" s="58"/>
      <c r="E1825" s="57"/>
      <c r="F1825" s="69"/>
      <c r="G1825" s="69"/>
      <c r="H1825" s="70" t="str">
        <f aca="false">IF(A1825="","",IFERROR(INDEX(السندات!$C$5:$C$504,MATCH(A1825,السندات!$A$5:$A$504,0)),""))</f>
        <v/>
      </c>
      <c r="I1825" s="71" t="str">
        <f aca="false">IF(A1825="","",IFERROR(INDEX(السندات!$D$5:$D$504,MATCH(A1825,السندات!$A$5:$A$504,0)),""))</f>
        <v/>
      </c>
      <c r="J1825" s="72" t="str">
        <f aca="false">IF(A1825="","",IF(ISNA(MATCH(A1825,السندات!$A$5:$A$504,0)),"رقم سند غير موجود ✘",IF(AND(F1825&lt;&gt;"",G1825&lt;&gt;""),"اكتب مدين أو دائن فقط ✘",IF(AND(N(F1825)=0,N(G1825)=0),"بدون مبلغ ⚠",IF(B1825&gt;12,"يتجاوز 12 بنداً في الطباعة ⚠","")))))</f>
        <v/>
      </c>
    </row>
    <row r="1826" customFormat="false" ht="15" hidden="false" customHeight="false" outlineLevel="0" collapsed="false">
      <c r="A1826" s="58"/>
      <c r="B1826" s="73" t="str">
        <f aca="false">IF(A1826="","",COUNTIF(A$5:A1826,A1826))</f>
        <v/>
      </c>
      <c r="C1826" s="73" t="str">
        <f aca="false">IF(A1826="","",A1826&amp;"-"&amp;B1826)</f>
        <v/>
      </c>
      <c r="D1826" s="58"/>
      <c r="E1826" s="57"/>
      <c r="F1826" s="69"/>
      <c r="G1826" s="69"/>
      <c r="H1826" s="74" t="str">
        <f aca="false">IF(A1826="","",IFERROR(INDEX(السندات!$C$5:$C$504,MATCH(A1826,السندات!$A$5:$A$504,0)),""))</f>
        <v/>
      </c>
      <c r="I1826" s="75" t="str">
        <f aca="false">IF(A1826="","",IFERROR(INDEX(السندات!$D$5:$D$504,MATCH(A1826,السندات!$A$5:$A$504,0)),""))</f>
        <v/>
      </c>
      <c r="J1826" s="76" t="str">
        <f aca="false">IF(A1826="","",IF(ISNA(MATCH(A1826,السندات!$A$5:$A$504,0)),"رقم سند غير موجود ✘",IF(AND(F1826&lt;&gt;"",G1826&lt;&gt;""),"اكتب مدين أو دائن فقط ✘",IF(AND(N(F1826)=0,N(G1826)=0),"بدون مبلغ ⚠",IF(B1826&gt;12,"يتجاوز 12 بنداً في الطباعة ⚠","")))))</f>
        <v/>
      </c>
    </row>
    <row r="1827" customFormat="false" ht="15" hidden="false" customHeight="false" outlineLevel="0" collapsed="false">
      <c r="A1827" s="58"/>
      <c r="B1827" s="68" t="str">
        <f aca="false">IF(A1827="","",COUNTIF(A$5:A1827,A1827))</f>
        <v/>
      </c>
      <c r="C1827" s="68" t="str">
        <f aca="false">IF(A1827="","",A1827&amp;"-"&amp;B1827)</f>
        <v/>
      </c>
      <c r="D1827" s="58"/>
      <c r="E1827" s="57"/>
      <c r="F1827" s="69"/>
      <c r="G1827" s="69"/>
      <c r="H1827" s="70" t="str">
        <f aca="false">IF(A1827="","",IFERROR(INDEX(السندات!$C$5:$C$504,MATCH(A1827,السندات!$A$5:$A$504,0)),""))</f>
        <v/>
      </c>
      <c r="I1827" s="71" t="str">
        <f aca="false">IF(A1827="","",IFERROR(INDEX(السندات!$D$5:$D$504,MATCH(A1827,السندات!$A$5:$A$504,0)),""))</f>
        <v/>
      </c>
      <c r="J1827" s="72" t="str">
        <f aca="false">IF(A1827="","",IF(ISNA(MATCH(A1827,السندات!$A$5:$A$504,0)),"رقم سند غير موجود ✘",IF(AND(F1827&lt;&gt;"",G1827&lt;&gt;""),"اكتب مدين أو دائن فقط ✘",IF(AND(N(F1827)=0,N(G1827)=0),"بدون مبلغ ⚠",IF(B1827&gt;12,"يتجاوز 12 بنداً في الطباعة ⚠","")))))</f>
        <v/>
      </c>
    </row>
    <row r="1828" customFormat="false" ht="15" hidden="false" customHeight="false" outlineLevel="0" collapsed="false">
      <c r="A1828" s="58"/>
      <c r="B1828" s="73" t="str">
        <f aca="false">IF(A1828="","",COUNTIF(A$5:A1828,A1828))</f>
        <v/>
      </c>
      <c r="C1828" s="73" t="str">
        <f aca="false">IF(A1828="","",A1828&amp;"-"&amp;B1828)</f>
        <v/>
      </c>
      <c r="D1828" s="58"/>
      <c r="E1828" s="57"/>
      <c r="F1828" s="69"/>
      <c r="G1828" s="69"/>
      <c r="H1828" s="74" t="str">
        <f aca="false">IF(A1828="","",IFERROR(INDEX(السندات!$C$5:$C$504,MATCH(A1828,السندات!$A$5:$A$504,0)),""))</f>
        <v/>
      </c>
      <c r="I1828" s="75" t="str">
        <f aca="false">IF(A1828="","",IFERROR(INDEX(السندات!$D$5:$D$504,MATCH(A1828,السندات!$A$5:$A$504,0)),""))</f>
        <v/>
      </c>
      <c r="J1828" s="76" t="str">
        <f aca="false">IF(A1828="","",IF(ISNA(MATCH(A1828,السندات!$A$5:$A$504,0)),"رقم سند غير موجود ✘",IF(AND(F1828&lt;&gt;"",G1828&lt;&gt;""),"اكتب مدين أو دائن فقط ✘",IF(AND(N(F1828)=0,N(G1828)=0),"بدون مبلغ ⚠",IF(B1828&gt;12,"يتجاوز 12 بنداً في الطباعة ⚠","")))))</f>
        <v/>
      </c>
    </row>
    <row r="1829" customFormat="false" ht="15" hidden="false" customHeight="false" outlineLevel="0" collapsed="false">
      <c r="A1829" s="58"/>
      <c r="B1829" s="68" t="str">
        <f aca="false">IF(A1829="","",COUNTIF(A$5:A1829,A1829))</f>
        <v/>
      </c>
      <c r="C1829" s="68" t="str">
        <f aca="false">IF(A1829="","",A1829&amp;"-"&amp;B1829)</f>
        <v/>
      </c>
      <c r="D1829" s="58"/>
      <c r="E1829" s="57"/>
      <c r="F1829" s="69"/>
      <c r="G1829" s="69"/>
      <c r="H1829" s="70" t="str">
        <f aca="false">IF(A1829="","",IFERROR(INDEX(السندات!$C$5:$C$504,MATCH(A1829,السندات!$A$5:$A$504,0)),""))</f>
        <v/>
      </c>
      <c r="I1829" s="71" t="str">
        <f aca="false">IF(A1829="","",IFERROR(INDEX(السندات!$D$5:$D$504,MATCH(A1829,السندات!$A$5:$A$504,0)),""))</f>
        <v/>
      </c>
      <c r="J1829" s="72" t="str">
        <f aca="false">IF(A1829="","",IF(ISNA(MATCH(A1829,السندات!$A$5:$A$504,0)),"رقم سند غير موجود ✘",IF(AND(F1829&lt;&gt;"",G1829&lt;&gt;""),"اكتب مدين أو دائن فقط ✘",IF(AND(N(F1829)=0,N(G1829)=0),"بدون مبلغ ⚠",IF(B1829&gt;12,"يتجاوز 12 بنداً في الطباعة ⚠","")))))</f>
        <v/>
      </c>
    </row>
    <row r="1830" customFormat="false" ht="15" hidden="false" customHeight="false" outlineLevel="0" collapsed="false">
      <c r="A1830" s="58"/>
      <c r="B1830" s="73" t="str">
        <f aca="false">IF(A1830="","",COUNTIF(A$5:A1830,A1830))</f>
        <v/>
      </c>
      <c r="C1830" s="73" t="str">
        <f aca="false">IF(A1830="","",A1830&amp;"-"&amp;B1830)</f>
        <v/>
      </c>
      <c r="D1830" s="58"/>
      <c r="E1830" s="57"/>
      <c r="F1830" s="69"/>
      <c r="G1830" s="69"/>
      <c r="H1830" s="74" t="str">
        <f aca="false">IF(A1830="","",IFERROR(INDEX(السندات!$C$5:$C$504,MATCH(A1830,السندات!$A$5:$A$504,0)),""))</f>
        <v/>
      </c>
      <c r="I1830" s="75" t="str">
        <f aca="false">IF(A1830="","",IFERROR(INDEX(السندات!$D$5:$D$504,MATCH(A1830,السندات!$A$5:$A$504,0)),""))</f>
        <v/>
      </c>
      <c r="J1830" s="76" t="str">
        <f aca="false">IF(A1830="","",IF(ISNA(MATCH(A1830,السندات!$A$5:$A$504,0)),"رقم سند غير موجود ✘",IF(AND(F1830&lt;&gt;"",G1830&lt;&gt;""),"اكتب مدين أو دائن فقط ✘",IF(AND(N(F1830)=0,N(G1830)=0),"بدون مبلغ ⚠",IF(B1830&gt;12,"يتجاوز 12 بنداً في الطباعة ⚠","")))))</f>
        <v/>
      </c>
    </row>
    <row r="1831" customFormat="false" ht="15" hidden="false" customHeight="false" outlineLevel="0" collapsed="false">
      <c r="A1831" s="58"/>
      <c r="B1831" s="68" t="str">
        <f aca="false">IF(A1831="","",COUNTIF(A$5:A1831,A1831))</f>
        <v/>
      </c>
      <c r="C1831" s="68" t="str">
        <f aca="false">IF(A1831="","",A1831&amp;"-"&amp;B1831)</f>
        <v/>
      </c>
      <c r="D1831" s="58"/>
      <c r="E1831" s="57"/>
      <c r="F1831" s="69"/>
      <c r="G1831" s="69"/>
      <c r="H1831" s="70" t="str">
        <f aca="false">IF(A1831="","",IFERROR(INDEX(السندات!$C$5:$C$504,MATCH(A1831,السندات!$A$5:$A$504,0)),""))</f>
        <v/>
      </c>
      <c r="I1831" s="71" t="str">
        <f aca="false">IF(A1831="","",IFERROR(INDEX(السندات!$D$5:$D$504,MATCH(A1831,السندات!$A$5:$A$504,0)),""))</f>
        <v/>
      </c>
      <c r="J1831" s="72" t="str">
        <f aca="false">IF(A1831="","",IF(ISNA(MATCH(A1831,السندات!$A$5:$A$504,0)),"رقم سند غير موجود ✘",IF(AND(F1831&lt;&gt;"",G1831&lt;&gt;""),"اكتب مدين أو دائن فقط ✘",IF(AND(N(F1831)=0,N(G1831)=0),"بدون مبلغ ⚠",IF(B1831&gt;12,"يتجاوز 12 بنداً في الطباعة ⚠","")))))</f>
        <v/>
      </c>
    </row>
    <row r="1832" customFormat="false" ht="15" hidden="false" customHeight="false" outlineLevel="0" collapsed="false">
      <c r="A1832" s="58"/>
      <c r="B1832" s="73" t="str">
        <f aca="false">IF(A1832="","",COUNTIF(A$5:A1832,A1832))</f>
        <v/>
      </c>
      <c r="C1832" s="73" t="str">
        <f aca="false">IF(A1832="","",A1832&amp;"-"&amp;B1832)</f>
        <v/>
      </c>
      <c r="D1832" s="58"/>
      <c r="E1832" s="57"/>
      <c r="F1832" s="69"/>
      <c r="G1832" s="69"/>
      <c r="H1832" s="74" t="str">
        <f aca="false">IF(A1832="","",IFERROR(INDEX(السندات!$C$5:$C$504,MATCH(A1832,السندات!$A$5:$A$504,0)),""))</f>
        <v/>
      </c>
      <c r="I1832" s="75" t="str">
        <f aca="false">IF(A1832="","",IFERROR(INDEX(السندات!$D$5:$D$504,MATCH(A1832,السندات!$A$5:$A$504,0)),""))</f>
        <v/>
      </c>
      <c r="J1832" s="76" t="str">
        <f aca="false">IF(A1832="","",IF(ISNA(MATCH(A1832,السندات!$A$5:$A$504,0)),"رقم سند غير موجود ✘",IF(AND(F1832&lt;&gt;"",G1832&lt;&gt;""),"اكتب مدين أو دائن فقط ✘",IF(AND(N(F1832)=0,N(G1832)=0),"بدون مبلغ ⚠",IF(B1832&gt;12,"يتجاوز 12 بنداً في الطباعة ⚠","")))))</f>
        <v/>
      </c>
    </row>
    <row r="1833" customFormat="false" ht="15" hidden="false" customHeight="false" outlineLevel="0" collapsed="false">
      <c r="A1833" s="58"/>
      <c r="B1833" s="68" t="str">
        <f aca="false">IF(A1833="","",COUNTIF(A$5:A1833,A1833))</f>
        <v/>
      </c>
      <c r="C1833" s="68" t="str">
        <f aca="false">IF(A1833="","",A1833&amp;"-"&amp;B1833)</f>
        <v/>
      </c>
      <c r="D1833" s="58"/>
      <c r="E1833" s="57"/>
      <c r="F1833" s="69"/>
      <c r="G1833" s="69"/>
      <c r="H1833" s="70" t="str">
        <f aca="false">IF(A1833="","",IFERROR(INDEX(السندات!$C$5:$C$504,MATCH(A1833,السندات!$A$5:$A$504,0)),""))</f>
        <v/>
      </c>
      <c r="I1833" s="71" t="str">
        <f aca="false">IF(A1833="","",IFERROR(INDEX(السندات!$D$5:$D$504,MATCH(A1833,السندات!$A$5:$A$504,0)),""))</f>
        <v/>
      </c>
      <c r="J1833" s="72" t="str">
        <f aca="false">IF(A1833="","",IF(ISNA(MATCH(A1833,السندات!$A$5:$A$504,0)),"رقم سند غير موجود ✘",IF(AND(F1833&lt;&gt;"",G1833&lt;&gt;""),"اكتب مدين أو دائن فقط ✘",IF(AND(N(F1833)=0,N(G1833)=0),"بدون مبلغ ⚠",IF(B1833&gt;12,"يتجاوز 12 بنداً في الطباعة ⚠","")))))</f>
        <v/>
      </c>
    </row>
    <row r="1834" customFormat="false" ht="15" hidden="false" customHeight="false" outlineLevel="0" collapsed="false">
      <c r="A1834" s="58"/>
      <c r="B1834" s="73" t="str">
        <f aca="false">IF(A1834="","",COUNTIF(A$5:A1834,A1834))</f>
        <v/>
      </c>
      <c r="C1834" s="73" t="str">
        <f aca="false">IF(A1834="","",A1834&amp;"-"&amp;B1834)</f>
        <v/>
      </c>
      <c r="D1834" s="58"/>
      <c r="E1834" s="57"/>
      <c r="F1834" s="69"/>
      <c r="G1834" s="69"/>
      <c r="H1834" s="74" t="str">
        <f aca="false">IF(A1834="","",IFERROR(INDEX(السندات!$C$5:$C$504,MATCH(A1834,السندات!$A$5:$A$504,0)),""))</f>
        <v/>
      </c>
      <c r="I1834" s="75" t="str">
        <f aca="false">IF(A1834="","",IFERROR(INDEX(السندات!$D$5:$D$504,MATCH(A1834,السندات!$A$5:$A$504,0)),""))</f>
        <v/>
      </c>
      <c r="J1834" s="76" t="str">
        <f aca="false">IF(A1834="","",IF(ISNA(MATCH(A1834,السندات!$A$5:$A$504,0)),"رقم سند غير موجود ✘",IF(AND(F1834&lt;&gt;"",G1834&lt;&gt;""),"اكتب مدين أو دائن فقط ✘",IF(AND(N(F1834)=0,N(G1834)=0),"بدون مبلغ ⚠",IF(B1834&gt;12,"يتجاوز 12 بنداً في الطباعة ⚠","")))))</f>
        <v/>
      </c>
    </row>
    <row r="1835" customFormat="false" ht="15" hidden="false" customHeight="false" outlineLevel="0" collapsed="false">
      <c r="A1835" s="58"/>
      <c r="B1835" s="68" t="str">
        <f aca="false">IF(A1835="","",COUNTIF(A$5:A1835,A1835))</f>
        <v/>
      </c>
      <c r="C1835" s="68" t="str">
        <f aca="false">IF(A1835="","",A1835&amp;"-"&amp;B1835)</f>
        <v/>
      </c>
      <c r="D1835" s="58"/>
      <c r="E1835" s="57"/>
      <c r="F1835" s="69"/>
      <c r="G1835" s="69"/>
      <c r="H1835" s="70" t="str">
        <f aca="false">IF(A1835="","",IFERROR(INDEX(السندات!$C$5:$C$504,MATCH(A1835,السندات!$A$5:$A$504,0)),""))</f>
        <v/>
      </c>
      <c r="I1835" s="71" t="str">
        <f aca="false">IF(A1835="","",IFERROR(INDEX(السندات!$D$5:$D$504,MATCH(A1835,السندات!$A$5:$A$504,0)),""))</f>
        <v/>
      </c>
      <c r="J1835" s="72" t="str">
        <f aca="false">IF(A1835="","",IF(ISNA(MATCH(A1835,السندات!$A$5:$A$504,0)),"رقم سند غير موجود ✘",IF(AND(F1835&lt;&gt;"",G1835&lt;&gt;""),"اكتب مدين أو دائن فقط ✘",IF(AND(N(F1835)=0,N(G1835)=0),"بدون مبلغ ⚠",IF(B1835&gt;12,"يتجاوز 12 بنداً في الطباعة ⚠","")))))</f>
        <v/>
      </c>
    </row>
    <row r="1836" customFormat="false" ht="15" hidden="false" customHeight="false" outlineLevel="0" collapsed="false">
      <c r="A1836" s="58"/>
      <c r="B1836" s="73" t="str">
        <f aca="false">IF(A1836="","",COUNTIF(A$5:A1836,A1836))</f>
        <v/>
      </c>
      <c r="C1836" s="73" t="str">
        <f aca="false">IF(A1836="","",A1836&amp;"-"&amp;B1836)</f>
        <v/>
      </c>
      <c r="D1836" s="58"/>
      <c r="E1836" s="57"/>
      <c r="F1836" s="69"/>
      <c r="G1836" s="69"/>
      <c r="H1836" s="74" t="str">
        <f aca="false">IF(A1836="","",IFERROR(INDEX(السندات!$C$5:$C$504,MATCH(A1836,السندات!$A$5:$A$504,0)),""))</f>
        <v/>
      </c>
      <c r="I1836" s="75" t="str">
        <f aca="false">IF(A1836="","",IFERROR(INDEX(السندات!$D$5:$D$504,MATCH(A1836,السندات!$A$5:$A$504,0)),""))</f>
        <v/>
      </c>
      <c r="J1836" s="76" t="str">
        <f aca="false">IF(A1836="","",IF(ISNA(MATCH(A1836,السندات!$A$5:$A$504,0)),"رقم سند غير موجود ✘",IF(AND(F1836&lt;&gt;"",G1836&lt;&gt;""),"اكتب مدين أو دائن فقط ✘",IF(AND(N(F1836)=0,N(G1836)=0),"بدون مبلغ ⚠",IF(B1836&gt;12,"يتجاوز 12 بنداً في الطباعة ⚠","")))))</f>
        <v/>
      </c>
    </row>
    <row r="1837" customFormat="false" ht="15" hidden="false" customHeight="false" outlineLevel="0" collapsed="false">
      <c r="A1837" s="58"/>
      <c r="B1837" s="68" t="str">
        <f aca="false">IF(A1837="","",COUNTIF(A$5:A1837,A1837))</f>
        <v/>
      </c>
      <c r="C1837" s="68" t="str">
        <f aca="false">IF(A1837="","",A1837&amp;"-"&amp;B1837)</f>
        <v/>
      </c>
      <c r="D1837" s="58"/>
      <c r="E1837" s="57"/>
      <c r="F1837" s="69"/>
      <c r="G1837" s="69"/>
      <c r="H1837" s="70" t="str">
        <f aca="false">IF(A1837="","",IFERROR(INDEX(السندات!$C$5:$C$504,MATCH(A1837,السندات!$A$5:$A$504,0)),""))</f>
        <v/>
      </c>
      <c r="I1837" s="71" t="str">
        <f aca="false">IF(A1837="","",IFERROR(INDEX(السندات!$D$5:$D$504,MATCH(A1837,السندات!$A$5:$A$504,0)),""))</f>
        <v/>
      </c>
      <c r="J1837" s="72" t="str">
        <f aca="false">IF(A1837="","",IF(ISNA(MATCH(A1837,السندات!$A$5:$A$504,0)),"رقم سند غير موجود ✘",IF(AND(F1837&lt;&gt;"",G1837&lt;&gt;""),"اكتب مدين أو دائن فقط ✘",IF(AND(N(F1837)=0,N(G1837)=0),"بدون مبلغ ⚠",IF(B1837&gt;12,"يتجاوز 12 بنداً في الطباعة ⚠","")))))</f>
        <v/>
      </c>
    </row>
    <row r="1838" customFormat="false" ht="15" hidden="false" customHeight="false" outlineLevel="0" collapsed="false">
      <c r="A1838" s="58"/>
      <c r="B1838" s="73" t="str">
        <f aca="false">IF(A1838="","",COUNTIF(A$5:A1838,A1838))</f>
        <v/>
      </c>
      <c r="C1838" s="73" t="str">
        <f aca="false">IF(A1838="","",A1838&amp;"-"&amp;B1838)</f>
        <v/>
      </c>
      <c r="D1838" s="58"/>
      <c r="E1838" s="57"/>
      <c r="F1838" s="69"/>
      <c r="G1838" s="69"/>
      <c r="H1838" s="74" t="str">
        <f aca="false">IF(A1838="","",IFERROR(INDEX(السندات!$C$5:$C$504,MATCH(A1838,السندات!$A$5:$A$504,0)),""))</f>
        <v/>
      </c>
      <c r="I1838" s="75" t="str">
        <f aca="false">IF(A1838="","",IFERROR(INDEX(السندات!$D$5:$D$504,MATCH(A1838,السندات!$A$5:$A$504,0)),""))</f>
        <v/>
      </c>
      <c r="J1838" s="76" t="str">
        <f aca="false">IF(A1838="","",IF(ISNA(MATCH(A1838,السندات!$A$5:$A$504,0)),"رقم سند غير موجود ✘",IF(AND(F1838&lt;&gt;"",G1838&lt;&gt;""),"اكتب مدين أو دائن فقط ✘",IF(AND(N(F1838)=0,N(G1838)=0),"بدون مبلغ ⚠",IF(B1838&gt;12,"يتجاوز 12 بنداً في الطباعة ⚠","")))))</f>
        <v/>
      </c>
    </row>
    <row r="1839" customFormat="false" ht="15" hidden="false" customHeight="false" outlineLevel="0" collapsed="false">
      <c r="A1839" s="58"/>
      <c r="B1839" s="68" t="str">
        <f aca="false">IF(A1839="","",COUNTIF(A$5:A1839,A1839))</f>
        <v/>
      </c>
      <c r="C1839" s="68" t="str">
        <f aca="false">IF(A1839="","",A1839&amp;"-"&amp;B1839)</f>
        <v/>
      </c>
      <c r="D1839" s="58"/>
      <c r="E1839" s="57"/>
      <c r="F1839" s="69"/>
      <c r="G1839" s="69"/>
      <c r="H1839" s="70" t="str">
        <f aca="false">IF(A1839="","",IFERROR(INDEX(السندات!$C$5:$C$504,MATCH(A1839,السندات!$A$5:$A$504,0)),""))</f>
        <v/>
      </c>
      <c r="I1839" s="71" t="str">
        <f aca="false">IF(A1839="","",IFERROR(INDEX(السندات!$D$5:$D$504,MATCH(A1839,السندات!$A$5:$A$504,0)),""))</f>
        <v/>
      </c>
      <c r="J1839" s="72" t="str">
        <f aca="false">IF(A1839="","",IF(ISNA(MATCH(A1839,السندات!$A$5:$A$504,0)),"رقم سند غير موجود ✘",IF(AND(F1839&lt;&gt;"",G1839&lt;&gt;""),"اكتب مدين أو دائن فقط ✘",IF(AND(N(F1839)=0,N(G1839)=0),"بدون مبلغ ⚠",IF(B1839&gt;12,"يتجاوز 12 بنداً في الطباعة ⚠","")))))</f>
        <v/>
      </c>
    </row>
    <row r="1840" customFormat="false" ht="15" hidden="false" customHeight="false" outlineLevel="0" collapsed="false">
      <c r="A1840" s="58"/>
      <c r="B1840" s="73" t="str">
        <f aca="false">IF(A1840="","",COUNTIF(A$5:A1840,A1840))</f>
        <v/>
      </c>
      <c r="C1840" s="73" t="str">
        <f aca="false">IF(A1840="","",A1840&amp;"-"&amp;B1840)</f>
        <v/>
      </c>
      <c r="D1840" s="58"/>
      <c r="E1840" s="57"/>
      <c r="F1840" s="69"/>
      <c r="G1840" s="69"/>
      <c r="H1840" s="74" t="str">
        <f aca="false">IF(A1840="","",IFERROR(INDEX(السندات!$C$5:$C$504,MATCH(A1840,السندات!$A$5:$A$504,0)),""))</f>
        <v/>
      </c>
      <c r="I1840" s="75" t="str">
        <f aca="false">IF(A1840="","",IFERROR(INDEX(السندات!$D$5:$D$504,MATCH(A1840,السندات!$A$5:$A$504,0)),""))</f>
        <v/>
      </c>
      <c r="J1840" s="76" t="str">
        <f aca="false">IF(A1840="","",IF(ISNA(MATCH(A1840,السندات!$A$5:$A$504,0)),"رقم سند غير موجود ✘",IF(AND(F1840&lt;&gt;"",G1840&lt;&gt;""),"اكتب مدين أو دائن فقط ✘",IF(AND(N(F1840)=0,N(G1840)=0),"بدون مبلغ ⚠",IF(B1840&gt;12,"يتجاوز 12 بنداً في الطباعة ⚠","")))))</f>
        <v/>
      </c>
    </row>
    <row r="1841" customFormat="false" ht="15" hidden="false" customHeight="false" outlineLevel="0" collapsed="false">
      <c r="A1841" s="58"/>
      <c r="B1841" s="68" t="str">
        <f aca="false">IF(A1841="","",COUNTIF(A$5:A1841,A1841))</f>
        <v/>
      </c>
      <c r="C1841" s="68" t="str">
        <f aca="false">IF(A1841="","",A1841&amp;"-"&amp;B1841)</f>
        <v/>
      </c>
      <c r="D1841" s="58"/>
      <c r="E1841" s="57"/>
      <c r="F1841" s="69"/>
      <c r="G1841" s="69"/>
      <c r="H1841" s="70" t="str">
        <f aca="false">IF(A1841="","",IFERROR(INDEX(السندات!$C$5:$C$504,MATCH(A1841,السندات!$A$5:$A$504,0)),""))</f>
        <v/>
      </c>
      <c r="I1841" s="71" t="str">
        <f aca="false">IF(A1841="","",IFERROR(INDEX(السندات!$D$5:$D$504,MATCH(A1841,السندات!$A$5:$A$504,0)),""))</f>
        <v/>
      </c>
      <c r="J1841" s="72" t="str">
        <f aca="false">IF(A1841="","",IF(ISNA(MATCH(A1841,السندات!$A$5:$A$504,0)),"رقم سند غير موجود ✘",IF(AND(F1841&lt;&gt;"",G1841&lt;&gt;""),"اكتب مدين أو دائن فقط ✘",IF(AND(N(F1841)=0,N(G1841)=0),"بدون مبلغ ⚠",IF(B1841&gt;12,"يتجاوز 12 بنداً في الطباعة ⚠","")))))</f>
        <v/>
      </c>
    </row>
    <row r="1842" customFormat="false" ht="15" hidden="false" customHeight="false" outlineLevel="0" collapsed="false">
      <c r="A1842" s="58"/>
      <c r="B1842" s="73" t="str">
        <f aca="false">IF(A1842="","",COUNTIF(A$5:A1842,A1842))</f>
        <v/>
      </c>
      <c r="C1842" s="73" t="str">
        <f aca="false">IF(A1842="","",A1842&amp;"-"&amp;B1842)</f>
        <v/>
      </c>
      <c r="D1842" s="58"/>
      <c r="E1842" s="57"/>
      <c r="F1842" s="69"/>
      <c r="G1842" s="69"/>
      <c r="H1842" s="74" t="str">
        <f aca="false">IF(A1842="","",IFERROR(INDEX(السندات!$C$5:$C$504,MATCH(A1842,السندات!$A$5:$A$504,0)),""))</f>
        <v/>
      </c>
      <c r="I1842" s="75" t="str">
        <f aca="false">IF(A1842="","",IFERROR(INDEX(السندات!$D$5:$D$504,MATCH(A1842,السندات!$A$5:$A$504,0)),""))</f>
        <v/>
      </c>
      <c r="J1842" s="76" t="str">
        <f aca="false">IF(A1842="","",IF(ISNA(MATCH(A1842,السندات!$A$5:$A$504,0)),"رقم سند غير موجود ✘",IF(AND(F1842&lt;&gt;"",G1842&lt;&gt;""),"اكتب مدين أو دائن فقط ✘",IF(AND(N(F1842)=0,N(G1842)=0),"بدون مبلغ ⚠",IF(B1842&gt;12,"يتجاوز 12 بنداً في الطباعة ⚠","")))))</f>
        <v/>
      </c>
    </row>
    <row r="1843" customFormat="false" ht="15" hidden="false" customHeight="false" outlineLevel="0" collapsed="false">
      <c r="A1843" s="58"/>
      <c r="B1843" s="68" t="str">
        <f aca="false">IF(A1843="","",COUNTIF(A$5:A1843,A1843))</f>
        <v/>
      </c>
      <c r="C1843" s="68" t="str">
        <f aca="false">IF(A1843="","",A1843&amp;"-"&amp;B1843)</f>
        <v/>
      </c>
      <c r="D1843" s="58"/>
      <c r="E1843" s="57"/>
      <c r="F1843" s="69"/>
      <c r="G1843" s="69"/>
      <c r="H1843" s="70" t="str">
        <f aca="false">IF(A1843="","",IFERROR(INDEX(السندات!$C$5:$C$504,MATCH(A1843,السندات!$A$5:$A$504,0)),""))</f>
        <v/>
      </c>
      <c r="I1843" s="71" t="str">
        <f aca="false">IF(A1843="","",IFERROR(INDEX(السندات!$D$5:$D$504,MATCH(A1843,السندات!$A$5:$A$504,0)),""))</f>
        <v/>
      </c>
      <c r="J1843" s="72" t="str">
        <f aca="false">IF(A1843="","",IF(ISNA(MATCH(A1843,السندات!$A$5:$A$504,0)),"رقم سند غير موجود ✘",IF(AND(F1843&lt;&gt;"",G1843&lt;&gt;""),"اكتب مدين أو دائن فقط ✘",IF(AND(N(F1843)=0,N(G1843)=0),"بدون مبلغ ⚠",IF(B1843&gt;12,"يتجاوز 12 بنداً في الطباعة ⚠","")))))</f>
        <v/>
      </c>
    </row>
    <row r="1844" customFormat="false" ht="15" hidden="false" customHeight="false" outlineLevel="0" collapsed="false">
      <c r="A1844" s="58"/>
      <c r="B1844" s="73" t="str">
        <f aca="false">IF(A1844="","",COUNTIF(A$5:A1844,A1844))</f>
        <v/>
      </c>
      <c r="C1844" s="73" t="str">
        <f aca="false">IF(A1844="","",A1844&amp;"-"&amp;B1844)</f>
        <v/>
      </c>
      <c r="D1844" s="58"/>
      <c r="E1844" s="57"/>
      <c r="F1844" s="69"/>
      <c r="G1844" s="69"/>
      <c r="H1844" s="74" t="str">
        <f aca="false">IF(A1844="","",IFERROR(INDEX(السندات!$C$5:$C$504,MATCH(A1844,السندات!$A$5:$A$504,0)),""))</f>
        <v/>
      </c>
      <c r="I1844" s="75" t="str">
        <f aca="false">IF(A1844="","",IFERROR(INDEX(السندات!$D$5:$D$504,MATCH(A1844,السندات!$A$5:$A$504,0)),""))</f>
        <v/>
      </c>
      <c r="J1844" s="76" t="str">
        <f aca="false">IF(A1844="","",IF(ISNA(MATCH(A1844,السندات!$A$5:$A$504,0)),"رقم سند غير موجود ✘",IF(AND(F1844&lt;&gt;"",G1844&lt;&gt;""),"اكتب مدين أو دائن فقط ✘",IF(AND(N(F1844)=0,N(G1844)=0),"بدون مبلغ ⚠",IF(B1844&gt;12,"يتجاوز 12 بنداً في الطباعة ⚠","")))))</f>
        <v/>
      </c>
    </row>
    <row r="1845" customFormat="false" ht="15" hidden="false" customHeight="false" outlineLevel="0" collapsed="false">
      <c r="A1845" s="58"/>
      <c r="B1845" s="68" t="str">
        <f aca="false">IF(A1845="","",COUNTIF(A$5:A1845,A1845))</f>
        <v/>
      </c>
      <c r="C1845" s="68" t="str">
        <f aca="false">IF(A1845="","",A1845&amp;"-"&amp;B1845)</f>
        <v/>
      </c>
      <c r="D1845" s="58"/>
      <c r="E1845" s="57"/>
      <c r="F1845" s="69"/>
      <c r="G1845" s="69"/>
      <c r="H1845" s="70" t="str">
        <f aca="false">IF(A1845="","",IFERROR(INDEX(السندات!$C$5:$C$504,MATCH(A1845,السندات!$A$5:$A$504,0)),""))</f>
        <v/>
      </c>
      <c r="I1845" s="71" t="str">
        <f aca="false">IF(A1845="","",IFERROR(INDEX(السندات!$D$5:$D$504,MATCH(A1845,السندات!$A$5:$A$504,0)),""))</f>
        <v/>
      </c>
      <c r="J1845" s="72" t="str">
        <f aca="false">IF(A1845="","",IF(ISNA(MATCH(A1845,السندات!$A$5:$A$504,0)),"رقم سند غير موجود ✘",IF(AND(F1845&lt;&gt;"",G1845&lt;&gt;""),"اكتب مدين أو دائن فقط ✘",IF(AND(N(F1845)=0,N(G1845)=0),"بدون مبلغ ⚠",IF(B1845&gt;12,"يتجاوز 12 بنداً في الطباعة ⚠","")))))</f>
        <v/>
      </c>
    </row>
    <row r="1846" customFormat="false" ht="15" hidden="false" customHeight="false" outlineLevel="0" collapsed="false">
      <c r="A1846" s="58"/>
      <c r="B1846" s="73" t="str">
        <f aca="false">IF(A1846="","",COUNTIF(A$5:A1846,A1846))</f>
        <v/>
      </c>
      <c r="C1846" s="73" t="str">
        <f aca="false">IF(A1846="","",A1846&amp;"-"&amp;B1846)</f>
        <v/>
      </c>
      <c r="D1846" s="58"/>
      <c r="E1846" s="57"/>
      <c r="F1846" s="69"/>
      <c r="G1846" s="69"/>
      <c r="H1846" s="74" t="str">
        <f aca="false">IF(A1846="","",IFERROR(INDEX(السندات!$C$5:$C$504,MATCH(A1846,السندات!$A$5:$A$504,0)),""))</f>
        <v/>
      </c>
      <c r="I1846" s="75" t="str">
        <f aca="false">IF(A1846="","",IFERROR(INDEX(السندات!$D$5:$D$504,MATCH(A1846,السندات!$A$5:$A$504,0)),""))</f>
        <v/>
      </c>
      <c r="J1846" s="76" t="str">
        <f aca="false">IF(A1846="","",IF(ISNA(MATCH(A1846,السندات!$A$5:$A$504,0)),"رقم سند غير موجود ✘",IF(AND(F1846&lt;&gt;"",G1846&lt;&gt;""),"اكتب مدين أو دائن فقط ✘",IF(AND(N(F1846)=0,N(G1846)=0),"بدون مبلغ ⚠",IF(B1846&gt;12,"يتجاوز 12 بنداً في الطباعة ⚠","")))))</f>
        <v/>
      </c>
    </row>
    <row r="1847" customFormat="false" ht="15" hidden="false" customHeight="false" outlineLevel="0" collapsed="false">
      <c r="A1847" s="58"/>
      <c r="B1847" s="68" t="str">
        <f aca="false">IF(A1847="","",COUNTIF(A$5:A1847,A1847))</f>
        <v/>
      </c>
      <c r="C1847" s="68" t="str">
        <f aca="false">IF(A1847="","",A1847&amp;"-"&amp;B1847)</f>
        <v/>
      </c>
      <c r="D1847" s="58"/>
      <c r="E1847" s="57"/>
      <c r="F1847" s="69"/>
      <c r="G1847" s="69"/>
      <c r="H1847" s="70" t="str">
        <f aca="false">IF(A1847="","",IFERROR(INDEX(السندات!$C$5:$C$504,MATCH(A1847,السندات!$A$5:$A$504,0)),""))</f>
        <v/>
      </c>
      <c r="I1847" s="71" t="str">
        <f aca="false">IF(A1847="","",IFERROR(INDEX(السندات!$D$5:$D$504,MATCH(A1847,السندات!$A$5:$A$504,0)),""))</f>
        <v/>
      </c>
      <c r="J1847" s="72" t="str">
        <f aca="false">IF(A1847="","",IF(ISNA(MATCH(A1847,السندات!$A$5:$A$504,0)),"رقم سند غير موجود ✘",IF(AND(F1847&lt;&gt;"",G1847&lt;&gt;""),"اكتب مدين أو دائن فقط ✘",IF(AND(N(F1847)=0,N(G1847)=0),"بدون مبلغ ⚠",IF(B1847&gt;12,"يتجاوز 12 بنداً في الطباعة ⚠","")))))</f>
        <v/>
      </c>
    </row>
    <row r="1848" customFormat="false" ht="15" hidden="false" customHeight="false" outlineLevel="0" collapsed="false">
      <c r="A1848" s="58"/>
      <c r="B1848" s="73" t="str">
        <f aca="false">IF(A1848="","",COUNTIF(A$5:A1848,A1848))</f>
        <v/>
      </c>
      <c r="C1848" s="73" t="str">
        <f aca="false">IF(A1848="","",A1848&amp;"-"&amp;B1848)</f>
        <v/>
      </c>
      <c r="D1848" s="58"/>
      <c r="E1848" s="57"/>
      <c r="F1848" s="69"/>
      <c r="G1848" s="69"/>
      <c r="H1848" s="74" t="str">
        <f aca="false">IF(A1848="","",IFERROR(INDEX(السندات!$C$5:$C$504,MATCH(A1848,السندات!$A$5:$A$504,0)),""))</f>
        <v/>
      </c>
      <c r="I1848" s="75" t="str">
        <f aca="false">IF(A1848="","",IFERROR(INDEX(السندات!$D$5:$D$504,MATCH(A1848,السندات!$A$5:$A$504,0)),""))</f>
        <v/>
      </c>
      <c r="J1848" s="76" t="str">
        <f aca="false">IF(A1848="","",IF(ISNA(MATCH(A1848,السندات!$A$5:$A$504,0)),"رقم سند غير موجود ✘",IF(AND(F1848&lt;&gt;"",G1848&lt;&gt;""),"اكتب مدين أو دائن فقط ✘",IF(AND(N(F1848)=0,N(G1848)=0),"بدون مبلغ ⚠",IF(B1848&gt;12,"يتجاوز 12 بنداً في الطباعة ⚠","")))))</f>
        <v/>
      </c>
    </row>
    <row r="1849" customFormat="false" ht="15" hidden="false" customHeight="false" outlineLevel="0" collapsed="false">
      <c r="A1849" s="58"/>
      <c r="B1849" s="68" t="str">
        <f aca="false">IF(A1849="","",COUNTIF(A$5:A1849,A1849))</f>
        <v/>
      </c>
      <c r="C1849" s="68" t="str">
        <f aca="false">IF(A1849="","",A1849&amp;"-"&amp;B1849)</f>
        <v/>
      </c>
      <c r="D1849" s="58"/>
      <c r="E1849" s="57"/>
      <c r="F1849" s="69"/>
      <c r="G1849" s="69"/>
      <c r="H1849" s="70" t="str">
        <f aca="false">IF(A1849="","",IFERROR(INDEX(السندات!$C$5:$C$504,MATCH(A1849,السندات!$A$5:$A$504,0)),""))</f>
        <v/>
      </c>
      <c r="I1849" s="71" t="str">
        <f aca="false">IF(A1849="","",IFERROR(INDEX(السندات!$D$5:$D$504,MATCH(A1849,السندات!$A$5:$A$504,0)),""))</f>
        <v/>
      </c>
      <c r="J1849" s="72" t="str">
        <f aca="false">IF(A1849="","",IF(ISNA(MATCH(A1849,السندات!$A$5:$A$504,0)),"رقم سند غير موجود ✘",IF(AND(F1849&lt;&gt;"",G1849&lt;&gt;""),"اكتب مدين أو دائن فقط ✘",IF(AND(N(F1849)=0,N(G1849)=0),"بدون مبلغ ⚠",IF(B1849&gt;12,"يتجاوز 12 بنداً في الطباعة ⚠","")))))</f>
        <v/>
      </c>
    </row>
    <row r="1850" customFormat="false" ht="15" hidden="false" customHeight="false" outlineLevel="0" collapsed="false">
      <c r="A1850" s="58"/>
      <c r="B1850" s="73" t="str">
        <f aca="false">IF(A1850="","",COUNTIF(A$5:A1850,A1850))</f>
        <v/>
      </c>
      <c r="C1850" s="73" t="str">
        <f aca="false">IF(A1850="","",A1850&amp;"-"&amp;B1850)</f>
        <v/>
      </c>
      <c r="D1850" s="58"/>
      <c r="E1850" s="57"/>
      <c r="F1850" s="69"/>
      <c r="G1850" s="69"/>
      <c r="H1850" s="74" t="str">
        <f aca="false">IF(A1850="","",IFERROR(INDEX(السندات!$C$5:$C$504,MATCH(A1850,السندات!$A$5:$A$504,0)),""))</f>
        <v/>
      </c>
      <c r="I1850" s="75" t="str">
        <f aca="false">IF(A1850="","",IFERROR(INDEX(السندات!$D$5:$D$504,MATCH(A1850,السندات!$A$5:$A$504,0)),""))</f>
        <v/>
      </c>
      <c r="J1850" s="76" t="str">
        <f aca="false">IF(A1850="","",IF(ISNA(MATCH(A1850,السندات!$A$5:$A$504,0)),"رقم سند غير موجود ✘",IF(AND(F1850&lt;&gt;"",G1850&lt;&gt;""),"اكتب مدين أو دائن فقط ✘",IF(AND(N(F1850)=0,N(G1850)=0),"بدون مبلغ ⚠",IF(B1850&gt;12,"يتجاوز 12 بنداً في الطباعة ⚠","")))))</f>
        <v/>
      </c>
    </row>
    <row r="1851" customFormat="false" ht="15" hidden="false" customHeight="false" outlineLevel="0" collapsed="false">
      <c r="A1851" s="58"/>
      <c r="B1851" s="68" t="str">
        <f aca="false">IF(A1851="","",COUNTIF(A$5:A1851,A1851))</f>
        <v/>
      </c>
      <c r="C1851" s="68" t="str">
        <f aca="false">IF(A1851="","",A1851&amp;"-"&amp;B1851)</f>
        <v/>
      </c>
      <c r="D1851" s="58"/>
      <c r="E1851" s="57"/>
      <c r="F1851" s="69"/>
      <c r="G1851" s="69"/>
      <c r="H1851" s="70" t="str">
        <f aca="false">IF(A1851="","",IFERROR(INDEX(السندات!$C$5:$C$504,MATCH(A1851,السندات!$A$5:$A$504,0)),""))</f>
        <v/>
      </c>
      <c r="I1851" s="71" t="str">
        <f aca="false">IF(A1851="","",IFERROR(INDEX(السندات!$D$5:$D$504,MATCH(A1851,السندات!$A$5:$A$504,0)),""))</f>
        <v/>
      </c>
      <c r="J1851" s="72" t="str">
        <f aca="false">IF(A1851="","",IF(ISNA(MATCH(A1851,السندات!$A$5:$A$504,0)),"رقم سند غير موجود ✘",IF(AND(F1851&lt;&gt;"",G1851&lt;&gt;""),"اكتب مدين أو دائن فقط ✘",IF(AND(N(F1851)=0,N(G1851)=0),"بدون مبلغ ⚠",IF(B1851&gt;12,"يتجاوز 12 بنداً في الطباعة ⚠","")))))</f>
        <v/>
      </c>
    </row>
    <row r="1852" customFormat="false" ht="15" hidden="false" customHeight="false" outlineLevel="0" collapsed="false">
      <c r="A1852" s="58"/>
      <c r="B1852" s="73" t="str">
        <f aca="false">IF(A1852="","",COUNTIF(A$5:A1852,A1852))</f>
        <v/>
      </c>
      <c r="C1852" s="73" t="str">
        <f aca="false">IF(A1852="","",A1852&amp;"-"&amp;B1852)</f>
        <v/>
      </c>
      <c r="D1852" s="58"/>
      <c r="E1852" s="57"/>
      <c r="F1852" s="69"/>
      <c r="G1852" s="69"/>
      <c r="H1852" s="74" t="str">
        <f aca="false">IF(A1852="","",IFERROR(INDEX(السندات!$C$5:$C$504,MATCH(A1852,السندات!$A$5:$A$504,0)),""))</f>
        <v/>
      </c>
      <c r="I1852" s="75" t="str">
        <f aca="false">IF(A1852="","",IFERROR(INDEX(السندات!$D$5:$D$504,MATCH(A1852,السندات!$A$5:$A$504,0)),""))</f>
        <v/>
      </c>
      <c r="J1852" s="76" t="str">
        <f aca="false">IF(A1852="","",IF(ISNA(MATCH(A1852,السندات!$A$5:$A$504,0)),"رقم سند غير موجود ✘",IF(AND(F1852&lt;&gt;"",G1852&lt;&gt;""),"اكتب مدين أو دائن فقط ✘",IF(AND(N(F1852)=0,N(G1852)=0),"بدون مبلغ ⚠",IF(B1852&gt;12,"يتجاوز 12 بنداً في الطباعة ⚠","")))))</f>
        <v/>
      </c>
    </row>
    <row r="1853" customFormat="false" ht="15" hidden="false" customHeight="false" outlineLevel="0" collapsed="false">
      <c r="A1853" s="58"/>
      <c r="B1853" s="68" t="str">
        <f aca="false">IF(A1853="","",COUNTIF(A$5:A1853,A1853))</f>
        <v/>
      </c>
      <c r="C1853" s="68" t="str">
        <f aca="false">IF(A1853="","",A1853&amp;"-"&amp;B1853)</f>
        <v/>
      </c>
      <c r="D1853" s="58"/>
      <c r="E1853" s="57"/>
      <c r="F1853" s="69"/>
      <c r="G1853" s="69"/>
      <c r="H1853" s="70" t="str">
        <f aca="false">IF(A1853="","",IFERROR(INDEX(السندات!$C$5:$C$504,MATCH(A1853,السندات!$A$5:$A$504,0)),""))</f>
        <v/>
      </c>
      <c r="I1853" s="71" t="str">
        <f aca="false">IF(A1853="","",IFERROR(INDEX(السندات!$D$5:$D$504,MATCH(A1853,السندات!$A$5:$A$504,0)),""))</f>
        <v/>
      </c>
      <c r="J1853" s="72" t="str">
        <f aca="false">IF(A1853="","",IF(ISNA(MATCH(A1853,السندات!$A$5:$A$504,0)),"رقم سند غير موجود ✘",IF(AND(F1853&lt;&gt;"",G1853&lt;&gt;""),"اكتب مدين أو دائن فقط ✘",IF(AND(N(F1853)=0,N(G1853)=0),"بدون مبلغ ⚠",IF(B1853&gt;12,"يتجاوز 12 بنداً في الطباعة ⚠","")))))</f>
        <v/>
      </c>
    </row>
    <row r="1854" customFormat="false" ht="15" hidden="false" customHeight="false" outlineLevel="0" collapsed="false">
      <c r="A1854" s="58"/>
      <c r="B1854" s="73" t="str">
        <f aca="false">IF(A1854="","",COUNTIF(A$5:A1854,A1854))</f>
        <v/>
      </c>
      <c r="C1854" s="73" t="str">
        <f aca="false">IF(A1854="","",A1854&amp;"-"&amp;B1854)</f>
        <v/>
      </c>
      <c r="D1854" s="58"/>
      <c r="E1854" s="57"/>
      <c r="F1854" s="69"/>
      <c r="G1854" s="69"/>
      <c r="H1854" s="74" t="str">
        <f aca="false">IF(A1854="","",IFERROR(INDEX(السندات!$C$5:$C$504,MATCH(A1854,السندات!$A$5:$A$504,0)),""))</f>
        <v/>
      </c>
      <c r="I1854" s="75" t="str">
        <f aca="false">IF(A1854="","",IFERROR(INDEX(السندات!$D$5:$D$504,MATCH(A1854,السندات!$A$5:$A$504,0)),""))</f>
        <v/>
      </c>
      <c r="J1854" s="76" t="str">
        <f aca="false">IF(A1854="","",IF(ISNA(MATCH(A1854,السندات!$A$5:$A$504,0)),"رقم سند غير موجود ✘",IF(AND(F1854&lt;&gt;"",G1854&lt;&gt;""),"اكتب مدين أو دائن فقط ✘",IF(AND(N(F1854)=0,N(G1854)=0),"بدون مبلغ ⚠",IF(B1854&gt;12,"يتجاوز 12 بنداً في الطباعة ⚠","")))))</f>
        <v/>
      </c>
    </row>
    <row r="1855" customFormat="false" ht="15" hidden="false" customHeight="false" outlineLevel="0" collapsed="false">
      <c r="A1855" s="58"/>
      <c r="B1855" s="68" t="str">
        <f aca="false">IF(A1855="","",COUNTIF(A$5:A1855,A1855))</f>
        <v/>
      </c>
      <c r="C1855" s="68" t="str">
        <f aca="false">IF(A1855="","",A1855&amp;"-"&amp;B1855)</f>
        <v/>
      </c>
      <c r="D1855" s="58"/>
      <c r="E1855" s="57"/>
      <c r="F1855" s="69"/>
      <c r="G1855" s="69"/>
      <c r="H1855" s="70" t="str">
        <f aca="false">IF(A1855="","",IFERROR(INDEX(السندات!$C$5:$C$504,MATCH(A1855,السندات!$A$5:$A$504,0)),""))</f>
        <v/>
      </c>
      <c r="I1855" s="71" t="str">
        <f aca="false">IF(A1855="","",IFERROR(INDEX(السندات!$D$5:$D$504,MATCH(A1855,السندات!$A$5:$A$504,0)),""))</f>
        <v/>
      </c>
      <c r="J1855" s="72" t="str">
        <f aca="false">IF(A1855="","",IF(ISNA(MATCH(A1855,السندات!$A$5:$A$504,0)),"رقم سند غير موجود ✘",IF(AND(F1855&lt;&gt;"",G1855&lt;&gt;""),"اكتب مدين أو دائن فقط ✘",IF(AND(N(F1855)=0,N(G1855)=0),"بدون مبلغ ⚠",IF(B1855&gt;12,"يتجاوز 12 بنداً في الطباعة ⚠","")))))</f>
        <v/>
      </c>
    </row>
    <row r="1856" customFormat="false" ht="15" hidden="false" customHeight="false" outlineLevel="0" collapsed="false">
      <c r="A1856" s="58"/>
      <c r="B1856" s="73" t="str">
        <f aca="false">IF(A1856="","",COUNTIF(A$5:A1856,A1856))</f>
        <v/>
      </c>
      <c r="C1856" s="73" t="str">
        <f aca="false">IF(A1856="","",A1856&amp;"-"&amp;B1856)</f>
        <v/>
      </c>
      <c r="D1856" s="58"/>
      <c r="E1856" s="57"/>
      <c r="F1856" s="69"/>
      <c r="G1856" s="69"/>
      <c r="H1856" s="74" t="str">
        <f aca="false">IF(A1856="","",IFERROR(INDEX(السندات!$C$5:$C$504,MATCH(A1856,السندات!$A$5:$A$504,0)),""))</f>
        <v/>
      </c>
      <c r="I1856" s="75" t="str">
        <f aca="false">IF(A1856="","",IFERROR(INDEX(السندات!$D$5:$D$504,MATCH(A1856,السندات!$A$5:$A$504,0)),""))</f>
        <v/>
      </c>
      <c r="J1856" s="76" t="str">
        <f aca="false">IF(A1856="","",IF(ISNA(MATCH(A1856,السندات!$A$5:$A$504,0)),"رقم سند غير موجود ✘",IF(AND(F1856&lt;&gt;"",G1856&lt;&gt;""),"اكتب مدين أو دائن فقط ✘",IF(AND(N(F1856)=0,N(G1856)=0),"بدون مبلغ ⚠",IF(B1856&gt;12,"يتجاوز 12 بنداً في الطباعة ⚠","")))))</f>
        <v/>
      </c>
    </row>
    <row r="1857" customFormat="false" ht="15" hidden="false" customHeight="false" outlineLevel="0" collapsed="false">
      <c r="A1857" s="58"/>
      <c r="B1857" s="68" t="str">
        <f aca="false">IF(A1857="","",COUNTIF(A$5:A1857,A1857))</f>
        <v/>
      </c>
      <c r="C1857" s="68" t="str">
        <f aca="false">IF(A1857="","",A1857&amp;"-"&amp;B1857)</f>
        <v/>
      </c>
      <c r="D1857" s="58"/>
      <c r="E1857" s="57"/>
      <c r="F1857" s="69"/>
      <c r="G1857" s="69"/>
      <c r="H1857" s="70" t="str">
        <f aca="false">IF(A1857="","",IFERROR(INDEX(السندات!$C$5:$C$504,MATCH(A1857,السندات!$A$5:$A$504,0)),""))</f>
        <v/>
      </c>
      <c r="I1857" s="71" t="str">
        <f aca="false">IF(A1857="","",IFERROR(INDEX(السندات!$D$5:$D$504,MATCH(A1857,السندات!$A$5:$A$504,0)),""))</f>
        <v/>
      </c>
      <c r="J1857" s="72" t="str">
        <f aca="false">IF(A1857="","",IF(ISNA(MATCH(A1857,السندات!$A$5:$A$504,0)),"رقم سند غير موجود ✘",IF(AND(F1857&lt;&gt;"",G1857&lt;&gt;""),"اكتب مدين أو دائن فقط ✘",IF(AND(N(F1857)=0,N(G1857)=0),"بدون مبلغ ⚠",IF(B1857&gt;12,"يتجاوز 12 بنداً في الطباعة ⚠","")))))</f>
        <v/>
      </c>
    </row>
    <row r="1858" customFormat="false" ht="15" hidden="false" customHeight="false" outlineLevel="0" collapsed="false">
      <c r="A1858" s="58"/>
      <c r="B1858" s="73" t="str">
        <f aca="false">IF(A1858="","",COUNTIF(A$5:A1858,A1858))</f>
        <v/>
      </c>
      <c r="C1858" s="73" t="str">
        <f aca="false">IF(A1858="","",A1858&amp;"-"&amp;B1858)</f>
        <v/>
      </c>
      <c r="D1858" s="58"/>
      <c r="E1858" s="57"/>
      <c r="F1858" s="69"/>
      <c r="G1858" s="69"/>
      <c r="H1858" s="74" t="str">
        <f aca="false">IF(A1858="","",IFERROR(INDEX(السندات!$C$5:$C$504,MATCH(A1858,السندات!$A$5:$A$504,0)),""))</f>
        <v/>
      </c>
      <c r="I1858" s="75" t="str">
        <f aca="false">IF(A1858="","",IFERROR(INDEX(السندات!$D$5:$D$504,MATCH(A1858,السندات!$A$5:$A$504,0)),""))</f>
        <v/>
      </c>
      <c r="J1858" s="76" t="str">
        <f aca="false">IF(A1858="","",IF(ISNA(MATCH(A1858,السندات!$A$5:$A$504,0)),"رقم سند غير موجود ✘",IF(AND(F1858&lt;&gt;"",G1858&lt;&gt;""),"اكتب مدين أو دائن فقط ✘",IF(AND(N(F1858)=0,N(G1858)=0),"بدون مبلغ ⚠",IF(B1858&gt;12,"يتجاوز 12 بنداً في الطباعة ⚠","")))))</f>
        <v/>
      </c>
    </row>
    <row r="1859" customFormat="false" ht="15" hidden="false" customHeight="false" outlineLevel="0" collapsed="false">
      <c r="A1859" s="58"/>
      <c r="B1859" s="68" t="str">
        <f aca="false">IF(A1859="","",COUNTIF(A$5:A1859,A1859))</f>
        <v/>
      </c>
      <c r="C1859" s="68" t="str">
        <f aca="false">IF(A1859="","",A1859&amp;"-"&amp;B1859)</f>
        <v/>
      </c>
      <c r="D1859" s="58"/>
      <c r="E1859" s="57"/>
      <c r="F1859" s="69"/>
      <c r="G1859" s="69"/>
      <c r="H1859" s="70" t="str">
        <f aca="false">IF(A1859="","",IFERROR(INDEX(السندات!$C$5:$C$504,MATCH(A1859,السندات!$A$5:$A$504,0)),""))</f>
        <v/>
      </c>
      <c r="I1859" s="71" t="str">
        <f aca="false">IF(A1859="","",IFERROR(INDEX(السندات!$D$5:$D$504,MATCH(A1859,السندات!$A$5:$A$504,0)),""))</f>
        <v/>
      </c>
      <c r="J1859" s="72" t="str">
        <f aca="false">IF(A1859="","",IF(ISNA(MATCH(A1859,السندات!$A$5:$A$504,0)),"رقم سند غير موجود ✘",IF(AND(F1859&lt;&gt;"",G1859&lt;&gt;""),"اكتب مدين أو دائن فقط ✘",IF(AND(N(F1859)=0,N(G1859)=0),"بدون مبلغ ⚠",IF(B1859&gt;12,"يتجاوز 12 بنداً في الطباعة ⚠","")))))</f>
        <v/>
      </c>
    </row>
    <row r="1860" customFormat="false" ht="15" hidden="false" customHeight="false" outlineLevel="0" collapsed="false">
      <c r="A1860" s="58"/>
      <c r="B1860" s="73" t="str">
        <f aca="false">IF(A1860="","",COUNTIF(A$5:A1860,A1860))</f>
        <v/>
      </c>
      <c r="C1860" s="73" t="str">
        <f aca="false">IF(A1860="","",A1860&amp;"-"&amp;B1860)</f>
        <v/>
      </c>
      <c r="D1860" s="58"/>
      <c r="E1860" s="57"/>
      <c r="F1860" s="69"/>
      <c r="G1860" s="69"/>
      <c r="H1860" s="74" t="str">
        <f aca="false">IF(A1860="","",IFERROR(INDEX(السندات!$C$5:$C$504,MATCH(A1860,السندات!$A$5:$A$504,0)),""))</f>
        <v/>
      </c>
      <c r="I1860" s="75" t="str">
        <f aca="false">IF(A1860="","",IFERROR(INDEX(السندات!$D$5:$D$504,MATCH(A1860,السندات!$A$5:$A$504,0)),""))</f>
        <v/>
      </c>
      <c r="J1860" s="76" t="str">
        <f aca="false">IF(A1860="","",IF(ISNA(MATCH(A1860,السندات!$A$5:$A$504,0)),"رقم سند غير موجود ✘",IF(AND(F1860&lt;&gt;"",G1860&lt;&gt;""),"اكتب مدين أو دائن فقط ✘",IF(AND(N(F1860)=0,N(G1860)=0),"بدون مبلغ ⚠",IF(B1860&gt;12,"يتجاوز 12 بنداً في الطباعة ⚠","")))))</f>
        <v/>
      </c>
    </row>
    <row r="1861" customFormat="false" ht="15" hidden="false" customHeight="false" outlineLevel="0" collapsed="false">
      <c r="A1861" s="58"/>
      <c r="B1861" s="68" t="str">
        <f aca="false">IF(A1861="","",COUNTIF(A$5:A1861,A1861))</f>
        <v/>
      </c>
      <c r="C1861" s="68" t="str">
        <f aca="false">IF(A1861="","",A1861&amp;"-"&amp;B1861)</f>
        <v/>
      </c>
      <c r="D1861" s="58"/>
      <c r="E1861" s="57"/>
      <c r="F1861" s="69"/>
      <c r="G1861" s="69"/>
      <c r="H1861" s="70" t="str">
        <f aca="false">IF(A1861="","",IFERROR(INDEX(السندات!$C$5:$C$504,MATCH(A1861,السندات!$A$5:$A$504,0)),""))</f>
        <v/>
      </c>
      <c r="I1861" s="71" t="str">
        <f aca="false">IF(A1861="","",IFERROR(INDEX(السندات!$D$5:$D$504,MATCH(A1861,السندات!$A$5:$A$504,0)),""))</f>
        <v/>
      </c>
      <c r="J1861" s="72" t="str">
        <f aca="false">IF(A1861="","",IF(ISNA(MATCH(A1861,السندات!$A$5:$A$504,0)),"رقم سند غير موجود ✘",IF(AND(F1861&lt;&gt;"",G1861&lt;&gt;""),"اكتب مدين أو دائن فقط ✘",IF(AND(N(F1861)=0,N(G1861)=0),"بدون مبلغ ⚠",IF(B1861&gt;12,"يتجاوز 12 بنداً في الطباعة ⚠","")))))</f>
        <v/>
      </c>
    </row>
    <row r="1862" customFormat="false" ht="15" hidden="false" customHeight="false" outlineLevel="0" collapsed="false">
      <c r="A1862" s="58"/>
      <c r="B1862" s="73" t="str">
        <f aca="false">IF(A1862="","",COUNTIF(A$5:A1862,A1862))</f>
        <v/>
      </c>
      <c r="C1862" s="73" t="str">
        <f aca="false">IF(A1862="","",A1862&amp;"-"&amp;B1862)</f>
        <v/>
      </c>
      <c r="D1862" s="58"/>
      <c r="E1862" s="57"/>
      <c r="F1862" s="69"/>
      <c r="G1862" s="69"/>
      <c r="H1862" s="74" t="str">
        <f aca="false">IF(A1862="","",IFERROR(INDEX(السندات!$C$5:$C$504,MATCH(A1862,السندات!$A$5:$A$504,0)),""))</f>
        <v/>
      </c>
      <c r="I1862" s="75" t="str">
        <f aca="false">IF(A1862="","",IFERROR(INDEX(السندات!$D$5:$D$504,MATCH(A1862,السندات!$A$5:$A$504,0)),""))</f>
        <v/>
      </c>
      <c r="J1862" s="76" t="str">
        <f aca="false">IF(A1862="","",IF(ISNA(MATCH(A1862,السندات!$A$5:$A$504,0)),"رقم سند غير موجود ✘",IF(AND(F1862&lt;&gt;"",G1862&lt;&gt;""),"اكتب مدين أو دائن فقط ✘",IF(AND(N(F1862)=0,N(G1862)=0),"بدون مبلغ ⚠",IF(B1862&gt;12,"يتجاوز 12 بنداً في الطباعة ⚠","")))))</f>
        <v/>
      </c>
    </row>
    <row r="1863" customFormat="false" ht="15" hidden="false" customHeight="false" outlineLevel="0" collapsed="false">
      <c r="A1863" s="58"/>
      <c r="B1863" s="68" t="str">
        <f aca="false">IF(A1863="","",COUNTIF(A$5:A1863,A1863))</f>
        <v/>
      </c>
      <c r="C1863" s="68" t="str">
        <f aca="false">IF(A1863="","",A1863&amp;"-"&amp;B1863)</f>
        <v/>
      </c>
      <c r="D1863" s="58"/>
      <c r="E1863" s="57"/>
      <c r="F1863" s="69"/>
      <c r="G1863" s="69"/>
      <c r="H1863" s="70" t="str">
        <f aca="false">IF(A1863="","",IFERROR(INDEX(السندات!$C$5:$C$504,MATCH(A1863,السندات!$A$5:$A$504,0)),""))</f>
        <v/>
      </c>
      <c r="I1863" s="71" t="str">
        <f aca="false">IF(A1863="","",IFERROR(INDEX(السندات!$D$5:$D$504,MATCH(A1863,السندات!$A$5:$A$504,0)),""))</f>
        <v/>
      </c>
      <c r="J1863" s="72" t="str">
        <f aca="false">IF(A1863="","",IF(ISNA(MATCH(A1863,السندات!$A$5:$A$504,0)),"رقم سند غير موجود ✘",IF(AND(F1863&lt;&gt;"",G1863&lt;&gt;""),"اكتب مدين أو دائن فقط ✘",IF(AND(N(F1863)=0,N(G1863)=0),"بدون مبلغ ⚠",IF(B1863&gt;12,"يتجاوز 12 بنداً في الطباعة ⚠","")))))</f>
        <v/>
      </c>
    </row>
    <row r="1864" customFormat="false" ht="15" hidden="false" customHeight="false" outlineLevel="0" collapsed="false">
      <c r="A1864" s="58"/>
      <c r="B1864" s="73" t="str">
        <f aca="false">IF(A1864="","",COUNTIF(A$5:A1864,A1864))</f>
        <v/>
      </c>
      <c r="C1864" s="73" t="str">
        <f aca="false">IF(A1864="","",A1864&amp;"-"&amp;B1864)</f>
        <v/>
      </c>
      <c r="D1864" s="58"/>
      <c r="E1864" s="57"/>
      <c r="F1864" s="69"/>
      <c r="G1864" s="69"/>
      <c r="H1864" s="74" t="str">
        <f aca="false">IF(A1864="","",IFERROR(INDEX(السندات!$C$5:$C$504,MATCH(A1864,السندات!$A$5:$A$504,0)),""))</f>
        <v/>
      </c>
      <c r="I1864" s="75" t="str">
        <f aca="false">IF(A1864="","",IFERROR(INDEX(السندات!$D$5:$D$504,MATCH(A1864,السندات!$A$5:$A$504,0)),""))</f>
        <v/>
      </c>
      <c r="J1864" s="76" t="str">
        <f aca="false">IF(A1864="","",IF(ISNA(MATCH(A1864,السندات!$A$5:$A$504,0)),"رقم سند غير موجود ✘",IF(AND(F1864&lt;&gt;"",G1864&lt;&gt;""),"اكتب مدين أو دائن فقط ✘",IF(AND(N(F1864)=0,N(G1864)=0),"بدون مبلغ ⚠",IF(B1864&gt;12,"يتجاوز 12 بنداً في الطباعة ⚠","")))))</f>
        <v/>
      </c>
    </row>
    <row r="1865" customFormat="false" ht="15" hidden="false" customHeight="false" outlineLevel="0" collapsed="false">
      <c r="A1865" s="58"/>
      <c r="B1865" s="68" t="str">
        <f aca="false">IF(A1865="","",COUNTIF(A$5:A1865,A1865))</f>
        <v/>
      </c>
      <c r="C1865" s="68" t="str">
        <f aca="false">IF(A1865="","",A1865&amp;"-"&amp;B1865)</f>
        <v/>
      </c>
      <c r="D1865" s="58"/>
      <c r="E1865" s="57"/>
      <c r="F1865" s="69"/>
      <c r="G1865" s="69"/>
      <c r="H1865" s="70" t="str">
        <f aca="false">IF(A1865="","",IFERROR(INDEX(السندات!$C$5:$C$504,MATCH(A1865,السندات!$A$5:$A$504,0)),""))</f>
        <v/>
      </c>
      <c r="I1865" s="71" t="str">
        <f aca="false">IF(A1865="","",IFERROR(INDEX(السندات!$D$5:$D$504,MATCH(A1865,السندات!$A$5:$A$504,0)),""))</f>
        <v/>
      </c>
      <c r="J1865" s="72" t="str">
        <f aca="false">IF(A1865="","",IF(ISNA(MATCH(A1865,السندات!$A$5:$A$504,0)),"رقم سند غير موجود ✘",IF(AND(F1865&lt;&gt;"",G1865&lt;&gt;""),"اكتب مدين أو دائن فقط ✘",IF(AND(N(F1865)=0,N(G1865)=0),"بدون مبلغ ⚠",IF(B1865&gt;12,"يتجاوز 12 بنداً في الطباعة ⚠","")))))</f>
        <v/>
      </c>
    </row>
    <row r="1866" customFormat="false" ht="15" hidden="false" customHeight="false" outlineLevel="0" collapsed="false">
      <c r="A1866" s="58"/>
      <c r="B1866" s="73" t="str">
        <f aca="false">IF(A1866="","",COUNTIF(A$5:A1866,A1866))</f>
        <v/>
      </c>
      <c r="C1866" s="73" t="str">
        <f aca="false">IF(A1866="","",A1866&amp;"-"&amp;B1866)</f>
        <v/>
      </c>
      <c r="D1866" s="58"/>
      <c r="E1866" s="57"/>
      <c r="F1866" s="69"/>
      <c r="G1866" s="69"/>
      <c r="H1866" s="74" t="str">
        <f aca="false">IF(A1866="","",IFERROR(INDEX(السندات!$C$5:$C$504,MATCH(A1866,السندات!$A$5:$A$504,0)),""))</f>
        <v/>
      </c>
      <c r="I1866" s="75" t="str">
        <f aca="false">IF(A1866="","",IFERROR(INDEX(السندات!$D$5:$D$504,MATCH(A1866,السندات!$A$5:$A$504,0)),""))</f>
        <v/>
      </c>
      <c r="J1866" s="76" t="str">
        <f aca="false">IF(A1866="","",IF(ISNA(MATCH(A1866,السندات!$A$5:$A$504,0)),"رقم سند غير موجود ✘",IF(AND(F1866&lt;&gt;"",G1866&lt;&gt;""),"اكتب مدين أو دائن فقط ✘",IF(AND(N(F1866)=0,N(G1866)=0),"بدون مبلغ ⚠",IF(B1866&gt;12,"يتجاوز 12 بنداً في الطباعة ⚠","")))))</f>
        <v/>
      </c>
    </row>
    <row r="1867" customFormat="false" ht="15" hidden="false" customHeight="false" outlineLevel="0" collapsed="false">
      <c r="A1867" s="58"/>
      <c r="B1867" s="68" t="str">
        <f aca="false">IF(A1867="","",COUNTIF(A$5:A1867,A1867))</f>
        <v/>
      </c>
      <c r="C1867" s="68" t="str">
        <f aca="false">IF(A1867="","",A1867&amp;"-"&amp;B1867)</f>
        <v/>
      </c>
      <c r="D1867" s="58"/>
      <c r="E1867" s="57"/>
      <c r="F1867" s="69"/>
      <c r="G1867" s="69"/>
      <c r="H1867" s="70" t="str">
        <f aca="false">IF(A1867="","",IFERROR(INDEX(السندات!$C$5:$C$504,MATCH(A1867,السندات!$A$5:$A$504,0)),""))</f>
        <v/>
      </c>
      <c r="I1867" s="71" t="str">
        <f aca="false">IF(A1867="","",IFERROR(INDEX(السندات!$D$5:$D$504,MATCH(A1867,السندات!$A$5:$A$504,0)),""))</f>
        <v/>
      </c>
      <c r="J1867" s="72" t="str">
        <f aca="false">IF(A1867="","",IF(ISNA(MATCH(A1867,السندات!$A$5:$A$504,0)),"رقم سند غير موجود ✘",IF(AND(F1867&lt;&gt;"",G1867&lt;&gt;""),"اكتب مدين أو دائن فقط ✘",IF(AND(N(F1867)=0,N(G1867)=0),"بدون مبلغ ⚠",IF(B1867&gt;12,"يتجاوز 12 بنداً في الطباعة ⚠","")))))</f>
        <v/>
      </c>
    </row>
    <row r="1868" customFormat="false" ht="15" hidden="false" customHeight="false" outlineLevel="0" collapsed="false">
      <c r="A1868" s="58"/>
      <c r="B1868" s="73" t="str">
        <f aca="false">IF(A1868="","",COUNTIF(A$5:A1868,A1868))</f>
        <v/>
      </c>
      <c r="C1868" s="73" t="str">
        <f aca="false">IF(A1868="","",A1868&amp;"-"&amp;B1868)</f>
        <v/>
      </c>
      <c r="D1868" s="58"/>
      <c r="E1868" s="57"/>
      <c r="F1868" s="69"/>
      <c r="G1868" s="69"/>
      <c r="H1868" s="74" t="str">
        <f aca="false">IF(A1868="","",IFERROR(INDEX(السندات!$C$5:$C$504,MATCH(A1868,السندات!$A$5:$A$504,0)),""))</f>
        <v/>
      </c>
      <c r="I1868" s="75" t="str">
        <f aca="false">IF(A1868="","",IFERROR(INDEX(السندات!$D$5:$D$504,MATCH(A1868,السندات!$A$5:$A$504,0)),""))</f>
        <v/>
      </c>
      <c r="J1868" s="76" t="str">
        <f aca="false">IF(A1868="","",IF(ISNA(MATCH(A1868,السندات!$A$5:$A$504,0)),"رقم سند غير موجود ✘",IF(AND(F1868&lt;&gt;"",G1868&lt;&gt;""),"اكتب مدين أو دائن فقط ✘",IF(AND(N(F1868)=0,N(G1868)=0),"بدون مبلغ ⚠",IF(B1868&gt;12,"يتجاوز 12 بنداً في الطباعة ⚠","")))))</f>
        <v/>
      </c>
    </row>
    <row r="1869" customFormat="false" ht="15" hidden="false" customHeight="false" outlineLevel="0" collapsed="false">
      <c r="A1869" s="58"/>
      <c r="B1869" s="68" t="str">
        <f aca="false">IF(A1869="","",COUNTIF(A$5:A1869,A1869))</f>
        <v/>
      </c>
      <c r="C1869" s="68" t="str">
        <f aca="false">IF(A1869="","",A1869&amp;"-"&amp;B1869)</f>
        <v/>
      </c>
      <c r="D1869" s="58"/>
      <c r="E1869" s="57"/>
      <c r="F1869" s="69"/>
      <c r="G1869" s="69"/>
      <c r="H1869" s="70" t="str">
        <f aca="false">IF(A1869="","",IFERROR(INDEX(السندات!$C$5:$C$504,MATCH(A1869,السندات!$A$5:$A$504,0)),""))</f>
        <v/>
      </c>
      <c r="I1869" s="71" t="str">
        <f aca="false">IF(A1869="","",IFERROR(INDEX(السندات!$D$5:$D$504,MATCH(A1869,السندات!$A$5:$A$504,0)),""))</f>
        <v/>
      </c>
      <c r="J1869" s="72" t="str">
        <f aca="false">IF(A1869="","",IF(ISNA(MATCH(A1869,السندات!$A$5:$A$504,0)),"رقم سند غير موجود ✘",IF(AND(F1869&lt;&gt;"",G1869&lt;&gt;""),"اكتب مدين أو دائن فقط ✘",IF(AND(N(F1869)=0,N(G1869)=0),"بدون مبلغ ⚠",IF(B1869&gt;12,"يتجاوز 12 بنداً في الطباعة ⚠","")))))</f>
        <v/>
      </c>
    </row>
    <row r="1870" customFormat="false" ht="15" hidden="false" customHeight="false" outlineLevel="0" collapsed="false">
      <c r="A1870" s="58"/>
      <c r="B1870" s="73" t="str">
        <f aca="false">IF(A1870="","",COUNTIF(A$5:A1870,A1870))</f>
        <v/>
      </c>
      <c r="C1870" s="73" t="str">
        <f aca="false">IF(A1870="","",A1870&amp;"-"&amp;B1870)</f>
        <v/>
      </c>
      <c r="D1870" s="58"/>
      <c r="E1870" s="57"/>
      <c r="F1870" s="69"/>
      <c r="G1870" s="69"/>
      <c r="H1870" s="74" t="str">
        <f aca="false">IF(A1870="","",IFERROR(INDEX(السندات!$C$5:$C$504,MATCH(A1870,السندات!$A$5:$A$504,0)),""))</f>
        <v/>
      </c>
      <c r="I1870" s="75" t="str">
        <f aca="false">IF(A1870="","",IFERROR(INDEX(السندات!$D$5:$D$504,MATCH(A1870,السندات!$A$5:$A$504,0)),""))</f>
        <v/>
      </c>
      <c r="J1870" s="76" t="str">
        <f aca="false">IF(A1870="","",IF(ISNA(MATCH(A1870,السندات!$A$5:$A$504,0)),"رقم سند غير موجود ✘",IF(AND(F1870&lt;&gt;"",G1870&lt;&gt;""),"اكتب مدين أو دائن فقط ✘",IF(AND(N(F1870)=0,N(G1870)=0),"بدون مبلغ ⚠",IF(B1870&gt;12,"يتجاوز 12 بنداً في الطباعة ⚠","")))))</f>
        <v/>
      </c>
    </row>
    <row r="1871" customFormat="false" ht="15" hidden="false" customHeight="false" outlineLevel="0" collapsed="false">
      <c r="A1871" s="58"/>
      <c r="B1871" s="68" t="str">
        <f aca="false">IF(A1871="","",COUNTIF(A$5:A1871,A1871))</f>
        <v/>
      </c>
      <c r="C1871" s="68" t="str">
        <f aca="false">IF(A1871="","",A1871&amp;"-"&amp;B1871)</f>
        <v/>
      </c>
      <c r="D1871" s="58"/>
      <c r="E1871" s="57"/>
      <c r="F1871" s="69"/>
      <c r="G1871" s="69"/>
      <c r="H1871" s="70" t="str">
        <f aca="false">IF(A1871="","",IFERROR(INDEX(السندات!$C$5:$C$504,MATCH(A1871,السندات!$A$5:$A$504,0)),""))</f>
        <v/>
      </c>
      <c r="I1871" s="71" t="str">
        <f aca="false">IF(A1871="","",IFERROR(INDEX(السندات!$D$5:$D$504,MATCH(A1871,السندات!$A$5:$A$504,0)),""))</f>
        <v/>
      </c>
      <c r="J1871" s="72" t="str">
        <f aca="false">IF(A1871="","",IF(ISNA(MATCH(A1871,السندات!$A$5:$A$504,0)),"رقم سند غير موجود ✘",IF(AND(F1871&lt;&gt;"",G1871&lt;&gt;""),"اكتب مدين أو دائن فقط ✘",IF(AND(N(F1871)=0,N(G1871)=0),"بدون مبلغ ⚠",IF(B1871&gt;12,"يتجاوز 12 بنداً في الطباعة ⚠","")))))</f>
        <v/>
      </c>
    </row>
    <row r="1872" customFormat="false" ht="15" hidden="false" customHeight="false" outlineLevel="0" collapsed="false">
      <c r="A1872" s="58"/>
      <c r="B1872" s="73" t="str">
        <f aca="false">IF(A1872="","",COUNTIF(A$5:A1872,A1872))</f>
        <v/>
      </c>
      <c r="C1872" s="73" t="str">
        <f aca="false">IF(A1872="","",A1872&amp;"-"&amp;B1872)</f>
        <v/>
      </c>
      <c r="D1872" s="58"/>
      <c r="E1872" s="57"/>
      <c r="F1872" s="69"/>
      <c r="G1872" s="69"/>
      <c r="H1872" s="74" t="str">
        <f aca="false">IF(A1872="","",IFERROR(INDEX(السندات!$C$5:$C$504,MATCH(A1872,السندات!$A$5:$A$504,0)),""))</f>
        <v/>
      </c>
      <c r="I1872" s="75" t="str">
        <f aca="false">IF(A1872="","",IFERROR(INDEX(السندات!$D$5:$D$504,MATCH(A1872,السندات!$A$5:$A$504,0)),""))</f>
        <v/>
      </c>
      <c r="J1872" s="76" t="str">
        <f aca="false">IF(A1872="","",IF(ISNA(MATCH(A1872,السندات!$A$5:$A$504,0)),"رقم سند غير موجود ✘",IF(AND(F1872&lt;&gt;"",G1872&lt;&gt;""),"اكتب مدين أو دائن فقط ✘",IF(AND(N(F1872)=0,N(G1872)=0),"بدون مبلغ ⚠",IF(B1872&gt;12,"يتجاوز 12 بنداً في الطباعة ⚠","")))))</f>
        <v/>
      </c>
    </row>
    <row r="1873" customFormat="false" ht="15" hidden="false" customHeight="false" outlineLevel="0" collapsed="false">
      <c r="A1873" s="58"/>
      <c r="B1873" s="68" t="str">
        <f aca="false">IF(A1873="","",COUNTIF(A$5:A1873,A1873))</f>
        <v/>
      </c>
      <c r="C1873" s="68" t="str">
        <f aca="false">IF(A1873="","",A1873&amp;"-"&amp;B1873)</f>
        <v/>
      </c>
      <c r="D1873" s="58"/>
      <c r="E1873" s="57"/>
      <c r="F1873" s="69"/>
      <c r="G1873" s="69"/>
      <c r="H1873" s="70" t="str">
        <f aca="false">IF(A1873="","",IFERROR(INDEX(السندات!$C$5:$C$504,MATCH(A1873,السندات!$A$5:$A$504,0)),""))</f>
        <v/>
      </c>
      <c r="I1873" s="71" t="str">
        <f aca="false">IF(A1873="","",IFERROR(INDEX(السندات!$D$5:$D$504,MATCH(A1873,السندات!$A$5:$A$504,0)),""))</f>
        <v/>
      </c>
      <c r="J1873" s="72" t="str">
        <f aca="false">IF(A1873="","",IF(ISNA(MATCH(A1873,السندات!$A$5:$A$504,0)),"رقم سند غير موجود ✘",IF(AND(F1873&lt;&gt;"",G1873&lt;&gt;""),"اكتب مدين أو دائن فقط ✘",IF(AND(N(F1873)=0,N(G1873)=0),"بدون مبلغ ⚠",IF(B1873&gt;12,"يتجاوز 12 بنداً في الطباعة ⚠","")))))</f>
        <v/>
      </c>
    </row>
    <row r="1874" customFormat="false" ht="15" hidden="false" customHeight="false" outlineLevel="0" collapsed="false">
      <c r="A1874" s="58"/>
      <c r="B1874" s="73" t="str">
        <f aca="false">IF(A1874="","",COUNTIF(A$5:A1874,A1874))</f>
        <v/>
      </c>
      <c r="C1874" s="73" t="str">
        <f aca="false">IF(A1874="","",A1874&amp;"-"&amp;B1874)</f>
        <v/>
      </c>
      <c r="D1874" s="58"/>
      <c r="E1874" s="57"/>
      <c r="F1874" s="69"/>
      <c r="G1874" s="69"/>
      <c r="H1874" s="74" t="str">
        <f aca="false">IF(A1874="","",IFERROR(INDEX(السندات!$C$5:$C$504,MATCH(A1874,السندات!$A$5:$A$504,0)),""))</f>
        <v/>
      </c>
      <c r="I1874" s="75" t="str">
        <f aca="false">IF(A1874="","",IFERROR(INDEX(السندات!$D$5:$D$504,MATCH(A1874,السندات!$A$5:$A$504,0)),""))</f>
        <v/>
      </c>
      <c r="J1874" s="76" t="str">
        <f aca="false">IF(A1874="","",IF(ISNA(MATCH(A1874,السندات!$A$5:$A$504,0)),"رقم سند غير موجود ✘",IF(AND(F1874&lt;&gt;"",G1874&lt;&gt;""),"اكتب مدين أو دائن فقط ✘",IF(AND(N(F1874)=0,N(G1874)=0),"بدون مبلغ ⚠",IF(B1874&gt;12,"يتجاوز 12 بنداً في الطباعة ⚠","")))))</f>
        <v/>
      </c>
    </row>
    <row r="1875" customFormat="false" ht="15" hidden="false" customHeight="false" outlineLevel="0" collapsed="false">
      <c r="A1875" s="58"/>
      <c r="B1875" s="68" t="str">
        <f aca="false">IF(A1875="","",COUNTIF(A$5:A1875,A1875))</f>
        <v/>
      </c>
      <c r="C1875" s="68" t="str">
        <f aca="false">IF(A1875="","",A1875&amp;"-"&amp;B1875)</f>
        <v/>
      </c>
      <c r="D1875" s="58"/>
      <c r="E1875" s="57"/>
      <c r="F1875" s="69"/>
      <c r="G1875" s="69"/>
      <c r="H1875" s="70" t="str">
        <f aca="false">IF(A1875="","",IFERROR(INDEX(السندات!$C$5:$C$504,MATCH(A1875,السندات!$A$5:$A$504,0)),""))</f>
        <v/>
      </c>
      <c r="I1875" s="71" t="str">
        <f aca="false">IF(A1875="","",IFERROR(INDEX(السندات!$D$5:$D$504,MATCH(A1875,السندات!$A$5:$A$504,0)),""))</f>
        <v/>
      </c>
      <c r="J1875" s="72" t="str">
        <f aca="false">IF(A1875="","",IF(ISNA(MATCH(A1875,السندات!$A$5:$A$504,0)),"رقم سند غير موجود ✘",IF(AND(F1875&lt;&gt;"",G1875&lt;&gt;""),"اكتب مدين أو دائن فقط ✘",IF(AND(N(F1875)=0,N(G1875)=0),"بدون مبلغ ⚠",IF(B1875&gt;12,"يتجاوز 12 بنداً في الطباعة ⚠","")))))</f>
        <v/>
      </c>
    </row>
    <row r="1876" customFormat="false" ht="15" hidden="false" customHeight="false" outlineLevel="0" collapsed="false">
      <c r="A1876" s="58"/>
      <c r="B1876" s="73" t="str">
        <f aca="false">IF(A1876="","",COUNTIF(A$5:A1876,A1876))</f>
        <v/>
      </c>
      <c r="C1876" s="73" t="str">
        <f aca="false">IF(A1876="","",A1876&amp;"-"&amp;B1876)</f>
        <v/>
      </c>
      <c r="D1876" s="58"/>
      <c r="E1876" s="57"/>
      <c r="F1876" s="69"/>
      <c r="G1876" s="69"/>
      <c r="H1876" s="74" t="str">
        <f aca="false">IF(A1876="","",IFERROR(INDEX(السندات!$C$5:$C$504,MATCH(A1876,السندات!$A$5:$A$504,0)),""))</f>
        <v/>
      </c>
      <c r="I1876" s="75" t="str">
        <f aca="false">IF(A1876="","",IFERROR(INDEX(السندات!$D$5:$D$504,MATCH(A1876,السندات!$A$5:$A$504,0)),""))</f>
        <v/>
      </c>
      <c r="J1876" s="76" t="str">
        <f aca="false">IF(A1876="","",IF(ISNA(MATCH(A1876,السندات!$A$5:$A$504,0)),"رقم سند غير موجود ✘",IF(AND(F1876&lt;&gt;"",G1876&lt;&gt;""),"اكتب مدين أو دائن فقط ✘",IF(AND(N(F1876)=0,N(G1876)=0),"بدون مبلغ ⚠",IF(B1876&gt;12,"يتجاوز 12 بنداً في الطباعة ⚠","")))))</f>
        <v/>
      </c>
    </row>
    <row r="1877" customFormat="false" ht="15" hidden="false" customHeight="false" outlineLevel="0" collapsed="false">
      <c r="A1877" s="58"/>
      <c r="B1877" s="68" t="str">
        <f aca="false">IF(A1877="","",COUNTIF(A$5:A1877,A1877))</f>
        <v/>
      </c>
      <c r="C1877" s="68" t="str">
        <f aca="false">IF(A1877="","",A1877&amp;"-"&amp;B1877)</f>
        <v/>
      </c>
      <c r="D1877" s="58"/>
      <c r="E1877" s="57"/>
      <c r="F1877" s="69"/>
      <c r="G1877" s="69"/>
      <c r="H1877" s="70" t="str">
        <f aca="false">IF(A1877="","",IFERROR(INDEX(السندات!$C$5:$C$504,MATCH(A1877,السندات!$A$5:$A$504,0)),""))</f>
        <v/>
      </c>
      <c r="I1877" s="71" t="str">
        <f aca="false">IF(A1877="","",IFERROR(INDEX(السندات!$D$5:$D$504,MATCH(A1877,السندات!$A$5:$A$504,0)),""))</f>
        <v/>
      </c>
      <c r="J1877" s="72" t="str">
        <f aca="false">IF(A1877="","",IF(ISNA(MATCH(A1877,السندات!$A$5:$A$504,0)),"رقم سند غير موجود ✘",IF(AND(F1877&lt;&gt;"",G1877&lt;&gt;""),"اكتب مدين أو دائن فقط ✘",IF(AND(N(F1877)=0,N(G1877)=0),"بدون مبلغ ⚠",IF(B1877&gt;12,"يتجاوز 12 بنداً في الطباعة ⚠","")))))</f>
        <v/>
      </c>
    </row>
    <row r="1878" customFormat="false" ht="15" hidden="false" customHeight="false" outlineLevel="0" collapsed="false">
      <c r="A1878" s="58"/>
      <c r="B1878" s="73" t="str">
        <f aca="false">IF(A1878="","",COUNTIF(A$5:A1878,A1878))</f>
        <v/>
      </c>
      <c r="C1878" s="73" t="str">
        <f aca="false">IF(A1878="","",A1878&amp;"-"&amp;B1878)</f>
        <v/>
      </c>
      <c r="D1878" s="58"/>
      <c r="E1878" s="57"/>
      <c r="F1878" s="69"/>
      <c r="G1878" s="69"/>
      <c r="H1878" s="74" t="str">
        <f aca="false">IF(A1878="","",IFERROR(INDEX(السندات!$C$5:$C$504,MATCH(A1878,السندات!$A$5:$A$504,0)),""))</f>
        <v/>
      </c>
      <c r="I1878" s="75" t="str">
        <f aca="false">IF(A1878="","",IFERROR(INDEX(السندات!$D$5:$D$504,MATCH(A1878,السندات!$A$5:$A$504,0)),""))</f>
        <v/>
      </c>
      <c r="J1878" s="76" t="str">
        <f aca="false">IF(A1878="","",IF(ISNA(MATCH(A1878,السندات!$A$5:$A$504,0)),"رقم سند غير موجود ✘",IF(AND(F1878&lt;&gt;"",G1878&lt;&gt;""),"اكتب مدين أو دائن فقط ✘",IF(AND(N(F1878)=0,N(G1878)=0),"بدون مبلغ ⚠",IF(B1878&gt;12,"يتجاوز 12 بنداً في الطباعة ⚠","")))))</f>
        <v/>
      </c>
    </row>
    <row r="1879" customFormat="false" ht="15" hidden="false" customHeight="false" outlineLevel="0" collapsed="false">
      <c r="A1879" s="58"/>
      <c r="B1879" s="68" t="str">
        <f aca="false">IF(A1879="","",COUNTIF(A$5:A1879,A1879))</f>
        <v/>
      </c>
      <c r="C1879" s="68" t="str">
        <f aca="false">IF(A1879="","",A1879&amp;"-"&amp;B1879)</f>
        <v/>
      </c>
      <c r="D1879" s="58"/>
      <c r="E1879" s="57"/>
      <c r="F1879" s="69"/>
      <c r="G1879" s="69"/>
      <c r="H1879" s="70" t="str">
        <f aca="false">IF(A1879="","",IFERROR(INDEX(السندات!$C$5:$C$504,MATCH(A1879,السندات!$A$5:$A$504,0)),""))</f>
        <v/>
      </c>
      <c r="I1879" s="71" t="str">
        <f aca="false">IF(A1879="","",IFERROR(INDEX(السندات!$D$5:$D$504,MATCH(A1879,السندات!$A$5:$A$504,0)),""))</f>
        <v/>
      </c>
      <c r="J1879" s="72" t="str">
        <f aca="false">IF(A1879="","",IF(ISNA(MATCH(A1879,السندات!$A$5:$A$504,0)),"رقم سند غير موجود ✘",IF(AND(F1879&lt;&gt;"",G1879&lt;&gt;""),"اكتب مدين أو دائن فقط ✘",IF(AND(N(F1879)=0,N(G1879)=0),"بدون مبلغ ⚠",IF(B1879&gt;12,"يتجاوز 12 بنداً في الطباعة ⚠","")))))</f>
        <v/>
      </c>
    </row>
    <row r="1880" customFormat="false" ht="15" hidden="false" customHeight="false" outlineLevel="0" collapsed="false">
      <c r="A1880" s="58"/>
      <c r="B1880" s="73" t="str">
        <f aca="false">IF(A1880="","",COUNTIF(A$5:A1880,A1880))</f>
        <v/>
      </c>
      <c r="C1880" s="73" t="str">
        <f aca="false">IF(A1880="","",A1880&amp;"-"&amp;B1880)</f>
        <v/>
      </c>
      <c r="D1880" s="58"/>
      <c r="E1880" s="57"/>
      <c r="F1880" s="69"/>
      <c r="G1880" s="69"/>
      <c r="H1880" s="74" t="str">
        <f aca="false">IF(A1880="","",IFERROR(INDEX(السندات!$C$5:$C$504,MATCH(A1880,السندات!$A$5:$A$504,0)),""))</f>
        <v/>
      </c>
      <c r="I1880" s="75" t="str">
        <f aca="false">IF(A1880="","",IFERROR(INDEX(السندات!$D$5:$D$504,MATCH(A1880,السندات!$A$5:$A$504,0)),""))</f>
        <v/>
      </c>
      <c r="J1880" s="76" t="str">
        <f aca="false">IF(A1880="","",IF(ISNA(MATCH(A1880,السندات!$A$5:$A$504,0)),"رقم سند غير موجود ✘",IF(AND(F1880&lt;&gt;"",G1880&lt;&gt;""),"اكتب مدين أو دائن فقط ✘",IF(AND(N(F1880)=0,N(G1880)=0),"بدون مبلغ ⚠",IF(B1880&gt;12,"يتجاوز 12 بنداً في الطباعة ⚠","")))))</f>
        <v/>
      </c>
    </row>
    <row r="1881" customFormat="false" ht="15" hidden="false" customHeight="false" outlineLevel="0" collapsed="false">
      <c r="A1881" s="58"/>
      <c r="B1881" s="68" t="str">
        <f aca="false">IF(A1881="","",COUNTIF(A$5:A1881,A1881))</f>
        <v/>
      </c>
      <c r="C1881" s="68" t="str">
        <f aca="false">IF(A1881="","",A1881&amp;"-"&amp;B1881)</f>
        <v/>
      </c>
      <c r="D1881" s="58"/>
      <c r="E1881" s="57"/>
      <c r="F1881" s="69"/>
      <c r="G1881" s="69"/>
      <c r="H1881" s="70" t="str">
        <f aca="false">IF(A1881="","",IFERROR(INDEX(السندات!$C$5:$C$504,MATCH(A1881,السندات!$A$5:$A$504,0)),""))</f>
        <v/>
      </c>
      <c r="I1881" s="71" t="str">
        <f aca="false">IF(A1881="","",IFERROR(INDEX(السندات!$D$5:$D$504,MATCH(A1881,السندات!$A$5:$A$504,0)),""))</f>
        <v/>
      </c>
      <c r="J1881" s="72" t="str">
        <f aca="false">IF(A1881="","",IF(ISNA(MATCH(A1881,السندات!$A$5:$A$504,0)),"رقم سند غير موجود ✘",IF(AND(F1881&lt;&gt;"",G1881&lt;&gt;""),"اكتب مدين أو دائن فقط ✘",IF(AND(N(F1881)=0,N(G1881)=0),"بدون مبلغ ⚠",IF(B1881&gt;12,"يتجاوز 12 بنداً في الطباعة ⚠","")))))</f>
        <v/>
      </c>
    </row>
    <row r="1882" customFormat="false" ht="15" hidden="false" customHeight="false" outlineLevel="0" collapsed="false">
      <c r="A1882" s="58"/>
      <c r="B1882" s="73" t="str">
        <f aca="false">IF(A1882="","",COUNTIF(A$5:A1882,A1882))</f>
        <v/>
      </c>
      <c r="C1882" s="73" t="str">
        <f aca="false">IF(A1882="","",A1882&amp;"-"&amp;B1882)</f>
        <v/>
      </c>
      <c r="D1882" s="58"/>
      <c r="E1882" s="57"/>
      <c r="F1882" s="69"/>
      <c r="G1882" s="69"/>
      <c r="H1882" s="74" t="str">
        <f aca="false">IF(A1882="","",IFERROR(INDEX(السندات!$C$5:$C$504,MATCH(A1882,السندات!$A$5:$A$504,0)),""))</f>
        <v/>
      </c>
      <c r="I1882" s="75" t="str">
        <f aca="false">IF(A1882="","",IFERROR(INDEX(السندات!$D$5:$D$504,MATCH(A1882,السندات!$A$5:$A$504,0)),""))</f>
        <v/>
      </c>
      <c r="J1882" s="76" t="str">
        <f aca="false">IF(A1882="","",IF(ISNA(MATCH(A1882,السندات!$A$5:$A$504,0)),"رقم سند غير موجود ✘",IF(AND(F1882&lt;&gt;"",G1882&lt;&gt;""),"اكتب مدين أو دائن فقط ✘",IF(AND(N(F1882)=0,N(G1882)=0),"بدون مبلغ ⚠",IF(B1882&gt;12,"يتجاوز 12 بنداً في الطباعة ⚠","")))))</f>
        <v/>
      </c>
    </row>
    <row r="1883" customFormat="false" ht="15" hidden="false" customHeight="false" outlineLevel="0" collapsed="false">
      <c r="A1883" s="58"/>
      <c r="B1883" s="68" t="str">
        <f aca="false">IF(A1883="","",COUNTIF(A$5:A1883,A1883))</f>
        <v/>
      </c>
      <c r="C1883" s="68" t="str">
        <f aca="false">IF(A1883="","",A1883&amp;"-"&amp;B1883)</f>
        <v/>
      </c>
      <c r="D1883" s="58"/>
      <c r="E1883" s="57"/>
      <c r="F1883" s="69"/>
      <c r="G1883" s="69"/>
      <c r="H1883" s="70" t="str">
        <f aca="false">IF(A1883="","",IFERROR(INDEX(السندات!$C$5:$C$504,MATCH(A1883,السندات!$A$5:$A$504,0)),""))</f>
        <v/>
      </c>
      <c r="I1883" s="71" t="str">
        <f aca="false">IF(A1883="","",IFERROR(INDEX(السندات!$D$5:$D$504,MATCH(A1883,السندات!$A$5:$A$504,0)),""))</f>
        <v/>
      </c>
      <c r="J1883" s="72" t="str">
        <f aca="false">IF(A1883="","",IF(ISNA(MATCH(A1883,السندات!$A$5:$A$504,0)),"رقم سند غير موجود ✘",IF(AND(F1883&lt;&gt;"",G1883&lt;&gt;""),"اكتب مدين أو دائن فقط ✘",IF(AND(N(F1883)=0,N(G1883)=0),"بدون مبلغ ⚠",IF(B1883&gt;12,"يتجاوز 12 بنداً في الطباعة ⚠","")))))</f>
        <v/>
      </c>
    </row>
    <row r="1884" customFormat="false" ht="15" hidden="false" customHeight="false" outlineLevel="0" collapsed="false">
      <c r="A1884" s="58"/>
      <c r="B1884" s="73" t="str">
        <f aca="false">IF(A1884="","",COUNTIF(A$5:A1884,A1884))</f>
        <v/>
      </c>
      <c r="C1884" s="73" t="str">
        <f aca="false">IF(A1884="","",A1884&amp;"-"&amp;B1884)</f>
        <v/>
      </c>
      <c r="D1884" s="58"/>
      <c r="E1884" s="57"/>
      <c r="F1884" s="69"/>
      <c r="G1884" s="69"/>
      <c r="H1884" s="74" t="str">
        <f aca="false">IF(A1884="","",IFERROR(INDEX(السندات!$C$5:$C$504,MATCH(A1884,السندات!$A$5:$A$504,0)),""))</f>
        <v/>
      </c>
      <c r="I1884" s="75" t="str">
        <f aca="false">IF(A1884="","",IFERROR(INDEX(السندات!$D$5:$D$504,MATCH(A1884,السندات!$A$5:$A$504,0)),""))</f>
        <v/>
      </c>
      <c r="J1884" s="76" t="str">
        <f aca="false">IF(A1884="","",IF(ISNA(MATCH(A1884,السندات!$A$5:$A$504,0)),"رقم سند غير موجود ✘",IF(AND(F1884&lt;&gt;"",G1884&lt;&gt;""),"اكتب مدين أو دائن فقط ✘",IF(AND(N(F1884)=0,N(G1884)=0),"بدون مبلغ ⚠",IF(B1884&gt;12,"يتجاوز 12 بنداً في الطباعة ⚠","")))))</f>
        <v/>
      </c>
    </row>
    <row r="1885" customFormat="false" ht="15" hidden="false" customHeight="false" outlineLevel="0" collapsed="false">
      <c r="A1885" s="58"/>
      <c r="B1885" s="68" t="str">
        <f aca="false">IF(A1885="","",COUNTIF(A$5:A1885,A1885))</f>
        <v/>
      </c>
      <c r="C1885" s="68" t="str">
        <f aca="false">IF(A1885="","",A1885&amp;"-"&amp;B1885)</f>
        <v/>
      </c>
      <c r="D1885" s="58"/>
      <c r="E1885" s="57"/>
      <c r="F1885" s="69"/>
      <c r="G1885" s="69"/>
      <c r="H1885" s="70" t="str">
        <f aca="false">IF(A1885="","",IFERROR(INDEX(السندات!$C$5:$C$504,MATCH(A1885,السندات!$A$5:$A$504,0)),""))</f>
        <v/>
      </c>
      <c r="I1885" s="71" t="str">
        <f aca="false">IF(A1885="","",IFERROR(INDEX(السندات!$D$5:$D$504,MATCH(A1885,السندات!$A$5:$A$504,0)),""))</f>
        <v/>
      </c>
      <c r="J1885" s="72" t="str">
        <f aca="false">IF(A1885="","",IF(ISNA(MATCH(A1885,السندات!$A$5:$A$504,0)),"رقم سند غير موجود ✘",IF(AND(F1885&lt;&gt;"",G1885&lt;&gt;""),"اكتب مدين أو دائن فقط ✘",IF(AND(N(F1885)=0,N(G1885)=0),"بدون مبلغ ⚠",IF(B1885&gt;12,"يتجاوز 12 بنداً في الطباعة ⚠","")))))</f>
        <v/>
      </c>
    </row>
    <row r="1886" customFormat="false" ht="15" hidden="false" customHeight="false" outlineLevel="0" collapsed="false">
      <c r="A1886" s="58"/>
      <c r="B1886" s="73" t="str">
        <f aca="false">IF(A1886="","",COUNTIF(A$5:A1886,A1886))</f>
        <v/>
      </c>
      <c r="C1886" s="73" t="str">
        <f aca="false">IF(A1886="","",A1886&amp;"-"&amp;B1886)</f>
        <v/>
      </c>
      <c r="D1886" s="58"/>
      <c r="E1886" s="57"/>
      <c r="F1886" s="69"/>
      <c r="G1886" s="69"/>
      <c r="H1886" s="74" t="str">
        <f aca="false">IF(A1886="","",IFERROR(INDEX(السندات!$C$5:$C$504,MATCH(A1886,السندات!$A$5:$A$504,0)),""))</f>
        <v/>
      </c>
      <c r="I1886" s="75" t="str">
        <f aca="false">IF(A1886="","",IFERROR(INDEX(السندات!$D$5:$D$504,MATCH(A1886,السندات!$A$5:$A$504,0)),""))</f>
        <v/>
      </c>
      <c r="J1886" s="76" t="str">
        <f aca="false">IF(A1886="","",IF(ISNA(MATCH(A1886,السندات!$A$5:$A$504,0)),"رقم سند غير موجود ✘",IF(AND(F1886&lt;&gt;"",G1886&lt;&gt;""),"اكتب مدين أو دائن فقط ✘",IF(AND(N(F1886)=0,N(G1886)=0),"بدون مبلغ ⚠",IF(B1886&gt;12,"يتجاوز 12 بنداً في الطباعة ⚠","")))))</f>
        <v/>
      </c>
    </row>
    <row r="1887" customFormat="false" ht="15" hidden="false" customHeight="false" outlineLevel="0" collapsed="false">
      <c r="A1887" s="58"/>
      <c r="B1887" s="68" t="str">
        <f aca="false">IF(A1887="","",COUNTIF(A$5:A1887,A1887))</f>
        <v/>
      </c>
      <c r="C1887" s="68" t="str">
        <f aca="false">IF(A1887="","",A1887&amp;"-"&amp;B1887)</f>
        <v/>
      </c>
      <c r="D1887" s="58"/>
      <c r="E1887" s="57"/>
      <c r="F1887" s="69"/>
      <c r="G1887" s="69"/>
      <c r="H1887" s="70" t="str">
        <f aca="false">IF(A1887="","",IFERROR(INDEX(السندات!$C$5:$C$504,MATCH(A1887,السندات!$A$5:$A$504,0)),""))</f>
        <v/>
      </c>
      <c r="I1887" s="71" t="str">
        <f aca="false">IF(A1887="","",IFERROR(INDEX(السندات!$D$5:$D$504,MATCH(A1887,السندات!$A$5:$A$504,0)),""))</f>
        <v/>
      </c>
      <c r="J1887" s="72" t="str">
        <f aca="false">IF(A1887="","",IF(ISNA(MATCH(A1887,السندات!$A$5:$A$504,0)),"رقم سند غير موجود ✘",IF(AND(F1887&lt;&gt;"",G1887&lt;&gt;""),"اكتب مدين أو دائن فقط ✘",IF(AND(N(F1887)=0,N(G1887)=0),"بدون مبلغ ⚠",IF(B1887&gt;12,"يتجاوز 12 بنداً في الطباعة ⚠","")))))</f>
        <v/>
      </c>
    </row>
    <row r="1888" customFormat="false" ht="15" hidden="false" customHeight="false" outlineLevel="0" collapsed="false">
      <c r="A1888" s="58"/>
      <c r="B1888" s="73" t="str">
        <f aca="false">IF(A1888="","",COUNTIF(A$5:A1888,A1888))</f>
        <v/>
      </c>
      <c r="C1888" s="73" t="str">
        <f aca="false">IF(A1888="","",A1888&amp;"-"&amp;B1888)</f>
        <v/>
      </c>
      <c r="D1888" s="58"/>
      <c r="E1888" s="57"/>
      <c r="F1888" s="69"/>
      <c r="G1888" s="69"/>
      <c r="H1888" s="74" t="str">
        <f aca="false">IF(A1888="","",IFERROR(INDEX(السندات!$C$5:$C$504,MATCH(A1888,السندات!$A$5:$A$504,0)),""))</f>
        <v/>
      </c>
      <c r="I1888" s="75" t="str">
        <f aca="false">IF(A1888="","",IFERROR(INDEX(السندات!$D$5:$D$504,MATCH(A1888,السندات!$A$5:$A$504,0)),""))</f>
        <v/>
      </c>
      <c r="J1888" s="76" t="str">
        <f aca="false">IF(A1888="","",IF(ISNA(MATCH(A1888,السندات!$A$5:$A$504,0)),"رقم سند غير موجود ✘",IF(AND(F1888&lt;&gt;"",G1888&lt;&gt;""),"اكتب مدين أو دائن فقط ✘",IF(AND(N(F1888)=0,N(G1888)=0),"بدون مبلغ ⚠",IF(B1888&gt;12,"يتجاوز 12 بنداً في الطباعة ⚠","")))))</f>
        <v/>
      </c>
    </row>
    <row r="1889" customFormat="false" ht="15" hidden="false" customHeight="false" outlineLevel="0" collapsed="false">
      <c r="A1889" s="58"/>
      <c r="B1889" s="68" t="str">
        <f aca="false">IF(A1889="","",COUNTIF(A$5:A1889,A1889))</f>
        <v/>
      </c>
      <c r="C1889" s="68" t="str">
        <f aca="false">IF(A1889="","",A1889&amp;"-"&amp;B1889)</f>
        <v/>
      </c>
      <c r="D1889" s="58"/>
      <c r="E1889" s="57"/>
      <c r="F1889" s="69"/>
      <c r="G1889" s="69"/>
      <c r="H1889" s="70" t="str">
        <f aca="false">IF(A1889="","",IFERROR(INDEX(السندات!$C$5:$C$504,MATCH(A1889,السندات!$A$5:$A$504,0)),""))</f>
        <v/>
      </c>
      <c r="I1889" s="71" t="str">
        <f aca="false">IF(A1889="","",IFERROR(INDEX(السندات!$D$5:$D$504,MATCH(A1889,السندات!$A$5:$A$504,0)),""))</f>
        <v/>
      </c>
      <c r="J1889" s="72" t="str">
        <f aca="false">IF(A1889="","",IF(ISNA(MATCH(A1889,السندات!$A$5:$A$504,0)),"رقم سند غير موجود ✘",IF(AND(F1889&lt;&gt;"",G1889&lt;&gt;""),"اكتب مدين أو دائن فقط ✘",IF(AND(N(F1889)=0,N(G1889)=0),"بدون مبلغ ⚠",IF(B1889&gt;12,"يتجاوز 12 بنداً في الطباعة ⚠","")))))</f>
        <v/>
      </c>
    </row>
    <row r="1890" customFormat="false" ht="15" hidden="false" customHeight="false" outlineLevel="0" collapsed="false">
      <c r="A1890" s="58"/>
      <c r="B1890" s="73" t="str">
        <f aca="false">IF(A1890="","",COUNTIF(A$5:A1890,A1890))</f>
        <v/>
      </c>
      <c r="C1890" s="73" t="str">
        <f aca="false">IF(A1890="","",A1890&amp;"-"&amp;B1890)</f>
        <v/>
      </c>
      <c r="D1890" s="58"/>
      <c r="E1890" s="57"/>
      <c r="F1890" s="69"/>
      <c r="G1890" s="69"/>
      <c r="H1890" s="74" t="str">
        <f aca="false">IF(A1890="","",IFERROR(INDEX(السندات!$C$5:$C$504,MATCH(A1890,السندات!$A$5:$A$504,0)),""))</f>
        <v/>
      </c>
      <c r="I1890" s="75" t="str">
        <f aca="false">IF(A1890="","",IFERROR(INDEX(السندات!$D$5:$D$504,MATCH(A1890,السندات!$A$5:$A$504,0)),""))</f>
        <v/>
      </c>
      <c r="J1890" s="76" t="str">
        <f aca="false">IF(A1890="","",IF(ISNA(MATCH(A1890,السندات!$A$5:$A$504,0)),"رقم سند غير موجود ✘",IF(AND(F1890&lt;&gt;"",G1890&lt;&gt;""),"اكتب مدين أو دائن فقط ✘",IF(AND(N(F1890)=0,N(G1890)=0),"بدون مبلغ ⚠",IF(B1890&gt;12,"يتجاوز 12 بنداً في الطباعة ⚠","")))))</f>
        <v/>
      </c>
    </row>
    <row r="1891" customFormat="false" ht="15" hidden="false" customHeight="false" outlineLevel="0" collapsed="false">
      <c r="A1891" s="58"/>
      <c r="B1891" s="68" t="str">
        <f aca="false">IF(A1891="","",COUNTIF(A$5:A1891,A1891))</f>
        <v/>
      </c>
      <c r="C1891" s="68" t="str">
        <f aca="false">IF(A1891="","",A1891&amp;"-"&amp;B1891)</f>
        <v/>
      </c>
      <c r="D1891" s="58"/>
      <c r="E1891" s="57"/>
      <c r="F1891" s="69"/>
      <c r="G1891" s="69"/>
      <c r="H1891" s="70" t="str">
        <f aca="false">IF(A1891="","",IFERROR(INDEX(السندات!$C$5:$C$504,MATCH(A1891,السندات!$A$5:$A$504,0)),""))</f>
        <v/>
      </c>
      <c r="I1891" s="71" t="str">
        <f aca="false">IF(A1891="","",IFERROR(INDEX(السندات!$D$5:$D$504,MATCH(A1891,السندات!$A$5:$A$504,0)),""))</f>
        <v/>
      </c>
      <c r="J1891" s="72" t="str">
        <f aca="false">IF(A1891="","",IF(ISNA(MATCH(A1891,السندات!$A$5:$A$504,0)),"رقم سند غير موجود ✘",IF(AND(F1891&lt;&gt;"",G1891&lt;&gt;""),"اكتب مدين أو دائن فقط ✘",IF(AND(N(F1891)=0,N(G1891)=0),"بدون مبلغ ⚠",IF(B1891&gt;12,"يتجاوز 12 بنداً في الطباعة ⚠","")))))</f>
        <v/>
      </c>
    </row>
    <row r="1892" customFormat="false" ht="15" hidden="false" customHeight="false" outlineLevel="0" collapsed="false">
      <c r="A1892" s="58"/>
      <c r="B1892" s="73" t="str">
        <f aca="false">IF(A1892="","",COUNTIF(A$5:A1892,A1892))</f>
        <v/>
      </c>
      <c r="C1892" s="73" t="str">
        <f aca="false">IF(A1892="","",A1892&amp;"-"&amp;B1892)</f>
        <v/>
      </c>
      <c r="D1892" s="58"/>
      <c r="E1892" s="57"/>
      <c r="F1892" s="69"/>
      <c r="G1892" s="69"/>
      <c r="H1892" s="74" t="str">
        <f aca="false">IF(A1892="","",IFERROR(INDEX(السندات!$C$5:$C$504,MATCH(A1892,السندات!$A$5:$A$504,0)),""))</f>
        <v/>
      </c>
      <c r="I1892" s="75" t="str">
        <f aca="false">IF(A1892="","",IFERROR(INDEX(السندات!$D$5:$D$504,MATCH(A1892,السندات!$A$5:$A$504,0)),""))</f>
        <v/>
      </c>
      <c r="J1892" s="76" t="str">
        <f aca="false">IF(A1892="","",IF(ISNA(MATCH(A1892,السندات!$A$5:$A$504,0)),"رقم سند غير موجود ✘",IF(AND(F1892&lt;&gt;"",G1892&lt;&gt;""),"اكتب مدين أو دائن فقط ✘",IF(AND(N(F1892)=0,N(G1892)=0),"بدون مبلغ ⚠",IF(B1892&gt;12,"يتجاوز 12 بنداً في الطباعة ⚠","")))))</f>
        <v/>
      </c>
    </row>
    <row r="1893" customFormat="false" ht="15" hidden="false" customHeight="false" outlineLevel="0" collapsed="false">
      <c r="A1893" s="58"/>
      <c r="B1893" s="68" t="str">
        <f aca="false">IF(A1893="","",COUNTIF(A$5:A1893,A1893))</f>
        <v/>
      </c>
      <c r="C1893" s="68" t="str">
        <f aca="false">IF(A1893="","",A1893&amp;"-"&amp;B1893)</f>
        <v/>
      </c>
      <c r="D1893" s="58"/>
      <c r="E1893" s="57"/>
      <c r="F1893" s="69"/>
      <c r="G1893" s="69"/>
      <c r="H1893" s="70" t="str">
        <f aca="false">IF(A1893="","",IFERROR(INDEX(السندات!$C$5:$C$504,MATCH(A1893,السندات!$A$5:$A$504,0)),""))</f>
        <v/>
      </c>
      <c r="I1893" s="71" t="str">
        <f aca="false">IF(A1893="","",IFERROR(INDEX(السندات!$D$5:$D$504,MATCH(A1893,السندات!$A$5:$A$504,0)),""))</f>
        <v/>
      </c>
      <c r="J1893" s="72" t="str">
        <f aca="false">IF(A1893="","",IF(ISNA(MATCH(A1893,السندات!$A$5:$A$504,0)),"رقم سند غير موجود ✘",IF(AND(F1893&lt;&gt;"",G1893&lt;&gt;""),"اكتب مدين أو دائن فقط ✘",IF(AND(N(F1893)=0,N(G1893)=0),"بدون مبلغ ⚠",IF(B1893&gt;12,"يتجاوز 12 بنداً في الطباعة ⚠","")))))</f>
        <v/>
      </c>
    </row>
    <row r="1894" customFormat="false" ht="15" hidden="false" customHeight="false" outlineLevel="0" collapsed="false">
      <c r="A1894" s="58"/>
      <c r="B1894" s="73" t="str">
        <f aca="false">IF(A1894="","",COUNTIF(A$5:A1894,A1894))</f>
        <v/>
      </c>
      <c r="C1894" s="73" t="str">
        <f aca="false">IF(A1894="","",A1894&amp;"-"&amp;B1894)</f>
        <v/>
      </c>
      <c r="D1894" s="58"/>
      <c r="E1894" s="57"/>
      <c r="F1894" s="69"/>
      <c r="G1894" s="69"/>
      <c r="H1894" s="74" t="str">
        <f aca="false">IF(A1894="","",IFERROR(INDEX(السندات!$C$5:$C$504,MATCH(A1894,السندات!$A$5:$A$504,0)),""))</f>
        <v/>
      </c>
      <c r="I1894" s="75" t="str">
        <f aca="false">IF(A1894="","",IFERROR(INDEX(السندات!$D$5:$D$504,MATCH(A1894,السندات!$A$5:$A$504,0)),""))</f>
        <v/>
      </c>
      <c r="J1894" s="76" t="str">
        <f aca="false">IF(A1894="","",IF(ISNA(MATCH(A1894,السندات!$A$5:$A$504,0)),"رقم سند غير موجود ✘",IF(AND(F1894&lt;&gt;"",G1894&lt;&gt;""),"اكتب مدين أو دائن فقط ✘",IF(AND(N(F1894)=0,N(G1894)=0),"بدون مبلغ ⚠",IF(B1894&gt;12,"يتجاوز 12 بنداً في الطباعة ⚠","")))))</f>
        <v/>
      </c>
    </row>
    <row r="1895" customFormat="false" ht="15" hidden="false" customHeight="false" outlineLevel="0" collapsed="false">
      <c r="A1895" s="58"/>
      <c r="B1895" s="68" t="str">
        <f aca="false">IF(A1895="","",COUNTIF(A$5:A1895,A1895))</f>
        <v/>
      </c>
      <c r="C1895" s="68" t="str">
        <f aca="false">IF(A1895="","",A1895&amp;"-"&amp;B1895)</f>
        <v/>
      </c>
      <c r="D1895" s="58"/>
      <c r="E1895" s="57"/>
      <c r="F1895" s="69"/>
      <c r="G1895" s="69"/>
      <c r="H1895" s="70" t="str">
        <f aca="false">IF(A1895="","",IFERROR(INDEX(السندات!$C$5:$C$504,MATCH(A1895,السندات!$A$5:$A$504,0)),""))</f>
        <v/>
      </c>
      <c r="I1895" s="71" t="str">
        <f aca="false">IF(A1895="","",IFERROR(INDEX(السندات!$D$5:$D$504,MATCH(A1895,السندات!$A$5:$A$504,0)),""))</f>
        <v/>
      </c>
      <c r="J1895" s="72" t="str">
        <f aca="false">IF(A1895="","",IF(ISNA(MATCH(A1895,السندات!$A$5:$A$504,0)),"رقم سند غير موجود ✘",IF(AND(F1895&lt;&gt;"",G1895&lt;&gt;""),"اكتب مدين أو دائن فقط ✘",IF(AND(N(F1895)=0,N(G1895)=0),"بدون مبلغ ⚠",IF(B1895&gt;12,"يتجاوز 12 بنداً في الطباعة ⚠","")))))</f>
        <v/>
      </c>
    </row>
    <row r="1896" customFormat="false" ht="15" hidden="false" customHeight="false" outlineLevel="0" collapsed="false">
      <c r="A1896" s="58"/>
      <c r="B1896" s="73" t="str">
        <f aca="false">IF(A1896="","",COUNTIF(A$5:A1896,A1896))</f>
        <v/>
      </c>
      <c r="C1896" s="73" t="str">
        <f aca="false">IF(A1896="","",A1896&amp;"-"&amp;B1896)</f>
        <v/>
      </c>
      <c r="D1896" s="58"/>
      <c r="E1896" s="57"/>
      <c r="F1896" s="69"/>
      <c r="G1896" s="69"/>
      <c r="H1896" s="74" t="str">
        <f aca="false">IF(A1896="","",IFERROR(INDEX(السندات!$C$5:$C$504,MATCH(A1896,السندات!$A$5:$A$504,0)),""))</f>
        <v/>
      </c>
      <c r="I1896" s="75" t="str">
        <f aca="false">IF(A1896="","",IFERROR(INDEX(السندات!$D$5:$D$504,MATCH(A1896,السندات!$A$5:$A$504,0)),""))</f>
        <v/>
      </c>
      <c r="J1896" s="76" t="str">
        <f aca="false">IF(A1896="","",IF(ISNA(MATCH(A1896,السندات!$A$5:$A$504,0)),"رقم سند غير موجود ✘",IF(AND(F1896&lt;&gt;"",G1896&lt;&gt;""),"اكتب مدين أو دائن فقط ✘",IF(AND(N(F1896)=0,N(G1896)=0),"بدون مبلغ ⚠",IF(B1896&gt;12,"يتجاوز 12 بنداً في الطباعة ⚠","")))))</f>
        <v/>
      </c>
    </row>
    <row r="1897" customFormat="false" ht="15" hidden="false" customHeight="false" outlineLevel="0" collapsed="false">
      <c r="A1897" s="58"/>
      <c r="B1897" s="68" t="str">
        <f aca="false">IF(A1897="","",COUNTIF(A$5:A1897,A1897))</f>
        <v/>
      </c>
      <c r="C1897" s="68" t="str">
        <f aca="false">IF(A1897="","",A1897&amp;"-"&amp;B1897)</f>
        <v/>
      </c>
      <c r="D1897" s="58"/>
      <c r="E1897" s="57"/>
      <c r="F1897" s="69"/>
      <c r="G1897" s="69"/>
      <c r="H1897" s="70" t="str">
        <f aca="false">IF(A1897="","",IFERROR(INDEX(السندات!$C$5:$C$504,MATCH(A1897,السندات!$A$5:$A$504,0)),""))</f>
        <v/>
      </c>
      <c r="I1897" s="71" t="str">
        <f aca="false">IF(A1897="","",IFERROR(INDEX(السندات!$D$5:$D$504,MATCH(A1897,السندات!$A$5:$A$504,0)),""))</f>
        <v/>
      </c>
      <c r="J1897" s="72" t="str">
        <f aca="false">IF(A1897="","",IF(ISNA(MATCH(A1897,السندات!$A$5:$A$504,0)),"رقم سند غير موجود ✘",IF(AND(F1897&lt;&gt;"",G1897&lt;&gt;""),"اكتب مدين أو دائن فقط ✘",IF(AND(N(F1897)=0,N(G1897)=0),"بدون مبلغ ⚠",IF(B1897&gt;12,"يتجاوز 12 بنداً في الطباعة ⚠","")))))</f>
        <v/>
      </c>
    </row>
    <row r="1898" customFormat="false" ht="15" hidden="false" customHeight="false" outlineLevel="0" collapsed="false">
      <c r="A1898" s="58"/>
      <c r="B1898" s="73" t="str">
        <f aca="false">IF(A1898="","",COUNTIF(A$5:A1898,A1898))</f>
        <v/>
      </c>
      <c r="C1898" s="73" t="str">
        <f aca="false">IF(A1898="","",A1898&amp;"-"&amp;B1898)</f>
        <v/>
      </c>
      <c r="D1898" s="58"/>
      <c r="E1898" s="57"/>
      <c r="F1898" s="69"/>
      <c r="G1898" s="69"/>
      <c r="H1898" s="74" t="str">
        <f aca="false">IF(A1898="","",IFERROR(INDEX(السندات!$C$5:$C$504,MATCH(A1898,السندات!$A$5:$A$504,0)),""))</f>
        <v/>
      </c>
      <c r="I1898" s="75" t="str">
        <f aca="false">IF(A1898="","",IFERROR(INDEX(السندات!$D$5:$D$504,MATCH(A1898,السندات!$A$5:$A$504,0)),""))</f>
        <v/>
      </c>
      <c r="J1898" s="76" t="str">
        <f aca="false">IF(A1898="","",IF(ISNA(MATCH(A1898,السندات!$A$5:$A$504,0)),"رقم سند غير موجود ✘",IF(AND(F1898&lt;&gt;"",G1898&lt;&gt;""),"اكتب مدين أو دائن فقط ✘",IF(AND(N(F1898)=0,N(G1898)=0),"بدون مبلغ ⚠",IF(B1898&gt;12,"يتجاوز 12 بنداً في الطباعة ⚠","")))))</f>
        <v/>
      </c>
    </row>
    <row r="1899" customFormat="false" ht="15" hidden="false" customHeight="false" outlineLevel="0" collapsed="false">
      <c r="A1899" s="58"/>
      <c r="B1899" s="68" t="str">
        <f aca="false">IF(A1899="","",COUNTIF(A$5:A1899,A1899))</f>
        <v/>
      </c>
      <c r="C1899" s="68" t="str">
        <f aca="false">IF(A1899="","",A1899&amp;"-"&amp;B1899)</f>
        <v/>
      </c>
      <c r="D1899" s="58"/>
      <c r="E1899" s="57"/>
      <c r="F1899" s="69"/>
      <c r="G1899" s="69"/>
      <c r="H1899" s="70" t="str">
        <f aca="false">IF(A1899="","",IFERROR(INDEX(السندات!$C$5:$C$504,MATCH(A1899,السندات!$A$5:$A$504,0)),""))</f>
        <v/>
      </c>
      <c r="I1899" s="71" t="str">
        <f aca="false">IF(A1899="","",IFERROR(INDEX(السندات!$D$5:$D$504,MATCH(A1899,السندات!$A$5:$A$504,0)),""))</f>
        <v/>
      </c>
      <c r="J1899" s="72" t="str">
        <f aca="false">IF(A1899="","",IF(ISNA(MATCH(A1899,السندات!$A$5:$A$504,0)),"رقم سند غير موجود ✘",IF(AND(F1899&lt;&gt;"",G1899&lt;&gt;""),"اكتب مدين أو دائن فقط ✘",IF(AND(N(F1899)=0,N(G1899)=0),"بدون مبلغ ⚠",IF(B1899&gt;12,"يتجاوز 12 بنداً في الطباعة ⚠","")))))</f>
        <v/>
      </c>
    </row>
    <row r="1900" customFormat="false" ht="15" hidden="false" customHeight="false" outlineLevel="0" collapsed="false">
      <c r="A1900" s="58"/>
      <c r="B1900" s="73" t="str">
        <f aca="false">IF(A1900="","",COUNTIF(A$5:A1900,A1900))</f>
        <v/>
      </c>
      <c r="C1900" s="73" t="str">
        <f aca="false">IF(A1900="","",A1900&amp;"-"&amp;B1900)</f>
        <v/>
      </c>
      <c r="D1900" s="58"/>
      <c r="E1900" s="57"/>
      <c r="F1900" s="69"/>
      <c r="G1900" s="69"/>
      <c r="H1900" s="74" t="str">
        <f aca="false">IF(A1900="","",IFERROR(INDEX(السندات!$C$5:$C$504,MATCH(A1900,السندات!$A$5:$A$504,0)),""))</f>
        <v/>
      </c>
      <c r="I1900" s="75" t="str">
        <f aca="false">IF(A1900="","",IFERROR(INDEX(السندات!$D$5:$D$504,MATCH(A1900,السندات!$A$5:$A$504,0)),""))</f>
        <v/>
      </c>
      <c r="J1900" s="76" t="str">
        <f aca="false">IF(A1900="","",IF(ISNA(MATCH(A1900,السندات!$A$5:$A$504,0)),"رقم سند غير موجود ✘",IF(AND(F1900&lt;&gt;"",G1900&lt;&gt;""),"اكتب مدين أو دائن فقط ✘",IF(AND(N(F1900)=0,N(G1900)=0),"بدون مبلغ ⚠",IF(B1900&gt;12,"يتجاوز 12 بنداً في الطباعة ⚠","")))))</f>
        <v/>
      </c>
    </row>
    <row r="1901" customFormat="false" ht="15" hidden="false" customHeight="false" outlineLevel="0" collapsed="false">
      <c r="A1901" s="58"/>
      <c r="B1901" s="68" t="str">
        <f aca="false">IF(A1901="","",COUNTIF(A$5:A1901,A1901))</f>
        <v/>
      </c>
      <c r="C1901" s="68" t="str">
        <f aca="false">IF(A1901="","",A1901&amp;"-"&amp;B1901)</f>
        <v/>
      </c>
      <c r="D1901" s="58"/>
      <c r="E1901" s="57"/>
      <c r="F1901" s="69"/>
      <c r="G1901" s="69"/>
      <c r="H1901" s="70" t="str">
        <f aca="false">IF(A1901="","",IFERROR(INDEX(السندات!$C$5:$C$504,MATCH(A1901,السندات!$A$5:$A$504,0)),""))</f>
        <v/>
      </c>
      <c r="I1901" s="71" t="str">
        <f aca="false">IF(A1901="","",IFERROR(INDEX(السندات!$D$5:$D$504,MATCH(A1901,السندات!$A$5:$A$504,0)),""))</f>
        <v/>
      </c>
      <c r="J1901" s="72" t="str">
        <f aca="false">IF(A1901="","",IF(ISNA(MATCH(A1901,السندات!$A$5:$A$504,0)),"رقم سند غير موجود ✘",IF(AND(F1901&lt;&gt;"",G1901&lt;&gt;""),"اكتب مدين أو دائن فقط ✘",IF(AND(N(F1901)=0,N(G1901)=0),"بدون مبلغ ⚠",IF(B1901&gt;12,"يتجاوز 12 بنداً في الطباعة ⚠","")))))</f>
        <v/>
      </c>
    </row>
    <row r="1902" customFormat="false" ht="15" hidden="false" customHeight="false" outlineLevel="0" collapsed="false">
      <c r="A1902" s="58"/>
      <c r="B1902" s="73" t="str">
        <f aca="false">IF(A1902="","",COUNTIF(A$5:A1902,A1902))</f>
        <v/>
      </c>
      <c r="C1902" s="73" t="str">
        <f aca="false">IF(A1902="","",A1902&amp;"-"&amp;B1902)</f>
        <v/>
      </c>
      <c r="D1902" s="58"/>
      <c r="E1902" s="57"/>
      <c r="F1902" s="69"/>
      <c r="G1902" s="69"/>
      <c r="H1902" s="74" t="str">
        <f aca="false">IF(A1902="","",IFERROR(INDEX(السندات!$C$5:$C$504,MATCH(A1902,السندات!$A$5:$A$504,0)),""))</f>
        <v/>
      </c>
      <c r="I1902" s="75" t="str">
        <f aca="false">IF(A1902="","",IFERROR(INDEX(السندات!$D$5:$D$504,MATCH(A1902,السندات!$A$5:$A$504,0)),""))</f>
        <v/>
      </c>
      <c r="J1902" s="76" t="str">
        <f aca="false">IF(A1902="","",IF(ISNA(MATCH(A1902,السندات!$A$5:$A$504,0)),"رقم سند غير موجود ✘",IF(AND(F1902&lt;&gt;"",G1902&lt;&gt;""),"اكتب مدين أو دائن فقط ✘",IF(AND(N(F1902)=0,N(G1902)=0),"بدون مبلغ ⚠",IF(B1902&gt;12,"يتجاوز 12 بنداً في الطباعة ⚠","")))))</f>
        <v/>
      </c>
    </row>
    <row r="1903" customFormat="false" ht="15" hidden="false" customHeight="false" outlineLevel="0" collapsed="false">
      <c r="A1903" s="58"/>
      <c r="B1903" s="68" t="str">
        <f aca="false">IF(A1903="","",COUNTIF(A$5:A1903,A1903))</f>
        <v/>
      </c>
      <c r="C1903" s="68" t="str">
        <f aca="false">IF(A1903="","",A1903&amp;"-"&amp;B1903)</f>
        <v/>
      </c>
      <c r="D1903" s="58"/>
      <c r="E1903" s="57"/>
      <c r="F1903" s="69"/>
      <c r="G1903" s="69"/>
      <c r="H1903" s="70" t="str">
        <f aca="false">IF(A1903="","",IFERROR(INDEX(السندات!$C$5:$C$504,MATCH(A1903,السندات!$A$5:$A$504,0)),""))</f>
        <v/>
      </c>
      <c r="I1903" s="71" t="str">
        <f aca="false">IF(A1903="","",IFERROR(INDEX(السندات!$D$5:$D$504,MATCH(A1903,السندات!$A$5:$A$504,0)),""))</f>
        <v/>
      </c>
      <c r="J1903" s="72" t="str">
        <f aca="false">IF(A1903="","",IF(ISNA(MATCH(A1903,السندات!$A$5:$A$504,0)),"رقم سند غير موجود ✘",IF(AND(F1903&lt;&gt;"",G1903&lt;&gt;""),"اكتب مدين أو دائن فقط ✘",IF(AND(N(F1903)=0,N(G1903)=0),"بدون مبلغ ⚠",IF(B1903&gt;12,"يتجاوز 12 بنداً في الطباعة ⚠","")))))</f>
        <v/>
      </c>
    </row>
    <row r="1904" customFormat="false" ht="15" hidden="false" customHeight="false" outlineLevel="0" collapsed="false">
      <c r="A1904" s="58"/>
      <c r="B1904" s="73" t="str">
        <f aca="false">IF(A1904="","",COUNTIF(A$5:A1904,A1904))</f>
        <v/>
      </c>
      <c r="C1904" s="73" t="str">
        <f aca="false">IF(A1904="","",A1904&amp;"-"&amp;B1904)</f>
        <v/>
      </c>
      <c r="D1904" s="58"/>
      <c r="E1904" s="57"/>
      <c r="F1904" s="69"/>
      <c r="G1904" s="69"/>
      <c r="H1904" s="74" t="str">
        <f aca="false">IF(A1904="","",IFERROR(INDEX(السندات!$C$5:$C$504,MATCH(A1904,السندات!$A$5:$A$504,0)),""))</f>
        <v/>
      </c>
      <c r="I1904" s="75" t="str">
        <f aca="false">IF(A1904="","",IFERROR(INDEX(السندات!$D$5:$D$504,MATCH(A1904,السندات!$A$5:$A$504,0)),""))</f>
        <v/>
      </c>
      <c r="J1904" s="76" t="str">
        <f aca="false">IF(A1904="","",IF(ISNA(MATCH(A1904,السندات!$A$5:$A$504,0)),"رقم سند غير موجود ✘",IF(AND(F1904&lt;&gt;"",G1904&lt;&gt;""),"اكتب مدين أو دائن فقط ✘",IF(AND(N(F1904)=0,N(G1904)=0),"بدون مبلغ ⚠",IF(B1904&gt;12,"يتجاوز 12 بنداً في الطباعة ⚠","")))))</f>
        <v/>
      </c>
    </row>
    <row r="1905" customFormat="false" ht="15" hidden="false" customHeight="false" outlineLevel="0" collapsed="false">
      <c r="A1905" s="58"/>
      <c r="B1905" s="68" t="str">
        <f aca="false">IF(A1905="","",COUNTIF(A$5:A1905,A1905))</f>
        <v/>
      </c>
      <c r="C1905" s="68" t="str">
        <f aca="false">IF(A1905="","",A1905&amp;"-"&amp;B1905)</f>
        <v/>
      </c>
      <c r="D1905" s="58"/>
      <c r="E1905" s="57"/>
      <c r="F1905" s="69"/>
      <c r="G1905" s="69"/>
      <c r="H1905" s="70" t="str">
        <f aca="false">IF(A1905="","",IFERROR(INDEX(السندات!$C$5:$C$504,MATCH(A1905,السندات!$A$5:$A$504,0)),""))</f>
        <v/>
      </c>
      <c r="I1905" s="71" t="str">
        <f aca="false">IF(A1905="","",IFERROR(INDEX(السندات!$D$5:$D$504,MATCH(A1905,السندات!$A$5:$A$504,0)),""))</f>
        <v/>
      </c>
      <c r="J1905" s="72" t="str">
        <f aca="false">IF(A1905="","",IF(ISNA(MATCH(A1905,السندات!$A$5:$A$504,0)),"رقم سند غير موجود ✘",IF(AND(F1905&lt;&gt;"",G1905&lt;&gt;""),"اكتب مدين أو دائن فقط ✘",IF(AND(N(F1905)=0,N(G1905)=0),"بدون مبلغ ⚠",IF(B1905&gt;12,"يتجاوز 12 بنداً في الطباعة ⚠","")))))</f>
        <v/>
      </c>
    </row>
    <row r="1906" customFormat="false" ht="15" hidden="false" customHeight="false" outlineLevel="0" collapsed="false">
      <c r="A1906" s="58"/>
      <c r="B1906" s="73" t="str">
        <f aca="false">IF(A1906="","",COUNTIF(A$5:A1906,A1906))</f>
        <v/>
      </c>
      <c r="C1906" s="73" t="str">
        <f aca="false">IF(A1906="","",A1906&amp;"-"&amp;B1906)</f>
        <v/>
      </c>
      <c r="D1906" s="58"/>
      <c r="E1906" s="57"/>
      <c r="F1906" s="69"/>
      <c r="G1906" s="69"/>
      <c r="H1906" s="74" t="str">
        <f aca="false">IF(A1906="","",IFERROR(INDEX(السندات!$C$5:$C$504,MATCH(A1906,السندات!$A$5:$A$504,0)),""))</f>
        <v/>
      </c>
      <c r="I1906" s="75" t="str">
        <f aca="false">IF(A1906="","",IFERROR(INDEX(السندات!$D$5:$D$504,MATCH(A1906,السندات!$A$5:$A$504,0)),""))</f>
        <v/>
      </c>
      <c r="J1906" s="76" t="str">
        <f aca="false">IF(A1906="","",IF(ISNA(MATCH(A1906,السندات!$A$5:$A$504,0)),"رقم سند غير موجود ✘",IF(AND(F1906&lt;&gt;"",G1906&lt;&gt;""),"اكتب مدين أو دائن فقط ✘",IF(AND(N(F1906)=0,N(G1906)=0),"بدون مبلغ ⚠",IF(B1906&gt;12,"يتجاوز 12 بنداً في الطباعة ⚠","")))))</f>
        <v/>
      </c>
    </row>
    <row r="1907" customFormat="false" ht="15" hidden="false" customHeight="false" outlineLevel="0" collapsed="false">
      <c r="A1907" s="58"/>
      <c r="B1907" s="68" t="str">
        <f aca="false">IF(A1907="","",COUNTIF(A$5:A1907,A1907))</f>
        <v/>
      </c>
      <c r="C1907" s="68" t="str">
        <f aca="false">IF(A1907="","",A1907&amp;"-"&amp;B1907)</f>
        <v/>
      </c>
      <c r="D1907" s="58"/>
      <c r="E1907" s="57"/>
      <c r="F1907" s="69"/>
      <c r="G1907" s="69"/>
      <c r="H1907" s="70" t="str">
        <f aca="false">IF(A1907="","",IFERROR(INDEX(السندات!$C$5:$C$504,MATCH(A1907,السندات!$A$5:$A$504,0)),""))</f>
        <v/>
      </c>
      <c r="I1907" s="71" t="str">
        <f aca="false">IF(A1907="","",IFERROR(INDEX(السندات!$D$5:$D$504,MATCH(A1907,السندات!$A$5:$A$504,0)),""))</f>
        <v/>
      </c>
      <c r="J1907" s="72" t="str">
        <f aca="false">IF(A1907="","",IF(ISNA(MATCH(A1907,السندات!$A$5:$A$504,0)),"رقم سند غير موجود ✘",IF(AND(F1907&lt;&gt;"",G1907&lt;&gt;""),"اكتب مدين أو دائن فقط ✘",IF(AND(N(F1907)=0,N(G1907)=0),"بدون مبلغ ⚠",IF(B1907&gt;12,"يتجاوز 12 بنداً في الطباعة ⚠","")))))</f>
        <v/>
      </c>
    </row>
    <row r="1908" customFormat="false" ht="15" hidden="false" customHeight="false" outlineLevel="0" collapsed="false">
      <c r="A1908" s="58"/>
      <c r="B1908" s="73" t="str">
        <f aca="false">IF(A1908="","",COUNTIF(A$5:A1908,A1908))</f>
        <v/>
      </c>
      <c r="C1908" s="73" t="str">
        <f aca="false">IF(A1908="","",A1908&amp;"-"&amp;B1908)</f>
        <v/>
      </c>
      <c r="D1908" s="58"/>
      <c r="E1908" s="57"/>
      <c r="F1908" s="69"/>
      <c r="G1908" s="69"/>
      <c r="H1908" s="74" t="str">
        <f aca="false">IF(A1908="","",IFERROR(INDEX(السندات!$C$5:$C$504,MATCH(A1908,السندات!$A$5:$A$504,0)),""))</f>
        <v/>
      </c>
      <c r="I1908" s="75" t="str">
        <f aca="false">IF(A1908="","",IFERROR(INDEX(السندات!$D$5:$D$504,MATCH(A1908,السندات!$A$5:$A$504,0)),""))</f>
        <v/>
      </c>
      <c r="J1908" s="76" t="str">
        <f aca="false">IF(A1908="","",IF(ISNA(MATCH(A1908,السندات!$A$5:$A$504,0)),"رقم سند غير موجود ✘",IF(AND(F1908&lt;&gt;"",G1908&lt;&gt;""),"اكتب مدين أو دائن فقط ✘",IF(AND(N(F1908)=0,N(G1908)=0),"بدون مبلغ ⚠",IF(B1908&gt;12,"يتجاوز 12 بنداً في الطباعة ⚠","")))))</f>
        <v/>
      </c>
    </row>
    <row r="1909" customFormat="false" ht="15" hidden="false" customHeight="false" outlineLevel="0" collapsed="false">
      <c r="A1909" s="58"/>
      <c r="B1909" s="68" t="str">
        <f aca="false">IF(A1909="","",COUNTIF(A$5:A1909,A1909))</f>
        <v/>
      </c>
      <c r="C1909" s="68" t="str">
        <f aca="false">IF(A1909="","",A1909&amp;"-"&amp;B1909)</f>
        <v/>
      </c>
      <c r="D1909" s="58"/>
      <c r="E1909" s="57"/>
      <c r="F1909" s="69"/>
      <c r="G1909" s="69"/>
      <c r="H1909" s="70" t="str">
        <f aca="false">IF(A1909="","",IFERROR(INDEX(السندات!$C$5:$C$504,MATCH(A1909,السندات!$A$5:$A$504,0)),""))</f>
        <v/>
      </c>
      <c r="I1909" s="71" t="str">
        <f aca="false">IF(A1909="","",IFERROR(INDEX(السندات!$D$5:$D$504,MATCH(A1909,السندات!$A$5:$A$504,0)),""))</f>
        <v/>
      </c>
      <c r="J1909" s="72" t="str">
        <f aca="false">IF(A1909="","",IF(ISNA(MATCH(A1909,السندات!$A$5:$A$504,0)),"رقم سند غير موجود ✘",IF(AND(F1909&lt;&gt;"",G1909&lt;&gt;""),"اكتب مدين أو دائن فقط ✘",IF(AND(N(F1909)=0,N(G1909)=0),"بدون مبلغ ⚠",IF(B1909&gt;12,"يتجاوز 12 بنداً في الطباعة ⚠","")))))</f>
        <v/>
      </c>
    </row>
    <row r="1910" customFormat="false" ht="15" hidden="false" customHeight="false" outlineLevel="0" collapsed="false">
      <c r="A1910" s="58"/>
      <c r="B1910" s="73" t="str">
        <f aca="false">IF(A1910="","",COUNTIF(A$5:A1910,A1910))</f>
        <v/>
      </c>
      <c r="C1910" s="73" t="str">
        <f aca="false">IF(A1910="","",A1910&amp;"-"&amp;B1910)</f>
        <v/>
      </c>
      <c r="D1910" s="58"/>
      <c r="E1910" s="57"/>
      <c r="F1910" s="69"/>
      <c r="G1910" s="69"/>
      <c r="H1910" s="74" t="str">
        <f aca="false">IF(A1910="","",IFERROR(INDEX(السندات!$C$5:$C$504,MATCH(A1910,السندات!$A$5:$A$504,0)),""))</f>
        <v/>
      </c>
      <c r="I1910" s="75" t="str">
        <f aca="false">IF(A1910="","",IFERROR(INDEX(السندات!$D$5:$D$504,MATCH(A1910,السندات!$A$5:$A$504,0)),""))</f>
        <v/>
      </c>
      <c r="J1910" s="76" t="str">
        <f aca="false">IF(A1910="","",IF(ISNA(MATCH(A1910,السندات!$A$5:$A$504,0)),"رقم سند غير موجود ✘",IF(AND(F1910&lt;&gt;"",G1910&lt;&gt;""),"اكتب مدين أو دائن فقط ✘",IF(AND(N(F1910)=0,N(G1910)=0),"بدون مبلغ ⚠",IF(B1910&gt;12,"يتجاوز 12 بنداً في الطباعة ⚠","")))))</f>
        <v/>
      </c>
    </row>
    <row r="1911" customFormat="false" ht="15" hidden="false" customHeight="false" outlineLevel="0" collapsed="false">
      <c r="A1911" s="58"/>
      <c r="B1911" s="68" t="str">
        <f aca="false">IF(A1911="","",COUNTIF(A$5:A1911,A1911))</f>
        <v/>
      </c>
      <c r="C1911" s="68" t="str">
        <f aca="false">IF(A1911="","",A1911&amp;"-"&amp;B1911)</f>
        <v/>
      </c>
      <c r="D1911" s="58"/>
      <c r="E1911" s="57"/>
      <c r="F1911" s="69"/>
      <c r="G1911" s="69"/>
      <c r="H1911" s="70" t="str">
        <f aca="false">IF(A1911="","",IFERROR(INDEX(السندات!$C$5:$C$504,MATCH(A1911,السندات!$A$5:$A$504,0)),""))</f>
        <v/>
      </c>
      <c r="I1911" s="71" t="str">
        <f aca="false">IF(A1911="","",IFERROR(INDEX(السندات!$D$5:$D$504,MATCH(A1911,السندات!$A$5:$A$504,0)),""))</f>
        <v/>
      </c>
      <c r="J1911" s="72" t="str">
        <f aca="false">IF(A1911="","",IF(ISNA(MATCH(A1911,السندات!$A$5:$A$504,0)),"رقم سند غير موجود ✘",IF(AND(F1911&lt;&gt;"",G1911&lt;&gt;""),"اكتب مدين أو دائن فقط ✘",IF(AND(N(F1911)=0,N(G1911)=0),"بدون مبلغ ⚠",IF(B1911&gt;12,"يتجاوز 12 بنداً في الطباعة ⚠","")))))</f>
        <v/>
      </c>
    </row>
    <row r="1912" customFormat="false" ht="15" hidden="false" customHeight="false" outlineLevel="0" collapsed="false">
      <c r="A1912" s="58"/>
      <c r="B1912" s="73" t="str">
        <f aca="false">IF(A1912="","",COUNTIF(A$5:A1912,A1912))</f>
        <v/>
      </c>
      <c r="C1912" s="73" t="str">
        <f aca="false">IF(A1912="","",A1912&amp;"-"&amp;B1912)</f>
        <v/>
      </c>
      <c r="D1912" s="58"/>
      <c r="E1912" s="57"/>
      <c r="F1912" s="69"/>
      <c r="G1912" s="69"/>
      <c r="H1912" s="74" t="str">
        <f aca="false">IF(A1912="","",IFERROR(INDEX(السندات!$C$5:$C$504,MATCH(A1912,السندات!$A$5:$A$504,0)),""))</f>
        <v/>
      </c>
      <c r="I1912" s="75" t="str">
        <f aca="false">IF(A1912="","",IFERROR(INDEX(السندات!$D$5:$D$504,MATCH(A1912,السندات!$A$5:$A$504,0)),""))</f>
        <v/>
      </c>
      <c r="J1912" s="76" t="str">
        <f aca="false">IF(A1912="","",IF(ISNA(MATCH(A1912,السندات!$A$5:$A$504,0)),"رقم سند غير موجود ✘",IF(AND(F1912&lt;&gt;"",G1912&lt;&gt;""),"اكتب مدين أو دائن فقط ✘",IF(AND(N(F1912)=0,N(G1912)=0),"بدون مبلغ ⚠",IF(B1912&gt;12,"يتجاوز 12 بنداً في الطباعة ⚠","")))))</f>
        <v/>
      </c>
    </row>
    <row r="1913" customFormat="false" ht="15" hidden="false" customHeight="false" outlineLevel="0" collapsed="false">
      <c r="A1913" s="58"/>
      <c r="B1913" s="68" t="str">
        <f aca="false">IF(A1913="","",COUNTIF(A$5:A1913,A1913))</f>
        <v/>
      </c>
      <c r="C1913" s="68" t="str">
        <f aca="false">IF(A1913="","",A1913&amp;"-"&amp;B1913)</f>
        <v/>
      </c>
      <c r="D1913" s="58"/>
      <c r="E1913" s="57"/>
      <c r="F1913" s="69"/>
      <c r="G1913" s="69"/>
      <c r="H1913" s="70" t="str">
        <f aca="false">IF(A1913="","",IFERROR(INDEX(السندات!$C$5:$C$504,MATCH(A1913,السندات!$A$5:$A$504,0)),""))</f>
        <v/>
      </c>
      <c r="I1913" s="71" t="str">
        <f aca="false">IF(A1913="","",IFERROR(INDEX(السندات!$D$5:$D$504,MATCH(A1913,السندات!$A$5:$A$504,0)),""))</f>
        <v/>
      </c>
      <c r="J1913" s="72" t="str">
        <f aca="false">IF(A1913="","",IF(ISNA(MATCH(A1913,السندات!$A$5:$A$504,0)),"رقم سند غير موجود ✘",IF(AND(F1913&lt;&gt;"",G1913&lt;&gt;""),"اكتب مدين أو دائن فقط ✘",IF(AND(N(F1913)=0,N(G1913)=0),"بدون مبلغ ⚠",IF(B1913&gt;12,"يتجاوز 12 بنداً في الطباعة ⚠","")))))</f>
        <v/>
      </c>
    </row>
    <row r="1914" customFormat="false" ht="15" hidden="false" customHeight="false" outlineLevel="0" collapsed="false">
      <c r="A1914" s="58"/>
      <c r="B1914" s="73" t="str">
        <f aca="false">IF(A1914="","",COUNTIF(A$5:A1914,A1914))</f>
        <v/>
      </c>
      <c r="C1914" s="73" t="str">
        <f aca="false">IF(A1914="","",A1914&amp;"-"&amp;B1914)</f>
        <v/>
      </c>
      <c r="D1914" s="58"/>
      <c r="E1914" s="57"/>
      <c r="F1914" s="69"/>
      <c r="G1914" s="69"/>
      <c r="H1914" s="74" t="str">
        <f aca="false">IF(A1914="","",IFERROR(INDEX(السندات!$C$5:$C$504,MATCH(A1914,السندات!$A$5:$A$504,0)),""))</f>
        <v/>
      </c>
      <c r="I1914" s="75" t="str">
        <f aca="false">IF(A1914="","",IFERROR(INDEX(السندات!$D$5:$D$504,MATCH(A1914,السندات!$A$5:$A$504,0)),""))</f>
        <v/>
      </c>
      <c r="J1914" s="76" t="str">
        <f aca="false">IF(A1914="","",IF(ISNA(MATCH(A1914,السندات!$A$5:$A$504,0)),"رقم سند غير موجود ✘",IF(AND(F1914&lt;&gt;"",G1914&lt;&gt;""),"اكتب مدين أو دائن فقط ✘",IF(AND(N(F1914)=0,N(G1914)=0),"بدون مبلغ ⚠",IF(B1914&gt;12,"يتجاوز 12 بنداً في الطباعة ⚠","")))))</f>
        <v/>
      </c>
    </row>
    <row r="1915" customFormat="false" ht="15" hidden="false" customHeight="false" outlineLevel="0" collapsed="false">
      <c r="A1915" s="58"/>
      <c r="B1915" s="68" t="str">
        <f aca="false">IF(A1915="","",COUNTIF(A$5:A1915,A1915))</f>
        <v/>
      </c>
      <c r="C1915" s="68" t="str">
        <f aca="false">IF(A1915="","",A1915&amp;"-"&amp;B1915)</f>
        <v/>
      </c>
      <c r="D1915" s="58"/>
      <c r="E1915" s="57"/>
      <c r="F1915" s="69"/>
      <c r="G1915" s="69"/>
      <c r="H1915" s="70" t="str">
        <f aca="false">IF(A1915="","",IFERROR(INDEX(السندات!$C$5:$C$504,MATCH(A1915,السندات!$A$5:$A$504,0)),""))</f>
        <v/>
      </c>
      <c r="I1915" s="71" t="str">
        <f aca="false">IF(A1915="","",IFERROR(INDEX(السندات!$D$5:$D$504,MATCH(A1915,السندات!$A$5:$A$504,0)),""))</f>
        <v/>
      </c>
      <c r="J1915" s="72" t="str">
        <f aca="false">IF(A1915="","",IF(ISNA(MATCH(A1915,السندات!$A$5:$A$504,0)),"رقم سند غير موجود ✘",IF(AND(F1915&lt;&gt;"",G1915&lt;&gt;""),"اكتب مدين أو دائن فقط ✘",IF(AND(N(F1915)=0,N(G1915)=0),"بدون مبلغ ⚠",IF(B1915&gt;12,"يتجاوز 12 بنداً في الطباعة ⚠","")))))</f>
        <v/>
      </c>
    </row>
    <row r="1916" customFormat="false" ht="15" hidden="false" customHeight="false" outlineLevel="0" collapsed="false">
      <c r="A1916" s="58"/>
      <c r="B1916" s="73" t="str">
        <f aca="false">IF(A1916="","",COUNTIF(A$5:A1916,A1916))</f>
        <v/>
      </c>
      <c r="C1916" s="73" t="str">
        <f aca="false">IF(A1916="","",A1916&amp;"-"&amp;B1916)</f>
        <v/>
      </c>
      <c r="D1916" s="58"/>
      <c r="E1916" s="57"/>
      <c r="F1916" s="69"/>
      <c r="G1916" s="69"/>
      <c r="H1916" s="74" t="str">
        <f aca="false">IF(A1916="","",IFERROR(INDEX(السندات!$C$5:$C$504,MATCH(A1916,السندات!$A$5:$A$504,0)),""))</f>
        <v/>
      </c>
      <c r="I1916" s="75" t="str">
        <f aca="false">IF(A1916="","",IFERROR(INDEX(السندات!$D$5:$D$504,MATCH(A1916,السندات!$A$5:$A$504,0)),""))</f>
        <v/>
      </c>
      <c r="J1916" s="76" t="str">
        <f aca="false">IF(A1916="","",IF(ISNA(MATCH(A1916,السندات!$A$5:$A$504,0)),"رقم سند غير موجود ✘",IF(AND(F1916&lt;&gt;"",G1916&lt;&gt;""),"اكتب مدين أو دائن فقط ✘",IF(AND(N(F1916)=0,N(G1916)=0),"بدون مبلغ ⚠",IF(B1916&gt;12,"يتجاوز 12 بنداً في الطباعة ⚠","")))))</f>
        <v/>
      </c>
    </row>
    <row r="1917" customFormat="false" ht="15" hidden="false" customHeight="false" outlineLevel="0" collapsed="false">
      <c r="A1917" s="58"/>
      <c r="B1917" s="68" t="str">
        <f aca="false">IF(A1917="","",COUNTIF(A$5:A1917,A1917))</f>
        <v/>
      </c>
      <c r="C1917" s="68" t="str">
        <f aca="false">IF(A1917="","",A1917&amp;"-"&amp;B1917)</f>
        <v/>
      </c>
      <c r="D1917" s="58"/>
      <c r="E1917" s="57"/>
      <c r="F1917" s="69"/>
      <c r="G1917" s="69"/>
      <c r="H1917" s="70" t="str">
        <f aca="false">IF(A1917="","",IFERROR(INDEX(السندات!$C$5:$C$504,MATCH(A1917,السندات!$A$5:$A$504,0)),""))</f>
        <v/>
      </c>
      <c r="I1917" s="71" t="str">
        <f aca="false">IF(A1917="","",IFERROR(INDEX(السندات!$D$5:$D$504,MATCH(A1917,السندات!$A$5:$A$504,0)),""))</f>
        <v/>
      </c>
      <c r="J1917" s="72" t="str">
        <f aca="false">IF(A1917="","",IF(ISNA(MATCH(A1917,السندات!$A$5:$A$504,0)),"رقم سند غير موجود ✘",IF(AND(F1917&lt;&gt;"",G1917&lt;&gt;""),"اكتب مدين أو دائن فقط ✘",IF(AND(N(F1917)=0,N(G1917)=0),"بدون مبلغ ⚠",IF(B1917&gt;12,"يتجاوز 12 بنداً في الطباعة ⚠","")))))</f>
        <v/>
      </c>
    </row>
    <row r="1918" customFormat="false" ht="15" hidden="false" customHeight="false" outlineLevel="0" collapsed="false">
      <c r="A1918" s="58"/>
      <c r="B1918" s="73" t="str">
        <f aca="false">IF(A1918="","",COUNTIF(A$5:A1918,A1918))</f>
        <v/>
      </c>
      <c r="C1918" s="73" t="str">
        <f aca="false">IF(A1918="","",A1918&amp;"-"&amp;B1918)</f>
        <v/>
      </c>
      <c r="D1918" s="58"/>
      <c r="E1918" s="57"/>
      <c r="F1918" s="69"/>
      <c r="G1918" s="69"/>
      <c r="H1918" s="74" t="str">
        <f aca="false">IF(A1918="","",IFERROR(INDEX(السندات!$C$5:$C$504,MATCH(A1918,السندات!$A$5:$A$504,0)),""))</f>
        <v/>
      </c>
      <c r="I1918" s="75" t="str">
        <f aca="false">IF(A1918="","",IFERROR(INDEX(السندات!$D$5:$D$504,MATCH(A1918,السندات!$A$5:$A$504,0)),""))</f>
        <v/>
      </c>
      <c r="J1918" s="76" t="str">
        <f aca="false">IF(A1918="","",IF(ISNA(MATCH(A1918,السندات!$A$5:$A$504,0)),"رقم سند غير موجود ✘",IF(AND(F1918&lt;&gt;"",G1918&lt;&gt;""),"اكتب مدين أو دائن فقط ✘",IF(AND(N(F1918)=0,N(G1918)=0),"بدون مبلغ ⚠",IF(B1918&gt;12,"يتجاوز 12 بنداً في الطباعة ⚠","")))))</f>
        <v/>
      </c>
    </row>
    <row r="1919" customFormat="false" ht="15" hidden="false" customHeight="false" outlineLevel="0" collapsed="false">
      <c r="A1919" s="58"/>
      <c r="B1919" s="68" t="str">
        <f aca="false">IF(A1919="","",COUNTIF(A$5:A1919,A1919))</f>
        <v/>
      </c>
      <c r="C1919" s="68" t="str">
        <f aca="false">IF(A1919="","",A1919&amp;"-"&amp;B1919)</f>
        <v/>
      </c>
      <c r="D1919" s="58"/>
      <c r="E1919" s="57"/>
      <c r="F1919" s="69"/>
      <c r="G1919" s="69"/>
      <c r="H1919" s="70" t="str">
        <f aca="false">IF(A1919="","",IFERROR(INDEX(السندات!$C$5:$C$504,MATCH(A1919,السندات!$A$5:$A$504,0)),""))</f>
        <v/>
      </c>
      <c r="I1919" s="71" t="str">
        <f aca="false">IF(A1919="","",IFERROR(INDEX(السندات!$D$5:$D$504,MATCH(A1919,السندات!$A$5:$A$504,0)),""))</f>
        <v/>
      </c>
      <c r="J1919" s="72" t="str">
        <f aca="false">IF(A1919="","",IF(ISNA(MATCH(A1919,السندات!$A$5:$A$504,0)),"رقم سند غير موجود ✘",IF(AND(F1919&lt;&gt;"",G1919&lt;&gt;""),"اكتب مدين أو دائن فقط ✘",IF(AND(N(F1919)=0,N(G1919)=0),"بدون مبلغ ⚠",IF(B1919&gt;12,"يتجاوز 12 بنداً في الطباعة ⚠","")))))</f>
        <v/>
      </c>
    </row>
    <row r="1920" customFormat="false" ht="15" hidden="false" customHeight="false" outlineLevel="0" collapsed="false">
      <c r="A1920" s="58"/>
      <c r="B1920" s="73" t="str">
        <f aca="false">IF(A1920="","",COUNTIF(A$5:A1920,A1920))</f>
        <v/>
      </c>
      <c r="C1920" s="73" t="str">
        <f aca="false">IF(A1920="","",A1920&amp;"-"&amp;B1920)</f>
        <v/>
      </c>
      <c r="D1920" s="58"/>
      <c r="E1920" s="57"/>
      <c r="F1920" s="69"/>
      <c r="G1920" s="69"/>
      <c r="H1920" s="74" t="str">
        <f aca="false">IF(A1920="","",IFERROR(INDEX(السندات!$C$5:$C$504,MATCH(A1920,السندات!$A$5:$A$504,0)),""))</f>
        <v/>
      </c>
      <c r="I1920" s="75" t="str">
        <f aca="false">IF(A1920="","",IFERROR(INDEX(السندات!$D$5:$D$504,MATCH(A1920,السندات!$A$5:$A$504,0)),""))</f>
        <v/>
      </c>
      <c r="J1920" s="76" t="str">
        <f aca="false">IF(A1920="","",IF(ISNA(MATCH(A1920,السندات!$A$5:$A$504,0)),"رقم سند غير موجود ✘",IF(AND(F1920&lt;&gt;"",G1920&lt;&gt;""),"اكتب مدين أو دائن فقط ✘",IF(AND(N(F1920)=0,N(G1920)=0),"بدون مبلغ ⚠",IF(B1920&gt;12,"يتجاوز 12 بنداً في الطباعة ⚠","")))))</f>
        <v/>
      </c>
    </row>
    <row r="1921" customFormat="false" ht="15" hidden="false" customHeight="false" outlineLevel="0" collapsed="false">
      <c r="A1921" s="58"/>
      <c r="B1921" s="68" t="str">
        <f aca="false">IF(A1921="","",COUNTIF(A$5:A1921,A1921))</f>
        <v/>
      </c>
      <c r="C1921" s="68" t="str">
        <f aca="false">IF(A1921="","",A1921&amp;"-"&amp;B1921)</f>
        <v/>
      </c>
      <c r="D1921" s="58"/>
      <c r="E1921" s="57"/>
      <c r="F1921" s="69"/>
      <c r="G1921" s="69"/>
      <c r="H1921" s="70" t="str">
        <f aca="false">IF(A1921="","",IFERROR(INDEX(السندات!$C$5:$C$504,MATCH(A1921,السندات!$A$5:$A$504,0)),""))</f>
        <v/>
      </c>
      <c r="I1921" s="71" t="str">
        <f aca="false">IF(A1921="","",IFERROR(INDEX(السندات!$D$5:$D$504,MATCH(A1921,السندات!$A$5:$A$504,0)),""))</f>
        <v/>
      </c>
      <c r="J1921" s="72" t="str">
        <f aca="false">IF(A1921="","",IF(ISNA(MATCH(A1921,السندات!$A$5:$A$504,0)),"رقم سند غير موجود ✘",IF(AND(F1921&lt;&gt;"",G1921&lt;&gt;""),"اكتب مدين أو دائن فقط ✘",IF(AND(N(F1921)=0,N(G1921)=0),"بدون مبلغ ⚠",IF(B1921&gt;12,"يتجاوز 12 بنداً في الطباعة ⚠","")))))</f>
        <v/>
      </c>
    </row>
    <row r="1922" customFormat="false" ht="15" hidden="false" customHeight="false" outlineLevel="0" collapsed="false">
      <c r="A1922" s="58"/>
      <c r="B1922" s="73" t="str">
        <f aca="false">IF(A1922="","",COUNTIF(A$5:A1922,A1922))</f>
        <v/>
      </c>
      <c r="C1922" s="73" t="str">
        <f aca="false">IF(A1922="","",A1922&amp;"-"&amp;B1922)</f>
        <v/>
      </c>
      <c r="D1922" s="58"/>
      <c r="E1922" s="57"/>
      <c r="F1922" s="69"/>
      <c r="G1922" s="69"/>
      <c r="H1922" s="74" t="str">
        <f aca="false">IF(A1922="","",IFERROR(INDEX(السندات!$C$5:$C$504,MATCH(A1922,السندات!$A$5:$A$504,0)),""))</f>
        <v/>
      </c>
      <c r="I1922" s="75" t="str">
        <f aca="false">IF(A1922="","",IFERROR(INDEX(السندات!$D$5:$D$504,MATCH(A1922,السندات!$A$5:$A$504,0)),""))</f>
        <v/>
      </c>
      <c r="J1922" s="76" t="str">
        <f aca="false">IF(A1922="","",IF(ISNA(MATCH(A1922,السندات!$A$5:$A$504,0)),"رقم سند غير موجود ✘",IF(AND(F1922&lt;&gt;"",G1922&lt;&gt;""),"اكتب مدين أو دائن فقط ✘",IF(AND(N(F1922)=0,N(G1922)=0),"بدون مبلغ ⚠",IF(B1922&gt;12,"يتجاوز 12 بنداً في الطباعة ⚠","")))))</f>
        <v/>
      </c>
    </row>
    <row r="1923" customFormat="false" ht="15" hidden="false" customHeight="false" outlineLevel="0" collapsed="false">
      <c r="A1923" s="58"/>
      <c r="B1923" s="68" t="str">
        <f aca="false">IF(A1923="","",COUNTIF(A$5:A1923,A1923))</f>
        <v/>
      </c>
      <c r="C1923" s="68" t="str">
        <f aca="false">IF(A1923="","",A1923&amp;"-"&amp;B1923)</f>
        <v/>
      </c>
      <c r="D1923" s="58"/>
      <c r="E1923" s="57"/>
      <c r="F1923" s="69"/>
      <c r="G1923" s="69"/>
      <c r="H1923" s="70" t="str">
        <f aca="false">IF(A1923="","",IFERROR(INDEX(السندات!$C$5:$C$504,MATCH(A1923,السندات!$A$5:$A$504,0)),""))</f>
        <v/>
      </c>
      <c r="I1923" s="71" t="str">
        <f aca="false">IF(A1923="","",IFERROR(INDEX(السندات!$D$5:$D$504,MATCH(A1923,السندات!$A$5:$A$504,0)),""))</f>
        <v/>
      </c>
      <c r="J1923" s="72" t="str">
        <f aca="false">IF(A1923="","",IF(ISNA(MATCH(A1923,السندات!$A$5:$A$504,0)),"رقم سند غير موجود ✘",IF(AND(F1923&lt;&gt;"",G1923&lt;&gt;""),"اكتب مدين أو دائن فقط ✘",IF(AND(N(F1923)=0,N(G1923)=0),"بدون مبلغ ⚠",IF(B1923&gt;12,"يتجاوز 12 بنداً في الطباعة ⚠","")))))</f>
        <v/>
      </c>
    </row>
    <row r="1924" customFormat="false" ht="15" hidden="false" customHeight="false" outlineLevel="0" collapsed="false">
      <c r="A1924" s="58"/>
      <c r="B1924" s="73" t="str">
        <f aca="false">IF(A1924="","",COUNTIF(A$5:A1924,A1924))</f>
        <v/>
      </c>
      <c r="C1924" s="73" t="str">
        <f aca="false">IF(A1924="","",A1924&amp;"-"&amp;B1924)</f>
        <v/>
      </c>
      <c r="D1924" s="58"/>
      <c r="E1924" s="57"/>
      <c r="F1924" s="69"/>
      <c r="G1924" s="69"/>
      <c r="H1924" s="74" t="str">
        <f aca="false">IF(A1924="","",IFERROR(INDEX(السندات!$C$5:$C$504,MATCH(A1924,السندات!$A$5:$A$504,0)),""))</f>
        <v/>
      </c>
      <c r="I1924" s="75" t="str">
        <f aca="false">IF(A1924="","",IFERROR(INDEX(السندات!$D$5:$D$504,MATCH(A1924,السندات!$A$5:$A$504,0)),""))</f>
        <v/>
      </c>
      <c r="J1924" s="76" t="str">
        <f aca="false">IF(A1924="","",IF(ISNA(MATCH(A1924,السندات!$A$5:$A$504,0)),"رقم سند غير موجود ✘",IF(AND(F1924&lt;&gt;"",G1924&lt;&gt;""),"اكتب مدين أو دائن فقط ✘",IF(AND(N(F1924)=0,N(G1924)=0),"بدون مبلغ ⚠",IF(B1924&gt;12,"يتجاوز 12 بنداً في الطباعة ⚠","")))))</f>
        <v/>
      </c>
    </row>
    <row r="1925" customFormat="false" ht="15" hidden="false" customHeight="false" outlineLevel="0" collapsed="false">
      <c r="A1925" s="58"/>
      <c r="B1925" s="68" t="str">
        <f aca="false">IF(A1925="","",COUNTIF(A$5:A1925,A1925))</f>
        <v/>
      </c>
      <c r="C1925" s="68" t="str">
        <f aca="false">IF(A1925="","",A1925&amp;"-"&amp;B1925)</f>
        <v/>
      </c>
      <c r="D1925" s="58"/>
      <c r="E1925" s="57"/>
      <c r="F1925" s="69"/>
      <c r="G1925" s="69"/>
      <c r="H1925" s="70" t="str">
        <f aca="false">IF(A1925="","",IFERROR(INDEX(السندات!$C$5:$C$504,MATCH(A1925,السندات!$A$5:$A$504,0)),""))</f>
        <v/>
      </c>
      <c r="I1925" s="71" t="str">
        <f aca="false">IF(A1925="","",IFERROR(INDEX(السندات!$D$5:$D$504,MATCH(A1925,السندات!$A$5:$A$504,0)),""))</f>
        <v/>
      </c>
      <c r="J1925" s="72" t="str">
        <f aca="false">IF(A1925="","",IF(ISNA(MATCH(A1925,السندات!$A$5:$A$504,0)),"رقم سند غير موجود ✘",IF(AND(F1925&lt;&gt;"",G1925&lt;&gt;""),"اكتب مدين أو دائن فقط ✘",IF(AND(N(F1925)=0,N(G1925)=0),"بدون مبلغ ⚠",IF(B1925&gt;12,"يتجاوز 12 بنداً في الطباعة ⚠","")))))</f>
        <v/>
      </c>
    </row>
    <row r="1926" customFormat="false" ht="15" hidden="false" customHeight="false" outlineLevel="0" collapsed="false">
      <c r="A1926" s="58"/>
      <c r="B1926" s="73" t="str">
        <f aca="false">IF(A1926="","",COUNTIF(A$5:A1926,A1926))</f>
        <v/>
      </c>
      <c r="C1926" s="73" t="str">
        <f aca="false">IF(A1926="","",A1926&amp;"-"&amp;B1926)</f>
        <v/>
      </c>
      <c r="D1926" s="58"/>
      <c r="E1926" s="57"/>
      <c r="F1926" s="69"/>
      <c r="G1926" s="69"/>
      <c r="H1926" s="74" t="str">
        <f aca="false">IF(A1926="","",IFERROR(INDEX(السندات!$C$5:$C$504,MATCH(A1926,السندات!$A$5:$A$504,0)),""))</f>
        <v/>
      </c>
      <c r="I1926" s="75" t="str">
        <f aca="false">IF(A1926="","",IFERROR(INDEX(السندات!$D$5:$D$504,MATCH(A1926,السندات!$A$5:$A$504,0)),""))</f>
        <v/>
      </c>
      <c r="J1926" s="76" t="str">
        <f aca="false">IF(A1926="","",IF(ISNA(MATCH(A1926,السندات!$A$5:$A$504,0)),"رقم سند غير موجود ✘",IF(AND(F1926&lt;&gt;"",G1926&lt;&gt;""),"اكتب مدين أو دائن فقط ✘",IF(AND(N(F1926)=0,N(G1926)=0),"بدون مبلغ ⚠",IF(B1926&gt;12,"يتجاوز 12 بنداً في الطباعة ⚠","")))))</f>
        <v/>
      </c>
    </row>
    <row r="1927" customFormat="false" ht="15" hidden="false" customHeight="false" outlineLevel="0" collapsed="false">
      <c r="A1927" s="58"/>
      <c r="B1927" s="68" t="str">
        <f aca="false">IF(A1927="","",COUNTIF(A$5:A1927,A1927))</f>
        <v/>
      </c>
      <c r="C1927" s="68" t="str">
        <f aca="false">IF(A1927="","",A1927&amp;"-"&amp;B1927)</f>
        <v/>
      </c>
      <c r="D1927" s="58"/>
      <c r="E1927" s="57"/>
      <c r="F1927" s="69"/>
      <c r="G1927" s="69"/>
      <c r="H1927" s="70" t="str">
        <f aca="false">IF(A1927="","",IFERROR(INDEX(السندات!$C$5:$C$504,MATCH(A1927,السندات!$A$5:$A$504,0)),""))</f>
        <v/>
      </c>
      <c r="I1927" s="71" t="str">
        <f aca="false">IF(A1927="","",IFERROR(INDEX(السندات!$D$5:$D$504,MATCH(A1927,السندات!$A$5:$A$504,0)),""))</f>
        <v/>
      </c>
      <c r="J1927" s="72" t="str">
        <f aca="false">IF(A1927="","",IF(ISNA(MATCH(A1927,السندات!$A$5:$A$504,0)),"رقم سند غير موجود ✘",IF(AND(F1927&lt;&gt;"",G1927&lt;&gt;""),"اكتب مدين أو دائن فقط ✘",IF(AND(N(F1927)=0,N(G1927)=0),"بدون مبلغ ⚠",IF(B1927&gt;12,"يتجاوز 12 بنداً في الطباعة ⚠","")))))</f>
        <v/>
      </c>
    </row>
    <row r="1928" customFormat="false" ht="15" hidden="false" customHeight="false" outlineLevel="0" collapsed="false">
      <c r="A1928" s="58"/>
      <c r="B1928" s="73" t="str">
        <f aca="false">IF(A1928="","",COUNTIF(A$5:A1928,A1928))</f>
        <v/>
      </c>
      <c r="C1928" s="73" t="str">
        <f aca="false">IF(A1928="","",A1928&amp;"-"&amp;B1928)</f>
        <v/>
      </c>
      <c r="D1928" s="58"/>
      <c r="E1928" s="57"/>
      <c r="F1928" s="69"/>
      <c r="G1928" s="69"/>
      <c r="H1928" s="74" t="str">
        <f aca="false">IF(A1928="","",IFERROR(INDEX(السندات!$C$5:$C$504,MATCH(A1928,السندات!$A$5:$A$504,0)),""))</f>
        <v/>
      </c>
      <c r="I1928" s="75" t="str">
        <f aca="false">IF(A1928="","",IFERROR(INDEX(السندات!$D$5:$D$504,MATCH(A1928,السندات!$A$5:$A$504,0)),""))</f>
        <v/>
      </c>
      <c r="J1928" s="76" t="str">
        <f aca="false">IF(A1928="","",IF(ISNA(MATCH(A1928,السندات!$A$5:$A$504,0)),"رقم سند غير موجود ✘",IF(AND(F1928&lt;&gt;"",G1928&lt;&gt;""),"اكتب مدين أو دائن فقط ✘",IF(AND(N(F1928)=0,N(G1928)=0),"بدون مبلغ ⚠",IF(B1928&gt;12,"يتجاوز 12 بنداً في الطباعة ⚠","")))))</f>
        <v/>
      </c>
    </row>
    <row r="1929" customFormat="false" ht="15" hidden="false" customHeight="false" outlineLevel="0" collapsed="false">
      <c r="A1929" s="58"/>
      <c r="B1929" s="68" t="str">
        <f aca="false">IF(A1929="","",COUNTIF(A$5:A1929,A1929))</f>
        <v/>
      </c>
      <c r="C1929" s="68" t="str">
        <f aca="false">IF(A1929="","",A1929&amp;"-"&amp;B1929)</f>
        <v/>
      </c>
      <c r="D1929" s="58"/>
      <c r="E1929" s="57"/>
      <c r="F1929" s="69"/>
      <c r="G1929" s="69"/>
      <c r="H1929" s="70" t="str">
        <f aca="false">IF(A1929="","",IFERROR(INDEX(السندات!$C$5:$C$504,MATCH(A1929,السندات!$A$5:$A$504,0)),""))</f>
        <v/>
      </c>
      <c r="I1929" s="71" t="str">
        <f aca="false">IF(A1929="","",IFERROR(INDEX(السندات!$D$5:$D$504,MATCH(A1929,السندات!$A$5:$A$504,0)),""))</f>
        <v/>
      </c>
      <c r="J1929" s="72" t="str">
        <f aca="false">IF(A1929="","",IF(ISNA(MATCH(A1929,السندات!$A$5:$A$504,0)),"رقم سند غير موجود ✘",IF(AND(F1929&lt;&gt;"",G1929&lt;&gt;""),"اكتب مدين أو دائن فقط ✘",IF(AND(N(F1929)=0,N(G1929)=0),"بدون مبلغ ⚠",IF(B1929&gt;12,"يتجاوز 12 بنداً في الطباعة ⚠","")))))</f>
        <v/>
      </c>
    </row>
    <row r="1930" customFormat="false" ht="15" hidden="false" customHeight="false" outlineLevel="0" collapsed="false">
      <c r="A1930" s="58"/>
      <c r="B1930" s="73" t="str">
        <f aca="false">IF(A1930="","",COUNTIF(A$5:A1930,A1930))</f>
        <v/>
      </c>
      <c r="C1930" s="73" t="str">
        <f aca="false">IF(A1930="","",A1930&amp;"-"&amp;B1930)</f>
        <v/>
      </c>
      <c r="D1930" s="58"/>
      <c r="E1930" s="57"/>
      <c r="F1930" s="69"/>
      <c r="G1930" s="69"/>
      <c r="H1930" s="74" t="str">
        <f aca="false">IF(A1930="","",IFERROR(INDEX(السندات!$C$5:$C$504,MATCH(A1930,السندات!$A$5:$A$504,0)),""))</f>
        <v/>
      </c>
      <c r="I1930" s="75" t="str">
        <f aca="false">IF(A1930="","",IFERROR(INDEX(السندات!$D$5:$D$504,MATCH(A1930,السندات!$A$5:$A$504,0)),""))</f>
        <v/>
      </c>
      <c r="J1930" s="76" t="str">
        <f aca="false">IF(A1930="","",IF(ISNA(MATCH(A1930,السندات!$A$5:$A$504,0)),"رقم سند غير موجود ✘",IF(AND(F1930&lt;&gt;"",G1930&lt;&gt;""),"اكتب مدين أو دائن فقط ✘",IF(AND(N(F1930)=0,N(G1930)=0),"بدون مبلغ ⚠",IF(B1930&gt;12,"يتجاوز 12 بنداً في الطباعة ⚠","")))))</f>
        <v/>
      </c>
    </row>
    <row r="1931" customFormat="false" ht="15" hidden="false" customHeight="false" outlineLevel="0" collapsed="false">
      <c r="A1931" s="58"/>
      <c r="B1931" s="68" t="str">
        <f aca="false">IF(A1931="","",COUNTIF(A$5:A1931,A1931))</f>
        <v/>
      </c>
      <c r="C1931" s="68" t="str">
        <f aca="false">IF(A1931="","",A1931&amp;"-"&amp;B1931)</f>
        <v/>
      </c>
      <c r="D1931" s="58"/>
      <c r="E1931" s="57"/>
      <c r="F1931" s="69"/>
      <c r="G1931" s="69"/>
      <c r="H1931" s="70" t="str">
        <f aca="false">IF(A1931="","",IFERROR(INDEX(السندات!$C$5:$C$504,MATCH(A1931,السندات!$A$5:$A$504,0)),""))</f>
        <v/>
      </c>
      <c r="I1931" s="71" t="str">
        <f aca="false">IF(A1931="","",IFERROR(INDEX(السندات!$D$5:$D$504,MATCH(A1931,السندات!$A$5:$A$504,0)),""))</f>
        <v/>
      </c>
      <c r="J1931" s="72" t="str">
        <f aca="false">IF(A1931="","",IF(ISNA(MATCH(A1931,السندات!$A$5:$A$504,0)),"رقم سند غير موجود ✘",IF(AND(F1931&lt;&gt;"",G1931&lt;&gt;""),"اكتب مدين أو دائن فقط ✘",IF(AND(N(F1931)=0,N(G1931)=0),"بدون مبلغ ⚠",IF(B1931&gt;12,"يتجاوز 12 بنداً في الطباعة ⚠","")))))</f>
        <v/>
      </c>
    </row>
    <row r="1932" customFormat="false" ht="15" hidden="false" customHeight="false" outlineLevel="0" collapsed="false">
      <c r="A1932" s="58"/>
      <c r="B1932" s="73" t="str">
        <f aca="false">IF(A1932="","",COUNTIF(A$5:A1932,A1932))</f>
        <v/>
      </c>
      <c r="C1932" s="73" t="str">
        <f aca="false">IF(A1932="","",A1932&amp;"-"&amp;B1932)</f>
        <v/>
      </c>
      <c r="D1932" s="58"/>
      <c r="E1932" s="57"/>
      <c r="F1932" s="69"/>
      <c r="G1932" s="69"/>
      <c r="H1932" s="74" t="str">
        <f aca="false">IF(A1932="","",IFERROR(INDEX(السندات!$C$5:$C$504,MATCH(A1932,السندات!$A$5:$A$504,0)),""))</f>
        <v/>
      </c>
      <c r="I1932" s="75" t="str">
        <f aca="false">IF(A1932="","",IFERROR(INDEX(السندات!$D$5:$D$504,MATCH(A1932,السندات!$A$5:$A$504,0)),""))</f>
        <v/>
      </c>
      <c r="J1932" s="76" t="str">
        <f aca="false">IF(A1932="","",IF(ISNA(MATCH(A1932,السندات!$A$5:$A$504,0)),"رقم سند غير موجود ✘",IF(AND(F1932&lt;&gt;"",G1932&lt;&gt;""),"اكتب مدين أو دائن فقط ✘",IF(AND(N(F1932)=0,N(G1932)=0),"بدون مبلغ ⚠",IF(B1932&gt;12,"يتجاوز 12 بنداً في الطباعة ⚠","")))))</f>
        <v/>
      </c>
    </row>
    <row r="1933" customFormat="false" ht="15" hidden="false" customHeight="false" outlineLevel="0" collapsed="false">
      <c r="A1933" s="58"/>
      <c r="B1933" s="68" t="str">
        <f aca="false">IF(A1933="","",COUNTIF(A$5:A1933,A1933))</f>
        <v/>
      </c>
      <c r="C1933" s="68" t="str">
        <f aca="false">IF(A1933="","",A1933&amp;"-"&amp;B1933)</f>
        <v/>
      </c>
      <c r="D1933" s="58"/>
      <c r="E1933" s="57"/>
      <c r="F1933" s="69"/>
      <c r="G1933" s="69"/>
      <c r="H1933" s="70" t="str">
        <f aca="false">IF(A1933="","",IFERROR(INDEX(السندات!$C$5:$C$504,MATCH(A1933,السندات!$A$5:$A$504,0)),""))</f>
        <v/>
      </c>
      <c r="I1933" s="71" t="str">
        <f aca="false">IF(A1933="","",IFERROR(INDEX(السندات!$D$5:$D$504,MATCH(A1933,السندات!$A$5:$A$504,0)),""))</f>
        <v/>
      </c>
      <c r="J1933" s="72" t="str">
        <f aca="false">IF(A1933="","",IF(ISNA(MATCH(A1933,السندات!$A$5:$A$504,0)),"رقم سند غير موجود ✘",IF(AND(F1933&lt;&gt;"",G1933&lt;&gt;""),"اكتب مدين أو دائن فقط ✘",IF(AND(N(F1933)=0,N(G1933)=0),"بدون مبلغ ⚠",IF(B1933&gt;12,"يتجاوز 12 بنداً في الطباعة ⚠","")))))</f>
        <v/>
      </c>
    </row>
    <row r="1934" customFormat="false" ht="15" hidden="false" customHeight="false" outlineLevel="0" collapsed="false">
      <c r="A1934" s="58"/>
      <c r="B1934" s="73" t="str">
        <f aca="false">IF(A1934="","",COUNTIF(A$5:A1934,A1934))</f>
        <v/>
      </c>
      <c r="C1934" s="73" t="str">
        <f aca="false">IF(A1934="","",A1934&amp;"-"&amp;B1934)</f>
        <v/>
      </c>
      <c r="D1934" s="58"/>
      <c r="E1934" s="57"/>
      <c r="F1934" s="69"/>
      <c r="G1934" s="69"/>
      <c r="H1934" s="74" t="str">
        <f aca="false">IF(A1934="","",IFERROR(INDEX(السندات!$C$5:$C$504,MATCH(A1934,السندات!$A$5:$A$504,0)),""))</f>
        <v/>
      </c>
      <c r="I1934" s="75" t="str">
        <f aca="false">IF(A1934="","",IFERROR(INDEX(السندات!$D$5:$D$504,MATCH(A1934,السندات!$A$5:$A$504,0)),""))</f>
        <v/>
      </c>
      <c r="J1934" s="76" t="str">
        <f aca="false">IF(A1934="","",IF(ISNA(MATCH(A1934,السندات!$A$5:$A$504,0)),"رقم سند غير موجود ✘",IF(AND(F1934&lt;&gt;"",G1934&lt;&gt;""),"اكتب مدين أو دائن فقط ✘",IF(AND(N(F1934)=0,N(G1934)=0),"بدون مبلغ ⚠",IF(B1934&gt;12,"يتجاوز 12 بنداً في الطباعة ⚠","")))))</f>
        <v/>
      </c>
    </row>
    <row r="1935" customFormat="false" ht="15" hidden="false" customHeight="false" outlineLevel="0" collapsed="false">
      <c r="A1935" s="58"/>
      <c r="B1935" s="68" t="str">
        <f aca="false">IF(A1935="","",COUNTIF(A$5:A1935,A1935))</f>
        <v/>
      </c>
      <c r="C1935" s="68" t="str">
        <f aca="false">IF(A1935="","",A1935&amp;"-"&amp;B1935)</f>
        <v/>
      </c>
      <c r="D1935" s="58"/>
      <c r="E1935" s="57"/>
      <c r="F1935" s="69"/>
      <c r="G1935" s="69"/>
      <c r="H1935" s="70" t="str">
        <f aca="false">IF(A1935="","",IFERROR(INDEX(السندات!$C$5:$C$504,MATCH(A1935,السندات!$A$5:$A$504,0)),""))</f>
        <v/>
      </c>
      <c r="I1935" s="71" t="str">
        <f aca="false">IF(A1935="","",IFERROR(INDEX(السندات!$D$5:$D$504,MATCH(A1935,السندات!$A$5:$A$504,0)),""))</f>
        <v/>
      </c>
      <c r="J1935" s="72" t="str">
        <f aca="false">IF(A1935="","",IF(ISNA(MATCH(A1935,السندات!$A$5:$A$504,0)),"رقم سند غير موجود ✘",IF(AND(F1935&lt;&gt;"",G1935&lt;&gt;""),"اكتب مدين أو دائن فقط ✘",IF(AND(N(F1935)=0,N(G1935)=0),"بدون مبلغ ⚠",IF(B1935&gt;12,"يتجاوز 12 بنداً في الطباعة ⚠","")))))</f>
        <v/>
      </c>
    </row>
    <row r="1936" customFormat="false" ht="15" hidden="false" customHeight="false" outlineLevel="0" collapsed="false">
      <c r="A1936" s="58"/>
      <c r="B1936" s="73" t="str">
        <f aca="false">IF(A1936="","",COUNTIF(A$5:A1936,A1936))</f>
        <v/>
      </c>
      <c r="C1936" s="73" t="str">
        <f aca="false">IF(A1936="","",A1936&amp;"-"&amp;B1936)</f>
        <v/>
      </c>
      <c r="D1936" s="58"/>
      <c r="E1936" s="57"/>
      <c r="F1936" s="69"/>
      <c r="G1936" s="69"/>
      <c r="H1936" s="74" t="str">
        <f aca="false">IF(A1936="","",IFERROR(INDEX(السندات!$C$5:$C$504,MATCH(A1936,السندات!$A$5:$A$504,0)),""))</f>
        <v/>
      </c>
      <c r="I1936" s="75" t="str">
        <f aca="false">IF(A1936="","",IFERROR(INDEX(السندات!$D$5:$D$504,MATCH(A1936,السندات!$A$5:$A$504,0)),""))</f>
        <v/>
      </c>
      <c r="J1936" s="76" t="str">
        <f aca="false">IF(A1936="","",IF(ISNA(MATCH(A1936,السندات!$A$5:$A$504,0)),"رقم سند غير موجود ✘",IF(AND(F1936&lt;&gt;"",G1936&lt;&gt;""),"اكتب مدين أو دائن فقط ✘",IF(AND(N(F1936)=0,N(G1936)=0),"بدون مبلغ ⚠",IF(B1936&gt;12,"يتجاوز 12 بنداً في الطباعة ⚠","")))))</f>
        <v/>
      </c>
    </row>
    <row r="1937" customFormat="false" ht="15" hidden="false" customHeight="false" outlineLevel="0" collapsed="false">
      <c r="A1937" s="58"/>
      <c r="B1937" s="68" t="str">
        <f aca="false">IF(A1937="","",COUNTIF(A$5:A1937,A1937))</f>
        <v/>
      </c>
      <c r="C1937" s="68" t="str">
        <f aca="false">IF(A1937="","",A1937&amp;"-"&amp;B1937)</f>
        <v/>
      </c>
      <c r="D1937" s="58"/>
      <c r="E1937" s="57"/>
      <c r="F1937" s="69"/>
      <c r="G1937" s="69"/>
      <c r="H1937" s="70" t="str">
        <f aca="false">IF(A1937="","",IFERROR(INDEX(السندات!$C$5:$C$504,MATCH(A1937,السندات!$A$5:$A$504,0)),""))</f>
        <v/>
      </c>
      <c r="I1937" s="71" t="str">
        <f aca="false">IF(A1937="","",IFERROR(INDEX(السندات!$D$5:$D$504,MATCH(A1937,السندات!$A$5:$A$504,0)),""))</f>
        <v/>
      </c>
      <c r="J1937" s="72" t="str">
        <f aca="false">IF(A1937="","",IF(ISNA(MATCH(A1937,السندات!$A$5:$A$504,0)),"رقم سند غير موجود ✘",IF(AND(F1937&lt;&gt;"",G1937&lt;&gt;""),"اكتب مدين أو دائن فقط ✘",IF(AND(N(F1937)=0,N(G1937)=0),"بدون مبلغ ⚠",IF(B1937&gt;12,"يتجاوز 12 بنداً في الطباعة ⚠","")))))</f>
        <v/>
      </c>
    </row>
    <row r="1938" customFormat="false" ht="15" hidden="false" customHeight="false" outlineLevel="0" collapsed="false">
      <c r="A1938" s="58"/>
      <c r="B1938" s="73" t="str">
        <f aca="false">IF(A1938="","",COUNTIF(A$5:A1938,A1938))</f>
        <v/>
      </c>
      <c r="C1938" s="73" t="str">
        <f aca="false">IF(A1938="","",A1938&amp;"-"&amp;B1938)</f>
        <v/>
      </c>
      <c r="D1938" s="58"/>
      <c r="E1938" s="57"/>
      <c r="F1938" s="69"/>
      <c r="G1938" s="69"/>
      <c r="H1938" s="74" t="str">
        <f aca="false">IF(A1938="","",IFERROR(INDEX(السندات!$C$5:$C$504,MATCH(A1938,السندات!$A$5:$A$504,0)),""))</f>
        <v/>
      </c>
      <c r="I1938" s="75" t="str">
        <f aca="false">IF(A1938="","",IFERROR(INDEX(السندات!$D$5:$D$504,MATCH(A1938,السندات!$A$5:$A$504,0)),""))</f>
        <v/>
      </c>
      <c r="J1938" s="76" t="str">
        <f aca="false">IF(A1938="","",IF(ISNA(MATCH(A1938,السندات!$A$5:$A$504,0)),"رقم سند غير موجود ✘",IF(AND(F1938&lt;&gt;"",G1938&lt;&gt;""),"اكتب مدين أو دائن فقط ✘",IF(AND(N(F1938)=0,N(G1938)=0),"بدون مبلغ ⚠",IF(B1938&gt;12,"يتجاوز 12 بنداً في الطباعة ⚠","")))))</f>
        <v/>
      </c>
    </row>
    <row r="1939" customFormat="false" ht="15" hidden="false" customHeight="false" outlineLevel="0" collapsed="false">
      <c r="A1939" s="58"/>
      <c r="B1939" s="68" t="str">
        <f aca="false">IF(A1939="","",COUNTIF(A$5:A1939,A1939))</f>
        <v/>
      </c>
      <c r="C1939" s="68" t="str">
        <f aca="false">IF(A1939="","",A1939&amp;"-"&amp;B1939)</f>
        <v/>
      </c>
      <c r="D1939" s="58"/>
      <c r="E1939" s="57"/>
      <c r="F1939" s="69"/>
      <c r="G1939" s="69"/>
      <c r="H1939" s="70" t="str">
        <f aca="false">IF(A1939="","",IFERROR(INDEX(السندات!$C$5:$C$504,MATCH(A1939,السندات!$A$5:$A$504,0)),""))</f>
        <v/>
      </c>
      <c r="I1939" s="71" t="str">
        <f aca="false">IF(A1939="","",IFERROR(INDEX(السندات!$D$5:$D$504,MATCH(A1939,السندات!$A$5:$A$504,0)),""))</f>
        <v/>
      </c>
      <c r="J1939" s="72" t="str">
        <f aca="false">IF(A1939="","",IF(ISNA(MATCH(A1939,السندات!$A$5:$A$504,0)),"رقم سند غير موجود ✘",IF(AND(F1939&lt;&gt;"",G1939&lt;&gt;""),"اكتب مدين أو دائن فقط ✘",IF(AND(N(F1939)=0,N(G1939)=0),"بدون مبلغ ⚠",IF(B1939&gt;12,"يتجاوز 12 بنداً في الطباعة ⚠","")))))</f>
        <v/>
      </c>
    </row>
    <row r="1940" customFormat="false" ht="15" hidden="false" customHeight="false" outlineLevel="0" collapsed="false">
      <c r="A1940" s="58"/>
      <c r="B1940" s="73" t="str">
        <f aca="false">IF(A1940="","",COUNTIF(A$5:A1940,A1940))</f>
        <v/>
      </c>
      <c r="C1940" s="73" t="str">
        <f aca="false">IF(A1940="","",A1940&amp;"-"&amp;B1940)</f>
        <v/>
      </c>
      <c r="D1940" s="58"/>
      <c r="E1940" s="57"/>
      <c r="F1940" s="69"/>
      <c r="G1940" s="69"/>
      <c r="H1940" s="74" t="str">
        <f aca="false">IF(A1940="","",IFERROR(INDEX(السندات!$C$5:$C$504,MATCH(A1940,السندات!$A$5:$A$504,0)),""))</f>
        <v/>
      </c>
      <c r="I1940" s="75" t="str">
        <f aca="false">IF(A1940="","",IFERROR(INDEX(السندات!$D$5:$D$504,MATCH(A1940,السندات!$A$5:$A$504,0)),""))</f>
        <v/>
      </c>
      <c r="J1940" s="76" t="str">
        <f aca="false">IF(A1940="","",IF(ISNA(MATCH(A1940,السندات!$A$5:$A$504,0)),"رقم سند غير موجود ✘",IF(AND(F1940&lt;&gt;"",G1940&lt;&gt;""),"اكتب مدين أو دائن فقط ✘",IF(AND(N(F1940)=0,N(G1940)=0),"بدون مبلغ ⚠",IF(B1940&gt;12,"يتجاوز 12 بنداً في الطباعة ⚠","")))))</f>
        <v/>
      </c>
    </row>
    <row r="1941" customFormat="false" ht="15" hidden="false" customHeight="false" outlineLevel="0" collapsed="false">
      <c r="A1941" s="58"/>
      <c r="B1941" s="68" t="str">
        <f aca="false">IF(A1941="","",COUNTIF(A$5:A1941,A1941))</f>
        <v/>
      </c>
      <c r="C1941" s="68" t="str">
        <f aca="false">IF(A1941="","",A1941&amp;"-"&amp;B1941)</f>
        <v/>
      </c>
      <c r="D1941" s="58"/>
      <c r="E1941" s="57"/>
      <c r="F1941" s="69"/>
      <c r="G1941" s="69"/>
      <c r="H1941" s="70" t="str">
        <f aca="false">IF(A1941="","",IFERROR(INDEX(السندات!$C$5:$C$504,MATCH(A1941,السندات!$A$5:$A$504,0)),""))</f>
        <v/>
      </c>
      <c r="I1941" s="71" t="str">
        <f aca="false">IF(A1941="","",IFERROR(INDEX(السندات!$D$5:$D$504,MATCH(A1941,السندات!$A$5:$A$504,0)),""))</f>
        <v/>
      </c>
      <c r="J1941" s="72" t="str">
        <f aca="false">IF(A1941="","",IF(ISNA(MATCH(A1941,السندات!$A$5:$A$504,0)),"رقم سند غير موجود ✘",IF(AND(F1941&lt;&gt;"",G1941&lt;&gt;""),"اكتب مدين أو دائن فقط ✘",IF(AND(N(F1941)=0,N(G1941)=0),"بدون مبلغ ⚠",IF(B1941&gt;12,"يتجاوز 12 بنداً في الطباعة ⚠","")))))</f>
        <v/>
      </c>
    </row>
    <row r="1942" customFormat="false" ht="15" hidden="false" customHeight="false" outlineLevel="0" collapsed="false">
      <c r="A1942" s="58"/>
      <c r="B1942" s="73" t="str">
        <f aca="false">IF(A1942="","",COUNTIF(A$5:A1942,A1942))</f>
        <v/>
      </c>
      <c r="C1942" s="73" t="str">
        <f aca="false">IF(A1942="","",A1942&amp;"-"&amp;B1942)</f>
        <v/>
      </c>
      <c r="D1942" s="58"/>
      <c r="E1942" s="57"/>
      <c r="F1942" s="69"/>
      <c r="G1942" s="69"/>
      <c r="H1942" s="74" t="str">
        <f aca="false">IF(A1942="","",IFERROR(INDEX(السندات!$C$5:$C$504,MATCH(A1942,السندات!$A$5:$A$504,0)),""))</f>
        <v/>
      </c>
      <c r="I1942" s="75" t="str">
        <f aca="false">IF(A1942="","",IFERROR(INDEX(السندات!$D$5:$D$504,MATCH(A1942,السندات!$A$5:$A$504,0)),""))</f>
        <v/>
      </c>
      <c r="J1942" s="76" t="str">
        <f aca="false">IF(A1942="","",IF(ISNA(MATCH(A1942,السندات!$A$5:$A$504,0)),"رقم سند غير موجود ✘",IF(AND(F1942&lt;&gt;"",G1942&lt;&gt;""),"اكتب مدين أو دائن فقط ✘",IF(AND(N(F1942)=0,N(G1942)=0),"بدون مبلغ ⚠",IF(B1942&gt;12,"يتجاوز 12 بنداً في الطباعة ⚠","")))))</f>
        <v/>
      </c>
    </row>
    <row r="1943" customFormat="false" ht="15" hidden="false" customHeight="false" outlineLevel="0" collapsed="false">
      <c r="A1943" s="58"/>
      <c r="B1943" s="68" t="str">
        <f aca="false">IF(A1943="","",COUNTIF(A$5:A1943,A1943))</f>
        <v/>
      </c>
      <c r="C1943" s="68" t="str">
        <f aca="false">IF(A1943="","",A1943&amp;"-"&amp;B1943)</f>
        <v/>
      </c>
      <c r="D1943" s="58"/>
      <c r="E1943" s="57"/>
      <c r="F1943" s="69"/>
      <c r="G1943" s="69"/>
      <c r="H1943" s="70" t="str">
        <f aca="false">IF(A1943="","",IFERROR(INDEX(السندات!$C$5:$C$504,MATCH(A1943,السندات!$A$5:$A$504,0)),""))</f>
        <v/>
      </c>
      <c r="I1943" s="71" t="str">
        <f aca="false">IF(A1943="","",IFERROR(INDEX(السندات!$D$5:$D$504,MATCH(A1943,السندات!$A$5:$A$504,0)),""))</f>
        <v/>
      </c>
      <c r="J1943" s="72" t="str">
        <f aca="false">IF(A1943="","",IF(ISNA(MATCH(A1943,السندات!$A$5:$A$504,0)),"رقم سند غير موجود ✘",IF(AND(F1943&lt;&gt;"",G1943&lt;&gt;""),"اكتب مدين أو دائن فقط ✘",IF(AND(N(F1943)=0,N(G1943)=0),"بدون مبلغ ⚠",IF(B1943&gt;12,"يتجاوز 12 بنداً في الطباعة ⚠","")))))</f>
        <v/>
      </c>
    </row>
    <row r="1944" customFormat="false" ht="15" hidden="false" customHeight="false" outlineLevel="0" collapsed="false">
      <c r="A1944" s="58"/>
      <c r="B1944" s="73" t="str">
        <f aca="false">IF(A1944="","",COUNTIF(A$5:A1944,A1944))</f>
        <v/>
      </c>
      <c r="C1944" s="73" t="str">
        <f aca="false">IF(A1944="","",A1944&amp;"-"&amp;B1944)</f>
        <v/>
      </c>
      <c r="D1944" s="58"/>
      <c r="E1944" s="57"/>
      <c r="F1944" s="69"/>
      <c r="G1944" s="69"/>
      <c r="H1944" s="74" t="str">
        <f aca="false">IF(A1944="","",IFERROR(INDEX(السندات!$C$5:$C$504,MATCH(A1944,السندات!$A$5:$A$504,0)),""))</f>
        <v/>
      </c>
      <c r="I1944" s="75" t="str">
        <f aca="false">IF(A1944="","",IFERROR(INDEX(السندات!$D$5:$D$504,MATCH(A1944,السندات!$A$5:$A$504,0)),""))</f>
        <v/>
      </c>
      <c r="J1944" s="76" t="str">
        <f aca="false">IF(A1944="","",IF(ISNA(MATCH(A1944,السندات!$A$5:$A$504,0)),"رقم سند غير موجود ✘",IF(AND(F1944&lt;&gt;"",G1944&lt;&gt;""),"اكتب مدين أو دائن فقط ✘",IF(AND(N(F1944)=0,N(G1944)=0),"بدون مبلغ ⚠",IF(B1944&gt;12,"يتجاوز 12 بنداً في الطباعة ⚠","")))))</f>
        <v/>
      </c>
    </row>
    <row r="1945" customFormat="false" ht="15" hidden="false" customHeight="false" outlineLevel="0" collapsed="false">
      <c r="A1945" s="58"/>
      <c r="B1945" s="68" t="str">
        <f aca="false">IF(A1945="","",COUNTIF(A$5:A1945,A1945))</f>
        <v/>
      </c>
      <c r="C1945" s="68" t="str">
        <f aca="false">IF(A1945="","",A1945&amp;"-"&amp;B1945)</f>
        <v/>
      </c>
      <c r="D1945" s="58"/>
      <c r="E1945" s="57"/>
      <c r="F1945" s="69"/>
      <c r="G1945" s="69"/>
      <c r="H1945" s="70" t="str">
        <f aca="false">IF(A1945="","",IFERROR(INDEX(السندات!$C$5:$C$504,MATCH(A1945,السندات!$A$5:$A$504,0)),""))</f>
        <v/>
      </c>
      <c r="I1945" s="71" t="str">
        <f aca="false">IF(A1945="","",IFERROR(INDEX(السندات!$D$5:$D$504,MATCH(A1945,السندات!$A$5:$A$504,0)),""))</f>
        <v/>
      </c>
      <c r="J1945" s="72" t="str">
        <f aca="false">IF(A1945="","",IF(ISNA(MATCH(A1945,السندات!$A$5:$A$504,0)),"رقم سند غير موجود ✘",IF(AND(F1945&lt;&gt;"",G1945&lt;&gt;""),"اكتب مدين أو دائن فقط ✘",IF(AND(N(F1945)=0,N(G1945)=0),"بدون مبلغ ⚠",IF(B1945&gt;12,"يتجاوز 12 بنداً في الطباعة ⚠","")))))</f>
        <v/>
      </c>
    </row>
    <row r="1946" customFormat="false" ht="15" hidden="false" customHeight="false" outlineLevel="0" collapsed="false">
      <c r="A1946" s="58"/>
      <c r="B1946" s="73" t="str">
        <f aca="false">IF(A1946="","",COUNTIF(A$5:A1946,A1946))</f>
        <v/>
      </c>
      <c r="C1946" s="73" t="str">
        <f aca="false">IF(A1946="","",A1946&amp;"-"&amp;B1946)</f>
        <v/>
      </c>
      <c r="D1946" s="58"/>
      <c r="E1946" s="57"/>
      <c r="F1946" s="69"/>
      <c r="G1946" s="69"/>
      <c r="H1946" s="74" t="str">
        <f aca="false">IF(A1946="","",IFERROR(INDEX(السندات!$C$5:$C$504,MATCH(A1946,السندات!$A$5:$A$504,0)),""))</f>
        <v/>
      </c>
      <c r="I1946" s="75" t="str">
        <f aca="false">IF(A1946="","",IFERROR(INDEX(السندات!$D$5:$D$504,MATCH(A1946,السندات!$A$5:$A$504,0)),""))</f>
        <v/>
      </c>
      <c r="J1946" s="76" t="str">
        <f aca="false">IF(A1946="","",IF(ISNA(MATCH(A1946,السندات!$A$5:$A$504,0)),"رقم سند غير موجود ✘",IF(AND(F1946&lt;&gt;"",G1946&lt;&gt;""),"اكتب مدين أو دائن فقط ✘",IF(AND(N(F1946)=0,N(G1946)=0),"بدون مبلغ ⚠",IF(B1946&gt;12,"يتجاوز 12 بنداً في الطباعة ⚠","")))))</f>
        <v/>
      </c>
    </row>
    <row r="1947" customFormat="false" ht="15" hidden="false" customHeight="false" outlineLevel="0" collapsed="false">
      <c r="A1947" s="58"/>
      <c r="B1947" s="68" t="str">
        <f aca="false">IF(A1947="","",COUNTIF(A$5:A1947,A1947))</f>
        <v/>
      </c>
      <c r="C1947" s="68" t="str">
        <f aca="false">IF(A1947="","",A1947&amp;"-"&amp;B1947)</f>
        <v/>
      </c>
      <c r="D1947" s="58"/>
      <c r="E1947" s="57"/>
      <c r="F1947" s="69"/>
      <c r="G1947" s="69"/>
      <c r="H1947" s="70" t="str">
        <f aca="false">IF(A1947="","",IFERROR(INDEX(السندات!$C$5:$C$504,MATCH(A1947,السندات!$A$5:$A$504,0)),""))</f>
        <v/>
      </c>
      <c r="I1947" s="71" t="str">
        <f aca="false">IF(A1947="","",IFERROR(INDEX(السندات!$D$5:$D$504,MATCH(A1947,السندات!$A$5:$A$504,0)),""))</f>
        <v/>
      </c>
      <c r="J1947" s="72" t="str">
        <f aca="false">IF(A1947="","",IF(ISNA(MATCH(A1947,السندات!$A$5:$A$504,0)),"رقم سند غير موجود ✘",IF(AND(F1947&lt;&gt;"",G1947&lt;&gt;""),"اكتب مدين أو دائن فقط ✘",IF(AND(N(F1947)=0,N(G1947)=0),"بدون مبلغ ⚠",IF(B1947&gt;12,"يتجاوز 12 بنداً في الطباعة ⚠","")))))</f>
        <v/>
      </c>
    </row>
    <row r="1948" customFormat="false" ht="15" hidden="false" customHeight="false" outlineLevel="0" collapsed="false">
      <c r="A1948" s="58"/>
      <c r="B1948" s="73" t="str">
        <f aca="false">IF(A1948="","",COUNTIF(A$5:A1948,A1948))</f>
        <v/>
      </c>
      <c r="C1948" s="73" t="str">
        <f aca="false">IF(A1948="","",A1948&amp;"-"&amp;B1948)</f>
        <v/>
      </c>
      <c r="D1948" s="58"/>
      <c r="E1948" s="57"/>
      <c r="F1948" s="69"/>
      <c r="G1948" s="69"/>
      <c r="H1948" s="74" t="str">
        <f aca="false">IF(A1948="","",IFERROR(INDEX(السندات!$C$5:$C$504,MATCH(A1948,السندات!$A$5:$A$504,0)),""))</f>
        <v/>
      </c>
      <c r="I1948" s="75" t="str">
        <f aca="false">IF(A1948="","",IFERROR(INDEX(السندات!$D$5:$D$504,MATCH(A1948,السندات!$A$5:$A$504,0)),""))</f>
        <v/>
      </c>
      <c r="J1948" s="76" t="str">
        <f aca="false">IF(A1948="","",IF(ISNA(MATCH(A1948,السندات!$A$5:$A$504,0)),"رقم سند غير موجود ✘",IF(AND(F1948&lt;&gt;"",G1948&lt;&gt;""),"اكتب مدين أو دائن فقط ✘",IF(AND(N(F1948)=0,N(G1948)=0),"بدون مبلغ ⚠",IF(B1948&gt;12,"يتجاوز 12 بنداً في الطباعة ⚠","")))))</f>
        <v/>
      </c>
    </row>
    <row r="1949" customFormat="false" ht="15" hidden="false" customHeight="false" outlineLevel="0" collapsed="false">
      <c r="A1949" s="58"/>
      <c r="B1949" s="68" t="str">
        <f aca="false">IF(A1949="","",COUNTIF(A$5:A1949,A1949))</f>
        <v/>
      </c>
      <c r="C1949" s="68" t="str">
        <f aca="false">IF(A1949="","",A1949&amp;"-"&amp;B1949)</f>
        <v/>
      </c>
      <c r="D1949" s="58"/>
      <c r="E1949" s="57"/>
      <c r="F1949" s="69"/>
      <c r="G1949" s="69"/>
      <c r="H1949" s="70" t="str">
        <f aca="false">IF(A1949="","",IFERROR(INDEX(السندات!$C$5:$C$504,MATCH(A1949,السندات!$A$5:$A$504,0)),""))</f>
        <v/>
      </c>
      <c r="I1949" s="71" t="str">
        <f aca="false">IF(A1949="","",IFERROR(INDEX(السندات!$D$5:$D$504,MATCH(A1949,السندات!$A$5:$A$504,0)),""))</f>
        <v/>
      </c>
      <c r="J1949" s="72" t="str">
        <f aca="false">IF(A1949="","",IF(ISNA(MATCH(A1949,السندات!$A$5:$A$504,0)),"رقم سند غير موجود ✘",IF(AND(F1949&lt;&gt;"",G1949&lt;&gt;""),"اكتب مدين أو دائن فقط ✘",IF(AND(N(F1949)=0,N(G1949)=0),"بدون مبلغ ⚠",IF(B1949&gt;12,"يتجاوز 12 بنداً في الطباعة ⚠","")))))</f>
        <v/>
      </c>
    </row>
    <row r="1950" customFormat="false" ht="15" hidden="false" customHeight="false" outlineLevel="0" collapsed="false">
      <c r="A1950" s="58"/>
      <c r="B1950" s="73" t="str">
        <f aca="false">IF(A1950="","",COUNTIF(A$5:A1950,A1950))</f>
        <v/>
      </c>
      <c r="C1950" s="73" t="str">
        <f aca="false">IF(A1950="","",A1950&amp;"-"&amp;B1950)</f>
        <v/>
      </c>
      <c r="D1950" s="58"/>
      <c r="E1950" s="57"/>
      <c r="F1950" s="69"/>
      <c r="G1950" s="69"/>
      <c r="H1950" s="74" t="str">
        <f aca="false">IF(A1950="","",IFERROR(INDEX(السندات!$C$5:$C$504,MATCH(A1950,السندات!$A$5:$A$504,0)),""))</f>
        <v/>
      </c>
      <c r="I1950" s="75" t="str">
        <f aca="false">IF(A1950="","",IFERROR(INDEX(السندات!$D$5:$D$504,MATCH(A1950,السندات!$A$5:$A$504,0)),""))</f>
        <v/>
      </c>
      <c r="J1950" s="76" t="str">
        <f aca="false">IF(A1950="","",IF(ISNA(MATCH(A1950,السندات!$A$5:$A$504,0)),"رقم سند غير موجود ✘",IF(AND(F1950&lt;&gt;"",G1950&lt;&gt;""),"اكتب مدين أو دائن فقط ✘",IF(AND(N(F1950)=0,N(G1950)=0),"بدون مبلغ ⚠",IF(B1950&gt;12,"يتجاوز 12 بنداً في الطباعة ⚠","")))))</f>
        <v/>
      </c>
    </row>
    <row r="1951" customFormat="false" ht="15" hidden="false" customHeight="false" outlineLevel="0" collapsed="false">
      <c r="A1951" s="58"/>
      <c r="B1951" s="68" t="str">
        <f aca="false">IF(A1951="","",COUNTIF(A$5:A1951,A1951))</f>
        <v/>
      </c>
      <c r="C1951" s="68" t="str">
        <f aca="false">IF(A1951="","",A1951&amp;"-"&amp;B1951)</f>
        <v/>
      </c>
      <c r="D1951" s="58"/>
      <c r="E1951" s="57"/>
      <c r="F1951" s="69"/>
      <c r="G1951" s="69"/>
      <c r="H1951" s="70" t="str">
        <f aca="false">IF(A1951="","",IFERROR(INDEX(السندات!$C$5:$C$504,MATCH(A1951,السندات!$A$5:$A$504,0)),""))</f>
        <v/>
      </c>
      <c r="I1951" s="71" t="str">
        <f aca="false">IF(A1951="","",IFERROR(INDEX(السندات!$D$5:$D$504,MATCH(A1951,السندات!$A$5:$A$504,0)),""))</f>
        <v/>
      </c>
      <c r="J1951" s="72" t="str">
        <f aca="false">IF(A1951="","",IF(ISNA(MATCH(A1951,السندات!$A$5:$A$504,0)),"رقم سند غير موجود ✘",IF(AND(F1951&lt;&gt;"",G1951&lt;&gt;""),"اكتب مدين أو دائن فقط ✘",IF(AND(N(F1951)=0,N(G1951)=0),"بدون مبلغ ⚠",IF(B1951&gt;12,"يتجاوز 12 بنداً في الطباعة ⚠","")))))</f>
        <v/>
      </c>
    </row>
    <row r="1952" customFormat="false" ht="15" hidden="false" customHeight="false" outlineLevel="0" collapsed="false">
      <c r="A1952" s="58"/>
      <c r="B1952" s="73" t="str">
        <f aca="false">IF(A1952="","",COUNTIF(A$5:A1952,A1952))</f>
        <v/>
      </c>
      <c r="C1952" s="73" t="str">
        <f aca="false">IF(A1952="","",A1952&amp;"-"&amp;B1952)</f>
        <v/>
      </c>
      <c r="D1952" s="58"/>
      <c r="E1952" s="57"/>
      <c r="F1952" s="69"/>
      <c r="G1952" s="69"/>
      <c r="H1952" s="74" t="str">
        <f aca="false">IF(A1952="","",IFERROR(INDEX(السندات!$C$5:$C$504,MATCH(A1952,السندات!$A$5:$A$504,0)),""))</f>
        <v/>
      </c>
      <c r="I1952" s="75" t="str">
        <f aca="false">IF(A1952="","",IFERROR(INDEX(السندات!$D$5:$D$504,MATCH(A1952,السندات!$A$5:$A$504,0)),""))</f>
        <v/>
      </c>
      <c r="J1952" s="76" t="str">
        <f aca="false">IF(A1952="","",IF(ISNA(MATCH(A1952,السندات!$A$5:$A$504,0)),"رقم سند غير موجود ✘",IF(AND(F1952&lt;&gt;"",G1952&lt;&gt;""),"اكتب مدين أو دائن فقط ✘",IF(AND(N(F1952)=0,N(G1952)=0),"بدون مبلغ ⚠",IF(B1952&gt;12,"يتجاوز 12 بنداً في الطباعة ⚠","")))))</f>
        <v/>
      </c>
    </row>
    <row r="1953" customFormat="false" ht="15" hidden="false" customHeight="false" outlineLevel="0" collapsed="false">
      <c r="A1953" s="58"/>
      <c r="B1953" s="68" t="str">
        <f aca="false">IF(A1953="","",COUNTIF(A$5:A1953,A1953))</f>
        <v/>
      </c>
      <c r="C1953" s="68" t="str">
        <f aca="false">IF(A1953="","",A1953&amp;"-"&amp;B1953)</f>
        <v/>
      </c>
      <c r="D1953" s="58"/>
      <c r="E1953" s="57"/>
      <c r="F1953" s="69"/>
      <c r="G1953" s="69"/>
      <c r="H1953" s="70" t="str">
        <f aca="false">IF(A1953="","",IFERROR(INDEX(السندات!$C$5:$C$504,MATCH(A1953,السندات!$A$5:$A$504,0)),""))</f>
        <v/>
      </c>
      <c r="I1953" s="71" t="str">
        <f aca="false">IF(A1953="","",IFERROR(INDEX(السندات!$D$5:$D$504,MATCH(A1953,السندات!$A$5:$A$504,0)),""))</f>
        <v/>
      </c>
      <c r="J1953" s="72" t="str">
        <f aca="false">IF(A1953="","",IF(ISNA(MATCH(A1953,السندات!$A$5:$A$504,0)),"رقم سند غير موجود ✘",IF(AND(F1953&lt;&gt;"",G1953&lt;&gt;""),"اكتب مدين أو دائن فقط ✘",IF(AND(N(F1953)=0,N(G1953)=0),"بدون مبلغ ⚠",IF(B1953&gt;12,"يتجاوز 12 بنداً في الطباعة ⚠","")))))</f>
        <v/>
      </c>
    </row>
    <row r="1954" customFormat="false" ht="15" hidden="false" customHeight="false" outlineLevel="0" collapsed="false">
      <c r="A1954" s="58"/>
      <c r="B1954" s="73" t="str">
        <f aca="false">IF(A1954="","",COUNTIF(A$5:A1954,A1954))</f>
        <v/>
      </c>
      <c r="C1954" s="73" t="str">
        <f aca="false">IF(A1954="","",A1954&amp;"-"&amp;B1954)</f>
        <v/>
      </c>
      <c r="D1954" s="58"/>
      <c r="E1954" s="57"/>
      <c r="F1954" s="69"/>
      <c r="G1954" s="69"/>
      <c r="H1954" s="74" t="str">
        <f aca="false">IF(A1954="","",IFERROR(INDEX(السندات!$C$5:$C$504,MATCH(A1954,السندات!$A$5:$A$504,0)),""))</f>
        <v/>
      </c>
      <c r="I1954" s="75" t="str">
        <f aca="false">IF(A1954="","",IFERROR(INDEX(السندات!$D$5:$D$504,MATCH(A1954,السندات!$A$5:$A$504,0)),""))</f>
        <v/>
      </c>
      <c r="J1954" s="76" t="str">
        <f aca="false">IF(A1954="","",IF(ISNA(MATCH(A1954,السندات!$A$5:$A$504,0)),"رقم سند غير موجود ✘",IF(AND(F1954&lt;&gt;"",G1954&lt;&gt;""),"اكتب مدين أو دائن فقط ✘",IF(AND(N(F1954)=0,N(G1954)=0),"بدون مبلغ ⚠",IF(B1954&gt;12,"يتجاوز 12 بنداً في الطباعة ⚠","")))))</f>
        <v/>
      </c>
    </row>
    <row r="1955" customFormat="false" ht="15" hidden="false" customHeight="false" outlineLevel="0" collapsed="false">
      <c r="A1955" s="58"/>
      <c r="B1955" s="68" t="str">
        <f aca="false">IF(A1955="","",COUNTIF(A$5:A1955,A1955))</f>
        <v/>
      </c>
      <c r="C1955" s="68" t="str">
        <f aca="false">IF(A1955="","",A1955&amp;"-"&amp;B1955)</f>
        <v/>
      </c>
      <c r="D1955" s="58"/>
      <c r="E1955" s="57"/>
      <c r="F1955" s="69"/>
      <c r="G1955" s="69"/>
      <c r="H1955" s="70" t="str">
        <f aca="false">IF(A1955="","",IFERROR(INDEX(السندات!$C$5:$C$504,MATCH(A1955,السندات!$A$5:$A$504,0)),""))</f>
        <v/>
      </c>
      <c r="I1955" s="71" t="str">
        <f aca="false">IF(A1955="","",IFERROR(INDEX(السندات!$D$5:$D$504,MATCH(A1955,السندات!$A$5:$A$504,0)),""))</f>
        <v/>
      </c>
      <c r="J1955" s="72" t="str">
        <f aca="false">IF(A1955="","",IF(ISNA(MATCH(A1955,السندات!$A$5:$A$504,0)),"رقم سند غير موجود ✘",IF(AND(F1955&lt;&gt;"",G1955&lt;&gt;""),"اكتب مدين أو دائن فقط ✘",IF(AND(N(F1955)=0,N(G1955)=0),"بدون مبلغ ⚠",IF(B1955&gt;12,"يتجاوز 12 بنداً في الطباعة ⚠","")))))</f>
        <v/>
      </c>
    </row>
    <row r="1956" customFormat="false" ht="15" hidden="false" customHeight="false" outlineLevel="0" collapsed="false">
      <c r="A1956" s="58"/>
      <c r="B1956" s="73" t="str">
        <f aca="false">IF(A1956="","",COUNTIF(A$5:A1956,A1956))</f>
        <v/>
      </c>
      <c r="C1956" s="73" t="str">
        <f aca="false">IF(A1956="","",A1956&amp;"-"&amp;B1956)</f>
        <v/>
      </c>
      <c r="D1956" s="58"/>
      <c r="E1956" s="57"/>
      <c r="F1956" s="69"/>
      <c r="G1956" s="69"/>
      <c r="H1956" s="74" t="str">
        <f aca="false">IF(A1956="","",IFERROR(INDEX(السندات!$C$5:$C$504,MATCH(A1956,السندات!$A$5:$A$504,0)),""))</f>
        <v/>
      </c>
      <c r="I1956" s="75" t="str">
        <f aca="false">IF(A1956="","",IFERROR(INDEX(السندات!$D$5:$D$504,MATCH(A1956,السندات!$A$5:$A$504,0)),""))</f>
        <v/>
      </c>
      <c r="J1956" s="76" t="str">
        <f aca="false">IF(A1956="","",IF(ISNA(MATCH(A1956,السندات!$A$5:$A$504,0)),"رقم سند غير موجود ✘",IF(AND(F1956&lt;&gt;"",G1956&lt;&gt;""),"اكتب مدين أو دائن فقط ✘",IF(AND(N(F1956)=0,N(G1956)=0),"بدون مبلغ ⚠",IF(B1956&gt;12,"يتجاوز 12 بنداً في الطباعة ⚠","")))))</f>
        <v/>
      </c>
    </row>
    <row r="1957" customFormat="false" ht="15" hidden="false" customHeight="false" outlineLevel="0" collapsed="false">
      <c r="A1957" s="58"/>
      <c r="B1957" s="68" t="str">
        <f aca="false">IF(A1957="","",COUNTIF(A$5:A1957,A1957))</f>
        <v/>
      </c>
      <c r="C1957" s="68" t="str">
        <f aca="false">IF(A1957="","",A1957&amp;"-"&amp;B1957)</f>
        <v/>
      </c>
      <c r="D1957" s="58"/>
      <c r="E1957" s="57"/>
      <c r="F1957" s="69"/>
      <c r="G1957" s="69"/>
      <c r="H1957" s="70" t="str">
        <f aca="false">IF(A1957="","",IFERROR(INDEX(السندات!$C$5:$C$504,MATCH(A1957,السندات!$A$5:$A$504,0)),""))</f>
        <v/>
      </c>
      <c r="I1957" s="71" t="str">
        <f aca="false">IF(A1957="","",IFERROR(INDEX(السندات!$D$5:$D$504,MATCH(A1957,السندات!$A$5:$A$504,0)),""))</f>
        <v/>
      </c>
      <c r="J1957" s="72" t="str">
        <f aca="false">IF(A1957="","",IF(ISNA(MATCH(A1957,السندات!$A$5:$A$504,0)),"رقم سند غير موجود ✘",IF(AND(F1957&lt;&gt;"",G1957&lt;&gt;""),"اكتب مدين أو دائن فقط ✘",IF(AND(N(F1957)=0,N(G1957)=0),"بدون مبلغ ⚠",IF(B1957&gt;12,"يتجاوز 12 بنداً في الطباعة ⚠","")))))</f>
        <v/>
      </c>
    </row>
    <row r="1958" customFormat="false" ht="15" hidden="false" customHeight="false" outlineLevel="0" collapsed="false">
      <c r="A1958" s="58"/>
      <c r="B1958" s="73" t="str">
        <f aca="false">IF(A1958="","",COUNTIF(A$5:A1958,A1958))</f>
        <v/>
      </c>
      <c r="C1958" s="73" t="str">
        <f aca="false">IF(A1958="","",A1958&amp;"-"&amp;B1958)</f>
        <v/>
      </c>
      <c r="D1958" s="58"/>
      <c r="E1958" s="57"/>
      <c r="F1958" s="69"/>
      <c r="G1958" s="69"/>
      <c r="H1958" s="74" t="str">
        <f aca="false">IF(A1958="","",IFERROR(INDEX(السندات!$C$5:$C$504,MATCH(A1958,السندات!$A$5:$A$504,0)),""))</f>
        <v/>
      </c>
      <c r="I1958" s="75" t="str">
        <f aca="false">IF(A1958="","",IFERROR(INDEX(السندات!$D$5:$D$504,MATCH(A1958,السندات!$A$5:$A$504,0)),""))</f>
        <v/>
      </c>
      <c r="J1958" s="76" t="str">
        <f aca="false">IF(A1958="","",IF(ISNA(MATCH(A1958,السندات!$A$5:$A$504,0)),"رقم سند غير موجود ✘",IF(AND(F1958&lt;&gt;"",G1958&lt;&gt;""),"اكتب مدين أو دائن فقط ✘",IF(AND(N(F1958)=0,N(G1958)=0),"بدون مبلغ ⚠",IF(B1958&gt;12,"يتجاوز 12 بنداً في الطباعة ⚠","")))))</f>
        <v/>
      </c>
    </row>
    <row r="1959" customFormat="false" ht="15" hidden="false" customHeight="false" outlineLevel="0" collapsed="false">
      <c r="A1959" s="58"/>
      <c r="B1959" s="68" t="str">
        <f aca="false">IF(A1959="","",COUNTIF(A$5:A1959,A1959))</f>
        <v/>
      </c>
      <c r="C1959" s="68" t="str">
        <f aca="false">IF(A1959="","",A1959&amp;"-"&amp;B1959)</f>
        <v/>
      </c>
      <c r="D1959" s="58"/>
      <c r="E1959" s="57"/>
      <c r="F1959" s="69"/>
      <c r="G1959" s="69"/>
      <c r="H1959" s="70" t="str">
        <f aca="false">IF(A1959="","",IFERROR(INDEX(السندات!$C$5:$C$504,MATCH(A1959,السندات!$A$5:$A$504,0)),""))</f>
        <v/>
      </c>
      <c r="I1959" s="71" t="str">
        <f aca="false">IF(A1959="","",IFERROR(INDEX(السندات!$D$5:$D$504,MATCH(A1959,السندات!$A$5:$A$504,0)),""))</f>
        <v/>
      </c>
      <c r="J1959" s="72" t="str">
        <f aca="false">IF(A1959="","",IF(ISNA(MATCH(A1959,السندات!$A$5:$A$504,0)),"رقم سند غير موجود ✘",IF(AND(F1959&lt;&gt;"",G1959&lt;&gt;""),"اكتب مدين أو دائن فقط ✘",IF(AND(N(F1959)=0,N(G1959)=0),"بدون مبلغ ⚠",IF(B1959&gt;12,"يتجاوز 12 بنداً في الطباعة ⚠","")))))</f>
        <v/>
      </c>
    </row>
    <row r="1960" customFormat="false" ht="15" hidden="false" customHeight="false" outlineLevel="0" collapsed="false">
      <c r="A1960" s="58"/>
      <c r="B1960" s="73" t="str">
        <f aca="false">IF(A1960="","",COUNTIF(A$5:A1960,A1960))</f>
        <v/>
      </c>
      <c r="C1960" s="73" t="str">
        <f aca="false">IF(A1960="","",A1960&amp;"-"&amp;B1960)</f>
        <v/>
      </c>
      <c r="D1960" s="58"/>
      <c r="E1960" s="57"/>
      <c r="F1960" s="69"/>
      <c r="G1960" s="69"/>
      <c r="H1960" s="74" t="str">
        <f aca="false">IF(A1960="","",IFERROR(INDEX(السندات!$C$5:$C$504,MATCH(A1960,السندات!$A$5:$A$504,0)),""))</f>
        <v/>
      </c>
      <c r="I1960" s="75" t="str">
        <f aca="false">IF(A1960="","",IFERROR(INDEX(السندات!$D$5:$D$504,MATCH(A1960,السندات!$A$5:$A$504,0)),""))</f>
        <v/>
      </c>
      <c r="J1960" s="76" t="str">
        <f aca="false">IF(A1960="","",IF(ISNA(MATCH(A1960,السندات!$A$5:$A$504,0)),"رقم سند غير موجود ✘",IF(AND(F1960&lt;&gt;"",G1960&lt;&gt;""),"اكتب مدين أو دائن فقط ✘",IF(AND(N(F1960)=0,N(G1960)=0),"بدون مبلغ ⚠",IF(B1960&gt;12,"يتجاوز 12 بنداً في الطباعة ⚠","")))))</f>
        <v/>
      </c>
    </row>
    <row r="1961" customFormat="false" ht="15" hidden="false" customHeight="false" outlineLevel="0" collapsed="false">
      <c r="A1961" s="58"/>
      <c r="B1961" s="68" t="str">
        <f aca="false">IF(A1961="","",COUNTIF(A$5:A1961,A1961))</f>
        <v/>
      </c>
      <c r="C1961" s="68" t="str">
        <f aca="false">IF(A1961="","",A1961&amp;"-"&amp;B1961)</f>
        <v/>
      </c>
      <c r="D1961" s="58"/>
      <c r="E1961" s="57"/>
      <c r="F1961" s="69"/>
      <c r="G1961" s="69"/>
      <c r="H1961" s="70" t="str">
        <f aca="false">IF(A1961="","",IFERROR(INDEX(السندات!$C$5:$C$504,MATCH(A1961,السندات!$A$5:$A$504,0)),""))</f>
        <v/>
      </c>
      <c r="I1961" s="71" t="str">
        <f aca="false">IF(A1961="","",IFERROR(INDEX(السندات!$D$5:$D$504,MATCH(A1961,السندات!$A$5:$A$504,0)),""))</f>
        <v/>
      </c>
      <c r="J1961" s="72" t="str">
        <f aca="false">IF(A1961="","",IF(ISNA(MATCH(A1961,السندات!$A$5:$A$504,0)),"رقم سند غير موجود ✘",IF(AND(F1961&lt;&gt;"",G1961&lt;&gt;""),"اكتب مدين أو دائن فقط ✘",IF(AND(N(F1961)=0,N(G1961)=0),"بدون مبلغ ⚠",IF(B1961&gt;12,"يتجاوز 12 بنداً في الطباعة ⚠","")))))</f>
        <v/>
      </c>
    </row>
    <row r="1962" customFormat="false" ht="15" hidden="false" customHeight="false" outlineLevel="0" collapsed="false">
      <c r="A1962" s="58"/>
      <c r="B1962" s="73" t="str">
        <f aca="false">IF(A1962="","",COUNTIF(A$5:A1962,A1962))</f>
        <v/>
      </c>
      <c r="C1962" s="73" t="str">
        <f aca="false">IF(A1962="","",A1962&amp;"-"&amp;B1962)</f>
        <v/>
      </c>
      <c r="D1962" s="58"/>
      <c r="E1962" s="57"/>
      <c r="F1962" s="69"/>
      <c r="G1962" s="69"/>
      <c r="H1962" s="74" t="str">
        <f aca="false">IF(A1962="","",IFERROR(INDEX(السندات!$C$5:$C$504,MATCH(A1962,السندات!$A$5:$A$504,0)),""))</f>
        <v/>
      </c>
      <c r="I1962" s="75" t="str">
        <f aca="false">IF(A1962="","",IFERROR(INDEX(السندات!$D$5:$D$504,MATCH(A1962,السندات!$A$5:$A$504,0)),""))</f>
        <v/>
      </c>
      <c r="J1962" s="76" t="str">
        <f aca="false">IF(A1962="","",IF(ISNA(MATCH(A1962,السندات!$A$5:$A$504,0)),"رقم سند غير موجود ✘",IF(AND(F1962&lt;&gt;"",G1962&lt;&gt;""),"اكتب مدين أو دائن فقط ✘",IF(AND(N(F1962)=0,N(G1962)=0),"بدون مبلغ ⚠",IF(B1962&gt;12,"يتجاوز 12 بنداً في الطباعة ⚠","")))))</f>
        <v/>
      </c>
    </row>
    <row r="1963" customFormat="false" ht="15" hidden="false" customHeight="false" outlineLevel="0" collapsed="false">
      <c r="A1963" s="58"/>
      <c r="B1963" s="68" t="str">
        <f aca="false">IF(A1963="","",COUNTIF(A$5:A1963,A1963))</f>
        <v/>
      </c>
      <c r="C1963" s="68" t="str">
        <f aca="false">IF(A1963="","",A1963&amp;"-"&amp;B1963)</f>
        <v/>
      </c>
      <c r="D1963" s="58"/>
      <c r="E1963" s="57"/>
      <c r="F1963" s="69"/>
      <c r="G1963" s="69"/>
      <c r="H1963" s="70" t="str">
        <f aca="false">IF(A1963="","",IFERROR(INDEX(السندات!$C$5:$C$504,MATCH(A1963,السندات!$A$5:$A$504,0)),""))</f>
        <v/>
      </c>
      <c r="I1963" s="71" t="str">
        <f aca="false">IF(A1963="","",IFERROR(INDEX(السندات!$D$5:$D$504,MATCH(A1963,السندات!$A$5:$A$504,0)),""))</f>
        <v/>
      </c>
      <c r="J1963" s="72" t="str">
        <f aca="false">IF(A1963="","",IF(ISNA(MATCH(A1963,السندات!$A$5:$A$504,0)),"رقم سند غير موجود ✘",IF(AND(F1963&lt;&gt;"",G1963&lt;&gt;""),"اكتب مدين أو دائن فقط ✘",IF(AND(N(F1963)=0,N(G1963)=0),"بدون مبلغ ⚠",IF(B1963&gt;12,"يتجاوز 12 بنداً في الطباعة ⚠","")))))</f>
        <v/>
      </c>
    </row>
    <row r="1964" customFormat="false" ht="15" hidden="false" customHeight="false" outlineLevel="0" collapsed="false">
      <c r="A1964" s="58"/>
      <c r="B1964" s="73" t="str">
        <f aca="false">IF(A1964="","",COUNTIF(A$5:A1964,A1964))</f>
        <v/>
      </c>
      <c r="C1964" s="73" t="str">
        <f aca="false">IF(A1964="","",A1964&amp;"-"&amp;B1964)</f>
        <v/>
      </c>
      <c r="D1964" s="58"/>
      <c r="E1964" s="57"/>
      <c r="F1964" s="69"/>
      <c r="G1964" s="69"/>
      <c r="H1964" s="74" t="str">
        <f aca="false">IF(A1964="","",IFERROR(INDEX(السندات!$C$5:$C$504,MATCH(A1964,السندات!$A$5:$A$504,0)),""))</f>
        <v/>
      </c>
      <c r="I1964" s="75" t="str">
        <f aca="false">IF(A1964="","",IFERROR(INDEX(السندات!$D$5:$D$504,MATCH(A1964,السندات!$A$5:$A$504,0)),""))</f>
        <v/>
      </c>
      <c r="J1964" s="76" t="str">
        <f aca="false">IF(A1964="","",IF(ISNA(MATCH(A1964,السندات!$A$5:$A$504,0)),"رقم سند غير موجود ✘",IF(AND(F1964&lt;&gt;"",G1964&lt;&gt;""),"اكتب مدين أو دائن فقط ✘",IF(AND(N(F1964)=0,N(G1964)=0),"بدون مبلغ ⚠",IF(B1964&gt;12,"يتجاوز 12 بنداً في الطباعة ⚠","")))))</f>
        <v/>
      </c>
    </row>
    <row r="1965" customFormat="false" ht="15" hidden="false" customHeight="false" outlineLevel="0" collapsed="false">
      <c r="A1965" s="58"/>
      <c r="B1965" s="68" t="str">
        <f aca="false">IF(A1965="","",COUNTIF(A$5:A1965,A1965))</f>
        <v/>
      </c>
      <c r="C1965" s="68" t="str">
        <f aca="false">IF(A1965="","",A1965&amp;"-"&amp;B1965)</f>
        <v/>
      </c>
      <c r="D1965" s="58"/>
      <c r="E1965" s="57"/>
      <c r="F1965" s="69"/>
      <c r="G1965" s="69"/>
      <c r="H1965" s="70" t="str">
        <f aca="false">IF(A1965="","",IFERROR(INDEX(السندات!$C$5:$C$504,MATCH(A1965,السندات!$A$5:$A$504,0)),""))</f>
        <v/>
      </c>
      <c r="I1965" s="71" t="str">
        <f aca="false">IF(A1965="","",IFERROR(INDEX(السندات!$D$5:$D$504,MATCH(A1965,السندات!$A$5:$A$504,0)),""))</f>
        <v/>
      </c>
      <c r="J1965" s="72" t="str">
        <f aca="false">IF(A1965="","",IF(ISNA(MATCH(A1965,السندات!$A$5:$A$504,0)),"رقم سند غير موجود ✘",IF(AND(F1965&lt;&gt;"",G1965&lt;&gt;""),"اكتب مدين أو دائن فقط ✘",IF(AND(N(F1965)=0,N(G1965)=0),"بدون مبلغ ⚠",IF(B1965&gt;12,"يتجاوز 12 بنداً في الطباعة ⚠","")))))</f>
        <v/>
      </c>
    </row>
    <row r="1966" customFormat="false" ht="15" hidden="false" customHeight="false" outlineLevel="0" collapsed="false">
      <c r="A1966" s="58"/>
      <c r="B1966" s="73" t="str">
        <f aca="false">IF(A1966="","",COUNTIF(A$5:A1966,A1966))</f>
        <v/>
      </c>
      <c r="C1966" s="73" t="str">
        <f aca="false">IF(A1966="","",A1966&amp;"-"&amp;B1966)</f>
        <v/>
      </c>
      <c r="D1966" s="58"/>
      <c r="E1966" s="57"/>
      <c r="F1966" s="69"/>
      <c r="G1966" s="69"/>
      <c r="H1966" s="74" t="str">
        <f aca="false">IF(A1966="","",IFERROR(INDEX(السندات!$C$5:$C$504,MATCH(A1966,السندات!$A$5:$A$504,0)),""))</f>
        <v/>
      </c>
      <c r="I1966" s="75" t="str">
        <f aca="false">IF(A1966="","",IFERROR(INDEX(السندات!$D$5:$D$504,MATCH(A1966,السندات!$A$5:$A$504,0)),""))</f>
        <v/>
      </c>
      <c r="J1966" s="76" t="str">
        <f aca="false">IF(A1966="","",IF(ISNA(MATCH(A1966,السندات!$A$5:$A$504,0)),"رقم سند غير موجود ✘",IF(AND(F1966&lt;&gt;"",G1966&lt;&gt;""),"اكتب مدين أو دائن فقط ✘",IF(AND(N(F1966)=0,N(G1966)=0),"بدون مبلغ ⚠",IF(B1966&gt;12,"يتجاوز 12 بنداً في الطباعة ⚠","")))))</f>
        <v/>
      </c>
    </row>
    <row r="1967" customFormat="false" ht="15" hidden="false" customHeight="false" outlineLevel="0" collapsed="false">
      <c r="A1967" s="58"/>
      <c r="B1967" s="68" t="str">
        <f aca="false">IF(A1967="","",COUNTIF(A$5:A1967,A1967))</f>
        <v/>
      </c>
      <c r="C1967" s="68" t="str">
        <f aca="false">IF(A1967="","",A1967&amp;"-"&amp;B1967)</f>
        <v/>
      </c>
      <c r="D1967" s="58"/>
      <c r="E1967" s="57"/>
      <c r="F1967" s="69"/>
      <c r="G1967" s="69"/>
      <c r="H1967" s="70" t="str">
        <f aca="false">IF(A1967="","",IFERROR(INDEX(السندات!$C$5:$C$504,MATCH(A1967,السندات!$A$5:$A$504,0)),""))</f>
        <v/>
      </c>
      <c r="I1967" s="71" t="str">
        <f aca="false">IF(A1967="","",IFERROR(INDEX(السندات!$D$5:$D$504,MATCH(A1967,السندات!$A$5:$A$504,0)),""))</f>
        <v/>
      </c>
      <c r="J1967" s="72" t="str">
        <f aca="false">IF(A1967="","",IF(ISNA(MATCH(A1967,السندات!$A$5:$A$504,0)),"رقم سند غير موجود ✘",IF(AND(F1967&lt;&gt;"",G1967&lt;&gt;""),"اكتب مدين أو دائن فقط ✘",IF(AND(N(F1967)=0,N(G1967)=0),"بدون مبلغ ⚠",IF(B1967&gt;12,"يتجاوز 12 بنداً في الطباعة ⚠","")))))</f>
        <v/>
      </c>
    </row>
    <row r="1968" customFormat="false" ht="15" hidden="false" customHeight="false" outlineLevel="0" collapsed="false">
      <c r="A1968" s="58"/>
      <c r="B1968" s="73" t="str">
        <f aca="false">IF(A1968="","",COUNTIF(A$5:A1968,A1968))</f>
        <v/>
      </c>
      <c r="C1968" s="73" t="str">
        <f aca="false">IF(A1968="","",A1968&amp;"-"&amp;B1968)</f>
        <v/>
      </c>
      <c r="D1968" s="58"/>
      <c r="E1968" s="57"/>
      <c r="F1968" s="69"/>
      <c r="G1968" s="69"/>
      <c r="H1968" s="74" t="str">
        <f aca="false">IF(A1968="","",IFERROR(INDEX(السندات!$C$5:$C$504,MATCH(A1968,السندات!$A$5:$A$504,0)),""))</f>
        <v/>
      </c>
      <c r="I1968" s="75" t="str">
        <f aca="false">IF(A1968="","",IFERROR(INDEX(السندات!$D$5:$D$504,MATCH(A1968,السندات!$A$5:$A$504,0)),""))</f>
        <v/>
      </c>
      <c r="J1968" s="76" t="str">
        <f aca="false">IF(A1968="","",IF(ISNA(MATCH(A1968,السندات!$A$5:$A$504,0)),"رقم سند غير موجود ✘",IF(AND(F1968&lt;&gt;"",G1968&lt;&gt;""),"اكتب مدين أو دائن فقط ✘",IF(AND(N(F1968)=0,N(G1968)=0),"بدون مبلغ ⚠",IF(B1968&gt;12,"يتجاوز 12 بنداً في الطباعة ⚠","")))))</f>
        <v/>
      </c>
    </row>
    <row r="1969" customFormat="false" ht="15" hidden="false" customHeight="false" outlineLevel="0" collapsed="false">
      <c r="A1969" s="58"/>
      <c r="B1969" s="68" t="str">
        <f aca="false">IF(A1969="","",COUNTIF(A$5:A1969,A1969))</f>
        <v/>
      </c>
      <c r="C1969" s="68" t="str">
        <f aca="false">IF(A1969="","",A1969&amp;"-"&amp;B1969)</f>
        <v/>
      </c>
      <c r="D1969" s="58"/>
      <c r="E1969" s="57"/>
      <c r="F1969" s="69"/>
      <c r="G1969" s="69"/>
      <c r="H1969" s="70" t="str">
        <f aca="false">IF(A1969="","",IFERROR(INDEX(السندات!$C$5:$C$504,MATCH(A1969,السندات!$A$5:$A$504,0)),""))</f>
        <v/>
      </c>
      <c r="I1969" s="71" t="str">
        <f aca="false">IF(A1969="","",IFERROR(INDEX(السندات!$D$5:$D$504,MATCH(A1969,السندات!$A$5:$A$504,0)),""))</f>
        <v/>
      </c>
      <c r="J1969" s="72" t="str">
        <f aca="false">IF(A1969="","",IF(ISNA(MATCH(A1969,السندات!$A$5:$A$504,0)),"رقم سند غير موجود ✘",IF(AND(F1969&lt;&gt;"",G1969&lt;&gt;""),"اكتب مدين أو دائن فقط ✘",IF(AND(N(F1969)=0,N(G1969)=0),"بدون مبلغ ⚠",IF(B1969&gt;12,"يتجاوز 12 بنداً في الطباعة ⚠","")))))</f>
        <v/>
      </c>
    </row>
    <row r="1970" customFormat="false" ht="15" hidden="false" customHeight="false" outlineLevel="0" collapsed="false">
      <c r="A1970" s="58"/>
      <c r="B1970" s="73" t="str">
        <f aca="false">IF(A1970="","",COUNTIF(A$5:A1970,A1970))</f>
        <v/>
      </c>
      <c r="C1970" s="73" t="str">
        <f aca="false">IF(A1970="","",A1970&amp;"-"&amp;B1970)</f>
        <v/>
      </c>
      <c r="D1970" s="58"/>
      <c r="E1970" s="57"/>
      <c r="F1970" s="69"/>
      <c r="G1970" s="69"/>
      <c r="H1970" s="74" t="str">
        <f aca="false">IF(A1970="","",IFERROR(INDEX(السندات!$C$5:$C$504,MATCH(A1970,السندات!$A$5:$A$504,0)),""))</f>
        <v/>
      </c>
      <c r="I1970" s="75" t="str">
        <f aca="false">IF(A1970="","",IFERROR(INDEX(السندات!$D$5:$D$504,MATCH(A1970,السندات!$A$5:$A$504,0)),""))</f>
        <v/>
      </c>
      <c r="J1970" s="76" t="str">
        <f aca="false">IF(A1970="","",IF(ISNA(MATCH(A1970,السندات!$A$5:$A$504,0)),"رقم سند غير موجود ✘",IF(AND(F1970&lt;&gt;"",G1970&lt;&gt;""),"اكتب مدين أو دائن فقط ✘",IF(AND(N(F1970)=0,N(G1970)=0),"بدون مبلغ ⚠",IF(B1970&gt;12,"يتجاوز 12 بنداً في الطباعة ⚠","")))))</f>
        <v/>
      </c>
    </row>
    <row r="1971" customFormat="false" ht="15" hidden="false" customHeight="false" outlineLevel="0" collapsed="false">
      <c r="A1971" s="58"/>
      <c r="B1971" s="68" t="str">
        <f aca="false">IF(A1971="","",COUNTIF(A$5:A1971,A1971))</f>
        <v/>
      </c>
      <c r="C1971" s="68" t="str">
        <f aca="false">IF(A1971="","",A1971&amp;"-"&amp;B1971)</f>
        <v/>
      </c>
      <c r="D1971" s="58"/>
      <c r="E1971" s="57"/>
      <c r="F1971" s="69"/>
      <c r="G1971" s="69"/>
      <c r="H1971" s="70" t="str">
        <f aca="false">IF(A1971="","",IFERROR(INDEX(السندات!$C$5:$C$504,MATCH(A1971,السندات!$A$5:$A$504,0)),""))</f>
        <v/>
      </c>
      <c r="I1971" s="71" t="str">
        <f aca="false">IF(A1971="","",IFERROR(INDEX(السندات!$D$5:$D$504,MATCH(A1971,السندات!$A$5:$A$504,0)),""))</f>
        <v/>
      </c>
      <c r="J1971" s="72" t="str">
        <f aca="false">IF(A1971="","",IF(ISNA(MATCH(A1971,السندات!$A$5:$A$504,0)),"رقم سند غير موجود ✘",IF(AND(F1971&lt;&gt;"",G1971&lt;&gt;""),"اكتب مدين أو دائن فقط ✘",IF(AND(N(F1971)=0,N(G1971)=0),"بدون مبلغ ⚠",IF(B1971&gt;12,"يتجاوز 12 بنداً في الطباعة ⚠","")))))</f>
        <v/>
      </c>
    </row>
    <row r="1972" customFormat="false" ht="15" hidden="false" customHeight="false" outlineLevel="0" collapsed="false">
      <c r="A1972" s="58"/>
      <c r="B1972" s="73" t="str">
        <f aca="false">IF(A1972="","",COUNTIF(A$5:A1972,A1972))</f>
        <v/>
      </c>
      <c r="C1972" s="73" t="str">
        <f aca="false">IF(A1972="","",A1972&amp;"-"&amp;B1972)</f>
        <v/>
      </c>
      <c r="D1972" s="58"/>
      <c r="E1972" s="57"/>
      <c r="F1972" s="69"/>
      <c r="G1972" s="69"/>
      <c r="H1972" s="74" t="str">
        <f aca="false">IF(A1972="","",IFERROR(INDEX(السندات!$C$5:$C$504,MATCH(A1972,السندات!$A$5:$A$504,0)),""))</f>
        <v/>
      </c>
      <c r="I1972" s="75" t="str">
        <f aca="false">IF(A1972="","",IFERROR(INDEX(السندات!$D$5:$D$504,MATCH(A1972,السندات!$A$5:$A$504,0)),""))</f>
        <v/>
      </c>
      <c r="J1972" s="76" t="str">
        <f aca="false">IF(A1972="","",IF(ISNA(MATCH(A1972,السندات!$A$5:$A$504,0)),"رقم سند غير موجود ✘",IF(AND(F1972&lt;&gt;"",G1972&lt;&gt;""),"اكتب مدين أو دائن فقط ✘",IF(AND(N(F1972)=0,N(G1972)=0),"بدون مبلغ ⚠",IF(B1972&gt;12,"يتجاوز 12 بنداً في الطباعة ⚠","")))))</f>
        <v/>
      </c>
    </row>
    <row r="1973" customFormat="false" ht="15" hidden="false" customHeight="false" outlineLevel="0" collapsed="false">
      <c r="A1973" s="58"/>
      <c r="B1973" s="68" t="str">
        <f aca="false">IF(A1973="","",COUNTIF(A$5:A1973,A1973))</f>
        <v/>
      </c>
      <c r="C1973" s="68" t="str">
        <f aca="false">IF(A1973="","",A1973&amp;"-"&amp;B1973)</f>
        <v/>
      </c>
      <c r="D1973" s="58"/>
      <c r="E1973" s="57"/>
      <c r="F1973" s="69"/>
      <c r="G1973" s="69"/>
      <c r="H1973" s="70" t="str">
        <f aca="false">IF(A1973="","",IFERROR(INDEX(السندات!$C$5:$C$504,MATCH(A1973,السندات!$A$5:$A$504,0)),""))</f>
        <v/>
      </c>
      <c r="I1973" s="71" t="str">
        <f aca="false">IF(A1973="","",IFERROR(INDEX(السندات!$D$5:$D$504,MATCH(A1973,السندات!$A$5:$A$504,0)),""))</f>
        <v/>
      </c>
      <c r="J1973" s="72" t="str">
        <f aca="false">IF(A1973="","",IF(ISNA(MATCH(A1973,السندات!$A$5:$A$504,0)),"رقم سند غير موجود ✘",IF(AND(F1973&lt;&gt;"",G1973&lt;&gt;""),"اكتب مدين أو دائن فقط ✘",IF(AND(N(F1973)=0,N(G1973)=0),"بدون مبلغ ⚠",IF(B1973&gt;12,"يتجاوز 12 بنداً في الطباعة ⚠","")))))</f>
        <v/>
      </c>
    </row>
    <row r="1974" customFormat="false" ht="15" hidden="false" customHeight="false" outlineLevel="0" collapsed="false">
      <c r="A1974" s="58"/>
      <c r="B1974" s="73" t="str">
        <f aca="false">IF(A1974="","",COUNTIF(A$5:A1974,A1974))</f>
        <v/>
      </c>
      <c r="C1974" s="73" t="str">
        <f aca="false">IF(A1974="","",A1974&amp;"-"&amp;B1974)</f>
        <v/>
      </c>
      <c r="D1974" s="58"/>
      <c r="E1974" s="57"/>
      <c r="F1974" s="69"/>
      <c r="G1974" s="69"/>
      <c r="H1974" s="74" t="str">
        <f aca="false">IF(A1974="","",IFERROR(INDEX(السندات!$C$5:$C$504,MATCH(A1974,السندات!$A$5:$A$504,0)),""))</f>
        <v/>
      </c>
      <c r="I1974" s="75" t="str">
        <f aca="false">IF(A1974="","",IFERROR(INDEX(السندات!$D$5:$D$504,MATCH(A1974,السندات!$A$5:$A$504,0)),""))</f>
        <v/>
      </c>
      <c r="J1974" s="76" t="str">
        <f aca="false">IF(A1974="","",IF(ISNA(MATCH(A1974,السندات!$A$5:$A$504,0)),"رقم سند غير موجود ✘",IF(AND(F1974&lt;&gt;"",G1974&lt;&gt;""),"اكتب مدين أو دائن فقط ✘",IF(AND(N(F1974)=0,N(G1974)=0),"بدون مبلغ ⚠",IF(B1974&gt;12,"يتجاوز 12 بنداً في الطباعة ⚠","")))))</f>
        <v/>
      </c>
    </row>
    <row r="1975" customFormat="false" ht="15" hidden="false" customHeight="false" outlineLevel="0" collapsed="false">
      <c r="A1975" s="58"/>
      <c r="B1975" s="68" t="str">
        <f aca="false">IF(A1975="","",COUNTIF(A$5:A1975,A1975))</f>
        <v/>
      </c>
      <c r="C1975" s="68" t="str">
        <f aca="false">IF(A1975="","",A1975&amp;"-"&amp;B1975)</f>
        <v/>
      </c>
      <c r="D1975" s="58"/>
      <c r="E1975" s="57"/>
      <c r="F1975" s="69"/>
      <c r="G1975" s="69"/>
      <c r="H1975" s="70" t="str">
        <f aca="false">IF(A1975="","",IFERROR(INDEX(السندات!$C$5:$C$504,MATCH(A1975,السندات!$A$5:$A$504,0)),""))</f>
        <v/>
      </c>
      <c r="I1975" s="71" t="str">
        <f aca="false">IF(A1975="","",IFERROR(INDEX(السندات!$D$5:$D$504,MATCH(A1975,السندات!$A$5:$A$504,0)),""))</f>
        <v/>
      </c>
      <c r="J1975" s="72" t="str">
        <f aca="false">IF(A1975="","",IF(ISNA(MATCH(A1975,السندات!$A$5:$A$504,0)),"رقم سند غير موجود ✘",IF(AND(F1975&lt;&gt;"",G1975&lt;&gt;""),"اكتب مدين أو دائن فقط ✘",IF(AND(N(F1975)=0,N(G1975)=0),"بدون مبلغ ⚠",IF(B1975&gt;12,"يتجاوز 12 بنداً في الطباعة ⚠","")))))</f>
        <v/>
      </c>
    </row>
    <row r="1976" customFormat="false" ht="15" hidden="false" customHeight="false" outlineLevel="0" collapsed="false">
      <c r="A1976" s="58"/>
      <c r="B1976" s="73" t="str">
        <f aca="false">IF(A1976="","",COUNTIF(A$5:A1976,A1976))</f>
        <v/>
      </c>
      <c r="C1976" s="73" t="str">
        <f aca="false">IF(A1976="","",A1976&amp;"-"&amp;B1976)</f>
        <v/>
      </c>
      <c r="D1976" s="58"/>
      <c r="E1976" s="57"/>
      <c r="F1976" s="69"/>
      <c r="G1976" s="69"/>
      <c r="H1976" s="74" t="str">
        <f aca="false">IF(A1976="","",IFERROR(INDEX(السندات!$C$5:$C$504,MATCH(A1976,السندات!$A$5:$A$504,0)),""))</f>
        <v/>
      </c>
      <c r="I1976" s="75" t="str">
        <f aca="false">IF(A1976="","",IFERROR(INDEX(السندات!$D$5:$D$504,MATCH(A1976,السندات!$A$5:$A$504,0)),""))</f>
        <v/>
      </c>
      <c r="J1976" s="76" t="str">
        <f aca="false">IF(A1976="","",IF(ISNA(MATCH(A1976,السندات!$A$5:$A$504,0)),"رقم سند غير موجود ✘",IF(AND(F1976&lt;&gt;"",G1976&lt;&gt;""),"اكتب مدين أو دائن فقط ✘",IF(AND(N(F1976)=0,N(G1976)=0),"بدون مبلغ ⚠",IF(B1976&gt;12,"يتجاوز 12 بنداً في الطباعة ⚠","")))))</f>
        <v/>
      </c>
    </row>
    <row r="1977" customFormat="false" ht="15" hidden="false" customHeight="false" outlineLevel="0" collapsed="false">
      <c r="A1977" s="58"/>
      <c r="B1977" s="68" t="str">
        <f aca="false">IF(A1977="","",COUNTIF(A$5:A1977,A1977))</f>
        <v/>
      </c>
      <c r="C1977" s="68" t="str">
        <f aca="false">IF(A1977="","",A1977&amp;"-"&amp;B1977)</f>
        <v/>
      </c>
      <c r="D1977" s="58"/>
      <c r="E1977" s="57"/>
      <c r="F1977" s="69"/>
      <c r="G1977" s="69"/>
      <c r="H1977" s="70" t="str">
        <f aca="false">IF(A1977="","",IFERROR(INDEX(السندات!$C$5:$C$504,MATCH(A1977,السندات!$A$5:$A$504,0)),""))</f>
        <v/>
      </c>
      <c r="I1977" s="71" t="str">
        <f aca="false">IF(A1977="","",IFERROR(INDEX(السندات!$D$5:$D$504,MATCH(A1977,السندات!$A$5:$A$504,0)),""))</f>
        <v/>
      </c>
      <c r="J1977" s="72" t="str">
        <f aca="false">IF(A1977="","",IF(ISNA(MATCH(A1977,السندات!$A$5:$A$504,0)),"رقم سند غير موجود ✘",IF(AND(F1977&lt;&gt;"",G1977&lt;&gt;""),"اكتب مدين أو دائن فقط ✘",IF(AND(N(F1977)=0,N(G1977)=0),"بدون مبلغ ⚠",IF(B1977&gt;12,"يتجاوز 12 بنداً في الطباعة ⚠","")))))</f>
        <v/>
      </c>
    </row>
    <row r="1978" customFormat="false" ht="15" hidden="false" customHeight="false" outlineLevel="0" collapsed="false">
      <c r="A1978" s="58"/>
      <c r="B1978" s="73" t="str">
        <f aca="false">IF(A1978="","",COUNTIF(A$5:A1978,A1978))</f>
        <v/>
      </c>
      <c r="C1978" s="73" t="str">
        <f aca="false">IF(A1978="","",A1978&amp;"-"&amp;B1978)</f>
        <v/>
      </c>
      <c r="D1978" s="58"/>
      <c r="E1978" s="57"/>
      <c r="F1978" s="69"/>
      <c r="G1978" s="69"/>
      <c r="H1978" s="74" t="str">
        <f aca="false">IF(A1978="","",IFERROR(INDEX(السندات!$C$5:$C$504,MATCH(A1978,السندات!$A$5:$A$504,0)),""))</f>
        <v/>
      </c>
      <c r="I1978" s="75" t="str">
        <f aca="false">IF(A1978="","",IFERROR(INDEX(السندات!$D$5:$D$504,MATCH(A1978,السندات!$A$5:$A$504,0)),""))</f>
        <v/>
      </c>
      <c r="J1978" s="76" t="str">
        <f aca="false">IF(A1978="","",IF(ISNA(MATCH(A1978,السندات!$A$5:$A$504,0)),"رقم سند غير موجود ✘",IF(AND(F1978&lt;&gt;"",G1978&lt;&gt;""),"اكتب مدين أو دائن فقط ✘",IF(AND(N(F1978)=0,N(G1978)=0),"بدون مبلغ ⚠",IF(B1978&gt;12,"يتجاوز 12 بنداً في الطباعة ⚠","")))))</f>
        <v/>
      </c>
    </row>
    <row r="1979" customFormat="false" ht="15" hidden="false" customHeight="false" outlineLevel="0" collapsed="false">
      <c r="A1979" s="58"/>
      <c r="B1979" s="68" t="str">
        <f aca="false">IF(A1979="","",COUNTIF(A$5:A1979,A1979))</f>
        <v/>
      </c>
      <c r="C1979" s="68" t="str">
        <f aca="false">IF(A1979="","",A1979&amp;"-"&amp;B1979)</f>
        <v/>
      </c>
      <c r="D1979" s="58"/>
      <c r="E1979" s="57"/>
      <c r="F1979" s="69"/>
      <c r="G1979" s="69"/>
      <c r="H1979" s="70" t="str">
        <f aca="false">IF(A1979="","",IFERROR(INDEX(السندات!$C$5:$C$504,MATCH(A1979,السندات!$A$5:$A$504,0)),""))</f>
        <v/>
      </c>
      <c r="I1979" s="71" t="str">
        <f aca="false">IF(A1979="","",IFERROR(INDEX(السندات!$D$5:$D$504,MATCH(A1979,السندات!$A$5:$A$504,0)),""))</f>
        <v/>
      </c>
      <c r="J1979" s="72" t="str">
        <f aca="false">IF(A1979="","",IF(ISNA(MATCH(A1979,السندات!$A$5:$A$504,0)),"رقم سند غير موجود ✘",IF(AND(F1979&lt;&gt;"",G1979&lt;&gt;""),"اكتب مدين أو دائن فقط ✘",IF(AND(N(F1979)=0,N(G1979)=0),"بدون مبلغ ⚠",IF(B1979&gt;12,"يتجاوز 12 بنداً في الطباعة ⚠","")))))</f>
        <v/>
      </c>
    </row>
    <row r="1980" customFormat="false" ht="15" hidden="false" customHeight="false" outlineLevel="0" collapsed="false">
      <c r="A1980" s="58"/>
      <c r="B1980" s="73" t="str">
        <f aca="false">IF(A1980="","",COUNTIF(A$5:A1980,A1980))</f>
        <v/>
      </c>
      <c r="C1980" s="73" t="str">
        <f aca="false">IF(A1980="","",A1980&amp;"-"&amp;B1980)</f>
        <v/>
      </c>
      <c r="D1980" s="58"/>
      <c r="E1980" s="57"/>
      <c r="F1980" s="69"/>
      <c r="G1980" s="69"/>
      <c r="H1980" s="74" t="str">
        <f aca="false">IF(A1980="","",IFERROR(INDEX(السندات!$C$5:$C$504,MATCH(A1980,السندات!$A$5:$A$504,0)),""))</f>
        <v/>
      </c>
      <c r="I1980" s="75" t="str">
        <f aca="false">IF(A1980="","",IFERROR(INDEX(السندات!$D$5:$D$504,MATCH(A1980,السندات!$A$5:$A$504,0)),""))</f>
        <v/>
      </c>
      <c r="J1980" s="76" t="str">
        <f aca="false">IF(A1980="","",IF(ISNA(MATCH(A1980,السندات!$A$5:$A$504,0)),"رقم سند غير موجود ✘",IF(AND(F1980&lt;&gt;"",G1980&lt;&gt;""),"اكتب مدين أو دائن فقط ✘",IF(AND(N(F1980)=0,N(G1980)=0),"بدون مبلغ ⚠",IF(B1980&gt;12,"يتجاوز 12 بنداً في الطباعة ⚠","")))))</f>
        <v/>
      </c>
    </row>
    <row r="1981" customFormat="false" ht="15" hidden="false" customHeight="false" outlineLevel="0" collapsed="false">
      <c r="A1981" s="58"/>
      <c r="B1981" s="68" t="str">
        <f aca="false">IF(A1981="","",COUNTIF(A$5:A1981,A1981))</f>
        <v/>
      </c>
      <c r="C1981" s="68" t="str">
        <f aca="false">IF(A1981="","",A1981&amp;"-"&amp;B1981)</f>
        <v/>
      </c>
      <c r="D1981" s="58"/>
      <c r="E1981" s="57"/>
      <c r="F1981" s="69"/>
      <c r="G1981" s="69"/>
      <c r="H1981" s="70" t="str">
        <f aca="false">IF(A1981="","",IFERROR(INDEX(السندات!$C$5:$C$504,MATCH(A1981,السندات!$A$5:$A$504,0)),""))</f>
        <v/>
      </c>
      <c r="I1981" s="71" t="str">
        <f aca="false">IF(A1981="","",IFERROR(INDEX(السندات!$D$5:$D$504,MATCH(A1981,السندات!$A$5:$A$504,0)),""))</f>
        <v/>
      </c>
      <c r="J1981" s="72" t="str">
        <f aca="false">IF(A1981="","",IF(ISNA(MATCH(A1981,السندات!$A$5:$A$504,0)),"رقم سند غير موجود ✘",IF(AND(F1981&lt;&gt;"",G1981&lt;&gt;""),"اكتب مدين أو دائن فقط ✘",IF(AND(N(F1981)=0,N(G1981)=0),"بدون مبلغ ⚠",IF(B1981&gt;12,"يتجاوز 12 بنداً في الطباعة ⚠","")))))</f>
        <v/>
      </c>
    </row>
    <row r="1982" customFormat="false" ht="15" hidden="false" customHeight="false" outlineLevel="0" collapsed="false">
      <c r="A1982" s="58"/>
      <c r="B1982" s="73" t="str">
        <f aca="false">IF(A1982="","",COUNTIF(A$5:A1982,A1982))</f>
        <v/>
      </c>
      <c r="C1982" s="73" t="str">
        <f aca="false">IF(A1982="","",A1982&amp;"-"&amp;B1982)</f>
        <v/>
      </c>
      <c r="D1982" s="58"/>
      <c r="E1982" s="57"/>
      <c r="F1982" s="69"/>
      <c r="G1982" s="69"/>
      <c r="H1982" s="74" t="str">
        <f aca="false">IF(A1982="","",IFERROR(INDEX(السندات!$C$5:$C$504,MATCH(A1982,السندات!$A$5:$A$504,0)),""))</f>
        <v/>
      </c>
      <c r="I1982" s="75" t="str">
        <f aca="false">IF(A1982="","",IFERROR(INDEX(السندات!$D$5:$D$504,MATCH(A1982,السندات!$A$5:$A$504,0)),""))</f>
        <v/>
      </c>
      <c r="J1982" s="76" t="str">
        <f aca="false">IF(A1982="","",IF(ISNA(MATCH(A1982,السندات!$A$5:$A$504,0)),"رقم سند غير موجود ✘",IF(AND(F1982&lt;&gt;"",G1982&lt;&gt;""),"اكتب مدين أو دائن فقط ✘",IF(AND(N(F1982)=0,N(G1982)=0),"بدون مبلغ ⚠",IF(B1982&gt;12,"يتجاوز 12 بنداً في الطباعة ⚠","")))))</f>
        <v/>
      </c>
    </row>
    <row r="1983" customFormat="false" ht="15" hidden="false" customHeight="false" outlineLevel="0" collapsed="false">
      <c r="A1983" s="58"/>
      <c r="B1983" s="68" t="str">
        <f aca="false">IF(A1983="","",COUNTIF(A$5:A1983,A1983))</f>
        <v/>
      </c>
      <c r="C1983" s="68" t="str">
        <f aca="false">IF(A1983="","",A1983&amp;"-"&amp;B1983)</f>
        <v/>
      </c>
      <c r="D1983" s="58"/>
      <c r="E1983" s="57"/>
      <c r="F1983" s="69"/>
      <c r="G1983" s="69"/>
      <c r="H1983" s="70" t="str">
        <f aca="false">IF(A1983="","",IFERROR(INDEX(السندات!$C$5:$C$504,MATCH(A1983,السندات!$A$5:$A$504,0)),""))</f>
        <v/>
      </c>
      <c r="I1983" s="71" t="str">
        <f aca="false">IF(A1983="","",IFERROR(INDEX(السندات!$D$5:$D$504,MATCH(A1983,السندات!$A$5:$A$504,0)),""))</f>
        <v/>
      </c>
      <c r="J1983" s="72" t="str">
        <f aca="false">IF(A1983="","",IF(ISNA(MATCH(A1983,السندات!$A$5:$A$504,0)),"رقم سند غير موجود ✘",IF(AND(F1983&lt;&gt;"",G1983&lt;&gt;""),"اكتب مدين أو دائن فقط ✘",IF(AND(N(F1983)=0,N(G1983)=0),"بدون مبلغ ⚠",IF(B1983&gt;12,"يتجاوز 12 بنداً في الطباعة ⚠","")))))</f>
        <v/>
      </c>
    </row>
    <row r="1984" customFormat="false" ht="15" hidden="false" customHeight="false" outlineLevel="0" collapsed="false">
      <c r="A1984" s="58"/>
      <c r="B1984" s="73" t="str">
        <f aca="false">IF(A1984="","",COUNTIF(A$5:A1984,A1984))</f>
        <v/>
      </c>
      <c r="C1984" s="73" t="str">
        <f aca="false">IF(A1984="","",A1984&amp;"-"&amp;B1984)</f>
        <v/>
      </c>
      <c r="D1984" s="58"/>
      <c r="E1984" s="57"/>
      <c r="F1984" s="69"/>
      <c r="G1984" s="69"/>
      <c r="H1984" s="74" t="str">
        <f aca="false">IF(A1984="","",IFERROR(INDEX(السندات!$C$5:$C$504,MATCH(A1984,السندات!$A$5:$A$504,0)),""))</f>
        <v/>
      </c>
      <c r="I1984" s="75" t="str">
        <f aca="false">IF(A1984="","",IFERROR(INDEX(السندات!$D$5:$D$504,MATCH(A1984,السندات!$A$5:$A$504,0)),""))</f>
        <v/>
      </c>
      <c r="J1984" s="76" t="str">
        <f aca="false">IF(A1984="","",IF(ISNA(MATCH(A1984,السندات!$A$5:$A$504,0)),"رقم سند غير موجود ✘",IF(AND(F1984&lt;&gt;"",G1984&lt;&gt;""),"اكتب مدين أو دائن فقط ✘",IF(AND(N(F1984)=0,N(G1984)=0),"بدون مبلغ ⚠",IF(B1984&gt;12,"يتجاوز 12 بنداً في الطباعة ⚠","")))))</f>
        <v/>
      </c>
    </row>
    <row r="1985" customFormat="false" ht="15" hidden="false" customHeight="false" outlineLevel="0" collapsed="false">
      <c r="A1985" s="58"/>
      <c r="B1985" s="68" t="str">
        <f aca="false">IF(A1985="","",COUNTIF(A$5:A1985,A1985))</f>
        <v/>
      </c>
      <c r="C1985" s="68" t="str">
        <f aca="false">IF(A1985="","",A1985&amp;"-"&amp;B1985)</f>
        <v/>
      </c>
      <c r="D1985" s="58"/>
      <c r="E1985" s="57"/>
      <c r="F1985" s="69"/>
      <c r="G1985" s="69"/>
      <c r="H1985" s="70" t="str">
        <f aca="false">IF(A1985="","",IFERROR(INDEX(السندات!$C$5:$C$504,MATCH(A1985,السندات!$A$5:$A$504,0)),""))</f>
        <v/>
      </c>
      <c r="I1985" s="71" t="str">
        <f aca="false">IF(A1985="","",IFERROR(INDEX(السندات!$D$5:$D$504,MATCH(A1985,السندات!$A$5:$A$504,0)),""))</f>
        <v/>
      </c>
      <c r="J1985" s="72" t="str">
        <f aca="false">IF(A1985="","",IF(ISNA(MATCH(A1985,السندات!$A$5:$A$504,0)),"رقم سند غير موجود ✘",IF(AND(F1985&lt;&gt;"",G1985&lt;&gt;""),"اكتب مدين أو دائن فقط ✘",IF(AND(N(F1985)=0,N(G1985)=0),"بدون مبلغ ⚠",IF(B1985&gt;12,"يتجاوز 12 بنداً في الطباعة ⚠","")))))</f>
        <v/>
      </c>
    </row>
    <row r="1986" customFormat="false" ht="15" hidden="false" customHeight="false" outlineLevel="0" collapsed="false">
      <c r="A1986" s="58"/>
      <c r="B1986" s="73" t="str">
        <f aca="false">IF(A1986="","",COUNTIF(A$5:A1986,A1986))</f>
        <v/>
      </c>
      <c r="C1986" s="73" t="str">
        <f aca="false">IF(A1986="","",A1986&amp;"-"&amp;B1986)</f>
        <v/>
      </c>
      <c r="D1986" s="58"/>
      <c r="E1986" s="57"/>
      <c r="F1986" s="69"/>
      <c r="G1986" s="69"/>
      <c r="H1986" s="74" t="str">
        <f aca="false">IF(A1986="","",IFERROR(INDEX(السندات!$C$5:$C$504,MATCH(A1986,السندات!$A$5:$A$504,0)),""))</f>
        <v/>
      </c>
      <c r="I1986" s="75" t="str">
        <f aca="false">IF(A1986="","",IFERROR(INDEX(السندات!$D$5:$D$504,MATCH(A1986,السندات!$A$5:$A$504,0)),""))</f>
        <v/>
      </c>
      <c r="J1986" s="76" t="str">
        <f aca="false">IF(A1986="","",IF(ISNA(MATCH(A1986,السندات!$A$5:$A$504,0)),"رقم سند غير موجود ✘",IF(AND(F1986&lt;&gt;"",G1986&lt;&gt;""),"اكتب مدين أو دائن فقط ✘",IF(AND(N(F1986)=0,N(G1986)=0),"بدون مبلغ ⚠",IF(B1986&gt;12,"يتجاوز 12 بنداً في الطباعة ⚠","")))))</f>
        <v/>
      </c>
    </row>
    <row r="1987" customFormat="false" ht="15" hidden="false" customHeight="false" outlineLevel="0" collapsed="false">
      <c r="A1987" s="58"/>
      <c r="B1987" s="68" t="str">
        <f aca="false">IF(A1987="","",COUNTIF(A$5:A1987,A1987))</f>
        <v/>
      </c>
      <c r="C1987" s="68" t="str">
        <f aca="false">IF(A1987="","",A1987&amp;"-"&amp;B1987)</f>
        <v/>
      </c>
      <c r="D1987" s="58"/>
      <c r="E1987" s="57"/>
      <c r="F1987" s="69"/>
      <c r="G1987" s="69"/>
      <c r="H1987" s="70" t="str">
        <f aca="false">IF(A1987="","",IFERROR(INDEX(السندات!$C$5:$C$504,MATCH(A1987,السندات!$A$5:$A$504,0)),""))</f>
        <v/>
      </c>
      <c r="I1987" s="71" t="str">
        <f aca="false">IF(A1987="","",IFERROR(INDEX(السندات!$D$5:$D$504,MATCH(A1987,السندات!$A$5:$A$504,0)),""))</f>
        <v/>
      </c>
      <c r="J1987" s="72" t="str">
        <f aca="false">IF(A1987="","",IF(ISNA(MATCH(A1987,السندات!$A$5:$A$504,0)),"رقم سند غير موجود ✘",IF(AND(F1987&lt;&gt;"",G1987&lt;&gt;""),"اكتب مدين أو دائن فقط ✘",IF(AND(N(F1987)=0,N(G1987)=0),"بدون مبلغ ⚠",IF(B1987&gt;12,"يتجاوز 12 بنداً في الطباعة ⚠","")))))</f>
        <v/>
      </c>
    </row>
    <row r="1988" customFormat="false" ht="15" hidden="false" customHeight="false" outlineLevel="0" collapsed="false">
      <c r="A1988" s="58"/>
      <c r="B1988" s="73" t="str">
        <f aca="false">IF(A1988="","",COUNTIF(A$5:A1988,A1988))</f>
        <v/>
      </c>
      <c r="C1988" s="73" t="str">
        <f aca="false">IF(A1988="","",A1988&amp;"-"&amp;B1988)</f>
        <v/>
      </c>
      <c r="D1988" s="58"/>
      <c r="E1988" s="57"/>
      <c r="F1988" s="69"/>
      <c r="G1988" s="69"/>
      <c r="H1988" s="74" t="str">
        <f aca="false">IF(A1988="","",IFERROR(INDEX(السندات!$C$5:$C$504,MATCH(A1988,السندات!$A$5:$A$504,0)),""))</f>
        <v/>
      </c>
      <c r="I1988" s="75" t="str">
        <f aca="false">IF(A1988="","",IFERROR(INDEX(السندات!$D$5:$D$504,MATCH(A1988,السندات!$A$5:$A$504,0)),""))</f>
        <v/>
      </c>
      <c r="J1988" s="76" t="str">
        <f aca="false">IF(A1988="","",IF(ISNA(MATCH(A1988,السندات!$A$5:$A$504,0)),"رقم سند غير موجود ✘",IF(AND(F1988&lt;&gt;"",G1988&lt;&gt;""),"اكتب مدين أو دائن فقط ✘",IF(AND(N(F1988)=0,N(G1988)=0),"بدون مبلغ ⚠",IF(B1988&gt;12,"يتجاوز 12 بنداً في الطباعة ⚠","")))))</f>
        <v/>
      </c>
    </row>
    <row r="1989" customFormat="false" ht="15" hidden="false" customHeight="false" outlineLevel="0" collapsed="false">
      <c r="A1989" s="58"/>
      <c r="B1989" s="68" t="str">
        <f aca="false">IF(A1989="","",COUNTIF(A$5:A1989,A1989))</f>
        <v/>
      </c>
      <c r="C1989" s="68" t="str">
        <f aca="false">IF(A1989="","",A1989&amp;"-"&amp;B1989)</f>
        <v/>
      </c>
      <c r="D1989" s="58"/>
      <c r="E1989" s="57"/>
      <c r="F1989" s="69"/>
      <c r="G1989" s="69"/>
      <c r="H1989" s="70" t="str">
        <f aca="false">IF(A1989="","",IFERROR(INDEX(السندات!$C$5:$C$504,MATCH(A1989,السندات!$A$5:$A$504,0)),""))</f>
        <v/>
      </c>
      <c r="I1989" s="71" t="str">
        <f aca="false">IF(A1989="","",IFERROR(INDEX(السندات!$D$5:$D$504,MATCH(A1989,السندات!$A$5:$A$504,0)),""))</f>
        <v/>
      </c>
      <c r="J1989" s="72" t="str">
        <f aca="false">IF(A1989="","",IF(ISNA(MATCH(A1989,السندات!$A$5:$A$504,0)),"رقم سند غير موجود ✘",IF(AND(F1989&lt;&gt;"",G1989&lt;&gt;""),"اكتب مدين أو دائن فقط ✘",IF(AND(N(F1989)=0,N(G1989)=0),"بدون مبلغ ⚠",IF(B1989&gt;12,"يتجاوز 12 بنداً في الطباعة ⚠","")))))</f>
        <v/>
      </c>
    </row>
    <row r="1990" customFormat="false" ht="15" hidden="false" customHeight="false" outlineLevel="0" collapsed="false">
      <c r="A1990" s="58"/>
      <c r="B1990" s="73" t="str">
        <f aca="false">IF(A1990="","",COUNTIF(A$5:A1990,A1990))</f>
        <v/>
      </c>
      <c r="C1990" s="73" t="str">
        <f aca="false">IF(A1990="","",A1990&amp;"-"&amp;B1990)</f>
        <v/>
      </c>
      <c r="D1990" s="58"/>
      <c r="E1990" s="57"/>
      <c r="F1990" s="69"/>
      <c r="G1990" s="69"/>
      <c r="H1990" s="74" t="str">
        <f aca="false">IF(A1990="","",IFERROR(INDEX(السندات!$C$5:$C$504,MATCH(A1990,السندات!$A$5:$A$504,0)),""))</f>
        <v/>
      </c>
      <c r="I1990" s="75" t="str">
        <f aca="false">IF(A1990="","",IFERROR(INDEX(السندات!$D$5:$D$504,MATCH(A1990,السندات!$A$5:$A$504,0)),""))</f>
        <v/>
      </c>
      <c r="J1990" s="76" t="str">
        <f aca="false">IF(A1990="","",IF(ISNA(MATCH(A1990,السندات!$A$5:$A$504,0)),"رقم سند غير موجود ✘",IF(AND(F1990&lt;&gt;"",G1990&lt;&gt;""),"اكتب مدين أو دائن فقط ✘",IF(AND(N(F1990)=0,N(G1990)=0),"بدون مبلغ ⚠",IF(B1990&gt;12,"يتجاوز 12 بنداً في الطباعة ⚠","")))))</f>
        <v/>
      </c>
    </row>
    <row r="1991" customFormat="false" ht="15" hidden="false" customHeight="false" outlineLevel="0" collapsed="false">
      <c r="A1991" s="58"/>
      <c r="B1991" s="68" t="str">
        <f aca="false">IF(A1991="","",COUNTIF(A$5:A1991,A1991))</f>
        <v/>
      </c>
      <c r="C1991" s="68" t="str">
        <f aca="false">IF(A1991="","",A1991&amp;"-"&amp;B1991)</f>
        <v/>
      </c>
      <c r="D1991" s="58"/>
      <c r="E1991" s="57"/>
      <c r="F1991" s="69"/>
      <c r="G1991" s="69"/>
      <c r="H1991" s="70" t="str">
        <f aca="false">IF(A1991="","",IFERROR(INDEX(السندات!$C$5:$C$504,MATCH(A1991,السندات!$A$5:$A$504,0)),""))</f>
        <v/>
      </c>
      <c r="I1991" s="71" t="str">
        <f aca="false">IF(A1991="","",IFERROR(INDEX(السندات!$D$5:$D$504,MATCH(A1991,السندات!$A$5:$A$504,0)),""))</f>
        <v/>
      </c>
      <c r="J1991" s="72" t="str">
        <f aca="false">IF(A1991="","",IF(ISNA(MATCH(A1991,السندات!$A$5:$A$504,0)),"رقم سند غير موجود ✘",IF(AND(F1991&lt;&gt;"",G1991&lt;&gt;""),"اكتب مدين أو دائن فقط ✘",IF(AND(N(F1991)=0,N(G1991)=0),"بدون مبلغ ⚠",IF(B1991&gt;12,"يتجاوز 12 بنداً في الطباعة ⚠","")))))</f>
        <v/>
      </c>
    </row>
    <row r="1992" customFormat="false" ht="15" hidden="false" customHeight="false" outlineLevel="0" collapsed="false">
      <c r="A1992" s="58"/>
      <c r="B1992" s="73" t="str">
        <f aca="false">IF(A1992="","",COUNTIF(A$5:A1992,A1992))</f>
        <v/>
      </c>
      <c r="C1992" s="73" t="str">
        <f aca="false">IF(A1992="","",A1992&amp;"-"&amp;B1992)</f>
        <v/>
      </c>
      <c r="D1992" s="58"/>
      <c r="E1992" s="57"/>
      <c r="F1992" s="69"/>
      <c r="G1992" s="69"/>
      <c r="H1992" s="74" t="str">
        <f aca="false">IF(A1992="","",IFERROR(INDEX(السندات!$C$5:$C$504,MATCH(A1992,السندات!$A$5:$A$504,0)),""))</f>
        <v/>
      </c>
      <c r="I1992" s="75" t="str">
        <f aca="false">IF(A1992="","",IFERROR(INDEX(السندات!$D$5:$D$504,MATCH(A1992,السندات!$A$5:$A$504,0)),""))</f>
        <v/>
      </c>
      <c r="J1992" s="76" t="str">
        <f aca="false">IF(A1992="","",IF(ISNA(MATCH(A1992,السندات!$A$5:$A$504,0)),"رقم سند غير موجود ✘",IF(AND(F1992&lt;&gt;"",G1992&lt;&gt;""),"اكتب مدين أو دائن فقط ✘",IF(AND(N(F1992)=0,N(G1992)=0),"بدون مبلغ ⚠",IF(B1992&gt;12,"يتجاوز 12 بنداً في الطباعة ⚠","")))))</f>
        <v/>
      </c>
    </row>
    <row r="1993" customFormat="false" ht="15" hidden="false" customHeight="false" outlineLevel="0" collapsed="false">
      <c r="A1993" s="58"/>
      <c r="B1993" s="68" t="str">
        <f aca="false">IF(A1993="","",COUNTIF(A$5:A1993,A1993))</f>
        <v/>
      </c>
      <c r="C1993" s="68" t="str">
        <f aca="false">IF(A1993="","",A1993&amp;"-"&amp;B1993)</f>
        <v/>
      </c>
      <c r="D1993" s="58"/>
      <c r="E1993" s="57"/>
      <c r="F1993" s="69"/>
      <c r="G1993" s="69"/>
      <c r="H1993" s="70" t="str">
        <f aca="false">IF(A1993="","",IFERROR(INDEX(السندات!$C$5:$C$504,MATCH(A1993,السندات!$A$5:$A$504,0)),""))</f>
        <v/>
      </c>
      <c r="I1993" s="71" t="str">
        <f aca="false">IF(A1993="","",IFERROR(INDEX(السندات!$D$5:$D$504,MATCH(A1993,السندات!$A$5:$A$504,0)),""))</f>
        <v/>
      </c>
      <c r="J1993" s="72" t="str">
        <f aca="false">IF(A1993="","",IF(ISNA(MATCH(A1993,السندات!$A$5:$A$504,0)),"رقم سند غير موجود ✘",IF(AND(F1993&lt;&gt;"",G1993&lt;&gt;""),"اكتب مدين أو دائن فقط ✘",IF(AND(N(F1993)=0,N(G1993)=0),"بدون مبلغ ⚠",IF(B1993&gt;12,"يتجاوز 12 بنداً في الطباعة ⚠","")))))</f>
        <v/>
      </c>
    </row>
    <row r="1994" customFormat="false" ht="15" hidden="false" customHeight="false" outlineLevel="0" collapsed="false">
      <c r="A1994" s="58"/>
      <c r="B1994" s="73" t="str">
        <f aca="false">IF(A1994="","",COUNTIF(A$5:A1994,A1994))</f>
        <v/>
      </c>
      <c r="C1994" s="73" t="str">
        <f aca="false">IF(A1994="","",A1994&amp;"-"&amp;B1994)</f>
        <v/>
      </c>
      <c r="D1994" s="58"/>
      <c r="E1994" s="57"/>
      <c r="F1994" s="69"/>
      <c r="G1994" s="69"/>
      <c r="H1994" s="74" t="str">
        <f aca="false">IF(A1994="","",IFERROR(INDEX(السندات!$C$5:$C$504,MATCH(A1994,السندات!$A$5:$A$504,0)),""))</f>
        <v/>
      </c>
      <c r="I1994" s="75" t="str">
        <f aca="false">IF(A1994="","",IFERROR(INDEX(السندات!$D$5:$D$504,MATCH(A1994,السندات!$A$5:$A$504,0)),""))</f>
        <v/>
      </c>
      <c r="J1994" s="76" t="str">
        <f aca="false">IF(A1994="","",IF(ISNA(MATCH(A1994,السندات!$A$5:$A$504,0)),"رقم سند غير موجود ✘",IF(AND(F1994&lt;&gt;"",G1994&lt;&gt;""),"اكتب مدين أو دائن فقط ✘",IF(AND(N(F1994)=0,N(G1994)=0),"بدون مبلغ ⚠",IF(B1994&gt;12,"يتجاوز 12 بنداً في الطباعة ⚠","")))))</f>
        <v/>
      </c>
    </row>
    <row r="1995" customFormat="false" ht="15" hidden="false" customHeight="false" outlineLevel="0" collapsed="false">
      <c r="A1995" s="58"/>
      <c r="B1995" s="68" t="str">
        <f aca="false">IF(A1995="","",COUNTIF(A$5:A1995,A1995))</f>
        <v/>
      </c>
      <c r="C1995" s="68" t="str">
        <f aca="false">IF(A1995="","",A1995&amp;"-"&amp;B1995)</f>
        <v/>
      </c>
      <c r="D1995" s="58"/>
      <c r="E1995" s="57"/>
      <c r="F1995" s="69"/>
      <c r="G1995" s="69"/>
      <c r="H1995" s="70" t="str">
        <f aca="false">IF(A1995="","",IFERROR(INDEX(السندات!$C$5:$C$504,MATCH(A1995,السندات!$A$5:$A$504,0)),""))</f>
        <v/>
      </c>
      <c r="I1995" s="71" t="str">
        <f aca="false">IF(A1995="","",IFERROR(INDEX(السندات!$D$5:$D$504,MATCH(A1995,السندات!$A$5:$A$504,0)),""))</f>
        <v/>
      </c>
      <c r="J1995" s="72" t="str">
        <f aca="false">IF(A1995="","",IF(ISNA(MATCH(A1995,السندات!$A$5:$A$504,0)),"رقم سند غير موجود ✘",IF(AND(F1995&lt;&gt;"",G1995&lt;&gt;""),"اكتب مدين أو دائن فقط ✘",IF(AND(N(F1995)=0,N(G1995)=0),"بدون مبلغ ⚠",IF(B1995&gt;12,"يتجاوز 12 بنداً في الطباعة ⚠","")))))</f>
        <v/>
      </c>
    </row>
    <row r="1996" customFormat="false" ht="15" hidden="false" customHeight="false" outlineLevel="0" collapsed="false">
      <c r="A1996" s="58"/>
      <c r="B1996" s="73" t="str">
        <f aca="false">IF(A1996="","",COUNTIF(A$5:A1996,A1996))</f>
        <v/>
      </c>
      <c r="C1996" s="73" t="str">
        <f aca="false">IF(A1996="","",A1996&amp;"-"&amp;B1996)</f>
        <v/>
      </c>
      <c r="D1996" s="58"/>
      <c r="E1996" s="57"/>
      <c r="F1996" s="69"/>
      <c r="G1996" s="69"/>
      <c r="H1996" s="74" t="str">
        <f aca="false">IF(A1996="","",IFERROR(INDEX(السندات!$C$5:$C$504,MATCH(A1996,السندات!$A$5:$A$504,0)),""))</f>
        <v/>
      </c>
      <c r="I1996" s="75" t="str">
        <f aca="false">IF(A1996="","",IFERROR(INDEX(السندات!$D$5:$D$504,MATCH(A1996,السندات!$A$5:$A$504,0)),""))</f>
        <v/>
      </c>
      <c r="J1996" s="76" t="str">
        <f aca="false">IF(A1996="","",IF(ISNA(MATCH(A1996,السندات!$A$5:$A$504,0)),"رقم سند غير موجود ✘",IF(AND(F1996&lt;&gt;"",G1996&lt;&gt;""),"اكتب مدين أو دائن فقط ✘",IF(AND(N(F1996)=0,N(G1996)=0),"بدون مبلغ ⚠",IF(B1996&gt;12,"يتجاوز 12 بنداً في الطباعة ⚠","")))))</f>
        <v/>
      </c>
    </row>
    <row r="1997" customFormat="false" ht="15" hidden="false" customHeight="false" outlineLevel="0" collapsed="false">
      <c r="A1997" s="58"/>
      <c r="B1997" s="68" t="str">
        <f aca="false">IF(A1997="","",COUNTIF(A$5:A1997,A1997))</f>
        <v/>
      </c>
      <c r="C1997" s="68" t="str">
        <f aca="false">IF(A1997="","",A1997&amp;"-"&amp;B1997)</f>
        <v/>
      </c>
      <c r="D1997" s="58"/>
      <c r="E1997" s="57"/>
      <c r="F1997" s="69"/>
      <c r="G1997" s="69"/>
      <c r="H1997" s="70" t="str">
        <f aca="false">IF(A1997="","",IFERROR(INDEX(السندات!$C$5:$C$504,MATCH(A1997,السندات!$A$5:$A$504,0)),""))</f>
        <v/>
      </c>
      <c r="I1997" s="71" t="str">
        <f aca="false">IF(A1997="","",IFERROR(INDEX(السندات!$D$5:$D$504,MATCH(A1997,السندات!$A$5:$A$504,0)),""))</f>
        <v/>
      </c>
      <c r="J1997" s="72" t="str">
        <f aca="false">IF(A1997="","",IF(ISNA(MATCH(A1997,السندات!$A$5:$A$504,0)),"رقم سند غير موجود ✘",IF(AND(F1997&lt;&gt;"",G1997&lt;&gt;""),"اكتب مدين أو دائن فقط ✘",IF(AND(N(F1997)=0,N(G1997)=0),"بدون مبلغ ⚠",IF(B1997&gt;12,"يتجاوز 12 بنداً في الطباعة ⚠","")))))</f>
        <v/>
      </c>
    </row>
    <row r="1998" customFormat="false" ht="15" hidden="false" customHeight="false" outlineLevel="0" collapsed="false">
      <c r="A1998" s="58"/>
      <c r="B1998" s="73" t="str">
        <f aca="false">IF(A1998="","",COUNTIF(A$5:A1998,A1998))</f>
        <v/>
      </c>
      <c r="C1998" s="73" t="str">
        <f aca="false">IF(A1998="","",A1998&amp;"-"&amp;B1998)</f>
        <v/>
      </c>
      <c r="D1998" s="58"/>
      <c r="E1998" s="57"/>
      <c r="F1998" s="69"/>
      <c r="G1998" s="69"/>
      <c r="H1998" s="74" t="str">
        <f aca="false">IF(A1998="","",IFERROR(INDEX(السندات!$C$5:$C$504,MATCH(A1998,السندات!$A$5:$A$504,0)),""))</f>
        <v/>
      </c>
      <c r="I1998" s="75" t="str">
        <f aca="false">IF(A1998="","",IFERROR(INDEX(السندات!$D$5:$D$504,MATCH(A1998,السندات!$A$5:$A$504,0)),""))</f>
        <v/>
      </c>
      <c r="J1998" s="76" t="str">
        <f aca="false">IF(A1998="","",IF(ISNA(MATCH(A1998,السندات!$A$5:$A$504,0)),"رقم سند غير موجود ✘",IF(AND(F1998&lt;&gt;"",G1998&lt;&gt;""),"اكتب مدين أو دائن فقط ✘",IF(AND(N(F1998)=0,N(G1998)=0),"بدون مبلغ ⚠",IF(B1998&gt;12,"يتجاوز 12 بنداً في الطباعة ⚠","")))))</f>
        <v/>
      </c>
    </row>
    <row r="1999" customFormat="false" ht="15" hidden="false" customHeight="false" outlineLevel="0" collapsed="false">
      <c r="A1999" s="58"/>
      <c r="B1999" s="68" t="str">
        <f aca="false">IF(A1999="","",COUNTIF(A$5:A1999,A1999))</f>
        <v/>
      </c>
      <c r="C1999" s="68" t="str">
        <f aca="false">IF(A1999="","",A1999&amp;"-"&amp;B1999)</f>
        <v/>
      </c>
      <c r="D1999" s="58"/>
      <c r="E1999" s="57"/>
      <c r="F1999" s="69"/>
      <c r="G1999" s="69"/>
      <c r="H1999" s="70" t="str">
        <f aca="false">IF(A1999="","",IFERROR(INDEX(السندات!$C$5:$C$504,MATCH(A1999,السندات!$A$5:$A$504,0)),""))</f>
        <v/>
      </c>
      <c r="I1999" s="71" t="str">
        <f aca="false">IF(A1999="","",IFERROR(INDEX(السندات!$D$5:$D$504,MATCH(A1999,السندات!$A$5:$A$504,0)),""))</f>
        <v/>
      </c>
      <c r="J1999" s="72" t="str">
        <f aca="false">IF(A1999="","",IF(ISNA(MATCH(A1999,السندات!$A$5:$A$504,0)),"رقم سند غير موجود ✘",IF(AND(F1999&lt;&gt;"",G1999&lt;&gt;""),"اكتب مدين أو دائن فقط ✘",IF(AND(N(F1999)=0,N(G1999)=0),"بدون مبلغ ⚠",IF(B1999&gt;12,"يتجاوز 12 بنداً في الطباعة ⚠","")))))</f>
        <v/>
      </c>
    </row>
    <row r="2000" customFormat="false" ht="15" hidden="false" customHeight="false" outlineLevel="0" collapsed="false">
      <c r="A2000" s="58"/>
      <c r="B2000" s="73" t="str">
        <f aca="false">IF(A2000="","",COUNTIF(A$5:A2000,A2000))</f>
        <v/>
      </c>
      <c r="C2000" s="73" t="str">
        <f aca="false">IF(A2000="","",A2000&amp;"-"&amp;B2000)</f>
        <v/>
      </c>
      <c r="D2000" s="58"/>
      <c r="E2000" s="57"/>
      <c r="F2000" s="69"/>
      <c r="G2000" s="69"/>
      <c r="H2000" s="74" t="str">
        <f aca="false">IF(A2000="","",IFERROR(INDEX(السندات!$C$5:$C$504,MATCH(A2000,السندات!$A$5:$A$504,0)),""))</f>
        <v/>
      </c>
      <c r="I2000" s="75" t="str">
        <f aca="false">IF(A2000="","",IFERROR(INDEX(السندات!$D$5:$D$504,MATCH(A2000,السندات!$A$5:$A$504,0)),""))</f>
        <v/>
      </c>
      <c r="J2000" s="76" t="str">
        <f aca="false">IF(A2000="","",IF(ISNA(MATCH(A2000,السندات!$A$5:$A$504,0)),"رقم سند غير موجود ✘",IF(AND(F2000&lt;&gt;"",G2000&lt;&gt;""),"اكتب مدين أو دائن فقط ✘",IF(AND(N(F2000)=0,N(G2000)=0),"بدون مبلغ ⚠",IF(B2000&gt;12,"يتجاوز 12 بنداً في الطباعة ⚠","")))))</f>
        <v/>
      </c>
    </row>
    <row r="2001" customFormat="false" ht="15" hidden="false" customHeight="false" outlineLevel="0" collapsed="false">
      <c r="A2001" s="58"/>
      <c r="B2001" s="68" t="str">
        <f aca="false">IF(A2001="","",COUNTIF(A$5:A2001,A2001))</f>
        <v/>
      </c>
      <c r="C2001" s="68" t="str">
        <f aca="false">IF(A2001="","",A2001&amp;"-"&amp;B2001)</f>
        <v/>
      </c>
      <c r="D2001" s="58"/>
      <c r="E2001" s="57"/>
      <c r="F2001" s="69"/>
      <c r="G2001" s="69"/>
      <c r="H2001" s="70" t="str">
        <f aca="false">IF(A2001="","",IFERROR(INDEX(السندات!$C$5:$C$504,MATCH(A2001,السندات!$A$5:$A$504,0)),""))</f>
        <v/>
      </c>
      <c r="I2001" s="71" t="str">
        <f aca="false">IF(A2001="","",IFERROR(INDEX(السندات!$D$5:$D$504,MATCH(A2001,السندات!$A$5:$A$504,0)),""))</f>
        <v/>
      </c>
      <c r="J2001" s="72" t="str">
        <f aca="false">IF(A2001="","",IF(ISNA(MATCH(A2001,السندات!$A$5:$A$504,0)),"رقم سند غير موجود ✘",IF(AND(F2001&lt;&gt;"",G2001&lt;&gt;""),"اكتب مدين أو دائن فقط ✘",IF(AND(N(F2001)=0,N(G2001)=0),"بدون مبلغ ⚠",IF(B2001&gt;12,"يتجاوز 12 بنداً في الطباعة ⚠","")))))</f>
        <v/>
      </c>
    </row>
    <row r="2002" customFormat="false" ht="15" hidden="false" customHeight="false" outlineLevel="0" collapsed="false">
      <c r="A2002" s="58"/>
      <c r="B2002" s="73" t="str">
        <f aca="false">IF(A2002="","",COUNTIF(A$5:A2002,A2002))</f>
        <v/>
      </c>
      <c r="C2002" s="73" t="str">
        <f aca="false">IF(A2002="","",A2002&amp;"-"&amp;B2002)</f>
        <v/>
      </c>
      <c r="D2002" s="58"/>
      <c r="E2002" s="57"/>
      <c r="F2002" s="69"/>
      <c r="G2002" s="69"/>
      <c r="H2002" s="74" t="str">
        <f aca="false">IF(A2002="","",IFERROR(INDEX(السندات!$C$5:$C$504,MATCH(A2002,السندات!$A$5:$A$504,0)),""))</f>
        <v/>
      </c>
      <c r="I2002" s="75" t="str">
        <f aca="false">IF(A2002="","",IFERROR(INDEX(السندات!$D$5:$D$504,MATCH(A2002,السندات!$A$5:$A$504,0)),""))</f>
        <v/>
      </c>
      <c r="J2002" s="76" t="str">
        <f aca="false">IF(A2002="","",IF(ISNA(MATCH(A2002,السندات!$A$5:$A$504,0)),"رقم سند غير موجود ✘",IF(AND(F2002&lt;&gt;"",G2002&lt;&gt;""),"اكتب مدين أو دائن فقط ✘",IF(AND(N(F2002)=0,N(G2002)=0),"بدون مبلغ ⚠",IF(B2002&gt;12,"يتجاوز 12 بنداً في الطباعة ⚠","")))))</f>
        <v/>
      </c>
    </row>
    <row r="2003" customFormat="false" ht="15" hidden="false" customHeight="false" outlineLevel="0" collapsed="false">
      <c r="A2003" s="58"/>
      <c r="B2003" s="68" t="str">
        <f aca="false">IF(A2003="","",COUNTIF(A$5:A2003,A2003))</f>
        <v/>
      </c>
      <c r="C2003" s="68" t="str">
        <f aca="false">IF(A2003="","",A2003&amp;"-"&amp;B2003)</f>
        <v/>
      </c>
      <c r="D2003" s="58"/>
      <c r="E2003" s="57"/>
      <c r="F2003" s="69"/>
      <c r="G2003" s="69"/>
      <c r="H2003" s="70" t="str">
        <f aca="false">IF(A2003="","",IFERROR(INDEX(السندات!$C$5:$C$504,MATCH(A2003,السندات!$A$5:$A$504,0)),""))</f>
        <v/>
      </c>
      <c r="I2003" s="71" t="str">
        <f aca="false">IF(A2003="","",IFERROR(INDEX(السندات!$D$5:$D$504,MATCH(A2003,السندات!$A$5:$A$504,0)),""))</f>
        <v/>
      </c>
      <c r="J2003" s="72" t="str">
        <f aca="false">IF(A2003="","",IF(ISNA(MATCH(A2003,السندات!$A$5:$A$504,0)),"رقم سند غير موجود ✘",IF(AND(F2003&lt;&gt;"",G2003&lt;&gt;""),"اكتب مدين أو دائن فقط ✘",IF(AND(N(F2003)=0,N(G2003)=0),"بدون مبلغ ⚠",IF(B2003&gt;12,"يتجاوز 12 بنداً في الطباعة ⚠","")))))</f>
        <v/>
      </c>
    </row>
    <row r="2004" customFormat="false" ht="15" hidden="false" customHeight="false" outlineLevel="0" collapsed="false">
      <c r="A2004" s="58"/>
      <c r="B2004" s="73" t="str">
        <f aca="false">IF(A2004="","",COUNTIF(A$5:A2004,A2004))</f>
        <v/>
      </c>
      <c r="C2004" s="73" t="str">
        <f aca="false">IF(A2004="","",A2004&amp;"-"&amp;B2004)</f>
        <v/>
      </c>
      <c r="D2004" s="58"/>
      <c r="E2004" s="57"/>
      <c r="F2004" s="69"/>
      <c r="G2004" s="69"/>
      <c r="H2004" s="74" t="str">
        <f aca="false">IF(A2004="","",IFERROR(INDEX(السندات!$C$5:$C$504,MATCH(A2004,السندات!$A$5:$A$504,0)),""))</f>
        <v/>
      </c>
      <c r="I2004" s="75" t="str">
        <f aca="false">IF(A2004="","",IFERROR(INDEX(السندات!$D$5:$D$504,MATCH(A2004,السندات!$A$5:$A$504,0)),""))</f>
        <v/>
      </c>
      <c r="J2004" s="76" t="str">
        <f aca="false">IF(A2004="","",IF(ISNA(MATCH(A2004,السندات!$A$5:$A$504,0)),"رقم سند غير موجود ✘",IF(AND(F2004&lt;&gt;"",G2004&lt;&gt;""),"اكتب مدين أو دائن فقط ✘",IF(AND(N(F2004)=0,N(G2004)=0),"بدون مبلغ ⚠",IF(B2004&gt;12,"يتجاوز 12 بنداً في الطباعة ⚠","")))))</f>
        <v/>
      </c>
    </row>
    <row r="2005" customFormat="false" ht="15" hidden="false" customHeight="false" outlineLevel="0" collapsed="false">
      <c r="A2005" s="58"/>
      <c r="B2005" s="68" t="str">
        <f aca="false">IF(A2005="","",COUNTIF(A$5:A2005,A2005))</f>
        <v/>
      </c>
      <c r="C2005" s="68" t="str">
        <f aca="false">IF(A2005="","",A2005&amp;"-"&amp;B2005)</f>
        <v/>
      </c>
      <c r="D2005" s="58"/>
      <c r="E2005" s="57"/>
      <c r="F2005" s="69"/>
      <c r="G2005" s="69"/>
      <c r="H2005" s="70" t="str">
        <f aca="false">IF(A2005="","",IFERROR(INDEX(السندات!$C$5:$C$504,MATCH(A2005,السندات!$A$5:$A$504,0)),""))</f>
        <v/>
      </c>
      <c r="I2005" s="71" t="str">
        <f aca="false">IF(A2005="","",IFERROR(INDEX(السندات!$D$5:$D$504,MATCH(A2005,السندات!$A$5:$A$504,0)),""))</f>
        <v/>
      </c>
      <c r="J2005" s="72" t="str">
        <f aca="false">IF(A2005="","",IF(ISNA(MATCH(A2005,السندات!$A$5:$A$504,0)),"رقم سند غير موجود ✘",IF(AND(F2005&lt;&gt;"",G2005&lt;&gt;""),"اكتب مدين أو دائن فقط ✘",IF(AND(N(F2005)=0,N(G2005)=0),"بدون مبلغ ⚠",IF(B2005&gt;12,"يتجاوز 12 بنداً في الطباعة ⚠","")))))</f>
        <v/>
      </c>
    </row>
    <row r="2006" customFormat="false" ht="15" hidden="false" customHeight="false" outlineLevel="0" collapsed="false">
      <c r="A2006" s="58"/>
      <c r="B2006" s="73" t="str">
        <f aca="false">IF(A2006="","",COUNTIF(A$5:A2006,A2006))</f>
        <v/>
      </c>
      <c r="C2006" s="73" t="str">
        <f aca="false">IF(A2006="","",A2006&amp;"-"&amp;B2006)</f>
        <v/>
      </c>
      <c r="D2006" s="58"/>
      <c r="E2006" s="57"/>
      <c r="F2006" s="69"/>
      <c r="G2006" s="69"/>
      <c r="H2006" s="74" t="str">
        <f aca="false">IF(A2006="","",IFERROR(INDEX(السندات!$C$5:$C$504,MATCH(A2006,السندات!$A$5:$A$504,0)),""))</f>
        <v/>
      </c>
      <c r="I2006" s="75" t="str">
        <f aca="false">IF(A2006="","",IFERROR(INDEX(السندات!$D$5:$D$504,MATCH(A2006,السندات!$A$5:$A$504,0)),""))</f>
        <v/>
      </c>
      <c r="J2006" s="76" t="str">
        <f aca="false">IF(A2006="","",IF(ISNA(MATCH(A2006,السندات!$A$5:$A$504,0)),"رقم سند غير موجود ✘",IF(AND(F2006&lt;&gt;"",G2006&lt;&gt;""),"اكتب مدين أو دائن فقط ✘",IF(AND(N(F2006)=0,N(G2006)=0),"بدون مبلغ ⚠",IF(B2006&gt;12,"يتجاوز 12 بنداً في الطباعة ⚠","")))))</f>
        <v/>
      </c>
    </row>
    <row r="2007" customFormat="false" ht="15" hidden="false" customHeight="false" outlineLevel="0" collapsed="false">
      <c r="A2007" s="58"/>
      <c r="B2007" s="68" t="str">
        <f aca="false">IF(A2007="","",COUNTIF(A$5:A2007,A2007))</f>
        <v/>
      </c>
      <c r="C2007" s="68" t="str">
        <f aca="false">IF(A2007="","",A2007&amp;"-"&amp;B2007)</f>
        <v/>
      </c>
      <c r="D2007" s="58"/>
      <c r="E2007" s="57"/>
      <c r="F2007" s="69"/>
      <c r="G2007" s="69"/>
      <c r="H2007" s="70" t="str">
        <f aca="false">IF(A2007="","",IFERROR(INDEX(السندات!$C$5:$C$504,MATCH(A2007,السندات!$A$5:$A$504,0)),""))</f>
        <v/>
      </c>
      <c r="I2007" s="71" t="str">
        <f aca="false">IF(A2007="","",IFERROR(INDEX(السندات!$D$5:$D$504,MATCH(A2007,السندات!$A$5:$A$504,0)),""))</f>
        <v/>
      </c>
      <c r="J2007" s="72" t="str">
        <f aca="false">IF(A2007="","",IF(ISNA(MATCH(A2007,السندات!$A$5:$A$504,0)),"رقم سند غير موجود ✘",IF(AND(F2007&lt;&gt;"",G2007&lt;&gt;""),"اكتب مدين أو دائن فقط ✘",IF(AND(N(F2007)=0,N(G2007)=0),"بدون مبلغ ⚠",IF(B2007&gt;12,"يتجاوز 12 بنداً في الطباعة ⚠","")))))</f>
        <v/>
      </c>
    </row>
    <row r="2008" customFormat="false" ht="15" hidden="false" customHeight="false" outlineLevel="0" collapsed="false">
      <c r="A2008" s="58"/>
      <c r="B2008" s="73" t="str">
        <f aca="false">IF(A2008="","",COUNTIF(A$5:A2008,A2008))</f>
        <v/>
      </c>
      <c r="C2008" s="73" t="str">
        <f aca="false">IF(A2008="","",A2008&amp;"-"&amp;B2008)</f>
        <v/>
      </c>
      <c r="D2008" s="58"/>
      <c r="E2008" s="57"/>
      <c r="F2008" s="69"/>
      <c r="G2008" s="69"/>
      <c r="H2008" s="74" t="str">
        <f aca="false">IF(A2008="","",IFERROR(INDEX(السندات!$C$5:$C$504,MATCH(A2008,السندات!$A$5:$A$504,0)),""))</f>
        <v/>
      </c>
      <c r="I2008" s="75" t="str">
        <f aca="false">IF(A2008="","",IFERROR(INDEX(السندات!$D$5:$D$504,MATCH(A2008,السندات!$A$5:$A$504,0)),""))</f>
        <v/>
      </c>
      <c r="J2008" s="76" t="str">
        <f aca="false">IF(A2008="","",IF(ISNA(MATCH(A2008,السندات!$A$5:$A$504,0)),"رقم سند غير موجود ✘",IF(AND(F2008&lt;&gt;"",G2008&lt;&gt;""),"اكتب مدين أو دائن فقط ✘",IF(AND(N(F2008)=0,N(G2008)=0),"بدون مبلغ ⚠",IF(B2008&gt;12,"يتجاوز 12 بنداً في الطباعة ⚠","")))))</f>
        <v/>
      </c>
    </row>
    <row r="2009" customFormat="false" ht="15" hidden="false" customHeight="false" outlineLevel="0" collapsed="false">
      <c r="A2009" s="58"/>
      <c r="B2009" s="68" t="str">
        <f aca="false">IF(A2009="","",COUNTIF(A$5:A2009,A2009))</f>
        <v/>
      </c>
      <c r="C2009" s="68" t="str">
        <f aca="false">IF(A2009="","",A2009&amp;"-"&amp;B2009)</f>
        <v/>
      </c>
      <c r="D2009" s="58"/>
      <c r="E2009" s="57"/>
      <c r="F2009" s="69"/>
      <c r="G2009" s="69"/>
      <c r="H2009" s="70" t="str">
        <f aca="false">IF(A2009="","",IFERROR(INDEX(السندات!$C$5:$C$504,MATCH(A2009,السندات!$A$5:$A$504,0)),""))</f>
        <v/>
      </c>
      <c r="I2009" s="71" t="str">
        <f aca="false">IF(A2009="","",IFERROR(INDEX(السندات!$D$5:$D$504,MATCH(A2009,السندات!$A$5:$A$504,0)),""))</f>
        <v/>
      </c>
      <c r="J2009" s="72" t="str">
        <f aca="false">IF(A2009="","",IF(ISNA(MATCH(A2009,السندات!$A$5:$A$504,0)),"رقم سند غير موجود ✘",IF(AND(F2009&lt;&gt;"",G2009&lt;&gt;""),"اكتب مدين أو دائن فقط ✘",IF(AND(N(F2009)=0,N(G2009)=0),"بدون مبلغ ⚠",IF(B2009&gt;12,"يتجاوز 12 بنداً في الطباعة ⚠","")))))</f>
        <v/>
      </c>
    </row>
    <row r="2010" customFormat="false" ht="15" hidden="false" customHeight="false" outlineLevel="0" collapsed="false">
      <c r="A2010" s="58"/>
      <c r="B2010" s="73" t="str">
        <f aca="false">IF(A2010="","",COUNTIF(A$5:A2010,A2010))</f>
        <v/>
      </c>
      <c r="C2010" s="73" t="str">
        <f aca="false">IF(A2010="","",A2010&amp;"-"&amp;B2010)</f>
        <v/>
      </c>
      <c r="D2010" s="58"/>
      <c r="E2010" s="57"/>
      <c r="F2010" s="69"/>
      <c r="G2010" s="69"/>
      <c r="H2010" s="74" t="str">
        <f aca="false">IF(A2010="","",IFERROR(INDEX(السندات!$C$5:$C$504,MATCH(A2010,السندات!$A$5:$A$504,0)),""))</f>
        <v/>
      </c>
      <c r="I2010" s="75" t="str">
        <f aca="false">IF(A2010="","",IFERROR(INDEX(السندات!$D$5:$D$504,MATCH(A2010,السندات!$A$5:$A$504,0)),""))</f>
        <v/>
      </c>
      <c r="J2010" s="76" t="str">
        <f aca="false">IF(A2010="","",IF(ISNA(MATCH(A2010,السندات!$A$5:$A$504,0)),"رقم سند غير موجود ✘",IF(AND(F2010&lt;&gt;"",G2010&lt;&gt;""),"اكتب مدين أو دائن فقط ✘",IF(AND(N(F2010)=0,N(G2010)=0),"بدون مبلغ ⚠",IF(B2010&gt;12,"يتجاوز 12 بنداً في الطباعة ⚠","")))))</f>
        <v/>
      </c>
    </row>
    <row r="2011" customFormat="false" ht="15" hidden="false" customHeight="false" outlineLevel="0" collapsed="false">
      <c r="A2011" s="58"/>
      <c r="B2011" s="68" t="str">
        <f aca="false">IF(A2011="","",COUNTIF(A$5:A2011,A2011))</f>
        <v/>
      </c>
      <c r="C2011" s="68" t="str">
        <f aca="false">IF(A2011="","",A2011&amp;"-"&amp;B2011)</f>
        <v/>
      </c>
      <c r="D2011" s="58"/>
      <c r="E2011" s="57"/>
      <c r="F2011" s="69"/>
      <c r="G2011" s="69"/>
      <c r="H2011" s="70" t="str">
        <f aca="false">IF(A2011="","",IFERROR(INDEX(السندات!$C$5:$C$504,MATCH(A2011,السندات!$A$5:$A$504,0)),""))</f>
        <v/>
      </c>
      <c r="I2011" s="71" t="str">
        <f aca="false">IF(A2011="","",IFERROR(INDEX(السندات!$D$5:$D$504,MATCH(A2011,السندات!$A$5:$A$504,0)),""))</f>
        <v/>
      </c>
      <c r="J2011" s="72" t="str">
        <f aca="false">IF(A2011="","",IF(ISNA(MATCH(A2011,السندات!$A$5:$A$504,0)),"رقم سند غير موجود ✘",IF(AND(F2011&lt;&gt;"",G2011&lt;&gt;""),"اكتب مدين أو دائن فقط ✘",IF(AND(N(F2011)=0,N(G2011)=0),"بدون مبلغ ⚠",IF(B2011&gt;12,"يتجاوز 12 بنداً في الطباعة ⚠","")))))</f>
        <v/>
      </c>
    </row>
    <row r="2012" customFormat="false" ht="15" hidden="false" customHeight="false" outlineLevel="0" collapsed="false">
      <c r="A2012" s="58"/>
      <c r="B2012" s="73" t="str">
        <f aca="false">IF(A2012="","",COUNTIF(A$5:A2012,A2012))</f>
        <v/>
      </c>
      <c r="C2012" s="73" t="str">
        <f aca="false">IF(A2012="","",A2012&amp;"-"&amp;B2012)</f>
        <v/>
      </c>
      <c r="D2012" s="58"/>
      <c r="E2012" s="57"/>
      <c r="F2012" s="69"/>
      <c r="G2012" s="69"/>
      <c r="H2012" s="74" t="str">
        <f aca="false">IF(A2012="","",IFERROR(INDEX(السندات!$C$5:$C$504,MATCH(A2012,السندات!$A$5:$A$504,0)),""))</f>
        <v/>
      </c>
      <c r="I2012" s="75" t="str">
        <f aca="false">IF(A2012="","",IFERROR(INDEX(السندات!$D$5:$D$504,MATCH(A2012,السندات!$A$5:$A$504,0)),""))</f>
        <v/>
      </c>
      <c r="J2012" s="76" t="str">
        <f aca="false">IF(A2012="","",IF(ISNA(MATCH(A2012,السندات!$A$5:$A$504,0)),"رقم سند غير موجود ✘",IF(AND(F2012&lt;&gt;"",G2012&lt;&gt;""),"اكتب مدين أو دائن فقط ✘",IF(AND(N(F2012)=0,N(G2012)=0),"بدون مبلغ ⚠",IF(B2012&gt;12,"يتجاوز 12 بنداً في الطباعة ⚠","")))))</f>
        <v/>
      </c>
    </row>
    <row r="2013" customFormat="false" ht="15" hidden="false" customHeight="false" outlineLevel="0" collapsed="false">
      <c r="A2013" s="58"/>
      <c r="B2013" s="68" t="str">
        <f aca="false">IF(A2013="","",COUNTIF(A$5:A2013,A2013))</f>
        <v/>
      </c>
      <c r="C2013" s="68" t="str">
        <f aca="false">IF(A2013="","",A2013&amp;"-"&amp;B2013)</f>
        <v/>
      </c>
      <c r="D2013" s="58"/>
      <c r="E2013" s="57"/>
      <c r="F2013" s="69"/>
      <c r="G2013" s="69"/>
      <c r="H2013" s="70" t="str">
        <f aca="false">IF(A2013="","",IFERROR(INDEX(السندات!$C$5:$C$504,MATCH(A2013,السندات!$A$5:$A$504,0)),""))</f>
        <v/>
      </c>
      <c r="I2013" s="71" t="str">
        <f aca="false">IF(A2013="","",IFERROR(INDEX(السندات!$D$5:$D$504,MATCH(A2013,السندات!$A$5:$A$504,0)),""))</f>
        <v/>
      </c>
      <c r="J2013" s="72" t="str">
        <f aca="false">IF(A2013="","",IF(ISNA(MATCH(A2013,السندات!$A$5:$A$504,0)),"رقم سند غير موجود ✘",IF(AND(F2013&lt;&gt;"",G2013&lt;&gt;""),"اكتب مدين أو دائن فقط ✘",IF(AND(N(F2013)=0,N(G2013)=0),"بدون مبلغ ⚠",IF(B2013&gt;12,"يتجاوز 12 بنداً في الطباعة ⚠","")))))</f>
        <v/>
      </c>
    </row>
    <row r="2014" customFormat="false" ht="15" hidden="false" customHeight="false" outlineLevel="0" collapsed="false">
      <c r="A2014" s="58"/>
      <c r="B2014" s="73" t="str">
        <f aca="false">IF(A2014="","",COUNTIF(A$5:A2014,A2014))</f>
        <v/>
      </c>
      <c r="C2014" s="73" t="str">
        <f aca="false">IF(A2014="","",A2014&amp;"-"&amp;B2014)</f>
        <v/>
      </c>
      <c r="D2014" s="58"/>
      <c r="E2014" s="57"/>
      <c r="F2014" s="69"/>
      <c r="G2014" s="69"/>
      <c r="H2014" s="74" t="str">
        <f aca="false">IF(A2014="","",IFERROR(INDEX(السندات!$C$5:$C$504,MATCH(A2014,السندات!$A$5:$A$504,0)),""))</f>
        <v/>
      </c>
      <c r="I2014" s="75" t="str">
        <f aca="false">IF(A2014="","",IFERROR(INDEX(السندات!$D$5:$D$504,MATCH(A2014,السندات!$A$5:$A$504,0)),""))</f>
        <v/>
      </c>
      <c r="J2014" s="76" t="str">
        <f aca="false">IF(A2014="","",IF(ISNA(MATCH(A2014,السندات!$A$5:$A$504,0)),"رقم سند غير موجود ✘",IF(AND(F2014&lt;&gt;"",G2014&lt;&gt;""),"اكتب مدين أو دائن فقط ✘",IF(AND(N(F2014)=0,N(G2014)=0),"بدون مبلغ ⚠",IF(B2014&gt;12,"يتجاوز 12 بنداً في الطباعة ⚠","")))))</f>
        <v/>
      </c>
    </row>
    <row r="2015" customFormat="false" ht="15" hidden="false" customHeight="false" outlineLevel="0" collapsed="false">
      <c r="A2015" s="58"/>
      <c r="B2015" s="68" t="str">
        <f aca="false">IF(A2015="","",COUNTIF(A$5:A2015,A2015))</f>
        <v/>
      </c>
      <c r="C2015" s="68" t="str">
        <f aca="false">IF(A2015="","",A2015&amp;"-"&amp;B2015)</f>
        <v/>
      </c>
      <c r="D2015" s="58"/>
      <c r="E2015" s="57"/>
      <c r="F2015" s="69"/>
      <c r="G2015" s="69"/>
      <c r="H2015" s="70" t="str">
        <f aca="false">IF(A2015="","",IFERROR(INDEX(السندات!$C$5:$C$504,MATCH(A2015,السندات!$A$5:$A$504,0)),""))</f>
        <v/>
      </c>
      <c r="I2015" s="71" t="str">
        <f aca="false">IF(A2015="","",IFERROR(INDEX(السندات!$D$5:$D$504,MATCH(A2015,السندات!$A$5:$A$504,0)),""))</f>
        <v/>
      </c>
      <c r="J2015" s="72" t="str">
        <f aca="false">IF(A2015="","",IF(ISNA(MATCH(A2015,السندات!$A$5:$A$504,0)),"رقم سند غير موجود ✘",IF(AND(F2015&lt;&gt;"",G2015&lt;&gt;""),"اكتب مدين أو دائن فقط ✘",IF(AND(N(F2015)=0,N(G2015)=0),"بدون مبلغ ⚠",IF(B2015&gt;12,"يتجاوز 12 بنداً في الطباعة ⚠","")))))</f>
        <v/>
      </c>
    </row>
    <row r="2016" customFormat="false" ht="15" hidden="false" customHeight="false" outlineLevel="0" collapsed="false">
      <c r="A2016" s="58"/>
      <c r="B2016" s="73" t="str">
        <f aca="false">IF(A2016="","",COUNTIF(A$5:A2016,A2016))</f>
        <v/>
      </c>
      <c r="C2016" s="73" t="str">
        <f aca="false">IF(A2016="","",A2016&amp;"-"&amp;B2016)</f>
        <v/>
      </c>
      <c r="D2016" s="58"/>
      <c r="E2016" s="57"/>
      <c r="F2016" s="69"/>
      <c r="G2016" s="69"/>
      <c r="H2016" s="74" t="str">
        <f aca="false">IF(A2016="","",IFERROR(INDEX(السندات!$C$5:$C$504,MATCH(A2016,السندات!$A$5:$A$504,0)),""))</f>
        <v/>
      </c>
      <c r="I2016" s="75" t="str">
        <f aca="false">IF(A2016="","",IFERROR(INDEX(السندات!$D$5:$D$504,MATCH(A2016,السندات!$A$5:$A$504,0)),""))</f>
        <v/>
      </c>
      <c r="J2016" s="76" t="str">
        <f aca="false">IF(A2016="","",IF(ISNA(MATCH(A2016,السندات!$A$5:$A$504,0)),"رقم سند غير موجود ✘",IF(AND(F2016&lt;&gt;"",G2016&lt;&gt;""),"اكتب مدين أو دائن فقط ✘",IF(AND(N(F2016)=0,N(G2016)=0),"بدون مبلغ ⚠",IF(B2016&gt;12,"يتجاوز 12 بنداً في الطباعة ⚠","")))))</f>
        <v/>
      </c>
    </row>
    <row r="2017" customFormat="false" ht="15" hidden="false" customHeight="false" outlineLevel="0" collapsed="false">
      <c r="A2017" s="58"/>
      <c r="B2017" s="68" t="str">
        <f aca="false">IF(A2017="","",COUNTIF(A$5:A2017,A2017))</f>
        <v/>
      </c>
      <c r="C2017" s="68" t="str">
        <f aca="false">IF(A2017="","",A2017&amp;"-"&amp;B2017)</f>
        <v/>
      </c>
      <c r="D2017" s="58"/>
      <c r="E2017" s="57"/>
      <c r="F2017" s="69"/>
      <c r="G2017" s="69"/>
      <c r="H2017" s="70" t="str">
        <f aca="false">IF(A2017="","",IFERROR(INDEX(السندات!$C$5:$C$504,MATCH(A2017,السندات!$A$5:$A$504,0)),""))</f>
        <v/>
      </c>
      <c r="I2017" s="71" t="str">
        <f aca="false">IF(A2017="","",IFERROR(INDEX(السندات!$D$5:$D$504,MATCH(A2017,السندات!$A$5:$A$504,0)),""))</f>
        <v/>
      </c>
      <c r="J2017" s="72" t="str">
        <f aca="false">IF(A2017="","",IF(ISNA(MATCH(A2017,السندات!$A$5:$A$504,0)),"رقم سند غير موجود ✘",IF(AND(F2017&lt;&gt;"",G2017&lt;&gt;""),"اكتب مدين أو دائن فقط ✘",IF(AND(N(F2017)=0,N(G2017)=0),"بدون مبلغ ⚠",IF(B2017&gt;12,"يتجاوز 12 بنداً في الطباعة ⚠","")))))</f>
        <v/>
      </c>
    </row>
    <row r="2018" customFormat="false" ht="15" hidden="false" customHeight="false" outlineLevel="0" collapsed="false">
      <c r="A2018" s="58"/>
      <c r="B2018" s="73" t="str">
        <f aca="false">IF(A2018="","",COUNTIF(A$5:A2018,A2018))</f>
        <v/>
      </c>
      <c r="C2018" s="73" t="str">
        <f aca="false">IF(A2018="","",A2018&amp;"-"&amp;B2018)</f>
        <v/>
      </c>
      <c r="D2018" s="58"/>
      <c r="E2018" s="57"/>
      <c r="F2018" s="69"/>
      <c r="G2018" s="69"/>
      <c r="H2018" s="74" t="str">
        <f aca="false">IF(A2018="","",IFERROR(INDEX(السندات!$C$5:$C$504,MATCH(A2018,السندات!$A$5:$A$504,0)),""))</f>
        <v/>
      </c>
      <c r="I2018" s="75" t="str">
        <f aca="false">IF(A2018="","",IFERROR(INDEX(السندات!$D$5:$D$504,MATCH(A2018,السندات!$A$5:$A$504,0)),""))</f>
        <v/>
      </c>
      <c r="J2018" s="76" t="str">
        <f aca="false">IF(A2018="","",IF(ISNA(MATCH(A2018,السندات!$A$5:$A$504,0)),"رقم سند غير موجود ✘",IF(AND(F2018&lt;&gt;"",G2018&lt;&gt;""),"اكتب مدين أو دائن فقط ✘",IF(AND(N(F2018)=0,N(G2018)=0),"بدون مبلغ ⚠",IF(B2018&gt;12,"يتجاوز 12 بنداً في الطباعة ⚠","")))))</f>
        <v/>
      </c>
    </row>
    <row r="2019" customFormat="false" ht="15" hidden="false" customHeight="false" outlineLevel="0" collapsed="false">
      <c r="A2019" s="58"/>
      <c r="B2019" s="68" t="str">
        <f aca="false">IF(A2019="","",COUNTIF(A$5:A2019,A2019))</f>
        <v/>
      </c>
      <c r="C2019" s="68" t="str">
        <f aca="false">IF(A2019="","",A2019&amp;"-"&amp;B2019)</f>
        <v/>
      </c>
      <c r="D2019" s="58"/>
      <c r="E2019" s="57"/>
      <c r="F2019" s="69"/>
      <c r="G2019" s="69"/>
      <c r="H2019" s="70" t="str">
        <f aca="false">IF(A2019="","",IFERROR(INDEX(السندات!$C$5:$C$504,MATCH(A2019,السندات!$A$5:$A$504,0)),""))</f>
        <v/>
      </c>
      <c r="I2019" s="71" t="str">
        <f aca="false">IF(A2019="","",IFERROR(INDEX(السندات!$D$5:$D$504,MATCH(A2019,السندات!$A$5:$A$504,0)),""))</f>
        <v/>
      </c>
      <c r="J2019" s="72" t="str">
        <f aca="false">IF(A2019="","",IF(ISNA(MATCH(A2019,السندات!$A$5:$A$504,0)),"رقم سند غير موجود ✘",IF(AND(F2019&lt;&gt;"",G2019&lt;&gt;""),"اكتب مدين أو دائن فقط ✘",IF(AND(N(F2019)=0,N(G2019)=0),"بدون مبلغ ⚠",IF(B2019&gt;12,"يتجاوز 12 بنداً في الطباعة ⚠","")))))</f>
        <v/>
      </c>
    </row>
    <row r="2020" customFormat="false" ht="15" hidden="false" customHeight="false" outlineLevel="0" collapsed="false">
      <c r="A2020" s="58"/>
      <c r="B2020" s="73" t="str">
        <f aca="false">IF(A2020="","",COUNTIF(A$5:A2020,A2020))</f>
        <v/>
      </c>
      <c r="C2020" s="73" t="str">
        <f aca="false">IF(A2020="","",A2020&amp;"-"&amp;B2020)</f>
        <v/>
      </c>
      <c r="D2020" s="58"/>
      <c r="E2020" s="57"/>
      <c r="F2020" s="69"/>
      <c r="G2020" s="69"/>
      <c r="H2020" s="74" t="str">
        <f aca="false">IF(A2020="","",IFERROR(INDEX(السندات!$C$5:$C$504,MATCH(A2020,السندات!$A$5:$A$504,0)),""))</f>
        <v/>
      </c>
      <c r="I2020" s="75" t="str">
        <f aca="false">IF(A2020="","",IFERROR(INDEX(السندات!$D$5:$D$504,MATCH(A2020,السندات!$A$5:$A$504,0)),""))</f>
        <v/>
      </c>
      <c r="J2020" s="76" t="str">
        <f aca="false">IF(A2020="","",IF(ISNA(MATCH(A2020,السندات!$A$5:$A$504,0)),"رقم سند غير موجود ✘",IF(AND(F2020&lt;&gt;"",G2020&lt;&gt;""),"اكتب مدين أو دائن فقط ✘",IF(AND(N(F2020)=0,N(G2020)=0),"بدون مبلغ ⚠",IF(B2020&gt;12,"يتجاوز 12 بنداً في الطباعة ⚠","")))))</f>
        <v/>
      </c>
    </row>
    <row r="2021" customFormat="false" ht="15" hidden="false" customHeight="false" outlineLevel="0" collapsed="false">
      <c r="A2021" s="58"/>
      <c r="B2021" s="68" t="str">
        <f aca="false">IF(A2021="","",COUNTIF(A$5:A2021,A2021))</f>
        <v/>
      </c>
      <c r="C2021" s="68" t="str">
        <f aca="false">IF(A2021="","",A2021&amp;"-"&amp;B2021)</f>
        <v/>
      </c>
      <c r="D2021" s="58"/>
      <c r="E2021" s="57"/>
      <c r="F2021" s="69"/>
      <c r="G2021" s="69"/>
      <c r="H2021" s="70" t="str">
        <f aca="false">IF(A2021="","",IFERROR(INDEX(السندات!$C$5:$C$504,MATCH(A2021,السندات!$A$5:$A$504,0)),""))</f>
        <v/>
      </c>
      <c r="I2021" s="71" t="str">
        <f aca="false">IF(A2021="","",IFERROR(INDEX(السندات!$D$5:$D$504,MATCH(A2021,السندات!$A$5:$A$504,0)),""))</f>
        <v/>
      </c>
      <c r="J2021" s="72" t="str">
        <f aca="false">IF(A2021="","",IF(ISNA(MATCH(A2021,السندات!$A$5:$A$504,0)),"رقم سند غير موجود ✘",IF(AND(F2021&lt;&gt;"",G2021&lt;&gt;""),"اكتب مدين أو دائن فقط ✘",IF(AND(N(F2021)=0,N(G2021)=0),"بدون مبلغ ⚠",IF(B2021&gt;12,"يتجاوز 12 بنداً في الطباعة ⚠","")))))</f>
        <v/>
      </c>
    </row>
    <row r="2022" customFormat="false" ht="15" hidden="false" customHeight="false" outlineLevel="0" collapsed="false">
      <c r="A2022" s="58"/>
      <c r="B2022" s="73" t="str">
        <f aca="false">IF(A2022="","",COUNTIF(A$5:A2022,A2022))</f>
        <v/>
      </c>
      <c r="C2022" s="73" t="str">
        <f aca="false">IF(A2022="","",A2022&amp;"-"&amp;B2022)</f>
        <v/>
      </c>
      <c r="D2022" s="58"/>
      <c r="E2022" s="57"/>
      <c r="F2022" s="69"/>
      <c r="G2022" s="69"/>
      <c r="H2022" s="74" t="str">
        <f aca="false">IF(A2022="","",IFERROR(INDEX(السندات!$C$5:$C$504,MATCH(A2022,السندات!$A$5:$A$504,0)),""))</f>
        <v/>
      </c>
      <c r="I2022" s="75" t="str">
        <f aca="false">IF(A2022="","",IFERROR(INDEX(السندات!$D$5:$D$504,MATCH(A2022,السندات!$A$5:$A$504,0)),""))</f>
        <v/>
      </c>
      <c r="J2022" s="76" t="str">
        <f aca="false">IF(A2022="","",IF(ISNA(MATCH(A2022,السندات!$A$5:$A$504,0)),"رقم سند غير موجود ✘",IF(AND(F2022&lt;&gt;"",G2022&lt;&gt;""),"اكتب مدين أو دائن فقط ✘",IF(AND(N(F2022)=0,N(G2022)=0),"بدون مبلغ ⚠",IF(B2022&gt;12,"يتجاوز 12 بنداً في الطباعة ⚠","")))))</f>
        <v/>
      </c>
    </row>
    <row r="2023" customFormat="false" ht="15" hidden="false" customHeight="false" outlineLevel="0" collapsed="false">
      <c r="A2023" s="58"/>
      <c r="B2023" s="68" t="str">
        <f aca="false">IF(A2023="","",COUNTIF(A$5:A2023,A2023))</f>
        <v/>
      </c>
      <c r="C2023" s="68" t="str">
        <f aca="false">IF(A2023="","",A2023&amp;"-"&amp;B2023)</f>
        <v/>
      </c>
      <c r="D2023" s="58"/>
      <c r="E2023" s="57"/>
      <c r="F2023" s="69"/>
      <c r="G2023" s="69"/>
      <c r="H2023" s="70" t="str">
        <f aca="false">IF(A2023="","",IFERROR(INDEX(السندات!$C$5:$C$504,MATCH(A2023,السندات!$A$5:$A$504,0)),""))</f>
        <v/>
      </c>
      <c r="I2023" s="71" t="str">
        <f aca="false">IF(A2023="","",IFERROR(INDEX(السندات!$D$5:$D$504,MATCH(A2023,السندات!$A$5:$A$504,0)),""))</f>
        <v/>
      </c>
      <c r="J2023" s="72" t="str">
        <f aca="false">IF(A2023="","",IF(ISNA(MATCH(A2023,السندات!$A$5:$A$504,0)),"رقم سند غير موجود ✘",IF(AND(F2023&lt;&gt;"",G2023&lt;&gt;""),"اكتب مدين أو دائن فقط ✘",IF(AND(N(F2023)=0,N(G2023)=0),"بدون مبلغ ⚠",IF(B2023&gt;12,"يتجاوز 12 بنداً في الطباعة ⚠","")))))</f>
        <v/>
      </c>
    </row>
    <row r="2024" customFormat="false" ht="15" hidden="false" customHeight="false" outlineLevel="0" collapsed="false">
      <c r="A2024" s="58"/>
      <c r="B2024" s="73" t="str">
        <f aca="false">IF(A2024="","",COUNTIF(A$5:A2024,A2024))</f>
        <v/>
      </c>
      <c r="C2024" s="73" t="str">
        <f aca="false">IF(A2024="","",A2024&amp;"-"&amp;B2024)</f>
        <v/>
      </c>
      <c r="D2024" s="58"/>
      <c r="E2024" s="57"/>
      <c r="F2024" s="69"/>
      <c r="G2024" s="69"/>
      <c r="H2024" s="74" t="str">
        <f aca="false">IF(A2024="","",IFERROR(INDEX(السندات!$C$5:$C$504,MATCH(A2024,السندات!$A$5:$A$504,0)),""))</f>
        <v/>
      </c>
      <c r="I2024" s="75" t="str">
        <f aca="false">IF(A2024="","",IFERROR(INDEX(السندات!$D$5:$D$504,MATCH(A2024,السندات!$A$5:$A$504,0)),""))</f>
        <v/>
      </c>
      <c r="J2024" s="76" t="str">
        <f aca="false">IF(A2024="","",IF(ISNA(MATCH(A2024,السندات!$A$5:$A$504,0)),"رقم سند غير موجود ✘",IF(AND(F2024&lt;&gt;"",G2024&lt;&gt;""),"اكتب مدين أو دائن فقط ✘",IF(AND(N(F2024)=0,N(G2024)=0),"بدون مبلغ ⚠",IF(B2024&gt;12,"يتجاوز 12 بنداً في الطباعة ⚠","")))))</f>
        <v/>
      </c>
    </row>
    <row r="2025" customFormat="false" ht="15" hidden="false" customHeight="false" outlineLevel="0" collapsed="false">
      <c r="A2025" s="58"/>
      <c r="B2025" s="68" t="str">
        <f aca="false">IF(A2025="","",COUNTIF(A$5:A2025,A2025))</f>
        <v/>
      </c>
      <c r="C2025" s="68" t="str">
        <f aca="false">IF(A2025="","",A2025&amp;"-"&amp;B2025)</f>
        <v/>
      </c>
      <c r="D2025" s="58"/>
      <c r="E2025" s="57"/>
      <c r="F2025" s="69"/>
      <c r="G2025" s="69"/>
      <c r="H2025" s="70" t="str">
        <f aca="false">IF(A2025="","",IFERROR(INDEX(السندات!$C$5:$C$504,MATCH(A2025,السندات!$A$5:$A$504,0)),""))</f>
        <v/>
      </c>
      <c r="I2025" s="71" t="str">
        <f aca="false">IF(A2025="","",IFERROR(INDEX(السندات!$D$5:$D$504,MATCH(A2025,السندات!$A$5:$A$504,0)),""))</f>
        <v/>
      </c>
      <c r="J2025" s="72" t="str">
        <f aca="false">IF(A2025="","",IF(ISNA(MATCH(A2025,السندات!$A$5:$A$504,0)),"رقم سند غير موجود ✘",IF(AND(F2025&lt;&gt;"",G2025&lt;&gt;""),"اكتب مدين أو دائن فقط ✘",IF(AND(N(F2025)=0,N(G2025)=0),"بدون مبلغ ⚠",IF(B2025&gt;12,"يتجاوز 12 بنداً في الطباعة ⚠","")))))</f>
        <v/>
      </c>
    </row>
    <row r="2026" customFormat="false" ht="15" hidden="false" customHeight="false" outlineLevel="0" collapsed="false">
      <c r="A2026" s="58"/>
      <c r="B2026" s="73" t="str">
        <f aca="false">IF(A2026="","",COUNTIF(A$5:A2026,A2026))</f>
        <v/>
      </c>
      <c r="C2026" s="73" t="str">
        <f aca="false">IF(A2026="","",A2026&amp;"-"&amp;B2026)</f>
        <v/>
      </c>
      <c r="D2026" s="58"/>
      <c r="E2026" s="57"/>
      <c r="F2026" s="69"/>
      <c r="G2026" s="69"/>
      <c r="H2026" s="74" t="str">
        <f aca="false">IF(A2026="","",IFERROR(INDEX(السندات!$C$5:$C$504,MATCH(A2026,السندات!$A$5:$A$504,0)),""))</f>
        <v/>
      </c>
      <c r="I2026" s="75" t="str">
        <f aca="false">IF(A2026="","",IFERROR(INDEX(السندات!$D$5:$D$504,MATCH(A2026,السندات!$A$5:$A$504,0)),""))</f>
        <v/>
      </c>
      <c r="J2026" s="76" t="str">
        <f aca="false">IF(A2026="","",IF(ISNA(MATCH(A2026,السندات!$A$5:$A$504,0)),"رقم سند غير موجود ✘",IF(AND(F2026&lt;&gt;"",G2026&lt;&gt;""),"اكتب مدين أو دائن فقط ✘",IF(AND(N(F2026)=0,N(G2026)=0),"بدون مبلغ ⚠",IF(B2026&gt;12,"يتجاوز 12 بنداً في الطباعة ⚠","")))))</f>
        <v/>
      </c>
    </row>
    <row r="2027" customFormat="false" ht="15" hidden="false" customHeight="false" outlineLevel="0" collapsed="false">
      <c r="A2027" s="58"/>
      <c r="B2027" s="68" t="str">
        <f aca="false">IF(A2027="","",COUNTIF(A$5:A2027,A2027))</f>
        <v/>
      </c>
      <c r="C2027" s="68" t="str">
        <f aca="false">IF(A2027="","",A2027&amp;"-"&amp;B2027)</f>
        <v/>
      </c>
      <c r="D2027" s="58"/>
      <c r="E2027" s="57"/>
      <c r="F2027" s="69"/>
      <c r="G2027" s="69"/>
      <c r="H2027" s="70" t="str">
        <f aca="false">IF(A2027="","",IFERROR(INDEX(السندات!$C$5:$C$504,MATCH(A2027,السندات!$A$5:$A$504,0)),""))</f>
        <v/>
      </c>
      <c r="I2027" s="71" t="str">
        <f aca="false">IF(A2027="","",IFERROR(INDEX(السندات!$D$5:$D$504,MATCH(A2027,السندات!$A$5:$A$504,0)),""))</f>
        <v/>
      </c>
      <c r="J2027" s="72" t="str">
        <f aca="false">IF(A2027="","",IF(ISNA(MATCH(A2027,السندات!$A$5:$A$504,0)),"رقم سند غير موجود ✘",IF(AND(F2027&lt;&gt;"",G2027&lt;&gt;""),"اكتب مدين أو دائن فقط ✘",IF(AND(N(F2027)=0,N(G2027)=0),"بدون مبلغ ⚠",IF(B2027&gt;12,"يتجاوز 12 بنداً في الطباعة ⚠","")))))</f>
        <v/>
      </c>
    </row>
    <row r="2028" customFormat="false" ht="15" hidden="false" customHeight="false" outlineLevel="0" collapsed="false">
      <c r="A2028" s="58"/>
      <c r="B2028" s="73" t="str">
        <f aca="false">IF(A2028="","",COUNTIF(A$5:A2028,A2028))</f>
        <v/>
      </c>
      <c r="C2028" s="73" t="str">
        <f aca="false">IF(A2028="","",A2028&amp;"-"&amp;B2028)</f>
        <v/>
      </c>
      <c r="D2028" s="58"/>
      <c r="E2028" s="57"/>
      <c r="F2028" s="69"/>
      <c r="G2028" s="69"/>
      <c r="H2028" s="74" t="str">
        <f aca="false">IF(A2028="","",IFERROR(INDEX(السندات!$C$5:$C$504,MATCH(A2028,السندات!$A$5:$A$504,0)),""))</f>
        <v/>
      </c>
      <c r="I2028" s="75" t="str">
        <f aca="false">IF(A2028="","",IFERROR(INDEX(السندات!$D$5:$D$504,MATCH(A2028,السندات!$A$5:$A$504,0)),""))</f>
        <v/>
      </c>
      <c r="J2028" s="76" t="str">
        <f aca="false">IF(A2028="","",IF(ISNA(MATCH(A2028,السندات!$A$5:$A$504,0)),"رقم سند غير موجود ✘",IF(AND(F2028&lt;&gt;"",G2028&lt;&gt;""),"اكتب مدين أو دائن فقط ✘",IF(AND(N(F2028)=0,N(G2028)=0),"بدون مبلغ ⚠",IF(B2028&gt;12,"يتجاوز 12 بنداً في الطباعة ⚠","")))))</f>
        <v/>
      </c>
    </row>
    <row r="2029" customFormat="false" ht="15" hidden="false" customHeight="false" outlineLevel="0" collapsed="false">
      <c r="A2029" s="58"/>
      <c r="B2029" s="68" t="str">
        <f aca="false">IF(A2029="","",COUNTIF(A$5:A2029,A2029))</f>
        <v/>
      </c>
      <c r="C2029" s="68" t="str">
        <f aca="false">IF(A2029="","",A2029&amp;"-"&amp;B2029)</f>
        <v/>
      </c>
      <c r="D2029" s="58"/>
      <c r="E2029" s="57"/>
      <c r="F2029" s="69"/>
      <c r="G2029" s="69"/>
      <c r="H2029" s="70" t="str">
        <f aca="false">IF(A2029="","",IFERROR(INDEX(السندات!$C$5:$C$504,MATCH(A2029,السندات!$A$5:$A$504,0)),""))</f>
        <v/>
      </c>
      <c r="I2029" s="71" t="str">
        <f aca="false">IF(A2029="","",IFERROR(INDEX(السندات!$D$5:$D$504,MATCH(A2029,السندات!$A$5:$A$504,0)),""))</f>
        <v/>
      </c>
      <c r="J2029" s="72" t="str">
        <f aca="false">IF(A2029="","",IF(ISNA(MATCH(A2029,السندات!$A$5:$A$504,0)),"رقم سند غير موجود ✘",IF(AND(F2029&lt;&gt;"",G2029&lt;&gt;""),"اكتب مدين أو دائن فقط ✘",IF(AND(N(F2029)=0,N(G2029)=0),"بدون مبلغ ⚠",IF(B2029&gt;12,"يتجاوز 12 بنداً في الطباعة ⚠","")))))</f>
        <v/>
      </c>
    </row>
    <row r="2030" customFormat="false" ht="15" hidden="false" customHeight="false" outlineLevel="0" collapsed="false">
      <c r="A2030" s="58"/>
      <c r="B2030" s="73" t="str">
        <f aca="false">IF(A2030="","",COUNTIF(A$5:A2030,A2030))</f>
        <v/>
      </c>
      <c r="C2030" s="73" t="str">
        <f aca="false">IF(A2030="","",A2030&amp;"-"&amp;B2030)</f>
        <v/>
      </c>
      <c r="D2030" s="58"/>
      <c r="E2030" s="57"/>
      <c r="F2030" s="69"/>
      <c r="G2030" s="69"/>
      <c r="H2030" s="74" t="str">
        <f aca="false">IF(A2030="","",IFERROR(INDEX(السندات!$C$5:$C$504,MATCH(A2030,السندات!$A$5:$A$504,0)),""))</f>
        <v/>
      </c>
      <c r="I2030" s="75" t="str">
        <f aca="false">IF(A2030="","",IFERROR(INDEX(السندات!$D$5:$D$504,MATCH(A2030,السندات!$A$5:$A$504,0)),""))</f>
        <v/>
      </c>
      <c r="J2030" s="76" t="str">
        <f aca="false">IF(A2030="","",IF(ISNA(MATCH(A2030,السندات!$A$5:$A$504,0)),"رقم سند غير موجود ✘",IF(AND(F2030&lt;&gt;"",G2030&lt;&gt;""),"اكتب مدين أو دائن فقط ✘",IF(AND(N(F2030)=0,N(G2030)=0),"بدون مبلغ ⚠",IF(B2030&gt;12,"يتجاوز 12 بنداً في الطباعة ⚠","")))))</f>
        <v/>
      </c>
    </row>
    <row r="2031" customFormat="false" ht="15" hidden="false" customHeight="false" outlineLevel="0" collapsed="false">
      <c r="A2031" s="58"/>
      <c r="B2031" s="68" t="str">
        <f aca="false">IF(A2031="","",COUNTIF(A$5:A2031,A2031))</f>
        <v/>
      </c>
      <c r="C2031" s="68" t="str">
        <f aca="false">IF(A2031="","",A2031&amp;"-"&amp;B2031)</f>
        <v/>
      </c>
      <c r="D2031" s="58"/>
      <c r="E2031" s="57"/>
      <c r="F2031" s="69"/>
      <c r="G2031" s="69"/>
      <c r="H2031" s="70" t="str">
        <f aca="false">IF(A2031="","",IFERROR(INDEX(السندات!$C$5:$C$504,MATCH(A2031,السندات!$A$5:$A$504,0)),""))</f>
        <v/>
      </c>
      <c r="I2031" s="71" t="str">
        <f aca="false">IF(A2031="","",IFERROR(INDEX(السندات!$D$5:$D$504,MATCH(A2031,السندات!$A$5:$A$504,0)),""))</f>
        <v/>
      </c>
      <c r="J2031" s="72" t="str">
        <f aca="false">IF(A2031="","",IF(ISNA(MATCH(A2031,السندات!$A$5:$A$504,0)),"رقم سند غير موجود ✘",IF(AND(F2031&lt;&gt;"",G2031&lt;&gt;""),"اكتب مدين أو دائن فقط ✘",IF(AND(N(F2031)=0,N(G2031)=0),"بدون مبلغ ⚠",IF(B2031&gt;12,"يتجاوز 12 بنداً في الطباعة ⚠","")))))</f>
        <v/>
      </c>
    </row>
    <row r="2032" customFormat="false" ht="15" hidden="false" customHeight="false" outlineLevel="0" collapsed="false">
      <c r="A2032" s="58"/>
      <c r="B2032" s="73" t="str">
        <f aca="false">IF(A2032="","",COUNTIF(A$5:A2032,A2032))</f>
        <v/>
      </c>
      <c r="C2032" s="73" t="str">
        <f aca="false">IF(A2032="","",A2032&amp;"-"&amp;B2032)</f>
        <v/>
      </c>
      <c r="D2032" s="58"/>
      <c r="E2032" s="57"/>
      <c r="F2032" s="69"/>
      <c r="G2032" s="69"/>
      <c r="H2032" s="74" t="str">
        <f aca="false">IF(A2032="","",IFERROR(INDEX(السندات!$C$5:$C$504,MATCH(A2032,السندات!$A$5:$A$504,0)),""))</f>
        <v/>
      </c>
      <c r="I2032" s="75" t="str">
        <f aca="false">IF(A2032="","",IFERROR(INDEX(السندات!$D$5:$D$504,MATCH(A2032,السندات!$A$5:$A$504,0)),""))</f>
        <v/>
      </c>
      <c r="J2032" s="76" t="str">
        <f aca="false">IF(A2032="","",IF(ISNA(MATCH(A2032,السندات!$A$5:$A$504,0)),"رقم سند غير موجود ✘",IF(AND(F2032&lt;&gt;"",G2032&lt;&gt;""),"اكتب مدين أو دائن فقط ✘",IF(AND(N(F2032)=0,N(G2032)=0),"بدون مبلغ ⚠",IF(B2032&gt;12,"يتجاوز 12 بنداً في الطباعة ⚠","")))))</f>
        <v/>
      </c>
    </row>
    <row r="2033" customFormat="false" ht="15" hidden="false" customHeight="false" outlineLevel="0" collapsed="false">
      <c r="A2033" s="58"/>
      <c r="B2033" s="68" t="str">
        <f aca="false">IF(A2033="","",COUNTIF(A$5:A2033,A2033))</f>
        <v/>
      </c>
      <c r="C2033" s="68" t="str">
        <f aca="false">IF(A2033="","",A2033&amp;"-"&amp;B2033)</f>
        <v/>
      </c>
      <c r="D2033" s="58"/>
      <c r="E2033" s="57"/>
      <c r="F2033" s="69"/>
      <c r="G2033" s="69"/>
      <c r="H2033" s="70" t="str">
        <f aca="false">IF(A2033="","",IFERROR(INDEX(السندات!$C$5:$C$504,MATCH(A2033,السندات!$A$5:$A$504,0)),""))</f>
        <v/>
      </c>
      <c r="I2033" s="71" t="str">
        <f aca="false">IF(A2033="","",IFERROR(INDEX(السندات!$D$5:$D$504,MATCH(A2033,السندات!$A$5:$A$504,0)),""))</f>
        <v/>
      </c>
      <c r="J2033" s="72" t="str">
        <f aca="false">IF(A2033="","",IF(ISNA(MATCH(A2033,السندات!$A$5:$A$504,0)),"رقم سند غير موجود ✘",IF(AND(F2033&lt;&gt;"",G2033&lt;&gt;""),"اكتب مدين أو دائن فقط ✘",IF(AND(N(F2033)=0,N(G2033)=0),"بدون مبلغ ⚠",IF(B2033&gt;12,"يتجاوز 12 بنداً في الطباعة ⚠","")))))</f>
        <v/>
      </c>
    </row>
    <row r="2034" customFormat="false" ht="15" hidden="false" customHeight="false" outlineLevel="0" collapsed="false">
      <c r="A2034" s="58"/>
      <c r="B2034" s="73" t="str">
        <f aca="false">IF(A2034="","",COUNTIF(A$5:A2034,A2034))</f>
        <v/>
      </c>
      <c r="C2034" s="73" t="str">
        <f aca="false">IF(A2034="","",A2034&amp;"-"&amp;B2034)</f>
        <v/>
      </c>
      <c r="D2034" s="58"/>
      <c r="E2034" s="57"/>
      <c r="F2034" s="69"/>
      <c r="G2034" s="69"/>
      <c r="H2034" s="74" t="str">
        <f aca="false">IF(A2034="","",IFERROR(INDEX(السندات!$C$5:$C$504,MATCH(A2034,السندات!$A$5:$A$504,0)),""))</f>
        <v/>
      </c>
      <c r="I2034" s="75" t="str">
        <f aca="false">IF(A2034="","",IFERROR(INDEX(السندات!$D$5:$D$504,MATCH(A2034,السندات!$A$5:$A$504,0)),""))</f>
        <v/>
      </c>
      <c r="J2034" s="76" t="str">
        <f aca="false">IF(A2034="","",IF(ISNA(MATCH(A2034,السندات!$A$5:$A$504,0)),"رقم سند غير موجود ✘",IF(AND(F2034&lt;&gt;"",G2034&lt;&gt;""),"اكتب مدين أو دائن فقط ✘",IF(AND(N(F2034)=0,N(G2034)=0),"بدون مبلغ ⚠",IF(B2034&gt;12,"يتجاوز 12 بنداً في الطباعة ⚠","")))))</f>
        <v/>
      </c>
    </row>
    <row r="2035" customFormat="false" ht="15" hidden="false" customHeight="false" outlineLevel="0" collapsed="false">
      <c r="A2035" s="58"/>
      <c r="B2035" s="68" t="str">
        <f aca="false">IF(A2035="","",COUNTIF(A$5:A2035,A2035))</f>
        <v/>
      </c>
      <c r="C2035" s="68" t="str">
        <f aca="false">IF(A2035="","",A2035&amp;"-"&amp;B2035)</f>
        <v/>
      </c>
      <c r="D2035" s="58"/>
      <c r="E2035" s="57"/>
      <c r="F2035" s="69"/>
      <c r="G2035" s="69"/>
      <c r="H2035" s="70" t="str">
        <f aca="false">IF(A2035="","",IFERROR(INDEX(السندات!$C$5:$C$504,MATCH(A2035,السندات!$A$5:$A$504,0)),""))</f>
        <v/>
      </c>
      <c r="I2035" s="71" t="str">
        <f aca="false">IF(A2035="","",IFERROR(INDEX(السندات!$D$5:$D$504,MATCH(A2035,السندات!$A$5:$A$504,0)),""))</f>
        <v/>
      </c>
      <c r="J2035" s="72" t="str">
        <f aca="false">IF(A2035="","",IF(ISNA(MATCH(A2035,السندات!$A$5:$A$504,0)),"رقم سند غير موجود ✘",IF(AND(F2035&lt;&gt;"",G2035&lt;&gt;""),"اكتب مدين أو دائن فقط ✘",IF(AND(N(F2035)=0,N(G2035)=0),"بدون مبلغ ⚠",IF(B2035&gt;12,"يتجاوز 12 بنداً في الطباعة ⚠","")))))</f>
        <v/>
      </c>
    </row>
    <row r="2036" customFormat="false" ht="15" hidden="false" customHeight="false" outlineLevel="0" collapsed="false">
      <c r="A2036" s="58"/>
      <c r="B2036" s="73" t="str">
        <f aca="false">IF(A2036="","",COUNTIF(A$5:A2036,A2036))</f>
        <v/>
      </c>
      <c r="C2036" s="73" t="str">
        <f aca="false">IF(A2036="","",A2036&amp;"-"&amp;B2036)</f>
        <v/>
      </c>
      <c r="D2036" s="58"/>
      <c r="E2036" s="57"/>
      <c r="F2036" s="69"/>
      <c r="G2036" s="69"/>
      <c r="H2036" s="74" t="str">
        <f aca="false">IF(A2036="","",IFERROR(INDEX(السندات!$C$5:$C$504,MATCH(A2036,السندات!$A$5:$A$504,0)),""))</f>
        <v/>
      </c>
      <c r="I2036" s="75" t="str">
        <f aca="false">IF(A2036="","",IFERROR(INDEX(السندات!$D$5:$D$504,MATCH(A2036,السندات!$A$5:$A$504,0)),""))</f>
        <v/>
      </c>
      <c r="J2036" s="76" t="str">
        <f aca="false">IF(A2036="","",IF(ISNA(MATCH(A2036,السندات!$A$5:$A$504,0)),"رقم سند غير موجود ✘",IF(AND(F2036&lt;&gt;"",G2036&lt;&gt;""),"اكتب مدين أو دائن فقط ✘",IF(AND(N(F2036)=0,N(G2036)=0),"بدون مبلغ ⚠",IF(B2036&gt;12,"يتجاوز 12 بنداً في الطباعة ⚠","")))))</f>
        <v/>
      </c>
    </row>
    <row r="2037" customFormat="false" ht="15" hidden="false" customHeight="false" outlineLevel="0" collapsed="false">
      <c r="A2037" s="58"/>
      <c r="B2037" s="68" t="str">
        <f aca="false">IF(A2037="","",COUNTIF(A$5:A2037,A2037))</f>
        <v/>
      </c>
      <c r="C2037" s="68" t="str">
        <f aca="false">IF(A2037="","",A2037&amp;"-"&amp;B2037)</f>
        <v/>
      </c>
      <c r="D2037" s="58"/>
      <c r="E2037" s="57"/>
      <c r="F2037" s="69"/>
      <c r="G2037" s="69"/>
      <c r="H2037" s="70" t="str">
        <f aca="false">IF(A2037="","",IFERROR(INDEX(السندات!$C$5:$C$504,MATCH(A2037,السندات!$A$5:$A$504,0)),""))</f>
        <v/>
      </c>
      <c r="I2037" s="71" t="str">
        <f aca="false">IF(A2037="","",IFERROR(INDEX(السندات!$D$5:$D$504,MATCH(A2037,السندات!$A$5:$A$504,0)),""))</f>
        <v/>
      </c>
      <c r="J2037" s="72" t="str">
        <f aca="false">IF(A2037="","",IF(ISNA(MATCH(A2037,السندات!$A$5:$A$504,0)),"رقم سند غير موجود ✘",IF(AND(F2037&lt;&gt;"",G2037&lt;&gt;""),"اكتب مدين أو دائن فقط ✘",IF(AND(N(F2037)=0,N(G2037)=0),"بدون مبلغ ⚠",IF(B2037&gt;12,"يتجاوز 12 بنداً في الطباعة ⚠","")))))</f>
        <v/>
      </c>
    </row>
    <row r="2038" customFormat="false" ht="15" hidden="false" customHeight="false" outlineLevel="0" collapsed="false">
      <c r="A2038" s="58"/>
      <c r="B2038" s="73" t="str">
        <f aca="false">IF(A2038="","",COUNTIF(A$5:A2038,A2038))</f>
        <v/>
      </c>
      <c r="C2038" s="73" t="str">
        <f aca="false">IF(A2038="","",A2038&amp;"-"&amp;B2038)</f>
        <v/>
      </c>
      <c r="D2038" s="58"/>
      <c r="E2038" s="57"/>
      <c r="F2038" s="69"/>
      <c r="G2038" s="69"/>
      <c r="H2038" s="74" t="str">
        <f aca="false">IF(A2038="","",IFERROR(INDEX(السندات!$C$5:$C$504,MATCH(A2038,السندات!$A$5:$A$504,0)),""))</f>
        <v/>
      </c>
      <c r="I2038" s="75" t="str">
        <f aca="false">IF(A2038="","",IFERROR(INDEX(السندات!$D$5:$D$504,MATCH(A2038,السندات!$A$5:$A$504,0)),""))</f>
        <v/>
      </c>
      <c r="J2038" s="76" t="str">
        <f aca="false">IF(A2038="","",IF(ISNA(MATCH(A2038,السندات!$A$5:$A$504,0)),"رقم سند غير موجود ✘",IF(AND(F2038&lt;&gt;"",G2038&lt;&gt;""),"اكتب مدين أو دائن فقط ✘",IF(AND(N(F2038)=0,N(G2038)=0),"بدون مبلغ ⚠",IF(B2038&gt;12,"يتجاوز 12 بنداً في الطباعة ⚠","")))))</f>
        <v/>
      </c>
    </row>
    <row r="2039" customFormat="false" ht="15" hidden="false" customHeight="false" outlineLevel="0" collapsed="false">
      <c r="A2039" s="58"/>
      <c r="B2039" s="68" t="str">
        <f aca="false">IF(A2039="","",COUNTIF(A$5:A2039,A2039))</f>
        <v/>
      </c>
      <c r="C2039" s="68" t="str">
        <f aca="false">IF(A2039="","",A2039&amp;"-"&amp;B2039)</f>
        <v/>
      </c>
      <c r="D2039" s="58"/>
      <c r="E2039" s="57"/>
      <c r="F2039" s="69"/>
      <c r="G2039" s="69"/>
      <c r="H2039" s="70" t="str">
        <f aca="false">IF(A2039="","",IFERROR(INDEX(السندات!$C$5:$C$504,MATCH(A2039,السندات!$A$5:$A$504,0)),""))</f>
        <v/>
      </c>
      <c r="I2039" s="71" t="str">
        <f aca="false">IF(A2039="","",IFERROR(INDEX(السندات!$D$5:$D$504,MATCH(A2039,السندات!$A$5:$A$504,0)),""))</f>
        <v/>
      </c>
      <c r="J2039" s="72" t="str">
        <f aca="false">IF(A2039="","",IF(ISNA(MATCH(A2039,السندات!$A$5:$A$504,0)),"رقم سند غير موجود ✘",IF(AND(F2039&lt;&gt;"",G2039&lt;&gt;""),"اكتب مدين أو دائن فقط ✘",IF(AND(N(F2039)=0,N(G2039)=0),"بدون مبلغ ⚠",IF(B2039&gt;12,"يتجاوز 12 بنداً في الطباعة ⚠","")))))</f>
        <v/>
      </c>
    </row>
    <row r="2040" customFormat="false" ht="15" hidden="false" customHeight="false" outlineLevel="0" collapsed="false">
      <c r="A2040" s="58"/>
      <c r="B2040" s="73" t="str">
        <f aca="false">IF(A2040="","",COUNTIF(A$5:A2040,A2040))</f>
        <v/>
      </c>
      <c r="C2040" s="73" t="str">
        <f aca="false">IF(A2040="","",A2040&amp;"-"&amp;B2040)</f>
        <v/>
      </c>
      <c r="D2040" s="58"/>
      <c r="E2040" s="57"/>
      <c r="F2040" s="69"/>
      <c r="G2040" s="69"/>
      <c r="H2040" s="74" t="str">
        <f aca="false">IF(A2040="","",IFERROR(INDEX(السندات!$C$5:$C$504,MATCH(A2040,السندات!$A$5:$A$504,0)),""))</f>
        <v/>
      </c>
      <c r="I2040" s="75" t="str">
        <f aca="false">IF(A2040="","",IFERROR(INDEX(السندات!$D$5:$D$504,MATCH(A2040,السندات!$A$5:$A$504,0)),""))</f>
        <v/>
      </c>
      <c r="J2040" s="76" t="str">
        <f aca="false">IF(A2040="","",IF(ISNA(MATCH(A2040,السندات!$A$5:$A$504,0)),"رقم سند غير موجود ✘",IF(AND(F2040&lt;&gt;"",G2040&lt;&gt;""),"اكتب مدين أو دائن فقط ✘",IF(AND(N(F2040)=0,N(G2040)=0),"بدون مبلغ ⚠",IF(B2040&gt;12,"يتجاوز 12 بنداً في الطباعة ⚠","")))))</f>
        <v/>
      </c>
    </row>
    <row r="2041" customFormat="false" ht="15" hidden="false" customHeight="false" outlineLevel="0" collapsed="false">
      <c r="A2041" s="58"/>
      <c r="B2041" s="68" t="str">
        <f aca="false">IF(A2041="","",COUNTIF(A$5:A2041,A2041))</f>
        <v/>
      </c>
      <c r="C2041" s="68" t="str">
        <f aca="false">IF(A2041="","",A2041&amp;"-"&amp;B2041)</f>
        <v/>
      </c>
      <c r="D2041" s="58"/>
      <c r="E2041" s="57"/>
      <c r="F2041" s="69"/>
      <c r="G2041" s="69"/>
      <c r="H2041" s="70" t="str">
        <f aca="false">IF(A2041="","",IFERROR(INDEX(السندات!$C$5:$C$504,MATCH(A2041,السندات!$A$5:$A$504,0)),""))</f>
        <v/>
      </c>
      <c r="I2041" s="71" t="str">
        <f aca="false">IF(A2041="","",IFERROR(INDEX(السندات!$D$5:$D$504,MATCH(A2041,السندات!$A$5:$A$504,0)),""))</f>
        <v/>
      </c>
      <c r="J2041" s="72" t="str">
        <f aca="false">IF(A2041="","",IF(ISNA(MATCH(A2041,السندات!$A$5:$A$504,0)),"رقم سند غير موجود ✘",IF(AND(F2041&lt;&gt;"",G2041&lt;&gt;""),"اكتب مدين أو دائن فقط ✘",IF(AND(N(F2041)=0,N(G2041)=0),"بدون مبلغ ⚠",IF(B2041&gt;12,"يتجاوز 12 بنداً في الطباعة ⚠","")))))</f>
        <v/>
      </c>
    </row>
    <row r="2042" customFormat="false" ht="15" hidden="false" customHeight="false" outlineLevel="0" collapsed="false">
      <c r="A2042" s="58"/>
      <c r="B2042" s="73" t="str">
        <f aca="false">IF(A2042="","",COUNTIF(A$5:A2042,A2042))</f>
        <v/>
      </c>
      <c r="C2042" s="73" t="str">
        <f aca="false">IF(A2042="","",A2042&amp;"-"&amp;B2042)</f>
        <v/>
      </c>
      <c r="D2042" s="58"/>
      <c r="E2042" s="57"/>
      <c r="F2042" s="69"/>
      <c r="G2042" s="69"/>
      <c r="H2042" s="74" t="str">
        <f aca="false">IF(A2042="","",IFERROR(INDEX(السندات!$C$5:$C$504,MATCH(A2042,السندات!$A$5:$A$504,0)),""))</f>
        <v/>
      </c>
      <c r="I2042" s="75" t="str">
        <f aca="false">IF(A2042="","",IFERROR(INDEX(السندات!$D$5:$D$504,MATCH(A2042,السندات!$A$5:$A$504,0)),""))</f>
        <v/>
      </c>
      <c r="J2042" s="76" t="str">
        <f aca="false">IF(A2042="","",IF(ISNA(MATCH(A2042,السندات!$A$5:$A$504,0)),"رقم سند غير موجود ✘",IF(AND(F2042&lt;&gt;"",G2042&lt;&gt;""),"اكتب مدين أو دائن فقط ✘",IF(AND(N(F2042)=0,N(G2042)=0),"بدون مبلغ ⚠",IF(B2042&gt;12,"يتجاوز 12 بنداً في الطباعة ⚠","")))))</f>
        <v/>
      </c>
    </row>
    <row r="2043" customFormat="false" ht="15" hidden="false" customHeight="false" outlineLevel="0" collapsed="false">
      <c r="A2043" s="58"/>
      <c r="B2043" s="68" t="str">
        <f aca="false">IF(A2043="","",COUNTIF(A$5:A2043,A2043))</f>
        <v/>
      </c>
      <c r="C2043" s="68" t="str">
        <f aca="false">IF(A2043="","",A2043&amp;"-"&amp;B2043)</f>
        <v/>
      </c>
      <c r="D2043" s="58"/>
      <c r="E2043" s="57"/>
      <c r="F2043" s="69"/>
      <c r="G2043" s="69"/>
      <c r="H2043" s="70" t="str">
        <f aca="false">IF(A2043="","",IFERROR(INDEX(السندات!$C$5:$C$504,MATCH(A2043,السندات!$A$5:$A$504,0)),""))</f>
        <v/>
      </c>
      <c r="I2043" s="71" t="str">
        <f aca="false">IF(A2043="","",IFERROR(INDEX(السندات!$D$5:$D$504,MATCH(A2043,السندات!$A$5:$A$504,0)),""))</f>
        <v/>
      </c>
      <c r="J2043" s="72" t="str">
        <f aca="false">IF(A2043="","",IF(ISNA(MATCH(A2043,السندات!$A$5:$A$504,0)),"رقم سند غير موجود ✘",IF(AND(F2043&lt;&gt;"",G2043&lt;&gt;""),"اكتب مدين أو دائن فقط ✘",IF(AND(N(F2043)=0,N(G2043)=0),"بدون مبلغ ⚠",IF(B2043&gt;12,"يتجاوز 12 بنداً في الطباعة ⚠","")))))</f>
        <v/>
      </c>
    </row>
    <row r="2044" customFormat="false" ht="15" hidden="false" customHeight="false" outlineLevel="0" collapsed="false">
      <c r="A2044" s="58"/>
      <c r="B2044" s="73" t="str">
        <f aca="false">IF(A2044="","",COUNTIF(A$5:A2044,A2044))</f>
        <v/>
      </c>
      <c r="C2044" s="73" t="str">
        <f aca="false">IF(A2044="","",A2044&amp;"-"&amp;B2044)</f>
        <v/>
      </c>
      <c r="D2044" s="58"/>
      <c r="E2044" s="57"/>
      <c r="F2044" s="69"/>
      <c r="G2044" s="69"/>
      <c r="H2044" s="74" t="str">
        <f aca="false">IF(A2044="","",IFERROR(INDEX(السندات!$C$5:$C$504,MATCH(A2044,السندات!$A$5:$A$504,0)),""))</f>
        <v/>
      </c>
      <c r="I2044" s="75" t="str">
        <f aca="false">IF(A2044="","",IFERROR(INDEX(السندات!$D$5:$D$504,MATCH(A2044,السندات!$A$5:$A$504,0)),""))</f>
        <v/>
      </c>
      <c r="J2044" s="76" t="str">
        <f aca="false">IF(A2044="","",IF(ISNA(MATCH(A2044,السندات!$A$5:$A$504,0)),"رقم سند غير موجود ✘",IF(AND(F2044&lt;&gt;"",G2044&lt;&gt;""),"اكتب مدين أو دائن فقط ✘",IF(AND(N(F2044)=0,N(G2044)=0),"بدون مبلغ ⚠",IF(B2044&gt;12,"يتجاوز 12 بنداً في الطباعة ⚠","")))))</f>
        <v/>
      </c>
    </row>
    <row r="2045" customFormat="false" ht="15" hidden="false" customHeight="false" outlineLevel="0" collapsed="false">
      <c r="A2045" s="58"/>
      <c r="B2045" s="68" t="str">
        <f aca="false">IF(A2045="","",COUNTIF(A$5:A2045,A2045))</f>
        <v/>
      </c>
      <c r="C2045" s="68" t="str">
        <f aca="false">IF(A2045="","",A2045&amp;"-"&amp;B2045)</f>
        <v/>
      </c>
      <c r="D2045" s="58"/>
      <c r="E2045" s="57"/>
      <c r="F2045" s="69"/>
      <c r="G2045" s="69"/>
      <c r="H2045" s="70" t="str">
        <f aca="false">IF(A2045="","",IFERROR(INDEX(السندات!$C$5:$C$504,MATCH(A2045,السندات!$A$5:$A$504,0)),""))</f>
        <v/>
      </c>
      <c r="I2045" s="71" t="str">
        <f aca="false">IF(A2045="","",IFERROR(INDEX(السندات!$D$5:$D$504,MATCH(A2045,السندات!$A$5:$A$504,0)),""))</f>
        <v/>
      </c>
      <c r="J2045" s="72" t="str">
        <f aca="false">IF(A2045="","",IF(ISNA(MATCH(A2045,السندات!$A$5:$A$504,0)),"رقم سند غير موجود ✘",IF(AND(F2045&lt;&gt;"",G2045&lt;&gt;""),"اكتب مدين أو دائن فقط ✘",IF(AND(N(F2045)=0,N(G2045)=0),"بدون مبلغ ⚠",IF(B2045&gt;12,"يتجاوز 12 بنداً في الطباعة ⚠","")))))</f>
        <v/>
      </c>
    </row>
    <row r="2046" customFormat="false" ht="15" hidden="false" customHeight="false" outlineLevel="0" collapsed="false">
      <c r="A2046" s="58"/>
      <c r="B2046" s="73" t="str">
        <f aca="false">IF(A2046="","",COUNTIF(A$5:A2046,A2046))</f>
        <v/>
      </c>
      <c r="C2046" s="73" t="str">
        <f aca="false">IF(A2046="","",A2046&amp;"-"&amp;B2046)</f>
        <v/>
      </c>
      <c r="D2046" s="58"/>
      <c r="E2046" s="57"/>
      <c r="F2046" s="69"/>
      <c r="G2046" s="69"/>
      <c r="H2046" s="74" t="str">
        <f aca="false">IF(A2046="","",IFERROR(INDEX(السندات!$C$5:$C$504,MATCH(A2046,السندات!$A$5:$A$504,0)),""))</f>
        <v/>
      </c>
      <c r="I2046" s="75" t="str">
        <f aca="false">IF(A2046="","",IFERROR(INDEX(السندات!$D$5:$D$504,MATCH(A2046,السندات!$A$5:$A$504,0)),""))</f>
        <v/>
      </c>
      <c r="J2046" s="76" t="str">
        <f aca="false">IF(A2046="","",IF(ISNA(MATCH(A2046,السندات!$A$5:$A$504,0)),"رقم سند غير موجود ✘",IF(AND(F2046&lt;&gt;"",G2046&lt;&gt;""),"اكتب مدين أو دائن فقط ✘",IF(AND(N(F2046)=0,N(G2046)=0),"بدون مبلغ ⚠",IF(B2046&gt;12,"يتجاوز 12 بنداً في الطباعة ⚠","")))))</f>
        <v/>
      </c>
    </row>
    <row r="2047" customFormat="false" ht="15" hidden="false" customHeight="false" outlineLevel="0" collapsed="false">
      <c r="A2047" s="58"/>
      <c r="B2047" s="68" t="str">
        <f aca="false">IF(A2047="","",COUNTIF(A$5:A2047,A2047))</f>
        <v/>
      </c>
      <c r="C2047" s="68" t="str">
        <f aca="false">IF(A2047="","",A2047&amp;"-"&amp;B2047)</f>
        <v/>
      </c>
      <c r="D2047" s="58"/>
      <c r="E2047" s="57"/>
      <c r="F2047" s="69"/>
      <c r="G2047" s="69"/>
      <c r="H2047" s="70" t="str">
        <f aca="false">IF(A2047="","",IFERROR(INDEX(السندات!$C$5:$C$504,MATCH(A2047,السندات!$A$5:$A$504,0)),""))</f>
        <v/>
      </c>
      <c r="I2047" s="71" t="str">
        <f aca="false">IF(A2047="","",IFERROR(INDEX(السندات!$D$5:$D$504,MATCH(A2047,السندات!$A$5:$A$504,0)),""))</f>
        <v/>
      </c>
      <c r="J2047" s="72" t="str">
        <f aca="false">IF(A2047="","",IF(ISNA(MATCH(A2047,السندات!$A$5:$A$504,0)),"رقم سند غير موجود ✘",IF(AND(F2047&lt;&gt;"",G2047&lt;&gt;""),"اكتب مدين أو دائن فقط ✘",IF(AND(N(F2047)=0,N(G2047)=0),"بدون مبلغ ⚠",IF(B2047&gt;12,"يتجاوز 12 بنداً في الطباعة ⚠","")))))</f>
        <v/>
      </c>
    </row>
    <row r="2048" customFormat="false" ht="15" hidden="false" customHeight="false" outlineLevel="0" collapsed="false">
      <c r="A2048" s="58"/>
      <c r="B2048" s="73" t="str">
        <f aca="false">IF(A2048="","",COUNTIF(A$5:A2048,A2048))</f>
        <v/>
      </c>
      <c r="C2048" s="73" t="str">
        <f aca="false">IF(A2048="","",A2048&amp;"-"&amp;B2048)</f>
        <v/>
      </c>
      <c r="D2048" s="58"/>
      <c r="E2048" s="57"/>
      <c r="F2048" s="69"/>
      <c r="G2048" s="69"/>
      <c r="H2048" s="74" t="str">
        <f aca="false">IF(A2048="","",IFERROR(INDEX(السندات!$C$5:$C$504,MATCH(A2048,السندات!$A$5:$A$504,0)),""))</f>
        <v/>
      </c>
      <c r="I2048" s="75" t="str">
        <f aca="false">IF(A2048="","",IFERROR(INDEX(السندات!$D$5:$D$504,MATCH(A2048,السندات!$A$5:$A$504,0)),""))</f>
        <v/>
      </c>
      <c r="J2048" s="76" t="str">
        <f aca="false">IF(A2048="","",IF(ISNA(MATCH(A2048,السندات!$A$5:$A$504,0)),"رقم سند غير موجود ✘",IF(AND(F2048&lt;&gt;"",G2048&lt;&gt;""),"اكتب مدين أو دائن فقط ✘",IF(AND(N(F2048)=0,N(G2048)=0),"بدون مبلغ ⚠",IF(B2048&gt;12,"يتجاوز 12 بنداً في الطباعة ⚠","")))))</f>
        <v/>
      </c>
    </row>
    <row r="2049" customFormat="false" ht="15" hidden="false" customHeight="false" outlineLevel="0" collapsed="false">
      <c r="A2049" s="58"/>
      <c r="B2049" s="68" t="str">
        <f aca="false">IF(A2049="","",COUNTIF(A$5:A2049,A2049))</f>
        <v/>
      </c>
      <c r="C2049" s="68" t="str">
        <f aca="false">IF(A2049="","",A2049&amp;"-"&amp;B2049)</f>
        <v/>
      </c>
      <c r="D2049" s="58"/>
      <c r="E2049" s="57"/>
      <c r="F2049" s="69"/>
      <c r="G2049" s="69"/>
      <c r="H2049" s="70" t="str">
        <f aca="false">IF(A2049="","",IFERROR(INDEX(السندات!$C$5:$C$504,MATCH(A2049,السندات!$A$5:$A$504,0)),""))</f>
        <v/>
      </c>
      <c r="I2049" s="71" t="str">
        <f aca="false">IF(A2049="","",IFERROR(INDEX(السندات!$D$5:$D$504,MATCH(A2049,السندات!$A$5:$A$504,0)),""))</f>
        <v/>
      </c>
      <c r="J2049" s="72" t="str">
        <f aca="false">IF(A2049="","",IF(ISNA(MATCH(A2049,السندات!$A$5:$A$504,0)),"رقم سند غير موجود ✘",IF(AND(F2049&lt;&gt;"",G2049&lt;&gt;""),"اكتب مدين أو دائن فقط ✘",IF(AND(N(F2049)=0,N(G2049)=0),"بدون مبلغ ⚠",IF(B2049&gt;12,"يتجاوز 12 بنداً في الطباعة ⚠","")))))</f>
        <v/>
      </c>
    </row>
    <row r="2050" customFormat="false" ht="15" hidden="false" customHeight="false" outlineLevel="0" collapsed="false">
      <c r="A2050" s="58"/>
      <c r="B2050" s="73" t="str">
        <f aca="false">IF(A2050="","",COUNTIF(A$5:A2050,A2050))</f>
        <v/>
      </c>
      <c r="C2050" s="73" t="str">
        <f aca="false">IF(A2050="","",A2050&amp;"-"&amp;B2050)</f>
        <v/>
      </c>
      <c r="D2050" s="58"/>
      <c r="E2050" s="57"/>
      <c r="F2050" s="69"/>
      <c r="G2050" s="69"/>
      <c r="H2050" s="74" t="str">
        <f aca="false">IF(A2050="","",IFERROR(INDEX(السندات!$C$5:$C$504,MATCH(A2050,السندات!$A$5:$A$504,0)),""))</f>
        <v/>
      </c>
      <c r="I2050" s="75" t="str">
        <f aca="false">IF(A2050="","",IFERROR(INDEX(السندات!$D$5:$D$504,MATCH(A2050,السندات!$A$5:$A$504,0)),""))</f>
        <v/>
      </c>
      <c r="J2050" s="76" t="str">
        <f aca="false">IF(A2050="","",IF(ISNA(MATCH(A2050,السندات!$A$5:$A$504,0)),"رقم سند غير موجود ✘",IF(AND(F2050&lt;&gt;"",G2050&lt;&gt;""),"اكتب مدين أو دائن فقط ✘",IF(AND(N(F2050)=0,N(G2050)=0),"بدون مبلغ ⚠",IF(B2050&gt;12,"يتجاوز 12 بنداً في الطباعة ⚠","")))))</f>
        <v/>
      </c>
    </row>
    <row r="2051" customFormat="false" ht="15" hidden="false" customHeight="false" outlineLevel="0" collapsed="false">
      <c r="A2051" s="58"/>
      <c r="B2051" s="68" t="str">
        <f aca="false">IF(A2051="","",COUNTIF(A$5:A2051,A2051))</f>
        <v/>
      </c>
      <c r="C2051" s="68" t="str">
        <f aca="false">IF(A2051="","",A2051&amp;"-"&amp;B2051)</f>
        <v/>
      </c>
      <c r="D2051" s="58"/>
      <c r="E2051" s="57"/>
      <c r="F2051" s="69"/>
      <c r="G2051" s="69"/>
      <c r="H2051" s="70" t="str">
        <f aca="false">IF(A2051="","",IFERROR(INDEX(السندات!$C$5:$C$504,MATCH(A2051,السندات!$A$5:$A$504,0)),""))</f>
        <v/>
      </c>
      <c r="I2051" s="71" t="str">
        <f aca="false">IF(A2051="","",IFERROR(INDEX(السندات!$D$5:$D$504,MATCH(A2051,السندات!$A$5:$A$504,0)),""))</f>
        <v/>
      </c>
      <c r="J2051" s="72" t="str">
        <f aca="false">IF(A2051="","",IF(ISNA(MATCH(A2051,السندات!$A$5:$A$504,0)),"رقم سند غير موجود ✘",IF(AND(F2051&lt;&gt;"",G2051&lt;&gt;""),"اكتب مدين أو دائن فقط ✘",IF(AND(N(F2051)=0,N(G2051)=0),"بدون مبلغ ⚠",IF(B2051&gt;12,"يتجاوز 12 بنداً في الطباعة ⚠","")))))</f>
        <v/>
      </c>
    </row>
    <row r="2052" customFormat="false" ht="15" hidden="false" customHeight="false" outlineLevel="0" collapsed="false">
      <c r="A2052" s="58"/>
      <c r="B2052" s="73" t="str">
        <f aca="false">IF(A2052="","",COUNTIF(A$5:A2052,A2052))</f>
        <v/>
      </c>
      <c r="C2052" s="73" t="str">
        <f aca="false">IF(A2052="","",A2052&amp;"-"&amp;B2052)</f>
        <v/>
      </c>
      <c r="D2052" s="58"/>
      <c r="E2052" s="57"/>
      <c r="F2052" s="69"/>
      <c r="G2052" s="69"/>
      <c r="H2052" s="74" t="str">
        <f aca="false">IF(A2052="","",IFERROR(INDEX(السندات!$C$5:$C$504,MATCH(A2052,السندات!$A$5:$A$504,0)),""))</f>
        <v/>
      </c>
      <c r="I2052" s="75" t="str">
        <f aca="false">IF(A2052="","",IFERROR(INDEX(السندات!$D$5:$D$504,MATCH(A2052,السندات!$A$5:$A$504,0)),""))</f>
        <v/>
      </c>
      <c r="J2052" s="76" t="str">
        <f aca="false">IF(A2052="","",IF(ISNA(MATCH(A2052,السندات!$A$5:$A$504,0)),"رقم سند غير موجود ✘",IF(AND(F2052&lt;&gt;"",G2052&lt;&gt;""),"اكتب مدين أو دائن فقط ✘",IF(AND(N(F2052)=0,N(G2052)=0),"بدون مبلغ ⚠",IF(B2052&gt;12,"يتجاوز 12 بنداً في الطباعة ⚠","")))))</f>
        <v/>
      </c>
    </row>
    <row r="2053" customFormat="false" ht="15" hidden="false" customHeight="false" outlineLevel="0" collapsed="false">
      <c r="A2053" s="58"/>
      <c r="B2053" s="68" t="str">
        <f aca="false">IF(A2053="","",COUNTIF(A$5:A2053,A2053))</f>
        <v/>
      </c>
      <c r="C2053" s="68" t="str">
        <f aca="false">IF(A2053="","",A2053&amp;"-"&amp;B2053)</f>
        <v/>
      </c>
      <c r="D2053" s="58"/>
      <c r="E2053" s="57"/>
      <c r="F2053" s="69"/>
      <c r="G2053" s="69"/>
      <c r="H2053" s="70" t="str">
        <f aca="false">IF(A2053="","",IFERROR(INDEX(السندات!$C$5:$C$504,MATCH(A2053,السندات!$A$5:$A$504,0)),""))</f>
        <v/>
      </c>
      <c r="I2053" s="71" t="str">
        <f aca="false">IF(A2053="","",IFERROR(INDEX(السندات!$D$5:$D$504,MATCH(A2053,السندات!$A$5:$A$504,0)),""))</f>
        <v/>
      </c>
      <c r="J2053" s="72" t="str">
        <f aca="false">IF(A2053="","",IF(ISNA(MATCH(A2053,السندات!$A$5:$A$504,0)),"رقم سند غير موجود ✘",IF(AND(F2053&lt;&gt;"",G2053&lt;&gt;""),"اكتب مدين أو دائن فقط ✘",IF(AND(N(F2053)=0,N(G2053)=0),"بدون مبلغ ⚠",IF(B2053&gt;12,"يتجاوز 12 بنداً في الطباعة ⚠","")))))</f>
        <v/>
      </c>
    </row>
    <row r="2054" customFormat="false" ht="15" hidden="false" customHeight="false" outlineLevel="0" collapsed="false">
      <c r="A2054" s="58"/>
      <c r="B2054" s="73" t="str">
        <f aca="false">IF(A2054="","",COUNTIF(A$5:A2054,A2054))</f>
        <v/>
      </c>
      <c r="C2054" s="73" t="str">
        <f aca="false">IF(A2054="","",A2054&amp;"-"&amp;B2054)</f>
        <v/>
      </c>
      <c r="D2054" s="58"/>
      <c r="E2054" s="57"/>
      <c r="F2054" s="69"/>
      <c r="G2054" s="69"/>
      <c r="H2054" s="74" t="str">
        <f aca="false">IF(A2054="","",IFERROR(INDEX(السندات!$C$5:$C$504,MATCH(A2054,السندات!$A$5:$A$504,0)),""))</f>
        <v/>
      </c>
      <c r="I2054" s="75" t="str">
        <f aca="false">IF(A2054="","",IFERROR(INDEX(السندات!$D$5:$D$504,MATCH(A2054,السندات!$A$5:$A$504,0)),""))</f>
        <v/>
      </c>
      <c r="J2054" s="76" t="str">
        <f aca="false">IF(A2054="","",IF(ISNA(MATCH(A2054,السندات!$A$5:$A$504,0)),"رقم سند غير موجود ✘",IF(AND(F2054&lt;&gt;"",G2054&lt;&gt;""),"اكتب مدين أو دائن فقط ✘",IF(AND(N(F2054)=0,N(G2054)=0),"بدون مبلغ ⚠",IF(B2054&gt;12,"يتجاوز 12 بنداً في الطباعة ⚠","")))))</f>
        <v/>
      </c>
    </row>
    <row r="2055" customFormat="false" ht="15" hidden="false" customHeight="false" outlineLevel="0" collapsed="false">
      <c r="A2055" s="58"/>
      <c r="B2055" s="68" t="str">
        <f aca="false">IF(A2055="","",COUNTIF(A$5:A2055,A2055))</f>
        <v/>
      </c>
      <c r="C2055" s="68" t="str">
        <f aca="false">IF(A2055="","",A2055&amp;"-"&amp;B2055)</f>
        <v/>
      </c>
      <c r="D2055" s="58"/>
      <c r="E2055" s="57"/>
      <c r="F2055" s="69"/>
      <c r="G2055" s="69"/>
      <c r="H2055" s="70" t="str">
        <f aca="false">IF(A2055="","",IFERROR(INDEX(السندات!$C$5:$C$504,MATCH(A2055,السندات!$A$5:$A$504,0)),""))</f>
        <v/>
      </c>
      <c r="I2055" s="71" t="str">
        <f aca="false">IF(A2055="","",IFERROR(INDEX(السندات!$D$5:$D$504,MATCH(A2055,السندات!$A$5:$A$504,0)),""))</f>
        <v/>
      </c>
      <c r="J2055" s="72" t="str">
        <f aca="false">IF(A2055="","",IF(ISNA(MATCH(A2055,السندات!$A$5:$A$504,0)),"رقم سند غير موجود ✘",IF(AND(F2055&lt;&gt;"",G2055&lt;&gt;""),"اكتب مدين أو دائن فقط ✘",IF(AND(N(F2055)=0,N(G2055)=0),"بدون مبلغ ⚠",IF(B2055&gt;12,"يتجاوز 12 بنداً في الطباعة ⚠","")))))</f>
        <v/>
      </c>
    </row>
    <row r="2056" customFormat="false" ht="15" hidden="false" customHeight="false" outlineLevel="0" collapsed="false">
      <c r="A2056" s="58"/>
      <c r="B2056" s="73" t="str">
        <f aca="false">IF(A2056="","",COUNTIF(A$5:A2056,A2056))</f>
        <v/>
      </c>
      <c r="C2056" s="73" t="str">
        <f aca="false">IF(A2056="","",A2056&amp;"-"&amp;B2056)</f>
        <v/>
      </c>
      <c r="D2056" s="58"/>
      <c r="E2056" s="57"/>
      <c r="F2056" s="69"/>
      <c r="G2056" s="69"/>
      <c r="H2056" s="74" t="str">
        <f aca="false">IF(A2056="","",IFERROR(INDEX(السندات!$C$5:$C$504,MATCH(A2056,السندات!$A$5:$A$504,0)),""))</f>
        <v/>
      </c>
      <c r="I2056" s="75" t="str">
        <f aca="false">IF(A2056="","",IFERROR(INDEX(السندات!$D$5:$D$504,MATCH(A2056,السندات!$A$5:$A$504,0)),""))</f>
        <v/>
      </c>
      <c r="J2056" s="76" t="str">
        <f aca="false">IF(A2056="","",IF(ISNA(MATCH(A2056,السندات!$A$5:$A$504,0)),"رقم سند غير موجود ✘",IF(AND(F2056&lt;&gt;"",G2056&lt;&gt;""),"اكتب مدين أو دائن فقط ✘",IF(AND(N(F2056)=0,N(G2056)=0),"بدون مبلغ ⚠",IF(B2056&gt;12,"يتجاوز 12 بنداً في الطباعة ⚠","")))))</f>
        <v/>
      </c>
    </row>
    <row r="2057" customFormat="false" ht="15" hidden="false" customHeight="false" outlineLevel="0" collapsed="false">
      <c r="A2057" s="58"/>
      <c r="B2057" s="68" t="str">
        <f aca="false">IF(A2057="","",COUNTIF(A$5:A2057,A2057))</f>
        <v/>
      </c>
      <c r="C2057" s="68" t="str">
        <f aca="false">IF(A2057="","",A2057&amp;"-"&amp;B2057)</f>
        <v/>
      </c>
      <c r="D2057" s="58"/>
      <c r="E2057" s="57"/>
      <c r="F2057" s="69"/>
      <c r="G2057" s="69"/>
      <c r="H2057" s="70" t="str">
        <f aca="false">IF(A2057="","",IFERROR(INDEX(السندات!$C$5:$C$504,MATCH(A2057,السندات!$A$5:$A$504,0)),""))</f>
        <v/>
      </c>
      <c r="I2057" s="71" t="str">
        <f aca="false">IF(A2057="","",IFERROR(INDEX(السندات!$D$5:$D$504,MATCH(A2057,السندات!$A$5:$A$504,0)),""))</f>
        <v/>
      </c>
      <c r="J2057" s="72" t="str">
        <f aca="false">IF(A2057="","",IF(ISNA(MATCH(A2057,السندات!$A$5:$A$504,0)),"رقم سند غير موجود ✘",IF(AND(F2057&lt;&gt;"",G2057&lt;&gt;""),"اكتب مدين أو دائن فقط ✘",IF(AND(N(F2057)=0,N(G2057)=0),"بدون مبلغ ⚠",IF(B2057&gt;12,"يتجاوز 12 بنداً في الطباعة ⚠","")))))</f>
        <v/>
      </c>
    </row>
    <row r="2058" customFormat="false" ht="15" hidden="false" customHeight="false" outlineLevel="0" collapsed="false">
      <c r="A2058" s="58"/>
      <c r="B2058" s="73" t="str">
        <f aca="false">IF(A2058="","",COUNTIF(A$5:A2058,A2058))</f>
        <v/>
      </c>
      <c r="C2058" s="73" t="str">
        <f aca="false">IF(A2058="","",A2058&amp;"-"&amp;B2058)</f>
        <v/>
      </c>
      <c r="D2058" s="58"/>
      <c r="E2058" s="57"/>
      <c r="F2058" s="69"/>
      <c r="G2058" s="69"/>
      <c r="H2058" s="74" t="str">
        <f aca="false">IF(A2058="","",IFERROR(INDEX(السندات!$C$5:$C$504,MATCH(A2058,السندات!$A$5:$A$504,0)),""))</f>
        <v/>
      </c>
      <c r="I2058" s="75" t="str">
        <f aca="false">IF(A2058="","",IFERROR(INDEX(السندات!$D$5:$D$504,MATCH(A2058,السندات!$A$5:$A$504,0)),""))</f>
        <v/>
      </c>
      <c r="J2058" s="76" t="str">
        <f aca="false">IF(A2058="","",IF(ISNA(MATCH(A2058,السندات!$A$5:$A$504,0)),"رقم سند غير موجود ✘",IF(AND(F2058&lt;&gt;"",G2058&lt;&gt;""),"اكتب مدين أو دائن فقط ✘",IF(AND(N(F2058)=0,N(G2058)=0),"بدون مبلغ ⚠",IF(B2058&gt;12,"يتجاوز 12 بنداً في الطباعة ⚠","")))))</f>
        <v/>
      </c>
    </row>
    <row r="2059" customFormat="false" ht="15" hidden="false" customHeight="false" outlineLevel="0" collapsed="false">
      <c r="A2059" s="58"/>
      <c r="B2059" s="68" t="str">
        <f aca="false">IF(A2059="","",COUNTIF(A$5:A2059,A2059))</f>
        <v/>
      </c>
      <c r="C2059" s="68" t="str">
        <f aca="false">IF(A2059="","",A2059&amp;"-"&amp;B2059)</f>
        <v/>
      </c>
      <c r="D2059" s="58"/>
      <c r="E2059" s="57"/>
      <c r="F2059" s="69"/>
      <c r="G2059" s="69"/>
      <c r="H2059" s="70" t="str">
        <f aca="false">IF(A2059="","",IFERROR(INDEX(السندات!$C$5:$C$504,MATCH(A2059,السندات!$A$5:$A$504,0)),""))</f>
        <v/>
      </c>
      <c r="I2059" s="71" t="str">
        <f aca="false">IF(A2059="","",IFERROR(INDEX(السندات!$D$5:$D$504,MATCH(A2059,السندات!$A$5:$A$504,0)),""))</f>
        <v/>
      </c>
      <c r="J2059" s="72" t="str">
        <f aca="false">IF(A2059="","",IF(ISNA(MATCH(A2059,السندات!$A$5:$A$504,0)),"رقم سند غير موجود ✘",IF(AND(F2059&lt;&gt;"",G2059&lt;&gt;""),"اكتب مدين أو دائن فقط ✘",IF(AND(N(F2059)=0,N(G2059)=0),"بدون مبلغ ⚠",IF(B2059&gt;12,"يتجاوز 12 بنداً في الطباعة ⚠","")))))</f>
        <v/>
      </c>
    </row>
    <row r="2060" customFormat="false" ht="15" hidden="false" customHeight="false" outlineLevel="0" collapsed="false">
      <c r="A2060" s="58"/>
      <c r="B2060" s="73" t="str">
        <f aca="false">IF(A2060="","",COUNTIF(A$5:A2060,A2060))</f>
        <v/>
      </c>
      <c r="C2060" s="73" t="str">
        <f aca="false">IF(A2060="","",A2060&amp;"-"&amp;B2060)</f>
        <v/>
      </c>
      <c r="D2060" s="58"/>
      <c r="E2060" s="57"/>
      <c r="F2060" s="69"/>
      <c r="G2060" s="69"/>
      <c r="H2060" s="74" t="str">
        <f aca="false">IF(A2060="","",IFERROR(INDEX(السندات!$C$5:$C$504,MATCH(A2060,السندات!$A$5:$A$504,0)),""))</f>
        <v/>
      </c>
      <c r="I2060" s="75" t="str">
        <f aca="false">IF(A2060="","",IFERROR(INDEX(السندات!$D$5:$D$504,MATCH(A2060,السندات!$A$5:$A$504,0)),""))</f>
        <v/>
      </c>
      <c r="J2060" s="76" t="str">
        <f aca="false">IF(A2060="","",IF(ISNA(MATCH(A2060,السندات!$A$5:$A$504,0)),"رقم سند غير موجود ✘",IF(AND(F2060&lt;&gt;"",G2060&lt;&gt;""),"اكتب مدين أو دائن فقط ✘",IF(AND(N(F2060)=0,N(G2060)=0),"بدون مبلغ ⚠",IF(B2060&gt;12,"يتجاوز 12 بنداً في الطباعة ⚠","")))))</f>
        <v/>
      </c>
    </row>
    <row r="2061" customFormat="false" ht="15" hidden="false" customHeight="false" outlineLevel="0" collapsed="false">
      <c r="A2061" s="58"/>
      <c r="B2061" s="68" t="str">
        <f aca="false">IF(A2061="","",COUNTIF(A$5:A2061,A2061))</f>
        <v/>
      </c>
      <c r="C2061" s="68" t="str">
        <f aca="false">IF(A2061="","",A2061&amp;"-"&amp;B2061)</f>
        <v/>
      </c>
      <c r="D2061" s="58"/>
      <c r="E2061" s="57"/>
      <c r="F2061" s="69"/>
      <c r="G2061" s="69"/>
      <c r="H2061" s="70" t="str">
        <f aca="false">IF(A2061="","",IFERROR(INDEX(السندات!$C$5:$C$504,MATCH(A2061,السندات!$A$5:$A$504,0)),""))</f>
        <v/>
      </c>
      <c r="I2061" s="71" t="str">
        <f aca="false">IF(A2061="","",IFERROR(INDEX(السندات!$D$5:$D$504,MATCH(A2061,السندات!$A$5:$A$504,0)),""))</f>
        <v/>
      </c>
      <c r="J2061" s="72" t="str">
        <f aca="false">IF(A2061="","",IF(ISNA(MATCH(A2061,السندات!$A$5:$A$504,0)),"رقم سند غير موجود ✘",IF(AND(F2061&lt;&gt;"",G2061&lt;&gt;""),"اكتب مدين أو دائن فقط ✘",IF(AND(N(F2061)=0,N(G2061)=0),"بدون مبلغ ⚠",IF(B2061&gt;12,"يتجاوز 12 بنداً في الطباعة ⚠","")))))</f>
        <v/>
      </c>
    </row>
    <row r="2062" customFormat="false" ht="15" hidden="false" customHeight="false" outlineLevel="0" collapsed="false">
      <c r="A2062" s="58"/>
      <c r="B2062" s="73" t="str">
        <f aca="false">IF(A2062="","",COUNTIF(A$5:A2062,A2062))</f>
        <v/>
      </c>
      <c r="C2062" s="73" t="str">
        <f aca="false">IF(A2062="","",A2062&amp;"-"&amp;B2062)</f>
        <v/>
      </c>
      <c r="D2062" s="58"/>
      <c r="E2062" s="57"/>
      <c r="F2062" s="69"/>
      <c r="G2062" s="69"/>
      <c r="H2062" s="74" t="str">
        <f aca="false">IF(A2062="","",IFERROR(INDEX(السندات!$C$5:$C$504,MATCH(A2062,السندات!$A$5:$A$504,0)),""))</f>
        <v/>
      </c>
      <c r="I2062" s="75" t="str">
        <f aca="false">IF(A2062="","",IFERROR(INDEX(السندات!$D$5:$D$504,MATCH(A2062,السندات!$A$5:$A$504,0)),""))</f>
        <v/>
      </c>
      <c r="J2062" s="76" t="str">
        <f aca="false">IF(A2062="","",IF(ISNA(MATCH(A2062,السندات!$A$5:$A$504,0)),"رقم سند غير موجود ✘",IF(AND(F2062&lt;&gt;"",G2062&lt;&gt;""),"اكتب مدين أو دائن فقط ✘",IF(AND(N(F2062)=0,N(G2062)=0),"بدون مبلغ ⚠",IF(B2062&gt;12,"يتجاوز 12 بنداً في الطباعة ⚠","")))))</f>
        <v/>
      </c>
    </row>
    <row r="2063" customFormat="false" ht="15" hidden="false" customHeight="false" outlineLevel="0" collapsed="false">
      <c r="A2063" s="58"/>
      <c r="B2063" s="68" t="str">
        <f aca="false">IF(A2063="","",COUNTIF(A$5:A2063,A2063))</f>
        <v/>
      </c>
      <c r="C2063" s="68" t="str">
        <f aca="false">IF(A2063="","",A2063&amp;"-"&amp;B2063)</f>
        <v/>
      </c>
      <c r="D2063" s="58"/>
      <c r="E2063" s="57"/>
      <c r="F2063" s="69"/>
      <c r="G2063" s="69"/>
      <c r="H2063" s="70" t="str">
        <f aca="false">IF(A2063="","",IFERROR(INDEX(السندات!$C$5:$C$504,MATCH(A2063,السندات!$A$5:$A$504,0)),""))</f>
        <v/>
      </c>
      <c r="I2063" s="71" t="str">
        <f aca="false">IF(A2063="","",IFERROR(INDEX(السندات!$D$5:$D$504,MATCH(A2063,السندات!$A$5:$A$504,0)),""))</f>
        <v/>
      </c>
      <c r="J2063" s="72" t="str">
        <f aca="false">IF(A2063="","",IF(ISNA(MATCH(A2063,السندات!$A$5:$A$504,0)),"رقم سند غير موجود ✘",IF(AND(F2063&lt;&gt;"",G2063&lt;&gt;""),"اكتب مدين أو دائن فقط ✘",IF(AND(N(F2063)=0,N(G2063)=0),"بدون مبلغ ⚠",IF(B2063&gt;12,"يتجاوز 12 بنداً في الطباعة ⚠","")))))</f>
        <v/>
      </c>
    </row>
    <row r="2064" customFormat="false" ht="15" hidden="false" customHeight="false" outlineLevel="0" collapsed="false">
      <c r="A2064" s="58"/>
      <c r="B2064" s="73" t="str">
        <f aca="false">IF(A2064="","",COUNTIF(A$5:A2064,A2064))</f>
        <v/>
      </c>
      <c r="C2064" s="73" t="str">
        <f aca="false">IF(A2064="","",A2064&amp;"-"&amp;B2064)</f>
        <v/>
      </c>
      <c r="D2064" s="58"/>
      <c r="E2064" s="57"/>
      <c r="F2064" s="69"/>
      <c r="G2064" s="69"/>
      <c r="H2064" s="74" t="str">
        <f aca="false">IF(A2064="","",IFERROR(INDEX(السندات!$C$5:$C$504,MATCH(A2064,السندات!$A$5:$A$504,0)),""))</f>
        <v/>
      </c>
      <c r="I2064" s="75" t="str">
        <f aca="false">IF(A2064="","",IFERROR(INDEX(السندات!$D$5:$D$504,MATCH(A2064,السندات!$A$5:$A$504,0)),""))</f>
        <v/>
      </c>
      <c r="J2064" s="76" t="str">
        <f aca="false">IF(A2064="","",IF(ISNA(MATCH(A2064,السندات!$A$5:$A$504,0)),"رقم سند غير موجود ✘",IF(AND(F2064&lt;&gt;"",G2064&lt;&gt;""),"اكتب مدين أو دائن فقط ✘",IF(AND(N(F2064)=0,N(G2064)=0),"بدون مبلغ ⚠",IF(B2064&gt;12,"يتجاوز 12 بنداً في الطباعة ⚠","")))))</f>
        <v/>
      </c>
    </row>
    <row r="2065" customFormat="false" ht="15" hidden="false" customHeight="false" outlineLevel="0" collapsed="false">
      <c r="A2065" s="58"/>
      <c r="B2065" s="68" t="str">
        <f aca="false">IF(A2065="","",COUNTIF(A$5:A2065,A2065))</f>
        <v/>
      </c>
      <c r="C2065" s="68" t="str">
        <f aca="false">IF(A2065="","",A2065&amp;"-"&amp;B2065)</f>
        <v/>
      </c>
      <c r="D2065" s="58"/>
      <c r="E2065" s="57"/>
      <c r="F2065" s="69"/>
      <c r="G2065" s="69"/>
      <c r="H2065" s="70" t="str">
        <f aca="false">IF(A2065="","",IFERROR(INDEX(السندات!$C$5:$C$504,MATCH(A2065,السندات!$A$5:$A$504,0)),""))</f>
        <v/>
      </c>
      <c r="I2065" s="71" t="str">
        <f aca="false">IF(A2065="","",IFERROR(INDEX(السندات!$D$5:$D$504,MATCH(A2065,السندات!$A$5:$A$504,0)),""))</f>
        <v/>
      </c>
      <c r="J2065" s="72" t="str">
        <f aca="false">IF(A2065="","",IF(ISNA(MATCH(A2065,السندات!$A$5:$A$504,0)),"رقم سند غير موجود ✘",IF(AND(F2065&lt;&gt;"",G2065&lt;&gt;""),"اكتب مدين أو دائن فقط ✘",IF(AND(N(F2065)=0,N(G2065)=0),"بدون مبلغ ⚠",IF(B2065&gt;12,"يتجاوز 12 بنداً في الطباعة ⚠","")))))</f>
        <v/>
      </c>
    </row>
    <row r="2066" customFormat="false" ht="15" hidden="false" customHeight="false" outlineLevel="0" collapsed="false">
      <c r="A2066" s="58"/>
      <c r="B2066" s="73" t="str">
        <f aca="false">IF(A2066="","",COUNTIF(A$5:A2066,A2066))</f>
        <v/>
      </c>
      <c r="C2066" s="73" t="str">
        <f aca="false">IF(A2066="","",A2066&amp;"-"&amp;B2066)</f>
        <v/>
      </c>
      <c r="D2066" s="58"/>
      <c r="E2066" s="57"/>
      <c r="F2066" s="69"/>
      <c r="G2066" s="69"/>
      <c r="H2066" s="74" t="str">
        <f aca="false">IF(A2066="","",IFERROR(INDEX(السندات!$C$5:$C$504,MATCH(A2066,السندات!$A$5:$A$504,0)),""))</f>
        <v/>
      </c>
      <c r="I2066" s="75" t="str">
        <f aca="false">IF(A2066="","",IFERROR(INDEX(السندات!$D$5:$D$504,MATCH(A2066,السندات!$A$5:$A$504,0)),""))</f>
        <v/>
      </c>
      <c r="J2066" s="76" t="str">
        <f aca="false">IF(A2066="","",IF(ISNA(MATCH(A2066,السندات!$A$5:$A$504,0)),"رقم سند غير موجود ✘",IF(AND(F2066&lt;&gt;"",G2066&lt;&gt;""),"اكتب مدين أو دائن فقط ✘",IF(AND(N(F2066)=0,N(G2066)=0),"بدون مبلغ ⚠",IF(B2066&gt;12,"يتجاوز 12 بنداً في الطباعة ⚠","")))))</f>
        <v/>
      </c>
    </row>
    <row r="2067" customFormat="false" ht="15" hidden="false" customHeight="false" outlineLevel="0" collapsed="false">
      <c r="A2067" s="58"/>
      <c r="B2067" s="68" t="str">
        <f aca="false">IF(A2067="","",COUNTIF(A$5:A2067,A2067))</f>
        <v/>
      </c>
      <c r="C2067" s="68" t="str">
        <f aca="false">IF(A2067="","",A2067&amp;"-"&amp;B2067)</f>
        <v/>
      </c>
      <c r="D2067" s="58"/>
      <c r="E2067" s="57"/>
      <c r="F2067" s="69"/>
      <c r="G2067" s="69"/>
      <c r="H2067" s="70" t="str">
        <f aca="false">IF(A2067="","",IFERROR(INDEX(السندات!$C$5:$C$504,MATCH(A2067,السندات!$A$5:$A$504,0)),""))</f>
        <v/>
      </c>
      <c r="I2067" s="71" t="str">
        <f aca="false">IF(A2067="","",IFERROR(INDEX(السندات!$D$5:$D$504,MATCH(A2067,السندات!$A$5:$A$504,0)),""))</f>
        <v/>
      </c>
      <c r="J2067" s="72" t="str">
        <f aca="false">IF(A2067="","",IF(ISNA(MATCH(A2067,السندات!$A$5:$A$504,0)),"رقم سند غير موجود ✘",IF(AND(F2067&lt;&gt;"",G2067&lt;&gt;""),"اكتب مدين أو دائن فقط ✘",IF(AND(N(F2067)=0,N(G2067)=0),"بدون مبلغ ⚠",IF(B2067&gt;12,"يتجاوز 12 بنداً في الطباعة ⚠","")))))</f>
        <v/>
      </c>
    </row>
    <row r="2068" customFormat="false" ht="15" hidden="false" customHeight="false" outlineLevel="0" collapsed="false">
      <c r="A2068" s="58"/>
      <c r="B2068" s="73" t="str">
        <f aca="false">IF(A2068="","",COUNTIF(A$5:A2068,A2068))</f>
        <v/>
      </c>
      <c r="C2068" s="73" t="str">
        <f aca="false">IF(A2068="","",A2068&amp;"-"&amp;B2068)</f>
        <v/>
      </c>
      <c r="D2068" s="58"/>
      <c r="E2068" s="57"/>
      <c r="F2068" s="69"/>
      <c r="G2068" s="69"/>
      <c r="H2068" s="74" t="str">
        <f aca="false">IF(A2068="","",IFERROR(INDEX(السندات!$C$5:$C$504,MATCH(A2068,السندات!$A$5:$A$504,0)),""))</f>
        <v/>
      </c>
      <c r="I2068" s="75" t="str">
        <f aca="false">IF(A2068="","",IFERROR(INDEX(السندات!$D$5:$D$504,MATCH(A2068,السندات!$A$5:$A$504,0)),""))</f>
        <v/>
      </c>
      <c r="J2068" s="76" t="str">
        <f aca="false">IF(A2068="","",IF(ISNA(MATCH(A2068,السندات!$A$5:$A$504,0)),"رقم سند غير موجود ✘",IF(AND(F2068&lt;&gt;"",G2068&lt;&gt;""),"اكتب مدين أو دائن فقط ✘",IF(AND(N(F2068)=0,N(G2068)=0),"بدون مبلغ ⚠",IF(B2068&gt;12,"يتجاوز 12 بنداً في الطباعة ⚠","")))))</f>
        <v/>
      </c>
    </row>
    <row r="2069" customFormat="false" ht="15" hidden="false" customHeight="false" outlineLevel="0" collapsed="false">
      <c r="A2069" s="58"/>
      <c r="B2069" s="68" t="str">
        <f aca="false">IF(A2069="","",COUNTIF(A$5:A2069,A2069))</f>
        <v/>
      </c>
      <c r="C2069" s="68" t="str">
        <f aca="false">IF(A2069="","",A2069&amp;"-"&amp;B2069)</f>
        <v/>
      </c>
      <c r="D2069" s="58"/>
      <c r="E2069" s="57"/>
      <c r="F2069" s="69"/>
      <c r="G2069" s="69"/>
      <c r="H2069" s="70" t="str">
        <f aca="false">IF(A2069="","",IFERROR(INDEX(السندات!$C$5:$C$504,MATCH(A2069,السندات!$A$5:$A$504,0)),""))</f>
        <v/>
      </c>
      <c r="I2069" s="71" t="str">
        <f aca="false">IF(A2069="","",IFERROR(INDEX(السندات!$D$5:$D$504,MATCH(A2069,السندات!$A$5:$A$504,0)),""))</f>
        <v/>
      </c>
      <c r="J2069" s="72" t="str">
        <f aca="false">IF(A2069="","",IF(ISNA(MATCH(A2069,السندات!$A$5:$A$504,0)),"رقم سند غير موجود ✘",IF(AND(F2069&lt;&gt;"",G2069&lt;&gt;""),"اكتب مدين أو دائن فقط ✘",IF(AND(N(F2069)=0,N(G2069)=0),"بدون مبلغ ⚠",IF(B2069&gt;12,"يتجاوز 12 بنداً في الطباعة ⚠","")))))</f>
        <v/>
      </c>
    </row>
    <row r="2070" customFormat="false" ht="15" hidden="false" customHeight="false" outlineLevel="0" collapsed="false">
      <c r="A2070" s="58"/>
      <c r="B2070" s="73" t="str">
        <f aca="false">IF(A2070="","",COUNTIF(A$5:A2070,A2070))</f>
        <v/>
      </c>
      <c r="C2070" s="73" t="str">
        <f aca="false">IF(A2070="","",A2070&amp;"-"&amp;B2070)</f>
        <v/>
      </c>
      <c r="D2070" s="58"/>
      <c r="E2070" s="57"/>
      <c r="F2070" s="69"/>
      <c r="G2070" s="69"/>
      <c r="H2070" s="74" t="str">
        <f aca="false">IF(A2070="","",IFERROR(INDEX(السندات!$C$5:$C$504,MATCH(A2070,السندات!$A$5:$A$504,0)),""))</f>
        <v/>
      </c>
      <c r="I2070" s="75" t="str">
        <f aca="false">IF(A2070="","",IFERROR(INDEX(السندات!$D$5:$D$504,MATCH(A2070,السندات!$A$5:$A$504,0)),""))</f>
        <v/>
      </c>
      <c r="J2070" s="76" t="str">
        <f aca="false">IF(A2070="","",IF(ISNA(MATCH(A2070,السندات!$A$5:$A$504,0)),"رقم سند غير موجود ✘",IF(AND(F2070&lt;&gt;"",G2070&lt;&gt;""),"اكتب مدين أو دائن فقط ✘",IF(AND(N(F2070)=0,N(G2070)=0),"بدون مبلغ ⚠",IF(B2070&gt;12,"يتجاوز 12 بنداً في الطباعة ⚠","")))))</f>
        <v/>
      </c>
    </row>
    <row r="2071" customFormat="false" ht="15" hidden="false" customHeight="false" outlineLevel="0" collapsed="false">
      <c r="A2071" s="58"/>
      <c r="B2071" s="68" t="str">
        <f aca="false">IF(A2071="","",COUNTIF(A$5:A2071,A2071))</f>
        <v/>
      </c>
      <c r="C2071" s="68" t="str">
        <f aca="false">IF(A2071="","",A2071&amp;"-"&amp;B2071)</f>
        <v/>
      </c>
      <c r="D2071" s="58"/>
      <c r="E2071" s="57"/>
      <c r="F2071" s="69"/>
      <c r="G2071" s="69"/>
      <c r="H2071" s="70" t="str">
        <f aca="false">IF(A2071="","",IFERROR(INDEX(السندات!$C$5:$C$504,MATCH(A2071,السندات!$A$5:$A$504,0)),""))</f>
        <v/>
      </c>
      <c r="I2071" s="71" t="str">
        <f aca="false">IF(A2071="","",IFERROR(INDEX(السندات!$D$5:$D$504,MATCH(A2071,السندات!$A$5:$A$504,0)),""))</f>
        <v/>
      </c>
      <c r="J2071" s="72" t="str">
        <f aca="false">IF(A2071="","",IF(ISNA(MATCH(A2071,السندات!$A$5:$A$504,0)),"رقم سند غير موجود ✘",IF(AND(F2071&lt;&gt;"",G2071&lt;&gt;""),"اكتب مدين أو دائن فقط ✘",IF(AND(N(F2071)=0,N(G2071)=0),"بدون مبلغ ⚠",IF(B2071&gt;12,"يتجاوز 12 بنداً في الطباعة ⚠","")))))</f>
        <v/>
      </c>
    </row>
    <row r="2072" customFormat="false" ht="15" hidden="false" customHeight="false" outlineLevel="0" collapsed="false">
      <c r="A2072" s="58"/>
      <c r="B2072" s="73" t="str">
        <f aca="false">IF(A2072="","",COUNTIF(A$5:A2072,A2072))</f>
        <v/>
      </c>
      <c r="C2072" s="73" t="str">
        <f aca="false">IF(A2072="","",A2072&amp;"-"&amp;B2072)</f>
        <v/>
      </c>
      <c r="D2072" s="58"/>
      <c r="E2072" s="57"/>
      <c r="F2072" s="69"/>
      <c r="G2072" s="69"/>
      <c r="H2072" s="74" t="str">
        <f aca="false">IF(A2072="","",IFERROR(INDEX(السندات!$C$5:$C$504,MATCH(A2072,السندات!$A$5:$A$504,0)),""))</f>
        <v/>
      </c>
      <c r="I2072" s="75" t="str">
        <f aca="false">IF(A2072="","",IFERROR(INDEX(السندات!$D$5:$D$504,MATCH(A2072,السندات!$A$5:$A$504,0)),""))</f>
        <v/>
      </c>
      <c r="J2072" s="76" t="str">
        <f aca="false">IF(A2072="","",IF(ISNA(MATCH(A2072,السندات!$A$5:$A$504,0)),"رقم سند غير موجود ✘",IF(AND(F2072&lt;&gt;"",G2072&lt;&gt;""),"اكتب مدين أو دائن فقط ✘",IF(AND(N(F2072)=0,N(G2072)=0),"بدون مبلغ ⚠",IF(B2072&gt;12,"يتجاوز 12 بنداً في الطباعة ⚠","")))))</f>
        <v/>
      </c>
    </row>
    <row r="2073" customFormat="false" ht="15" hidden="false" customHeight="false" outlineLevel="0" collapsed="false">
      <c r="A2073" s="58"/>
      <c r="B2073" s="68" t="str">
        <f aca="false">IF(A2073="","",COUNTIF(A$5:A2073,A2073))</f>
        <v/>
      </c>
      <c r="C2073" s="68" t="str">
        <f aca="false">IF(A2073="","",A2073&amp;"-"&amp;B2073)</f>
        <v/>
      </c>
      <c r="D2073" s="58"/>
      <c r="E2073" s="57"/>
      <c r="F2073" s="69"/>
      <c r="G2073" s="69"/>
      <c r="H2073" s="70" t="str">
        <f aca="false">IF(A2073="","",IFERROR(INDEX(السندات!$C$5:$C$504,MATCH(A2073,السندات!$A$5:$A$504,0)),""))</f>
        <v/>
      </c>
      <c r="I2073" s="71" t="str">
        <f aca="false">IF(A2073="","",IFERROR(INDEX(السندات!$D$5:$D$504,MATCH(A2073,السندات!$A$5:$A$504,0)),""))</f>
        <v/>
      </c>
      <c r="J2073" s="72" t="str">
        <f aca="false">IF(A2073="","",IF(ISNA(MATCH(A2073,السندات!$A$5:$A$504,0)),"رقم سند غير موجود ✘",IF(AND(F2073&lt;&gt;"",G2073&lt;&gt;""),"اكتب مدين أو دائن فقط ✘",IF(AND(N(F2073)=0,N(G2073)=0),"بدون مبلغ ⚠",IF(B2073&gt;12,"يتجاوز 12 بنداً في الطباعة ⚠","")))))</f>
        <v/>
      </c>
    </row>
    <row r="2074" customFormat="false" ht="15" hidden="false" customHeight="false" outlineLevel="0" collapsed="false">
      <c r="A2074" s="58"/>
      <c r="B2074" s="73" t="str">
        <f aca="false">IF(A2074="","",COUNTIF(A$5:A2074,A2074))</f>
        <v/>
      </c>
      <c r="C2074" s="73" t="str">
        <f aca="false">IF(A2074="","",A2074&amp;"-"&amp;B2074)</f>
        <v/>
      </c>
      <c r="D2074" s="58"/>
      <c r="E2074" s="57"/>
      <c r="F2074" s="69"/>
      <c r="G2074" s="69"/>
      <c r="H2074" s="74" t="str">
        <f aca="false">IF(A2074="","",IFERROR(INDEX(السندات!$C$5:$C$504,MATCH(A2074,السندات!$A$5:$A$504,0)),""))</f>
        <v/>
      </c>
      <c r="I2074" s="75" t="str">
        <f aca="false">IF(A2074="","",IFERROR(INDEX(السندات!$D$5:$D$504,MATCH(A2074,السندات!$A$5:$A$504,0)),""))</f>
        <v/>
      </c>
      <c r="J2074" s="76" t="str">
        <f aca="false">IF(A2074="","",IF(ISNA(MATCH(A2074,السندات!$A$5:$A$504,0)),"رقم سند غير موجود ✘",IF(AND(F2074&lt;&gt;"",G2074&lt;&gt;""),"اكتب مدين أو دائن فقط ✘",IF(AND(N(F2074)=0,N(G2074)=0),"بدون مبلغ ⚠",IF(B2074&gt;12,"يتجاوز 12 بنداً في الطباعة ⚠","")))))</f>
        <v/>
      </c>
    </row>
    <row r="2075" customFormat="false" ht="15" hidden="false" customHeight="false" outlineLevel="0" collapsed="false">
      <c r="A2075" s="58"/>
      <c r="B2075" s="68" t="str">
        <f aca="false">IF(A2075="","",COUNTIF(A$5:A2075,A2075))</f>
        <v/>
      </c>
      <c r="C2075" s="68" t="str">
        <f aca="false">IF(A2075="","",A2075&amp;"-"&amp;B2075)</f>
        <v/>
      </c>
      <c r="D2075" s="58"/>
      <c r="E2075" s="57"/>
      <c r="F2075" s="69"/>
      <c r="G2075" s="69"/>
      <c r="H2075" s="70" t="str">
        <f aca="false">IF(A2075="","",IFERROR(INDEX(السندات!$C$5:$C$504,MATCH(A2075,السندات!$A$5:$A$504,0)),""))</f>
        <v/>
      </c>
      <c r="I2075" s="71" t="str">
        <f aca="false">IF(A2075="","",IFERROR(INDEX(السندات!$D$5:$D$504,MATCH(A2075,السندات!$A$5:$A$504,0)),""))</f>
        <v/>
      </c>
      <c r="J2075" s="72" t="str">
        <f aca="false">IF(A2075="","",IF(ISNA(MATCH(A2075,السندات!$A$5:$A$504,0)),"رقم سند غير موجود ✘",IF(AND(F2075&lt;&gt;"",G2075&lt;&gt;""),"اكتب مدين أو دائن فقط ✘",IF(AND(N(F2075)=0,N(G2075)=0),"بدون مبلغ ⚠",IF(B2075&gt;12,"يتجاوز 12 بنداً في الطباعة ⚠","")))))</f>
        <v/>
      </c>
    </row>
    <row r="2076" customFormat="false" ht="15" hidden="false" customHeight="false" outlineLevel="0" collapsed="false">
      <c r="A2076" s="58"/>
      <c r="B2076" s="73" t="str">
        <f aca="false">IF(A2076="","",COUNTIF(A$5:A2076,A2076))</f>
        <v/>
      </c>
      <c r="C2076" s="73" t="str">
        <f aca="false">IF(A2076="","",A2076&amp;"-"&amp;B2076)</f>
        <v/>
      </c>
      <c r="D2076" s="58"/>
      <c r="E2076" s="57"/>
      <c r="F2076" s="69"/>
      <c r="G2076" s="69"/>
      <c r="H2076" s="74" t="str">
        <f aca="false">IF(A2076="","",IFERROR(INDEX(السندات!$C$5:$C$504,MATCH(A2076,السندات!$A$5:$A$504,0)),""))</f>
        <v/>
      </c>
      <c r="I2076" s="75" t="str">
        <f aca="false">IF(A2076="","",IFERROR(INDEX(السندات!$D$5:$D$504,MATCH(A2076,السندات!$A$5:$A$504,0)),""))</f>
        <v/>
      </c>
      <c r="J2076" s="76" t="str">
        <f aca="false">IF(A2076="","",IF(ISNA(MATCH(A2076,السندات!$A$5:$A$504,0)),"رقم سند غير موجود ✘",IF(AND(F2076&lt;&gt;"",G2076&lt;&gt;""),"اكتب مدين أو دائن فقط ✘",IF(AND(N(F2076)=0,N(G2076)=0),"بدون مبلغ ⚠",IF(B2076&gt;12,"يتجاوز 12 بنداً في الطباعة ⚠","")))))</f>
        <v/>
      </c>
    </row>
    <row r="2077" customFormat="false" ht="15" hidden="false" customHeight="false" outlineLevel="0" collapsed="false">
      <c r="A2077" s="58"/>
      <c r="B2077" s="68" t="str">
        <f aca="false">IF(A2077="","",COUNTIF(A$5:A2077,A2077))</f>
        <v/>
      </c>
      <c r="C2077" s="68" t="str">
        <f aca="false">IF(A2077="","",A2077&amp;"-"&amp;B2077)</f>
        <v/>
      </c>
      <c r="D2077" s="58"/>
      <c r="E2077" s="57"/>
      <c r="F2077" s="69"/>
      <c r="G2077" s="69"/>
      <c r="H2077" s="70" t="str">
        <f aca="false">IF(A2077="","",IFERROR(INDEX(السندات!$C$5:$C$504,MATCH(A2077,السندات!$A$5:$A$504,0)),""))</f>
        <v/>
      </c>
      <c r="I2077" s="71" t="str">
        <f aca="false">IF(A2077="","",IFERROR(INDEX(السندات!$D$5:$D$504,MATCH(A2077,السندات!$A$5:$A$504,0)),""))</f>
        <v/>
      </c>
      <c r="J2077" s="72" t="str">
        <f aca="false">IF(A2077="","",IF(ISNA(MATCH(A2077,السندات!$A$5:$A$504,0)),"رقم سند غير موجود ✘",IF(AND(F2077&lt;&gt;"",G2077&lt;&gt;""),"اكتب مدين أو دائن فقط ✘",IF(AND(N(F2077)=0,N(G2077)=0),"بدون مبلغ ⚠",IF(B2077&gt;12,"يتجاوز 12 بنداً في الطباعة ⚠","")))))</f>
        <v/>
      </c>
    </row>
    <row r="2078" customFormat="false" ht="15" hidden="false" customHeight="false" outlineLevel="0" collapsed="false">
      <c r="A2078" s="58"/>
      <c r="B2078" s="73" t="str">
        <f aca="false">IF(A2078="","",COUNTIF(A$5:A2078,A2078))</f>
        <v/>
      </c>
      <c r="C2078" s="73" t="str">
        <f aca="false">IF(A2078="","",A2078&amp;"-"&amp;B2078)</f>
        <v/>
      </c>
      <c r="D2078" s="58"/>
      <c r="E2078" s="57"/>
      <c r="F2078" s="69"/>
      <c r="G2078" s="69"/>
      <c r="H2078" s="74" t="str">
        <f aca="false">IF(A2078="","",IFERROR(INDEX(السندات!$C$5:$C$504,MATCH(A2078,السندات!$A$5:$A$504,0)),""))</f>
        <v/>
      </c>
      <c r="I2078" s="75" t="str">
        <f aca="false">IF(A2078="","",IFERROR(INDEX(السندات!$D$5:$D$504,MATCH(A2078,السندات!$A$5:$A$504,0)),""))</f>
        <v/>
      </c>
      <c r="J2078" s="76" t="str">
        <f aca="false">IF(A2078="","",IF(ISNA(MATCH(A2078,السندات!$A$5:$A$504,0)),"رقم سند غير موجود ✘",IF(AND(F2078&lt;&gt;"",G2078&lt;&gt;""),"اكتب مدين أو دائن فقط ✘",IF(AND(N(F2078)=0,N(G2078)=0),"بدون مبلغ ⚠",IF(B2078&gt;12,"يتجاوز 12 بنداً في الطباعة ⚠","")))))</f>
        <v/>
      </c>
    </row>
    <row r="2079" customFormat="false" ht="15" hidden="false" customHeight="false" outlineLevel="0" collapsed="false">
      <c r="A2079" s="58"/>
      <c r="B2079" s="68" t="str">
        <f aca="false">IF(A2079="","",COUNTIF(A$5:A2079,A2079))</f>
        <v/>
      </c>
      <c r="C2079" s="68" t="str">
        <f aca="false">IF(A2079="","",A2079&amp;"-"&amp;B2079)</f>
        <v/>
      </c>
      <c r="D2079" s="58"/>
      <c r="E2079" s="57"/>
      <c r="F2079" s="69"/>
      <c r="G2079" s="69"/>
      <c r="H2079" s="70" t="str">
        <f aca="false">IF(A2079="","",IFERROR(INDEX(السندات!$C$5:$C$504,MATCH(A2079,السندات!$A$5:$A$504,0)),""))</f>
        <v/>
      </c>
      <c r="I2079" s="71" t="str">
        <f aca="false">IF(A2079="","",IFERROR(INDEX(السندات!$D$5:$D$504,MATCH(A2079,السندات!$A$5:$A$504,0)),""))</f>
        <v/>
      </c>
      <c r="J2079" s="72" t="str">
        <f aca="false">IF(A2079="","",IF(ISNA(MATCH(A2079,السندات!$A$5:$A$504,0)),"رقم سند غير موجود ✘",IF(AND(F2079&lt;&gt;"",G2079&lt;&gt;""),"اكتب مدين أو دائن فقط ✘",IF(AND(N(F2079)=0,N(G2079)=0),"بدون مبلغ ⚠",IF(B2079&gt;12,"يتجاوز 12 بنداً في الطباعة ⚠","")))))</f>
        <v/>
      </c>
    </row>
    <row r="2080" customFormat="false" ht="15" hidden="false" customHeight="false" outlineLevel="0" collapsed="false">
      <c r="A2080" s="58"/>
      <c r="B2080" s="73" t="str">
        <f aca="false">IF(A2080="","",COUNTIF(A$5:A2080,A2080))</f>
        <v/>
      </c>
      <c r="C2080" s="73" t="str">
        <f aca="false">IF(A2080="","",A2080&amp;"-"&amp;B2080)</f>
        <v/>
      </c>
      <c r="D2080" s="58"/>
      <c r="E2080" s="57"/>
      <c r="F2080" s="69"/>
      <c r="G2080" s="69"/>
      <c r="H2080" s="74" t="str">
        <f aca="false">IF(A2080="","",IFERROR(INDEX(السندات!$C$5:$C$504,MATCH(A2080,السندات!$A$5:$A$504,0)),""))</f>
        <v/>
      </c>
      <c r="I2080" s="75" t="str">
        <f aca="false">IF(A2080="","",IFERROR(INDEX(السندات!$D$5:$D$504,MATCH(A2080,السندات!$A$5:$A$504,0)),""))</f>
        <v/>
      </c>
      <c r="J2080" s="76" t="str">
        <f aca="false">IF(A2080="","",IF(ISNA(MATCH(A2080,السندات!$A$5:$A$504,0)),"رقم سند غير موجود ✘",IF(AND(F2080&lt;&gt;"",G2080&lt;&gt;""),"اكتب مدين أو دائن فقط ✘",IF(AND(N(F2080)=0,N(G2080)=0),"بدون مبلغ ⚠",IF(B2080&gt;12,"يتجاوز 12 بنداً في الطباعة ⚠","")))))</f>
        <v/>
      </c>
    </row>
    <row r="2081" customFormat="false" ht="15" hidden="false" customHeight="false" outlineLevel="0" collapsed="false">
      <c r="A2081" s="58"/>
      <c r="B2081" s="68" t="str">
        <f aca="false">IF(A2081="","",COUNTIF(A$5:A2081,A2081))</f>
        <v/>
      </c>
      <c r="C2081" s="68" t="str">
        <f aca="false">IF(A2081="","",A2081&amp;"-"&amp;B2081)</f>
        <v/>
      </c>
      <c r="D2081" s="58"/>
      <c r="E2081" s="57"/>
      <c r="F2081" s="69"/>
      <c r="G2081" s="69"/>
      <c r="H2081" s="70" t="str">
        <f aca="false">IF(A2081="","",IFERROR(INDEX(السندات!$C$5:$C$504,MATCH(A2081,السندات!$A$5:$A$504,0)),""))</f>
        <v/>
      </c>
      <c r="I2081" s="71" t="str">
        <f aca="false">IF(A2081="","",IFERROR(INDEX(السندات!$D$5:$D$504,MATCH(A2081,السندات!$A$5:$A$504,0)),""))</f>
        <v/>
      </c>
      <c r="J2081" s="72" t="str">
        <f aca="false">IF(A2081="","",IF(ISNA(MATCH(A2081,السندات!$A$5:$A$504,0)),"رقم سند غير موجود ✘",IF(AND(F2081&lt;&gt;"",G2081&lt;&gt;""),"اكتب مدين أو دائن فقط ✘",IF(AND(N(F2081)=0,N(G2081)=0),"بدون مبلغ ⚠",IF(B2081&gt;12,"يتجاوز 12 بنداً في الطباعة ⚠","")))))</f>
        <v/>
      </c>
    </row>
    <row r="2082" customFormat="false" ht="15" hidden="false" customHeight="false" outlineLevel="0" collapsed="false">
      <c r="A2082" s="58"/>
      <c r="B2082" s="73" t="str">
        <f aca="false">IF(A2082="","",COUNTIF(A$5:A2082,A2082))</f>
        <v/>
      </c>
      <c r="C2082" s="73" t="str">
        <f aca="false">IF(A2082="","",A2082&amp;"-"&amp;B2082)</f>
        <v/>
      </c>
      <c r="D2082" s="58"/>
      <c r="E2082" s="57"/>
      <c r="F2082" s="69"/>
      <c r="G2082" s="69"/>
      <c r="H2082" s="74" t="str">
        <f aca="false">IF(A2082="","",IFERROR(INDEX(السندات!$C$5:$C$504,MATCH(A2082,السندات!$A$5:$A$504,0)),""))</f>
        <v/>
      </c>
      <c r="I2082" s="75" t="str">
        <f aca="false">IF(A2082="","",IFERROR(INDEX(السندات!$D$5:$D$504,MATCH(A2082,السندات!$A$5:$A$504,0)),""))</f>
        <v/>
      </c>
      <c r="J2082" s="76" t="str">
        <f aca="false">IF(A2082="","",IF(ISNA(MATCH(A2082,السندات!$A$5:$A$504,0)),"رقم سند غير موجود ✘",IF(AND(F2082&lt;&gt;"",G2082&lt;&gt;""),"اكتب مدين أو دائن فقط ✘",IF(AND(N(F2082)=0,N(G2082)=0),"بدون مبلغ ⚠",IF(B2082&gt;12,"يتجاوز 12 بنداً في الطباعة ⚠","")))))</f>
        <v/>
      </c>
    </row>
    <row r="2083" customFormat="false" ht="15" hidden="false" customHeight="false" outlineLevel="0" collapsed="false">
      <c r="A2083" s="58"/>
      <c r="B2083" s="68" t="str">
        <f aca="false">IF(A2083="","",COUNTIF(A$5:A2083,A2083))</f>
        <v/>
      </c>
      <c r="C2083" s="68" t="str">
        <f aca="false">IF(A2083="","",A2083&amp;"-"&amp;B2083)</f>
        <v/>
      </c>
      <c r="D2083" s="58"/>
      <c r="E2083" s="57"/>
      <c r="F2083" s="69"/>
      <c r="G2083" s="69"/>
      <c r="H2083" s="70" t="str">
        <f aca="false">IF(A2083="","",IFERROR(INDEX(السندات!$C$5:$C$504,MATCH(A2083,السندات!$A$5:$A$504,0)),""))</f>
        <v/>
      </c>
      <c r="I2083" s="71" t="str">
        <f aca="false">IF(A2083="","",IFERROR(INDEX(السندات!$D$5:$D$504,MATCH(A2083,السندات!$A$5:$A$504,0)),""))</f>
        <v/>
      </c>
      <c r="J2083" s="72" t="str">
        <f aca="false">IF(A2083="","",IF(ISNA(MATCH(A2083,السندات!$A$5:$A$504,0)),"رقم سند غير موجود ✘",IF(AND(F2083&lt;&gt;"",G2083&lt;&gt;""),"اكتب مدين أو دائن فقط ✘",IF(AND(N(F2083)=0,N(G2083)=0),"بدون مبلغ ⚠",IF(B2083&gt;12,"يتجاوز 12 بنداً في الطباعة ⚠","")))))</f>
        <v/>
      </c>
    </row>
    <row r="2084" customFormat="false" ht="15" hidden="false" customHeight="false" outlineLevel="0" collapsed="false">
      <c r="A2084" s="58"/>
      <c r="B2084" s="73" t="str">
        <f aca="false">IF(A2084="","",COUNTIF(A$5:A2084,A2084))</f>
        <v/>
      </c>
      <c r="C2084" s="73" t="str">
        <f aca="false">IF(A2084="","",A2084&amp;"-"&amp;B2084)</f>
        <v/>
      </c>
      <c r="D2084" s="58"/>
      <c r="E2084" s="57"/>
      <c r="F2084" s="69"/>
      <c r="G2084" s="69"/>
      <c r="H2084" s="74" t="str">
        <f aca="false">IF(A2084="","",IFERROR(INDEX(السندات!$C$5:$C$504,MATCH(A2084,السندات!$A$5:$A$504,0)),""))</f>
        <v/>
      </c>
      <c r="I2084" s="75" t="str">
        <f aca="false">IF(A2084="","",IFERROR(INDEX(السندات!$D$5:$D$504,MATCH(A2084,السندات!$A$5:$A$504,0)),""))</f>
        <v/>
      </c>
      <c r="J2084" s="76" t="str">
        <f aca="false">IF(A2084="","",IF(ISNA(MATCH(A2084,السندات!$A$5:$A$504,0)),"رقم سند غير موجود ✘",IF(AND(F2084&lt;&gt;"",G2084&lt;&gt;""),"اكتب مدين أو دائن فقط ✘",IF(AND(N(F2084)=0,N(G2084)=0),"بدون مبلغ ⚠",IF(B2084&gt;12,"يتجاوز 12 بنداً في الطباعة ⚠","")))))</f>
        <v/>
      </c>
    </row>
    <row r="2085" customFormat="false" ht="15" hidden="false" customHeight="false" outlineLevel="0" collapsed="false">
      <c r="A2085" s="58"/>
      <c r="B2085" s="68" t="str">
        <f aca="false">IF(A2085="","",COUNTIF(A$5:A2085,A2085))</f>
        <v/>
      </c>
      <c r="C2085" s="68" t="str">
        <f aca="false">IF(A2085="","",A2085&amp;"-"&amp;B2085)</f>
        <v/>
      </c>
      <c r="D2085" s="58"/>
      <c r="E2085" s="57"/>
      <c r="F2085" s="69"/>
      <c r="G2085" s="69"/>
      <c r="H2085" s="70" t="str">
        <f aca="false">IF(A2085="","",IFERROR(INDEX(السندات!$C$5:$C$504,MATCH(A2085,السندات!$A$5:$A$504,0)),""))</f>
        <v/>
      </c>
      <c r="I2085" s="71" t="str">
        <f aca="false">IF(A2085="","",IFERROR(INDEX(السندات!$D$5:$D$504,MATCH(A2085,السندات!$A$5:$A$504,0)),""))</f>
        <v/>
      </c>
      <c r="J2085" s="72" t="str">
        <f aca="false">IF(A2085="","",IF(ISNA(MATCH(A2085,السندات!$A$5:$A$504,0)),"رقم سند غير موجود ✘",IF(AND(F2085&lt;&gt;"",G2085&lt;&gt;""),"اكتب مدين أو دائن فقط ✘",IF(AND(N(F2085)=0,N(G2085)=0),"بدون مبلغ ⚠",IF(B2085&gt;12,"يتجاوز 12 بنداً في الطباعة ⚠","")))))</f>
        <v/>
      </c>
    </row>
    <row r="2086" customFormat="false" ht="15" hidden="false" customHeight="false" outlineLevel="0" collapsed="false">
      <c r="A2086" s="58"/>
      <c r="B2086" s="73" t="str">
        <f aca="false">IF(A2086="","",COUNTIF(A$5:A2086,A2086))</f>
        <v/>
      </c>
      <c r="C2086" s="73" t="str">
        <f aca="false">IF(A2086="","",A2086&amp;"-"&amp;B2086)</f>
        <v/>
      </c>
      <c r="D2086" s="58"/>
      <c r="E2086" s="57"/>
      <c r="F2086" s="69"/>
      <c r="G2086" s="69"/>
      <c r="H2086" s="74" t="str">
        <f aca="false">IF(A2086="","",IFERROR(INDEX(السندات!$C$5:$C$504,MATCH(A2086,السندات!$A$5:$A$504,0)),""))</f>
        <v/>
      </c>
      <c r="I2086" s="75" t="str">
        <f aca="false">IF(A2086="","",IFERROR(INDEX(السندات!$D$5:$D$504,MATCH(A2086,السندات!$A$5:$A$504,0)),""))</f>
        <v/>
      </c>
      <c r="J2086" s="76" t="str">
        <f aca="false">IF(A2086="","",IF(ISNA(MATCH(A2086,السندات!$A$5:$A$504,0)),"رقم سند غير موجود ✘",IF(AND(F2086&lt;&gt;"",G2086&lt;&gt;""),"اكتب مدين أو دائن فقط ✘",IF(AND(N(F2086)=0,N(G2086)=0),"بدون مبلغ ⚠",IF(B2086&gt;12,"يتجاوز 12 بنداً في الطباعة ⚠","")))))</f>
        <v/>
      </c>
    </row>
    <row r="2087" customFormat="false" ht="15" hidden="false" customHeight="false" outlineLevel="0" collapsed="false">
      <c r="A2087" s="58"/>
      <c r="B2087" s="68" t="str">
        <f aca="false">IF(A2087="","",COUNTIF(A$5:A2087,A2087))</f>
        <v/>
      </c>
      <c r="C2087" s="68" t="str">
        <f aca="false">IF(A2087="","",A2087&amp;"-"&amp;B2087)</f>
        <v/>
      </c>
      <c r="D2087" s="58"/>
      <c r="E2087" s="57"/>
      <c r="F2087" s="69"/>
      <c r="G2087" s="69"/>
      <c r="H2087" s="70" t="str">
        <f aca="false">IF(A2087="","",IFERROR(INDEX(السندات!$C$5:$C$504,MATCH(A2087,السندات!$A$5:$A$504,0)),""))</f>
        <v/>
      </c>
      <c r="I2087" s="71" t="str">
        <f aca="false">IF(A2087="","",IFERROR(INDEX(السندات!$D$5:$D$504,MATCH(A2087,السندات!$A$5:$A$504,0)),""))</f>
        <v/>
      </c>
      <c r="J2087" s="72" t="str">
        <f aca="false">IF(A2087="","",IF(ISNA(MATCH(A2087,السندات!$A$5:$A$504,0)),"رقم سند غير موجود ✘",IF(AND(F2087&lt;&gt;"",G2087&lt;&gt;""),"اكتب مدين أو دائن فقط ✘",IF(AND(N(F2087)=0,N(G2087)=0),"بدون مبلغ ⚠",IF(B2087&gt;12,"يتجاوز 12 بنداً في الطباعة ⚠","")))))</f>
        <v/>
      </c>
    </row>
    <row r="2088" customFormat="false" ht="15" hidden="false" customHeight="false" outlineLevel="0" collapsed="false">
      <c r="A2088" s="58"/>
      <c r="B2088" s="73" t="str">
        <f aca="false">IF(A2088="","",COUNTIF(A$5:A2088,A2088))</f>
        <v/>
      </c>
      <c r="C2088" s="73" t="str">
        <f aca="false">IF(A2088="","",A2088&amp;"-"&amp;B2088)</f>
        <v/>
      </c>
      <c r="D2088" s="58"/>
      <c r="E2088" s="57"/>
      <c r="F2088" s="69"/>
      <c r="G2088" s="69"/>
      <c r="H2088" s="74" t="str">
        <f aca="false">IF(A2088="","",IFERROR(INDEX(السندات!$C$5:$C$504,MATCH(A2088,السندات!$A$5:$A$504,0)),""))</f>
        <v/>
      </c>
      <c r="I2088" s="75" t="str">
        <f aca="false">IF(A2088="","",IFERROR(INDEX(السندات!$D$5:$D$504,MATCH(A2088,السندات!$A$5:$A$504,0)),""))</f>
        <v/>
      </c>
      <c r="J2088" s="76" t="str">
        <f aca="false">IF(A2088="","",IF(ISNA(MATCH(A2088,السندات!$A$5:$A$504,0)),"رقم سند غير موجود ✘",IF(AND(F2088&lt;&gt;"",G2088&lt;&gt;""),"اكتب مدين أو دائن فقط ✘",IF(AND(N(F2088)=0,N(G2088)=0),"بدون مبلغ ⚠",IF(B2088&gt;12,"يتجاوز 12 بنداً في الطباعة ⚠","")))))</f>
        <v/>
      </c>
    </row>
    <row r="2089" customFormat="false" ht="15" hidden="false" customHeight="false" outlineLevel="0" collapsed="false">
      <c r="A2089" s="58"/>
      <c r="B2089" s="68" t="str">
        <f aca="false">IF(A2089="","",COUNTIF(A$5:A2089,A2089))</f>
        <v/>
      </c>
      <c r="C2089" s="68" t="str">
        <f aca="false">IF(A2089="","",A2089&amp;"-"&amp;B2089)</f>
        <v/>
      </c>
      <c r="D2089" s="58"/>
      <c r="E2089" s="57"/>
      <c r="F2089" s="69"/>
      <c r="G2089" s="69"/>
      <c r="H2089" s="70" t="str">
        <f aca="false">IF(A2089="","",IFERROR(INDEX(السندات!$C$5:$C$504,MATCH(A2089,السندات!$A$5:$A$504,0)),""))</f>
        <v/>
      </c>
      <c r="I2089" s="71" t="str">
        <f aca="false">IF(A2089="","",IFERROR(INDEX(السندات!$D$5:$D$504,MATCH(A2089,السندات!$A$5:$A$504,0)),""))</f>
        <v/>
      </c>
      <c r="J2089" s="72" t="str">
        <f aca="false">IF(A2089="","",IF(ISNA(MATCH(A2089,السندات!$A$5:$A$504,0)),"رقم سند غير موجود ✘",IF(AND(F2089&lt;&gt;"",G2089&lt;&gt;""),"اكتب مدين أو دائن فقط ✘",IF(AND(N(F2089)=0,N(G2089)=0),"بدون مبلغ ⚠",IF(B2089&gt;12,"يتجاوز 12 بنداً في الطباعة ⚠","")))))</f>
        <v/>
      </c>
    </row>
    <row r="2090" customFormat="false" ht="15" hidden="false" customHeight="false" outlineLevel="0" collapsed="false">
      <c r="A2090" s="58"/>
      <c r="B2090" s="73" t="str">
        <f aca="false">IF(A2090="","",COUNTIF(A$5:A2090,A2090))</f>
        <v/>
      </c>
      <c r="C2090" s="73" t="str">
        <f aca="false">IF(A2090="","",A2090&amp;"-"&amp;B2090)</f>
        <v/>
      </c>
      <c r="D2090" s="58"/>
      <c r="E2090" s="57"/>
      <c r="F2090" s="69"/>
      <c r="G2090" s="69"/>
      <c r="H2090" s="74" t="str">
        <f aca="false">IF(A2090="","",IFERROR(INDEX(السندات!$C$5:$C$504,MATCH(A2090,السندات!$A$5:$A$504,0)),""))</f>
        <v/>
      </c>
      <c r="I2090" s="75" t="str">
        <f aca="false">IF(A2090="","",IFERROR(INDEX(السندات!$D$5:$D$504,MATCH(A2090,السندات!$A$5:$A$504,0)),""))</f>
        <v/>
      </c>
      <c r="J2090" s="76" t="str">
        <f aca="false">IF(A2090="","",IF(ISNA(MATCH(A2090,السندات!$A$5:$A$504,0)),"رقم سند غير موجود ✘",IF(AND(F2090&lt;&gt;"",G2090&lt;&gt;""),"اكتب مدين أو دائن فقط ✘",IF(AND(N(F2090)=0,N(G2090)=0),"بدون مبلغ ⚠",IF(B2090&gt;12,"يتجاوز 12 بنداً في الطباعة ⚠","")))))</f>
        <v/>
      </c>
    </row>
    <row r="2091" customFormat="false" ht="15" hidden="false" customHeight="false" outlineLevel="0" collapsed="false">
      <c r="A2091" s="58"/>
      <c r="B2091" s="68" t="str">
        <f aca="false">IF(A2091="","",COUNTIF(A$5:A2091,A2091))</f>
        <v/>
      </c>
      <c r="C2091" s="68" t="str">
        <f aca="false">IF(A2091="","",A2091&amp;"-"&amp;B2091)</f>
        <v/>
      </c>
      <c r="D2091" s="58"/>
      <c r="E2091" s="57"/>
      <c r="F2091" s="69"/>
      <c r="G2091" s="69"/>
      <c r="H2091" s="70" t="str">
        <f aca="false">IF(A2091="","",IFERROR(INDEX(السندات!$C$5:$C$504,MATCH(A2091,السندات!$A$5:$A$504,0)),""))</f>
        <v/>
      </c>
      <c r="I2091" s="71" t="str">
        <f aca="false">IF(A2091="","",IFERROR(INDEX(السندات!$D$5:$D$504,MATCH(A2091,السندات!$A$5:$A$504,0)),""))</f>
        <v/>
      </c>
      <c r="J2091" s="72" t="str">
        <f aca="false">IF(A2091="","",IF(ISNA(MATCH(A2091,السندات!$A$5:$A$504,0)),"رقم سند غير موجود ✘",IF(AND(F2091&lt;&gt;"",G2091&lt;&gt;""),"اكتب مدين أو دائن فقط ✘",IF(AND(N(F2091)=0,N(G2091)=0),"بدون مبلغ ⚠",IF(B2091&gt;12,"يتجاوز 12 بنداً في الطباعة ⚠","")))))</f>
        <v/>
      </c>
    </row>
    <row r="2092" customFormat="false" ht="15" hidden="false" customHeight="false" outlineLevel="0" collapsed="false">
      <c r="A2092" s="58"/>
      <c r="B2092" s="73" t="str">
        <f aca="false">IF(A2092="","",COUNTIF(A$5:A2092,A2092))</f>
        <v/>
      </c>
      <c r="C2092" s="73" t="str">
        <f aca="false">IF(A2092="","",A2092&amp;"-"&amp;B2092)</f>
        <v/>
      </c>
      <c r="D2092" s="58"/>
      <c r="E2092" s="57"/>
      <c r="F2092" s="69"/>
      <c r="G2092" s="69"/>
      <c r="H2092" s="74" t="str">
        <f aca="false">IF(A2092="","",IFERROR(INDEX(السندات!$C$5:$C$504,MATCH(A2092,السندات!$A$5:$A$504,0)),""))</f>
        <v/>
      </c>
      <c r="I2092" s="75" t="str">
        <f aca="false">IF(A2092="","",IFERROR(INDEX(السندات!$D$5:$D$504,MATCH(A2092,السندات!$A$5:$A$504,0)),""))</f>
        <v/>
      </c>
      <c r="J2092" s="76" t="str">
        <f aca="false">IF(A2092="","",IF(ISNA(MATCH(A2092,السندات!$A$5:$A$504,0)),"رقم سند غير موجود ✘",IF(AND(F2092&lt;&gt;"",G2092&lt;&gt;""),"اكتب مدين أو دائن فقط ✘",IF(AND(N(F2092)=0,N(G2092)=0),"بدون مبلغ ⚠",IF(B2092&gt;12,"يتجاوز 12 بنداً في الطباعة ⚠","")))))</f>
        <v/>
      </c>
    </row>
    <row r="2093" customFormat="false" ht="15" hidden="false" customHeight="false" outlineLevel="0" collapsed="false">
      <c r="A2093" s="58"/>
      <c r="B2093" s="68" t="str">
        <f aca="false">IF(A2093="","",COUNTIF(A$5:A2093,A2093))</f>
        <v/>
      </c>
      <c r="C2093" s="68" t="str">
        <f aca="false">IF(A2093="","",A2093&amp;"-"&amp;B2093)</f>
        <v/>
      </c>
      <c r="D2093" s="58"/>
      <c r="E2093" s="57"/>
      <c r="F2093" s="69"/>
      <c r="G2093" s="69"/>
      <c r="H2093" s="70" t="str">
        <f aca="false">IF(A2093="","",IFERROR(INDEX(السندات!$C$5:$C$504,MATCH(A2093,السندات!$A$5:$A$504,0)),""))</f>
        <v/>
      </c>
      <c r="I2093" s="71" t="str">
        <f aca="false">IF(A2093="","",IFERROR(INDEX(السندات!$D$5:$D$504,MATCH(A2093,السندات!$A$5:$A$504,0)),""))</f>
        <v/>
      </c>
      <c r="J2093" s="72" t="str">
        <f aca="false">IF(A2093="","",IF(ISNA(MATCH(A2093,السندات!$A$5:$A$504,0)),"رقم سند غير موجود ✘",IF(AND(F2093&lt;&gt;"",G2093&lt;&gt;""),"اكتب مدين أو دائن فقط ✘",IF(AND(N(F2093)=0,N(G2093)=0),"بدون مبلغ ⚠",IF(B2093&gt;12,"يتجاوز 12 بنداً في الطباعة ⚠","")))))</f>
        <v/>
      </c>
    </row>
    <row r="2094" customFormat="false" ht="15" hidden="false" customHeight="false" outlineLevel="0" collapsed="false">
      <c r="A2094" s="58"/>
      <c r="B2094" s="73" t="str">
        <f aca="false">IF(A2094="","",COUNTIF(A$5:A2094,A2094))</f>
        <v/>
      </c>
      <c r="C2094" s="73" t="str">
        <f aca="false">IF(A2094="","",A2094&amp;"-"&amp;B2094)</f>
        <v/>
      </c>
      <c r="D2094" s="58"/>
      <c r="E2094" s="57"/>
      <c r="F2094" s="69"/>
      <c r="G2094" s="69"/>
      <c r="H2094" s="74" t="str">
        <f aca="false">IF(A2094="","",IFERROR(INDEX(السندات!$C$5:$C$504,MATCH(A2094,السندات!$A$5:$A$504,0)),""))</f>
        <v/>
      </c>
      <c r="I2094" s="75" t="str">
        <f aca="false">IF(A2094="","",IFERROR(INDEX(السندات!$D$5:$D$504,MATCH(A2094,السندات!$A$5:$A$504,0)),""))</f>
        <v/>
      </c>
      <c r="J2094" s="76" t="str">
        <f aca="false">IF(A2094="","",IF(ISNA(MATCH(A2094,السندات!$A$5:$A$504,0)),"رقم سند غير موجود ✘",IF(AND(F2094&lt;&gt;"",G2094&lt;&gt;""),"اكتب مدين أو دائن فقط ✘",IF(AND(N(F2094)=0,N(G2094)=0),"بدون مبلغ ⚠",IF(B2094&gt;12,"يتجاوز 12 بنداً في الطباعة ⚠","")))))</f>
        <v/>
      </c>
    </row>
    <row r="2095" customFormat="false" ht="15" hidden="false" customHeight="false" outlineLevel="0" collapsed="false">
      <c r="A2095" s="58"/>
      <c r="B2095" s="68" t="str">
        <f aca="false">IF(A2095="","",COUNTIF(A$5:A2095,A2095))</f>
        <v/>
      </c>
      <c r="C2095" s="68" t="str">
        <f aca="false">IF(A2095="","",A2095&amp;"-"&amp;B2095)</f>
        <v/>
      </c>
      <c r="D2095" s="58"/>
      <c r="E2095" s="57"/>
      <c r="F2095" s="69"/>
      <c r="G2095" s="69"/>
      <c r="H2095" s="70" t="str">
        <f aca="false">IF(A2095="","",IFERROR(INDEX(السندات!$C$5:$C$504,MATCH(A2095,السندات!$A$5:$A$504,0)),""))</f>
        <v/>
      </c>
      <c r="I2095" s="71" t="str">
        <f aca="false">IF(A2095="","",IFERROR(INDEX(السندات!$D$5:$D$504,MATCH(A2095,السندات!$A$5:$A$504,0)),""))</f>
        <v/>
      </c>
      <c r="J2095" s="72" t="str">
        <f aca="false">IF(A2095="","",IF(ISNA(MATCH(A2095,السندات!$A$5:$A$504,0)),"رقم سند غير موجود ✘",IF(AND(F2095&lt;&gt;"",G2095&lt;&gt;""),"اكتب مدين أو دائن فقط ✘",IF(AND(N(F2095)=0,N(G2095)=0),"بدون مبلغ ⚠",IF(B2095&gt;12,"يتجاوز 12 بنداً في الطباعة ⚠","")))))</f>
        <v/>
      </c>
    </row>
    <row r="2096" customFormat="false" ht="15" hidden="false" customHeight="false" outlineLevel="0" collapsed="false">
      <c r="A2096" s="58"/>
      <c r="B2096" s="73" t="str">
        <f aca="false">IF(A2096="","",COUNTIF(A$5:A2096,A2096))</f>
        <v/>
      </c>
      <c r="C2096" s="73" t="str">
        <f aca="false">IF(A2096="","",A2096&amp;"-"&amp;B2096)</f>
        <v/>
      </c>
      <c r="D2096" s="58"/>
      <c r="E2096" s="57"/>
      <c r="F2096" s="69"/>
      <c r="G2096" s="69"/>
      <c r="H2096" s="74" t="str">
        <f aca="false">IF(A2096="","",IFERROR(INDEX(السندات!$C$5:$C$504,MATCH(A2096,السندات!$A$5:$A$504,0)),""))</f>
        <v/>
      </c>
      <c r="I2096" s="75" t="str">
        <f aca="false">IF(A2096="","",IFERROR(INDEX(السندات!$D$5:$D$504,MATCH(A2096,السندات!$A$5:$A$504,0)),""))</f>
        <v/>
      </c>
      <c r="J2096" s="76" t="str">
        <f aca="false">IF(A2096="","",IF(ISNA(MATCH(A2096,السندات!$A$5:$A$504,0)),"رقم سند غير موجود ✘",IF(AND(F2096&lt;&gt;"",G2096&lt;&gt;""),"اكتب مدين أو دائن فقط ✘",IF(AND(N(F2096)=0,N(G2096)=0),"بدون مبلغ ⚠",IF(B2096&gt;12,"يتجاوز 12 بنداً في الطباعة ⚠","")))))</f>
        <v/>
      </c>
    </row>
    <row r="2097" customFormat="false" ht="15" hidden="false" customHeight="false" outlineLevel="0" collapsed="false">
      <c r="A2097" s="58"/>
      <c r="B2097" s="68" t="str">
        <f aca="false">IF(A2097="","",COUNTIF(A$5:A2097,A2097))</f>
        <v/>
      </c>
      <c r="C2097" s="68" t="str">
        <f aca="false">IF(A2097="","",A2097&amp;"-"&amp;B2097)</f>
        <v/>
      </c>
      <c r="D2097" s="58"/>
      <c r="E2097" s="57"/>
      <c r="F2097" s="69"/>
      <c r="G2097" s="69"/>
      <c r="H2097" s="70" t="str">
        <f aca="false">IF(A2097="","",IFERROR(INDEX(السندات!$C$5:$C$504,MATCH(A2097,السندات!$A$5:$A$504,0)),""))</f>
        <v/>
      </c>
      <c r="I2097" s="71" t="str">
        <f aca="false">IF(A2097="","",IFERROR(INDEX(السندات!$D$5:$D$504,MATCH(A2097,السندات!$A$5:$A$504,0)),""))</f>
        <v/>
      </c>
      <c r="J2097" s="72" t="str">
        <f aca="false">IF(A2097="","",IF(ISNA(MATCH(A2097,السندات!$A$5:$A$504,0)),"رقم سند غير موجود ✘",IF(AND(F2097&lt;&gt;"",G2097&lt;&gt;""),"اكتب مدين أو دائن فقط ✘",IF(AND(N(F2097)=0,N(G2097)=0),"بدون مبلغ ⚠",IF(B2097&gt;12,"يتجاوز 12 بنداً في الطباعة ⚠","")))))</f>
        <v/>
      </c>
    </row>
    <row r="2098" customFormat="false" ht="15" hidden="false" customHeight="false" outlineLevel="0" collapsed="false">
      <c r="A2098" s="58"/>
      <c r="B2098" s="73" t="str">
        <f aca="false">IF(A2098="","",COUNTIF(A$5:A2098,A2098))</f>
        <v/>
      </c>
      <c r="C2098" s="73" t="str">
        <f aca="false">IF(A2098="","",A2098&amp;"-"&amp;B2098)</f>
        <v/>
      </c>
      <c r="D2098" s="58"/>
      <c r="E2098" s="57"/>
      <c r="F2098" s="69"/>
      <c r="G2098" s="69"/>
      <c r="H2098" s="74" t="str">
        <f aca="false">IF(A2098="","",IFERROR(INDEX(السندات!$C$5:$C$504,MATCH(A2098,السندات!$A$5:$A$504,0)),""))</f>
        <v/>
      </c>
      <c r="I2098" s="75" t="str">
        <f aca="false">IF(A2098="","",IFERROR(INDEX(السندات!$D$5:$D$504,MATCH(A2098,السندات!$A$5:$A$504,0)),""))</f>
        <v/>
      </c>
      <c r="J2098" s="76" t="str">
        <f aca="false">IF(A2098="","",IF(ISNA(MATCH(A2098,السندات!$A$5:$A$504,0)),"رقم سند غير موجود ✘",IF(AND(F2098&lt;&gt;"",G2098&lt;&gt;""),"اكتب مدين أو دائن فقط ✘",IF(AND(N(F2098)=0,N(G2098)=0),"بدون مبلغ ⚠",IF(B2098&gt;12,"يتجاوز 12 بنداً في الطباعة ⚠","")))))</f>
        <v/>
      </c>
    </row>
    <row r="2099" customFormat="false" ht="15" hidden="false" customHeight="false" outlineLevel="0" collapsed="false">
      <c r="A2099" s="58"/>
      <c r="B2099" s="68" t="str">
        <f aca="false">IF(A2099="","",COUNTIF(A$5:A2099,A2099))</f>
        <v/>
      </c>
      <c r="C2099" s="68" t="str">
        <f aca="false">IF(A2099="","",A2099&amp;"-"&amp;B2099)</f>
        <v/>
      </c>
      <c r="D2099" s="58"/>
      <c r="E2099" s="57"/>
      <c r="F2099" s="69"/>
      <c r="G2099" s="69"/>
      <c r="H2099" s="70" t="str">
        <f aca="false">IF(A2099="","",IFERROR(INDEX(السندات!$C$5:$C$504,MATCH(A2099,السندات!$A$5:$A$504,0)),""))</f>
        <v/>
      </c>
      <c r="I2099" s="71" t="str">
        <f aca="false">IF(A2099="","",IFERROR(INDEX(السندات!$D$5:$D$504,MATCH(A2099,السندات!$A$5:$A$504,0)),""))</f>
        <v/>
      </c>
      <c r="J2099" s="72" t="str">
        <f aca="false">IF(A2099="","",IF(ISNA(MATCH(A2099,السندات!$A$5:$A$504,0)),"رقم سند غير موجود ✘",IF(AND(F2099&lt;&gt;"",G2099&lt;&gt;""),"اكتب مدين أو دائن فقط ✘",IF(AND(N(F2099)=0,N(G2099)=0),"بدون مبلغ ⚠",IF(B2099&gt;12,"يتجاوز 12 بنداً في الطباعة ⚠","")))))</f>
        <v/>
      </c>
    </row>
    <row r="2100" customFormat="false" ht="15" hidden="false" customHeight="false" outlineLevel="0" collapsed="false">
      <c r="A2100" s="58"/>
      <c r="B2100" s="73" t="str">
        <f aca="false">IF(A2100="","",COUNTIF(A$5:A2100,A2100))</f>
        <v/>
      </c>
      <c r="C2100" s="73" t="str">
        <f aca="false">IF(A2100="","",A2100&amp;"-"&amp;B2100)</f>
        <v/>
      </c>
      <c r="D2100" s="58"/>
      <c r="E2100" s="57"/>
      <c r="F2100" s="69"/>
      <c r="G2100" s="69"/>
      <c r="H2100" s="74" t="str">
        <f aca="false">IF(A2100="","",IFERROR(INDEX(السندات!$C$5:$C$504,MATCH(A2100,السندات!$A$5:$A$504,0)),""))</f>
        <v/>
      </c>
      <c r="I2100" s="75" t="str">
        <f aca="false">IF(A2100="","",IFERROR(INDEX(السندات!$D$5:$D$504,MATCH(A2100,السندات!$A$5:$A$504,0)),""))</f>
        <v/>
      </c>
      <c r="J2100" s="76" t="str">
        <f aca="false">IF(A2100="","",IF(ISNA(MATCH(A2100,السندات!$A$5:$A$504,0)),"رقم سند غير موجود ✘",IF(AND(F2100&lt;&gt;"",G2100&lt;&gt;""),"اكتب مدين أو دائن فقط ✘",IF(AND(N(F2100)=0,N(G2100)=0),"بدون مبلغ ⚠",IF(B2100&gt;12,"يتجاوز 12 بنداً في الطباعة ⚠","")))))</f>
        <v/>
      </c>
    </row>
    <row r="2101" customFormat="false" ht="15" hidden="false" customHeight="false" outlineLevel="0" collapsed="false">
      <c r="A2101" s="58"/>
      <c r="B2101" s="68" t="str">
        <f aca="false">IF(A2101="","",COUNTIF(A$5:A2101,A2101))</f>
        <v/>
      </c>
      <c r="C2101" s="68" t="str">
        <f aca="false">IF(A2101="","",A2101&amp;"-"&amp;B2101)</f>
        <v/>
      </c>
      <c r="D2101" s="58"/>
      <c r="E2101" s="57"/>
      <c r="F2101" s="69"/>
      <c r="G2101" s="69"/>
      <c r="H2101" s="70" t="str">
        <f aca="false">IF(A2101="","",IFERROR(INDEX(السندات!$C$5:$C$504,MATCH(A2101,السندات!$A$5:$A$504,0)),""))</f>
        <v/>
      </c>
      <c r="I2101" s="71" t="str">
        <f aca="false">IF(A2101="","",IFERROR(INDEX(السندات!$D$5:$D$504,MATCH(A2101,السندات!$A$5:$A$504,0)),""))</f>
        <v/>
      </c>
      <c r="J2101" s="72" t="str">
        <f aca="false">IF(A2101="","",IF(ISNA(MATCH(A2101,السندات!$A$5:$A$504,0)),"رقم سند غير موجود ✘",IF(AND(F2101&lt;&gt;"",G2101&lt;&gt;""),"اكتب مدين أو دائن فقط ✘",IF(AND(N(F2101)=0,N(G2101)=0),"بدون مبلغ ⚠",IF(B2101&gt;12,"يتجاوز 12 بنداً في الطباعة ⚠","")))))</f>
        <v/>
      </c>
    </row>
    <row r="2102" customFormat="false" ht="15" hidden="false" customHeight="false" outlineLevel="0" collapsed="false">
      <c r="A2102" s="58"/>
      <c r="B2102" s="73" t="str">
        <f aca="false">IF(A2102="","",COUNTIF(A$5:A2102,A2102))</f>
        <v/>
      </c>
      <c r="C2102" s="73" t="str">
        <f aca="false">IF(A2102="","",A2102&amp;"-"&amp;B2102)</f>
        <v/>
      </c>
      <c r="D2102" s="58"/>
      <c r="E2102" s="57"/>
      <c r="F2102" s="69"/>
      <c r="G2102" s="69"/>
      <c r="H2102" s="74" t="str">
        <f aca="false">IF(A2102="","",IFERROR(INDEX(السندات!$C$5:$C$504,MATCH(A2102,السندات!$A$5:$A$504,0)),""))</f>
        <v/>
      </c>
      <c r="I2102" s="75" t="str">
        <f aca="false">IF(A2102="","",IFERROR(INDEX(السندات!$D$5:$D$504,MATCH(A2102,السندات!$A$5:$A$504,0)),""))</f>
        <v/>
      </c>
      <c r="J2102" s="76" t="str">
        <f aca="false">IF(A2102="","",IF(ISNA(MATCH(A2102,السندات!$A$5:$A$504,0)),"رقم سند غير موجود ✘",IF(AND(F2102&lt;&gt;"",G2102&lt;&gt;""),"اكتب مدين أو دائن فقط ✘",IF(AND(N(F2102)=0,N(G2102)=0),"بدون مبلغ ⚠",IF(B2102&gt;12,"يتجاوز 12 بنداً في الطباعة ⚠","")))))</f>
        <v/>
      </c>
    </row>
    <row r="2103" customFormat="false" ht="15" hidden="false" customHeight="false" outlineLevel="0" collapsed="false">
      <c r="A2103" s="58"/>
      <c r="B2103" s="68" t="str">
        <f aca="false">IF(A2103="","",COUNTIF(A$5:A2103,A2103))</f>
        <v/>
      </c>
      <c r="C2103" s="68" t="str">
        <f aca="false">IF(A2103="","",A2103&amp;"-"&amp;B2103)</f>
        <v/>
      </c>
      <c r="D2103" s="58"/>
      <c r="E2103" s="57"/>
      <c r="F2103" s="69"/>
      <c r="G2103" s="69"/>
      <c r="H2103" s="70" t="str">
        <f aca="false">IF(A2103="","",IFERROR(INDEX(السندات!$C$5:$C$504,MATCH(A2103,السندات!$A$5:$A$504,0)),""))</f>
        <v/>
      </c>
      <c r="I2103" s="71" t="str">
        <f aca="false">IF(A2103="","",IFERROR(INDEX(السندات!$D$5:$D$504,MATCH(A2103,السندات!$A$5:$A$504,0)),""))</f>
        <v/>
      </c>
      <c r="J2103" s="72" t="str">
        <f aca="false">IF(A2103="","",IF(ISNA(MATCH(A2103,السندات!$A$5:$A$504,0)),"رقم سند غير موجود ✘",IF(AND(F2103&lt;&gt;"",G2103&lt;&gt;""),"اكتب مدين أو دائن فقط ✘",IF(AND(N(F2103)=0,N(G2103)=0),"بدون مبلغ ⚠",IF(B2103&gt;12,"يتجاوز 12 بنداً في الطباعة ⚠","")))))</f>
        <v/>
      </c>
    </row>
    <row r="2104" customFormat="false" ht="15" hidden="false" customHeight="false" outlineLevel="0" collapsed="false">
      <c r="A2104" s="58"/>
      <c r="B2104" s="73" t="str">
        <f aca="false">IF(A2104="","",COUNTIF(A$5:A2104,A2104))</f>
        <v/>
      </c>
      <c r="C2104" s="73" t="str">
        <f aca="false">IF(A2104="","",A2104&amp;"-"&amp;B2104)</f>
        <v/>
      </c>
      <c r="D2104" s="58"/>
      <c r="E2104" s="57"/>
      <c r="F2104" s="69"/>
      <c r="G2104" s="69"/>
      <c r="H2104" s="74" t="str">
        <f aca="false">IF(A2104="","",IFERROR(INDEX(السندات!$C$5:$C$504,MATCH(A2104,السندات!$A$5:$A$504,0)),""))</f>
        <v/>
      </c>
      <c r="I2104" s="75" t="str">
        <f aca="false">IF(A2104="","",IFERROR(INDEX(السندات!$D$5:$D$504,MATCH(A2104,السندات!$A$5:$A$504,0)),""))</f>
        <v/>
      </c>
      <c r="J2104" s="76" t="str">
        <f aca="false">IF(A2104="","",IF(ISNA(MATCH(A2104,السندات!$A$5:$A$504,0)),"رقم سند غير موجود ✘",IF(AND(F2104&lt;&gt;"",G2104&lt;&gt;""),"اكتب مدين أو دائن فقط ✘",IF(AND(N(F2104)=0,N(G2104)=0),"بدون مبلغ ⚠",IF(B2104&gt;12,"يتجاوز 12 بنداً في الطباعة ⚠","")))))</f>
        <v/>
      </c>
    </row>
    <row r="2105" customFormat="false" ht="15" hidden="false" customHeight="false" outlineLevel="0" collapsed="false">
      <c r="A2105" s="58"/>
      <c r="B2105" s="68" t="str">
        <f aca="false">IF(A2105="","",COUNTIF(A$5:A2105,A2105))</f>
        <v/>
      </c>
      <c r="C2105" s="68" t="str">
        <f aca="false">IF(A2105="","",A2105&amp;"-"&amp;B2105)</f>
        <v/>
      </c>
      <c r="D2105" s="58"/>
      <c r="E2105" s="57"/>
      <c r="F2105" s="69"/>
      <c r="G2105" s="69"/>
      <c r="H2105" s="70" t="str">
        <f aca="false">IF(A2105="","",IFERROR(INDEX(السندات!$C$5:$C$504,MATCH(A2105,السندات!$A$5:$A$504,0)),""))</f>
        <v/>
      </c>
      <c r="I2105" s="71" t="str">
        <f aca="false">IF(A2105="","",IFERROR(INDEX(السندات!$D$5:$D$504,MATCH(A2105,السندات!$A$5:$A$504,0)),""))</f>
        <v/>
      </c>
      <c r="J2105" s="72" t="str">
        <f aca="false">IF(A2105="","",IF(ISNA(MATCH(A2105,السندات!$A$5:$A$504,0)),"رقم سند غير موجود ✘",IF(AND(F2105&lt;&gt;"",G2105&lt;&gt;""),"اكتب مدين أو دائن فقط ✘",IF(AND(N(F2105)=0,N(G2105)=0),"بدون مبلغ ⚠",IF(B2105&gt;12,"يتجاوز 12 بنداً في الطباعة ⚠","")))))</f>
        <v/>
      </c>
    </row>
    <row r="2106" customFormat="false" ht="15" hidden="false" customHeight="false" outlineLevel="0" collapsed="false">
      <c r="A2106" s="58"/>
      <c r="B2106" s="73" t="str">
        <f aca="false">IF(A2106="","",COUNTIF(A$5:A2106,A2106))</f>
        <v/>
      </c>
      <c r="C2106" s="73" t="str">
        <f aca="false">IF(A2106="","",A2106&amp;"-"&amp;B2106)</f>
        <v/>
      </c>
      <c r="D2106" s="58"/>
      <c r="E2106" s="57"/>
      <c r="F2106" s="69"/>
      <c r="G2106" s="69"/>
      <c r="H2106" s="74" t="str">
        <f aca="false">IF(A2106="","",IFERROR(INDEX(السندات!$C$5:$C$504,MATCH(A2106,السندات!$A$5:$A$504,0)),""))</f>
        <v/>
      </c>
      <c r="I2106" s="75" t="str">
        <f aca="false">IF(A2106="","",IFERROR(INDEX(السندات!$D$5:$D$504,MATCH(A2106,السندات!$A$5:$A$504,0)),""))</f>
        <v/>
      </c>
      <c r="J2106" s="76" t="str">
        <f aca="false">IF(A2106="","",IF(ISNA(MATCH(A2106,السندات!$A$5:$A$504,0)),"رقم سند غير موجود ✘",IF(AND(F2106&lt;&gt;"",G2106&lt;&gt;""),"اكتب مدين أو دائن فقط ✘",IF(AND(N(F2106)=0,N(G2106)=0),"بدون مبلغ ⚠",IF(B2106&gt;12,"يتجاوز 12 بنداً في الطباعة ⚠","")))))</f>
        <v/>
      </c>
    </row>
    <row r="2107" customFormat="false" ht="15" hidden="false" customHeight="false" outlineLevel="0" collapsed="false">
      <c r="A2107" s="58"/>
      <c r="B2107" s="68" t="str">
        <f aca="false">IF(A2107="","",COUNTIF(A$5:A2107,A2107))</f>
        <v/>
      </c>
      <c r="C2107" s="68" t="str">
        <f aca="false">IF(A2107="","",A2107&amp;"-"&amp;B2107)</f>
        <v/>
      </c>
      <c r="D2107" s="58"/>
      <c r="E2107" s="57"/>
      <c r="F2107" s="69"/>
      <c r="G2107" s="69"/>
      <c r="H2107" s="70" t="str">
        <f aca="false">IF(A2107="","",IFERROR(INDEX(السندات!$C$5:$C$504,MATCH(A2107,السندات!$A$5:$A$504,0)),""))</f>
        <v/>
      </c>
      <c r="I2107" s="71" t="str">
        <f aca="false">IF(A2107="","",IFERROR(INDEX(السندات!$D$5:$D$504,MATCH(A2107,السندات!$A$5:$A$504,0)),""))</f>
        <v/>
      </c>
      <c r="J2107" s="72" t="str">
        <f aca="false">IF(A2107="","",IF(ISNA(MATCH(A2107,السندات!$A$5:$A$504,0)),"رقم سند غير موجود ✘",IF(AND(F2107&lt;&gt;"",G2107&lt;&gt;""),"اكتب مدين أو دائن فقط ✘",IF(AND(N(F2107)=0,N(G2107)=0),"بدون مبلغ ⚠",IF(B2107&gt;12,"يتجاوز 12 بنداً في الطباعة ⚠","")))))</f>
        <v/>
      </c>
    </row>
    <row r="2108" customFormat="false" ht="15" hidden="false" customHeight="false" outlineLevel="0" collapsed="false">
      <c r="A2108" s="58"/>
      <c r="B2108" s="73" t="str">
        <f aca="false">IF(A2108="","",COUNTIF(A$5:A2108,A2108))</f>
        <v/>
      </c>
      <c r="C2108" s="73" t="str">
        <f aca="false">IF(A2108="","",A2108&amp;"-"&amp;B2108)</f>
        <v/>
      </c>
      <c r="D2108" s="58"/>
      <c r="E2108" s="57"/>
      <c r="F2108" s="69"/>
      <c r="G2108" s="69"/>
      <c r="H2108" s="74" t="str">
        <f aca="false">IF(A2108="","",IFERROR(INDEX(السندات!$C$5:$C$504,MATCH(A2108,السندات!$A$5:$A$504,0)),""))</f>
        <v/>
      </c>
      <c r="I2108" s="75" t="str">
        <f aca="false">IF(A2108="","",IFERROR(INDEX(السندات!$D$5:$D$504,MATCH(A2108,السندات!$A$5:$A$504,0)),""))</f>
        <v/>
      </c>
      <c r="J2108" s="76" t="str">
        <f aca="false">IF(A2108="","",IF(ISNA(MATCH(A2108,السندات!$A$5:$A$504,0)),"رقم سند غير موجود ✘",IF(AND(F2108&lt;&gt;"",G2108&lt;&gt;""),"اكتب مدين أو دائن فقط ✘",IF(AND(N(F2108)=0,N(G2108)=0),"بدون مبلغ ⚠",IF(B2108&gt;12,"يتجاوز 12 بنداً في الطباعة ⚠","")))))</f>
        <v/>
      </c>
    </row>
    <row r="2109" customFormat="false" ht="15" hidden="false" customHeight="false" outlineLevel="0" collapsed="false">
      <c r="A2109" s="58"/>
      <c r="B2109" s="68" t="str">
        <f aca="false">IF(A2109="","",COUNTIF(A$5:A2109,A2109))</f>
        <v/>
      </c>
      <c r="C2109" s="68" t="str">
        <f aca="false">IF(A2109="","",A2109&amp;"-"&amp;B2109)</f>
        <v/>
      </c>
      <c r="D2109" s="58"/>
      <c r="E2109" s="57"/>
      <c r="F2109" s="69"/>
      <c r="G2109" s="69"/>
      <c r="H2109" s="70" t="str">
        <f aca="false">IF(A2109="","",IFERROR(INDEX(السندات!$C$5:$C$504,MATCH(A2109,السندات!$A$5:$A$504,0)),""))</f>
        <v/>
      </c>
      <c r="I2109" s="71" t="str">
        <f aca="false">IF(A2109="","",IFERROR(INDEX(السندات!$D$5:$D$504,MATCH(A2109,السندات!$A$5:$A$504,0)),""))</f>
        <v/>
      </c>
      <c r="J2109" s="72" t="str">
        <f aca="false">IF(A2109="","",IF(ISNA(MATCH(A2109,السندات!$A$5:$A$504,0)),"رقم سند غير موجود ✘",IF(AND(F2109&lt;&gt;"",G2109&lt;&gt;""),"اكتب مدين أو دائن فقط ✘",IF(AND(N(F2109)=0,N(G2109)=0),"بدون مبلغ ⚠",IF(B2109&gt;12,"يتجاوز 12 بنداً في الطباعة ⚠","")))))</f>
        <v/>
      </c>
    </row>
    <row r="2110" customFormat="false" ht="15" hidden="false" customHeight="false" outlineLevel="0" collapsed="false">
      <c r="A2110" s="58"/>
      <c r="B2110" s="73" t="str">
        <f aca="false">IF(A2110="","",COUNTIF(A$5:A2110,A2110))</f>
        <v/>
      </c>
      <c r="C2110" s="73" t="str">
        <f aca="false">IF(A2110="","",A2110&amp;"-"&amp;B2110)</f>
        <v/>
      </c>
      <c r="D2110" s="58"/>
      <c r="E2110" s="57"/>
      <c r="F2110" s="69"/>
      <c r="G2110" s="69"/>
      <c r="H2110" s="74" t="str">
        <f aca="false">IF(A2110="","",IFERROR(INDEX(السندات!$C$5:$C$504,MATCH(A2110,السندات!$A$5:$A$504,0)),""))</f>
        <v/>
      </c>
      <c r="I2110" s="75" t="str">
        <f aca="false">IF(A2110="","",IFERROR(INDEX(السندات!$D$5:$D$504,MATCH(A2110,السندات!$A$5:$A$504,0)),""))</f>
        <v/>
      </c>
      <c r="J2110" s="76" t="str">
        <f aca="false">IF(A2110="","",IF(ISNA(MATCH(A2110,السندات!$A$5:$A$504,0)),"رقم سند غير موجود ✘",IF(AND(F2110&lt;&gt;"",G2110&lt;&gt;""),"اكتب مدين أو دائن فقط ✘",IF(AND(N(F2110)=0,N(G2110)=0),"بدون مبلغ ⚠",IF(B2110&gt;12,"يتجاوز 12 بنداً في الطباعة ⚠","")))))</f>
        <v/>
      </c>
    </row>
    <row r="2111" customFormat="false" ht="15" hidden="false" customHeight="false" outlineLevel="0" collapsed="false">
      <c r="A2111" s="58"/>
      <c r="B2111" s="68" t="str">
        <f aca="false">IF(A2111="","",COUNTIF(A$5:A2111,A2111))</f>
        <v/>
      </c>
      <c r="C2111" s="68" t="str">
        <f aca="false">IF(A2111="","",A2111&amp;"-"&amp;B2111)</f>
        <v/>
      </c>
      <c r="D2111" s="58"/>
      <c r="E2111" s="57"/>
      <c r="F2111" s="69"/>
      <c r="G2111" s="69"/>
      <c r="H2111" s="70" t="str">
        <f aca="false">IF(A2111="","",IFERROR(INDEX(السندات!$C$5:$C$504,MATCH(A2111,السندات!$A$5:$A$504,0)),""))</f>
        <v/>
      </c>
      <c r="I2111" s="71" t="str">
        <f aca="false">IF(A2111="","",IFERROR(INDEX(السندات!$D$5:$D$504,MATCH(A2111,السندات!$A$5:$A$504,0)),""))</f>
        <v/>
      </c>
      <c r="J2111" s="72" t="str">
        <f aca="false">IF(A2111="","",IF(ISNA(MATCH(A2111,السندات!$A$5:$A$504,0)),"رقم سند غير موجود ✘",IF(AND(F2111&lt;&gt;"",G2111&lt;&gt;""),"اكتب مدين أو دائن فقط ✘",IF(AND(N(F2111)=0,N(G2111)=0),"بدون مبلغ ⚠",IF(B2111&gt;12,"يتجاوز 12 بنداً في الطباعة ⚠","")))))</f>
        <v/>
      </c>
    </row>
    <row r="2112" customFormat="false" ht="15" hidden="false" customHeight="false" outlineLevel="0" collapsed="false">
      <c r="A2112" s="58"/>
      <c r="B2112" s="73" t="str">
        <f aca="false">IF(A2112="","",COUNTIF(A$5:A2112,A2112))</f>
        <v/>
      </c>
      <c r="C2112" s="73" t="str">
        <f aca="false">IF(A2112="","",A2112&amp;"-"&amp;B2112)</f>
        <v/>
      </c>
      <c r="D2112" s="58"/>
      <c r="E2112" s="57"/>
      <c r="F2112" s="69"/>
      <c r="G2112" s="69"/>
      <c r="H2112" s="74" t="str">
        <f aca="false">IF(A2112="","",IFERROR(INDEX(السندات!$C$5:$C$504,MATCH(A2112,السندات!$A$5:$A$504,0)),""))</f>
        <v/>
      </c>
      <c r="I2112" s="75" t="str">
        <f aca="false">IF(A2112="","",IFERROR(INDEX(السندات!$D$5:$D$504,MATCH(A2112,السندات!$A$5:$A$504,0)),""))</f>
        <v/>
      </c>
      <c r="J2112" s="76" t="str">
        <f aca="false">IF(A2112="","",IF(ISNA(MATCH(A2112,السندات!$A$5:$A$504,0)),"رقم سند غير موجود ✘",IF(AND(F2112&lt;&gt;"",G2112&lt;&gt;""),"اكتب مدين أو دائن فقط ✘",IF(AND(N(F2112)=0,N(G2112)=0),"بدون مبلغ ⚠",IF(B2112&gt;12,"يتجاوز 12 بنداً في الطباعة ⚠","")))))</f>
        <v/>
      </c>
    </row>
    <row r="2113" customFormat="false" ht="15" hidden="false" customHeight="false" outlineLevel="0" collapsed="false">
      <c r="A2113" s="58"/>
      <c r="B2113" s="68" t="str">
        <f aca="false">IF(A2113="","",COUNTIF(A$5:A2113,A2113))</f>
        <v/>
      </c>
      <c r="C2113" s="68" t="str">
        <f aca="false">IF(A2113="","",A2113&amp;"-"&amp;B2113)</f>
        <v/>
      </c>
      <c r="D2113" s="58"/>
      <c r="E2113" s="57"/>
      <c r="F2113" s="69"/>
      <c r="G2113" s="69"/>
      <c r="H2113" s="70" t="str">
        <f aca="false">IF(A2113="","",IFERROR(INDEX(السندات!$C$5:$C$504,MATCH(A2113,السندات!$A$5:$A$504,0)),""))</f>
        <v/>
      </c>
      <c r="I2113" s="71" t="str">
        <f aca="false">IF(A2113="","",IFERROR(INDEX(السندات!$D$5:$D$504,MATCH(A2113,السندات!$A$5:$A$504,0)),""))</f>
        <v/>
      </c>
      <c r="J2113" s="72" t="str">
        <f aca="false">IF(A2113="","",IF(ISNA(MATCH(A2113,السندات!$A$5:$A$504,0)),"رقم سند غير موجود ✘",IF(AND(F2113&lt;&gt;"",G2113&lt;&gt;""),"اكتب مدين أو دائن فقط ✘",IF(AND(N(F2113)=0,N(G2113)=0),"بدون مبلغ ⚠",IF(B2113&gt;12,"يتجاوز 12 بنداً في الطباعة ⚠","")))))</f>
        <v/>
      </c>
    </row>
    <row r="2114" customFormat="false" ht="15" hidden="false" customHeight="false" outlineLevel="0" collapsed="false">
      <c r="A2114" s="58"/>
      <c r="B2114" s="73" t="str">
        <f aca="false">IF(A2114="","",COUNTIF(A$5:A2114,A2114))</f>
        <v/>
      </c>
      <c r="C2114" s="73" t="str">
        <f aca="false">IF(A2114="","",A2114&amp;"-"&amp;B2114)</f>
        <v/>
      </c>
      <c r="D2114" s="58"/>
      <c r="E2114" s="57"/>
      <c r="F2114" s="69"/>
      <c r="G2114" s="69"/>
      <c r="H2114" s="74" t="str">
        <f aca="false">IF(A2114="","",IFERROR(INDEX(السندات!$C$5:$C$504,MATCH(A2114,السندات!$A$5:$A$504,0)),""))</f>
        <v/>
      </c>
      <c r="I2114" s="75" t="str">
        <f aca="false">IF(A2114="","",IFERROR(INDEX(السندات!$D$5:$D$504,MATCH(A2114,السندات!$A$5:$A$504,0)),""))</f>
        <v/>
      </c>
      <c r="J2114" s="76" t="str">
        <f aca="false">IF(A2114="","",IF(ISNA(MATCH(A2114,السندات!$A$5:$A$504,0)),"رقم سند غير موجود ✘",IF(AND(F2114&lt;&gt;"",G2114&lt;&gt;""),"اكتب مدين أو دائن فقط ✘",IF(AND(N(F2114)=0,N(G2114)=0),"بدون مبلغ ⚠",IF(B2114&gt;12,"يتجاوز 12 بنداً في الطباعة ⚠","")))))</f>
        <v/>
      </c>
    </row>
    <row r="2115" customFormat="false" ht="15" hidden="false" customHeight="false" outlineLevel="0" collapsed="false">
      <c r="A2115" s="58"/>
      <c r="B2115" s="68" t="str">
        <f aca="false">IF(A2115="","",COUNTIF(A$5:A2115,A2115))</f>
        <v/>
      </c>
      <c r="C2115" s="68" t="str">
        <f aca="false">IF(A2115="","",A2115&amp;"-"&amp;B2115)</f>
        <v/>
      </c>
      <c r="D2115" s="58"/>
      <c r="E2115" s="57"/>
      <c r="F2115" s="69"/>
      <c r="G2115" s="69"/>
      <c r="H2115" s="70" t="str">
        <f aca="false">IF(A2115="","",IFERROR(INDEX(السندات!$C$5:$C$504,MATCH(A2115,السندات!$A$5:$A$504,0)),""))</f>
        <v/>
      </c>
      <c r="I2115" s="71" t="str">
        <f aca="false">IF(A2115="","",IFERROR(INDEX(السندات!$D$5:$D$504,MATCH(A2115,السندات!$A$5:$A$504,0)),""))</f>
        <v/>
      </c>
      <c r="J2115" s="72" t="str">
        <f aca="false">IF(A2115="","",IF(ISNA(MATCH(A2115,السندات!$A$5:$A$504,0)),"رقم سند غير موجود ✘",IF(AND(F2115&lt;&gt;"",G2115&lt;&gt;""),"اكتب مدين أو دائن فقط ✘",IF(AND(N(F2115)=0,N(G2115)=0),"بدون مبلغ ⚠",IF(B2115&gt;12,"يتجاوز 12 بنداً في الطباعة ⚠","")))))</f>
        <v/>
      </c>
    </row>
    <row r="2116" customFormat="false" ht="15" hidden="false" customHeight="false" outlineLevel="0" collapsed="false">
      <c r="A2116" s="58"/>
      <c r="B2116" s="73" t="str">
        <f aca="false">IF(A2116="","",COUNTIF(A$5:A2116,A2116))</f>
        <v/>
      </c>
      <c r="C2116" s="73" t="str">
        <f aca="false">IF(A2116="","",A2116&amp;"-"&amp;B2116)</f>
        <v/>
      </c>
      <c r="D2116" s="58"/>
      <c r="E2116" s="57"/>
      <c r="F2116" s="69"/>
      <c r="G2116" s="69"/>
      <c r="H2116" s="74" t="str">
        <f aca="false">IF(A2116="","",IFERROR(INDEX(السندات!$C$5:$C$504,MATCH(A2116,السندات!$A$5:$A$504,0)),""))</f>
        <v/>
      </c>
      <c r="I2116" s="75" t="str">
        <f aca="false">IF(A2116="","",IFERROR(INDEX(السندات!$D$5:$D$504,MATCH(A2116,السندات!$A$5:$A$504,0)),""))</f>
        <v/>
      </c>
      <c r="J2116" s="76" t="str">
        <f aca="false">IF(A2116="","",IF(ISNA(MATCH(A2116,السندات!$A$5:$A$504,0)),"رقم سند غير موجود ✘",IF(AND(F2116&lt;&gt;"",G2116&lt;&gt;""),"اكتب مدين أو دائن فقط ✘",IF(AND(N(F2116)=0,N(G2116)=0),"بدون مبلغ ⚠",IF(B2116&gt;12,"يتجاوز 12 بنداً في الطباعة ⚠","")))))</f>
        <v/>
      </c>
    </row>
    <row r="2117" customFormat="false" ht="15" hidden="false" customHeight="false" outlineLevel="0" collapsed="false">
      <c r="A2117" s="58"/>
      <c r="B2117" s="68" t="str">
        <f aca="false">IF(A2117="","",COUNTIF(A$5:A2117,A2117))</f>
        <v/>
      </c>
      <c r="C2117" s="68" t="str">
        <f aca="false">IF(A2117="","",A2117&amp;"-"&amp;B2117)</f>
        <v/>
      </c>
      <c r="D2117" s="58"/>
      <c r="E2117" s="57"/>
      <c r="F2117" s="69"/>
      <c r="G2117" s="69"/>
      <c r="H2117" s="70" t="str">
        <f aca="false">IF(A2117="","",IFERROR(INDEX(السندات!$C$5:$C$504,MATCH(A2117,السندات!$A$5:$A$504,0)),""))</f>
        <v/>
      </c>
      <c r="I2117" s="71" t="str">
        <f aca="false">IF(A2117="","",IFERROR(INDEX(السندات!$D$5:$D$504,MATCH(A2117,السندات!$A$5:$A$504,0)),""))</f>
        <v/>
      </c>
      <c r="J2117" s="72" t="str">
        <f aca="false">IF(A2117="","",IF(ISNA(MATCH(A2117,السندات!$A$5:$A$504,0)),"رقم سند غير موجود ✘",IF(AND(F2117&lt;&gt;"",G2117&lt;&gt;""),"اكتب مدين أو دائن فقط ✘",IF(AND(N(F2117)=0,N(G2117)=0),"بدون مبلغ ⚠",IF(B2117&gt;12,"يتجاوز 12 بنداً في الطباعة ⚠","")))))</f>
        <v/>
      </c>
    </row>
    <row r="2118" customFormat="false" ht="15" hidden="false" customHeight="false" outlineLevel="0" collapsed="false">
      <c r="A2118" s="58"/>
      <c r="B2118" s="73" t="str">
        <f aca="false">IF(A2118="","",COUNTIF(A$5:A2118,A2118))</f>
        <v/>
      </c>
      <c r="C2118" s="73" t="str">
        <f aca="false">IF(A2118="","",A2118&amp;"-"&amp;B2118)</f>
        <v/>
      </c>
      <c r="D2118" s="58"/>
      <c r="E2118" s="57"/>
      <c r="F2118" s="69"/>
      <c r="G2118" s="69"/>
      <c r="H2118" s="74" t="str">
        <f aca="false">IF(A2118="","",IFERROR(INDEX(السندات!$C$5:$C$504,MATCH(A2118,السندات!$A$5:$A$504,0)),""))</f>
        <v/>
      </c>
      <c r="I2118" s="75" t="str">
        <f aca="false">IF(A2118="","",IFERROR(INDEX(السندات!$D$5:$D$504,MATCH(A2118,السندات!$A$5:$A$504,0)),""))</f>
        <v/>
      </c>
      <c r="J2118" s="76" t="str">
        <f aca="false">IF(A2118="","",IF(ISNA(MATCH(A2118,السندات!$A$5:$A$504,0)),"رقم سند غير موجود ✘",IF(AND(F2118&lt;&gt;"",G2118&lt;&gt;""),"اكتب مدين أو دائن فقط ✘",IF(AND(N(F2118)=0,N(G2118)=0),"بدون مبلغ ⚠",IF(B2118&gt;12,"يتجاوز 12 بنداً في الطباعة ⚠","")))))</f>
        <v/>
      </c>
    </row>
    <row r="2119" customFormat="false" ht="15" hidden="false" customHeight="false" outlineLevel="0" collapsed="false">
      <c r="A2119" s="58"/>
      <c r="B2119" s="68" t="str">
        <f aca="false">IF(A2119="","",COUNTIF(A$5:A2119,A2119))</f>
        <v/>
      </c>
      <c r="C2119" s="68" t="str">
        <f aca="false">IF(A2119="","",A2119&amp;"-"&amp;B2119)</f>
        <v/>
      </c>
      <c r="D2119" s="58"/>
      <c r="E2119" s="57"/>
      <c r="F2119" s="69"/>
      <c r="G2119" s="69"/>
      <c r="H2119" s="70" t="str">
        <f aca="false">IF(A2119="","",IFERROR(INDEX(السندات!$C$5:$C$504,MATCH(A2119,السندات!$A$5:$A$504,0)),""))</f>
        <v/>
      </c>
      <c r="I2119" s="71" t="str">
        <f aca="false">IF(A2119="","",IFERROR(INDEX(السندات!$D$5:$D$504,MATCH(A2119,السندات!$A$5:$A$504,0)),""))</f>
        <v/>
      </c>
      <c r="J2119" s="72" t="str">
        <f aca="false">IF(A2119="","",IF(ISNA(MATCH(A2119,السندات!$A$5:$A$504,0)),"رقم سند غير موجود ✘",IF(AND(F2119&lt;&gt;"",G2119&lt;&gt;""),"اكتب مدين أو دائن فقط ✘",IF(AND(N(F2119)=0,N(G2119)=0),"بدون مبلغ ⚠",IF(B2119&gt;12,"يتجاوز 12 بنداً في الطباعة ⚠","")))))</f>
        <v/>
      </c>
    </row>
    <row r="2120" customFormat="false" ht="15" hidden="false" customHeight="false" outlineLevel="0" collapsed="false">
      <c r="A2120" s="58"/>
      <c r="B2120" s="73" t="str">
        <f aca="false">IF(A2120="","",COUNTIF(A$5:A2120,A2120))</f>
        <v/>
      </c>
      <c r="C2120" s="73" t="str">
        <f aca="false">IF(A2120="","",A2120&amp;"-"&amp;B2120)</f>
        <v/>
      </c>
      <c r="D2120" s="58"/>
      <c r="E2120" s="57"/>
      <c r="F2120" s="69"/>
      <c r="G2120" s="69"/>
      <c r="H2120" s="74" t="str">
        <f aca="false">IF(A2120="","",IFERROR(INDEX(السندات!$C$5:$C$504,MATCH(A2120,السندات!$A$5:$A$504,0)),""))</f>
        <v/>
      </c>
      <c r="I2120" s="75" t="str">
        <f aca="false">IF(A2120="","",IFERROR(INDEX(السندات!$D$5:$D$504,MATCH(A2120,السندات!$A$5:$A$504,0)),""))</f>
        <v/>
      </c>
      <c r="J2120" s="76" t="str">
        <f aca="false">IF(A2120="","",IF(ISNA(MATCH(A2120,السندات!$A$5:$A$504,0)),"رقم سند غير موجود ✘",IF(AND(F2120&lt;&gt;"",G2120&lt;&gt;""),"اكتب مدين أو دائن فقط ✘",IF(AND(N(F2120)=0,N(G2120)=0),"بدون مبلغ ⚠",IF(B2120&gt;12,"يتجاوز 12 بنداً في الطباعة ⚠","")))))</f>
        <v/>
      </c>
    </row>
    <row r="2121" customFormat="false" ht="15" hidden="false" customHeight="false" outlineLevel="0" collapsed="false">
      <c r="A2121" s="58"/>
      <c r="B2121" s="68" t="str">
        <f aca="false">IF(A2121="","",COUNTIF(A$5:A2121,A2121))</f>
        <v/>
      </c>
      <c r="C2121" s="68" t="str">
        <f aca="false">IF(A2121="","",A2121&amp;"-"&amp;B2121)</f>
        <v/>
      </c>
      <c r="D2121" s="58"/>
      <c r="E2121" s="57"/>
      <c r="F2121" s="69"/>
      <c r="G2121" s="69"/>
      <c r="H2121" s="70" t="str">
        <f aca="false">IF(A2121="","",IFERROR(INDEX(السندات!$C$5:$C$504,MATCH(A2121,السندات!$A$5:$A$504,0)),""))</f>
        <v/>
      </c>
      <c r="I2121" s="71" t="str">
        <f aca="false">IF(A2121="","",IFERROR(INDEX(السندات!$D$5:$D$504,MATCH(A2121,السندات!$A$5:$A$504,0)),""))</f>
        <v/>
      </c>
      <c r="J2121" s="72" t="str">
        <f aca="false">IF(A2121="","",IF(ISNA(MATCH(A2121,السندات!$A$5:$A$504,0)),"رقم سند غير موجود ✘",IF(AND(F2121&lt;&gt;"",G2121&lt;&gt;""),"اكتب مدين أو دائن فقط ✘",IF(AND(N(F2121)=0,N(G2121)=0),"بدون مبلغ ⚠",IF(B2121&gt;12,"يتجاوز 12 بنداً في الطباعة ⚠","")))))</f>
        <v/>
      </c>
    </row>
    <row r="2122" customFormat="false" ht="15" hidden="false" customHeight="false" outlineLevel="0" collapsed="false">
      <c r="A2122" s="58"/>
      <c r="B2122" s="73" t="str">
        <f aca="false">IF(A2122="","",COUNTIF(A$5:A2122,A2122))</f>
        <v/>
      </c>
      <c r="C2122" s="73" t="str">
        <f aca="false">IF(A2122="","",A2122&amp;"-"&amp;B2122)</f>
        <v/>
      </c>
      <c r="D2122" s="58"/>
      <c r="E2122" s="57"/>
      <c r="F2122" s="69"/>
      <c r="G2122" s="69"/>
      <c r="H2122" s="74" t="str">
        <f aca="false">IF(A2122="","",IFERROR(INDEX(السندات!$C$5:$C$504,MATCH(A2122,السندات!$A$5:$A$504,0)),""))</f>
        <v/>
      </c>
      <c r="I2122" s="75" t="str">
        <f aca="false">IF(A2122="","",IFERROR(INDEX(السندات!$D$5:$D$504,MATCH(A2122,السندات!$A$5:$A$504,0)),""))</f>
        <v/>
      </c>
      <c r="J2122" s="76" t="str">
        <f aca="false">IF(A2122="","",IF(ISNA(MATCH(A2122,السندات!$A$5:$A$504,0)),"رقم سند غير موجود ✘",IF(AND(F2122&lt;&gt;"",G2122&lt;&gt;""),"اكتب مدين أو دائن فقط ✘",IF(AND(N(F2122)=0,N(G2122)=0),"بدون مبلغ ⚠",IF(B2122&gt;12,"يتجاوز 12 بنداً في الطباعة ⚠","")))))</f>
        <v/>
      </c>
    </row>
    <row r="2123" customFormat="false" ht="15" hidden="false" customHeight="false" outlineLevel="0" collapsed="false">
      <c r="A2123" s="58"/>
      <c r="B2123" s="68" t="str">
        <f aca="false">IF(A2123="","",COUNTIF(A$5:A2123,A2123))</f>
        <v/>
      </c>
      <c r="C2123" s="68" t="str">
        <f aca="false">IF(A2123="","",A2123&amp;"-"&amp;B2123)</f>
        <v/>
      </c>
      <c r="D2123" s="58"/>
      <c r="E2123" s="57"/>
      <c r="F2123" s="69"/>
      <c r="G2123" s="69"/>
      <c r="H2123" s="70" t="str">
        <f aca="false">IF(A2123="","",IFERROR(INDEX(السندات!$C$5:$C$504,MATCH(A2123,السندات!$A$5:$A$504,0)),""))</f>
        <v/>
      </c>
      <c r="I2123" s="71" t="str">
        <f aca="false">IF(A2123="","",IFERROR(INDEX(السندات!$D$5:$D$504,MATCH(A2123,السندات!$A$5:$A$504,0)),""))</f>
        <v/>
      </c>
      <c r="J2123" s="72" t="str">
        <f aca="false">IF(A2123="","",IF(ISNA(MATCH(A2123,السندات!$A$5:$A$504,0)),"رقم سند غير موجود ✘",IF(AND(F2123&lt;&gt;"",G2123&lt;&gt;""),"اكتب مدين أو دائن فقط ✘",IF(AND(N(F2123)=0,N(G2123)=0),"بدون مبلغ ⚠",IF(B2123&gt;12,"يتجاوز 12 بنداً في الطباعة ⚠","")))))</f>
        <v/>
      </c>
    </row>
    <row r="2124" customFormat="false" ht="15" hidden="false" customHeight="false" outlineLevel="0" collapsed="false">
      <c r="A2124" s="58"/>
      <c r="B2124" s="73" t="str">
        <f aca="false">IF(A2124="","",COUNTIF(A$5:A2124,A2124))</f>
        <v/>
      </c>
      <c r="C2124" s="73" t="str">
        <f aca="false">IF(A2124="","",A2124&amp;"-"&amp;B2124)</f>
        <v/>
      </c>
      <c r="D2124" s="58"/>
      <c r="E2124" s="57"/>
      <c r="F2124" s="69"/>
      <c r="G2124" s="69"/>
      <c r="H2124" s="74" t="str">
        <f aca="false">IF(A2124="","",IFERROR(INDEX(السندات!$C$5:$C$504,MATCH(A2124,السندات!$A$5:$A$504,0)),""))</f>
        <v/>
      </c>
      <c r="I2124" s="75" t="str">
        <f aca="false">IF(A2124="","",IFERROR(INDEX(السندات!$D$5:$D$504,MATCH(A2124,السندات!$A$5:$A$504,0)),""))</f>
        <v/>
      </c>
      <c r="J2124" s="76" t="str">
        <f aca="false">IF(A2124="","",IF(ISNA(MATCH(A2124,السندات!$A$5:$A$504,0)),"رقم سند غير موجود ✘",IF(AND(F2124&lt;&gt;"",G2124&lt;&gt;""),"اكتب مدين أو دائن فقط ✘",IF(AND(N(F2124)=0,N(G2124)=0),"بدون مبلغ ⚠",IF(B2124&gt;12,"يتجاوز 12 بنداً في الطباعة ⚠","")))))</f>
        <v/>
      </c>
    </row>
    <row r="2125" customFormat="false" ht="15" hidden="false" customHeight="false" outlineLevel="0" collapsed="false">
      <c r="A2125" s="58"/>
      <c r="B2125" s="68" t="str">
        <f aca="false">IF(A2125="","",COUNTIF(A$5:A2125,A2125))</f>
        <v/>
      </c>
      <c r="C2125" s="68" t="str">
        <f aca="false">IF(A2125="","",A2125&amp;"-"&amp;B2125)</f>
        <v/>
      </c>
      <c r="D2125" s="58"/>
      <c r="E2125" s="57"/>
      <c r="F2125" s="69"/>
      <c r="G2125" s="69"/>
      <c r="H2125" s="70" t="str">
        <f aca="false">IF(A2125="","",IFERROR(INDEX(السندات!$C$5:$C$504,MATCH(A2125,السندات!$A$5:$A$504,0)),""))</f>
        <v/>
      </c>
      <c r="I2125" s="71" t="str">
        <f aca="false">IF(A2125="","",IFERROR(INDEX(السندات!$D$5:$D$504,MATCH(A2125,السندات!$A$5:$A$504,0)),""))</f>
        <v/>
      </c>
      <c r="J2125" s="72" t="str">
        <f aca="false">IF(A2125="","",IF(ISNA(MATCH(A2125,السندات!$A$5:$A$504,0)),"رقم سند غير موجود ✘",IF(AND(F2125&lt;&gt;"",G2125&lt;&gt;""),"اكتب مدين أو دائن فقط ✘",IF(AND(N(F2125)=0,N(G2125)=0),"بدون مبلغ ⚠",IF(B2125&gt;12,"يتجاوز 12 بنداً في الطباعة ⚠","")))))</f>
        <v/>
      </c>
    </row>
    <row r="2126" customFormat="false" ht="15" hidden="false" customHeight="false" outlineLevel="0" collapsed="false">
      <c r="A2126" s="58"/>
      <c r="B2126" s="73" t="str">
        <f aca="false">IF(A2126="","",COUNTIF(A$5:A2126,A2126))</f>
        <v/>
      </c>
      <c r="C2126" s="73" t="str">
        <f aca="false">IF(A2126="","",A2126&amp;"-"&amp;B2126)</f>
        <v/>
      </c>
      <c r="D2126" s="58"/>
      <c r="E2126" s="57"/>
      <c r="F2126" s="69"/>
      <c r="G2126" s="69"/>
      <c r="H2126" s="74" t="str">
        <f aca="false">IF(A2126="","",IFERROR(INDEX(السندات!$C$5:$C$504,MATCH(A2126,السندات!$A$5:$A$504,0)),""))</f>
        <v/>
      </c>
      <c r="I2126" s="75" t="str">
        <f aca="false">IF(A2126="","",IFERROR(INDEX(السندات!$D$5:$D$504,MATCH(A2126,السندات!$A$5:$A$504,0)),""))</f>
        <v/>
      </c>
      <c r="J2126" s="76" t="str">
        <f aca="false">IF(A2126="","",IF(ISNA(MATCH(A2126,السندات!$A$5:$A$504,0)),"رقم سند غير موجود ✘",IF(AND(F2126&lt;&gt;"",G2126&lt;&gt;""),"اكتب مدين أو دائن فقط ✘",IF(AND(N(F2126)=0,N(G2126)=0),"بدون مبلغ ⚠",IF(B2126&gt;12,"يتجاوز 12 بنداً في الطباعة ⚠","")))))</f>
        <v/>
      </c>
    </row>
    <row r="2127" customFormat="false" ht="15" hidden="false" customHeight="false" outlineLevel="0" collapsed="false">
      <c r="A2127" s="58"/>
      <c r="B2127" s="68" t="str">
        <f aca="false">IF(A2127="","",COUNTIF(A$5:A2127,A2127))</f>
        <v/>
      </c>
      <c r="C2127" s="68" t="str">
        <f aca="false">IF(A2127="","",A2127&amp;"-"&amp;B2127)</f>
        <v/>
      </c>
      <c r="D2127" s="58"/>
      <c r="E2127" s="57"/>
      <c r="F2127" s="69"/>
      <c r="G2127" s="69"/>
      <c r="H2127" s="70" t="str">
        <f aca="false">IF(A2127="","",IFERROR(INDEX(السندات!$C$5:$C$504,MATCH(A2127,السندات!$A$5:$A$504,0)),""))</f>
        <v/>
      </c>
      <c r="I2127" s="71" t="str">
        <f aca="false">IF(A2127="","",IFERROR(INDEX(السندات!$D$5:$D$504,MATCH(A2127,السندات!$A$5:$A$504,0)),""))</f>
        <v/>
      </c>
      <c r="J2127" s="72" t="str">
        <f aca="false">IF(A2127="","",IF(ISNA(MATCH(A2127,السندات!$A$5:$A$504,0)),"رقم سند غير موجود ✘",IF(AND(F2127&lt;&gt;"",G2127&lt;&gt;""),"اكتب مدين أو دائن فقط ✘",IF(AND(N(F2127)=0,N(G2127)=0),"بدون مبلغ ⚠",IF(B2127&gt;12,"يتجاوز 12 بنداً في الطباعة ⚠","")))))</f>
        <v/>
      </c>
    </row>
    <row r="2128" customFormat="false" ht="15" hidden="false" customHeight="false" outlineLevel="0" collapsed="false">
      <c r="A2128" s="58"/>
      <c r="B2128" s="73" t="str">
        <f aca="false">IF(A2128="","",COUNTIF(A$5:A2128,A2128))</f>
        <v/>
      </c>
      <c r="C2128" s="73" t="str">
        <f aca="false">IF(A2128="","",A2128&amp;"-"&amp;B2128)</f>
        <v/>
      </c>
      <c r="D2128" s="58"/>
      <c r="E2128" s="57"/>
      <c r="F2128" s="69"/>
      <c r="G2128" s="69"/>
      <c r="H2128" s="74" t="str">
        <f aca="false">IF(A2128="","",IFERROR(INDEX(السندات!$C$5:$C$504,MATCH(A2128,السندات!$A$5:$A$504,0)),""))</f>
        <v/>
      </c>
      <c r="I2128" s="75" t="str">
        <f aca="false">IF(A2128="","",IFERROR(INDEX(السندات!$D$5:$D$504,MATCH(A2128,السندات!$A$5:$A$504,0)),""))</f>
        <v/>
      </c>
      <c r="J2128" s="76" t="str">
        <f aca="false">IF(A2128="","",IF(ISNA(MATCH(A2128,السندات!$A$5:$A$504,0)),"رقم سند غير موجود ✘",IF(AND(F2128&lt;&gt;"",G2128&lt;&gt;""),"اكتب مدين أو دائن فقط ✘",IF(AND(N(F2128)=0,N(G2128)=0),"بدون مبلغ ⚠",IF(B2128&gt;12,"يتجاوز 12 بنداً في الطباعة ⚠","")))))</f>
        <v/>
      </c>
    </row>
    <row r="2129" customFormat="false" ht="15" hidden="false" customHeight="false" outlineLevel="0" collapsed="false">
      <c r="A2129" s="58"/>
      <c r="B2129" s="68" t="str">
        <f aca="false">IF(A2129="","",COUNTIF(A$5:A2129,A2129))</f>
        <v/>
      </c>
      <c r="C2129" s="68" t="str">
        <f aca="false">IF(A2129="","",A2129&amp;"-"&amp;B2129)</f>
        <v/>
      </c>
      <c r="D2129" s="58"/>
      <c r="E2129" s="57"/>
      <c r="F2129" s="69"/>
      <c r="G2129" s="69"/>
      <c r="H2129" s="70" t="str">
        <f aca="false">IF(A2129="","",IFERROR(INDEX(السندات!$C$5:$C$504,MATCH(A2129,السندات!$A$5:$A$504,0)),""))</f>
        <v/>
      </c>
      <c r="I2129" s="71" t="str">
        <f aca="false">IF(A2129="","",IFERROR(INDEX(السندات!$D$5:$D$504,MATCH(A2129,السندات!$A$5:$A$504,0)),""))</f>
        <v/>
      </c>
      <c r="J2129" s="72" t="str">
        <f aca="false">IF(A2129="","",IF(ISNA(MATCH(A2129,السندات!$A$5:$A$504,0)),"رقم سند غير موجود ✘",IF(AND(F2129&lt;&gt;"",G2129&lt;&gt;""),"اكتب مدين أو دائن فقط ✘",IF(AND(N(F2129)=0,N(G2129)=0),"بدون مبلغ ⚠",IF(B2129&gt;12,"يتجاوز 12 بنداً في الطباعة ⚠","")))))</f>
        <v/>
      </c>
    </row>
    <row r="2130" customFormat="false" ht="15" hidden="false" customHeight="false" outlineLevel="0" collapsed="false">
      <c r="A2130" s="58"/>
      <c r="B2130" s="73" t="str">
        <f aca="false">IF(A2130="","",COUNTIF(A$5:A2130,A2130))</f>
        <v/>
      </c>
      <c r="C2130" s="73" t="str">
        <f aca="false">IF(A2130="","",A2130&amp;"-"&amp;B2130)</f>
        <v/>
      </c>
      <c r="D2130" s="58"/>
      <c r="E2130" s="57"/>
      <c r="F2130" s="69"/>
      <c r="G2130" s="69"/>
      <c r="H2130" s="74" t="str">
        <f aca="false">IF(A2130="","",IFERROR(INDEX(السندات!$C$5:$C$504,MATCH(A2130,السندات!$A$5:$A$504,0)),""))</f>
        <v/>
      </c>
      <c r="I2130" s="75" t="str">
        <f aca="false">IF(A2130="","",IFERROR(INDEX(السندات!$D$5:$D$504,MATCH(A2130,السندات!$A$5:$A$504,0)),""))</f>
        <v/>
      </c>
      <c r="J2130" s="76" t="str">
        <f aca="false">IF(A2130="","",IF(ISNA(MATCH(A2130,السندات!$A$5:$A$504,0)),"رقم سند غير موجود ✘",IF(AND(F2130&lt;&gt;"",G2130&lt;&gt;""),"اكتب مدين أو دائن فقط ✘",IF(AND(N(F2130)=0,N(G2130)=0),"بدون مبلغ ⚠",IF(B2130&gt;12,"يتجاوز 12 بنداً في الطباعة ⚠","")))))</f>
        <v/>
      </c>
    </row>
    <row r="2131" customFormat="false" ht="15" hidden="false" customHeight="false" outlineLevel="0" collapsed="false">
      <c r="A2131" s="58"/>
      <c r="B2131" s="68" t="str">
        <f aca="false">IF(A2131="","",COUNTIF(A$5:A2131,A2131))</f>
        <v/>
      </c>
      <c r="C2131" s="68" t="str">
        <f aca="false">IF(A2131="","",A2131&amp;"-"&amp;B2131)</f>
        <v/>
      </c>
      <c r="D2131" s="58"/>
      <c r="E2131" s="57"/>
      <c r="F2131" s="69"/>
      <c r="G2131" s="69"/>
      <c r="H2131" s="70" t="str">
        <f aca="false">IF(A2131="","",IFERROR(INDEX(السندات!$C$5:$C$504,MATCH(A2131,السندات!$A$5:$A$504,0)),""))</f>
        <v/>
      </c>
      <c r="I2131" s="71" t="str">
        <f aca="false">IF(A2131="","",IFERROR(INDEX(السندات!$D$5:$D$504,MATCH(A2131,السندات!$A$5:$A$504,0)),""))</f>
        <v/>
      </c>
      <c r="J2131" s="72" t="str">
        <f aca="false">IF(A2131="","",IF(ISNA(MATCH(A2131,السندات!$A$5:$A$504,0)),"رقم سند غير موجود ✘",IF(AND(F2131&lt;&gt;"",G2131&lt;&gt;""),"اكتب مدين أو دائن فقط ✘",IF(AND(N(F2131)=0,N(G2131)=0),"بدون مبلغ ⚠",IF(B2131&gt;12,"يتجاوز 12 بنداً في الطباعة ⚠","")))))</f>
        <v/>
      </c>
    </row>
    <row r="2132" customFormat="false" ht="15" hidden="false" customHeight="false" outlineLevel="0" collapsed="false">
      <c r="A2132" s="58"/>
      <c r="B2132" s="73" t="str">
        <f aca="false">IF(A2132="","",COUNTIF(A$5:A2132,A2132))</f>
        <v/>
      </c>
      <c r="C2132" s="73" t="str">
        <f aca="false">IF(A2132="","",A2132&amp;"-"&amp;B2132)</f>
        <v/>
      </c>
      <c r="D2132" s="58"/>
      <c r="E2132" s="57"/>
      <c r="F2132" s="69"/>
      <c r="G2132" s="69"/>
      <c r="H2132" s="74" t="str">
        <f aca="false">IF(A2132="","",IFERROR(INDEX(السندات!$C$5:$C$504,MATCH(A2132,السندات!$A$5:$A$504,0)),""))</f>
        <v/>
      </c>
      <c r="I2132" s="75" t="str">
        <f aca="false">IF(A2132="","",IFERROR(INDEX(السندات!$D$5:$D$504,MATCH(A2132,السندات!$A$5:$A$504,0)),""))</f>
        <v/>
      </c>
      <c r="J2132" s="76" t="str">
        <f aca="false">IF(A2132="","",IF(ISNA(MATCH(A2132,السندات!$A$5:$A$504,0)),"رقم سند غير موجود ✘",IF(AND(F2132&lt;&gt;"",G2132&lt;&gt;""),"اكتب مدين أو دائن فقط ✘",IF(AND(N(F2132)=0,N(G2132)=0),"بدون مبلغ ⚠",IF(B2132&gt;12,"يتجاوز 12 بنداً في الطباعة ⚠","")))))</f>
        <v/>
      </c>
    </row>
    <row r="2133" customFormat="false" ht="15" hidden="false" customHeight="false" outlineLevel="0" collapsed="false">
      <c r="A2133" s="58"/>
      <c r="B2133" s="68" t="str">
        <f aca="false">IF(A2133="","",COUNTIF(A$5:A2133,A2133))</f>
        <v/>
      </c>
      <c r="C2133" s="68" t="str">
        <f aca="false">IF(A2133="","",A2133&amp;"-"&amp;B2133)</f>
        <v/>
      </c>
      <c r="D2133" s="58"/>
      <c r="E2133" s="57"/>
      <c r="F2133" s="69"/>
      <c r="G2133" s="69"/>
      <c r="H2133" s="70" t="str">
        <f aca="false">IF(A2133="","",IFERROR(INDEX(السندات!$C$5:$C$504,MATCH(A2133,السندات!$A$5:$A$504,0)),""))</f>
        <v/>
      </c>
      <c r="I2133" s="71" t="str">
        <f aca="false">IF(A2133="","",IFERROR(INDEX(السندات!$D$5:$D$504,MATCH(A2133,السندات!$A$5:$A$504,0)),""))</f>
        <v/>
      </c>
      <c r="J2133" s="72" t="str">
        <f aca="false">IF(A2133="","",IF(ISNA(MATCH(A2133,السندات!$A$5:$A$504,0)),"رقم سند غير موجود ✘",IF(AND(F2133&lt;&gt;"",G2133&lt;&gt;""),"اكتب مدين أو دائن فقط ✘",IF(AND(N(F2133)=0,N(G2133)=0),"بدون مبلغ ⚠",IF(B2133&gt;12,"يتجاوز 12 بنداً في الطباعة ⚠","")))))</f>
        <v/>
      </c>
    </row>
    <row r="2134" customFormat="false" ht="15" hidden="false" customHeight="false" outlineLevel="0" collapsed="false">
      <c r="A2134" s="58"/>
      <c r="B2134" s="73" t="str">
        <f aca="false">IF(A2134="","",COUNTIF(A$5:A2134,A2134))</f>
        <v/>
      </c>
      <c r="C2134" s="73" t="str">
        <f aca="false">IF(A2134="","",A2134&amp;"-"&amp;B2134)</f>
        <v/>
      </c>
      <c r="D2134" s="58"/>
      <c r="E2134" s="57"/>
      <c r="F2134" s="69"/>
      <c r="G2134" s="69"/>
      <c r="H2134" s="74" t="str">
        <f aca="false">IF(A2134="","",IFERROR(INDEX(السندات!$C$5:$C$504,MATCH(A2134,السندات!$A$5:$A$504,0)),""))</f>
        <v/>
      </c>
      <c r="I2134" s="75" t="str">
        <f aca="false">IF(A2134="","",IFERROR(INDEX(السندات!$D$5:$D$504,MATCH(A2134,السندات!$A$5:$A$504,0)),""))</f>
        <v/>
      </c>
      <c r="J2134" s="76" t="str">
        <f aca="false">IF(A2134="","",IF(ISNA(MATCH(A2134,السندات!$A$5:$A$504,0)),"رقم سند غير موجود ✘",IF(AND(F2134&lt;&gt;"",G2134&lt;&gt;""),"اكتب مدين أو دائن فقط ✘",IF(AND(N(F2134)=0,N(G2134)=0),"بدون مبلغ ⚠",IF(B2134&gt;12,"يتجاوز 12 بنداً في الطباعة ⚠","")))))</f>
        <v/>
      </c>
    </row>
    <row r="2135" customFormat="false" ht="15" hidden="false" customHeight="false" outlineLevel="0" collapsed="false">
      <c r="A2135" s="58"/>
      <c r="B2135" s="68" t="str">
        <f aca="false">IF(A2135="","",COUNTIF(A$5:A2135,A2135))</f>
        <v/>
      </c>
      <c r="C2135" s="68" t="str">
        <f aca="false">IF(A2135="","",A2135&amp;"-"&amp;B2135)</f>
        <v/>
      </c>
      <c r="D2135" s="58"/>
      <c r="E2135" s="57"/>
      <c r="F2135" s="69"/>
      <c r="G2135" s="69"/>
      <c r="H2135" s="70" t="str">
        <f aca="false">IF(A2135="","",IFERROR(INDEX(السندات!$C$5:$C$504,MATCH(A2135,السندات!$A$5:$A$504,0)),""))</f>
        <v/>
      </c>
      <c r="I2135" s="71" t="str">
        <f aca="false">IF(A2135="","",IFERROR(INDEX(السندات!$D$5:$D$504,MATCH(A2135,السندات!$A$5:$A$504,0)),""))</f>
        <v/>
      </c>
      <c r="J2135" s="72" t="str">
        <f aca="false">IF(A2135="","",IF(ISNA(MATCH(A2135,السندات!$A$5:$A$504,0)),"رقم سند غير موجود ✘",IF(AND(F2135&lt;&gt;"",G2135&lt;&gt;""),"اكتب مدين أو دائن فقط ✘",IF(AND(N(F2135)=0,N(G2135)=0),"بدون مبلغ ⚠",IF(B2135&gt;12,"يتجاوز 12 بنداً في الطباعة ⚠","")))))</f>
        <v/>
      </c>
    </row>
    <row r="2136" customFormat="false" ht="15" hidden="false" customHeight="false" outlineLevel="0" collapsed="false">
      <c r="A2136" s="58"/>
      <c r="B2136" s="73" t="str">
        <f aca="false">IF(A2136="","",COUNTIF(A$5:A2136,A2136))</f>
        <v/>
      </c>
      <c r="C2136" s="73" t="str">
        <f aca="false">IF(A2136="","",A2136&amp;"-"&amp;B2136)</f>
        <v/>
      </c>
      <c r="D2136" s="58"/>
      <c r="E2136" s="57"/>
      <c r="F2136" s="69"/>
      <c r="G2136" s="69"/>
      <c r="H2136" s="74" t="str">
        <f aca="false">IF(A2136="","",IFERROR(INDEX(السندات!$C$5:$C$504,MATCH(A2136,السندات!$A$5:$A$504,0)),""))</f>
        <v/>
      </c>
      <c r="I2136" s="75" t="str">
        <f aca="false">IF(A2136="","",IFERROR(INDEX(السندات!$D$5:$D$504,MATCH(A2136,السندات!$A$5:$A$504,0)),""))</f>
        <v/>
      </c>
      <c r="J2136" s="76" t="str">
        <f aca="false">IF(A2136="","",IF(ISNA(MATCH(A2136,السندات!$A$5:$A$504,0)),"رقم سند غير موجود ✘",IF(AND(F2136&lt;&gt;"",G2136&lt;&gt;""),"اكتب مدين أو دائن فقط ✘",IF(AND(N(F2136)=0,N(G2136)=0),"بدون مبلغ ⚠",IF(B2136&gt;12,"يتجاوز 12 بنداً في الطباعة ⚠","")))))</f>
        <v/>
      </c>
    </row>
    <row r="2137" customFormat="false" ht="15" hidden="false" customHeight="false" outlineLevel="0" collapsed="false">
      <c r="A2137" s="58"/>
      <c r="B2137" s="68" t="str">
        <f aca="false">IF(A2137="","",COUNTIF(A$5:A2137,A2137))</f>
        <v/>
      </c>
      <c r="C2137" s="68" t="str">
        <f aca="false">IF(A2137="","",A2137&amp;"-"&amp;B2137)</f>
        <v/>
      </c>
      <c r="D2137" s="58"/>
      <c r="E2137" s="57"/>
      <c r="F2137" s="69"/>
      <c r="G2137" s="69"/>
      <c r="H2137" s="70" t="str">
        <f aca="false">IF(A2137="","",IFERROR(INDEX(السندات!$C$5:$C$504,MATCH(A2137,السندات!$A$5:$A$504,0)),""))</f>
        <v/>
      </c>
      <c r="I2137" s="71" t="str">
        <f aca="false">IF(A2137="","",IFERROR(INDEX(السندات!$D$5:$D$504,MATCH(A2137,السندات!$A$5:$A$504,0)),""))</f>
        <v/>
      </c>
      <c r="J2137" s="72" t="str">
        <f aca="false">IF(A2137="","",IF(ISNA(MATCH(A2137,السندات!$A$5:$A$504,0)),"رقم سند غير موجود ✘",IF(AND(F2137&lt;&gt;"",G2137&lt;&gt;""),"اكتب مدين أو دائن فقط ✘",IF(AND(N(F2137)=0,N(G2137)=0),"بدون مبلغ ⚠",IF(B2137&gt;12,"يتجاوز 12 بنداً في الطباعة ⚠","")))))</f>
        <v/>
      </c>
    </row>
    <row r="2138" customFormat="false" ht="15" hidden="false" customHeight="false" outlineLevel="0" collapsed="false">
      <c r="A2138" s="58"/>
      <c r="B2138" s="73" t="str">
        <f aca="false">IF(A2138="","",COUNTIF(A$5:A2138,A2138))</f>
        <v/>
      </c>
      <c r="C2138" s="73" t="str">
        <f aca="false">IF(A2138="","",A2138&amp;"-"&amp;B2138)</f>
        <v/>
      </c>
      <c r="D2138" s="58"/>
      <c r="E2138" s="57"/>
      <c r="F2138" s="69"/>
      <c r="G2138" s="69"/>
      <c r="H2138" s="74" t="str">
        <f aca="false">IF(A2138="","",IFERROR(INDEX(السندات!$C$5:$C$504,MATCH(A2138,السندات!$A$5:$A$504,0)),""))</f>
        <v/>
      </c>
      <c r="I2138" s="75" t="str">
        <f aca="false">IF(A2138="","",IFERROR(INDEX(السندات!$D$5:$D$504,MATCH(A2138,السندات!$A$5:$A$504,0)),""))</f>
        <v/>
      </c>
      <c r="J2138" s="76" t="str">
        <f aca="false">IF(A2138="","",IF(ISNA(MATCH(A2138,السندات!$A$5:$A$504,0)),"رقم سند غير موجود ✘",IF(AND(F2138&lt;&gt;"",G2138&lt;&gt;""),"اكتب مدين أو دائن فقط ✘",IF(AND(N(F2138)=0,N(G2138)=0),"بدون مبلغ ⚠",IF(B2138&gt;12,"يتجاوز 12 بنداً في الطباعة ⚠","")))))</f>
        <v/>
      </c>
    </row>
    <row r="2139" customFormat="false" ht="15" hidden="false" customHeight="false" outlineLevel="0" collapsed="false">
      <c r="A2139" s="58"/>
      <c r="B2139" s="68" t="str">
        <f aca="false">IF(A2139="","",COUNTIF(A$5:A2139,A2139))</f>
        <v/>
      </c>
      <c r="C2139" s="68" t="str">
        <f aca="false">IF(A2139="","",A2139&amp;"-"&amp;B2139)</f>
        <v/>
      </c>
      <c r="D2139" s="58"/>
      <c r="E2139" s="57"/>
      <c r="F2139" s="69"/>
      <c r="G2139" s="69"/>
      <c r="H2139" s="70" t="str">
        <f aca="false">IF(A2139="","",IFERROR(INDEX(السندات!$C$5:$C$504,MATCH(A2139,السندات!$A$5:$A$504,0)),""))</f>
        <v/>
      </c>
      <c r="I2139" s="71" t="str">
        <f aca="false">IF(A2139="","",IFERROR(INDEX(السندات!$D$5:$D$504,MATCH(A2139,السندات!$A$5:$A$504,0)),""))</f>
        <v/>
      </c>
      <c r="J2139" s="72" t="str">
        <f aca="false">IF(A2139="","",IF(ISNA(MATCH(A2139,السندات!$A$5:$A$504,0)),"رقم سند غير موجود ✘",IF(AND(F2139&lt;&gt;"",G2139&lt;&gt;""),"اكتب مدين أو دائن فقط ✘",IF(AND(N(F2139)=0,N(G2139)=0),"بدون مبلغ ⚠",IF(B2139&gt;12,"يتجاوز 12 بنداً في الطباعة ⚠","")))))</f>
        <v/>
      </c>
    </row>
    <row r="2140" customFormat="false" ht="15" hidden="false" customHeight="false" outlineLevel="0" collapsed="false">
      <c r="A2140" s="58"/>
      <c r="B2140" s="73" t="str">
        <f aca="false">IF(A2140="","",COUNTIF(A$5:A2140,A2140))</f>
        <v/>
      </c>
      <c r="C2140" s="73" t="str">
        <f aca="false">IF(A2140="","",A2140&amp;"-"&amp;B2140)</f>
        <v/>
      </c>
      <c r="D2140" s="58"/>
      <c r="E2140" s="57"/>
      <c r="F2140" s="69"/>
      <c r="G2140" s="69"/>
      <c r="H2140" s="74" t="str">
        <f aca="false">IF(A2140="","",IFERROR(INDEX(السندات!$C$5:$C$504,MATCH(A2140,السندات!$A$5:$A$504,0)),""))</f>
        <v/>
      </c>
      <c r="I2140" s="75" t="str">
        <f aca="false">IF(A2140="","",IFERROR(INDEX(السندات!$D$5:$D$504,MATCH(A2140,السندات!$A$5:$A$504,0)),""))</f>
        <v/>
      </c>
      <c r="J2140" s="76" t="str">
        <f aca="false">IF(A2140="","",IF(ISNA(MATCH(A2140,السندات!$A$5:$A$504,0)),"رقم سند غير موجود ✘",IF(AND(F2140&lt;&gt;"",G2140&lt;&gt;""),"اكتب مدين أو دائن فقط ✘",IF(AND(N(F2140)=0,N(G2140)=0),"بدون مبلغ ⚠",IF(B2140&gt;12,"يتجاوز 12 بنداً في الطباعة ⚠","")))))</f>
        <v/>
      </c>
    </row>
    <row r="2141" customFormat="false" ht="15" hidden="false" customHeight="false" outlineLevel="0" collapsed="false">
      <c r="A2141" s="58"/>
      <c r="B2141" s="68" t="str">
        <f aca="false">IF(A2141="","",COUNTIF(A$5:A2141,A2141))</f>
        <v/>
      </c>
      <c r="C2141" s="68" t="str">
        <f aca="false">IF(A2141="","",A2141&amp;"-"&amp;B2141)</f>
        <v/>
      </c>
      <c r="D2141" s="58"/>
      <c r="E2141" s="57"/>
      <c r="F2141" s="69"/>
      <c r="G2141" s="69"/>
      <c r="H2141" s="70" t="str">
        <f aca="false">IF(A2141="","",IFERROR(INDEX(السندات!$C$5:$C$504,MATCH(A2141,السندات!$A$5:$A$504,0)),""))</f>
        <v/>
      </c>
      <c r="I2141" s="71" t="str">
        <f aca="false">IF(A2141="","",IFERROR(INDEX(السندات!$D$5:$D$504,MATCH(A2141,السندات!$A$5:$A$504,0)),""))</f>
        <v/>
      </c>
      <c r="J2141" s="72" t="str">
        <f aca="false">IF(A2141="","",IF(ISNA(MATCH(A2141,السندات!$A$5:$A$504,0)),"رقم سند غير موجود ✘",IF(AND(F2141&lt;&gt;"",G2141&lt;&gt;""),"اكتب مدين أو دائن فقط ✘",IF(AND(N(F2141)=0,N(G2141)=0),"بدون مبلغ ⚠",IF(B2141&gt;12,"يتجاوز 12 بنداً في الطباعة ⚠","")))))</f>
        <v/>
      </c>
    </row>
    <row r="2142" customFormat="false" ht="15" hidden="false" customHeight="false" outlineLevel="0" collapsed="false">
      <c r="A2142" s="58"/>
      <c r="B2142" s="73" t="str">
        <f aca="false">IF(A2142="","",COUNTIF(A$5:A2142,A2142))</f>
        <v/>
      </c>
      <c r="C2142" s="73" t="str">
        <f aca="false">IF(A2142="","",A2142&amp;"-"&amp;B2142)</f>
        <v/>
      </c>
      <c r="D2142" s="58"/>
      <c r="E2142" s="57"/>
      <c r="F2142" s="69"/>
      <c r="G2142" s="69"/>
      <c r="H2142" s="74" t="str">
        <f aca="false">IF(A2142="","",IFERROR(INDEX(السندات!$C$5:$C$504,MATCH(A2142,السندات!$A$5:$A$504,0)),""))</f>
        <v/>
      </c>
      <c r="I2142" s="75" t="str">
        <f aca="false">IF(A2142="","",IFERROR(INDEX(السندات!$D$5:$D$504,MATCH(A2142,السندات!$A$5:$A$504,0)),""))</f>
        <v/>
      </c>
      <c r="J2142" s="76" t="str">
        <f aca="false">IF(A2142="","",IF(ISNA(MATCH(A2142,السندات!$A$5:$A$504,0)),"رقم سند غير موجود ✘",IF(AND(F2142&lt;&gt;"",G2142&lt;&gt;""),"اكتب مدين أو دائن فقط ✘",IF(AND(N(F2142)=0,N(G2142)=0),"بدون مبلغ ⚠",IF(B2142&gt;12,"يتجاوز 12 بنداً في الطباعة ⚠","")))))</f>
        <v/>
      </c>
    </row>
    <row r="2143" customFormat="false" ht="15" hidden="false" customHeight="false" outlineLevel="0" collapsed="false">
      <c r="A2143" s="58"/>
      <c r="B2143" s="68" t="str">
        <f aca="false">IF(A2143="","",COUNTIF(A$5:A2143,A2143))</f>
        <v/>
      </c>
      <c r="C2143" s="68" t="str">
        <f aca="false">IF(A2143="","",A2143&amp;"-"&amp;B2143)</f>
        <v/>
      </c>
      <c r="D2143" s="58"/>
      <c r="E2143" s="57"/>
      <c r="F2143" s="69"/>
      <c r="G2143" s="69"/>
      <c r="H2143" s="70" t="str">
        <f aca="false">IF(A2143="","",IFERROR(INDEX(السندات!$C$5:$C$504,MATCH(A2143,السندات!$A$5:$A$504,0)),""))</f>
        <v/>
      </c>
      <c r="I2143" s="71" t="str">
        <f aca="false">IF(A2143="","",IFERROR(INDEX(السندات!$D$5:$D$504,MATCH(A2143,السندات!$A$5:$A$504,0)),""))</f>
        <v/>
      </c>
      <c r="J2143" s="72" t="str">
        <f aca="false">IF(A2143="","",IF(ISNA(MATCH(A2143,السندات!$A$5:$A$504,0)),"رقم سند غير موجود ✘",IF(AND(F2143&lt;&gt;"",G2143&lt;&gt;""),"اكتب مدين أو دائن فقط ✘",IF(AND(N(F2143)=0,N(G2143)=0),"بدون مبلغ ⚠",IF(B2143&gt;12,"يتجاوز 12 بنداً في الطباعة ⚠","")))))</f>
        <v/>
      </c>
    </row>
    <row r="2144" customFormat="false" ht="15" hidden="false" customHeight="false" outlineLevel="0" collapsed="false">
      <c r="A2144" s="58"/>
      <c r="B2144" s="73" t="str">
        <f aca="false">IF(A2144="","",COUNTIF(A$5:A2144,A2144))</f>
        <v/>
      </c>
      <c r="C2144" s="73" t="str">
        <f aca="false">IF(A2144="","",A2144&amp;"-"&amp;B2144)</f>
        <v/>
      </c>
      <c r="D2144" s="58"/>
      <c r="E2144" s="57"/>
      <c r="F2144" s="69"/>
      <c r="G2144" s="69"/>
      <c r="H2144" s="74" t="str">
        <f aca="false">IF(A2144="","",IFERROR(INDEX(السندات!$C$5:$C$504,MATCH(A2144,السندات!$A$5:$A$504,0)),""))</f>
        <v/>
      </c>
      <c r="I2144" s="75" t="str">
        <f aca="false">IF(A2144="","",IFERROR(INDEX(السندات!$D$5:$D$504,MATCH(A2144,السندات!$A$5:$A$504,0)),""))</f>
        <v/>
      </c>
      <c r="J2144" s="76" t="str">
        <f aca="false">IF(A2144="","",IF(ISNA(MATCH(A2144,السندات!$A$5:$A$504,0)),"رقم سند غير موجود ✘",IF(AND(F2144&lt;&gt;"",G2144&lt;&gt;""),"اكتب مدين أو دائن فقط ✘",IF(AND(N(F2144)=0,N(G2144)=0),"بدون مبلغ ⚠",IF(B2144&gt;12,"يتجاوز 12 بنداً في الطباعة ⚠","")))))</f>
        <v/>
      </c>
    </row>
    <row r="2145" customFormat="false" ht="15" hidden="false" customHeight="false" outlineLevel="0" collapsed="false">
      <c r="A2145" s="58"/>
      <c r="B2145" s="68" t="str">
        <f aca="false">IF(A2145="","",COUNTIF(A$5:A2145,A2145))</f>
        <v/>
      </c>
      <c r="C2145" s="68" t="str">
        <f aca="false">IF(A2145="","",A2145&amp;"-"&amp;B2145)</f>
        <v/>
      </c>
      <c r="D2145" s="58"/>
      <c r="E2145" s="57"/>
      <c r="F2145" s="69"/>
      <c r="G2145" s="69"/>
      <c r="H2145" s="70" t="str">
        <f aca="false">IF(A2145="","",IFERROR(INDEX(السندات!$C$5:$C$504,MATCH(A2145,السندات!$A$5:$A$504,0)),""))</f>
        <v/>
      </c>
      <c r="I2145" s="71" t="str">
        <f aca="false">IF(A2145="","",IFERROR(INDEX(السندات!$D$5:$D$504,MATCH(A2145,السندات!$A$5:$A$504,0)),""))</f>
        <v/>
      </c>
      <c r="J2145" s="72" t="str">
        <f aca="false">IF(A2145="","",IF(ISNA(MATCH(A2145,السندات!$A$5:$A$504,0)),"رقم سند غير موجود ✘",IF(AND(F2145&lt;&gt;"",G2145&lt;&gt;""),"اكتب مدين أو دائن فقط ✘",IF(AND(N(F2145)=0,N(G2145)=0),"بدون مبلغ ⚠",IF(B2145&gt;12,"يتجاوز 12 بنداً في الطباعة ⚠","")))))</f>
        <v/>
      </c>
    </row>
    <row r="2146" customFormat="false" ht="15" hidden="false" customHeight="false" outlineLevel="0" collapsed="false">
      <c r="A2146" s="58"/>
      <c r="B2146" s="73" t="str">
        <f aca="false">IF(A2146="","",COUNTIF(A$5:A2146,A2146))</f>
        <v/>
      </c>
      <c r="C2146" s="73" t="str">
        <f aca="false">IF(A2146="","",A2146&amp;"-"&amp;B2146)</f>
        <v/>
      </c>
      <c r="D2146" s="58"/>
      <c r="E2146" s="57"/>
      <c r="F2146" s="69"/>
      <c r="G2146" s="69"/>
      <c r="H2146" s="74" t="str">
        <f aca="false">IF(A2146="","",IFERROR(INDEX(السندات!$C$5:$C$504,MATCH(A2146,السندات!$A$5:$A$504,0)),""))</f>
        <v/>
      </c>
      <c r="I2146" s="75" t="str">
        <f aca="false">IF(A2146="","",IFERROR(INDEX(السندات!$D$5:$D$504,MATCH(A2146,السندات!$A$5:$A$504,0)),""))</f>
        <v/>
      </c>
      <c r="J2146" s="76" t="str">
        <f aca="false">IF(A2146="","",IF(ISNA(MATCH(A2146,السندات!$A$5:$A$504,0)),"رقم سند غير موجود ✘",IF(AND(F2146&lt;&gt;"",G2146&lt;&gt;""),"اكتب مدين أو دائن فقط ✘",IF(AND(N(F2146)=0,N(G2146)=0),"بدون مبلغ ⚠",IF(B2146&gt;12,"يتجاوز 12 بنداً في الطباعة ⚠","")))))</f>
        <v/>
      </c>
    </row>
    <row r="2147" customFormat="false" ht="15" hidden="false" customHeight="false" outlineLevel="0" collapsed="false">
      <c r="A2147" s="58"/>
      <c r="B2147" s="68" t="str">
        <f aca="false">IF(A2147="","",COUNTIF(A$5:A2147,A2147))</f>
        <v/>
      </c>
      <c r="C2147" s="68" t="str">
        <f aca="false">IF(A2147="","",A2147&amp;"-"&amp;B2147)</f>
        <v/>
      </c>
      <c r="D2147" s="58"/>
      <c r="E2147" s="57"/>
      <c r="F2147" s="69"/>
      <c r="G2147" s="69"/>
      <c r="H2147" s="70" t="str">
        <f aca="false">IF(A2147="","",IFERROR(INDEX(السندات!$C$5:$C$504,MATCH(A2147,السندات!$A$5:$A$504,0)),""))</f>
        <v/>
      </c>
      <c r="I2147" s="71" t="str">
        <f aca="false">IF(A2147="","",IFERROR(INDEX(السندات!$D$5:$D$504,MATCH(A2147,السندات!$A$5:$A$504,0)),""))</f>
        <v/>
      </c>
      <c r="J2147" s="72" t="str">
        <f aca="false">IF(A2147="","",IF(ISNA(MATCH(A2147,السندات!$A$5:$A$504,0)),"رقم سند غير موجود ✘",IF(AND(F2147&lt;&gt;"",G2147&lt;&gt;""),"اكتب مدين أو دائن فقط ✘",IF(AND(N(F2147)=0,N(G2147)=0),"بدون مبلغ ⚠",IF(B2147&gt;12,"يتجاوز 12 بنداً في الطباعة ⚠","")))))</f>
        <v/>
      </c>
    </row>
    <row r="2148" customFormat="false" ht="15" hidden="false" customHeight="false" outlineLevel="0" collapsed="false">
      <c r="A2148" s="58"/>
      <c r="B2148" s="73" t="str">
        <f aca="false">IF(A2148="","",COUNTIF(A$5:A2148,A2148))</f>
        <v/>
      </c>
      <c r="C2148" s="73" t="str">
        <f aca="false">IF(A2148="","",A2148&amp;"-"&amp;B2148)</f>
        <v/>
      </c>
      <c r="D2148" s="58"/>
      <c r="E2148" s="57"/>
      <c r="F2148" s="69"/>
      <c r="G2148" s="69"/>
      <c r="H2148" s="74" t="str">
        <f aca="false">IF(A2148="","",IFERROR(INDEX(السندات!$C$5:$C$504,MATCH(A2148,السندات!$A$5:$A$504,0)),""))</f>
        <v/>
      </c>
      <c r="I2148" s="75" t="str">
        <f aca="false">IF(A2148="","",IFERROR(INDEX(السندات!$D$5:$D$504,MATCH(A2148,السندات!$A$5:$A$504,0)),""))</f>
        <v/>
      </c>
      <c r="J2148" s="76" t="str">
        <f aca="false">IF(A2148="","",IF(ISNA(MATCH(A2148,السندات!$A$5:$A$504,0)),"رقم سند غير موجود ✘",IF(AND(F2148&lt;&gt;"",G2148&lt;&gt;""),"اكتب مدين أو دائن فقط ✘",IF(AND(N(F2148)=0,N(G2148)=0),"بدون مبلغ ⚠",IF(B2148&gt;12,"يتجاوز 12 بنداً في الطباعة ⚠","")))))</f>
        <v/>
      </c>
    </row>
    <row r="2149" customFormat="false" ht="15" hidden="false" customHeight="false" outlineLevel="0" collapsed="false">
      <c r="A2149" s="58"/>
      <c r="B2149" s="68" t="str">
        <f aca="false">IF(A2149="","",COUNTIF(A$5:A2149,A2149))</f>
        <v/>
      </c>
      <c r="C2149" s="68" t="str">
        <f aca="false">IF(A2149="","",A2149&amp;"-"&amp;B2149)</f>
        <v/>
      </c>
      <c r="D2149" s="58"/>
      <c r="E2149" s="57"/>
      <c r="F2149" s="69"/>
      <c r="G2149" s="69"/>
      <c r="H2149" s="70" t="str">
        <f aca="false">IF(A2149="","",IFERROR(INDEX(السندات!$C$5:$C$504,MATCH(A2149,السندات!$A$5:$A$504,0)),""))</f>
        <v/>
      </c>
      <c r="I2149" s="71" t="str">
        <f aca="false">IF(A2149="","",IFERROR(INDEX(السندات!$D$5:$D$504,MATCH(A2149,السندات!$A$5:$A$504,0)),""))</f>
        <v/>
      </c>
      <c r="J2149" s="72" t="str">
        <f aca="false">IF(A2149="","",IF(ISNA(MATCH(A2149,السندات!$A$5:$A$504,0)),"رقم سند غير موجود ✘",IF(AND(F2149&lt;&gt;"",G2149&lt;&gt;""),"اكتب مدين أو دائن فقط ✘",IF(AND(N(F2149)=0,N(G2149)=0),"بدون مبلغ ⚠",IF(B2149&gt;12,"يتجاوز 12 بنداً في الطباعة ⚠","")))))</f>
        <v/>
      </c>
    </row>
    <row r="2150" customFormat="false" ht="15" hidden="false" customHeight="false" outlineLevel="0" collapsed="false">
      <c r="A2150" s="58"/>
      <c r="B2150" s="73" t="str">
        <f aca="false">IF(A2150="","",COUNTIF(A$5:A2150,A2150))</f>
        <v/>
      </c>
      <c r="C2150" s="73" t="str">
        <f aca="false">IF(A2150="","",A2150&amp;"-"&amp;B2150)</f>
        <v/>
      </c>
      <c r="D2150" s="58"/>
      <c r="E2150" s="57"/>
      <c r="F2150" s="69"/>
      <c r="G2150" s="69"/>
      <c r="H2150" s="74" t="str">
        <f aca="false">IF(A2150="","",IFERROR(INDEX(السندات!$C$5:$C$504,MATCH(A2150,السندات!$A$5:$A$504,0)),""))</f>
        <v/>
      </c>
      <c r="I2150" s="75" t="str">
        <f aca="false">IF(A2150="","",IFERROR(INDEX(السندات!$D$5:$D$504,MATCH(A2150,السندات!$A$5:$A$504,0)),""))</f>
        <v/>
      </c>
      <c r="J2150" s="76" t="str">
        <f aca="false">IF(A2150="","",IF(ISNA(MATCH(A2150,السندات!$A$5:$A$504,0)),"رقم سند غير موجود ✘",IF(AND(F2150&lt;&gt;"",G2150&lt;&gt;""),"اكتب مدين أو دائن فقط ✘",IF(AND(N(F2150)=0,N(G2150)=0),"بدون مبلغ ⚠",IF(B2150&gt;12,"يتجاوز 12 بنداً في الطباعة ⚠","")))))</f>
        <v/>
      </c>
    </row>
    <row r="2151" customFormat="false" ht="15" hidden="false" customHeight="false" outlineLevel="0" collapsed="false">
      <c r="A2151" s="58"/>
      <c r="B2151" s="68" t="str">
        <f aca="false">IF(A2151="","",COUNTIF(A$5:A2151,A2151))</f>
        <v/>
      </c>
      <c r="C2151" s="68" t="str">
        <f aca="false">IF(A2151="","",A2151&amp;"-"&amp;B2151)</f>
        <v/>
      </c>
      <c r="D2151" s="58"/>
      <c r="E2151" s="57"/>
      <c r="F2151" s="69"/>
      <c r="G2151" s="69"/>
      <c r="H2151" s="70" t="str">
        <f aca="false">IF(A2151="","",IFERROR(INDEX(السندات!$C$5:$C$504,MATCH(A2151,السندات!$A$5:$A$504,0)),""))</f>
        <v/>
      </c>
      <c r="I2151" s="71" t="str">
        <f aca="false">IF(A2151="","",IFERROR(INDEX(السندات!$D$5:$D$504,MATCH(A2151,السندات!$A$5:$A$504,0)),""))</f>
        <v/>
      </c>
      <c r="J2151" s="72" t="str">
        <f aca="false">IF(A2151="","",IF(ISNA(MATCH(A2151,السندات!$A$5:$A$504,0)),"رقم سند غير موجود ✘",IF(AND(F2151&lt;&gt;"",G2151&lt;&gt;""),"اكتب مدين أو دائن فقط ✘",IF(AND(N(F2151)=0,N(G2151)=0),"بدون مبلغ ⚠",IF(B2151&gt;12,"يتجاوز 12 بنداً في الطباعة ⚠","")))))</f>
        <v/>
      </c>
    </row>
    <row r="2152" customFormat="false" ht="15" hidden="false" customHeight="false" outlineLevel="0" collapsed="false">
      <c r="A2152" s="58"/>
      <c r="B2152" s="73" t="str">
        <f aca="false">IF(A2152="","",COUNTIF(A$5:A2152,A2152))</f>
        <v/>
      </c>
      <c r="C2152" s="73" t="str">
        <f aca="false">IF(A2152="","",A2152&amp;"-"&amp;B2152)</f>
        <v/>
      </c>
      <c r="D2152" s="58"/>
      <c r="E2152" s="57"/>
      <c r="F2152" s="69"/>
      <c r="G2152" s="69"/>
      <c r="H2152" s="74" t="str">
        <f aca="false">IF(A2152="","",IFERROR(INDEX(السندات!$C$5:$C$504,MATCH(A2152,السندات!$A$5:$A$504,0)),""))</f>
        <v/>
      </c>
      <c r="I2152" s="75" t="str">
        <f aca="false">IF(A2152="","",IFERROR(INDEX(السندات!$D$5:$D$504,MATCH(A2152,السندات!$A$5:$A$504,0)),""))</f>
        <v/>
      </c>
      <c r="J2152" s="76" t="str">
        <f aca="false">IF(A2152="","",IF(ISNA(MATCH(A2152,السندات!$A$5:$A$504,0)),"رقم سند غير موجود ✘",IF(AND(F2152&lt;&gt;"",G2152&lt;&gt;""),"اكتب مدين أو دائن فقط ✘",IF(AND(N(F2152)=0,N(G2152)=0),"بدون مبلغ ⚠",IF(B2152&gt;12,"يتجاوز 12 بنداً في الطباعة ⚠","")))))</f>
        <v/>
      </c>
    </row>
    <row r="2153" customFormat="false" ht="15" hidden="false" customHeight="false" outlineLevel="0" collapsed="false">
      <c r="A2153" s="58"/>
      <c r="B2153" s="68" t="str">
        <f aca="false">IF(A2153="","",COUNTIF(A$5:A2153,A2153))</f>
        <v/>
      </c>
      <c r="C2153" s="68" t="str">
        <f aca="false">IF(A2153="","",A2153&amp;"-"&amp;B2153)</f>
        <v/>
      </c>
      <c r="D2153" s="58"/>
      <c r="E2153" s="57"/>
      <c r="F2153" s="69"/>
      <c r="G2153" s="69"/>
      <c r="H2153" s="70" t="str">
        <f aca="false">IF(A2153="","",IFERROR(INDEX(السندات!$C$5:$C$504,MATCH(A2153,السندات!$A$5:$A$504,0)),""))</f>
        <v/>
      </c>
      <c r="I2153" s="71" t="str">
        <f aca="false">IF(A2153="","",IFERROR(INDEX(السندات!$D$5:$D$504,MATCH(A2153,السندات!$A$5:$A$504,0)),""))</f>
        <v/>
      </c>
      <c r="J2153" s="72" t="str">
        <f aca="false">IF(A2153="","",IF(ISNA(MATCH(A2153,السندات!$A$5:$A$504,0)),"رقم سند غير موجود ✘",IF(AND(F2153&lt;&gt;"",G2153&lt;&gt;""),"اكتب مدين أو دائن فقط ✘",IF(AND(N(F2153)=0,N(G2153)=0),"بدون مبلغ ⚠",IF(B2153&gt;12,"يتجاوز 12 بنداً في الطباعة ⚠","")))))</f>
        <v/>
      </c>
    </row>
    <row r="2154" customFormat="false" ht="15" hidden="false" customHeight="false" outlineLevel="0" collapsed="false">
      <c r="A2154" s="58"/>
      <c r="B2154" s="73" t="str">
        <f aca="false">IF(A2154="","",COUNTIF(A$5:A2154,A2154))</f>
        <v/>
      </c>
      <c r="C2154" s="73" t="str">
        <f aca="false">IF(A2154="","",A2154&amp;"-"&amp;B2154)</f>
        <v/>
      </c>
      <c r="D2154" s="58"/>
      <c r="E2154" s="57"/>
      <c r="F2154" s="69"/>
      <c r="G2154" s="69"/>
      <c r="H2154" s="74" t="str">
        <f aca="false">IF(A2154="","",IFERROR(INDEX(السندات!$C$5:$C$504,MATCH(A2154,السندات!$A$5:$A$504,0)),""))</f>
        <v/>
      </c>
      <c r="I2154" s="75" t="str">
        <f aca="false">IF(A2154="","",IFERROR(INDEX(السندات!$D$5:$D$504,MATCH(A2154,السندات!$A$5:$A$504,0)),""))</f>
        <v/>
      </c>
      <c r="J2154" s="76" t="str">
        <f aca="false">IF(A2154="","",IF(ISNA(MATCH(A2154,السندات!$A$5:$A$504,0)),"رقم سند غير موجود ✘",IF(AND(F2154&lt;&gt;"",G2154&lt;&gt;""),"اكتب مدين أو دائن فقط ✘",IF(AND(N(F2154)=0,N(G2154)=0),"بدون مبلغ ⚠",IF(B2154&gt;12,"يتجاوز 12 بنداً في الطباعة ⚠","")))))</f>
        <v/>
      </c>
    </row>
    <row r="2155" customFormat="false" ht="15" hidden="false" customHeight="false" outlineLevel="0" collapsed="false">
      <c r="A2155" s="58"/>
      <c r="B2155" s="68" t="str">
        <f aca="false">IF(A2155="","",COUNTIF(A$5:A2155,A2155))</f>
        <v/>
      </c>
      <c r="C2155" s="68" t="str">
        <f aca="false">IF(A2155="","",A2155&amp;"-"&amp;B2155)</f>
        <v/>
      </c>
      <c r="D2155" s="58"/>
      <c r="E2155" s="57"/>
      <c r="F2155" s="69"/>
      <c r="G2155" s="69"/>
      <c r="H2155" s="70" t="str">
        <f aca="false">IF(A2155="","",IFERROR(INDEX(السندات!$C$5:$C$504,MATCH(A2155,السندات!$A$5:$A$504,0)),""))</f>
        <v/>
      </c>
      <c r="I2155" s="71" t="str">
        <f aca="false">IF(A2155="","",IFERROR(INDEX(السندات!$D$5:$D$504,MATCH(A2155,السندات!$A$5:$A$504,0)),""))</f>
        <v/>
      </c>
      <c r="J2155" s="72" t="str">
        <f aca="false">IF(A2155="","",IF(ISNA(MATCH(A2155,السندات!$A$5:$A$504,0)),"رقم سند غير موجود ✘",IF(AND(F2155&lt;&gt;"",G2155&lt;&gt;""),"اكتب مدين أو دائن فقط ✘",IF(AND(N(F2155)=0,N(G2155)=0),"بدون مبلغ ⚠",IF(B2155&gt;12,"يتجاوز 12 بنداً في الطباعة ⚠","")))))</f>
        <v/>
      </c>
    </row>
    <row r="2156" customFormat="false" ht="15" hidden="false" customHeight="false" outlineLevel="0" collapsed="false">
      <c r="A2156" s="58"/>
      <c r="B2156" s="73" t="str">
        <f aca="false">IF(A2156="","",COUNTIF(A$5:A2156,A2156))</f>
        <v/>
      </c>
      <c r="C2156" s="73" t="str">
        <f aca="false">IF(A2156="","",A2156&amp;"-"&amp;B2156)</f>
        <v/>
      </c>
      <c r="D2156" s="58"/>
      <c r="E2156" s="57"/>
      <c r="F2156" s="69"/>
      <c r="G2156" s="69"/>
      <c r="H2156" s="74" t="str">
        <f aca="false">IF(A2156="","",IFERROR(INDEX(السندات!$C$5:$C$504,MATCH(A2156,السندات!$A$5:$A$504,0)),""))</f>
        <v/>
      </c>
      <c r="I2156" s="75" t="str">
        <f aca="false">IF(A2156="","",IFERROR(INDEX(السندات!$D$5:$D$504,MATCH(A2156,السندات!$A$5:$A$504,0)),""))</f>
        <v/>
      </c>
      <c r="J2156" s="76" t="str">
        <f aca="false">IF(A2156="","",IF(ISNA(MATCH(A2156,السندات!$A$5:$A$504,0)),"رقم سند غير موجود ✘",IF(AND(F2156&lt;&gt;"",G2156&lt;&gt;""),"اكتب مدين أو دائن فقط ✘",IF(AND(N(F2156)=0,N(G2156)=0),"بدون مبلغ ⚠",IF(B2156&gt;12,"يتجاوز 12 بنداً في الطباعة ⚠","")))))</f>
        <v/>
      </c>
    </row>
    <row r="2157" customFormat="false" ht="15" hidden="false" customHeight="false" outlineLevel="0" collapsed="false">
      <c r="A2157" s="58"/>
      <c r="B2157" s="68" t="str">
        <f aca="false">IF(A2157="","",COUNTIF(A$5:A2157,A2157))</f>
        <v/>
      </c>
      <c r="C2157" s="68" t="str">
        <f aca="false">IF(A2157="","",A2157&amp;"-"&amp;B2157)</f>
        <v/>
      </c>
      <c r="D2157" s="58"/>
      <c r="E2157" s="57"/>
      <c r="F2157" s="69"/>
      <c r="G2157" s="69"/>
      <c r="H2157" s="70" t="str">
        <f aca="false">IF(A2157="","",IFERROR(INDEX(السندات!$C$5:$C$504,MATCH(A2157,السندات!$A$5:$A$504,0)),""))</f>
        <v/>
      </c>
      <c r="I2157" s="71" t="str">
        <f aca="false">IF(A2157="","",IFERROR(INDEX(السندات!$D$5:$D$504,MATCH(A2157,السندات!$A$5:$A$504,0)),""))</f>
        <v/>
      </c>
      <c r="J2157" s="72" t="str">
        <f aca="false">IF(A2157="","",IF(ISNA(MATCH(A2157,السندات!$A$5:$A$504,0)),"رقم سند غير موجود ✘",IF(AND(F2157&lt;&gt;"",G2157&lt;&gt;""),"اكتب مدين أو دائن فقط ✘",IF(AND(N(F2157)=0,N(G2157)=0),"بدون مبلغ ⚠",IF(B2157&gt;12,"يتجاوز 12 بنداً في الطباعة ⚠","")))))</f>
        <v/>
      </c>
    </row>
    <row r="2158" customFormat="false" ht="15" hidden="false" customHeight="false" outlineLevel="0" collapsed="false">
      <c r="A2158" s="58"/>
      <c r="B2158" s="73" t="str">
        <f aca="false">IF(A2158="","",COUNTIF(A$5:A2158,A2158))</f>
        <v/>
      </c>
      <c r="C2158" s="73" t="str">
        <f aca="false">IF(A2158="","",A2158&amp;"-"&amp;B2158)</f>
        <v/>
      </c>
      <c r="D2158" s="58"/>
      <c r="E2158" s="57"/>
      <c r="F2158" s="69"/>
      <c r="G2158" s="69"/>
      <c r="H2158" s="74" t="str">
        <f aca="false">IF(A2158="","",IFERROR(INDEX(السندات!$C$5:$C$504,MATCH(A2158,السندات!$A$5:$A$504,0)),""))</f>
        <v/>
      </c>
      <c r="I2158" s="75" t="str">
        <f aca="false">IF(A2158="","",IFERROR(INDEX(السندات!$D$5:$D$504,MATCH(A2158,السندات!$A$5:$A$504,0)),""))</f>
        <v/>
      </c>
      <c r="J2158" s="76" t="str">
        <f aca="false">IF(A2158="","",IF(ISNA(MATCH(A2158,السندات!$A$5:$A$504,0)),"رقم سند غير موجود ✘",IF(AND(F2158&lt;&gt;"",G2158&lt;&gt;""),"اكتب مدين أو دائن فقط ✘",IF(AND(N(F2158)=0,N(G2158)=0),"بدون مبلغ ⚠",IF(B2158&gt;12,"يتجاوز 12 بنداً في الطباعة ⚠","")))))</f>
        <v/>
      </c>
    </row>
    <row r="2159" customFormat="false" ht="15" hidden="false" customHeight="false" outlineLevel="0" collapsed="false">
      <c r="A2159" s="58"/>
      <c r="B2159" s="68" t="str">
        <f aca="false">IF(A2159="","",COUNTIF(A$5:A2159,A2159))</f>
        <v/>
      </c>
      <c r="C2159" s="68" t="str">
        <f aca="false">IF(A2159="","",A2159&amp;"-"&amp;B2159)</f>
        <v/>
      </c>
      <c r="D2159" s="58"/>
      <c r="E2159" s="57"/>
      <c r="F2159" s="69"/>
      <c r="G2159" s="69"/>
      <c r="H2159" s="70" t="str">
        <f aca="false">IF(A2159="","",IFERROR(INDEX(السندات!$C$5:$C$504,MATCH(A2159,السندات!$A$5:$A$504,0)),""))</f>
        <v/>
      </c>
      <c r="I2159" s="71" t="str">
        <f aca="false">IF(A2159="","",IFERROR(INDEX(السندات!$D$5:$D$504,MATCH(A2159,السندات!$A$5:$A$504,0)),""))</f>
        <v/>
      </c>
      <c r="J2159" s="72" t="str">
        <f aca="false">IF(A2159="","",IF(ISNA(MATCH(A2159,السندات!$A$5:$A$504,0)),"رقم سند غير موجود ✘",IF(AND(F2159&lt;&gt;"",G2159&lt;&gt;""),"اكتب مدين أو دائن فقط ✘",IF(AND(N(F2159)=0,N(G2159)=0),"بدون مبلغ ⚠",IF(B2159&gt;12,"يتجاوز 12 بنداً في الطباعة ⚠","")))))</f>
        <v/>
      </c>
    </row>
    <row r="2160" customFormat="false" ht="15" hidden="false" customHeight="false" outlineLevel="0" collapsed="false">
      <c r="A2160" s="58"/>
      <c r="B2160" s="73" t="str">
        <f aca="false">IF(A2160="","",COUNTIF(A$5:A2160,A2160))</f>
        <v/>
      </c>
      <c r="C2160" s="73" t="str">
        <f aca="false">IF(A2160="","",A2160&amp;"-"&amp;B2160)</f>
        <v/>
      </c>
      <c r="D2160" s="58"/>
      <c r="E2160" s="57"/>
      <c r="F2160" s="69"/>
      <c r="G2160" s="69"/>
      <c r="H2160" s="74" t="str">
        <f aca="false">IF(A2160="","",IFERROR(INDEX(السندات!$C$5:$C$504,MATCH(A2160,السندات!$A$5:$A$504,0)),""))</f>
        <v/>
      </c>
      <c r="I2160" s="75" t="str">
        <f aca="false">IF(A2160="","",IFERROR(INDEX(السندات!$D$5:$D$504,MATCH(A2160,السندات!$A$5:$A$504,0)),""))</f>
        <v/>
      </c>
      <c r="J2160" s="76" t="str">
        <f aca="false">IF(A2160="","",IF(ISNA(MATCH(A2160,السندات!$A$5:$A$504,0)),"رقم سند غير موجود ✘",IF(AND(F2160&lt;&gt;"",G2160&lt;&gt;""),"اكتب مدين أو دائن فقط ✘",IF(AND(N(F2160)=0,N(G2160)=0),"بدون مبلغ ⚠",IF(B2160&gt;12,"يتجاوز 12 بنداً في الطباعة ⚠","")))))</f>
        <v/>
      </c>
    </row>
    <row r="2161" customFormat="false" ht="15" hidden="false" customHeight="false" outlineLevel="0" collapsed="false">
      <c r="A2161" s="58"/>
      <c r="B2161" s="68" t="str">
        <f aca="false">IF(A2161="","",COUNTIF(A$5:A2161,A2161))</f>
        <v/>
      </c>
      <c r="C2161" s="68" t="str">
        <f aca="false">IF(A2161="","",A2161&amp;"-"&amp;B2161)</f>
        <v/>
      </c>
      <c r="D2161" s="58"/>
      <c r="E2161" s="57"/>
      <c r="F2161" s="69"/>
      <c r="G2161" s="69"/>
      <c r="H2161" s="70" t="str">
        <f aca="false">IF(A2161="","",IFERROR(INDEX(السندات!$C$5:$C$504,MATCH(A2161,السندات!$A$5:$A$504,0)),""))</f>
        <v/>
      </c>
      <c r="I2161" s="71" t="str">
        <f aca="false">IF(A2161="","",IFERROR(INDEX(السندات!$D$5:$D$504,MATCH(A2161,السندات!$A$5:$A$504,0)),""))</f>
        <v/>
      </c>
      <c r="J2161" s="72" t="str">
        <f aca="false">IF(A2161="","",IF(ISNA(MATCH(A2161,السندات!$A$5:$A$504,0)),"رقم سند غير موجود ✘",IF(AND(F2161&lt;&gt;"",G2161&lt;&gt;""),"اكتب مدين أو دائن فقط ✘",IF(AND(N(F2161)=0,N(G2161)=0),"بدون مبلغ ⚠",IF(B2161&gt;12,"يتجاوز 12 بنداً في الطباعة ⚠","")))))</f>
        <v/>
      </c>
    </row>
    <row r="2162" customFormat="false" ht="15" hidden="false" customHeight="false" outlineLevel="0" collapsed="false">
      <c r="A2162" s="58"/>
      <c r="B2162" s="73" t="str">
        <f aca="false">IF(A2162="","",COUNTIF(A$5:A2162,A2162))</f>
        <v/>
      </c>
      <c r="C2162" s="73" t="str">
        <f aca="false">IF(A2162="","",A2162&amp;"-"&amp;B2162)</f>
        <v/>
      </c>
      <c r="D2162" s="58"/>
      <c r="E2162" s="57"/>
      <c r="F2162" s="69"/>
      <c r="G2162" s="69"/>
      <c r="H2162" s="74" t="str">
        <f aca="false">IF(A2162="","",IFERROR(INDEX(السندات!$C$5:$C$504,MATCH(A2162,السندات!$A$5:$A$504,0)),""))</f>
        <v/>
      </c>
      <c r="I2162" s="75" t="str">
        <f aca="false">IF(A2162="","",IFERROR(INDEX(السندات!$D$5:$D$504,MATCH(A2162,السندات!$A$5:$A$504,0)),""))</f>
        <v/>
      </c>
      <c r="J2162" s="76" t="str">
        <f aca="false">IF(A2162="","",IF(ISNA(MATCH(A2162,السندات!$A$5:$A$504,0)),"رقم سند غير موجود ✘",IF(AND(F2162&lt;&gt;"",G2162&lt;&gt;""),"اكتب مدين أو دائن فقط ✘",IF(AND(N(F2162)=0,N(G2162)=0),"بدون مبلغ ⚠",IF(B2162&gt;12,"يتجاوز 12 بنداً في الطباعة ⚠","")))))</f>
        <v/>
      </c>
    </row>
    <row r="2163" customFormat="false" ht="15" hidden="false" customHeight="false" outlineLevel="0" collapsed="false">
      <c r="A2163" s="58"/>
      <c r="B2163" s="68" t="str">
        <f aca="false">IF(A2163="","",COUNTIF(A$5:A2163,A2163))</f>
        <v/>
      </c>
      <c r="C2163" s="68" t="str">
        <f aca="false">IF(A2163="","",A2163&amp;"-"&amp;B2163)</f>
        <v/>
      </c>
      <c r="D2163" s="58"/>
      <c r="E2163" s="57"/>
      <c r="F2163" s="69"/>
      <c r="G2163" s="69"/>
      <c r="H2163" s="70" t="str">
        <f aca="false">IF(A2163="","",IFERROR(INDEX(السندات!$C$5:$C$504,MATCH(A2163,السندات!$A$5:$A$504,0)),""))</f>
        <v/>
      </c>
      <c r="I2163" s="71" t="str">
        <f aca="false">IF(A2163="","",IFERROR(INDEX(السندات!$D$5:$D$504,MATCH(A2163,السندات!$A$5:$A$504,0)),""))</f>
        <v/>
      </c>
      <c r="J2163" s="72" t="str">
        <f aca="false">IF(A2163="","",IF(ISNA(MATCH(A2163,السندات!$A$5:$A$504,0)),"رقم سند غير موجود ✘",IF(AND(F2163&lt;&gt;"",G2163&lt;&gt;""),"اكتب مدين أو دائن فقط ✘",IF(AND(N(F2163)=0,N(G2163)=0),"بدون مبلغ ⚠",IF(B2163&gt;12,"يتجاوز 12 بنداً في الطباعة ⚠","")))))</f>
        <v/>
      </c>
    </row>
    <row r="2164" customFormat="false" ht="15" hidden="false" customHeight="false" outlineLevel="0" collapsed="false">
      <c r="A2164" s="58"/>
      <c r="B2164" s="73" t="str">
        <f aca="false">IF(A2164="","",COUNTIF(A$5:A2164,A2164))</f>
        <v/>
      </c>
      <c r="C2164" s="73" t="str">
        <f aca="false">IF(A2164="","",A2164&amp;"-"&amp;B2164)</f>
        <v/>
      </c>
      <c r="D2164" s="58"/>
      <c r="E2164" s="57"/>
      <c r="F2164" s="69"/>
      <c r="G2164" s="69"/>
      <c r="H2164" s="74" t="str">
        <f aca="false">IF(A2164="","",IFERROR(INDEX(السندات!$C$5:$C$504,MATCH(A2164,السندات!$A$5:$A$504,0)),""))</f>
        <v/>
      </c>
      <c r="I2164" s="75" t="str">
        <f aca="false">IF(A2164="","",IFERROR(INDEX(السندات!$D$5:$D$504,MATCH(A2164,السندات!$A$5:$A$504,0)),""))</f>
        <v/>
      </c>
      <c r="J2164" s="76" t="str">
        <f aca="false">IF(A2164="","",IF(ISNA(MATCH(A2164,السندات!$A$5:$A$504,0)),"رقم سند غير موجود ✘",IF(AND(F2164&lt;&gt;"",G2164&lt;&gt;""),"اكتب مدين أو دائن فقط ✘",IF(AND(N(F2164)=0,N(G2164)=0),"بدون مبلغ ⚠",IF(B2164&gt;12,"يتجاوز 12 بنداً في الطباعة ⚠","")))))</f>
        <v/>
      </c>
    </row>
    <row r="2165" customFormat="false" ht="15" hidden="false" customHeight="false" outlineLevel="0" collapsed="false">
      <c r="A2165" s="58"/>
      <c r="B2165" s="68" t="str">
        <f aca="false">IF(A2165="","",COUNTIF(A$5:A2165,A2165))</f>
        <v/>
      </c>
      <c r="C2165" s="68" t="str">
        <f aca="false">IF(A2165="","",A2165&amp;"-"&amp;B2165)</f>
        <v/>
      </c>
      <c r="D2165" s="58"/>
      <c r="E2165" s="57"/>
      <c r="F2165" s="69"/>
      <c r="G2165" s="69"/>
      <c r="H2165" s="70" t="str">
        <f aca="false">IF(A2165="","",IFERROR(INDEX(السندات!$C$5:$C$504,MATCH(A2165,السندات!$A$5:$A$504,0)),""))</f>
        <v/>
      </c>
      <c r="I2165" s="71" t="str">
        <f aca="false">IF(A2165="","",IFERROR(INDEX(السندات!$D$5:$D$504,MATCH(A2165,السندات!$A$5:$A$504,0)),""))</f>
        <v/>
      </c>
      <c r="J2165" s="72" t="str">
        <f aca="false">IF(A2165="","",IF(ISNA(MATCH(A2165,السندات!$A$5:$A$504,0)),"رقم سند غير موجود ✘",IF(AND(F2165&lt;&gt;"",G2165&lt;&gt;""),"اكتب مدين أو دائن فقط ✘",IF(AND(N(F2165)=0,N(G2165)=0),"بدون مبلغ ⚠",IF(B2165&gt;12,"يتجاوز 12 بنداً في الطباعة ⚠","")))))</f>
        <v/>
      </c>
    </row>
    <row r="2166" customFormat="false" ht="15" hidden="false" customHeight="false" outlineLevel="0" collapsed="false">
      <c r="A2166" s="58"/>
      <c r="B2166" s="73" t="str">
        <f aca="false">IF(A2166="","",COUNTIF(A$5:A2166,A2166))</f>
        <v/>
      </c>
      <c r="C2166" s="73" t="str">
        <f aca="false">IF(A2166="","",A2166&amp;"-"&amp;B2166)</f>
        <v/>
      </c>
      <c r="D2166" s="58"/>
      <c r="E2166" s="57"/>
      <c r="F2166" s="69"/>
      <c r="G2166" s="69"/>
      <c r="H2166" s="74" t="str">
        <f aca="false">IF(A2166="","",IFERROR(INDEX(السندات!$C$5:$C$504,MATCH(A2166,السندات!$A$5:$A$504,0)),""))</f>
        <v/>
      </c>
      <c r="I2166" s="75" t="str">
        <f aca="false">IF(A2166="","",IFERROR(INDEX(السندات!$D$5:$D$504,MATCH(A2166,السندات!$A$5:$A$504,0)),""))</f>
        <v/>
      </c>
      <c r="J2166" s="76" t="str">
        <f aca="false">IF(A2166="","",IF(ISNA(MATCH(A2166,السندات!$A$5:$A$504,0)),"رقم سند غير موجود ✘",IF(AND(F2166&lt;&gt;"",G2166&lt;&gt;""),"اكتب مدين أو دائن فقط ✘",IF(AND(N(F2166)=0,N(G2166)=0),"بدون مبلغ ⚠",IF(B2166&gt;12,"يتجاوز 12 بنداً في الطباعة ⚠","")))))</f>
        <v/>
      </c>
    </row>
    <row r="2167" customFormat="false" ht="15" hidden="false" customHeight="false" outlineLevel="0" collapsed="false">
      <c r="A2167" s="58"/>
      <c r="B2167" s="68" t="str">
        <f aca="false">IF(A2167="","",COUNTIF(A$5:A2167,A2167))</f>
        <v/>
      </c>
      <c r="C2167" s="68" t="str">
        <f aca="false">IF(A2167="","",A2167&amp;"-"&amp;B2167)</f>
        <v/>
      </c>
      <c r="D2167" s="58"/>
      <c r="E2167" s="57"/>
      <c r="F2167" s="69"/>
      <c r="G2167" s="69"/>
      <c r="H2167" s="70" t="str">
        <f aca="false">IF(A2167="","",IFERROR(INDEX(السندات!$C$5:$C$504,MATCH(A2167,السندات!$A$5:$A$504,0)),""))</f>
        <v/>
      </c>
      <c r="I2167" s="71" t="str">
        <f aca="false">IF(A2167="","",IFERROR(INDEX(السندات!$D$5:$D$504,MATCH(A2167,السندات!$A$5:$A$504,0)),""))</f>
        <v/>
      </c>
      <c r="J2167" s="72" t="str">
        <f aca="false">IF(A2167="","",IF(ISNA(MATCH(A2167,السندات!$A$5:$A$504,0)),"رقم سند غير موجود ✘",IF(AND(F2167&lt;&gt;"",G2167&lt;&gt;""),"اكتب مدين أو دائن فقط ✘",IF(AND(N(F2167)=0,N(G2167)=0),"بدون مبلغ ⚠",IF(B2167&gt;12,"يتجاوز 12 بنداً في الطباعة ⚠","")))))</f>
        <v/>
      </c>
    </row>
    <row r="2168" customFormat="false" ht="15" hidden="false" customHeight="false" outlineLevel="0" collapsed="false">
      <c r="A2168" s="58"/>
      <c r="B2168" s="73" t="str">
        <f aca="false">IF(A2168="","",COUNTIF(A$5:A2168,A2168))</f>
        <v/>
      </c>
      <c r="C2168" s="73" t="str">
        <f aca="false">IF(A2168="","",A2168&amp;"-"&amp;B2168)</f>
        <v/>
      </c>
      <c r="D2168" s="58"/>
      <c r="E2168" s="57"/>
      <c r="F2168" s="69"/>
      <c r="G2168" s="69"/>
      <c r="H2168" s="74" t="str">
        <f aca="false">IF(A2168="","",IFERROR(INDEX(السندات!$C$5:$C$504,MATCH(A2168,السندات!$A$5:$A$504,0)),""))</f>
        <v/>
      </c>
      <c r="I2168" s="75" t="str">
        <f aca="false">IF(A2168="","",IFERROR(INDEX(السندات!$D$5:$D$504,MATCH(A2168,السندات!$A$5:$A$504,0)),""))</f>
        <v/>
      </c>
      <c r="J2168" s="76" t="str">
        <f aca="false">IF(A2168="","",IF(ISNA(MATCH(A2168,السندات!$A$5:$A$504,0)),"رقم سند غير موجود ✘",IF(AND(F2168&lt;&gt;"",G2168&lt;&gt;""),"اكتب مدين أو دائن فقط ✘",IF(AND(N(F2168)=0,N(G2168)=0),"بدون مبلغ ⚠",IF(B2168&gt;12,"يتجاوز 12 بنداً في الطباعة ⚠","")))))</f>
        <v/>
      </c>
    </row>
    <row r="2169" customFormat="false" ht="15" hidden="false" customHeight="false" outlineLevel="0" collapsed="false">
      <c r="A2169" s="58"/>
      <c r="B2169" s="68" t="str">
        <f aca="false">IF(A2169="","",COUNTIF(A$5:A2169,A2169))</f>
        <v/>
      </c>
      <c r="C2169" s="68" t="str">
        <f aca="false">IF(A2169="","",A2169&amp;"-"&amp;B2169)</f>
        <v/>
      </c>
      <c r="D2169" s="58"/>
      <c r="E2169" s="57"/>
      <c r="F2169" s="69"/>
      <c r="G2169" s="69"/>
      <c r="H2169" s="70" t="str">
        <f aca="false">IF(A2169="","",IFERROR(INDEX(السندات!$C$5:$C$504,MATCH(A2169,السندات!$A$5:$A$504,0)),""))</f>
        <v/>
      </c>
      <c r="I2169" s="71" t="str">
        <f aca="false">IF(A2169="","",IFERROR(INDEX(السندات!$D$5:$D$504,MATCH(A2169,السندات!$A$5:$A$504,0)),""))</f>
        <v/>
      </c>
      <c r="J2169" s="72" t="str">
        <f aca="false">IF(A2169="","",IF(ISNA(MATCH(A2169,السندات!$A$5:$A$504,0)),"رقم سند غير موجود ✘",IF(AND(F2169&lt;&gt;"",G2169&lt;&gt;""),"اكتب مدين أو دائن فقط ✘",IF(AND(N(F2169)=0,N(G2169)=0),"بدون مبلغ ⚠",IF(B2169&gt;12,"يتجاوز 12 بنداً في الطباعة ⚠","")))))</f>
        <v/>
      </c>
    </row>
    <row r="2170" customFormat="false" ht="15" hidden="false" customHeight="false" outlineLevel="0" collapsed="false">
      <c r="A2170" s="58"/>
      <c r="B2170" s="73" t="str">
        <f aca="false">IF(A2170="","",COUNTIF(A$5:A2170,A2170))</f>
        <v/>
      </c>
      <c r="C2170" s="73" t="str">
        <f aca="false">IF(A2170="","",A2170&amp;"-"&amp;B2170)</f>
        <v/>
      </c>
      <c r="D2170" s="58"/>
      <c r="E2170" s="57"/>
      <c r="F2170" s="69"/>
      <c r="G2170" s="69"/>
      <c r="H2170" s="74" t="str">
        <f aca="false">IF(A2170="","",IFERROR(INDEX(السندات!$C$5:$C$504,MATCH(A2170,السندات!$A$5:$A$504,0)),""))</f>
        <v/>
      </c>
      <c r="I2170" s="75" t="str">
        <f aca="false">IF(A2170="","",IFERROR(INDEX(السندات!$D$5:$D$504,MATCH(A2170,السندات!$A$5:$A$504,0)),""))</f>
        <v/>
      </c>
      <c r="J2170" s="76" t="str">
        <f aca="false">IF(A2170="","",IF(ISNA(MATCH(A2170,السندات!$A$5:$A$504,0)),"رقم سند غير موجود ✘",IF(AND(F2170&lt;&gt;"",G2170&lt;&gt;""),"اكتب مدين أو دائن فقط ✘",IF(AND(N(F2170)=0,N(G2170)=0),"بدون مبلغ ⚠",IF(B2170&gt;12,"يتجاوز 12 بنداً في الطباعة ⚠","")))))</f>
        <v/>
      </c>
    </row>
    <row r="2171" customFormat="false" ht="15" hidden="false" customHeight="false" outlineLevel="0" collapsed="false">
      <c r="A2171" s="58"/>
      <c r="B2171" s="68" t="str">
        <f aca="false">IF(A2171="","",COUNTIF(A$5:A2171,A2171))</f>
        <v/>
      </c>
      <c r="C2171" s="68" t="str">
        <f aca="false">IF(A2171="","",A2171&amp;"-"&amp;B2171)</f>
        <v/>
      </c>
      <c r="D2171" s="58"/>
      <c r="E2171" s="57"/>
      <c r="F2171" s="69"/>
      <c r="G2171" s="69"/>
      <c r="H2171" s="70" t="str">
        <f aca="false">IF(A2171="","",IFERROR(INDEX(السندات!$C$5:$C$504,MATCH(A2171,السندات!$A$5:$A$504,0)),""))</f>
        <v/>
      </c>
      <c r="I2171" s="71" t="str">
        <f aca="false">IF(A2171="","",IFERROR(INDEX(السندات!$D$5:$D$504,MATCH(A2171,السندات!$A$5:$A$504,0)),""))</f>
        <v/>
      </c>
      <c r="J2171" s="72" t="str">
        <f aca="false">IF(A2171="","",IF(ISNA(MATCH(A2171,السندات!$A$5:$A$504,0)),"رقم سند غير موجود ✘",IF(AND(F2171&lt;&gt;"",G2171&lt;&gt;""),"اكتب مدين أو دائن فقط ✘",IF(AND(N(F2171)=0,N(G2171)=0),"بدون مبلغ ⚠",IF(B2171&gt;12,"يتجاوز 12 بنداً في الطباعة ⚠","")))))</f>
        <v/>
      </c>
    </row>
    <row r="2172" customFormat="false" ht="15" hidden="false" customHeight="false" outlineLevel="0" collapsed="false">
      <c r="A2172" s="58"/>
      <c r="B2172" s="73" t="str">
        <f aca="false">IF(A2172="","",COUNTIF(A$5:A2172,A2172))</f>
        <v/>
      </c>
      <c r="C2172" s="73" t="str">
        <f aca="false">IF(A2172="","",A2172&amp;"-"&amp;B2172)</f>
        <v/>
      </c>
      <c r="D2172" s="58"/>
      <c r="E2172" s="57"/>
      <c r="F2172" s="69"/>
      <c r="G2172" s="69"/>
      <c r="H2172" s="74" t="str">
        <f aca="false">IF(A2172="","",IFERROR(INDEX(السندات!$C$5:$C$504,MATCH(A2172,السندات!$A$5:$A$504,0)),""))</f>
        <v/>
      </c>
      <c r="I2172" s="75" t="str">
        <f aca="false">IF(A2172="","",IFERROR(INDEX(السندات!$D$5:$D$504,MATCH(A2172,السندات!$A$5:$A$504,0)),""))</f>
        <v/>
      </c>
      <c r="J2172" s="76" t="str">
        <f aca="false">IF(A2172="","",IF(ISNA(MATCH(A2172,السندات!$A$5:$A$504,0)),"رقم سند غير موجود ✘",IF(AND(F2172&lt;&gt;"",G2172&lt;&gt;""),"اكتب مدين أو دائن فقط ✘",IF(AND(N(F2172)=0,N(G2172)=0),"بدون مبلغ ⚠",IF(B2172&gt;12,"يتجاوز 12 بنداً في الطباعة ⚠","")))))</f>
        <v/>
      </c>
    </row>
    <row r="2173" customFormat="false" ht="15" hidden="false" customHeight="false" outlineLevel="0" collapsed="false">
      <c r="A2173" s="58"/>
      <c r="B2173" s="68" t="str">
        <f aca="false">IF(A2173="","",COUNTIF(A$5:A2173,A2173))</f>
        <v/>
      </c>
      <c r="C2173" s="68" t="str">
        <f aca="false">IF(A2173="","",A2173&amp;"-"&amp;B2173)</f>
        <v/>
      </c>
      <c r="D2173" s="58"/>
      <c r="E2173" s="57"/>
      <c r="F2173" s="69"/>
      <c r="G2173" s="69"/>
      <c r="H2173" s="70" t="str">
        <f aca="false">IF(A2173="","",IFERROR(INDEX(السندات!$C$5:$C$504,MATCH(A2173,السندات!$A$5:$A$504,0)),""))</f>
        <v/>
      </c>
      <c r="I2173" s="71" t="str">
        <f aca="false">IF(A2173="","",IFERROR(INDEX(السندات!$D$5:$D$504,MATCH(A2173,السندات!$A$5:$A$504,0)),""))</f>
        <v/>
      </c>
      <c r="J2173" s="72" t="str">
        <f aca="false">IF(A2173="","",IF(ISNA(MATCH(A2173,السندات!$A$5:$A$504,0)),"رقم سند غير موجود ✘",IF(AND(F2173&lt;&gt;"",G2173&lt;&gt;""),"اكتب مدين أو دائن فقط ✘",IF(AND(N(F2173)=0,N(G2173)=0),"بدون مبلغ ⚠",IF(B2173&gt;12,"يتجاوز 12 بنداً في الطباعة ⚠","")))))</f>
        <v/>
      </c>
    </row>
    <row r="2174" customFormat="false" ht="15" hidden="false" customHeight="false" outlineLevel="0" collapsed="false">
      <c r="A2174" s="58"/>
      <c r="B2174" s="73" t="str">
        <f aca="false">IF(A2174="","",COUNTIF(A$5:A2174,A2174))</f>
        <v/>
      </c>
      <c r="C2174" s="73" t="str">
        <f aca="false">IF(A2174="","",A2174&amp;"-"&amp;B2174)</f>
        <v/>
      </c>
      <c r="D2174" s="58"/>
      <c r="E2174" s="57"/>
      <c r="F2174" s="69"/>
      <c r="G2174" s="69"/>
      <c r="H2174" s="74" t="str">
        <f aca="false">IF(A2174="","",IFERROR(INDEX(السندات!$C$5:$C$504,MATCH(A2174,السندات!$A$5:$A$504,0)),""))</f>
        <v/>
      </c>
      <c r="I2174" s="75" t="str">
        <f aca="false">IF(A2174="","",IFERROR(INDEX(السندات!$D$5:$D$504,MATCH(A2174,السندات!$A$5:$A$504,0)),""))</f>
        <v/>
      </c>
      <c r="J2174" s="76" t="str">
        <f aca="false">IF(A2174="","",IF(ISNA(MATCH(A2174,السندات!$A$5:$A$504,0)),"رقم سند غير موجود ✘",IF(AND(F2174&lt;&gt;"",G2174&lt;&gt;""),"اكتب مدين أو دائن فقط ✘",IF(AND(N(F2174)=0,N(G2174)=0),"بدون مبلغ ⚠",IF(B2174&gt;12,"يتجاوز 12 بنداً في الطباعة ⚠","")))))</f>
        <v/>
      </c>
    </row>
    <row r="2175" customFormat="false" ht="15" hidden="false" customHeight="false" outlineLevel="0" collapsed="false">
      <c r="A2175" s="58"/>
      <c r="B2175" s="68" t="str">
        <f aca="false">IF(A2175="","",COUNTIF(A$5:A2175,A2175))</f>
        <v/>
      </c>
      <c r="C2175" s="68" t="str">
        <f aca="false">IF(A2175="","",A2175&amp;"-"&amp;B2175)</f>
        <v/>
      </c>
      <c r="D2175" s="58"/>
      <c r="E2175" s="57"/>
      <c r="F2175" s="69"/>
      <c r="G2175" s="69"/>
      <c r="H2175" s="70" t="str">
        <f aca="false">IF(A2175="","",IFERROR(INDEX(السندات!$C$5:$C$504,MATCH(A2175,السندات!$A$5:$A$504,0)),""))</f>
        <v/>
      </c>
      <c r="I2175" s="71" t="str">
        <f aca="false">IF(A2175="","",IFERROR(INDEX(السندات!$D$5:$D$504,MATCH(A2175,السندات!$A$5:$A$504,0)),""))</f>
        <v/>
      </c>
      <c r="J2175" s="72" t="str">
        <f aca="false">IF(A2175="","",IF(ISNA(MATCH(A2175,السندات!$A$5:$A$504,0)),"رقم سند غير موجود ✘",IF(AND(F2175&lt;&gt;"",G2175&lt;&gt;""),"اكتب مدين أو دائن فقط ✘",IF(AND(N(F2175)=0,N(G2175)=0),"بدون مبلغ ⚠",IF(B2175&gt;12,"يتجاوز 12 بنداً في الطباعة ⚠","")))))</f>
        <v/>
      </c>
    </row>
    <row r="2176" customFormat="false" ht="15" hidden="false" customHeight="false" outlineLevel="0" collapsed="false">
      <c r="A2176" s="58"/>
      <c r="B2176" s="73" t="str">
        <f aca="false">IF(A2176="","",COUNTIF(A$5:A2176,A2176))</f>
        <v/>
      </c>
      <c r="C2176" s="73" t="str">
        <f aca="false">IF(A2176="","",A2176&amp;"-"&amp;B2176)</f>
        <v/>
      </c>
      <c r="D2176" s="58"/>
      <c r="E2176" s="57"/>
      <c r="F2176" s="69"/>
      <c r="G2176" s="69"/>
      <c r="H2176" s="74" t="str">
        <f aca="false">IF(A2176="","",IFERROR(INDEX(السندات!$C$5:$C$504,MATCH(A2176,السندات!$A$5:$A$504,0)),""))</f>
        <v/>
      </c>
      <c r="I2176" s="75" t="str">
        <f aca="false">IF(A2176="","",IFERROR(INDEX(السندات!$D$5:$D$504,MATCH(A2176,السندات!$A$5:$A$504,0)),""))</f>
        <v/>
      </c>
      <c r="J2176" s="76" t="str">
        <f aca="false">IF(A2176="","",IF(ISNA(MATCH(A2176,السندات!$A$5:$A$504,0)),"رقم سند غير موجود ✘",IF(AND(F2176&lt;&gt;"",G2176&lt;&gt;""),"اكتب مدين أو دائن فقط ✘",IF(AND(N(F2176)=0,N(G2176)=0),"بدون مبلغ ⚠",IF(B2176&gt;12,"يتجاوز 12 بنداً في الطباعة ⚠","")))))</f>
        <v/>
      </c>
    </row>
    <row r="2177" customFormat="false" ht="15" hidden="false" customHeight="false" outlineLevel="0" collapsed="false">
      <c r="A2177" s="58"/>
      <c r="B2177" s="68" t="str">
        <f aca="false">IF(A2177="","",COUNTIF(A$5:A2177,A2177))</f>
        <v/>
      </c>
      <c r="C2177" s="68" t="str">
        <f aca="false">IF(A2177="","",A2177&amp;"-"&amp;B2177)</f>
        <v/>
      </c>
      <c r="D2177" s="58"/>
      <c r="E2177" s="57"/>
      <c r="F2177" s="69"/>
      <c r="G2177" s="69"/>
      <c r="H2177" s="70" t="str">
        <f aca="false">IF(A2177="","",IFERROR(INDEX(السندات!$C$5:$C$504,MATCH(A2177,السندات!$A$5:$A$504,0)),""))</f>
        <v/>
      </c>
      <c r="I2177" s="71" t="str">
        <f aca="false">IF(A2177="","",IFERROR(INDEX(السندات!$D$5:$D$504,MATCH(A2177,السندات!$A$5:$A$504,0)),""))</f>
        <v/>
      </c>
      <c r="J2177" s="72" t="str">
        <f aca="false">IF(A2177="","",IF(ISNA(MATCH(A2177,السندات!$A$5:$A$504,0)),"رقم سند غير موجود ✘",IF(AND(F2177&lt;&gt;"",G2177&lt;&gt;""),"اكتب مدين أو دائن فقط ✘",IF(AND(N(F2177)=0,N(G2177)=0),"بدون مبلغ ⚠",IF(B2177&gt;12,"يتجاوز 12 بنداً في الطباعة ⚠","")))))</f>
        <v/>
      </c>
    </row>
    <row r="2178" customFormat="false" ht="15" hidden="false" customHeight="false" outlineLevel="0" collapsed="false">
      <c r="A2178" s="58"/>
      <c r="B2178" s="73" t="str">
        <f aca="false">IF(A2178="","",COUNTIF(A$5:A2178,A2178))</f>
        <v/>
      </c>
      <c r="C2178" s="73" t="str">
        <f aca="false">IF(A2178="","",A2178&amp;"-"&amp;B2178)</f>
        <v/>
      </c>
      <c r="D2178" s="58"/>
      <c r="E2178" s="57"/>
      <c r="F2178" s="69"/>
      <c r="G2178" s="69"/>
      <c r="H2178" s="74" t="str">
        <f aca="false">IF(A2178="","",IFERROR(INDEX(السندات!$C$5:$C$504,MATCH(A2178,السندات!$A$5:$A$504,0)),""))</f>
        <v/>
      </c>
      <c r="I2178" s="75" t="str">
        <f aca="false">IF(A2178="","",IFERROR(INDEX(السندات!$D$5:$D$504,MATCH(A2178,السندات!$A$5:$A$504,0)),""))</f>
        <v/>
      </c>
      <c r="J2178" s="76" t="str">
        <f aca="false">IF(A2178="","",IF(ISNA(MATCH(A2178,السندات!$A$5:$A$504,0)),"رقم سند غير موجود ✘",IF(AND(F2178&lt;&gt;"",G2178&lt;&gt;""),"اكتب مدين أو دائن فقط ✘",IF(AND(N(F2178)=0,N(G2178)=0),"بدون مبلغ ⚠",IF(B2178&gt;12,"يتجاوز 12 بنداً في الطباعة ⚠","")))))</f>
        <v/>
      </c>
    </row>
    <row r="2179" customFormat="false" ht="15" hidden="false" customHeight="false" outlineLevel="0" collapsed="false">
      <c r="A2179" s="58"/>
      <c r="B2179" s="68" t="str">
        <f aca="false">IF(A2179="","",COUNTIF(A$5:A2179,A2179))</f>
        <v/>
      </c>
      <c r="C2179" s="68" t="str">
        <f aca="false">IF(A2179="","",A2179&amp;"-"&amp;B2179)</f>
        <v/>
      </c>
      <c r="D2179" s="58"/>
      <c r="E2179" s="57"/>
      <c r="F2179" s="69"/>
      <c r="G2179" s="69"/>
      <c r="H2179" s="70" t="str">
        <f aca="false">IF(A2179="","",IFERROR(INDEX(السندات!$C$5:$C$504,MATCH(A2179,السندات!$A$5:$A$504,0)),""))</f>
        <v/>
      </c>
      <c r="I2179" s="71" t="str">
        <f aca="false">IF(A2179="","",IFERROR(INDEX(السندات!$D$5:$D$504,MATCH(A2179,السندات!$A$5:$A$504,0)),""))</f>
        <v/>
      </c>
      <c r="J2179" s="72" t="str">
        <f aca="false">IF(A2179="","",IF(ISNA(MATCH(A2179,السندات!$A$5:$A$504,0)),"رقم سند غير موجود ✘",IF(AND(F2179&lt;&gt;"",G2179&lt;&gt;""),"اكتب مدين أو دائن فقط ✘",IF(AND(N(F2179)=0,N(G2179)=0),"بدون مبلغ ⚠",IF(B2179&gt;12,"يتجاوز 12 بنداً في الطباعة ⚠","")))))</f>
        <v/>
      </c>
    </row>
    <row r="2180" customFormat="false" ht="15" hidden="false" customHeight="false" outlineLevel="0" collapsed="false">
      <c r="A2180" s="58"/>
      <c r="B2180" s="73" t="str">
        <f aca="false">IF(A2180="","",COUNTIF(A$5:A2180,A2180))</f>
        <v/>
      </c>
      <c r="C2180" s="73" t="str">
        <f aca="false">IF(A2180="","",A2180&amp;"-"&amp;B2180)</f>
        <v/>
      </c>
      <c r="D2180" s="58"/>
      <c r="E2180" s="57"/>
      <c r="F2180" s="69"/>
      <c r="G2180" s="69"/>
      <c r="H2180" s="74" t="str">
        <f aca="false">IF(A2180="","",IFERROR(INDEX(السندات!$C$5:$C$504,MATCH(A2180,السندات!$A$5:$A$504,0)),""))</f>
        <v/>
      </c>
      <c r="I2180" s="75" t="str">
        <f aca="false">IF(A2180="","",IFERROR(INDEX(السندات!$D$5:$D$504,MATCH(A2180,السندات!$A$5:$A$504,0)),""))</f>
        <v/>
      </c>
      <c r="J2180" s="76" t="str">
        <f aca="false">IF(A2180="","",IF(ISNA(MATCH(A2180,السندات!$A$5:$A$504,0)),"رقم سند غير موجود ✘",IF(AND(F2180&lt;&gt;"",G2180&lt;&gt;""),"اكتب مدين أو دائن فقط ✘",IF(AND(N(F2180)=0,N(G2180)=0),"بدون مبلغ ⚠",IF(B2180&gt;12,"يتجاوز 12 بنداً في الطباعة ⚠","")))))</f>
        <v/>
      </c>
    </row>
    <row r="2181" customFormat="false" ht="15" hidden="false" customHeight="false" outlineLevel="0" collapsed="false">
      <c r="A2181" s="58"/>
      <c r="B2181" s="68" t="str">
        <f aca="false">IF(A2181="","",COUNTIF(A$5:A2181,A2181))</f>
        <v/>
      </c>
      <c r="C2181" s="68" t="str">
        <f aca="false">IF(A2181="","",A2181&amp;"-"&amp;B2181)</f>
        <v/>
      </c>
      <c r="D2181" s="58"/>
      <c r="E2181" s="57"/>
      <c r="F2181" s="69"/>
      <c r="G2181" s="69"/>
      <c r="H2181" s="70" t="str">
        <f aca="false">IF(A2181="","",IFERROR(INDEX(السندات!$C$5:$C$504,MATCH(A2181,السندات!$A$5:$A$504,0)),""))</f>
        <v/>
      </c>
      <c r="I2181" s="71" t="str">
        <f aca="false">IF(A2181="","",IFERROR(INDEX(السندات!$D$5:$D$504,MATCH(A2181,السندات!$A$5:$A$504,0)),""))</f>
        <v/>
      </c>
      <c r="J2181" s="72" t="str">
        <f aca="false">IF(A2181="","",IF(ISNA(MATCH(A2181,السندات!$A$5:$A$504,0)),"رقم سند غير موجود ✘",IF(AND(F2181&lt;&gt;"",G2181&lt;&gt;""),"اكتب مدين أو دائن فقط ✘",IF(AND(N(F2181)=0,N(G2181)=0),"بدون مبلغ ⚠",IF(B2181&gt;12,"يتجاوز 12 بنداً في الطباعة ⚠","")))))</f>
        <v/>
      </c>
    </row>
    <row r="2182" customFormat="false" ht="15" hidden="false" customHeight="false" outlineLevel="0" collapsed="false">
      <c r="A2182" s="58"/>
      <c r="B2182" s="73" t="str">
        <f aca="false">IF(A2182="","",COUNTIF(A$5:A2182,A2182))</f>
        <v/>
      </c>
      <c r="C2182" s="73" t="str">
        <f aca="false">IF(A2182="","",A2182&amp;"-"&amp;B2182)</f>
        <v/>
      </c>
      <c r="D2182" s="58"/>
      <c r="E2182" s="57"/>
      <c r="F2182" s="69"/>
      <c r="G2182" s="69"/>
      <c r="H2182" s="74" t="str">
        <f aca="false">IF(A2182="","",IFERROR(INDEX(السندات!$C$5:$C$504,MATCH(A2182,السندات!$A$5:$A$504,0)),""))</f>
        <v/>
      </c>
      <c r="I2182" s="75" t="str">
        <f aca="false">IF(A2182="","",IFERROR(INDEX(السندات!$D$5:$D$504,MATCH(A2182,السندات!$A$5:$A$504,0)),""))</f>
        <v/>
      </c>
      <c r="J2182" s="76" t="str">
        <f aca="false">IF(A2182="","",IF(ISNA(MATCH(A2182,السندات!$A$5:$A$504,0)),"رقم سند غير موجود ✘",IF(AND(F2182&lt;&gt;"",G2182&lt;&gt;""),"اكتب مدين أو دائن فقط ✘",IF(AND(N(F2182)=0,N(G2182)=0),"بدون مبلغ ⚠",IF(B2182&gt;12,"يتجاوز 12 بنداً في الطباعة ⚠","")))))</f>
        <v/>
      </c>
    </row>
    <row r="2183" customFormat="false" ht="15" hidden="false" customHeight="false" outlineLevel="0" collapsed="false">
      <c r="A2183" s="58"/>
      <c r="B2183" s="68" t="str">
        <f aca="false">IF(A2183="","",COUNTIF(A$5:A2183,A2183))</f>
        <v/>
      </c>
      <c r="C2183" s="68" t="str">
        <f aca="false">IF(A2183="","",A2183&amp;"-"&amp;B2183)</f>
        <v/>
      </c>
      <c r="D2183" s="58"/>
      <c r="E2183" s="57"/>
      <c r="F2183" s="69"/>
      <c r="G2183" s="69"/>
      <c r="H2183" s="70" t="str">
        <f aca="false">IF(A2183="","",IFERROR(INDEX(السندات!$C$5:$C$504,MATCH(A2183,السندات!$A$5:$A$504,0)),""))</f>
        <v/>
      </c>
      <c r="I2183" s="71" t="str">
        <f aca="false">IF(A2183="","",IFERROR(INDEX(السندات!$D$5:$D$504,MATCH(A2183,السندات!$A$5:$A$504,0)),""))</f>
        <v/>
      </c>
      <c r="J2183" s="72" t="str">
        <f aca="false">IF(A2183="","",IF(ISNA(MATCH(A2183,السندات!$A$5:$A$504,0)),"رقم سند غير موجود ✘",IF(AND(F2183&lt;&gt;"",G2183&lt;&gt;""),"اكتب مدين أو دائن فقط ✘",IF(AND(N(F2183)=0,N(G2183)=0),"بدون مبلغ ⚠",IF(B2183&gt;12,"يتجاوز 12 بنداً في الطباعة ⚠","")))))</f>
        <v/>
      </c>
    </row>
    <row r="2184" customFormat="false" ht="15" hidden="false" customHeight="false" outlineLevel="0" collapsed="false">
      <c r="A2184" s="58"/>
      <c r="B2184" s="73" t="str">
        <f aca="false">IF(A2184="","",COUNTIF(A$5:A2184,A2184))</f>
        <v/>
      </c>
      <c r="C2184" s="73" t="str">
        <f aca="false">IF(A2184="","",A2184&amp;"-"&amp;B2184)</f>
        <v/>
      </c>
      <c r="D2184" s="58"/>
      <c r="E2184" s="57"/>
      <c r="F2184" s="69"/>
      <c r="G2184" s="69"/>
      <c r="H2184" s="74" t="str">
        <f aca="false">IF(A2184="","",IFERROR(INDEX(السندات!$C$5:$C$504,MATCH(A2184,السندات!$A$5:$A$504,0)),""))</f>
        <v/>
      </c>
      <c r="I2184" s="75" t="str">
        <f aca="false">IF(A2184="","",IFERROR(INDEX(السندات!$D$5:$D$504,MATCH(A2184,السندات!$A$5:$A$504,0)),""))</f>
        <v/>
      </c>
      <c r="J2184" s="76" t="str">
        <f aca="false">IF(A2184="","",IF(ISNA(MATCH(A2184,السندات!$A$5:$A$504,0)),"رقم سند غير موجود ✘",IF(AND(F2184&lt;&gt;"",G2184&lt;&gt;""),"اكتب مدين أو دائن فقط ✘",IF(AND(N(F2184)=0,N(G2184)=0),"بدون مبلغ ⚠",IF(B2184&gt;12,"يتجاوز 12 بنداً في الطباعة ⚠","")))))</f>
        <v/>
      </c>
    </row>
    <row r="2185" customFormat="false" ht="15" hidden="false" customHeight="false" outlineLevel="0" collapsed="false">
      <c r="A2185" s="58"/>
      <c r="B2185" s="68" t="str">
        <f aca="false">IF(A2185="","",COUNTIF(A$5:A2185,A2185))</f>
        <v/>
      </c>
      <c r="C2185" s="68" t="str">
        <f aca="false">IF(A2185="","",A2185&amp;"-"&amp;B2185)</f>
        <v/>
      </c>
      <c r="D2185" s="58"/>
      <c r="E2185" s="57"/>
      <c r="F2185" s="69"/>
      <c r="G2185" s="69"/>
      <c r="H2185" s="70" t="str">
        <f aca="false">IF(A2185="","",IFERROR(INDEX(السندات!$C$5:$C$504,MATCH(A2185,السندات!$A$5:$A$504,0)),""))</f>
        <v/>
      </c>
      <c r="I2185" s="71" t="str">
        <f aca="false">IF(A2185="","",IFERROR(INDEX(السندات!$D$5:$D$504,MATCH(A2185,السندات!$A$5:$A$504,0)),""))</f>
        <v/>
      </c>
      <c r="J2185" s="72" t="str">
        <f aca="false">IF(A2185="","",IF(ISNA(MATCH(A2185,السندات!$A$5:$A$504,0)),"رقم سند غير موجود ✘",IF(AND(F2185&lt;&gt;"",G2185&lt;&gt;""),"اكتب مدين أو دائن فقط ✘",IF(AND(N(F2185)=0,N(G2185)=0),"بدون مبلغ ⚠",IF(B2185&gt;12,"يتجاوز 12 بنداً في الطباعة ⚠","")))))</f>
        <v/>
      </c>
    </row>
    <row r="2186" customFormat="false" ht="15" hidden="false" customHeight="false" outlineLevel="0" collapsed="false">
      <c r="A2186" s="58"/>
      <c r="B2186" s="73" t="str">
        <f aca="false">IF(A2186="","",COUNTIF(A$5:A2186,A2186))</f>
        <v/>
      </c>
      <c r="C2186" s="73" t="str">
        <f aca="false">IF(A2186="","",A2186&amp;"-"&amp;B2186)</f>
        <v/>
      </c>
      <c r="D2186" s="58"/>
      <c r="E2186" s="57"/>
      <c r="F2186" s="69"/>
      <c r="G2186" s="69"/>
      <c r="H2186" s="74" t="str">
        <f aca="false">IF(A2186="","",IFERROR(INDEX(السندات!$C$5:$C$504,MATCH(A2186,السندات!$A$5:$A$504,0)),""))</f>
        <v/>
      </c>
      <c r="I2186" s="75" t="str">
        <f aca="false">IF(A2186="","",IFERROR(INDEX(السندات!$D$5:$D$504,MATCH(A2186,السندات!$A$5:$A$504,0)),""))</f>
        <v/>
      </c>
      <c r="J2186" s="76" t="str">
        <f aca="false">IF(A2186="","",IF(ISNA(MATCH(A2186,السندات!$A$5:$A$504,0)),"رقم سند غير موجود ✘",IF(AND(F2186&lt;&gt;"",G2186&lt;&gt;""),"اكتب مدين أو دائن فقط ✘",IF(AND(N(F2186)=0,N(G2186)=0),"بدون مبلغ ⚠",IF(B2186&gt;12,"يتجاوز 12 بنداً في الطباعة ⚠","")))))</f>
        <v/>
      </c>
    </row>
    <row r="2187" customFormat="false" ht="15" hidden="false" customHeight="false" outlineLevel="0" collapsed="false">
      <c r="A2187" s="58"/>
      <c r="B2187" s="68" t="str">
        <f aca="false">IF(A2187="","",COUNTIF(A$5:A2187,A2187))</f>
        <v/>
      </c>
      <c r="C2187" s="68" t="str">
        <f aca="false">IF(A2187="","",A2187&amp;"-"&amp;B2187)</f>
        <v/>
      </c>
      <c r="D2187" s="58"/>
      <c r="E2187" s="57"/>
      <c r="F2187" s="69"/>
      <c r="G2187" s="69"/>
      <c r="H2187" s="70" t="str">
        <f aca="false">IF(A2187="","",IFERROR(INDEX(السندات!$C$5:$C$504,MATCH(A2187,السندات!$A$5:$A$504,0)),""))</f>
        <v/>
      </c>
      <c r="I2187" s="71" t="str">
        <f aca="false">IF(A2187="","",IFERROR(INDEX(السندات!$D$5:$D$504,MATCH(A2187,السندات!$A$5:$A$504,0)),""))</f>
        <v/>
      </c>
      <c r="J2187" s="72" t="str">
        <f aca="false">IF(A2187="","",IF(ISNA(MATCH(A2187,السندات!$A$5:$A$504,0)),"رقم سند غير موجود ✘",IF(AND(F2187&lt;&gt;"",G2187&lt;&gt;""),"اكتب مدين أو دائن فقط ✘",IF(AND(N(F2187)=0,N(G2187)=0),"بدون مبلغ ⚠",IF(B2187&gt;12,"يتجاوز 12 بنداً في الطباعة ⚠","")))))</f>
        <v/>
      </c>
    </row>
    <row r="2188" customFormat="false" ht="15" hidden="false" customHeight="false" outlineLevel="0" collapsed="false">
      <c r="A2188" s="58"/>
      <c r="B2188" s="73" t="str">
        <f aca="false">IF(A2188="","",COUNTIF(A$5:A2188,A2188))</f>
        <v/>
      </c>
      <c r="C2188" s="73" t="str">
        <f aca="false">IF(A2188="","",A2188&amp;"-"&amp;B2188)</f>
        <v/>
      </c>
      <c r="D2188" s="58"/>
      <c r="E2188" s="57"/>
      <c r="F2188" s="69"/>
      <c r="G2188" s="69"/>
      <c r="H2188" s="74" t="str">
        <f aca="false">IF(A2188="","",IFERROR(INDEX(السندات!$C$5:$C$504,MATCH(A2188,السندات!$A$5:$A$504,0)),""))</f>
        <v/>
      </c>
      <c r="I2188" s="75" t="str">
        <f aca="false">IF(A2188="","",IFERROR(INDEX(السندات!$D$5:$D$504,MATCH(A2188,السندات!$A$5:$A$504,0)),""))</f>
        <v/>
      </c>
      <c r="J2188" s="76" t="str">
        <f aca="false">IF(A2188="","",IF(ISNA(MATCH(A2188,السندات!$A$5:$A$504,0)),"رقم سند غير موجود ✘",IF(AND(F2188&lt;&gt;"",G2188&lt;&gt;""),"اكتب مدين أو دائن فقط ✘",IF(AND(N(F2188)=0,N(G2188)=0),"بدون مبلغ ⚠",IF(B2188&gt;12,"يتجاوز 12 بنداً في الطباعة ⚠","")))))</f>
        <v/>
      </c>
    </row>
    <row r="2189" customFormat="false" ht="15" hidden="false" customHeight="false" outlineLevel="0" collapsed="false">
      <c r="A2189" s="58"/>
      <c r="B2189" s="68" t="str">
        <f aca="false">IF(A2189="","",COUNTIF(A$5:A2189,A2189))</f>
        <v/>
      </c>
      <c r="C2189" s="68" t="str">
        <f aca="false">IF(A2189="","",A2189&amp;"-"&amp;B2189)</f>
        <v/>
      </c>
      <c r="D2189" s="58"/>
      <c r="E2189" s="57"/>
      <c r="F2189" s="69"/>
      <c r="G2189" s="69"/>
      <c r="H2189" s="70" t="str">
        <f aca="false">IF(A2189="","",IFERROR(INDEX(السندات!$C$5:$C$504,MATCH(A2189,السندات!$A$5:$A$504,0)),""))</f>
        <v/>
      </c>
      <c r="I2189" s="71" t="str">
        <f aca="false">IF(A2189="","",IFERROR(INDEX(السندات!$D$5:$D$504,MATCH(A2189,السندات!$A$5:$A$504,0)),""))</f>
        <v/>
      </c>
      <c r="J2189" s="72" t="str">
        <f aca="false">IF(A2189="","",IF(ISNA(MATCH(A2189,السندات!$A$5:$A$504,0)),"رقم سند غير موجود ✘",IF(AND(F2189&lt;&gt;"",G2189&lt;&gt;""),"اكتب مدين أو دائن فقط ✘",IF(AND(N(F2189)=0,N(G2189)=0),"بدون مبلغ ⚠",IF(B2189&gt;12,"يتجاوز 12 بنداً في الطباعة ⚠","")))))</f>
        <v/>
      </c>
    </row>
    <row r="2190" customFormat="false" ht="15" hidden="false" customHeight="false" outlineLevel="0" collapsed="false">
      <c r="A2190" s="58"/>
      <c r="B2190" s="73" t="str">
        <f aca="false">IF(A2190="","",COUNTIF(A$5:A2190,A2190))</f>
        <v/>
      </c>
      <c r="C2190" s="73" t="str">
        <f aca="false">IF(A2190="","",A2190&amp;"-"&amp;B2190)</f>
        <v/>
      </c>
      <c r="D2190" s="58"/>
      <c r="E2190" s="57"/>
      <c r="F2190" s="69"/>
      <c r="G2190" s="69"/>
      <c r="H2190" s="74" t="str">
        <f aca="false">IF(A2190="","",IFERROR(INDEX(السندات!$C$5:$C$504,MATCH(A2190,السندات!$A$5:$A$504,0)),""))</f>
        <v/>
      </c>
      <c r="I2190" s="75" t="str">
        <f aca="false">IF(A2190="","",IFERROR(INDEX(السندات!$D$5:$D$504,MATCH(A2190,السندات!$A$5:$A$504,0)),""))</f>
        <v/>
      </c>
      <c r="J2190" s="76" t="str">
        <f aca="false">IF(A2190="","",IF(ISNA(MATCH(A2190,السندات!$A$5:$A$504,0)),"رقم سند غير موجود ✘",IF(AND(F2190&lt;&gt;"",G2190&lt;&gt;""),"اكتب مدين أو دائن فقط ✘",IF(AND(N(F2190)=0,N(G2190)=0),"بدون مبلغ ⚠",IF(B2190&gt;12,"يتجاوز 12 بنداً في الطباعة ⚠","")))))</f>
        <v/>
      </c>
    </row>
    <row r="2191" customFormat="false" ht="15" hidden="false" customHeight="false" outlineLevel="0" collapsed="false">
      <c r="A2191" s="58"/>
      <c r="B2191" s="68" t="str">
        <f aca="false">IF(A2191="","",COUNTIF(A$5:A2191,A2191))</f>
        <v/>
      </c>
      <c r="C2191" s="68" t="str">
        <f aca="false">IF(A2191="","",A2191&amp;"-"&amp;B2191)</f>
        <v/>
      </c>
      <c r="D2191" s="58"/>
      <c r="E2191" s="57"/>
      <c r="F2191" s="69"/>
      <c r="G2191" s="69"/>
      <c r="H2191" s="70" t="str">
        <f aca="false">IF(A2191="","",IFERROR(INDEX(السندات!$C$5:$C$504,MATCH(A2191,السندات!$A$5:$A$504,0)),""))</f>
        <v/>
      </c>
      <c r="I2191" s="71" t="str">
        <f aca="false">IF(A2191="","",IFERROR(INDEX(السندات!$D$5:$D$504,MATCH(A2191,السندات!$A$5:$A$504,0)),""))</f>
        <v/>
      </c>
      <c r="J2191" s="72" t="str">
        <f aca="false">IF(A2191="","",IF(ISNA(MATCH(A2191,السندات!$A$5:$A$504,0)),"رقم سند غير موجود ✘",IF(AND(F2191&lt;&gt;"",G2191&lt;&gt;""),"اكتب مدين أو دائن فقط ✘",IF(AND(N(F2191)=0,N(G2191)=0),"بدون مبلغ ⚠",IF(B2191&gt;12,"يتجاوز 12 بنداً في الطباعة ⚠","")))))</f>
        <v/>
      </c>
    </row>
    <row r="2192" customFormat="false" ht="15" hidden="false" customHeight="false" outlineLevel="0" collapsed="false">
      <c r="A2192" s="58"/>
      <c r="B2192" s="73" t="str">
        <f aca="false">IF(A2192="","",COUNTIF(A$5:A2192,A2192))</f>
        <v/>
      </c>
      <c r="C2192" s="73" t="str">
        <f aca="false">IF(A2192="","",A2192&amp;"-"&amp;B2192)</f>
        <v/>
      </c>
      <c r="D2192" s="58"/>
      <c r="E2192" s="57"/>
      <c r="F2192" s="69"/>
      <c r="G2192" s="69"/>
      <c r="H2192" s="74" t="str">
        <f aca="false">IF(A2192="","",IFERROR(INDEX(السندات!$C$5:$C$504,MATCH(A2192,السندات!$A$5:$A$504,0)),""))</f>
        <v/>
      </c>
      <c r="I2192" s="75" t="str">
        <f aca="false">IF(A2192="","",IFERROR(INDEX(السندات!$D$5:$D$504,MATCH(A2192,السندات!$A$5:$A$504,0)),""))</f>
        <v/>
      </c>
      <c r="J2192" s="76" t="str">
        <f aca="false">IF(A2192="","",IF(ISNA(MATCH(A2192,السندات!$A$5:$A$504,0)),"رقم سند غير موجود ✘",IF(AND(F2192&lt;&gt;"",G2192&lt;&gt;""),"اكتب مدين أو دائن فقط ✘",IF(AND(N(F2192)=0,N(G2192)=0),"بدون مبلغ ⚠",IF(B2192&gt;12,"يتجاوز 12 بنداً في الطباعة ⚠","")))))</f>
        <v/>
      </c>
    </row>
    <row r="2193" customFormat="false" ht="15" hidden="false" customHeight="false" outlineLevel="0" collapsed="false">
      <c r="A2193" s="58"/>
      <c r="B2193" s="68" t="str">
        <f aca="false">IF(A2193="","",COUNTIF(A$5:A2193,A2193))</f>
        <v/>
      </c>
      <c r="C2193" s="68" t="str">
        <f aca="false">IF(A2193="","",A2193&amp;"-"&amp;B2193)</f>
        <v/>
      </c>
      <c r="D2193" s="58"/>
      <c r="E2193" s="57"/>
      <c r="F2193" s="69"/>
      <c r="G2193" s="69"/>
      <c r="H2193" s="70" t="str">
        <f aca="false">IF(A2193="","",IFERROR(INDEX(السندات!$C$5:$C$504,MATCH(A2193,السندات!$A$5:$A$504,0)),""))</f>
        <v/>
      </c>
      <c r="I2193" s="71" t="str">
        <f aca="false">IF(A2193="","",IFERROR(INDEX(السندات!$D$5:$D$504,MATCH(A2193,السندات!$A$5:$A$504,0)),""))</f>
        <v/>
      </c>
      <c r="J2193" s="72" t="str">
        <f aca="false">IF(A2193="","",IF(ISNA(MATCH(A2193,السندات!$A$5:$A$504,0)),"رقم سند غير موجود ✘",IF(AND(F2193&lt;&gt;"",G2193&lt;&gt;""),"اكتب مدين أو دائن فقط ✘",IF(AND(N(F2193)=0,N(G2193)=0),"بدون مبلغ ⚠",IF(B2193&gt;12,"يتجاوز 12 بنداً في الطباعة ⚠","")))))</f>
        <v/>
      </c>
    </row>
    <row r="2194" customFormat="false" ht="15" hidden="false" customHeight="false" outlineLevel="0" collapsed="false">
      <c r="A2194" s="58"/>
      <c r="B2194" s="73" t="str">
        <f aca="false">IF(A2194="","",COUNTIF(A$5:A2194,A2194))</f>
        <v/>
      </c>
      <c r="C2194" s="73" t="str">
        <f aca="false">IF(A2194="","",A2194&amp;"-"&amp;B2194)</f>
        <v/>
      </c>
      <c r="D2194" s="58"/>
      <c r="E2194" s="57"/>
      <c r="F2194" s="69"/>
      <c r="G2194" s="69"/>
      <c r="H2194" s="74" t="str">
        <f aca="false">IF(A2194="","",IFERROR(INDEX(السندات!$C$5:$C$504,MATCH(A2194,السندات!$A$5:$A$504,0)),""))</f>
        <v/>
      </c>
      <c r="I2194" s="75" t="str">
        <f aca="false">IF(A2194="","",IFERROR(INDEX(السندات!$D$5:$D$504,MATCH(A2194,السندات!$A$5:$A$504,0)),""))</f>
        <v/>
      </c>
      <c r="J2194" s="76" t="str">
        <f aca="false">IF(A2194="","",IF(ISNA(MATCH(A2194,السندات!$A$5:$A$504,0)),"رقم سند غير موجود ✘",IF(AND(F2194&lt;&gt;"",G2194&lt;&gt;""),"اكتب مدين أو دائن فقط ✘",IF(AND(N(F2194)=0,N(G2194)=0),"بدون مبلغ ⚠",IF(B2194&gt;12,"يتجاوز 12 بنداً في الطباعة ⚠","")))))</f>
        <v/>
      </c>
    </row>
    <row r="2195" customFormat="false" ht="15" hidden="false" customHeight="false" outlineLevel="0" collapsed="false">
      <c r="A2195" s="58"/>
      <c r="B2195" s="68" t="str">
        <f aca="false">IF(A2195="","",COUNTIF(A$5:A2195,A2195))</f>
        <v/>
      </c>
      <c r="C2195" s="68" t="str">
        <f aca="false">IF(A2195="","",A2195&amp;"-"&amp;B2195)</f>
        <v/>
      </c>
      <c r="D2195" s="58"/>
      <c r="E2195" s="57"/>
      <c r="F2195" s="69"/>
      <c r="G2195" s="69"/>
      <c r="H2195" s="70" t="str">
        <f aca="false">IF(A2195="","",IFERROR(INDEX(السندات!$C$5:$C$504,MATCH(A2195,السندات!$A$5:$A$504,0)),""))</f>
        <v/>
      </c>
      <c r="I2195" s="71" t="str">
        <f aca="false">IF(A2195="","",IFERROR(INDEX(السندات!$D$5:$D$504,MATCH(A2195,السندات!$A$5:$A$504,0)),""))</f>
        <v/>
      </c>
      <c r="J2195" s="72" t="str">
        <f aca="false">IF(A2195="","",IF(ISNA(MATCH(A2195,السندات!$A$5:$A$504,0)),"رقم سند غير موجود ✘",IF(AND(F2195&lt;&gt;"",G2195&lt;&gt;""),"اكتب مدين أو دائن فقط ✘",IF(AND(N(F2195)=0,N(G2195)=0),"بدون مبلغ ⚠",IF(B2195&gt;12,"يتجاوز 12 بنداً في الطباعة ⚠","")))))</f>
        <v/>
      </c>
    </row>
    <row r="2196" customFormat="false" ht="15" hidden="false" customHeight="false" outlineLevel="0" collapsed="false">
      <c r="A2196" s="58"/>
      <c r="B2196" s="73" t="str">
        <f aca="false">IF(A2196="","",COUNTIF(A$5:A2196,A2196))</f>
        <v/>
      </c>
      <c r="C2196" s="73" t="str">
        <f aca="false">IF(A2196="","",A2196&amp;"-"&amp;B2196)</f>
        <v/>
      </c>
      <c r="D2196" s="58"/>
      <c r="E2196" s="57"/>
      <c r="F2196" s="69"/>
      <c r="G2196" s="69"/>
      <c r="H2196" s="74" t="str">
        <f aca="false">IF(A2196="","",IFERROR(INDEX(السندات!$C$5:$C$504,MATCH(A2196,السندات!$A$5:$A$504,0)),""))</f>
        <v/>
      </c>
      <c r="I2196" s="75" t="str">
        <f aca="false">IF(A2196="","",IFERROR(INDEX(السندات!$D$5:$D$504,MATCH(A2196,السندات!$A$5:$A$504,0)),""))</f>
        <v/>
      </c>
      <c r="J2196" s="76" t="str">
        <f aca="false">IF(A2196="","",IF(ISNA(MATCH(A2196,السندات!$A$5:$A$504,0)),"رقم سند غير موجود ✘",IF(AND(F2196&lt;&gt;"",G2196&lt;&gt;""),"اكتب مدين أو دائن فقط ✘",IF(AND(N(F2196)=0,N(G2196)=0),"بدون مبلغ ⚠",IF(B2196&gt;12,"يتجاوز 12 بنداً في الطباعة ⚠","")))))</f>
        <v/>
      </c>
    </row>
    <row r="2197" customFormat="false" ht="15" hidden="false" customHeight="false" outlineLevel="0" collapsed="false">
      <c r="A2197" s="58"/>
      <c r="B2197" s="68" t="str">
        <f aca="false">IF(A2197="","",COUNTIF(A$5:A2197,A2197))</f>
        <v/>
      </c>
      <c r="C2197" s="68" t="str">
        <f aca="false">IF(A2197="","",A2197&amp;"-"&amp;B2197)</f>
        <v/>
      </c>
      <c r="D2197" s="58"/>
      <c r="E2197" s="57"/>
      <c r="F2197" s="69"/>
      <c r="G2197" s="69"/>
      <c r="H2197" s="70" t="str">
        <f aca="false">IF(A2197="","",IFERROR(INDEX(السندات!$C$5:$C$504,MATCH(A2197,السندات!$A$5:$A$504,0)),""))</f>
        <v/>
      </c>
      <c r="I2197" s="71" t="str">
        <f aca="false">IF(A2197="","",IFERROR(INDEX(السندات!$D$5:$D$504,MATCH(A2197,السندات!$A$5:$A$504,0)),""))</f>
        <v/>
      </c>
      <c r="J2197" s="72" t="str">
        <f aca="false">IF(A2197="","",IF(ISNA(MATCH(A2197,السندات!$A$5:$A$504,0)),"رقم سند غير موجود ✘",IF(AND(F2197&lt;&gt;"",G2197&lt;&gt;""),"اكتب مدين أو دائن فقط ✘",IF(AND(N(F2197)=0,N(G2197)=0),"بدون مبلغ ⚠",IF(B2197&gt;12,"يتجاوز 12 بنداً في الطباعة ⚠","")))))</f>
        <v/>
      </c>
    </row>
    <row r="2198" customFormat="false" ht="15" hidden="false" customHeight="false" outlineLevel="0" collapsed="false">
      <c r="A2198" s="58"/>
      <c r="B2198" s="73" t="str">
        <f aca="false">IF(A2198="","",COUNTIF(A$5:A2198,A2198))</f>
        <v/>
      </c>
      <c r="C2198" s="73" t="str">
        <f aca="false">IF(A2198="","",A2198&amp;"-"&amp;B2198)</f>
        <v/>
      </c>
      <c r="D2198" s="58"/>
      <c r="E2198" s="57"/>
      <c r="F2198" s="69"/>
      <c r="G2198" s="69"/>
      <c r="H2198" s="74" t="str">
        <f aca="false">IF(A2198="","",IFERROR(INDEX(السندات!$C$5:$C$504,MATCH(A2198,السندات!$A$5:$A$504,0)),""))</f>
        <v/>
      </c>
      <c r="I2198" s="75" t="str">
        <f aca="false">IF(A2198="","",IFERROR(INDEX(السندات!$D$5:$D$504,MATCH(A2198,السندات!$A$5:$A$504,0)),""))</f>
        <v/>
      </c>
      <c r="J2198" s="76" t="str">
        <f aca="false">IF(A2198="","",IF(ISNA(MATCH(A2198,السندات!$A$5:$A$504,0)),"رقم سند غير موجود ✘",IF(AND(F2198&lt;&gt;"",G2198&lt;&gt;""),"اكتب مدين أو دائن فقط ✘",IF(AND(N(F2198)=0,N(G2198)=0),"بدون مبلغ ⚠",IF(B2198&gt;12,"يتجاوز 12 بنداً في الطباعة ⚠","")))))</f>
        <v/>
      </c>
    </row>
    <row r="2199" customFormat="false" ht="15" hidden="false" customHeight="false" outlineLevel="0" collapsed="false">
      <c r="A2199" s="58"/>
      <c r="B2199" s="68" t="str">
        <f aca="false">IF(A2199="","",COUNTIF(A$5:A2199,A2199))</f>
        <v/>
      </c>
      <c r="C2199" s="68" t="str">
        <f aca="false">IF(A2199="","",A2199&amp;"-"&amp;B2199)</f>
        <v/>
      </c>
      <c r="D2199" s="58"/>
      <c r="E2199" s="57"/>
      <c r="F2199" s="69"/>
      <c r="G2199" s="69"/>
      <c r="H2199" s="70" t="str">
        <f aca="false">IF(A2199="","",IFERROR(INDEX(السندات!$C$5:$C$504,MATCH(A2199,السندات!$A$5:$A$504,0)),""))</f>
        <v/>
      </c>
      <c r="I2199" s="71" t="str">
        <f aca="false">IF(A2199="","",IFERROR(INDEX(السندات!$D$5:$D$504,MATCH(A2199,السندات!$A$5:$A$504,0)),""))</f>
        <v/>
      </c>
      <c r="J2199" s="72" t="str">
        <f aca="false">IF(A2199="","",IF(ISNA(MATCH(A2199,السندات!$A$5:$A$504,0)),"رقم سند غير موجود ✘",IF(AND(F2199&lt;&gt;"",G2199&lt;&gt;""),"اكتب مدين أو دائن فقط ✘",IF(AND(N(F2199)=0,N(G2199)=0),"بدون مبلغ ⚠",IF(B2199&gt;12,"يتجاوز 12 بنداً في الطباعة ⚠","")))))</f>
        <v/>
      </c>
    </row>
    <row r="2200" customFormat="false" ht="15" hidden="false" customHeight="false" outlineLevel="0" collapsed="false">
      <c r="A2200" s="58"/>
      <c r="B2200" s="73" t="str">
        <f aca="false">IF(A2200="","",COUNTIF(A$5:A2200,A2200))</f>
        <v/>
      </c>
      <c r="C2200" s="73" t="str">
        <f aca="false">IF(A2200="","",A2200&amp;"-"&amp;B2200)</f>
        <v/>
      </c>
      <c r="D2200" s="58"/>
      <c r="E2200" s="57"/>
      <c r="F2200" s="69"/>
      <c r="G2200" s="69"/>
      <c r="H2200" s="74" t="str">
        <f aca="false">IF(A2200="","",IFERROR(INDEX(السندات!$C$5:$C$504,MATCH(A2200,السندات!$A$5:$A$504,0)),""))</f>
        <v/>
      </c>
      <c r="I2200" s="75" t="str">
        <f aca="false">IF(A2200="","",IFERROR(INDEX(السندات!$D$5:$D$504,MATCH(A2200,السندات!$A$5:$A$504,0)),""))</f>
        <v/>
      </c>
      <c r="J2200" s="76" t="str">
        <f aca="false">IF(A2200="","",IF(ISNA(MATCH(A2200,السندات!$A$5:$A$504,0)),"رقم سند غير موجود ✘",IF(AND(F2200&lt;&gt;"",G2200&lt;&gt;""),"اكتب مدين أو دائن فقط ✘",IF(AND(N(F2200)=0,N(G2200)=0),"بدون مبلغ ⚠",IF(B2200&gt;12,"يتجاوز 12 بنداً في الطباعة ⚠","")))))</f>
        <v/>
      </c>
    </row>
    <row r="2201" customFormat="false" ht="15" hidden="false" customHeight="false" outlineLevel="0" collapsed="false">
      <c r="A2201" s="58"/>
      <c r="B2201" s="68" t="str">
        <f aca="false">IF(A2201="","",COUNTIF(A$5:A2201,A2201))</f>
        <v/>
      </c>
      <c r="C2201" s="68" t="str">
        <f aca="false">IF(A2201="","",A2201&amp;"-"&amp;B2201)</f>
        <v/>
      </c>
      <c r="D2201" s="58"/>
      <c r="E2201" s="57"/>
      <c r="F2201" s="69"/>
      <c r="G2201" s="69"/>
      <c r="H2201" s="70" t="str">
        <f aca="false">IF(A2201="","",IFERROR(INDEX(السندات!$C$5:$C$504,MATCH(A2201,السندات!$A$5:$A$504,0)),""))</f>
        <v/>
      </c>
      <c r="I2201" s="71" t="str">
        <f aca="false">IF(A2201="","",IFERROR(INDEX(السندات!$D$5:$D$504,MATCH(A2201,السندات!$A$5:$A$504,0)),""))</f>
        <v/>
      </c>
      <c r="J2201" s="72" t="str">
        <f aca="false">IF(A2201="","",IF(ISNA(MATCH(A2201,السندات!$A$5:$A$504,0)),"رقم سند غير موجود ✘",IF(AND(F2201&lt;&gt;"",G2201&lt;&gt;""),"اكتب مدين أو دائن فقط ✘",IF(AND(N(F2201)=0,N(G2201)=0),"بدون مبلغ ⚠",IF(B2201&gt;12,"يتجاوز 12 بنداً في الطباعة ⚠","")))))</f>
        <v/>
      </c>
    </row>
    <row r="2202" customFormat="false" ht="15" hidden="false" customHeight="false" outlineLevel="0" collapsed="false">
      <c r="A2202" s="58"/>
      <c r="B2202" s="73" t="str">
        <f aca="false">IF(A2202="","",COUNTIF(A$5:A2202,A2202))</f>
        <v/>
      </c>
      <c r="C2202" s="73" t="str">
        <f aca="false">IF(A2202="","",A2202&amp;"-"&amp;B2202)</f>
        <v/>
      </c>
      <c r="D2202" s="58"/>
      <c r="E2202" s="57"/>
      <c r="F2202" s="69"/>
      <c r="G2202" s="69"/>
      <c r="H2202" s="74" t="str">
        <f aca="false">IF(A2202="","",IFERROR(INDEX(السندات!$C$5:$C$504,MATCH(A2202,السندات!$A$5:$A$504,0)),""))</f>
        <v/>
      </c>
      <c r="I2202" s="75" t="str">
        <f aca="false">IF(A2202="","",IFERROR(INDEX(السندات!$D$5:$D$504,MATCH(A2202,السندات!$A$5:$A$504,0)),""))</f>
        <v/>
      </c>
      <c r="J2202" s="76" t="str">
        <f aca="false">IF(A2202="","",IF(ISNA(MATCH(A2202,السندات!$A$5:$A$504,0)),"رقم سند غير موجود ✘",IF(AND(F2202&lt;&gt;"",G2202&lt;&gt;""),"اكتب مدين أو دائن فقط ✘",IF(AND(N(F2202)=0,N(G2202)=0),"بدون مبلغ ⚠",IF(B2202&gt;12,"يتجاوز 12 بنداً في الطباعة ⚠","")))))</f>
        <v/>
      </c>
    </row>
    <row r="2203" customFormat="false" ht="15" hidden="false" customHeight="false" outlineLevel="0" collapsed="false">
      <c r="A2203" s="58"/>
      <c r="B2203" s="68" t="str">
        <f aca="false">IF(A2203="","",COUNTIF(A$5:A2203,A2203))</f>
        <v/>
      </c>
      <c r="C2203" s="68" t="str">
        <f aca="false">IF(A2203="","",A2203&amp;"-"&amp;B2203)</f>
        <v/>
      </c>
      <c r="D2203" s="58"/>
      <c r="E2203" s="57"/>
      <c r="F2203" s="69"/>
      <c r="G2203" s="69"/>
      <c r="H2203" s="70" t="str">
        <f aca="false">IF(A2203="","",IFERROR(INDEX(السندات!$C$5:$C$504,MATCH(A2203,السندات!$A$5:$A$504,0)),""))</f>
        <v/>
      </c>
      <c r="I2203" s="71" t="str">
        <f aca="false">IF(A2203="","",IFERROR(INDEX(السندات!$D$5:$D$504,MATCH(A2203,السندات!$A$5:$A$504,0)),""))</f>
        <v/>
      </c>
      <c r="J2203" s="72" t="str">
        <f aca="false">IF(A2203="","",IF(ISNA(MATCH(A2203,السندات!$A$5:$A$504,0)),"رقم سند غير موجود ✘",IF(AND(F2203&lt;&gt;"",G2203&lt;&gt;""),"اكتب مدين أو دائن فقط ✘",IF(AND(N(F2203)=0,N(G2203)=0),"بدون مبلغ ⚠",IF(B2203&gt;12,"يتجاوز 12 بنداً في الطباعة ⚠","")))))</f>
        <v/>
      </c>
    </row>
    <row r="2204" customFormat="false" ht="15" hidden="false" customHeight="false" outlineLevel="0" collapsed="false">
      <c r="A2204" s="58"/>
      <c r="B2204" s="73" t="str">
        <f aca="false">IF(A2204="","",COUNTIF(A$5:A2204,A2204))</f>
        <v/>
      </c>
      <c r="C2204" s="73" t="str">
        <f aca="false">IF(A2204="","",A2204&amp;"-"&amp;B2204)</f>
        <v/>
      </c>
      <c r="D2204" s="58"/>
      <c r="E2204" s="57"/>
      <c r="F2204" s="69"/>
      <c r="G2204" s="69"/>
      <c r="H2204" s="74" t="str">
        <f aca="false">IF(A2204="","",IFERROR(INDEX(السندات!$C$5:$C$504,MATCH(A2204,السندات!$A$5:$A$504,0)),""))</f>
        <v/>
      </c>
      <c r="I2204" s="75" t="str">
        <f aca="false">IF(A2204="","",IFERROR(INDEX(السندات!$D$5:$D$504,MATCH(A2204,السندات!$A$5:$A$504,0)),""))</f>
        <v/>
      </c>
      <c r="J2204" s="76" t="str">
        <f aca="false">IF(A2204="","",IF(ISNA(MATCH(A2204,السندات!$A$5:$A$504,0)),"رقم سند غير موجود ✘",IF(AND(F2204&lt;&gt;"",G2204&lt;&gt;""),"اكتب مدين أو دائن فقط ✘",IF(AND(N(F2204)=0,N(G2204)=0),"بدون مبلغ ⚠",IF(B2204&gt;12,"يتجاوز 12 بنداً في الطباعة ⚠","")))))</f>
        <v/>
      </c>
    </row>
    <row r="2205" customFormat="false" ht="15" hidden="false" customHeight="false" outlineLevel="0" collapsed="false">
      <c r="A2205" s="58"/>
      <c r="B2205" s="68" t="str">
        <f aca="false">IF(A2205="","",COUNTIF(A$5:A2205,A2205))</f>
        <v/>
      </c>
      <c r="C2205" s="68" t="str">
        <f aca="false">IF(A2205="","",A2205&amp;"-"&amp;B2205)</f>
        <v/>
      </c>
      <c r="D2205" s="58"/>
      <c r="E2205" s="57"/>
      <c r="F2205" s="69"/>
      <c r="G2205" s="69"/>
      <c r="H2205" s="70" t="str">
        <f aca="false">IF(A2205="","",IFERROR(INDEX(السندات!$C$5:$C$504,MATCH(A2205,السندات!$A$5:$A$504,0)),""))</f>
        <v/>
      </c>
      <c r="I2205" s="71" t="str">
        <f aca="false">IF(A2205="","",IFERROR(INDEX(السندات!$D$5:$D$504,MATCH(A2205,السندات!$A$5:$A$504,0)),""))</f>
        <v/>
      </c>
      <c r="J2205" s="72" t="str">
        <f aca="false">IF(A2205="","",IF(ISNA(MATCH(A2205,السندات!$A$5:$A$504,0)),"رقم سند غير موجود ✘",IF(AND(F2205&lt;&gt;"",G2205&lt;&gt;""),"اكتب مدين أو دائن فقط ✘",IF(AND(N(F2205)=0,N(G2205)=0),"بدون مبلغ ⚠",IF(B2205&gt;12,"يتجاوز 12 بنداً في الطباعة ⚠","")))))</f>
        <v/>
      </c>
    </row>
    <row r="2206" customFormat="false" ht="15" hidden="false" customHeight="false" outlineLevel="0" collapsed="false">
      <c r="A2206" s="58"/>
      <c r="B2206" s="73" t="str">
        <f aca="false">IF(A2206="","",COUNTIF(A$5:A2206,A2206))</f>
        <v/>
      </c>
      <c r="C2206" s="73" t="str">
        <f aca="false">IF(A2206="","",A2206&amp;"-"&amp;B2206)</f>
        <v/>
      </c>
      <c r="D2206" s="58"/>
      <c r="E2206" s="57"/>
      <c r="F2206" s="69"/>
      <c r="G2206" s="69"/>
      <c r="H2206" s="74" t="str">
        <f aca="false">IF(A2206="","",IFERROR(INDEX(السندات!$C$5:$C$504,MATCH(A2206,السندات!$A$5:$A$504,0)),""))</f>
        <v/>
      </c>
      <c r="I2206" s="75" t="str">
        <f aca="false">IF(A2206="","",IFERROR(INDEX(السندات!$D$5:$D$504,MATCH(A2206,السندات!$A$5:$A$504,0)),""))</f>
        <v/>
      </c>
      <c r="J2206" s="76" t="str">
        <f aca="false">IF(A2206="","",IF(ISNA(MATCH(A2206,السندات!$A$5:$A$504,0)),"رقم سند غير موجود ✘",IF(AND(F2206&lt;&gt;"",G2206&lt;&gt;""),"اكتب مدين أو دائن فقط ✘",IF(AND(N(F2206)=0,N(G2206)=0),"بدون مبلغ ⚠",IF(B2206&gt;12,"يتجاوز 12 بنداً في الطباعة ⚠","")))))</f>
        <v/>
      </c>
    </row>
    <row r="2207" customFormat="false" ht="15" hidden="false" customHeight="false" outlineLevel="0" collapsed="false">
      <c r="A2207" s="58"/>
      <c r="B2207" s="68" t="str">
        <f aca="false">IF(A2207="","",COUNTIF(A$5:A2207,A2207))</f>
        <v/>
      </c>
      <c r="C2207" s="68" t="str">
        <f aca="false">IF(A2207="","",A2207&amp;"-"&amp;B2207)</f>
        <v/>
      </c>
      <c r="D2207" s="58"/>
      <c r="E2207" s="57"/>
      <c r="F2207" s="69"/>
      <c r="G2207" s="69"/>
      <c r="H2207" s="70" t="str">
        <f aca="false">IF(A2207="","",IFERROR(INDEX(السندات!$C$5:$C$504,MATCH(A2207,السندات!$A$5:$A$504,0)),""))</f>
        <v/>
      </c>
      <c r="I2207" s="71" t="str">
        <f aca="false">IF(A2207="","",IFERROR(INDEX(السندات!$D$5:$D$504,MATCH(A2207,السندات!$A$5:$A$504,0)),""))</f>
        <v/>
      </c>
      <c r="J2207" s="72" t="str">
        <f aca="false">IF(A2207="","",IF(ISNA(MATCH(A2207,السندات!$A$5:$A$504,0)),"رقم سند غير موجود ✘",IF(AND(F2207&lt;&gt;"",G2207&lt;&gt;""),"اكتب مدين أو دائن فقط ✘",IF(AND(N(F2207)=0,N(G2207)=0),"بدون مبلغ ⚠",IF(B2207&gt;12,"يتجاوز 12 بنداً في الطباعة ⚠","")))))</f>
        <v/>
      </c>
    </row>
    <row r="2208" customFormat="false" ht="15" hidden="false" customHeight="false" outlineLevel="0" collapsed="false">
      <c r="A2208" s="58"/>
      <c r="B2208" s="73" t="str">
        <f aca="false">IF(A2208="","",COUNTIF(A$5:A2208,A2208))</f>
        <v/>
      </c>
      <c r="C2208" s="73" t="str">
        <f aca="false">IF(A2208="","",A2208&amp;"-"&amp;B2208)</f>
        <v/>
      </c>
      <c r="D2208" s="58"/>
      <c r="E2208" s="57"/>
      <c r="F2208" s="69"/>
      <c r="G2208" s="69"/>
      <c r="H2208" s="74" t="str">
        <f aca="false">IF(A2208="","",IFERROR(INDEX(السندات!$C$5:$C$504,MATCH(A2208,السندات!$A$5:$A$504,0)),""))</f>
        <v/>
      </c>
      <c r="I2208" s="75" t="str">
        <f aca="false">IF(A2208="","",IFERROR(INDEX(السندات!$D$5:$D$504,MATCH(A2208,السندات!$A$5:$A$504,0)),""))</f>
        <v/>
      </c>
      <c r="J2208" s="76" t="str">
        <f aca="false">IF(A2208="","",IF(ISNA(MATCH(A2208,السندات!$A$5:$A$504,0)),"رقم سند غير موجود ✘",IF(AND(F2208&lt;&gt;"",G2208&lt;&gt;""),"اكتب مدين أو دائن فقط ✘",IF(AND(N(F2208)=0,N(G2208)=0),"بدون مبلغ ⚠",IF(B2208&gt;12,"يتجاوز 12 بنداً في الطباعة ⚠","")))))</f>
        <v/>
      </c>
    </row>
    <row r="2209" customFormat="false" ht="15" hidden="false" customHeight="false" outlineLevel="0" collapsed="false">
      <c r="A2209" s="58"/>
      <c r="B2209" s="68" t="str">
        <f aca="false">IF(A2209="","",COUNTIF(A$5:A2209,A2209))</f>
        <v/>
      </c>
      <c r="C2209" s="68" t="str">
        <f aca="false">IF(A2209="","",A2209&amp;"-"&amp;B2209)</f>
        <v/>
      </c>
      <c r="D2209" s="58"/>
      <c r="E2209" s="57"/>
      <c r="F2209" s="69"/>
      <c r="G2209" s="69"/>
      <c r="H2209" s="70" t="str">
        <f aca="false">IF(A2209="","",IFERROR(INDEX(السندات!$C$5:$C$504,MATCH(A2209,السندات!$A$5:$A$504,0)),""))</f>
        <v/>
      </c>
      <c r="I2209" s="71" t="str">
        <f aca="false">IF(A2209="","",IFERROR(INDEX(السندات!$D$5:$D$504,MATCH(A2209,السندات!$A$5:$A$504,0)),""))</f>
        <v/>
      </c>
      <c r="J2209" s="72" t="str">
        <f aca="false">IF(A2209="","",IF(ISNA(MATCH(A2209,السندات!$A$5:$A$504,0)),"رقم سند غير موجود ✘",IF(AND(F2209&lt;&gt;"",G2209&lt;&gt;""),"اكتب مدين أو دائن فقط ✘",IF(AND(N(F2209)=0,N(G2209)=0),"بدون مبلغ ⚠",IF(B2209&gt;12,"يتجاوز 12 بنداً في الطباعة ⚠","")))))</f>
        <v/>
      </c>
    </row>
    <row r="2210" customFormat="false" ht="15" hidden="false" customHeight="false" outlineLevel="0" collapsed="false">
      <c r="A2210" s="58"/>
      <c r="B2210" s="73" t="str">
        <f aca="false">IF(A2210="","",COUNTIF(A$5:A2210,A2210))</f>
        <v/>
      </c>
      <c r="C2210" s="73" t="str">
        <f aca="false">IF(A2210="","",A2210&amp;"-"&amp;B2210)</f>
        <v/>
      </c>
      <c r="D2210" s="58"/>
      <c r="E2210" s="57"/>
      <c r="F2210" s="69"/>
      <c r="G2210" s="69"/>
      <c r="H2210" s="74" t="str">
        <f aca="false">IF(A2210="","",IFERROR(INDEX(السندات!$C$5:$C$504,MATCH(A2210,السندات!$A$5:$A$504,0)),""))</f>
        <v/>
      </c>
      <c r="I2210" s="75" t="str">
        <f aca="false">IF(A2210="","",IFERROR(INDEX(السندات!$D$5:$D$504,MATCH(A2210,السندات!$A$5:$A$504,0)),""))</f>
        <v/>
      </c>
      <c r="J2210" s="76" t="str">
        <f aca="false">IF(A2210="","",IF(ISNA(MATCH(A2210,السندات!$A$5:$A$504,0)),"رقم سند غير موجود ✘",IF(AND(F2210&lt;&gt;"",G2210&lt;&gt;""),"اكتب مدين أو دائن فقط ✘",IF(AND(N(F2210)=0,N(G2210)=0),"بدون مبلغ ⚠",IF(B2210&gt;12,"يتجاوز 12 بنداً في الطباعة ⚠","")))))</f>
        <v/>
      </c>
    </row>
    <row r="2211" customFormat="false" ht="15" hidden="false" customHeight="false" outlineLevel="0" collapsed="false">
      <c r="A2211" s="58"/>
      <c r="B2211" s="68" t="str">
        <f aca="false">IF(A2211="","",COUNTIF(A$5:A2211,A2211))</f>
        <v/>
      </c>
      <c r="C2211" s="68" t="str">
        <f aca="false">IF(A2211="","",A2211&amp;"-"&amp;B2211)</f>
        <v/>
      </c>
      <c r="D2211" s="58"/>
      <c r="E2211" s="57"/>
      <c r="F2211" s="69"/>
      <c r="G2211" s="69"/>
      <c r="H2211" s="70" t="str">
        <f aca="false">IF(A2211="","",IFERROR(INDEX(السندات!$C$5:$C$504,MATCH(A2211,السندات!$A$5:$A$504,0)),""))</f>
        <v/>
      </c>
      <c r="I2211" s="71" t="str">
        <f aca="false">IF(A2211="","",IFERROR(INDEX(السندات!$D$5:$D$504,MATCH(A2211,السندات!$A$5:$A$504,0)),""))</f>
        <v/>
      </c>
      <c r="J2211" s="72" t="str">
        <f aca="false">IF(A2211="","",IF(ISNA(MATCH(A2211,السندات!$A$5:$A$504,0)),"رقم سند غير موجود ✘",IF(AND(F2211&lt;&gt;"",G2211&lt;&gt;""),"اكتب مدين أو دائن فقط ✘",IF(AND(N(F2211)=0,N(G2211)=0),"بدون مبلغ ⚠",IF(B2211&gt;12,"يتجاوز 12 بنداً في الطباعة ⚠","")))))</f>
        <v/>
      </c>
    </row>
    <row r="2212" customFormat="false" ht="15" hidden="false" customHeight="false" outlineLevel="0" collapsed="false">
      <c r="A2212" s="58"/>
      <c r="B2212" s="73" t="str">
        <f aca="false">IF(A2212="","",COUNTIF(A$5:A2212,A2212))</f>
        <v/>
      </c>
      <c r="C2212" s="73" t="str">
        <f aca="false">IF(A2212="","",A2212&amp;"-"&amp;B2212)</f>
        <v/>
      </c>
      <c r="D2212" s="58"/>
      <c r="E2212" s="57"/>
      <c r="F2212" s="69"/>
      <c r="G2212" s="69"/>
      <c r="H2212" s="74" t="str">
        <f aca="false">IF(A2212="","",IFERROR(INDEX(السندات!$C$5:$C$504,MATCH(A2212,السندات!$A$5:$A$504,0)),""))</f>
        <v/>
      </c>
      <c r="I2212" s="75" t="str">
        <f aca="false">IF(A2212="","",IFERROR(INDEX(السندات!$D$5:$D$504,MATCH(A2212,السندات!$A$5:$A$504,0)),""))</f>
        <v/>
      </c>
      <c r="J2212" s="76" t="str">
        <f aca="false">IF(A2212="","",IF(ISNA(MATCH(A2212,السندات!$A$5:$A$504,0)),"رقم سند غير موجود ✘",IF(AND(F2212&lt;&gt;"",G2212&lt;&gt;""),"اكتب مدين أو دائن فقط ✘",IF(AND(N(F2212)=0,N(G2212)=0),"بدون مبلغ ⚠",IF(B2212&gt;12,"يتجاوز 12 بنداً في الطباعة ⚠","")))))</f>
        <v/>
      </c>
    </row>
    <row r="2213" customFormat="false" ht="15" hidden="false" customHeight="false" outlineLevel="0" collapsed="false">
      <c r="A2213" s="58"/>
      <c r="B2213" s="68" t="str">
        <f aca="false">IF(A2213="","",COUNTIF(A$5:A2213,A2213))</f>
        <v/>
      </c>
      <c r="C2213" s="68" t="str">
        <f aca="false">IF(A2213="","",A2213&amp;"-"&amp;B2213)</f>
        <v/>
      </c>
      <c r="D2213" s="58"/>
      <c r="E2213" s="57"/>
      <c r="F2213" s="69"/>
      <c r="G2213" s="69"/>
      <c r="H2213" s="70" t="str">
        <f aca="false">IF(A2213="","",IFERROR(INDEX(السندات!$C$5:$C$504,MATCH(A2213,السندات!$A$5:$A$504,0)),""))</f>
        <v/>
      </c>
      <c r="I2213" s="71" t="str">
        <f aca="false">IF(A2213="","",IFERROR(INDEX(السندات!$D$5:$D$504,MATCH(A2213,السندات!$A$5:$A$504,0)),""))</f>
        <v/>
      </c>
      <c r="J2213" s="72" t="str">
        <f aca="false">IF(A2213="","",IF(ISNA(MATCH(A2213,السندات!$A$5:$A$504,0)),"رقم سند غير موجود ✘",IF(AND(F2213&lt;&gt;"",G2213&lt;&gt;""),"اكتب مدين أو دائن فقط ✘",IF(AND(N(F2213)=0,N(G2213)=0),"بدون مبلغ ⚠",IF(B2213&gt;12,"يتجاوز 12 بنداً في الطباعة ⚠","")))))</f>
        <v/>
      </c>
    </row>
    <row r="2214" customFormat="false" ht="15" hidden="false" customHeight="false" outlineLevel="0" collapsed="false">
      <c r="A2214" s="58"/>
      <c r="B2214" s="73" t="str">
        <f aca="false">IF(A2214="","",COUNTIF(A$5:A2214,A2214))</f>
        <v/>
      </c>
      <c r="C2214" s="73" t="str">
        <f aca="false">IF(A2214="","",A2214&amp;"-"&amp;B2214)</f>
        <v/>
      </c>
      <c r="D2214" s="58"/>
      <c r="E2214" s="57"/>
      <c r="F2214" s="69"/>
      <c r="G2214" s="69"/>
      <c r="H2214" s="74" t="str">
        <f aca="false">IF(A2214="","",IFERROR(INDEX(السندات!$C$5:$C$504,MATCH(A2214,السندات!$A$5:$A$504,0)),""))</f>
        <v/>
      </c>
      <c r="I2214" s="75" t="str">
        <f aca="false">IF(A2214="","",IFERROR(INDEX(السندات!$D$5:$D$504,MATCH(A2214,السندات!$A$5:$A$504,0)),""))</f>
        <v/>
      </c>
      <c r="J2214" s="76" t="str">
        <f aca="false">IF(A2214="","",IF(ISNA(MATCH(A2214,السندات!$A$5:$A$504,0)),"رقم سند غير موجود ✘",IF(AND(F2214&lt;&gt;"",G2214&lt;&gt;""),"اكتب مدين أو دائن فقط ✘",IF(AND(N(F2214)=0,N(G2214)=0),"بدون مبلغ ⚠",IF(B2214&gt;12,"يتجاوز 12 بنداً في الطباعة ⚠","")))))</f>
        <v/>
      </c>
    </row>
    <row r="2215" customFormat="false" ht="15" hidden="false" customHeight="false" outlineLevel="0" collapsed="false">
      <c r="A2215" s="58"/>
      <c r="B2215" s="68" t="str">
        <f aca="false">IF(A2215="","",COUNTIF(A$5:A2215,A2215))</f>
        <v/>
      </c>
      <c r="C2215" s="68" t="str">
        <f aca="false">IF(A2215="","",A2215&amp;"-"&amp;B2215)</f>
        <v/>
      </c>
      <c r="D2215" s="58"/>
      <c r="E2215" s="57"/>
      <c r="F2215" s="69"/>
      <c r="G2215" s="69"/>
      <c r="H2215" s="70" t="str">
        <f aca="false">IF(A2215="","",IFERROR(INDEX(السندات!$C$5:$C$504,MATCH(A2215,السندات!$A$5:$A$504,0)),""))</f>
        <v/>
      </c>
      <c r="I2215" s="71" t="str">
        <f aca="false">IF(A2215="","",IFERROR(INDEX(السندات!$D$5:$D$504,MATCH(A2215,السندات!$A$5:$A$504,0)),""))</f>
        <v/>
      </c>
      <c r="J2215" s="72" t="str">
        <f aca="false">IF(A2215="","",IF(ISNA(MATCH(A2215,السندات!$A$5:$A$504,0)),"رقم سند غير موجود ✘",IF(AND(F2215&lt;&gt;"",G2215&lt;&gt;""),"اكتب مدين أو دائن فقط ✘",IF(AND(N(F2215)=0,N(G2215)=0),"بدون مبلغ ⚠",IF(B2215&gt;12,"يتجاوز 12 بنداً في الطباعة ⚠","")))))</f>
        <v/>
      </c>
    </row>
    <row r="2216" customFormat="false" ht="15" hidden="false" customHeight="false" outlineLevel="0" collapsed="false">
      <c r="A2216" s="58"/>
      <c r="B2216" s="73" t="str">
        <f aca="false">IF(A2216="","",COUNTIF(A$5:A2216,A2216))</f>
        <v/>
      </c>
      <c r="C2216" s="73" t="str">
        <f aca="false">IF(A2216="","",A2216&amp;"-"&amp;B2216)</f>
        <v/>
      </c>
      <c r="D2216" s="58"/>
      <c r="E2216" s="57"/>
      <c r="F2216" s="69"/>
      <c r="G2216" s="69"/>
      <c r="H2216" s="74" t="str">
        <f aca="false">IF(A2216="","",IFERROR(INDEX(السندات!$C$5:$C$504,MATCH(A2216,السندات!$A$5:$A$504,0)),""))</f>
        <v/>
      </c>
      <c r="I2216" s="75" t="str">
        <f aca="false">IF(A2216="","",IFERROR(INDEX(السندات!$D$5:$D$504,MATCH(A2216,السندات!$A$5:$A$504,0)),""))</f>
        <v/>
      </c>
      <c r="J2216" s="76" t="str">
        <f aca="false">IF(A2216="","",IF(ISNA(MATCH(A2216,السندات!$A$5:$A$504,0)),"رقم سند غير موجود ✘",IF(AND(F2216&lt;&gt;"",G2216&lt;&gt;""),"اكتب مدين أو دائن فقط ✘",IF(AND(N(F2216)=0,N(G2216)=0),"بدون مبلغ ⚠",IF(B2216&gt;12,"يتجاوز 12 بنداً في الطباعة ⚠","")))))</f>
        <v/>
      </c>
    </row>
    <row r="2217" customFormat="false" ht="15" hidden="false" customHeight="false" outlineLevel="0" collapsed="false">
      <c r="A2217" s="58"/>
      <c r="B2217" s="68" t="str">
        <f aca="false">IF(A2217="","",COUNTIF(A$5:A2217,A2217))</f>
        <v/>
      </c>
      <c r="C2217" s="68" t="str">
        <f aca="false">IF(A2217="","",A2217&amp;"-"&amp;B2217)</f>
        <v/>
      </c>
      <c r="D2217" s="58"/>
      <c r="E2217" s="57"/>
      <c r="F2217" s="69"/>
      <c r="G2217" s="69"/>
      <c r="H2217" s="70" t="str">
        <f aca="false">IF(A2217="","",IFERROR(INDEX(السندات!$C$5:$C$504,MATCH(A2217,السندات!$A$5:$A$504,0)),""))</f>
        <v/>
      </c>
      <c r="I2217" s="71" t="str">
        <f aca="false">IF(A2217="","",IFERROR(INDEX(السندات!$D$5:$D$504,MATCH(A2217,السندات!$A$5:$A$504,0)),""))</f>
        <v/>
      </c>
      <c r="J2217" s="72" t="str">
        <f aca="false">IF(A2217="","",IF(ISNA(MATCH(A2217,السندات!$A$5:$A$504,0)),"رقم سند غير موجود ✘",IF(AND(F2217&lt;&gt;"",G2217&lt;&gt;""),"اكتب مدين أو دائن فقط ✘",IF(AND(N(F2217)=0,N(G2217)=0),"بدون مبلغ ⚠",IF(B2217&gt;12,"يتجاوز 12 بنداً في الطباعة ⚠","")))))</f>
        <v/>
      </c>
    </row>
    <row r="2218" customFormat="false" ht="15" hidden="false" customHeight="false" outlineLevel="0" collapsed="false">
      <c r="A2218" s="58"/>
      <c r="B2218" s="73" t="str">
        <f aca="false">IF(A2218="","",COUNTIF(A$5:A2218,A2218))</f>
        <v/>
      </c>
      <c r="C2218" s="73" t="str">
        <f aca="false">IF(A2218="","",A2218&amp;"-"&amp;B2218)</f>
        <v/>
      </c>
      <c r="D2218" s="58"/>
      <c r="E2218" s="57"/>
      <c r="F2218" s="69"/>
      <c r="G2218" s="69"/>
      <c r="H2218" s="74" t="str">
        <f aca="false">IF(A2218="","",IFERROR(INDEX(السندات!$C$5:$C$504,MATCH(A2218,السندات!$A$5:$A$504,0)),""))</f>
        <v/>
      </c>
      <c r="I2218" s="75" t="str">
        <f aca="false">IF(A2218="","",IFERROR(INDEX(السندات!$D$5:$D$504,MATCH(A2218,السندات!$A$5:$A$504,0)),""))</f>
        <v/>
      </c>
      <c r="J2218" s="76" t="str">
        <f aca="false">IF(A2218="","",IF(ISNA(MATCH(A2218,السندات!$A$5:$A$504,0)),"رقم سند غير موجود ✘",IF(AND(F2218&lt;&gt;"",G2218&lt;&gt;""),"اكتب مدين أو دائن فقط ✘",IF(AND(N(F2218)=0,N(G2218)=0),"بدون مبلغ ⚠",IF(B2218&gt;12,"يتجاوز 12 بنداً في الطباعة ⚠","")))))</f>
        <v/>
      </c>
    </row>
    <row r="2219" customFormat="false" ht="15" hidden="false" customHeight="false" outlineLevel="0" collapsed="false">
      <c r="A2219" s="58"/>
      <c r="B2219" s="68" t="str">
        <f aca="false">IF(A2219="","",COUNTIF(A$5:A2219,A2219))</f>
        <v/>
      </c>
      <c r="C2219" s="68" t="str">
        <f aca="false">IF(A2219="","",A2219&amp;"-"&amp;B2219)</f>
        <v/>
      </c>
      <c r="D2219" s="58"/>
      <c r="E2219" s="57"/>
      <c r="F2219" s="69"/>
      <c r="G2219" s="69"/>
      <c r="H2219" s="70" t="str">
        <f aca="false">IF(A2219="","",IFERROR(INDEX(السندات!$C$5:$C$504,MATCH(A2219,السندات!$A$5:$A$504,0)),""))</f>
        <v/>
      </c>
      <c r="I2219" s="71" t="str">
        <f aca="false">IF(A2219="","",IFERROR(INDEX(السندات!$D$5:$D$504,MATCH(A2219,السندات!$A$5:$A$504,0)),""))</f>
        <v/>
      </c>
      <c r="J2219" s="72" t="str">
        <f aca="false">IF(A2219="","",IF(ISNA(MATCH(A2219,السندات!$A$5:$A$504,0)),"رقم سند غير موجود ✘",IF(AND(F2219&lt;&gt;"",G2219&lt;&gt;""),"اكتب مدين أو دائن فقط ✘",IF(AND(N(F2219)=0,N(G2219)=0),"بدون مبلغ ⚠",IF(B2219&gt;12,"يتجاوز 12 بنداً في الطباعة ⚠","")))))</f>
        <v/>
      </c>
    </row>
    <row r="2220" customFormat="false" ht="15" hidden="false" customHeight="false" outlineLevel="0" collapsed="false">
      <c r="A2220" s="58"/>
      <c r="B2220" s="73" t="str">
        <f aca="false">IF(A2220="","",COUNTIF(A$5:A2220,A2220))</f>
        <v/>
      </c>
      <c r="C2220" s="73" t="str">
        <f aca="false">IF(A2220="","",A2220&amp;"-"&amp;B2220)</f>
        <v/>
      </c>
      <c r="D2220" s="58"/>
      <c r="E2220" s="57"/>
      <c r="F2220" s="69"/>
      <c r="G2220" s="69"/>
      <c r="H2220" s="74" t="str">
        <f aca="false">IF(A2220="","",IFERROR(INDEX(السندات!$C$5:$C$504,MATCH(A2220,السندات!$A$5:$A$504,0)),""))</f>
        <v/>
      </c>
      <c r="I2220" s="75" t="str">
        <f aca="false">IF(A2220="","",IFERROR(INDEX(السندات!$D$5:$D$504,MATCH(A2220,السندات!$A$5:$A$504,0)),""))</f>
        <v/>
      </c>
      <c r="J2220" s="76" t="str">
        <f aca="false">IF(A2220="","",IF(ISNA(MATCH(A2220,السندات!$A$5:$A$504,0)),"رقم سند غير موجود ✘",IF(AND(F2220&lt;&gt;"",G2220&lt;&gt;""),"اكتب مدين أو دائن فقط ✘",IF(AND(N(F2220)=0,N(G2220)=0),"بدون مبلغ ⚠",IF(B2220&gt;12,"يتجاوز 12 بنداً في الطباعة ⚠","")))))</f>
        <v/>
      </c>
    </row>
    <row r="2221" customFormat="false" ht="15" hidden="false" customHeight="false" outlineLevel="0" collapsed="false">
      <c r="A2221" s="58"/>
      <c r="B2221" s="68" t="str">
        <f aca="false">IF(A2221="","",COUNTIF(A$5:A2221,A2221))</f>
        <v/>
      </c>
      <c r="C2221" s="68" t="str">
        <f aca="false">IF(A2221="","",A2221&amp;"-"&amp;B2221)</f>
        <v/>
      </c>
      <c r="D2221" s="58"/>
      <c r="E2221" s="57"/>
      <c r="F2221" s="69"/>
      <c r="G2221" s="69"/>
      <c r="H2221" s="70" t="str">
        <f aca="false">IF(A2221="","",IFERROR(INDEX(السندات!$C$5:$C$504,MATCH(A2221,السندات!$A$5:$A$504,0)),""))</f>
        <v/>
      </c>
      <c r="I2221" s="71" t="str">
        <f aca="false">IF(A2221="","",IFERROR(INDEX(السندات!$D$5:$D$504,MATCH(A2221,السندات!$A$5:$A$504,0)),""))</f>
        <v/>
      </c>
      <c r="J2221" s="72" t="str">
        <f aca="false">IF(A2221="","",IF(ISNA(MATCH(A2221,السندات!$A$5:$A$504,0)),"رقم سند غير موجود ✘",IF(AND(F2221&lt;&gt;"",G2221&lt;&gt;""),"اكتب مدين أو دائن فقط ✘",IF(AND(N(F2221)=0,N(G2221)=0),"بدون مبلغ ⚠",IF(B2221&gt;12,"يتجاوز 12 بنداً في الطباعة ⚠","")))))</f>
        <v/>
      </c>
    </row>
    <row r="2222" customFormat="false" ht="15" hidden="false" customHeight="false" outlineLevel="0" collapsed="false">
      <c r="A2222" s="58"/>
      <c r="B2222" s="73" t="str">
        <f aca="false">IF(A2222="","",COUNTIF(A$5:A2222,A2222))</f>
        <v/>
      </c>
      <c r="C2222" s="73" t="str">
        <f aca="false">IF(A2222="","",A2222&amp;"-"&amp;B2222)</f>
        <v/>
      </c>
      <c r="D2222" s="58"/>
      <c r="E2222" s="57"/>
      <c r="F2222" s="69"/>
      <c r="G2222" s="69"/>
      <c r="H2222" s="74" t="str">
        <f aca="false">IF(A2222="","",IFERROR(INDEX(السندات!$C$5:$C$504,MATCH(A2222,السندات!$A$5:$A$504,0)),""))</f>
        <v/>
      </c>
      <c r="I2222" s="75" t="str">
        <f aca="false">IF(A2222="","",IFERROR(INDEX(السندات!$D$5:$D$504,MATCH(A2222,السندات!$A$5:$A$504,0)),""))</f>
        <v/>
      </c>
      <c r="J2222" s="76" t="str">
        <f aca="false">IF(A2222="","",IF(ISNA(MATCH(A2222,السندات!$A$5:$A$504,0)),"رقم سند غير موجود ✘",IF(AND(F2222&lt;&gt;"",G2222&lt;&gt;""),"اكتب مدين أو دائن فقط ✘",IF(AND(N(F2222)=0,N(G2222)=0),"بدون مبلغ ⚠",IF(B2222&gt;12,"يتجاوز 12 بنداً في الطباعة ⚠","")))))</f>
        <v/>
      </c>
    </row>
    <row r="2223" customFormat="false" ht="15" hidden="false" customHeight="false" outlineLevel="0" collapsed="false">
      <c r="A2223" s="58"/>
      <c r="B2223" s="68" t="str">
        <f aca="false">IF(A2223="","",COUNTIF(A$5:A2223,A2223))</f>
        <v/>
      </c>
      <c r="C2223" s="68" t="str">
        <f aca="false">IF(A2223="","",A2223&amp;"-"&amp;B2223)</f>
        <v/>
      </c>
      <c r="D2223" s="58"/>
      <c r="E2223" s="57"/>
      <c r="F2223" s="69"/>
      <c r="G2223" s="69"/>
      <c r="H2223" s="70" t="str">
        <f aca="false">IF(A2223="","",IFERROR(INDEX(السندات!$C$5:$C$504,MATCH(A2223,السندات!$A$5:$A$504,0)),""))</f>
        <v/>
      </c>
      <c r="I2223" s="71" t="str">
        <f aca="false">IF(A2223="","",IFERROR(INDEX(السندات!$D$5:$D$504,MATCH(A2223,السندات!$A$5:$A$504,0)),""))</f>
        <v/>
      </c>
      <c r="J2223" s="72" t="str">
        <f aca="false">IF(A2223="","",IF(ISNA(MATCH(A2223,السندات!$A$5:$A$504,0)),"رقم سند غير موجود ✘",IF(AND(F2223&lt;&gt;"",G2223&lt;&gt;""),"اكتب مدين أو دائن فقط ✘",IF(AND(N(F2223)=0,N(G2223)=0),"بدون مبلغ ⚠",IF(B2223&gt;12,"يتجاوز 12 بنداً في الطباعة ⚠","")))))</f>
        <v/>
      </c>
    </row>
    <row r="2224" customFormat="false" ht="15" hidden="false" customHeight="false" outlineLevel="0" collapsed="false">
      <c r="A2224" s="58"/>
      <c r="B2224" s="73" t="str">
        <f aca="false">IF(A2224="","",COUNTIF(A$5:A2224,A2224))</f>
        <v/>
      </c>
      <c r="C2224" s="73" t="str">
        <f aca="false">IF(A2224="","",A2224&amp;"-"&amp;B2224)</f>
        <v/>
      </c>
      <c r="D2224" s="58"/>
      <c r="E2224" s="57"/>
      <c r="F2224" s="69"/>
      <c r="G2224" s="69"/>
      <c r="H2224" s="74" t="str">
        <f aca="false">IF(A2224="","",IFERROR(INDEX(السندات!$C$5:$C$504,MATCH(A2224,السندات!$A$5:$A$504,0)),""))</f>
        <v/>
      </c>
      <c r="I2224" s="75" t="str">
        <f aca="false">IF(A2224="","",IFERROR(INDEX(السندات!$D$5:$D$504,MATCH(A2224,السندات!$A$5:$A$504,0)),""))</f>
        <v/>
      </c>
      <c r="J2224" s="76" t="str">
        <f aca="false">IF(A2224="","",IF(ISNA(MATCH(A2224,السندات!$A$5:$A$504,0)),"رقم سند غير موجود ✘",IF(AND(F2224&lt;&gt;"",G2224&lt;&gt;""),"اكتب مدين أو دائن فقط ✘",IF(AND(N(F2224)=0,N(G2224)=0),"بدون مبلغ ⚠",IF(B2224&gt;12,"يتجاوز 12 بنداً في الطباعة ⚠","")))))</f>
        <v/>
      </c>
    </row>
    <row r="2225" customFormat="false" ht="15" hidden="false" customHeight="false" outlineLevel="0" collapsed="false">
      <c r="A2225" s="58"/>
      <c r="B2225" s="68" t="str">
        <f aca="false">IF(A2225="","",COUNTIF(A$5:A2225,A2225))</f>
        <v/>
      </c>
      <c r="C2225" s="68" t="str">
        <f aca="false">IF(A2225="","",A2225&amp;"-"&amp;B2225)</f>
        <v/>
      </c>
      <c r="D2225" s="58"/>
      <c r="E2225" s="57"/>
      <c r="F2225" s="69"/>
      <c r="G2225" s="69"/>
      <c r="H2225" s="70" t="str">
        <f aca="false">IF(A2225="","",IFERROR(INDEX(السندات!$C$5:$C$504,MATCH(A2225,السندات!$A$5:$A$504,0)),""))</f>
        <v/>
      </c>
      <c r="I2225" s="71" t="str">
        <f aca="false">IF(A2225="","",IFERROR(INDEX(السندات!$D$5:$D$504,MATCH(A2225,السندات!$A$5:$A$504,0)),""))</f>
        <v/>
      </c>
      <c r="J2225" s="72" t="str">
        <f aca="false">IF(A2225="","",IF(ISNA(MATCH(A2225,السندات!$A$5:$A$504,0)),"رقم سند غير موجود ✘",IF(AND(F2225&lt;&gt;"",G2225&lt;&gt;""),"اكتب مدين أو دائن فقط ✘",IF(AND(N(F2225)=0,N(G2225)=0),"بدون مبلغ ⚠",IF(B2225&gt;12,"يتجاوز 12 بنداً في الطباعة ⚠","")))))</f>
        <v/>
      </c>
    </row>
    <row r="2226" customFormat="false" ht="15" hidden="false" customHeight="false" outlineLevel="0" collapsed="false">
      <c r="A2226" s="58"/>
      <c r="B2226" s="73" t="str">
        <f aca="false">IF(A2226="","",COUNTIF(A$5:A2226,A2226))</f>
        <v/>
      </c>
      <c r="C2226" s="73" t="str">
        <f aca="false">IF(A2226="","",A2226&amp;"-"&amp;B2226)</f>
        <v/>
      </c>
      <c r="D2226" s="58"/>
      <c r="E2226" s="57"/>
      <c r="F2226" s="69"/>
      <c r="G2226" s="69"/>
      <c r="H2226" s="74" t="str">
        <f aca="false">IF(A2226="","",IFERROR(INDEX(السندات!$C$5:$C$504,MATCH(A2226,السندات!$A$5:$A$504,0)),""))</f>
        <v/>
      </c>
      <c r="I2226" s="75" t="str">
        <f aca="false">IF(A2226="","",IFERROR(INDEX(السندات!$D$5:$D$504,MATCH(A2226,السندات!$A$5:$A$504,0)),""))</f>
        <v/>
      </c>
      <c r="J2226" s="76" t="str">
        <f aca="false">IF(A2226="","",IF(ISNA(MATCH(A2226,السندات!$A$5:$A$504,0)),"رقم سند غير موجود ✘",IF(AND(F2226&lt;&gt;"",G2226&lt;&gt;""),"اكتب مدين أو دائن فقط ✘",IF(AND(N(F2226)=0,N(G2226)=0),"بدون مبلغ ⚠",IF(B2226&gt;12,"يتجاوز 12 بنداً في الطباعة ⚠","")))))</f>
        <v/>
      </c>
    </row>
    <row r="2227" customFormat="false" ht="15" hidden="false" customHeight="false" outlineLevel="0" collapsed="false">
      <c r="A2227" s="58"/>
      <c r="B2227" s="68" t="str">
        <f aca="false">IF(A2227="","",COUNTIF(A$5:A2227,A2227))</f>
        <v/>
      </c>
      <c r="C2227" s="68" t="str">
        <f aca="false">IF(A2227="","",A2227&amp;"-"&amp;B2227)</f>
        <v/>
      </c>
      <c r="D2227" s="58"/>
      <c r="E2227" s="57"/>
      <c r="F2227" s="69"/>
      <c r="G2227" s="69"/>
      <c r="H2227" s="70" t="str">
        <f aca="false">IF(A2227="","",IFERROR(INDEX(السندات!$C$5:$C$504,MATCH(A2227,السندات!$A$5:$A$504,0)),""))</f>
        <v/>
      </c>
      <c r="I2227" s="71" t="str">
        <f aca="false">IF(A2227="","",IFERROR(INDEX(السندات!$D$5:$D$504,MATCH(A2227,السندات!$A$5:$A$504,0)),""))</f>
        <v/>
      </c>
      <c r="J2227" s="72" t="str">
        <f aca="false">IF(A2227="","",IF(ISNA(MATCH(A2227,السندات!$A$5:$A$504,0)),"رقم سند غير موجود ✘",IF(AND(F2227&lt;&gt;"",G2227&lt;&gt;""),"اكتب مدين أو دائن فقط ✘",IF(AND(N(F2227)=0,N(G2227)=0),"بدون مبلغ ⚠",IF(B2227&gt;12,"يتجاوز 12 بنداً في الطباعة ⚠","")))))</f>
        <v/>
      </c>
    </row>
    <row r="2228" customFormat="false" ht="15" hidden="false" customHeight="false" outlineLevel="0" collapsed="false">
      <c r="A2228" s="58"/>
      <c r="B2228" s="73" t="str">
        <f aca="false">IF(A2228="","",COUNTIF(A$5:A2228,A2228))</f>
        <v/>
      </c>
      <c r="C2228" s="73" t="str">
        <f aca="false">IF(A2228="","",A2228&amp;"-"&amp;B2228)</f>
        <v/>
      </c>
      <c r="D2228" s="58"/>
      <c r="E2228" s="57"/>
      <c r="F2228" s="69"/>
      <c r="G2228" s="69"/>
      <c r="H2228" s="74" t="str">
        <f aca="false">IF(A2228="","",IFERROR(INDEX(السندات!$C$5:$C$504,MATCH(A2228,السندات!$A$5:$A$504,0)),""))</f>
        <v/>
      </c>
      <c r="I2228" s="75" t="str">
        <f aca="false">IF(A2228="","",IFERROR(INDEX(السندات!$D$5:$D$504,MATCH(A2228,السندات!$A$5:$A$504,0)),""))</f>
        <v/>
      </c>
      <c r="J2228" s="76" t="str">
        <f aca="false">IF(A2228="","",IF(ISNA(MATCH(A2228,السندات!$A$5:$A$504,0)),"رقم سند غير موجود ✘",IF(AND(F2228&lt;&gt;"",G2228&lt;&gt;""),"اكتب مدين أو دائن فقط ✘",IF(AND(N(F2228)=0,N(G2228)=0),"بدون مبلغ ⚠",IF(B2228&gt;12,"يتجاوز 12 بنداً في الطباعة ⚠","")))))</f>
        <v/>
      </c>
    </row>
    <row r="2229" customFormat="false" ht="15" hidden="false" customHeight="false" outlineLevel="0" collapsed="false">
      <c r="A2229" s="58"/>
      <c r="B2229" s="68" t="str">
        <f aca="false">IF(A2229="","",COUNTIF(A$5:A2229,A2229))</f>
        <v/>
      </c>
      <c r="C2229" s="68" t="str">
        <f aca="false">IF(A2229="","",A2229&amp;"-"&amp;B2229)</f>
        <v/>
      </c>
      <c r="D2229" s="58"/>
      <c r="E2229" s="57"/>
      <c r="F2229" s="69"/>
      <c r="G2229" s="69"/>
      <c r="H2229" s="70" t="str">
        <f aca="false">IF(A2229="","",IFERROR(INDEX(السندات!$C$5:$C$504,MATCH(A2229,السندات!$A$5:$A$504,0)),""))</f>
        <v/>
      </c>
      <c r="I2229" s="71" t="str">
        <f aca="false">IF(A2229="","",IFERROR(INDEX(السندات!$D$5:$D$504,MATCH(A2229,السندات!$A$5:$A$504,0)),""))</f>
        <v/>
      </c>
      <c r="J2229" s="72" t="str">
        <f aca="false">IF(A2229="","",IF(ISNA(MATCH(A2229,السندات!$A$5:$A$504,0)),"رقم سند غير موجود ✘",IF(AND(F2229&lt;&gt;"",G2229&lt;&gt;""),"اكتب مدين أو دائن فقط ✘",IF(AND(N(F2229)=0,N(G2229)=0),"بدون مبلغ ⚠",IF(B2229&gt;12,"يتجاوز 12 بنداً في الطباعة ⚠","")))))</f>
        <v/>
      </c>
    </row>
    <row r="2230" customFormat="false" ht="15" hidden="false" customHeight="false" outlineLevel="0" collapsed="false">
      <c r="A2230" s="58"/>
      <c r="B2230" s="73" t="str">
        <f aca="false">IF(A2230="","",COUNTIF(A$5:A2230,A2230))</f>
        <v/>
      </c>
      <c r="C2230" s="73" t="str">
        <f aca="false">IF(A2230="","",A2230&amp;"-"&amp;B2230)</f>
        <v/>
      </c>
      <c r="D2230" s="58"/>
      <c r="E2230" s="57"/>
      <c r="F2230" s="69"/>
      <c r="G2230" s="69"/>
      <c r="H2230" s="74" t="str">
        <f aca="false">IF(A2230="","",IFERROR(INDEX(السندات!$C$5:$C$504,MATCH(A2230,السندات!$A$5:$A$504,0)),""))</f>
        <v/>
      </c>
      <c r="I2230" s="75" t="str">
        <f aca="false">IF(A2230="","",IFERROR(INDEX(السندات!$D$5:$D$504,MATCH(A2230,السندات!$A$5:$A$504,0)),""))</f>
        <v/>
      </c>
      <c r="J2230" s="76" t="str">
        <f aca="false">IF(A2230="","",IF(ISNA(MATCH(A2230,السندات!$A$5:$A$504,0)),"رقم سند غير موجود ✘",IF(AND(F2230&lt;&gt;"",G2230&lt;&gt;""),"اكتب مدين أو دائن فقط ✘",IF(AND(N(F2230)=0,N(G2230)=0),"بدون مبلغ ⚠",IF(B2230&gt;12,"يتجاوز 12 بنداً في الطباعة ⚠","")))))</f>
        <v/>
      </c>
    </row>
    <row r="2231" customFormat="false" ht="15" hidden="false" customHeight="false" outlineLevel="0" collapsed="false">
      <c r="A2231" s="58"/>
      <c r="B2231" s="68" t="str">
        <f aca="false">IF(A2231="","",COUNTIF(A$5:A2231,A2231))</f>
        <v/>
      </c>
      <c r="C2231" s="68" t="str">
        <f aca="false">IF(A2231="","",A2231&amp;"-"&amp;B2231)</f>
        <v/>
      </c>
      <c r="D2231" s="58"/>
      <c r="E2231" s="57"/>
      <c r="F2231" s="69"/>
      <c r="G2231" s="69"/>
      <c r="H2231" s="70" t="str">
        <f aca="false">IF(A2231="","",IFERROR(INDEX(السندات!$C$5:$C$504,MATCH(A2231,السندات!$A$5:$A$504,0)),""))</f>
        <v/>
      </c>
      <c r="I2231" s="71" t="str">
        <f aca="false">IF(A2231="","",IFERROR(INDEX(السندات!$D$5:$D$504,MATCH(A2231,السندات!$A$5:$A$504,0)),""))</f>
        <v/>
      </c>
      <c r="J2231" s="72" t="str">
        <f aca="false">IF(A2231="","",IF(ISNA(MATCH(A2231,السندات!$A$5:$A$504,0)),"رقم سند غير موجود ✘",IF(AND(F2231&lt;&gt;"",G2231&lt;&gt;""),"اكتب مدين أو دائن فقط ✘",IF(AND(N(F2231)=0,N(G2231)=0),"بدون مبلغ ⚠",IF(B2231&gt;12,"يتجاوز 12 بنداً في الطباعة ⚠","")))))</f>
        <v/>
      </c>
    </row>
    <row r="2232" customFormat="false" ht="15" hidden="false" customHeight="false" outlineLevel="0" collapsed="false">
      <c r="A2232" s="58"/>
      <c r="B2232" s="73" t="str">
        <f aca="false">IF(A2232="","",COUNTIF(A$5:A2232,A2232))</f>
        <v/>
      </c>
      <c r="C2232" s="73" t="str">
        <f aca="false">IF(A2232="","",A2232&amp;"-"&amp;B2232)</f>
        <v/>
      </c>
      <c r="D2232" s="58"/>
      <c r="E2232" s="57"/>
      <c r="F2232" s="69"/>
      <c r="G2232" s="69"/>
      <c r="H2232" s="74" t="str">
        <f aca="false">IF(A2232="","",IFERROR(INDEX(السندات!$C$5:$C$504,MATCH(A2232,السندات!$A$5:$A$504,0)),""))</f>
        <v/>
      </c>
      <c r="I2232" s="75" t="str">
        <f aca="false">IF(A2232="","",IFERROR(INDEX(السندات!$D$5:$D$504,MATCH(A2232,السندات!$A$5:$A$504,0)),""))</f>
        <v/>
      </c>
      <c r="J2232" s="76" t="str">
        <f aca="false">IF(A2232="","",IF(ISNA(MATCH(A2232,السندات!$A$5:$A$504,0)),"رقم سند غير موجود ✘",IF(AND(F2232&lt;&gt;"",G2232&lt;&gt;""),"اكتب مدين أو دائن فقط ✘",IF(AND(N(F2232)=0,N(G2232)=0),"بدون مبلغ ⚠",IF(B2232&gt;12,"يتجاوز 12 بنداً في الطباعة ⚠","")))))</f>
        <v/>
      </c>
    </row>
    <row r="2233" customFormat="false" ht="15" hidden="false" customHeight="false" outlineLevel="0" collapsed="false">
      <c r="A2233" s="58"/>
      <c r="B2233" s="68" t="str">
        <f aca="false">IF(A2233="","",COUNTIF(A$5:A2233,A2233))</f>
        <v/>
      </c>
      <c r="C2233" s="68" t="str">
        <f aca="false">IF(A2233="","",A2233&amp;"-"&amp;B2233)</f>
        <v/>
      </c>
      <c r="D2233" s="58"/>
      <c r="E2233" s="57"/>
      <c r="F2233" s="69"/>
      <c r="G2233" s="69"/>
      <c r="H2233" s="70" t="str">
        <f aca="false">IF(A2233="","",IFERROR(INDEX(السندات!$C$5:$C$504,MATCH(A2233,السندات!$A$5:$A$504,0)),""))</f>
        <v/>
      </c>
      <c r="I2233" s="71" t="str">
        <f aca="false">IF(A2233="","",IFERROR(INDEX(السندات!$D$5:$D$504,MATCH(A2233,السندات!$A$5:$A$504,0)),""))</f>
        <v/>
      </c>
      <c r="J2233" s="72" t="str">
        <f aca="false">IF(A2233="","",IF(ISNA(MATCH(A2233,السندات!$A$5:$A$504,0)),"رقم سند غير موجود ✘",IF(AND(F2233&lt;&gt;"",G2233&lt;&gt;""),"اكتب مدين أو دائن فقط ✘",IF(AND(N(F2233)=0,N(G2233)=0),"بدون مبلغ ⚠",IF(B2233&gt;12,"يتجاوز 12 بنداً في الطباعة ⚠","")))))</f>
        <v/>
      </c>
    </row>
    <row r="2234" customFormat="false" ht="15" hidden="false" customHeight="false" outlineLevel="0" collapsed="false">
      <c r="A2234" s="58"/>
      <c r="B2234" s="73" t="str">
        <f aca="false">IF(A2234="","",COUNTIF(A$5:A2234,A2234))</f>
        <v/>
      </c>
      <c r="C2234" s="73" t="str">
        <f aca="false">IF(A2234="","",A2234&amp;"-"&amp;B2234)</f>
        <v/>
      </c>
      <c r="D2234" s="58"/>
      <c r="E2234" s="57"/>
      <c r="F2234" s="69"/>
      <c r="G2234" s="69"/>
      <c r="H2234" s="74" t="str">
        <f aca="false">IF(A2234="","",IFERROR(INDEX(السندات!$C$5:$C$504,MATCH(A2234,السندات!$A$5:$A$504,0)),""))</f>
        <v/>
      </c>
      <c r="I2234" s="75" t="str">
        <f aca="false">IF(A2234="","",IFERROR(INDEX(السندات!$D$5:$D$504,MATCH(A2234,السندات!$A$5:$A$504,0)),""))</f>
        <v/>
      </c>
      <c r="J2234" s="76" t="str">
        <f aca="false">IF(A2234="","",IF(ISNA(MATCH(A2234,السندات!$A$5:$A$504,0)),"رقم سند غير موجود ✘",IF(AND(F2234&lt;&gt;"",G2234&lt;&gt;""),"اكتب مدين أو دائن فقط ✘",IF(AND(N(F2234)=0,N(G2234)=0),"بدون مبلغ ⚠",IF(B2234&gt;12,"يتجاوز 12 بنداً في الطباعة ⚠","")))))</f>
        <v/>
      </c>
    </row>
    <row r="2235" customFormat="false" ht="15" hidden="false" customHeight="false" outlineLevel="0" collapsed="false">
      <c r="A2235" s="58"/>
      <c r="B2235" s="68" t="str">
        <f aca="false">IF(A2235="","",COUNTIF(A$5:A2235,A2235))</f>
        <v/>
      </c>
      <c r="C2235" s="68" t="str">
        <f aca="false">IF(A2235="","",A2235&amp;"-"&amp;B2235)</f>
        <v/>
      </c>
      <c r="D2235" s="58"/>
      <c r="E2235" s="57"/>
      <c r="F2235" s="69"/>
      <c r="G2235" s="69"/>
      <c r="H2235" s="70" t="str">
        <f aca="false">IF(A2235="","",IFERROR(INDEX(السندات!$C$5:$C$504,MATCH(A2235,السندات!$A$5:$A$504,0)),""))</f>
        <v/>
      </c>
      <c r="I2235" s="71" t="str">
        <f aca="false">IF(A2235="","",IFERROR(INDEX(السندات!$D$5:$D$504,MATCH(A2235,السندات!$A$5:$A$504,0)),""))</f>
        <v/>
      </c>
      <c r="J2235" s="72" t="str">
        <f aca="false">IF(A2235="","",IF(ISNA(MATCH(A2235,السندات!$A$5:$A$504,0)),"رقم سند غير موجود ✘",IF(AND(F2235&lt;&gt;"",G2235&lt;&gt;""),"اكتب مدين أو دائن فقط ✘",IF(AND(N(F2235)=0,N(G2235)=0),"بدون مبلغ ⚠",IF(B2235&gt;12,"يتجاوز 12 بنداً في الطباعة ⚠","")))))</f>
        <v/>
      </c>
    </row>
    <row r="2236" customFormat="false" ht="15" hidden="false" customHeight="false" outlineLevel="0" collapsed="false">
      <c r="A2236" s="58"/>
      <c r="B2236" s="73" t="str">
        <f aca="false">IF(A2236="","",COUNTIF(A$5:A2236,A2236))</f>
        <v/>
      </c>
      <c r="C2236" s="73" t="str">
        <f aca="false">IF(A2236="","",A2236&amp;"-"&amp;B2236)</f>
        <v/>
      </c>
      <c r="D2236" s="58"/>
      <c r="E2236" s="57"/>
      <c r="F2236" s="69"/>
      <c r="G2236" s="69"/>
      <c r="H2236" s="74" t="str">
        <f aca="false">IF(A2236="","",IFERROR(INDEX(السندات!$C$5:$C$504,MATCH(A2236,السندات!$A$5:$A$504,0)),""))</f>
        <v/>
      </c>
      <c r="I2236" s="75" t="str">
        <f aca="false">IF(A2236="","",IFERROR(INDEX(السندات!$D$5:$D$504,MATCH(A2236,السندات!$A$5:$A$504,0)),""))</f>
        <v/>
      </c>
      <c r="J2236" s="76" t="str">
        <f aca="false">IF(A2236="","",IF(ISNA(MATCH(A2236,السندات!$A$5:$A$504,0)),"رقم سند غير موجود ✘",IF(AND(F2236&lt;&gt;"",G2236&lt;&gt;""),"اكتب مدين أو دائن فقط ✘",IF(AND(N(F2236)=0,N(G2236)=0),"بدون مبلغ ⚠",IF(B2236&gt;12,"يتجاوز 12 بنداً في الطباعة ⚠","")))))</f>
        <v/>
      </c>
    </row>
    <row r="2237" customFormat="false" ht="15" hidden="false" customHeight="false" outlineLevel="0" collapsed="false">
      <c r="A2237" s="58"/>
      <c r="B2237" s="68" t="str">
        <f aca="false">IF(A2237="","",COUNTIF(A$5:A2237,A2237))</f>
        <v/>
      </c>
      <c r="C2237" s="68" t="str">
        <f aca="false">IF(A2237="","",A2237&amp;"-"&amp;B2237)</f>
        <v/>
      </c>
      <c r="D2237" s="58"/>
      <c r="E2237" s="57"/>
      <c r="F2237" s="69"/>
      <c r="G2237" s="69"/>
      <c r="H2237" s="70" t="str">
        <f aca="false">IF(A2237="","",IFERROR(INDEX(السندات!$C$5:$C$504,MATCH(A2237,السندات!$A$5:$A$504,0)),""))</f>
        <v/>
      </c>
      <c r="I2237" s="71" t="str">
        <f aca="false">IF(A2237="","",IFERROR(INDEX(السندات!$D$5:$D$504,MATCH(A2237,السندات!$A$5:$A$504,0)),""))</f>
        <v/>
      </c>
      <c r="J2237" s="72" t="str">
        <f aca="false">IF(A2237="","",IF(ISNA(MATCH(A2237,السندات!$A$5:$A$504,0)),"رقم سند غير موجود ✘",IF(AND(F2237&lt;&gt;"",G2237&lt;&gt;""),"اكتب مدين أو دائن فقط ✘",IF(AND(N(F2237)=0,N(G2237)=0),"بدون مبلغ ⚠",IF(B2237&gt;12,"يتجاوز 12 بنداً في الطباعة ⚠","")))))</f>
        <v/>
      </c>
    </row>
    <row r="2238" customFormat="false" ht="15" hidden="false" customHeight="false" outlineLevel="0" collapsed="false">
      <c r="A2238" s="58"/>
      <c r="B2238" s="73" t="str">
        <f aca="false">IF(A2238="","",COUNTIF(A$5:A2238,A2238))</f>
        <v/>
      </c>
      <c r="C2238" s="73" t="str">
        <f aca="false">IF(A2238="","",A2238&amp;"-"&amp;B2238)</f>
        <v/>
      </c>
      <c r="D2238" s="58"/>
      <c r="E2238" s="57"/>
      <c r="F2238" s="69"/>
      <c r="G2238" s="69"/>
      <c r="H2238" s="74" t="str">
        <f aca="false">IF(A2238="","",IFERROR(INDEX(السندات!$C$5:$C$504,MATCH(A2238,السندات!$A$5:$A$504,0)),""))</f>
        <v/>
      </c>
      <c r="I2238" s="75" t="str">
        <f aca="false">IF(A2238="","",IFERROR(INDEX(السندات!$D$5:$D$504,MATCH(A2238,السندات!$A$5:$A$504,0)),""))</f>
        <v/>
      </c>
      <c r="J2238" s="76" t="str">
        <f aca="false">IF(A2238="","",IF(ISNA(MATCH(A2238,السندات!$A$5:$A$504,0)),"رقم سند غير موجود ✘",IF(AND(F2238&lt;&gt;"",G2238&lt;&gt;""),"اكتب مدين أو دائن فقط ✘",IF(AND(N(F2238)=0,N(G2238)=0),"بدون مبلغ ⚠",IF(B2238&gt;12,"يتجاوز 12 بنداً في الطباعة ⚠","")))))</f>
        <v/>
      </c>
    </row>
    <row r="2239" customFormat="false" ht="15" hidden="false" customHeight="false" outlineLevel="0" collapsed="false">
      <c r="A2239" s="58"/>
      <c r="B2239" s="68" t="str">
        <f aca="false">IF(A2239="","",COUNTIF(A$5:A2239,A2239))</f>
        <v/>
      </c>
      <c r="C2239" s="68" t="str">
        <f aca="false">IF(A2239="","",A2239&amp;"-"&amp;B2239)</f>
        <v/>
      </c>
      <c r="D2239" s="58"/>
      <c r="E2239" s="57"/>
      <c r="F2239" s="69"/>
      <c r="G2239" s="69"/>
      <c r="H2239" s="70" t="str">
        <f aca="false">IF(A2239="","",IFERROR(INDEX(السندات!$C$5:$C$504,MATCH(A2239,السندات!$A$5:$A$504,0)),""))</f>
        <v/>
      </c>
      <c r="I2239" s="71" t="str">
        <f aca="false">IF(A2239="","",IFERROR(INDEX(السندات!$D$5:$D$504,MATCH(A2239,السندات!$A$5:$A$504,0)),""))</f>
        <v/>
      </c>
      <c r="J2239" s="72" t="str">
        <f aca="false">IF(A2239="","",IF(ISNA(MATCH(A2239,السندات!$A$5:$A$504,0)),"رقم سند غير موجود ✘",IF(AND(F2239&lt;&gt;"",G2239&lt;&gt;""),"اكتب مدين أو دائن فقط ✘",IF(AND(N(F2239)=0,N(G2239)=0),"بدون مبلغ ⚠",IF(B2239&gt;12,"يتجاوز 12 بنداً في الطباعة ⚠","")))))</f>
        <v/>
      </c>
    </row>
    <row r="2240" customFormat="false" ht="15" hidden="false" customHeight="false" outlineLevel="0" collapsed="false">
      <c r="A2240" s="58"/>
      <c r="B2240" s="73" t="str">
        <f aca="false">IF(A2240="","",COUNTIF(A$5:A2240,A2240))</f>
        <v/>
      </c>
      <c r="C2240" s="73" t="str">
        <f aca="false">IF(A2240="","",A2240&amp;"-"&amp;B2240)</f>
        <v/>
      </c>
      <c r="D2240" s="58"/>
      <c r="E2240" s="57"/>
      <c r="F2240" s="69"/>
      <c r="G2240" s="69"/>
      <c r="H2240" s="74" t="str">
        <f aca="false">IF(A2240="","",IFERROR(INDEX(السندات!$C$5:$C$504,MATCH(A2240,السندات!$A$5:$A$504,0)),""))</f>
        <v/>
      </c>
      <c r="I2240" s="75" t="str">
        <f aca="false">IF(A2240="","",IFERROR(INDEX(السندات!$D$5:$D$504,MATCH(A2240,السندات!$A$5:$A$504,0)),""))</f>
        <v/>
      </c>
      <c r="J2240" s="76" t="str">
        <f aca="false">IF(A2240="","",IF(ISNA(MATCH(A2240,السندات!$A$5:$A$504,0)),"رقم سند غير موجود ✘",IF(AND(F2240&lt;&gt;"",G2240&lt;&gt;""),"اكتب مدين أو دائن فقط ✘",IF(AND(N(F2240)=0,N(G2240)=0),"بدون مبلغ ⚠",IF(B2240&gt;12,"يتجاوز 12 بنداً في الطباعة ⚠","")))))</f>
        <v/>
      </c>
    </row>
    <row r="2241" customFormat="false" ht="15" hidden="false" customHeight="false" outlineLevel="0" collapsed="false">
      <c r="A2241" s="58"/>
      <c r="B2241" s="68" t="str">
        <f aca="false">IF(A2241="","",COUNTIF(A$5:A2241,A2241))</f>
        <v/>
      </c>
      <c r="C2241" s="68" t="str">
        <f aca="false">IF(A2241="","",A2241&amp;"-"&amp;B2241)</f>
        <v/>
      </c>
      <c r="D2241" s="58"/>
      <c r="E2241" s="57"/>
      <c r="F2241" s="69"/>
      <c r="G2241" s="69"/>
      <c r="H2241" s="70" t="str">
        <f aca="false">IF(A2241="","",IFERROR(INDEX(السندات!$C$5:$C$504,MATCH(A2241,السندات!$A$5:$A$504,0)),""))</f>
        <v/>
      </c>
      <c r="I2241" s="71" t="str">
        <f aca="false">IF(A2241="","",IFERROR(INDEX(السندات!$D$5:$D$504,MATCH(A2241,السندات!$A$5:$A$504,0)),""))</f>
        <v/>
      </c>
      <c r="J2241" s="72" t="str">
        <f aca="false">IF(A2241="","",IF(ISNA(MATCH(A2241,السندات!$A$5:$A$504,0)),"رقم سند غير موجود ✘",IF(AND(F2241&lt;&gt;"",G2241&lt;&gt;""),"اكتب مدين أو دائن فقط ✘",IF(AND(N(F2241)=0,N(G2241)=0),"بدون مبلغ ⚠",IF(B2241&gt;12,"يتجاوز 12 بنداً في الطباعة ⚠","")))))</f>
        <v/>
      </c>
    </row>
    <row r="2242" customFormat="false" ht="15" hidden="false" customHeight="false" outlineLevel="0" collapsed="false">
      <c r="A2242" s="58"/>
      <c r="B2242" s="73" t="str">
        <f aca="false">IF(A2242="","",COUNTIF(A$5:A2242,A2242))</f>
        <v/>
      </c>
      <c r="C2242" s="73" t="str">
        <f aca="false">IF(A2242="","",A2242&amp;"-"&amp;B2242)</f>
        <v/>
      </c>
      <c r="D2242" s="58"/>
      <c r="E2242" s="57"/>
      <c r="F2242" s="69"/>
      <c r="G2242" s="69"/>
      <c r="H2242" s="74" t="str">
        <f aca="false">IF(A2242="","",IFERROR(INDEX(السندات!$C$5:$C$504,MATCH(A2242,السندات!$A$5:$A$504,0)),""))</f>
        <v/>
      </c>
      <c r="I2242" s="75" t="str">
        <f aca="false">IF(A2242="","",IFERROR(INDEX(السندات!$D$5:$D$504,MATCH(A2242,السندات!$A$5:$A$504,0)),""))</f>
        <v/>
      </c>
      <c r="J2242" s="76" t="str">
        <f aca="false">IF(A2242="","",IF(ISNA(MATCH(A2242,السندات!$A$5:$A$504,0)),"رقم سند غير موجود ✘",IF(AND(F2242&lt;&gt;"",G2242&lt;&gt;""),"اكتب مدين أو دائن فقط ✘",IF(AND(N(F2242)=0,N(G2242)=0),"بدون مبلغ ⚠",IF(B2242&gt;12,"يتجاوز 12 بنداً في الطباعة ⚠","")))))</f>
        <v/>
      </c>
    </row>
    <row r="2243" customFormat="false" ht="15" hidden="false" customHeight="false" outlineLevel="0" collapsed="false">
      <c r="A2243" s="58"/>
      <c r="B2243" s="68" t="str">
        <f aca="false">IF(A2243="","",COUNTIF(A$5:A2243,A2243))</f>
        <v/>
      </c>
      <c r="C2243" s="68" t="str">
        <f aca="false">IF(A2243="","",A2243&amp;"-"&amp;B2243)</f>
        <v/>
      </c>
      <c r="D2243" s="58"/>
      <c r="E2243" s="57"/>
      <c r="F2243" s="69"/>
      <c r="G2243" s="69"/>
      <c r="H2243" s="70" t="str">
        <f aca="false">IF(A2243="","",IFERROR(INDEX(السندات!$C$5:$C$504,MATCH(A2243,السندات!$A$5:$A$504,0)),""))</f>
        <v/>
      </c>
      <c r="I2243" s="71" t="str">
        <f aca="false">IF(A2243="","",IFERROR(INDEX(السندات!$D$5:$D$504,MATCH(A2243,السندات!$A$5:$A$504,0)),""))</f>
        <v/>
      </c>
      <c r="J2243" s="72" t="str">
        <f aca="false">IF(A2243="","",IF(ISNA(MATCH(A2243,السندات!$A$5:$A$504,0)),"رقم سند غير موجود ✘",IF(AND(F2243&lt;&gt;"",G2243&lt;&gt;""),"اكتب مدين أو دائن فقط ✘",IF(AND(N(F2243)=0,N(G2243)=0),"بدون مبلغ ⚠",IF(B2243&gt;12,"يتجاوز 12 بنداً في الطباعة ⚠","")))))</f>
        <v/>
      </c>
    </row>
    <row r="2244" customFormat="false" ht="15" hidden="false" customHeight="false" outlineLevel="0" collapsed="false">
      <c r="A2244" s="58"/>
      <c r="B2244" s="73" t="str">
        <f aca="false">IF(A2244="","",COUNTIF(A$5:A2244,A2244))</f>
        <v/>
      </c>
      <c r="C2244" s="73" t="str">
        <f aca="false">IF(A2244="","",A2244&amp;"-"&amp;B2244)</f>
        <v/>
      </c>
      <c r="D2244" s="58"/>
      <c r="E2244" s="57"/>
      <c r="F2244" s="69"/>
      <c r="G2244" s="69"/>
      <c r="H2244" s="74" t="str">
        <f aca="false">IF(A2244="","",IFERROR(INDEX(السندات!$C$5:$C$504,MATCH(A2244,السندات!$A$5:$A$504,0)),""))</f>
        <v/>
      </c>
      <c r="I2244" s="75" t="str">
        <f aca="false">IF(A2244="","",IFERROR(INDEX(السندات!$D$5:$D$504,MATCH(A2244,السندات!$A$5:$A$504,0)),""))</f>
        <v/>
      </c>
      <c r="J2244" s="76" t="str">
        <f aca="false">IF(A2244="","",IF(ISNA(MATCH(A2244,السندات!$A$5:$A$504,0)),"رقم سند غير موجود ✘",IF(AND(F2244&lt;&gt;"",G2244&lt;&gt;""),"اكتب مدين أو دائن فقط ✘",IF(AND(N(F2244)=0,N(G2244)=0),"بدون مبلغ ⚠",IF(B2244&gt;12,"يتجاوز 12 بنداً في الطباعة ⚠","")))))</f>
        <v/>
      </c>
    </row>
    <row r="2245" customFormat="false" ht="15" hidden="false" customHeight="false" outlineLevel="0" collapsed="false">
      <c r="A2245" s="58"/>
      <c r="B2245" s="68" t="str">
        <f aca="false">IF(A2245="","",COUNTIF(A$5:A2245,A2245))</f>
        <v/>
      </c>
      <c r="C2245" s="68" t="str">
        <f aca="false">IF(A2245="","",A2245&amp;"-"&amp;B2245)</f>
        <v/>
      </c>
      <c r="D2245" s="58"/>
      <c r="E2245" s="57"/>
      <c r="F2245" s="69"/>
      <c r="G2245" s="69"/>
      <c r="H2245" s="70" t="str">
        <f aca="false">IF(A2245="","",IFERROR(INDEX(السندات!$C$5:$C$504,MATCH(A2245,السندات!$A$5:$A$504,0)),""))</f>
        <v/>
      </c>
      <c r="I2245" s="71" t="str">
        <f aca="false">IF(A2245="","",IFERROR(INDEX(السندات!$D$5:$D$504,MATCH(A2245,السندات!$A$5:$A$504,0)),""))</f>
        <v/>
      </c>
      <c r="J2245" s="72" t="str">
        <f aca="false">IF(A2245="","",IF(ISNA(MATCH(A2245,السندات!$A$5:$A$504,0)),"رقم سند غير موجود ✘",IF(AND(F2245&lt;&gt;"",G2245&lt;&gt;""),"اكتب مدين أو دائن فقط ✘",IF(AND(N(F2245)=0,N(G2245)=0),"بدون مبلغ ⚠",IF(B2245&gt;12,"يتجاوز 12 بنداً في الطباعة ⚠","")))))</f>
        <v/>
      </c>
    </row>
    <row r="2246" customFormat="false" ht="15" hidden="false" customHeight="false" outlineLevel="0" collapsed="false">
      <c r="A2246" s="58"/>
      <c r="B2246" s="73" t="str">
        <f aca="false">IF(A2246="","",COUNTIF(A$5:A2246,A2246))</f>
        <v/>
      </c>
      <c r="C2246" s="73" t="str">
        <f aca="false">IF(A2246="","",A2246&amp;"-"&amp;B2246)</f>
        <v/>
      </c>
      <c r="D2246" s="58"/>
      <c r="E2246" s="57"/>
      <c r="F2246" s="69"/>
      <c r="G2246" s="69"/>
      <c r="H2246" s="74" t="str">
        <f aca="false">IF(A2246="","",IFERROR(INDEX(السندات!$C$5:$C$504,MATCH(A2246,السندات!$A$5:$A$504,0)),""))</f>
        <v/>
      </c>
      <c r="I2246" s="75" t="str">
        <f aca="false">IF(A2246="","",IFERROR(INDEX(السندات!$D$5:$D$504,MATCH(A2246,السندات!$A$5:$A$504,0)),""))</f>
        <v/>
      </c>
      <c r="J2246" s="76" t="str">
        <f aca="false">IF(A2246="","",IF(ISNA(MATCH(A2246,السندات!$A$5:$A$504,0)),"رقم سند غير موجود ✘",IF(AND(F2246&lt;&gt;"",G2246&lt;&gt;""),"اكتب مدين أو دائن فقط ✘",IF(AND(N(F2246)=0,N(G2246)=0),"بدون مبلغ ⚠",IF(B2246&gt;12,"يتجاوز 12 بنداً في الطباعة ⚠","")))))</f>
        <v/>
      </c>
    </row>
    <row r="2247" customFormat="false" ht="15" hidden="false" customHeight="false" outlineLevel="0" collapsed="false">
      <c r="A2247" s="58"/>
      <c r="B2247" s="68" t="str">
        <f aca="false">IF(A2247="","",COUNTIF(A$5:A2247,A2247))</f>
        <v/>
      </c>
      <c r="C2247" s="68" t="str">
        <f aca="false">IF(A2247="","",A2247&amp;"-"&amp;B2247)</f>
        <v/>
      </c>
      <c r="D2247" s="58"/>
      <c r="E2247" s="57"/>
      <c r="F2247" s="69"/>
      <c r="G2247" s="69"/>
      <c r="H2247" s="70" t="str">
        <f aca="false">IF(A2247="","",IFERROR(INDEX(السندات!$C$5:$C$504,MATCH(A2247,السندات!$A$5:$A$504,0)),""))</f>
        <v/>
      </c>
      <c r="I2247" s="71" t="str">
        <f aca="false">IF(A2247="","",IFERROR(INDEX(السندات!$D$5:$D$504,MATCH(A2247,السندات!$A$5:$A$504,0)),""))</f>
        <v/>
      </c>
      <c r="J2247" s="72" t="str">
        <f aca="false">IF(A2247="","",IF(ISNA(MATCH(A2247,السندات!$A$5:$A$504,0)),"رقم سند غير موجود ✘",IF(AND(F2247&lt;&gt;"",G2247&lt;&gt;""),"اكتب مدين أو دائن فقط ✘",IF(AND(N(F2247)=0,N(G2247)=0),"بدون مبلغ ⚠",IF(B2247&gt;12,"يتجاوز 12 بنداً في الطباعة ⚠","")))))</f>
        <v/>
      </c>
    </row>
    <row r="2248" customFormat="false" ht="15" hidden="false" customHeight="false" outlineLevel="0" collapsed="false">
      <c r="A2248" s="58"/>
      <c r="B2248" s="73" t="str">
        <f aca="false">IF(A2248="","",COUNTIF(A$5:A2248,A2248))</f>
        <v/>
      </c>
      <c r="C2248" s="73" t="str">
        <f aca="false">IF(A2248="","",A2248&amp;"-"&amp;B2248)</f>
        <v/>
      </c>
      <c r="D2248" s="58"/>
      <c r="E2248" s="57"/>
      <c r="F2248" s="69"/>
      <c r="G2248" s="69"/>
      <c r="H2248" s="74" t="str">
        <f aca="false">IF(A2248="","",IFERROR(INDEX(السندات!$C$5:$C$504,MATCH(A2248,السندات!$A$5:$A$504,0)),""))</f>
        <v/>
      </c>
      <c r="I2248" s="75" t="str">
        <f aca="false">IF(A2248="","",IFERROR(INDEX(السندات!$D$5:$D$504,MATCH(A2248,السندات!$A$5:$A$504,0)),""))</f>
        <v/>
      </c>
      <c r="J2248" s="76" t="str">
        <f aca="false">IF(A2248="","",IF(ISNA(MATCH(A2248,السندات!$A$5:$A$504,0)),"رقم سند غير موجود ✘",IF(AND(F2248&lt;&gt;"",G2248&lt;&gt;""),"اكتب مدين أو دائن فقط ✘",IF(AND(N(F2248)=0,N(G2248)=0),"بدون مبلغ ⚠",IF(B2248&gt;12,"يتجاوز 12 بنداً في الطباعة ⚠","")))))</f>
        <v/>
      </c>
    </row>
    <row r="2249" customFormat="false" ht="15" hidden="false" customHeight="false" outlineLevel="0" collapsed="false">
      <c r="A2249" s="58"/>
      <c r="B2249" s="68" t="str">
        <f aca="false">IF(A2249="","",COUNTIF(A$5:A2249,A2249))</f>
        <v/>
      </c>
      <c r="C2249" s="68" t="str">
        <f aca="false">IF(A2249="","",A2249&amp;"-"&amp;B2249)</f>
        <v/>
      </c>
      <c r="D2249" s="58"/>
      <c r="E2249" s="57"/>
      <c r="F2249" s="69"/>
      <c r="G2249" s="69"/>
      <c r="H2249" s="70" t="str">
        <f aca="false">IF(A2249="","",IFERROR(INDEX(السندات!$C$5:$C$504,MATCH(A2249,السندات!$A$5:$A$504,0)),""))</f>
        <v/>
      </c>
      <c r="I2249" s="71" t="str">
        <f aca="false">IF(A2249="","",IFERROR(INDEX(السندات!$D$5:$D$504,MATCH(A2249,السندات!$A$5:$A$504,0)),""))</f>
        <v/>
      </c>
      <c r="J2249" s="72" t="str">
        <f aca="false">IF(A2249="","",IF(ISNA(MATCH(A2249,السندات!$A$5:$A$504,0)),"رقم سند غير موجود ✘",IF(AND(F2249&lt;&gt;"",G2249&lt;&gt;""),"اكتب مدين أو دائن فقط ✘",IF(AND(N(F2249)=0,N(G2249)=0),"بدون مبلغ ⚠",IF(B2249&gt;12,"يتجاوز 12 بنداً في الطباعة ⚠","")))))</f>
        <v/>
      </c>
    </row>
    <row r="2250" customFormat="false" ht="15" hidden="false" customHeight="false" outlineLevel="0" collapsed="false">
      <c r="A2250" s="58"/>
      <c r="B2250" s="73" t="str">
        <f aca="false">IF(A2250="","",COUNTIF(A$5:A2250,A2250))</f>
        <v/>
      </c>
      <c r="C2250" s="73" t="str">
        <f aca="false">IF(A2250="","",A2250&amp;"-"&amp;B2250)</f>
        <v/>
      </c>
      <c r="D2250" s="58"/>
      <c r="E2250" s="57"/>
      <c r="F2250" s="69"/>
      <c r="G2250" s="69"/>
      <c r="H2250" s="74" t="str">
        <f aca="false">IF(A2250="","",IFERROR(INDEX(السندات!$C$5:$C$504,MATCH(A2250,السندات!$A$5:$A$504,0)),""))</f>
        <v/>
      </c>
      <c r="I2250" s="75" t="str">
        <f aca="false">IF(A2250="","",IFERROR(INDEX(السندات!$D$5:$D$504,MATCH(A2250,السندات!$A$5:$A$504,0)),""))</f>
        <v/>
      </c>
      <c r="J2250" s="76" t="str">
        <f aca="false">IF(A2250="","",IF(ISNA(MATCH(A2250,السندات!$A$5:$A$504,0)),"رقم سند غير موجود ✘",IF(AND(F2250&lt;&gt;"",G2250&lt;&gt;""),"اكتب مدين أو دائن فقط ✘",IF(AND(N(F2250)=0,N(G2250)=0),"بدون مبلغ ⚠",IF(B2250&gt;12,"يتجاوز 12 بنداً في الطباعة ⚠","")))))</f>
        <v/>
      </c>
    </row>
    <row r="2251" customFormat="false" ht="15" hidden="false" customHeight="false" outlineLevel="0" collapsed="false">
      <c r="A2251" s="58"/>
      <c r="B2251" s="68" t="str">
        <f aca="false">IF(A2251="","",COUNTIF(A$5:A2251,A2251))</f>
        <v/>
      </c>
      <c r="C2251" s="68" t="str">
        <f aca="false">IF(A2251="","",A2251&amp;"-"&amp;B2251)</f>
        <v/>
      </c>
      <c r="D2251" s="58"/>
      <c r="E2251" s="57"/>
      <c r="F2251" s="69"/>
      <c r="G2251" s="69"/>
      <c r="H2251" s="70" t="str">
        <f aca="false">IF(A2251="","",IFERROR(INDEX(السندات!$C$5:$C$504,MATCH(A2251,السندات!$A$5:$A$504,0)),""))</f>
        <v/>
      </c>
      <c r="I2251" s="71" t="str">
        <f aca="false">IF(A2251="","",IFERROR(INDEX(السندات!$D$5:$D$504,MATCH(A2251,السندات!$A$5:$A$504,0)),""))</f>
        <v/>
      </c>
      <c r="J2251" s="72" t="str">
        <f aca="false">IF(A2251="","",IF(ISNA(MATCH(A2251,السندات!$A$5:$A$504,0)),"رقم سند غير موجود ✘",IF(AND(F2251&lt;&gt;"",G2251&lt;&gt;""),"اكتب مدين أو دائن فقط ✘",IF(AND(N(F2251)=0,N(G2251)=0),"بدون مبلغ ⚠",IF(B2251&gt;12,"يتجاوز 12 بنداً في الطباعة ⚠","")))))</f>
        <v/>
      </c>
    </row>
    <row r="2252" customFormat="false" ht="15" hidden="false" customHeight="false" outlineLevel="0" collapsed="false">
      <c r="A2252" s="58"/>
      <c r="B2252" s="73" t="str">
        <f aca="false">IF(A2252="","",COUNTIF(A$5:A2252,A2252))</f>
        <v/>
      </c>
      <c r="C2252" s="73" t="str">
        <f aca="false">IF(A2252="","",A2252&amp;"-"&amp;B2252)</f>
        <v/>
      </c>
      <c r="D2252" s="58"/>
      <c r="E2252" s="57"/>
      <c r="F2252" s="69"/>
      <c r="G2252" s="69"/>
      <c r="H2252" s="74" t="str">
        <f aca="false">IF(A2252="","",IFERROR(INDEX(السندات!$C$5:$C$504,MATCH(A2252,السندات!$A$5:$A$504,0)),""))</f>
        <v/>
      </c>
      <c r="I2252" s="75" t="str">
        <f aca="false">IF(A2252="","",IFERROR(INDEX(السندات!$D$5:$D$504,MATCH(A2252,السندات!$A$5:$A$504,0)),""))</f>
        <v/>
      </c>
      <c r="J2252" s="76" t="str">
        <f aca="false">IF(A2252="","",IF(ISNA(MATCH(A2252,السندات!$A$5:$A$504,0)),"رقم سند غير موجود ✘",IF(AND(F2252&lt;&gt;"",G2252&lt;&gt;""),"اكتب مدين أو دائن فقط ✘",IF(AND(N(F2252)=0,N(G2252)=0),"بدون مبلغ ⚠",IF(B2252&gt;12,"يتجاوز 12 بنداً في الطباعة ⚠","")))))</f>
        <v/>
      </c>
    </row>
    <row r="2253" customFormat="false" ht="15" hidden="false" customHeight="false" outlineLevel="0" collapsed="false">
      <c r="A2253" s="58"/>
      <c r="B2253" s="68" t="str">
        <f aca="false">IF(A2253="","",COUNTIF(A$5:A2253,A2253))</f>
        <v/>
      </c>
      <c r="C2253" s="68" t="str">
        <f aca="false">IF(A2253="","",A2253&amp;"-"&amp;B2253)</f>
        <v/>
      </c>
      <c r="D2253" s="58"/>
      <c r="E2253" s="57"/>
      <c r="F2253" s="69"/>
      <c r="G2253" s="69"/>
      <c r="H2253" s="70" t="str">
        <f aca="false">IF(A2253="","",IFERROR(INDEX(السندات!$C$5:$C$504,MATCH(A2253,السندات!$A$5:$A$504,0)),""))</f>
        <v/>
      </c>
      <c r="I2253" s="71" t="str">
        <f aca="false">IF(A2253="","",IFERROR(INDEX(السندات!$D$5:$D$504,MATCH(A2253,السندات!$A$5:$A$504,0)),""))</f>
        <v/>
      </c>
      <c r="J2253" s="72" t="str">
        <f aca="false">IF(A2253="","",IF(ISNA(MATCH(A2253,السندات!$A$5:$A$504,0)),"رقم سند غير موجود ✘",IF(AND(F2253&lt;&gt;"",G2253&lt;&gt;""),"اكتب مدين أو دائن فقط ✘",IF(AND(N(F2253)=0,N(G2253)=0),"بدون مبلغ ⚠",IF(B2253&gt;12,"يتجاوز 12 بنداً في الطباعة ⚠","")))))</f>
        <v/>
      </c>
    </row>
    <row r="2254" customFormat="false" ht="15" hidden="false" customHeight="false" outlineLevel="0" collapsed="false">
      <c r="A2254" s="58"/>
      <c r="B2254" s="73" t="str">
        <f aca="false">IF(A2254="","",COUNTIF(A$5:A2254,A2254))</f>
        <v/>
      </c>
      <c r="C2254" s="73" t="str">
        <f aca="false">IF(A2254="","",A2254&amp;"-"&amp;B2254)</f>
        <v/>
      </c>
      <c r="D2254" s="58"/>
      <c r="E2254" s="57"/>
      <c r="F2254" s="69"/>
      <c r="G2254" s="69"/>
      <c r="H2254" s="74" t="str">
        <f aca="false">IF(A2254="","",IFERROR(INDEX(السندات!$C$5:$C$504,MATCH(A2254,السندات!$A$5:$A$504,0)),""))</f>
        <v/>
      </c>
      <c r="I2254" s="75" t="str">
        <f aca="false">IF(A2254="","",IFERROR(INDEX(السندات!$D$5:$D$504,MATCH(A2254,السندات!$A$5:$A$504,0)),""))</f>
        <v/>
      </c>
      <c r="J2254" s="76" t="str">
        <f aca="false">IF(A2254="","",IF(ISNA(MATCH(A2254,السندات!$A$5:$A$504,0)),"رقم سند غير موجود ✘",IF(AND(F2254&lt;&gt;"",G2254&lt;&gt;""),"اكتب مدين أو دائن فقط ✘",IF(AND(N(F2254)=0,N(G2254)=0),"بدون مبلغ ⚠",IF(B2254&gt;12,"يتجاوز 12 بنداً في الطباعة ⚠","")))))</f>
        <v/>
      </c>
    </row>
    <row r="2255" customFormat="false" ht="15" hidden="false" customHeight="false" outlineLevel="0" collapsed="false">
      <c r="A2255" s="58"/>
      <c r="B2255" s="68" t="str">
        <f aca="false">IF(A2255="","",COUNTIF(A$5:A2255,A2255))</f>
        <v/>
      </c>
      <c r="C2255" s="68" t="str">
        <f aca="false">IF(A2255="","",A2255&amp;"-"&amp;B2255)</f>
        <v/>
      </c>
      <c r="D2255" s="58"/>
      <c r="E2255" s="57"/>
      <c r="F2255" s="69"/>
      <c r="G2255" s="69"/>
      <c r="H2255" s="70" t="str">
        <f aca="false">IF(A2255="","",IFERROR(INDEX(السندات!$C$5:$C$504,MATCH(A2255,السندات!$A$5:$A$504,0)),""))</f>
        <v/>
      </c>
      <c r="I2255" s="71" t="str">
        <f aca="false">IF(A2255="","",IFERROR(INDEX(السندات!$D$5:$D$504,MATCH(A2255,السندات!$A$5:$A$504,0)),""))</f>
        <v/>
      </c>
      <c r="J2255" s="72" t="str">
        <f aca="false">IF(A2255="","",IF(ISNA(MATCH(A2255,السندات!$A$5:$A$504,0)),"رقم سند غير موجود ✘",IF(AND(F2255&lt;&gt;"",G2255&lt;&gt;""),"اكتب مدين أو دائن فقط ✘",IF(AND(N(F2255)=0,N(G2255)=0),"بدون مبلغ ⚠",IF(B2255&gt;12,"يتجاوز 12 بنداً في الطباعة ⚠","")))))</f>
        <v/>
      </c>
    </row>
    <row r="2256" customFormat="false" ht="15" hidden="false" customHeight="false" outlineLevel="0" collapsed="false">
      <c r="A2256" s="58"/>
      <c r="B2256" s="73" t="str">
        <f aca="false">IF(A2256="","",COUNTIF(A$5:A2256,A2256))</f>
        <v/>
      </c>
      <c r="C2256" s="73" t="str">
        <f aca="false">IF(A2256="","",A2256&amp;"-"&amp;B2256)</f>
        <v/>
      </c>
      <c r="D2256" s="58"/>
      <c r="E2256" s="57"/>
      <c r="F2256" s="69"/>
      <c r="G2256" s="69"/>
      <c r="H2256" s="74" t="str">
        <f aca="false">IF(A2256="","",IFERROR(INDEX(السندات!$C$5:$C$504,MATCH(A2256,السندات!$A$5:$A$504,0)),""))</f>
        <v/>
      </c>
      <c r="I2256" s="75" t="str">
        <f aca="false">IF(A2256="","",IFERROR(INDEX(السندات!$D$5:$D$504,MATCH(A2256,السندات!$A$5:$A$504,0)),""))</f>
        <v/>
      </c>
      <c r="J2256" s="76" t="str">
        <f aca="false">IF(A2256="","",IF(ISNA(MATCH(A2256,السندات!$A$5:$A$504,0)),"رقم سند غير موجود ✘",IF(AND(F2256&lt;&gt;"",G2256&lt;&gt;""),"اكتب مدين أو دائن فقط ✘",IF(AND(N(F2256)=0,N(G2256)=0),"بدون مبلغ ⚠",IF(B2256&gt;12,"يتجاوز 12 بنداً في الطباعة ⚠","")))))</f>
        <v/>
      </c>
    </row>
    <row r="2257" customFormat="false" ht="15" hidden="false" customHeight="false" outlineLevel="0" collapsed="false">
      <c r="A2257" s="58"/>
      <c r="B2257" s="68" t="str">
        <f aca="false">IF(A2257="","",COUNTIF(A$5:A2257,A2257))</f>
        <v/>
      </c>
      <c r="C2257" s="68" t="str">
        <f aca="false">IF(A2257="","",A2257&amp;"-"&amp;B2257)</f>
        <v/>
      </c>
      <c r="D2257" s="58"/>
      <c r="E2257" s="57"/>
      <c r="F2257" s="69"/>
      <c r="G2257" s="69"/>
      <c r="H2257" s="70" t="str">
        <f aca="false">IF(A2257="","",IFERROR(INDEX(السندات!$C$5:$C$504,MATCH(A2257,السندات!$A$5:$A$504,0)),""))</f>
        <v/>
      </c>
      <c r="I2257" s="71" t="str">
        <f aca="false">IF(A2257="","",IFERROR(INDEX(السندات!$D$5:$D$504,MATCH(A2257,السندات!$A$5:$A$504,0)),""))</f>
        <v/>
      </c>
      <c r="J2257" s="72" t="str">
        <f aca="false">IF(A2257="","",IF(ISNA(MATCH(A2257,السندات!$A$5:$A$504,0)),"رقم سند غير موجود ✘",IF(AND(F2257&lt;&gt;"",G2257&lt;&gt;""),"اكتب مدين أو دائن فقط ✘",IF(AND(N(F2257)=0,N(G2257)=0),"بدون مبلغ ⚠",IF(B2257&gt;12,"يتجاوز 12 بنداً في الطباعة ⚠","")))))</f>
        <v/>
      </c>
    </row>
    <row r="2258" customFormat="false" ht="15" hidden="false" customHeight="false" outlineLevel="0" collapsed="false">
      <c r="A2258" s="58"/>
      <c r="B2258" s="73" t="str">
        <f aca="false">IF(A2258="","",COUNTIF(A$5:A2258,A2258))</f>
        <v/>
      </c>
      <c r="C2258" s="73" t="str">
        <f aca="false">IF(A2258="","",A2258&amp;"-"&amp;B2258)</f>
        <v/>
      </c>
      <c r="D2258" s="58"/>
      <c r="E2258" s="57"/>
      <c r="F2258" s="69"/>
      <c r="G2258" s="69"/>
      <c r="H2258" s="74" t="str">
        <f aca="false">IF(A2258="","",IFERROR(INDEX(السندات!$C$5:$C$504,MATCH(A2258,السندات!$A$5:$A$504,0)),""))</f>
        <v/>
      </c>
      <c r="I2258" s="75" t="str">
        <f aca="false">IF(A2258="","",IFERROR(INDEX(السندات!$D$5:$D$504,MATCH(A2258,السندات!$A$5:$A$504,0)),""))</f>
        <v/>
      </c>
      <c r="J2258" s="76" t="str">
        <f aca="false">IF(A2258="","",IF(ISNA(MATCH(A2258,السندات!$A$5:$A$504,0)),"رقم سند غير موجود ✘",IF(AND(F2258&lt;&gt;"",G2258&lt;&gt;""),"اكتب مدين أو دائن فقط ✘",IF(AND(N(F2258)=0,N(G2258)=0),"بدون مبلغ ⚠",IF(B2258&gt;12,"يتجاوز 12 بنداً في الطباعة ⚠","")))))</f>
        <v/>
      </c>
    </row>
    <row r="2259" customFormat="false" ht="15" hidden="false" customHeight="false" outlineLevel="0" collapsed="false">
      <c r="A2259" s="58"/>
      <c r="B2259" s="68" t="str">
        <f aca="false">IF(A2259="","",COUNTIF(A$5:A2259,A2259))</f>
        <v/>
      </c>
      <c r="C2259" s="68" t="str">
        <f aca="false">IF(A2259="","",A2259&amp;"-"&amp;B2259)</f>
        <v/>
      </c>
      <c r="D2259" s="58"/>
      <c r="E2259" s="57"/>
      <c r="F2259" s="69"/>
      <c r="G2259" s="69"/>
      <c r="H2259" s="70" t="str">
        <f aca="false">IF(A2259="","",IFERROR(INDEX(السندات!$C$5:$C$504,MATCH(A2259,السندات!$A$5:$A$504,0)),""))</f>
        <v/>
      </c>
      <c r="I2259" s="71" t="str">
        <f aca="false">IF(A2259="","",IFERROR(INDEX(السندات!$D$5:$D$504,MATCH(A2259,السندات!$A$5:$A$504,0)),""))</f>
        <v/>
      </c>
      <c r="J2259" s="72" t="str">
        <f aca="false">IF(A2259="","",IF(ISNA(MATCH(A2259,السندات!$A$5:$A$504,0)),"رقم سند غير موجود ✘",IF(AND(F2259&lt;&gt;"",G2259&lt;&gt;""),"اكتب مدين أو دائن فقط ✘",IF(AND(N(F2259)=0,N(G2259)=0),"بدون مبلغ ⚠",IF(B2259&gt;12,"يتجاوز 12 بنداً في الطباعة ⚠","")))))</f>
        <v/>
      </c>
    </row>
    <row r="2260" customFormat="false" ht="15" hidden="false" customHeight="false" outlineLevel="0" collapsed="false">
      <c r="A2260" s="58"/>
      <c r="B2260" s="73" t="str">
        <f aca="false">IF(A2260="","",COUNTIF(A$5:A2260,A2260))</f>
        <v/>
      </c>
      <c r="C2260" s="73" t="str">
        <f aca="false">IF(A2260="","",A2260&amp;"-"&amp;B2260)</f>
        <v/>
      </c>
      <c r="D2260" s="58"/>
      <c r="E2260" s="57"/>
      <c r="F2260" s="69"/>
      <c r="G2260" s="69"/>
      <c r="H2260" s="74" t="str">
        <f aca="false">IF(A2260="","",IFERROR(INDEX(السندات!$C$5:$C$504,MATCH(A2260,السندات!$A$5:$A$504,0)),""))</f>
        <v/>
      </c>
      <c r="I2260" s="75" t="str">
        <f aca="false">IF(A2260="","",IFERROR(INDEX(السندات!$D$5:$D$504,MATCH(A2260,السندات!$A$5:$A$504,0)),""))</f>
        <v/>
      </c>
      <c r="J2260" s="76" t="str">
        <f aca="false">IF(A2260="","",IF(ISNA(MATCH(A2260,السندات!$A$5:$A$504,0)),"رقم سند غير موجود ✘",IF(AND(F2260&lt;&gt;"",G2260&lt;&gt;""),"اكتب مدين أو دائن فقط ✘",IF(AND(N(F2260)=0,N(G2260)=0),"بدون مبلغ ⚠",IF(B2260&gt;12,"يتجاوز 12 بنداً في الطباعة ⚠","")))))</f>
        <v/>
      </c>
    </row>
    <row r="2261" customFormat="false" ht="15" hidden="false" customHeight="false" outlineLevel="0" collapsed="false">
      <c r="A2261" s="58"/>
      <c r="B2261" s="68" t="str">
        <f aca="false">IF(A2261="","",COUNTIF(A$5:A2261,A2261))</f>
        <v/>
      </c>
      <c r="C2261" s="68" t="str">
        <f aca="false">IF(A2261="","",A2261&amp;"-"&amp;B2261)</f>
        <v/>
      </c>
      <c r="D2261" s="58"/>
      <c r="E2261" s="57"/>
      <c r="F2261" s="69"/>
      <c r="G2261" s="69"/>
      <c r="H2261" s="70" t="str">
        <f aca="false">IF(A2261="","",IFERROR(INDEX(السندات!$C$5:$C$504,MATCH(A2261,السندات!$A$5:$A$504,0)),""))</f>
        <v/>
      </c>
      <c r="I2261" s="71" t="str">
        <f aca="false">IF(A2261="","",IFERROR(INDEX(السندات!$D$5:$D$504,MATCH(A2261,السندات!$A$5:$A$504,0)),""))</f>
        <v/>
      </c>
      <c r="J2261" s="72" t="str">
        <f aca="false">IF(A2261="","",IF(ISNA(MATCH(A2261,السندات!$A$5:$A$504,0)),"رقم سند غير موجود ✘",IF(AND(F2261&lt;&gt;"",G2261&lt;&gt;""),"اكتب مدين أو دائن فقط ✘",IF(AND(N(F2261)=0,N(G2261)=0),"بدون مبلغ ⚠",IF(B2261&gt;12,"يتجاوز 12 بنداً في الطباعة ⚠","")))))</f>
        <v/>
      </c>
    </row>
    <row r="2262" customFormat="false" ht="15" hidden="false" customHeight="false" outlineLevel="0" collapsed="false">
      <c r="A2262" s="58"/>
      <c r="B2262" s="73" t="str">
        <f aca="false">IF(A2262="","",COUNTIF(A$5:A2262,A2262))</f>
        <v/>
      </c>
      <c r="C2262" s="73" t="str">
        <f aca="false">IF(A2262="","",A2262&amp;"-"&amp;B2262)</f>
        <v/>
      </c>
      <c r="D2262" s="58"/>
      <c r="E2262" s="57"/>
      <c r="F2262" s="69"/>
      <c r="G2262" s="69"/>
      <c r="H2262" s="74" t="str">
        <f aca="false">IF(A2262="","",IFERROR(INDEX(السندات!$C$5:$C$504,MATCH(A2262,السندات!$A$5:$A$504,0)),""))</f>
        <v/>
      </c>
      <c r="I2262" s="75" t="str">
        <f aca="false">IF(A2262="","",IFERROR(INDEX(السندات!$D$5:$D$504,MATCH(A2262,السندات!$A$5:$A$504,0)),""))</f>
        <v/>
      </c>
      <c r="J2262" s="76" t="str">
        <f aca="false">IF(A2262="","",IF(ISNA(MATCH(A2262,السندات!$A$5:$A$504,0)),"رقم سند غير موجود ✘",IF(AND(F2262&lt;&gt;"",G2262&lt;&gt;""),"اكتب مدين أو دائن فقط ✘",IF(AND(N(F2262)=0,N(G2262)=0),"بدون مبلغ ⚠",IF(B2262&gt;12,"يتجاوز 12 بنداً في الطباعة ⚠","")))))</f>
        <v/>
      </c>
    </row>
    <row r="2263" customFormat="false" ht="15" hidden="false" customHeight="false" outlineLevel="0" collapsed="false">
      <c r="A2263" s="58"/>
      <c r="B2263" s="68" t="str">
        <f aca="false">IF(A2263="","",COUNTIF(A$5:A2263,A2263))</f>
        <v/>
      </c>
      <c r="C2263" s="68" t="str">
        <f aca="false">IF(A2263="","",A2263&amp;"-"&amp;B2263)</f>
        <v/>
      </c>
      <c r="D2263" s="58"/>
      <c r="E2263" s="57"/>
      <c r="F2263" s="69"/>
      <c r="G2263" s="69"/>
      <c r="H2263" s="70" t="str">
        <f aca="false">IF(A2263="","",IFERROR(INDEX(السندات!$C$5:$C$504,MATCH(A2263,السندات!$A$5:$A$504,0)),""))</f>
        <v/>
      </c>
      <c r="I2263" s="71" t="str">
        <f aca="false">IF(A2263="","",IFERROR(INDEX(السندات!$D$5:$D$504,MATCH(A2263,السندات!$A$5:$A$504,0)),""))</f>
        <v/>
      </c>
      <c r="J2263" s="72" t="str">
        <f aca="false">IF(A2263="","",IF(ISNA(MATCH(A2263,السندات!$A$5:$A$504,0)),"رقم سند غير موجود ✘",IF(AND(F2263&lt;&gt;"",G2263&lt;&gt;""),"اكتب مدين أو دائن فقط ✘",IF(AND(N(F2263)=0,N(G2263)=0),"بدون مبلغ ⚠",IF(B2263&gt;12,"يتجاوز 12 بنداً في الطباعة ⚠","")))))</f>
        <v/>
      </c>
    </row>
    <row r="2264" customFormat="false" ht="15" hidden="false" customHeight="false" outlineLevel="0" collapsed="false">
      <c r="A2264" s="58"/>
      <c r="B2264" s="73" t="str">
        <f aca="false">IF(A2264="","",COUNTIF(A$5:A2264,A2264))</f>
        <v/>
      </c>
      <c r="C2264" s="73" t="str">
        <f aca="false">IF(A2264="","",A2264&amp;"-"&amp;B2264)</f>
        <v/>
      </c>
      <c r="D2264" s="58"/>
      <c r="E2264" s="57"/>
      <c r="F2264" s="69"/>
      <c r="G2264" s="69"/>
      <c r="H2264" s="74" t="str">
        <f aca="false">IF(A2264="","",IFERROR(INDEX(السندات!$C$5:$C$504,MATCH(A2264,السندات!$A$5:$A$504,0)),""))</f>
        <v/>
      </c>
      <c r="I2264" s="75" t="str">
        <f aca="false">IF(A2264="","",IFERROR(INDEX(السندات!$D$5:$D$504,MATCH(A2264,السندات!$A$5:$A$504,0)),""))</f>
        <v/>
      </c>
      <c r="J2264" s="76" t="str">
        <f aca="false">IF(A2264="","",IF(ISNA(MATCH(A2264,السندات!$A$5:$A$504,0)),"رقم سند غير موجود ✘",IF(AND(F2264&lt;&gt;"",G2264&lt;&gt;""),"اكتب مدين أو دائن فقط ✘",IF(AND(N(F2264)=0,N(G2264)=0),"بدون مبلغ ⚠",IF(B2264&gt;12,"يتجاوز 12 بنداً في الطباعة ⚠","")))))</f>
        <v/>
      </c>
    </row>
    <row r="2265" customFormat="false" ht="15" hidden="false" customHeight="false" outlineLevel="0" collapsed="false">
      <c r="A2265" s="58"/>
      <c r="B2265" s="68" t="str">
        <f aca="false">IF(A2265="","",COUNTIF(A$5:A2265,A2265))</f>
        <v/>
      </c>
      <c r="C2265" s="68" t="str">
        <f aca="false">IF(A2265="","",A2265&amp;"-"&amp;B2265)</f>
        <v/>
      </c>
      <c r="D2265" s="58"/>
      <c r="E2265" s="57"/>
      <c r="F2265" s="69"/>
      <c r="G2265" s="69"/>
      <c r="H2265" s="70" t="str">
        <f aca="false">IF(A2265="","",IFERROR(INDEX(السندات!$C$5:$C$504,MATCH(A2265,السندات!$A$5:$A$504,0)),""))</f>
        <v/>
      </c>
      <c r="I2265" s="71" t="str">
        <f aca="false">IF(A2265="","",IFERROR(INDEX(السندات!$D$5:$D$504,MATCH(A2265,السندات!$A$5:$A$504,0)),""))</f>
        <v/>
      </c>
      <c r="J2265" s="72" t="str">
        <f aca="false">IF(A2265="","",IF(ISNA(MATCH(A2265,السندات!$A$5:$A$504,0)),"رقم سند غير موجود ✘",IF(AND(F2265&lt;&gt;"",G2265&lt;&gt;""),"اكتب مدين أو دائن فقط ✘",IF(AND(N(F2265)=0,N(G2265)=0),"بدون مبلغ ⚠",IF(B2265&gt;12,"يتجاوز 12 بنداً في الطباعة ⚠","")))))</f>
        <v/>
      </c>
    </row>
    <row r="2266" customFormat="false" ht="15" hidden="false" customHeight="false" outlineLevel="0" collapsed="false">
      <c r="A2266" s="58"/>
      <c r="B2266" s="73" t="str">
        <f aca="false">IF(A2266="","",COUNTIF(A$5:A2266,A2266))</f>
        <v/>
      </c>
      <c r="C2266" s="73" t="str">
        <f aca="false">IF(A2266="","",A2266&amp;"-"&amp;B2266)</f>
        <v/>
      </c>
      <c r="D2266" s="58"/>
      <c r="E2266" s="57"/>
      <c r="F2266" s="69"/>
      <c r="G2266" s="69"/>
      <c r="H2266" s="74" t="str">
        <f aca="false">IF(A2266="","",IFERROR(INDEX(السندات!$C$5:$C$504,MATCH(A2266,السندات!$A$5:$A$504,0)),""))</f>
        <v/>
      </c>
      <c r="I2266" s="75" t="str">
        <f aca="false">IF(A2266="","",IFERROR(INDEX(السندات!$D$5:$D$504,MATCH(A2266,السندات!$A$5:$A$504,0)),""))</f>
        <v/>
      </c>
      <c r="J2266" s="76" t="str">
        <f aca="false">IF(A2266="","",IF(ISNA(MATCH(A2266,السندات!$A$5:$A$504,0)),"رقم سند غير موجود ✘",IF(AND(F2266&lt;&gt;"",G2266&lt;&gt;""),"اكتب مدين أو دائن فقط ✘",IF(AND(N(F2266)=0,N(G2266)=0),"بدون مبلغ ⚠",IF(B2266&gt;12,"يتجاوز 12 بنداً في الطباعة ⚠","")))))</f>
        <v/>
      </c>
    </row>
    <row r="2267" customFormat="false" ht="15" hidden="false" customHeight="false" outlineLevel="0" collapsed="false">
      <c r="A2267" s="58"/>
      <c r="B2267" s="68" t="str">
        <f aca="false">IF(A2267="","",COUNTIF(A$5:A2267,A2267))</f>
        <v/>
      </c>
      <c r="C2267" s="68" t="str">
        <f aca="false">IF(A2267="","",A2267&amp;"-"&amp;B2267)</f>
        <v/>
      </c>
      <c r="D2267" s="58"/>
      <c r="E2267" s="57"/>
      <c r="F2267" s="69"/>
      <c r="G2267" s="69"/>
      <c r="H2267" s="70" t="str">
        <f aca="false">IF(A2267="","",IFERROR(INDEX(السندات!$C$5:$C$504,MATCH(A2267,السندات!$A$5:$A$504,0)),""))</f>
        <v/>
      </c>
      <c r="I2267" s="71" t="str">
        <f aca="false">IF(A2267="","",IFERROR(INDEX(السندات!$D$5:$D$504,MATCH(A2267,السندات!$A$5:$A$504,0)),""))</f>
        <v/>
      </c>
      <c r="J2267" s="72" t="str">
        <f aca="false">IF(A2267="","",IF(ISNA(MATCH(A2267,السندات!$A$5:$A$504,0)),"رقم سند غير موجود ✘",IF(AND(F2267&lt;&gt;"",G2267&lt;&gt;""),"اكتب مدين أو دائن فقط ✘",IF(AND(N(F2267)=0,N(G2267)=0),"بدون مبلغ ⚠",IF(B2267&gt;12,"يتجاوز 12 بنداً في الطباعة ⚠","")))))</f>
        <v/>
      </c>
    </row>
    <row r="2268" customFormat="false" ht="15" hidden="false" customHeight="false" outlineLevel="0" collapsed="false">
      <c r="A2268" s="58"/>
      <c r="B2268" s="73" t="str">
        <f aca="false">IF(A2268="","",COUNTIF(A$5:A2268,A2268))</f>
        <v/>
      </c>
      <c r="C2268" s="73" t="str">
        <f aca="false">IF(A2268="","",A2268&amp;"-"&amp;B2268)</f>
        <v/>
      </c>
      <c r="D2268" s="58"/>
      <c r="E2268" s="57"/>
      <c r="F2268" s="69"/>
      <c r="G2268" s="69"/>
      <c r="H2268" s="74" t="str">
        <f aca="false">IF(A2268="","",IFERROR(INDEX(السندات!$C$5:$C$504,MATCH(A2268,السندات!$A$5:$A$504,0)),""))</f>
        <v/>
      </c>
      <c r="I2268" s="75" t="str">
        <f aca="false">IF(A2268="","",IFERROR(INDEX(السندات!$D$5:$D$504,MATCH(A2268,السندات!$A$5:$A$504,0)),""))</f>
        <v/>
      </c>
      <c r="J2268" s="76" t="str">
        <f aca="false">IF(A2268="","",IF(ISNA(MATCH(A2268,السندات!$A$5:$A$504,0)),"رقم سند غير موجود ✘",IF(AND(F2268&lt;&gt;"",G2268&lt;&gt;""),"اكتب مدين أو دائن فقط ✘",IF(AND(N(F2268)=0,N(G2268)=0),"بدون مبلغ ⚠",IF(B2268&gt;12,"يتجاوز 12 بنداً في الطباعة ⚠","")))))</f>
        <v/>
      </c>
    </row>
    <row r="2269" customFormat="false" ht="15" hidden="false" customHeight="false" outlineLevel="0" collapsed="false">
      <c r="A2269" s="58"/>
      <c r="B2269" s="68" t="str">
        <f aca="false">IF(A2269="","",COUNTIF(A$5:A2269,A2269))</f>
        <v/>
      </c>
      <c r="C2269" s="68" t="str">
        <f aca="false">IF(A2269="","",A2269&amp;"-"&amp;B2269)</f>
        <v/>
      </c>
      <c r="D2269" s="58"/>
      <c r="E2269" s="57"/>
      <c r="F2269" s="69"/>
      <c r="G2269" s="69"/>
      <c r="H2269" s="70" t="str">
        <f aca="false">IF(A2269="","",IFERROR(INDEX(السندات!$C$5:$C$504,MATCH(A2269,السندات!$A$5:$A$504,0)),""))</f>
        <v/>
      </c>
      <c r="I2269" s="71" t="str">
        <f aca="false">IF(A2269="","",IFERROR(INDEX(السندات!$D$5:$D$504,MATCH(A2269,السندات!$A$5:$A$504,0)),""))</f>
        <v/>
      </c>
      <c r="J2269" s="72" t="str">
        <f aca="false">IF(A2269="","",IF(ISNA(MATCH(A2269,السندات!$A$5:$A$504,0)),"رقم سند غير موجود ✘",IF(AND(F2269&lt;&gt;"",G2269&lt;&gt;""),"اكتب مدين أو دائن فقط ✘",IF(AND(N(F2269)=0,N(G2269)=0),"بدون مبلغ ⚠",IF(B2269&gt;12,"يتجاوز 12 بنداً في الطباعة ⚠","")))))</f>
        <v/>
      </c>
    </row>
    <row r="2270" customFormat="false" ht="15" hidden="false" customHeight="false" outlineLevel="0" collapsed="false">
      <c r="A2270" s="58"/>
      <c r="B2270" s="73" t="str">
        <f aca="false">IF(A2270="","",COUNTIF(A$5:A2270,A2270))</f>
        <v/>
      </c>
      <c r="C2270" s="73" t="str">
        <f aca="false">IF(A2270="","",A2270&amp;"-"&amp;B2270)</f>
        <v/>
      </c>
      <c r="D2270" s="58"/>
      <c r="E2270" s="57"/>
      <c r="F2270" s="69"/>
      <c r="G2270" s="69"/>
      <c r="H2270" s="74" t="str">
        <f aca="false">IF(A2270="","",IFERROR(INDEX(السندات!$C$5:$C$504,MATCH(A2270,السندات!$A$5:$A$504,0)),""))</f>
        <v/>
      </c>
      <c r="I2270" s="75" t="str">
        <f aca="false">IF(A2270="","",IFERROR(INDEX(السندات!$D$5:$D$504,MATCH(A2270,السندات!$A$5:$A$504,0)),""))</f>
        <v/>
      </c>
      <c r="J2270" s="76" t="str">
        <f aca="false">IF(A2270="","",IF(ISNA(MATCH(A2270,السندات!$A$5:$A$504,0)),"رقم سند غير موجود ✘",IF(AND(F2270&lt;&gt;"",G2270&lt;&gt;""),"اكتب مدين أو دائن فقط ✘",IF(AND(N(F2270)=0,N(G2270)=0),"بدون مبلغ ⚠",IF(B2270&gt;12,"يتجاوز 12 بنداً في الطباعة ⚠","")))))</f>
        <v/>
      </c>
    </row>
    <row r="2271" customFormat="false" ht="15" hidden="false" customHeight="false" outlineLevel="0" collapsed="false">
      <c r="A2271" s="58"/>
      <c r="B2271" s="68" t="str">
        <f aca="false">IF(A2271="","",COUNTIF(A$5:A2271,A2271))</f>
        <v/>
      </c>
      <c r="C2271" s="68" t="str">
        <f aca="false">IF(A2271="","",A2271&amp;"-"&amp;B2271)</f>
        <v/>
      </c>
      <c r="D2271" s="58"/>
      <c r="E2271" s="57"/>
      <c r="F2271" s="69"/>
      <c r="G2271" s="69"/>
      <c r="H2271" s="70" t="str">
        <f aca="false">IF(A2271="","",IFERROR(INDEX(السندات!$C$5:$C$504,MATCH(A2271,السندات!$A$5:$A$504,0)),""))</f>
        <v/>
      </c>
      <c r="I2271" s="71" t="str">
        <f aca="false">IF(A2271="","",IFERROR(INDEX(السندات!$D$5:$D$504,MATCH(A2271,السندات!$A$5:$A$504,0)),""))</f>
        <v/>
      </c>
      <c r="J2271" s="72" t="str">
        <f aca="false">IF(A2271="","",IF(ISNA(MATCH(A2271,السندات!$A$5:$A$504,0)),"رقم سند غير موجود ✘",IF(AND(F2271&lt;&gt;"",G2271&lt;&gt;""),"اكتب مدين أو دائن فقط ✘",IF(AND(N(F2271)=0,N(G2271)=0),"بدون مبلغ ⚠",IF(B2271&gt;12,"يتجاوز 12 بنداً في الطباعة ⚠","")))))</f>
        <v/>
      </c>
    </row>
    <row r="2272" customFormat="false" ht="15" hidden="false" customHeight="false" outlineLevel="0" collapsed="false">
      <c r="A2272" s="58"/>
      <c r="B2272" s="73" t="str">
        <f aca="false">IF(A2272="","",COUNTIF(A$5:A2272,A2272))</f>
        <v/>
      </c>
      <c r="C2272" s="73" t="str">
        <f aca="false">IF(A2272="","",A2272&amp;"-"&amp;B2272)</f>
        <v/>
      </c>
      <c r="D2272" s="58"/>
      <c r="E2272" s="57"/>
      <c r="F2272" s="69"/>
      <c r="G2272" s="69"/>
      <c r="H2272" s="74" t="str">
        <f aca="false">IF(A2272="","",IFERROR(INDEX(السندات!$C$5:$C$504,MATCH(A2272,السندات!$A$5:$A$504,0)),""))</f>
        <v/>
      </c>
      <c r="I2272" s="75" t="str">
        <f aca="false">IF(A2272="","",IFERROR(INDEX(السندات!$D$5:$D$504,MATCH(A2272,السندات!$A$5:$A$504,0)),""))</f>
        <v/>
      </c>
      <c r="J2272" s="76" t="str">
        <f aca="false">IF(A2272="","",IF(ISNA(MATCH(A2272,السندات!$A$5:$A$504,0)),"رقم سند غير موجود ✘",IF(AND(F2272&lt;&gt;"",G2272&lt;&gt;""),"اكتب مدين أو دائن فقط ✘",IF(AND(N(F2272)=0,N(G2272)=0),"بدون مبلغ ⚠",IF(B2272&gt;12,"يتجاوز 12 بنداً في الطباعة ⚠","")))))</f>
        <v/>
      </c>
    </row>
    <row r="2273" customFormat="false" ht="15" hidden="false" customHeight="false" outlineLevel="0" collapsed="false">
      <c r="A2273" s="58"/>
      <c r="B2273" s="68" t="str">
        <f aca="false">IF(A2273="","",COUNTIF(A$5:A2273,A2273))</f>
        <v/>
      </c>
      <c r="C2273" s="68" t="str">
        <f aca="false">IF(A2273="","",A2273&amp;"-"&amp;B2273)</f>
        <v/>
      </c>
      <c r="D2273" s="58"/>
      <c r="E2273" s="57"/>
      <c r="F2273" s="69"/>
      <c r="G2273" s="69"/>
      <c r="H2273" s="70" t="str">
        <f aca="false">IF(A2273="","",IFERROR(INDEX(السندات!$C$5:$C$504,MATCH(A2273,السندات!$A$5:$A$504,0)),""))</f>
        <v/>
      </c>
      <c r="I2273" s="71" t="str">
        <f aca="false">IF(A2273="","",IFERROR(INDEX(السندات!$D$5:$D$504,MATCH(A2273,السندات!$A$5:$A$504,0)),""))</f>
        <v/>
      </c>
      <c r="J2273" s="72" t="str">
        <f aca="false">IF(A2273="","",IF(ISNA(MATCH(A2273,السندات!$A$5:$A$504,0)),"رقم سند غير موجود ✘",IF(AND(F2273&lt;&gt;"",G2273&lt;&gt;""),"اكتب مدين أو دائن فقط ✘",IF(AND(N(F2273)=0,N(G2273)=0),"بدون مبلغ ⚠",IF(B2273&gt;12,"يتجاوز 12 بنداً في الطباعة ⚠","")))))</f>
        <v/>
      </c>
    </row>
    <row r="2274" customFormat="false" ht="15" hidden="false" customHeight="false" outlineLevel="0" collapsed="false">
      <c r="A2274" s="58"/>
      <c r="B2274" s="73" t="str">
        <f aca="false">IF(A2274="","",COUNTIF(A$5:A2274,A2274))</f>
        <v/>
      </c>
      <c r="C2274" s="73" t="str">
        <f aca="false">IF(A2274="","",A2274&amp;"-"&amp;B2274)</f>
        <v/>
      </c>
      <c r="D2274" s="58"/>
      <c r="E2274" s="57"/>
      <c r="F2274" s="69"/>
      <c r="G2274" s="69"/>
      <c r="H2274" s="74" t="str">
        <f aca="false">IF(A2274="","",IFERROR(INDEX(السندات!$C$5:$C$504,MATCH(A2274,السندات!$A$5:$A$504,0)),""))</f>
        <v/>
      </c>
      <c r="I2274" s="75" t="str">
        <f aca="false">IF(A2274="","",IFERROR(INDEX(السندات!$D$5:$D$504,MATCH(A2274,السندات!$A$5:$A$504,0)),""))</f>
        <v/>
      </c>
      <c r="J2274" s="76" t="str">
        <f aca="false">IF(A2274="","",IF(ISNA(MATCH(A2274,السندات!$A$5:$A$504,0)),"رقم سند غير موجود ✘",IF(AND(F2274&lt;&gt;"",G2274&lt;&gt;""),"اكتب مدين أو دائن فقط ✘",IF(AND(N(F2274)=0,N(G2274)=0),"بدون مبلغ ⚠",IF(B2274&gt;12,"يتجاوز 12 بنداً في الطباعة ⚠","")))))</f>
        <v/>
      </c>
    </row>
    <row r="2275" customFormat="false" ht="15" hidden="false" customHeight="false" outlineLevel="0" collapsed="false">
      <c r="A2275" s="58"/>
      <c r="B2275" s="68" t="str">
        <f aca="false">IF(A2275="","",COUNTIF(A$5:A2275,A2275))</f>
        <v/>
      </c>
      <c r="C2275" s="68" t="str">
        <f aca="false">IF(A2275="","",A2275&amp;"-"&amp;B2275)</f>
        <v/>
      </c>
      <c r="D2275" s="58"/>
      <c r="E2275" s="57"/>
      <c r="F2275" s="69"/>
      <c r="G2275" s="69"/>
      <c r="H2275" s="70" t="str">
        <f aca="false">IF(A2275="","",IFERROR(INDEX(السندات!$C$5:$C$504,MATCH(A2275,السندات!$A$5:$A$504,0)),""))</f>
        <v/>
      </c>
      <c r="I2275" s="71" t="str">
        <f aca="false">IF(A2275="","",IFERROR(INDEX(السندات!$D$5:$D$504,MATCH(A2275,السندات!$A$5:$A$504,0)),""))</f>
        <v/>
      </c>
      <c r="J2275" s="72" t="str">
        <f aca="false">IF(A2275="","",IF(ISNA(MATCH(A2275,السندات!$A$5:$A$504,0)),"رقم سند غير موجود ✘",IF(AND(F2275&lt;&gt;"",G2275&lt;&gt;""),"اكتب مدين أو دائن فقط ✘",IF(AND(N(F2275)=0,N(G2275)=0),"بدون مبلغ ⚠",IF(B2275&gt;12,"يتجاوز 12 بنداً في الطباعة ⚠","")))))</f>
        <v/>
      </c>
    </row>
    <row r="2276" customFormat="false" ht="15" hidden="false" customHeight="false" outlineLevel="0" collapsed="false">
      <c r="A2276" s="58"/>
      <c r="B2276" s="73" t="str">
        <f aca="false">IF(A2276="","",COUNTIF(A$5:A2276,A2276))</f>
        <v/>
      </c>
      <c r="C2276" s="73" t="str">
        <f aca="false">IF(A2276="","",A2276&amp;"-"&amp;B2276)</f>
        <v/>
      </c>
      <c r="D2276" s="58"/>
      <c r="E2276" s="57"/>
      <c r="F2276" s="69"/>
      <c r="G2276" s="69"/>
      <c r="H2276" s="74" t="str">
        <f aca="false">IF(A2276="","",IFERROR(INDEX(السندات!$C$5:$C$504,MATCH(A2276,السندات!$A$5:$A$504,0)),""))</f>
        <v/>
      </c>
      <c r="I2276" s="75" t="str">
        <f aca="false">IF(A2276="","",IFERROR(INDEX(السندات!$D$5:$D$504,MATCH(A2276,السندات!$A$5:$A$504,0)),""))</f>
        <v/>
      </c>
      <c r="J2276" s="76" t="str">
        <f aca="false">IF(A2276="","",IF(ISNA(MATCH(A2276,السندات!$A$5:$A$504,0)),"رقم سند غير موجود ✘",IF(AND(F2276&lt;&gt;"",G2276&lt;&gt;""),"اكتب مدين أو دائن فقط ✘",IF(AND(N(F2276)=0,N(G2276)=0),"بدون مبلغ ⚠",IF(B2276&gt;12,"يتجاوز 12 بنداً في الطباعة ⚠","")))))</f>
        <v/>
      </c>
    </row>
    <row r="2277" customFormat="false" ht="15" hidden="false" customHeight="false" outlineLevel="0" collapsed="false">
      <c r="A2277" s="58"/>
      <c r="B2277" s="68" t="str">
        <f aca="false">IF(A2277="","",COUNTIF(A$5:A2277,A2277))</f>
        <v/>
      </c>
      <c r="C2277" s="68" t="str">
        <f aca="false">IF(A2277="","",A2277&amp;"-"&amp;B2277)</f>
        <v/>
      </c>
      <c r="D2277" s="58"/>
      <c r="E2277" s="57"/>
      <c r="F2277" s="69"/>
      <c r="G2277" s="69"/>
      <c r="H2277" s="70" t="str">
        <f aca="false">IF(A2277="","",IFERROR(INDEX(السندات!$C$5:$C$504,MATCH(A2277,السندات!$A$5:$A$504,0)),""))</f>
        <v/>
      </c>
      <c r="I2277" s="71" t="str">
        <f aca="false">IF(A2277="","",IFERROR(INDEX(السندات!$D$5:$D$504,MATCH(A2277,السندات!$A$5:$A$504,0)),""))</f>
        <v/>
      </c>
      <c r="J2277" s="72" t="str">
        <f aca="false">IF(A2277="","",IF(ISNA(MATCH(A2277,السندات!$A$5:$A$504,0)),"رقم سند غير موجود ✘",IF(AND(F2277&lt;&gt;"",G2277&lt;&gt;""),"اكتب مدين أو دائن فقط ✘",IF(AND(N(F2277)=0,N(G2277)=0),"بدون مبلغ ⚠",IF(B2277&gt;12,"يتجاوز 12 بنداً في الطباعة ⚠","")))))</f>
        <v/>
      </c>
    </row>
    <row r="2278" customFormat="false" ht="15" hidden="false" customHeight="false" outlineLevel="0" collapsed="false">
      <c r="A2278" s="58"/>
      <c r="B2278" s="73" t="str">
        <f aca="false">IF(A2278="","",COUNTIF(A$5:A2278,A2278))</f>
        <v/>
      </c>
      <c r="C2278" s="73" t="str">
        <f aca="false">IF(A2278="","",A2278&amp;"-"&amp;B2278)</f>
        <v/>
      </c>
      <c r="D2278" s="58"/>
      <c r="E2278" s="57"/>
      <c r="F2278" s="69"/>
      <c r="G2278" s="69"/>
      <c r="H2278" s="74" t="str">
        <f aca="false">IF(A2278="","",IFERROR(INDEX(السندات!$C$5:$C$504,MATCH(A2278,السندات!$A$5:$A$504,0)),""))</f>
        <v/>
      </c>
      <c r="I2278" s="75" t="str">
        <f aca="false">IF(A2278="","",IFERROR(INDEX(السندات!$D$5:$D$504,MATCH(A2278,السندات!$A$5:$A$504,0)),""))</f>
        <v/>
      </c>
      <c r="J2278" s="76" t="str">
        <f aca="false">IF(A2278="","",IF(ISNA(MATCH(A2278,السندات!$A$5:$A$504,0)),"رقم سند غير موجود ✘",IF(AND(F2278&lt;&gt;"",G2278&lt;&gt;""),"اكتب مدين أو دائن فقط ✘",IF(AND(N(F2278)=0,N(G2278)=0),"بدون مبلغ ⚠",IF(B2278&gt;12,"يتجاوز 12 بنداً في الطباعة ⚠","")))))</f>
        <v/>
      </c>
    </row>
    <row r="2279" customFormat="false" ht="15" hidden="false" customHeight="false" outlineLevel="0" collapsed="false">
      <c r="A2279" s="58"/>
      <c r="B2279" s="68" t="str">
        <f aca="false">IF(A2279="","",COUNTIF(A$5:A2279,A2279))</f>
        <v/>
      </c>
      <c r="C2279" s="68" t="str">
        <f aca="false">IF(A2279="","",A2279&amp;"-"&amp;B2279)</f>
        <v/>
      </c>
      <c r="D2279" s="58"/>
      <c r="E2279" s="57"/>
      <c r="F2279" s="69"/>
      <c r="G2279" s="69"/>
      <c r="H2279" s="70" t="str">
        <f aca="false">IF(A2279="","",IFERROR(INDEX(السندات!$C$5:$C$504,MATCH(A2279,السندات!$A$5:$A$504,0)),""))</f>
        <v/>
      </c>
      <c r="I2279" s="71" t="str">
        <f aca="false">IF(A2279="","",IFERROR(INDEX(السندات!$D$5:$D$504,MATCH(A2279,السندات!$A$5:$A$504,0)),""))</f>
        <v/>
      </c>
      <c r="J2279" s="72" t="str">
        <f aca="false">IF(A2279="","",IF(ISNA(MATCH(A2279,السندات!$A$5:$A$504,0)),"رقم سند غير موجود ✘",IF(AND(F2279&lt;&gt;"",G2279&lt;&gt;""),"اكتب مدين أو دائن فقط ✘",IF(AND(N(F2279)=0,N(G2279)=0),"بدون مبلغ ⚠",IF(B2279&gt;12,"يتجاوز 12 بنداً في الطباعة ⚠","")))))</f>
        <v/>
      </c>
    </row>
    <row r="2280" customFormat="false" ht="15" hidden="false" customHeight="false" outlineLevel="0" collapsed="false">
      <c r="A2280" s="58"/>
      <c r="B2280" s="73" t="str">
        <f aca="false">IF(A2280="","",COUNTIF(A$5:A2280,A2280))</f>
        <v/>
      </c>
      <c r="C2280" s="73" t="str">
        <f aca="false">IF(A2280="","",A2280&amp;"-"&amp;B2280)</f>
        <v/>
      </c>
      <c r="D2280" s="58"/>
      <c r="E2280" s="57"/>
      <c r="F2280" s="69"/>
      <c r="G2280" s="69"/>
      <c r="H2280" s="74" t="str">
        <f aca="false">IF(A2280="","",IFERROR(INDEX(السندات!$C$5:$C$504,MATCH(A2280,السندات!$A$5:$A$504,0)),""))</f>
        <v/>
      </c>
      <c r="I2280" s="75" t="str">
        <f aca="false">IF(A2280="","",IFERROR(INDEX(السندات!$D$5:$D$504,MATCH(A2280,السندات!$A$5:$A$504,0)),""))</f>
        <v/>
      </c>
      <c r="J2280" s="76" t="str">
        <f aca="false">IF(A2280="","",IF(ISNA(MATCH(A2280,السندات!$A$5:$A$504,0)),"رقم سند غير موجود ✘",IF(AND(F2280&lt;&gt;"",G2280&lt;&gt;""),"اكتب مدين أو دائن فقط ✘",IF(AND(N(F2280)=0,N(G2280)=0),"بدون مبلغ ⚠",IF(B2280&gt;12,"يتجاوز 12 بنداً في الطباعة ⚠","")))))</f>
        <v/>
      </c>
    </row>
    <row r="2281" customFormat="false" ht="15" hidden="false" customHeight="false" outlineLevel="0" collapsed="false">
      <c r="A2281" s="58"/>
      <c r="B2281" s="68" t="str">
        <f aca="false">IF(A2281="","",COUNTIF(A$5:A2281,A2281))</f>
        <v/>
      </c>
      <c r="C2281" s="68" t="str">
        <f aca="false">IF(A2281="","",A2281&amp;"-"&amp;B2281)</f>
        <v/>
      </c>
      <c r="D2281" s="58"/>
      <c r="E2281" s="57"/>
      <c r="F2281" s="69"/>
      <c r="G2281" s="69"/>
      <c r="H2281" s="70" t="str">
        <f aca="false">IF(A2281="","",IFERROR(INDEX(السندات!$C$5:$C$504,MATCH(A2281,السندات!$A$5:$A$504,0)),""))</f>
        <v/>
      </c>
      <c r="I2281" s="71" t="str">
        <f aca="false">IF(A2281="","",IFERROR(INDEX(السندات!$D$5:$D$504,MATCH(A2281,السندات!$A$5:$A$504,0)),""))</f>
        <v/>
      </c>
      <c r="J2281" s="72" t="str">
        <f aca="false">IF(A2281="","",IF(ISNA(MATCH(A2281,السندات!$A$5:$A$504,0)),"رقم سند غير موجود ✘",IF(AND(F2281&lt;&gt;"",G2281&lt;&gt;""),"اكتب مدين أو دائن فقط ✘",IF(AND(N(F2281)=0,N(G2281)=0),"بدون مبلغ ⚠",IF(B2281&gt;12,"يتجاوز 12 بنداً في الطباعة ⚠","")))))</f>
        <v/>
      </c>
    </row>
    <row r="2282" customFormat="false" ht="15" hidden="false" customHeight="false" outlineLevel="0" collapsed="false">
      <c r="A2282" s="58"/>
      <c r="B2282" s="73" t="str">
        <f aca="false">IF(A2282="","",COUNTIF(A$5:A2282,A2282))</f>
        <v/>
      </c>
      <c r="C2282" s="73" t="str">
        <f aca="false">IF(A2282="","",A2282&amp;"-"&amp;B2282)</f>
        <v/>
      </c>
      <c r="D2282" s="58"/>
      <c r="E2282" s="57"/>
      <c r="F2282" s="69"/>
      <c r="G2282" s="69"/>
      <c r="H2282" s="74" t="str">
        <f aca="false">IF(A2282="","",IFERROR(INDEX(السندات!$C$5:$C$504,MATCH(A2282,السندات!$A$5:$A$504,0)),""))</f>
        <v/>
      </c>
      <c r="I2282" s="75" t="str">
        <f aca="false">IF(A2282="","",IFERROR(INDEX(السندات!$D$5:$D$504,MATCH(A2282,السندات!$A$5:$A$504,0)),""))</f>
        <v/>
      </c>
      <c r="J2282" s="76" t="str">
        <f aca="false">IF(A2282="","",IF(ISNA(MATCH(A2282,السندات!$A$5:$A$504,0)),"رقم سند غير موجود ✘",IF(AND(F2282&lt;&gt;"",G2282&lt;&gt;""),"اكتب مدين أو دائن فقط ✘",IF(AND(N(F2282)=0,N(G2282)=0),"بدون مبلغ ⚠",IF(B2282&gt;12,"يتجاوز 12 بنداً في الطباعة ⚠","")))))</f>
        <v/>
      </c>
    </row>
    <row r="2283" customFormat="false" ht="15" hidden="false" customHeight="false" outlineLevel="0" collapsed="false">
      <c r="A2283" s="58"/>
      <c r="B2283" s="68" t="str">
        <f aca="false">IF(A2283="","",COUNTIF(A$5:A2283,A2283))</f>
        <v/>
      </c>
      <c r="C2283" s="68" t="str">
        <f aca="false">IF(A2283="","",A2283&amp;"-"&amp;B2283)</f>
        <v/>
      </c>
      <c r="D2283" s="58"/>
      <c r="E2283" s="57"/>
      <c r="F2283" s="69"/>
      <c r="G2283" s="69"/>
      <c r="H2283" s="70" t="str">
        <f aca="false">IF(A2283="","",IFERROR(INDEX(السندات!$C$5:$C$504,MATCH(A2283,السندات!$A$5:$A$504,0)),""))</f>
        <v/>
      </c>
      <c r="I2283" s="71" t="str">
        <f aca="false">IF(A2283="","",IFERROR(INDEX(السندات!$D$5:$D$504,MATCH(A2283,السندات!$A$5:$A$504,0)),""))</f>
        <v/>
      </c>
      <c r="J2283" s="72" t="str">
        <f aca="false">IF(A2283="","",IF(ISNA(MATCH(A2283,السندات!$A$5:$A$504,0)),"رقم سند غير موجود ✘",IF(AND(F2283&lt;&gt;"",G2283&lt;&gt;""),"اكتب مدين أو دائن فقط ✘",IF(AND(N(F2283)=0,N(G2283)=0),"بدون مبلغ ⚠",IF(B2283&gt;12,"يتجاوز 12 بنداً في الطباعة ⚠","")))))</f>
        <v/>
      </c>
    </row>
    <row r="2284" customFormat="false" ht="15" hidden="false" customHeight="false" outlineLevel="0" collapsed="false">
      <c r="A2284" s="58"/>
      <c r="B2284" s="73" t="str">
        <f aca="false">IF(A2284="","",COUNTIF(A$5:A2284,A2284))</f>
        <v/>
      </c>
      <c r="C2284" s="73" t="str">
        <f aca="false">IF(A2284="","",A2284&amp;"-"&amp;B2284)</f>
        <v/>
      </c>
      <c r="D2284" s="58"/>
      <c r="E2284" s="57"/>
      <c r="F2284" s="69"/>
      <c r="G2284" s="69"/>
      <c r="H2284" s="74" t="str">
        <f aca="false">IF(A2284="","",IFERROR(INDEX(السندات!$C$5:$C$504,MATCH(A2284,السندات!$A$5:$A$504,0)),""))</f>
        <v/>
      </c>
      <c r="I2284" s="75" t="str">
        <f aca="false">IF(A2284="","",IFERROR(INDEX(السندات!$D$5:$D$504,MATCH(A2284,السندات!$A$5:$A$504,0)),""))</f>
        <v/>
      </c>
      <c r="J2284" s="76" t="str">
        <f aca="false">IF(A2284="","",IF(ISNA(MATCH(A2284,السندات!$A$5:$A$504,0)),"رقم سند غير موجود ✘",IF(AND(F2284&lt;&gt;"",G2284&lt;&gt;""),"اكتب مدين أو دائن فقط ✘",IF(AND(N(F2284)=0,N(G2284)=0),"بدون مبلغ ⚠",IF(B2284&gt;12,"يتجاوز 12 بنداً في الطباعة ⚠","")))))</f>
        <v/>
      </c>
    </row>
    <row r="2285" customFormat="false" ht="15" hidden="false" customHeight="false" outlineLevel="0" collapsed="false">
      <c r="A2285" s="58"/>
      <c r="B2285" s="68" t="str">
        <f aca="false">IF(A2285="","",COUNTIF(A$5:A2285,A2285))</f>
        <v/>
      </c>
      <c r="C2285" s="68" t="str">
        <f aca="false">IF(A2285="","",A2285&amp;"-"&amp;B2285)</f>
        <v/>
      </c>
      <c r="D2285" s="58"/>
      <c r="E2285" s="57"/>
      <c r="F2285" s="69"/>
      <c r="G2285" s="69"/>
      <c r="H2285" s="70" t="str">
        <f aca="false">IF(A2285="","",IFERROR(INDEX(السندات!$C$5:$C$504,MATCH(A2285,السندات!$A$5:$A$504,0)),""))</f>
        <v/>
      </c>
      <c r="I2285" s="71" t="str">
        <f aca="false">IF(A2285="","",IFERROR(INDEX(السندات!$D$5:$D$504,MATCH(A2285,السندات!$A$5:$A$504,0)),""))</f>
        <v/>
      </c>
      <c r="J2285" s="72" t="str">
        <f aca="false">IF(A2285="","",IF(ISNA(MATCH(A2285,السندات!$A$5:$A$504,0)),"رقم سند غير موجود ✘",IF(AND(F2285&lt;&gt;"",G2285&lt;&gt;""),"اكتب مدين أو دائن فقط ✘",IF(AND(N(F2285)=0,N(G2285)=0),"بدون مبلغ ⚠",IF(B2285&gt;12,"يتجاوز 12 بنداً في الطباعة ⚠","")))))</f>
        <v/>
      </c>
    </row>
    <row r="2286" customFormat="false" ht="15" hidden="false" customHeight="false" outlineLevel="0" collapsed="false">
      <c r="A2286" s="58"/>
      <c r="B2286" s="73" t="str">
        <f aca="false">IF(A2286="","",COUNTIF(A$5:A2286,A2286))</f>
        <v/>
      </c>
      <c r="C2286" s="73" t="str">
        <f aca="false">IF(A2286="","",A2286&amp;"-"&amp;B2286)</f>
        <v/>
      </c>
      <c r="D2286" s="58"/>
      <c r="E2286" s="57"/>
      <c r="F2286" s="69"/>
      <c r="G2286" s="69"/>
      <c r="H2286" s="74" t="str">
        <f aca="false">IF(A2286="","",IFERROR(INDEX(السندات!$C$5:$C$504,MATCH(A2286,السندات!$A$5:$A$504,0)),""))</f>
        <v/>
      </c>
      <c r="I2286" s="75" t="str">
        <f aca="false">IF(A2286="","",IFERROR(INDEX(السندات!$D$5:$D$504,MATCH(A2286,السندات!$A$5:$A$504,0)),""))</f>
        <v/>
      </c>
      <c r="J2286" s="76" t="str">
        <f aca="false">IF(A2286="","",IF(ISNA(MATCH(A2286,السندات!$A$5:$A$504,0)),"رقم سند غير موجود ✘",IF(AND(F2286&lt;&gt;"",G2286&lt;&gt;""),"اكتب مدين أو دائن فقط ✘",IF(AND(N(F2286)=0,N(G2286)=0),"بدون مبلغ ⚠",IF(B2286&gt;12,"يتجاوز 12 بنداً في الطباعة ⚠","")))))</f>
        <v/>
      </c>
    </row>
    <row r="2287" customFormat="false" ht="15" hidden="false" customHeight="false" outlineLevel="0" collapsed="false">
      <c r="A2287" s="58"/>
      <c r="B2287" s="68" t="str">
        <f aca="false">IF(A2287="","",COUNTIF(A$5:A2287,A2287))</f>
        <v/>
      </c>
      <c r="C2287" s="68" t="str">
        <f aca="false">IF(A2287="","",A2287&amp;"-"&amp;B2287)</f>
        <v/>
      </c>
      <c r="D2287" s="58"/>
      <c r="E2287" s="57"/>
      <c r="F2287" s="69"/>
      <c r="G2287" s="69"/>
      <c r="H2287" s="70" t="str">
        <f aca="false">IF(A2287="","",IFERROR(INDEX(السندات!$C$5:$C$504,MATCH(A2287,السندات!$A$5:$A$504,0)),""))</f>
        <v/>
      </c>
      <c r="I2287" s="71" t="str">
        <f aca="false">IF(A2287="","",IFERROR(INDEX(السندات!$D$5:$D$504,MATCH(A2287,السندات!$A$5:$A$504,0)),""))</f>
        <v/>
      </c>
      <c r="J2287" s="72" t="str">
        <f aca="false">IF(A2287="","",IF(ISNA(MATCH(A2287,السندات!$A$5:$A$504,0)),"رقم سند غير موجود ✘",IF(AND(F2287&lt;&gt;"",G2287&lt;&gt;""),"اكتب مدين أو دائن فقط ✘",IF(AND(N(F2287)=0,N(G2287)=0),"بدون مبلغ ⚠",IF(B2287&gt;12,"يتجاوز 12 بنداً في الطباعة ⚠","")))))</f>
        <v/>
      </c>
    </row>
    <row r="2288" customFormat="false" ht="15" hidden="false" customHeight="false" outlineLevel="0" collapsed="false">
      <c r="A2288" s="58"/>
      <c r="B2288" s="73" t="str">
        <f aca="false">IF(A2288="","",COUNTIF(A$5:A2288,A2288))</f>
        <v/>
      </c>
      <c r="C2288" s="73" t="str">
        <f aca="false">IF(A2288="","",A2288&amp;"-"&amp;B2288)</f>
        <v/>
      </c>
      <c r="D2288" s="58"/>
      <c r="E2288" s="57"/>
      <c r="F2288" s="69"/>
      <c r="G2288" s="69"/>
      <c r="H2288" s="74" t="str">
        <f aca="false">IF(A2288="","",IFERROR(INDEX(السندات!$C$5:$C$504,MATCH(A2288,السندات!$A$5:$A$504,0)),""))</f>
        <v/>
      </c>
      <c r="I2288" s="75" t="str">
        <f aca="false">IF(A2288="","",IFERROR(INDEX(السندات!$D$5:$D$504,MATCH(A2288,السندات!$A$5:$A$504,0)),""))</f>
        <v/>
      </c>
      <c r="J2288" s="76" t="str">
        <f aca="false">IF(A2288="","",IF(ISNA(MATCH(A2288,السندات!$A$5:$A$504,0)),"رقم سند غير موجود ✘",IF(AND(F2288&lt;&gt;"",G2288&lt;&gt;""),"اكتب مدين أو دائن فقط ✘",IF(AND(N(F2288)=0,N(G2288)=0),"بدون مبلغ ⚠",IF(B2288&gt;12,"يتجاوز 12 بنداً في الطباعة ⚠","")))))</f>
        <v/>
      </c>
    </row>
    <row r="2289" customFormat="false" ht="15" hidden="false" customHeight="false" outlineLevel="0" collapsed="false">
      <c r="A2289" s="58"/>
      <c r="B2289" s="68" t="str">
        <f aca="false">IF(A2289="","",COUNTIF(A$5:A2289,A2289))</f>
        <v/>
      </c>
      <c r="C2289" s="68" t="str">
        <f aca="false">IF(A2289="","",A2289&amp;"-"&amp;B2289)</f>
        <v/>
      </c>
      <c r="D2289" s="58"/>
      <c r="E2289" s="57"/>
      <c r="F2289" s="69"/>
      <c r="G2289" s="69"/>
      <c r="H2289" s="70" t="str">
        <f aca="false">IF(A2289="","",IFERROR(INDEX(السندات!$C$5:$C$504,MATCH(A2289,السندات!$A$5:$A$504,0)),""))</f>
        <v/>
      </c>
      <c r="I2289" s="71" t="str">
        <f aca="false">IF(A2289="","",IFERROR(INDEX(السندات!$D$5:$D$504,MATCH(A2289,السندات!$A$5:$A$504,0)),""))</f>
        <v/>
      </c>
      <c r="J2289" s="72" t="str">
        <f aca="false">IF(A2289="","",IF(ISNA(MATCH(A2289,السندات!$A$5:$A$504,0)),"رقم سند غير موجود ✘",IF(AND(F2289&lt;&gt;"",G2289&lt;&gt;""),"اكتب مدين أو دائن فقط ✘",IF(AND(N(F2289)=0,N(G2289)=0),"بدون مبلغ ⚠",IF(B2289&gt;12,"يتجاوز 12 بنداً في الطباعة ⚠","")))))</f>
        <v/>
      </c>
    </row>
    <row r="2290" customFormat="false" ht="15" hidden="false" customHeight="false" outlineLevel="0" collapsed="false">
      <c r="A2290" s="58"/>
      <c r="B2290" s="73" t="str">
        <f aca="false">IF(A2290="","",COUNTIF(A$5:A2290,A2290))</f>
        <v/>
      </c>
      <c r="C2290" s="73" t="str">
        <f aca="false">IF(A2290="","",A2290&amp;"-"&amp;B2290)</f>
        <v/>
      </c>
      <c r="D2290" s="58"/>
      <c r="E2290" s="57"/>
      <c r="F2290" s="69"/>
      <c r="G2290" s="69"/>
      <c r="H2290" s="74" t="str">
        <f aca="false">IF(A2290="","",IFERROR(INDEX(السندات!$C$5:$C$504,MATCH(A2290,السندات!$A$5:$A$504,0)),""))</f>
        <v/>
      </c>
      <c r="I2290" s="75" t="str">
        <f aca="false">IF(A2290="","",IFERROR(INDEX(السندات!$D$5:$D$504,MATCH(A2290,السندات!$A$5:$A$504,0)),""))</f>
        <v/>
      </c>
      <c r="J2290" s="76" t="str">
        <f aca="false">IF(A2290="","",IF(ISNA(MATCH(A2290,السندات!$A$5:$A$504,0)),"رقم سند غير موجود ✘",IF(AND(F2290&lt;&gt;"",G2290&lt;&gt;""),"اكتب مدين أو دائن فقط ✘",IF(AND(N(F2290)=0,N(G2290)=0),"بدون مبلغ ⚠",IF(B2290&gt;12,"يتجاوز 12 بنداً في الطباعة ⚠","")))))</f>
        <v/>
      </c>
    </row>
    <row r="2291" customFormat="false" ht="15" hidden="false" customHeight="false" outlineLevel="0" collapsed="false">
      <c r="A2291" s="58"/>
      <c r="B2291" s="68" t="str">
        <f aca="false">IF(A2291="","",COUNTIF(A$5:A2291,A2291))</f>
        <v/>
      </c>
      <c r="C2291" s="68" t="str">
        <f aca="false">IF(A2291="","",A2291&amp;"-"&amp;B2291)</f>
        <v/>
      </c>
      <c r="D2291" s="58"/>
      <c r="E2291" s="57"/>
      <c r="F2291" s="69"/>
      <c r="G2291" s="69"/>
      <c r="H2291" s="70" t="str">
        <f aca="false">IF(A2291="","",IFERROR(INDEX(السندات!$C$5:$C$504,MATCH(A2291,السندات!$A$5:$A$504,0)),""))</f>
        <v/>
      </c>
      <c r="I2291" s="71" t="str">
        <f aca="false">IF(A2291="","",IFERROR(INDEX(السندات!$D$5:$D$504,MATCH(A2291,السندات!$A$5:$A$504,0)),""))</f>
        <v/>
      </c>
      <c r="J2291" s="72" t="str">
        <f aca="false">IF(A2291="","",IF(ISNA(MATCH(A2291,السندات!$A$5:$A$504,0)),"رقم سند غير موجود ✘",IF(AND(F2291&lt;&gt;"",G2291&lt;&gt;""),"اكتب مدين أو دائن فقط ✘",IF(AND(N(F2291)=0,N(G2291)=0),"بدون مبلغ ⚠",IF(B2291&gt;12,"يتجاوز 12 بنداً في الطباعة ⚠","")))))</f>
        <v/>
      </c>
    </row>
    <row r="2292" customFormat="false" ht="15" hidden="false" customHeight="false" outlineLevel="0" collapsed="false">
      <c r="A2292" s="58"/>
      <c r="B2292" s="73" t="str">
        <f aca="false">IF(A2292="","",COUNTIF(A$5:A2292,A2292))</f>
        <v/>
      </c>
      <c r="C2292" s="73" t="str">
        <f aca="false">IF(A2292="","",A2292&amp;"-"&amp;B2292)</f>
        <v/>
      </c>
      <c r="D2292" s="58"/>
      <c r="E2292" s="57"/>
      <c r="F2292" s="69"/>
      <c r="G2292" s="69"/>
      <c r="H2292" s="74" t="str">
        <f aca="false">IF(A2292="","",IFERROR(INDEX(السندات!$C$5:$C$504,MATCH(A2292,السندات!$A$5:$A$504,0)),""))</f>
        <v/>
      </c>
      <c r="I2292" s="75" t="str">
        <f aca="false">IF(A2292="","",IFERROR(INDEX(السندات!$D$5:$D$504,MATCH(A2292,السندات!$A$5:$A$504,0)),""))</f>
        <v/>
      </c>
      <c r="J2292" s="76" t="str">
        <f aca="false">IF(A2292="","",IF(ISNA(MATCH(A2292,السندات!$A$5:$A$504,0)),"رقم سند غير موجود ✘",IF(AND(F2292&lt;&gt;"",G2292&lt;&gt;""),"اكتب مدين أو دائن فقط ✘",IF(AND(N(F2292)=0,N(G2292)=0),"بدون مبلغ ⚠",IF(B2292&gt;12,"يتجاوز 12 بنداً في الطباعة ⚠","")))))</f>
        <v/>
      </c>
    </row>
    <row r="2293" customFormat="false" ht="15" hidden="false" customHeight="false" outlineLevel="0" collapsed="false">
      <c r="A2293" s="58"/>
      <c r="B2293" s="68" t="str">
        <f aca="false">IF(A2293="","",COUNTIF(A$5:A2293,A2293))</f>
        <v/>
      </c>
      <c r="C2293" s="68" t="str">
        <f aca="false">IF(A2293="","",A2293&amp;"-"&amp;B2293)</f>
        <v/>
      </c>
      <c r="D2293" s="58"/>
      <c r="E2293" s="57"/>
      <c r="F2293" s="69"/>
      <c r="G2293" s="69"/>
      <c r="H2293" s="70" t="str">
        <f aca="false">IF(A2293="","",IFERROR(INDEX(السندات!$C$5:$C$504,MATCH(A2293,السندات!$A$5:$A$504,0)),""))</f>
        <v/>
      </c>
      <c r="I2293" s="71" t="str">
        <f aca="false">IF(A2293="","",IFERROR(INDEX(السندات!$D$5:$D$504,MATCH(A2293,السندات!$A$5:$A$504,0)),""))</f>
        <v/>
      </c>
      <c r="J2293" s="72" t="str">
        <f aca="false">IF(A2293="","",IF(ISNA(MATCH(A2293,السندات!$A$5:$A$504,0)),"رقم سند غير موجود ✘",IF(AND(F2293&lt;&gt;"",G2293&lt;&gt;""),"اكتب مدين أو دائن فقط ✘",IF(AND(N(F2293)=0,N(G2293)=0),"بدون مبلغ ⚠",IF(B2293&gt;12,"يتجاوز 12 بنداً في الطباعة ⚠","")))))</f>
        <v/>
      </c>
    </row>
    <row r="2294" customFormat="false" ht="15" hidden="false" customHeight="false" outlineLevel="0" collapsed="false">
      <c r="A2294" s="58"/>
      <c r="B2294" s="73" t="str">
        <f aca="false">IF(A2294="","",COUNTIF(A$5:A2294,A2294))</f>
        <v/>
      </c>
      <c r="C2294" s="73" t="str">
        <f aca="false">IF(A2294="","",A2294&amp;"-"&amp;B2294)</f>
        <v/>
      </c>
      <c r="D2294" s="58"/>
      <c r="E2294" s="57"/>
      <c r="F2294" s="69"/>
      <c r="G2294" s="69"/>
      <c r="H2294" s="74" t="str">
        <f aca="false">IF(A2294="","",IFERROR(INDEX(السندات!$C$5:$C$504,MATCH(A2294,السندات!$A$5:$A$504,0)),""))</f>
        <v/>
      </c>
      <c r="I2294" s="75" t="str">
        <f aca="false">IF(A2294="","",IFERROR(INDEX(السندات!$D$5:$D$504,MATCH(A2294,السندات!$A$5:$A$504,0)),""))</f>
        <v/>
      </c>
      <c r="J2294" s="76" t="str">
        <f aca="false">IF(A2294="","",IF(ISNA(MATCH(A2294,السندات!$A$5:$A$504,0)),"رقم سند غير موجود ✘",IF(AND(F2294&lt;&gt;"",G2294&lt;&gt;""),"اكتب مدين أو دائن فقط ✘",IF(AND(N(F2294)=0,N(G2294)=0),"بدون مبلغ ⚠",IF(B2294&gt;12,"يتجاوز 12 بنداً في الطباعة ⚠","")))))</f>
        <v/>
      </c>
    </row>
    <row r="2295" customFormat="false" ht="15" hidden="false" customHeight="false" outlineLevel="0" collapsed="false">
      <c r="A2295" s="58"/>
      <c r="B2295" s="68" t="str">
        <f aca="false">IF(A2295="","",COUNTIF(A$5:A2295,A2295))</f>
        <v/>
      </c>
      <c r="C2295" s="68" t="str">
        <f aca="false">IF(A2295="","",A2295&amp;"-"&amp;B2295)</f>
        <v/>
      </c>
      <c r="D2295" s="58"/>
      <c r="E2295" s="57"/>
      <c r="F2295" s="69"/>
      <c r="G2295" s="69"/>
      <c r="H2295" s="70" t="str">
        <f aca="false">IF(A2295="","",IFERROR(INDEX(السندات!$C$5:$C$504,MATCH(A2295,السندات!$A$5:$A$504,0)),""))</f>
        <v/>
      </c>
      <c r="I2295" s="71" t="str">
        <f aca="false">IF(A2295="","",IFERROR(INDEX(السندات!$D$5:$D$504,MATCH(A2295,السندات!$A$5:$A$504,0)),""))</f>
        <v/>
      </c>
      <c r="J2295" s="72" t="str">
        <f aca="false">IF(A2295="","",IF(ISNA(MATCH(A2295,السندات!$A$5:$A$504,0)),"رقم سند غير موجود ✘",IF(AND(F2295&lt;&gt;"",G2295&lt;&gt;""),"اكتب مدين أو دائن فقط ✘",IF(AND(N(F2295)=0,N(G2295)=0),"بدون مبلغ ⚠",IF(B2295&gt;12,"يتجاوز 12 بنداً في الطباعة ⚠","")))))</f>
        <v/>
      </c>
    </row>
    <row r="2296" customFormat="false" ht="15" hidden="false" customHeight="false" outlineLevel="0" collapsed="false">
      <c r="A2296" s="58"/>
      <c r="B2296" s="73" t="str">
        <f aca="false">IF(A2296="","",COUNTIF(A$5:A2296,A2296))</f>
        <v/>
      </c>
      <c r="C2296" s="73" t="str">
        <f aca="false">IF(A2296="","",A2296&amp;"-"&amp;B2296)</f>
        <v/>
      </c>
      <c r="D2296" s="58"/>
      <c r="E2296" s="57"/>
      <c r="F2296" s="69"/>
      <c r="G2296" s="69"/>
      <c r="H2296" s="74" t="str">
        <f aca="false">IF(A2296="","",IFERROR(INDEX(السندات!$C$5:$C$504,MATCH(A2296,السندات!$A$5:$A$504,0)),""))</f>
        <v/>
      </c>
      <c r="I2296" s="75" t="str">
        <f aca="false">IF(A2296="","",IFERROR(INDEX(السندات!$D$5:$D$504,MATCH(A2296,السندات!$A$5:$A$504,0)),""))</f>
        <v/>
      </c>
      <c r="J2296" s="76" t="str">
        <f aca="false">IF(A2296="","",IF(ISNA(MATCH(A2296,السندات!$A$5:$A$504,0)),"رقم سند غير موجود ✘",IF(AND(F2296&lt;&gt;"",G2296&lt;&gt;""),"اكتب مدين أو دائن فقط ✘",IF(AND(N(F2296)=0,N(G2296)=0),"بدون مبلغ ⚠",IF(B2296&gt;12,"يتجاوز 12 بنداً في الطباعة ⚠","")))))</f>
        <v/>
      </c>
    </row>
    <row r="2297" customFormat="false" ht="15" hidden="false" customHeight="false" outlineLevel="0" collapsed="false">
      <c r="A2297" s="58"/>
      <c r="B2297" s="68" t="str">
        <f aca="false">IF(A2297="","",COUNTIF(A$5:A2297,A2297))</f>
        <v/>
      </c>
      <c r="C2297" s="68" t="str">
        <f aca="false">IF(A2297="","",A2297&amp;"-"&amp;B2297)</f>
        <v/>
      </c>
      <c r="D2297" s="58"/>
      <c r="E2297" s="57"/>
      <c r="F2297" s="69"/>
      <c r="G2297" s="69"/>
      <c r="H2297" s="70" t="str">
        <f aca="false">IF(A2297="","",IFERROR(INDEX(السندات!$C$5:$C$504,MATCH(A2297,السندات!$A$5:$A$504,0)),""))</f>
        <v/>
      </c>
      <c r="I2297" s="71" t="str">
        <f aca="false">IF(A2297="","",IFERROR(INDEX(السندات!$D$5:$D$504,MATCH(A2297,السندات!$A$5:$A$504,0)),""))</f>
        <v/>
      </c>
      <c r="J2297" s="72" t="str">
        <f aca="false">IF(A2297="","",IF(ISNA(MATCH(A2297,السندات!$A$5:$A$504,0)),"رقم سند غير موجود ✘",IF(AND(F2297&lt;&gt;"",G2297&lt;&gt;""),"اكتب مدين أو دائن فقط ✘",IF(AND(N(F2297)=0,N(G2297)=0),"بدون مبلغ ⚠",IF(B2297&gt;12,"يتجاوز 12 بنداً في الطباعة ⚠","")))))</f>
        <v/>
      </c>
    </row>
    <row r="2298" customFormat="false" ht="15" hidden="false" customHeight="false" outlineLevel="0" collapsed="false">
      <c r="A2298" s="58"/>
      <c r="B2298" s="73" t="str">
        <f aca="false">IF(A2298="","",COUNTIF(A$5:A2298,A2298))</f>
        <v/>
      </c>
      <c r="C2298" s="73" t="str">
        <f aca="false">IF(A2298="","",A2298&amp;"-"&amp;B2298)</f>
        <v/>
      </c>
      <c r="D2298" s="58"/>
      <c r="E2298" s="57"/>
      <c r="F2298" s="69"/>
      <c r="G2298" s="69"/>
      <c r="H2298" s="74" t="str">
        <f aca="false">IF(A2298="","",IFERROR(INDEX(السندات!$C$5:$C$504,MATCH(A2298,السندات!$A$5:$A$504,0)),""))</f>
        <v/>
      </c>
      <c r="I2298" s="75" t="str">
        <f aca="false">IF(A2298="","",IFERROR(INDEX(السندات!$D$5:$D$504,MATCH(A2298,السندات!$A$5:$A$504,0)),""))</f>
        <v/>
      </c>
      <c r="J2298" s="76" t="str">
        <f aca="false">IF(A2298="","",IF(ISNA(MATCH(A2298,السندات!$A$5:$A$504,0)),"رقم سند غير موجود ✘",IF(AND(F2298&lt;&gt;"",G2298&lt;&gt;""),"اكتب مدين أو دائن فقط ✘",IF(AND(N(F2298)=0,N(G2298)=0),"بدون مبلغ ⚠",IF(B2298&gt;12,"يتجاوز 12 بنداً في الطباعة ⚠","")))))</f>
        <v/>
      </c>
    </row>
    <row r="2299" customFormat="false" ht="15" hidden="false" customHeight="false" outlineLevel="0" collapsed="false">
      <c r="A2299" s="58"/>
      <c r="B2299" s="68" t="str">
        <f aca="false">IF(A2299="","",COUNTIF(A$5:A2299,A2299))</f>
        <v/>
      </c>
      <c r="C2299" s="68" t="str">
        <f aca="false">IF(A2299="","",A2299&amp;"-"&amp;B2299)</f>
        <v/>
      </c>
      <c r="D2299" s="58"/>
      <c r="E2299" s="57"/>
      <c r="F2299" s="69"/>
      <c r="G2299" s="69"/>
      <c r="H2299" s="70" t="str">
        <f aca="false">IF(A2299="","",IFERROR(INDEX(السندات!$C$5:$C$504,MATCH(A2299,السندات!$A$5:$A$504,0)),""))</f>
        <v/>
      </c>
      <c r="I2299" s="71" t="str">
        <f aca="false">IF(A2299="","",IFERROR(INDEX(السندات!$D$5:$D$504,MATCH(A2299,السندات!$A$5:$A$504,0)),""))</f>
        <v/>
      </c>
      <c r="J2299" s="72" t="str">
        <f aca="false">IF(A2299="","",IF(ISNA(MATCH(A2299,السندات!$A$5:$A$504,0)),"رقم سند غير موجود ✘",IF(AND(F2299&lt;&gt;"",G2299&lt;&gt;""),"اكتب مدين أو دائن فقط ✘",IF(AND(N(F2299)=0,N(G2299)=0),"بدون مبلغ ⚠",IF(B2299&gt;12,"يتجاوز 12 بنداً في الطباعة ⚠","")))))</f>
        <v/>
      </c>
    </row>
    <row r="2300" customFormat="false" ht="15" hidden="false" customHeight="false" outlineLevel="0" collapsed="false">
      <c r="A2300" s="58"/>
      <c r="B2300" s="73" t="str">
        <f aca="false">IF(A2300="","",COUNTIF(A$5:A2300,A2300))</f>
        <v/>
      </c>
      <c r="C2300" s="73" t="str">
        <f aca="false">IF(A2300="","",A2300&amp;"-"&amp;B2300)</f>
        <v/>
      </c>
      <c r="D2300" s="58"/>
      <c r="E2300" s="57"/>
      <c r="F2300" s="69"/>
      <c r="G2300" s="69"/>
      <c r="H2300" s="74" t="str">
        <f aca="false">IF(A2300="","",IFERROR(INDEX(السندات!$C$5:$C$504,MATCH(A2300,السندات!$A$5:$A$504,0)),""))</f>
        <v/>
      </c>
      <c r="I2300" s="75" t="str">
        <f aca="false">IF(A2300="","",IFERROR(INDEX(السندات!$D$5:$D$504,MATCH(A2300,السندات!$A$5:$A$504,0)),""))</f>
        <v/>
      </c>
      <c r="J2300" s="76" t="str">
        <f aca="false">IF(A2300="","",IF(ISNA(MATCH(A2300,السندات!$A$5:$A$504,0)),"رقم سند غير موجود ✘",IF(AND(F2300&lt;&gt;"",G2300&lt;&gt;""),"اكتب مدين أو دائن فقط ✘",IF(AND(N(F2300)=0,N(G2300)=0),"بدون مبلغ ⚠",IF(B2300&gt;12,"يتجاوز 12 بنداً في الطباعة ⚠","")))))</f>
        <v/>
      </c>
    </row>
    <row r="2301" customFormat="false" ht="15" hidden="false" customHeight="false" outlineLevel="0" collapsed="false">
      <c r="A2301" s="58"/>
      <c r="B2301" s="68" t="str">
        <f aca="false">IF(A2301="","",COUNTIF(A$5:A2301,A2301))</f>
        <v/>
      </c>
      <c r="C2301" s="68" t="str">
        <f aca="false">IF(A2301="","",A2301&amp;"-"&amp;B2301)</f>
        <v/>
      </c>
      <c r="D2301" s="58"/>
      <c r="E2301" s="57"/>
      <c r="F2301" s="69"/>
      <c r="G2301" s="69"/>
      <c r="H2301" s="70" t="str">
        <f aca="false">IF(A2301="","",IFERROR(INDEX(السندات!$C$5:$C$504,MATCH(A2301,السندات!$A$5:$A$504,0)),""))</f>
        <v/>
      </c>
      <c r="I2301" s="71" t="str">
        <f aca="false">IF(A2301="","",IFERROR(INDEX(السندات!$D$5:$D$504,MATCH(A2301,السندات!$A$5:$A$504,0)),""))</f>
        <v/>
      </c>
      <c r="J2301" s="72" t="str">
        <f aca="false">IF(A2301="","",IF(ISNA(MATCH(A2301,السندات!$A$5:$A$504,0)),"رقم سند غير موجود ✘",IF(AND(F2301&lt;&gt;"",G2301&lt;&gt;""),"اكتب مدين أو دائن فقط ✘",IF(AND(N(F2301)=0,N(G2301)=0),"بدون مبلغ ⚠",IF(B2301&gt;12,"يتجاوز 12 بنداً في الطباعة ⚠","")))))</f>
        <v/>
      </c>
    </row>
    <row r="2302" customFormat="false" ht="15" hidden="false" customHeight="false" outlineLevel="0" collapsed="false">
      <c r="A2302" s="58"/>
      <c r="B2302" s="73" t="str">
        <f aca="false">IF(A2302="","",COUNTIF(A$5:A2302,A2302))</f>
        <v/>
      </c>
      <c r="C2302" s="73" t="str">
        <f aca="false">IF(A2302="","",A2302&amp;"-"&amp;B2302)</f>
        <v/>
      </c>
      <c r="D2302" s="58"/>
      <c r="E2302" s="57"/>
      <c r="F2302" s="69"/>
      <c r="G2302" s="69"/>
      <c r="H2302" s="74" t="str">
        <f aca="false">IF(A2302="","",IFERROR(INDEX(السندات!$C$5:$C$504,MATCH(A2302,السندات!$A$5:$A$504,0)),""))</f>
        <v/>
      </c>
      <c r="I2302" s="75" t="str">
        <f aca="false">IF(A2302="","",IFERROR(INDEX(السندات!$D$5:$D$504,MATCH(A2302,السندات!$A$5:$A$504,0)),""))</f>
        <v/>
      </c>
      <c r="J2302" s="76" t="str">
        <f aca="false">IF(A2302="","",IF(ISNA(MATCH(A2302,السندات!$A$5:$A$504,0)),"رقم سند غير موجود ✘",IF(AND(F2302&lt;&gt;"",G2302&lt;&gt;""),"اكتب مدين أو دائن فقط ✘",IF(AND(N(F2302)=0,N(G2302)=0),"بدون مبلغ ⚠",IF(B2302&gt;12,"يتجاوز 12 بنداً في الطباعة ⚠","")))))</f>
        <v/>
      </c>
    </row>
    <row r="2303" customFormat="false" ht="15" hidden="false" customHeight="false" outlineLevel="0" collapsed="false">
      <c r="A2303" s="58"/>
      <c r="B2303" s="68" t="str">
        <f aca="false">IF(A2303="","",COUNTIF(A$5:A2303,A2303))</f>
        <v/>
      </c>
      <c r="C2303" s="68" t="str">
        <f aca="false">IF(A2303="","",A2303&amp;"-"&amp;B2303)</f>
        <v/>
      </c>
      <c r="D2303" s="58"/>
      <c r="E2303" s="57"/>
      <c r="F2303" s="69"/>
      <c r="G2303" s="69"/>
      <c r="H2303" s="70" t="str">
        <f aca="false">IF(A2303="","",IFERROR(INDEX(السندات!$C$5:$C$504,MATCH(A2303,السندات!$A$5:$A$504,0)),""))</f>
        <v/>
      </c>
      <c r="I2303" s="71" t="str">
        <f aca="false">IF(A2303="","",IFERROR(INDEX(السندات!$D$5:$D$504,MATCH(A2303,السندات!$A$5:$A$504,0)),""))</f>
        <v/>
      </c>
      <c r="J2303" s="72" t="str">
        <f aca="false">IF(A2303="","",IF(ISNA(MATCH(A2303,السندات!$A$5:$A$504,0)),"رقم سند غير موجود ✘",IF(AND(F2303&lt;&gt;"",G2303&lt;&gt;""),"اكتب مدين أو دائن فقط ✘",IF(AND(N(F2303)=0,N(G2303)=0),"بدون مبلغ ⚠",IF(B2303&gt;12,"يتجاوز 12 بنداً في الطباعة ⚠","")))))</f>
        <v/>
      </c>
    </row>
    <row r="2304" customFormat="false" ht="15" hidden="false" customHeight="false" outlineLevel="0" collapsed="false">
      <c r="A2304" s="58"/>
      <c r="B2304" s="73" t="str">
        <f aca="false">IF(A2304="","",COUNTIF(A$5:A2304,A2304))</f>
        <v/>
      </c>
      <c r="C2304" s="73" t="str">
        <f aca="false">IF(A2304="","",A2304&amp;"-"&amp;B2304)</f>
        <v/>
      </c>
      <c r="D2304" s="58"/>
      <c r="E2304" s="57"/>
      <c r="F2304" s="69"/>
      <c r="G2304" s="69"/>
      <c r="H2304" s="74" t="str">
        <f aca="false">IF(A2304="","",IFERROR(INDEX(السندات!$C$5:$C$504,MATCH(A2304,السندات!$A$5:$A$504,0)),""))</f>
        <v/>
      </c>
      <c r="I2304" s="75" t="str">
        <f aca="false">IF(A2304="","",IFERROR(INDEX(السندات!$D$5:$D$504,MATCH(A2304,السندات!$A$5:$A$504,0)),""))</f>
        <v/>
      </c>
      <c r="J2304" s="76" t="str">
        <f aca="false">IF(A2304="","",IF(ISNA(MATCH(A2304,السندات!$A$5:$A$504,0)),"رقم سند غير موجود ✘",IF(AND(F2304&lt;&gt;"",G2304&lt;&gt;""),"اكتب مدين أو دائن فقط ✘",IF(AND(N(F2304)=0,N(G2304)=0),"بدون مبلغ ⚠",IF(B2304&gt;12,"يتجاوز 12 بنداً في الطباعة ⚠","")))))</f>
        <v/>
      </c>
    </row>
    <row r="2305" customFormat="false" ht="15" hidden="false" customHeight="false" outlineLevel="0" collapsed="false">
      <c r="A2305" s="58"/>
      <c r="B2305" s="68" t="str">
        <f aca="false">IF(A2305="","",COUNTIF(A$5:A2305,A2305))</f>
        <v/>
      </c>
      <c r="C2305" s="68" t="str">
        <f aca="false">IF(A2305="","",A2305&amp;"-"&amp;B2305)</f>
        <v/>
      </c>
      <c r="D2305" s="58"/>
      <c r="E2305" s="57"/>
      <c r="F2305" s="69"/>
      <c r="G2305" s="69"/>
      <c r="H2305" s="70" t="str">
        <f aca="false">IF(A2305="","",IFERROR(INDEX(السندات!$C$5:$C$504,MATCH(A2305,السندات!$A$5:$A$504,0)),""))</f>
        <v/>
      </c>
      <c r="I2305" s="71" t="str">
        <f aca="false">IF(A2305="","",IFERROR(INDEX(السندات!$D$5:$D$504,MATCH(A2305,السندات!$A$5:$A$504,0)),""))</f>
        <v/>
      </c>
      <c r="J2305" s="72" t="str">
        <f aca="false">IF(A2305="","",IF(ISNA(MATCH(A2305,السندات!$A$5:$A$504,0)),"رقم سند غير موجود ✘",IF(AND(F2305&lt;&gt;"",G2305&lt;&gt;""),"اكتب مدين أو دائن فقط ✘",IF(AND(N(F2305)=0,N(G2305)=0),"بدون مبلغ ⚠",IF(B2305&gt;12,"يتجاوز 12 بنداً في الطباعة ⚠","")))))</f>
        <v/>
      </c>
    </row>
    <row r="2306" customFormat="false" ht="15" hidden="false" customHeight="false" outlineLevel="0" collapsed="false">
      <c r="A2306" s="58"/>
      <c r="B2306" s="73" t="str">
        <f aca="false">IF(A2306="","",COUNTIF(A$5:A2306,A2306))</f>
        <v/>
      </c>
      <c r="C2306" s="73" t="str">
        <f aca="false">IF(A2306="","",A2306&amp;"-"&amp;B2306)</f>
        <v/>
      </c>
      <c r="D2306" s="58"/>
      <c r="E2306" s="57"/>
      <c r="F2306" s="69"/>
      <c r="G2306" s="69"/>
      <c r="H2306" s="74" t="str">
        <f aca="false">IF(A2306="","",IFERROR(INDEX(السندات!$C$5:$C$504,MATCH(A2306,السندات!$A$5:$A$504,0)),""))</f>
        <v/>
      </c>
      <c r="I2306" s="75" t="str">
        <f aca="false">IF(A2306="","",IFERROR(INDEX(السندات!$D$5:$D$504,MATCH(A2306,السندات!$A$5:$A$504,0)),""))</f>
        <v/>
      </c>
      <c r="J2306" s="76" t="str">
        <f aca="false">IF(A2306="","",IF(ISNA(MATCH(A2306,السندات!$A$5:$A$504,0)),"رقم سند غير موجود ✘",IF(AND(F2306&lt;&gt;"",G2306&lt;&gt;""),"اكتب مدين أو دائن فقط ✘",IF(AND(N(F2306)=0,N(G2306)=0),"بدون مبلغ ⚠",IF(B2306&gt;12,"يتجاوز 12 بنداً في الطباعة ⚠","")))))</f>
        <v/>
      </c>
    </row>
    <row r="2307" customFormat="false" ht="15" hidden="false" customHeight="false" outlineLevel="0" collapsed="false">
      <c r="A2307" s="58"/>
      <c r="B2307" s="68" t="str">
        <f aca="false">IF(A2307="","",COUNTIF(A$5:A2307,A2307))</f>
        <v/>
      </c>
      <c r="C2307" s="68" t="str">
        <f aca="false">IF(A2307="","",A2307&amp;"-"&amp;B2307)</f>
        <v/>
      </c>
      <c r="D2307" s="58"/>
      <c r="E2307" s="57"/>
      <c r="F2307" s="69"/>
      <c r="G2307" s="69"/>
      <c r="H2307" s="70" t="str">
        <f aca="false">IF(A2307="","",IFERROR(INDEX(السندات!$C$5:$C$504,MATCH(A2307,السندات!$A$5:$A$504,0)),""))</f>
        <v/>
      </c>
      <c r="I2307" s="71" t="str">
        <f aca="false">IF(A2307="","",IFERROR(INDEX(السندات!$D$5:$D$504,MATCH(A2307,السندات!$A$5:$A$504,0)),""))</f>
        <v/>
      </c>
      <c r="J2307" s="72" t="str">
        <f aca="false">IF(A2307="","",IF(ISNA(MATCH(A2307,السندات!$A$5:$A$504,0)),"رقم سند غير موجود ✘",IF(AND(F2307&lt;&gt;"",G2307&lt;&gt;""),"اكتب مدين أو دائن فقط ✘",IF(AND(N(F2307)=0,N(G2307)=0),"بدون مبلغ ⚠",IF(B2307&gt;12,"يتجاوز 12 بنداً في الطباعة ⚠","")))))</f>
        <v/>
      </c>
    </row>
    <row r="2308" customFormat="false" ht="15" hidden="false" customHeight="false" outlineLevel="0" collapsed="false">
      <c r="A2308" s="58"/>
      <c r="B2308" s="73" t="str">
        <f aca="false">IF(A2308="","",COUNTIF(A$5:A2308,A2308))</f>
        <v/>
      </c>
      <c r="C2308" s="73" t="str">
        <f aca="false">IF(A2308="","",A2308&amp;"-"&amp;B2308)</f>
        <v/>
      </c>
      <c r="D2308" s="58"/>
      <c r="E2308" s="57"/>
      <c r="F2308" s="69"/>
      <c r="G2308" s="69"/>
      <c r="H2308" s="74" t="str">
        <f aca="false">IF(A2308="","",IFERROR(INDEX(السندات!$C$5:$C$504,MATCH(A2308,السندات!$A$5:$A$504,0)),""))</f>
        <v/>
      </c>
      <c r="I2308" s="75" t="str">
        <f aca="false">IF(A2308="","",IFERROR(INDEX(السندات!$D$5:$D$504,MATCH(A2308,السندات!$A$5:$A$504,0)),""))</f>
        <v/>
      </c>
      <c r="J2308" s="76" t="str">
        <f aca="false">IF(A2308="","",IF(ISNA(MATCH(A2308,السندات!$A$5:$A$504,0)),"رقم سند غير موجود ✘",IF(AND(F2308&lt;&gt;"",G2308&lt;&gt;""),"اكتب مدين أو دائن فقط ✘",IF(AND(N(F2308)=0,N(G2308)=0),"بدون مبلغ ⚠",IF(B2308&gt;12,"يتجاوز 12 بنداً في الطباعة ⚠","")))))</f>
        <v/>
      </c>
    </row>
    <row r="2309" customFormat="false" ht="15" hidden="false" customHeight="false" outlineLevel="0" collapsed="false">
      <c r="A2309" s="58"/>
      <c r="B2309" s="68" t="str">
        <f aca="false">IF(A2309="","",COUNTIF(A$5:A2309,A2309))</f>
        <v/>
      </c>
      <c r="C2309" s="68" t="str">
        <f aca="false">IF(A2309="","",A2309&amp;"-"&amp;B2309)</f>
        <v/>
      </c>
      <c r="D2309" s="58"/>
      <c r="E2309" s="57"/>
      <c r="F2309" s="69"/>
      <c r="G2309" s="69"/>
      <c r="H2309" s="70" t="str">
        <f aca="false">IF(A2309="","",IFERROR(INDEX(السندات!$C$5:$C$504,MATCH(A2309,السندات!$A$5:$A$504,0)),""))</f>
        <v/>
      </c>
      <c r="I2309" s="71" t="str">
        <f aca="false">IF(A2309="","",IFERROR(INDEX(السندات!$D$5:$D$504,MATCH(A2309,السندات!$A$5:$A$504,0)),""))</f>
        <v/>
      </c>
      <c r="J2309" s="72" t="str">
        <f aca="false">IF(A2309="","",IF(ISNA(MATCH(A2309,السندات!$A$5:$A$504,0)),"رقم سند غير موجود ✘",IF(AND(F2309&lt;&gt;"",G2309&lt;&gt;""),"اكتب مدين أو دائن فقط ✘",IF(AND(N(F2309)=0,N(G2309)=0),"بدون مبلغ ⚠",IF(B2309&gt;12,"يتجاوز 12 بنداً في الطباعة ⚠","")))))</f>
        <v/>
      </c>
    </row>
    <row r="2310" customFormat="false" ht="15" hidden="false" customHeight="false" outlineLevel="0" collapsed="false">
      <c r="A2310" s="58"/>
      <c r="B2310" s="73" t="str">
        <f aca="false">IF(A2310="","",COUNTIF(A$5:A2310,A2310))</f>
        <v/>
      </c>
      <c r="C2310" s="73" t="str">
        <f aca="false">IF(A2310="","",A2310&amp;"-"&amp;B2310)</f>
        <v/>
      </c>
      <c r="D2310" s="58"/>
      <c r="E2310" s="57"/>
      <c r="F2310" s="69"/>
      <c r="G2310" s="69"/>
      <c r="H2310" s="74" t="str">
        <f aca="false">IF(A2310="","",IFERROR(INDEX(السندات!$C$5:$C$504,MATCH(A2310,السندات!$A$5:$A$504,0)),""))</f>
        <v/>
      </c>
      <c r="I2310" s="75" t="str">
        <f aca="false">IF(A2310="","",IFERROR(INDEX(السندات!$D$5:$D$504,MATCH(A2310,السندات!$A$5:$A$504,0)),""))</f>
        <v/>
      </c>
      <c r="J2310" s="76" t="str">
        <f aca="false">IF(A2310="","",IF(ISNA(MATCH(A2310,السندات!$A$5:$A$504,0)),"رقم سند غير موجود ✘",IF(AND(F2310&lt;&gt;"",G2310&lt;&gt;""),"اكتب مدين أو دائن فقط ✘",IF(AND(N(F2310)=0,N(G2310)=0),"بدون مبلغ ⚠",IF(B2310&gt;12,"يتجاوز 12 بنداً في الطباعة ⚠","")))))</f>
        <v/>
      </c>
    </row>
    <row r="2311" customFormat="false" ht="15" hidden="false" customHeight="false" outlineLevel="0" collapsed="false">
      <c r="A2311" s="58"/>
      <c r="B2311" s="68" t="str">
        <f aca="false">IF(A2311="","",COUNTIF(A$5:A2311,A2311))</f>
        <v/>
      </c>
      <c r="C2311" s="68" t="str">
        <f aca="false">IF(A2311="","",A2311&amp;"-"&amp;B2311)</f>
        <v/>
      </c>
      <c r="D2311" s="58"/>
      <c r="E2311" s="57"/>
      <c r="F2311" s="69"/>
      <c r="G2311" s="69"/>
      <c r="H2311" s="70" t="str">
        <f aca="false">IF(A2311="","",IFERROR(INDEX(السندات!$C$5:$C$504,MATCH(A2311,السندات!$A$5:$A$504,0)),""))</f>
        <v/>
      </c>
      <c r="I2311" s="71" t="str">
        <f aca="false">IF(A2311="","",IFERROR(INDEX(السندات!$D$5:$D$504,MATCH(A2311,السندات!$A$5:$A$504,0)),""))</f>
        <v/>
      </c>
      <c r="J2311" s="72" t="str">
        <f aca="false">IF(A2311="","",IF(ISNA(MATCH(A2311,السندات!$A$5:$A$504,0)),"رقم سند غير موجود ✘",IF(AND(F2311&lt;&gt;"",G2311&lt;&gt;""),"اكتب مدين أو دائن فقط ✘",IF(AND(N(F2311)=0,N(G2311)=0),"بدون مبلغ ⚠",IF(B2311&gt;12,"يتجاوز 12 بنداً في الطباعة ⚠","")))))</f>
        <v/>
      </c>
    </row>
    <row r="2312" customFormat="false" ht="15" hidden="false" customHeight="false" outlineLevel="0" collapsed="false">
      <c r="A2312" s="58"/>
      <c r="B2312" s="73" t="str">
        <f aca="false">IF(A2312="","",COUNTIF(A$5:A2312,A2312))</f>
        <v/>
      </c>
      <c r="C2312" s="73" t="str">
        <f aca="false">IF(A2312="","",A2312&amp;"-"&amp;B2312)</f>
        <v/>
      </c>
      <c r="D2312" s="58"/>
      <c r="E2312" s="57"/>
      <c r="F2312" s="69"/>
      <c r="G2312" s="69"/>
      <c r="H2312" s="74" t="str">
        <f aca="false">IF(A2312="","",IFERROR(INDEX(السندات!$C$5:$C$504,MATCH(A2312,السندات!$A$5:$A$504,0)),""))</f>
        <v/>
      </c>
      <c r="I2312" s="75" t="str">
        <f aca="false">IF(A2312="","",IFERROR(INDEX(السندات!$D$5:$D$504,MATCH(A2312,السندات!$A$5:$A$504,0)),""))</f>
        <v/>
      </c>
      <c r="J2312" s="76" t="str">
        <f aca="false">IF(A2312="","",IF(ISNA(MATCH(A2312,السندات!$A$5:$A$504,0)),"رقم سند غير موجود ✘",IF(AND(F2312&lt;&gt;"",G2312&lt;&gt;""),"اكتب مدين أو دائن فقط ✘",IF(AND(N(F2312)=0,N(G2312)=0),"بدون مبلغ ⚠",IF(B2312&gt;12,"يتجاوز 12 بنداً في الطباعة ⚠","")))))</f>
        <v/>
      </c>
    </row>
    <row r="2313" customFormat="false" ht="15" hidden="false" customHeight="false" outlineLevel="0" collapsed="false">
      <c r="A2313" s="58"/>
      <c r="B2313" s="68" t="str">
        <f aca="false">IF(A2313="","",COUNTIF(A$5:A2313,A2313))</f>
        <v/>
      </c>
      <c r="C2313" s="68" t="str">
        <f aca="false">IF(A2313="","",A2313&amp;"-"&amp;B2313)</f>
        <v/>
      </c>
      <c r="D2313" s="58"/>
      <c r="E2313" s="57"/>
      <c r="F2313" s="69"/>
      <c r="G2313" s="69"/>
      <c r="H2313" s="70" t="str">
        <f aca="false">IF(A2313="","",IFERROR(INDEX(السندات!$C$5:$C$504,MATCH(A2313,السندات!$A$5:$A$504,0)),""))</f>
        <v/>
      </c>
      <c r="I2313" s="71" t="str">
        <f aca="false">IF(A2313="","",IFERROR(INDEX(السندات!$D$5:$D$504,MATCH(A2313,السندات!$A$5:$A$504,0)),""))</f>
        <v/>
      </c>
      <c r="J2313" s="72" t="str">
        <f aca="false">IF(A2313="","",IF(ISNA(MATCH(A2313,السندات!$A$5:$A$504,0)),"رقم سند غير موجود ✘",IF(AND(F2313&lt;&gt;"",G2313&lt;&gt;""),"اكتب مدين أو دائن فقط ✘",IF(AND(N(F2313)=0,N(G2313)=0),"بدون مبلغ ⚠",IF(B2313&gt;12,"يتجاوز 12 بنداً في الطباعة ⚠","")))))</f>
        <v/>
      </c>
    </row>
    <row r="2314" customFormat="false" ht="15" hidden="false" customHeight="false" outlineLevel="0" collapsed="false">
      <c r="A2314" s="58"/>
      <c r="B2314" s="73" t="str">
        <f aca="false">IF(A2314="","",COUNTIF(A$5:A2314,A2314))</f>
        <v/>
      </c>
      <c r="C2314" s="73" t="str">
        <f aca="false">IF(A2314="","",A2314&amp;"-"&amp;B2314)</f>
        <v/>
      </c>
      <c r="D2314" s="58"/>
      <c r="E2314" s="57"/>
      <c r="F2314" s="69"/>
      <c r="G2314" s="69"/>
      <c r="H2314" s="74" t="str">
        <f aca="false">IF(A2314="","",IFERROR(INDEX(السندات!$C$5:$C$504,MATCH(A2314,السندات!$A$5:$A$504,0)),""))</f>
        <v/>
      </c>
      <c r="I2314" s="75" t="str">
        <f aca="false">IF(A2314="","",IFERROR(INDEX(السندات!$D$5:$D$504,MATCH(A2314,السندات!$A$5:$A$504,0)),""))</f>
        <v/>
      </c>
      <c r="J2314" s="76" t="str">
        <f aca="false">IF(A2314="","",IF(ISNA(MATCH(A2314,السندات!$A$5:$A$504,0)),"رقم سند غير موجود ✘",IF(AND(F2314&lt;&gt;"",G2314&lt;&gt;""),"اكتب مدين أو دائن فقط ✘",IF(AND(N(F2314)=0,N(G2314)=0),"بدون مبلغ ⚠",IF(B2314&gt;12,"يتجاوز 12 بنداً في الطباعة ⚠","")))))</f>
        <v/>
      </c>
    </row>
    <row r="2315" customFormat="false" ht="15" hidden="false" customHeight="false" outlineLevel="0" collapsed="false">
      <c r="A2315" s="58"/>
      <c r="B2315" s="68" t="str">
        <f aca="false">IF(A2315="","",COUNTIF(A$5:A2315,A2315))</f>
        <v/>
      </c>
      <c r="C2315" s="68" t="str">
        <f aca="false">IF(A2315="","",A2315&amp;"-"&amp;B2315)</f>
        <v/>
      </c>
      <c r="D2315" s="58"/>
      <c r="E2315" s="57"/>
      <c r="F2315" s="69"/>
      <c r="G2315" s="69"/>
      <c r="H2315" s="70" t="str">
        <f aca="false">IF(A2315="","",IFERROR(INDEX(السندات!$C$5:$C$504,MATCH(A2315,السندات!$A$5:$A$504,0)),""))</f>
        <v/>
      </c>
      <c r="I2315" s="71" t="str">
        <f aca="false">IF(A2315="","",IFERROR(INDEX(السندات!$D$5:$D$504,MATCH(A2315,السندات!$A$5:$A$504,0)),""))</f>
        <v/>
      </c>
      <c r="J2315" s="72" t="str">
        <f aca="false">IF(A2315="","",IF(ISNA(MATCH(A2315,السندات!$A$5:$A$504,0)),"رقم سند غير موجود ✘",IF(AND(F2315&lt;&gt;"",G2315&lt;&gt;""),"اكتب مدين أو دائن فقط ✘",IF(AND(N(F2315)=0,N(G2315)=0),"بدون مبلغ ⚠",IF(B2315&gt;12,"يتجاوز 12 بنداً في الطباعة ⚠","")))))</f>
        <v/>
      </c>
    </row>
    <row r="2316" customFormat="false" ht="15" hidden="false" customHeight="false" outlineLevel="0" collapsed="false">
      <c r="A2316" s="58"/>
      <c r="B2316" s="73" t="str">
        <f aca="false">IF(A2316="","",COUNTIF(A$5:A2316,A2316))</f>
        <v/>
      </c>
      <c r="C2316" s="73" t="str">
        <f aca="false">IF(A2316="","",A2316&amp;"-"&amp;B2316)</f>
        <v/>
      </c>
      <c r="D2316" s="58"/>
      <c r="E2316" s="57"/>
      <c r="F2316" s="69"/>
      <c r="G2316" s="69"/>
      <c r="H2316" s="74" t="str">
        <f aca="false">IF(A2316="","",IFERROR(INDEX(السندات!$C$5:$C$504,MATCH(A2316,السندات!$A$5:$A$504,0)),""))</f>
        <v/>
      </c>
      <c r="I2316" s="75" t="str">
        <f aca="false">IF(A2316="","",IFERROR(INDEX(السندات!$D$5:$D$504,MATCH(A2316,السندات!$A$5:$A$504,0)),""))</f>
        <v/>
      </c>
      <c r="J2316" s="76" t="str">
        <f aca="false">IF(A2316="","",IF(ISNA(MATCH(A2316,السندات!$A$5:$A$504,0)),"رقم سند غير موجود ✘",IF(AND(F2316&lt;&gt;"",G2316&lt;&gt;""),"اكتب مدين أو دائن فقط ✘",IF(AND(N(F2316)=0,N(G2316)=0),"بدون مبلغ ⚠",IF(B2316&gt;12,"يتجاوز 12 بنداً في الطباعة ⚠","")))))</f>
        <v/>
      </c>
    </row>
    <row r="2317" customFormat="false" ht="15" hidden="false" customHeight="false" outlineLevel="0" collapsed="false">
      <c r="A2317" s="58"/>
      <c r="B2317" s="68" t="str">
        <f aca="false">IF(A2317="","",COUNTIF(A$5:A2317,A2317))</f>
        <v/>
      </c>
      <c r="C2317" s="68" t="str">
        <f aca="false">IF(A2317="","",A2317&amp;"-"&amp;B2317)</f>
        <v/>
      </c>
      <c r="D2317" s="58"/>
      <c r="E2317" s="57"/>
      <c r="F2317" s="69"/>
      <c r="G2317" s="69"/>
      <c r="H2317" s="70" t="str">
        <f aca="false">IF(A2317="","",IFERROR(INDEX(السندات!$C$5:$C$504,MATCH(A2317,السندات!$A$5:$A$504,0)),""))</f>
        <v/>
      </c>
      <c r="I2317" s="71" t="str">
        <f aca="false">IF(A2317="","",IFERROR(INDEX(السندات!$D$5:$D$504,MATCH(A2317,السندات!$A$5:$A$504,0)),""))</f>
        <v/>
      </c>
      <c r="J2317" s="72" t="str">
        <f aca="false">IF(A2317="","",IF(ISNA(MATCH(A2317,السندات!$A$5:$A$504,0)),"رقم سند غير موجود ✘",IF(AND(F2317&lt;&gt;"",G2317&lt;&gt;""),"اكتب مدين أو دائن فقط ✘",IF(AND(N(F2317)=0,N(G2317)=0),"بدون مبلغ ⚠",IF(B2317&gt;12,"يتجاوز 12 بنداً في الطباعة ⚠","")))))</f>
        <v/>
      </c>
    </row>
    <row r="2318" customFormat="false" ht="15" hidden="false" customHeight="false" outlineLevel="0" collapsed="false">
      <c r="A2318" s="58"/>
      <c r="B2318" s="73" t="str">
        <f aca="false">IF(A2318="","",COUNTIF(A$5:A2318,A2318))</f>
        <v/>
      </c>
      <c r="C2318" s="73" t="str">
        <f aca="false">IF(A2318="","",A2318&amp;"-"&amp;B2318)</f>
        <v/>
      </c>
      <c r="D2318" s="58"/>
      <c r="E2318" s="57"/>
      <c r="F2318" s="69"/>
      <c r="G2318" s="69"/>
      <c r="H2318" s="74" t="str">
        <f aca="false">IF(A2318="","",IFERROR(INDEX(السندات!$C$5:$C$504,MATCH(A2318,السندات!$A$5:$A$504,0)),""))</f>
        <v/>
      </c>
      <c r="I2318" s="75" t="str">
        <f aca="false">IF(A2318="","",IFERROR(INDEX(السندات!$D$5:$D$504,MATCH(A2318,السندات!$A$5:$A$504,0)),""))</f>
        <v/>
      </c>
      <c r="J2318" s="76" t="str">
        <f aca="false">IF(A2318="","",IF(ISNA(MATCH(A2318,السندات!$A$5:$A$504,0)),"رقم سند غير موجود ✘",IF(AND(F2318&lt;&gt;"",G2318&lt;&gt;""),"اكتب مدين أو دائن فقط ✘",IF(AND(N(F2318)=0,N(G2318)=0),"بدون مبلغ ⚠",IF(B2318&gt;12,"يتجاوز 12 بنداً في الطباعة ⚠","")))))</f>
        <v/>
      </c>
    </row>
    <row r="2319" customFormat="false" ht="15" hidden="false" customHeight="false" outlineLevel="0" collapsed="false">
      <c r="A2319" s="58"/>
      <c r="B2319" s="68" t="str">
        <f aca="false">IF(A2319="","",COUNTIF(A$5:A2319,A2319))</f>
        <v/>
      </c>
      <c r="C2319" s="68" t="str">
        <f aca="false">IF(A2319="","",A2319&amp;"-"&amp;B2319)</f>
        <v/>
      </c>
      <c r="D2319" s="58"/>
      <c r="E2319" s="57"/>
      <c r="F2319" s="69"/>
      <c r="G2319" s="69"/>
      <c r="H2319" s="70" t="str">
        <f aca="false">IF(A2319="","",IFERROR(INDEX(السندات!$C$5:$C$504,MATCH(A2319,السندات!$A$5:$A$504,0)),""))</f>
        <v/>
      </c>
      <c r="I2319" s="71" t="str">
        <f aca="false">IF(A2319="","",IFERROR(INDEX(السندات!$D$5:$D$504,MATCH(A2319,السندات!$A$5:$A$504,0)),""))</f>
        <v/>
      </c>
      <c r="J2319" s="72" t="str">
        <f aca="false">IF(A2319="","",IF(ISNA(MATCH(A2319,السندات!$A$5:$A$504,0)),"رقم سند غير موجود ✘",IF(AND(F2319&lt;&gt;"",G2319&lt;&gt;""),"اكتب مدين أو دائن فقط ✘",IF(AND(N(F2319)=0,N(G2319)=0),"بدون مبلغ ⚠",IF(B2319&gt;12,"يتجاوز 12 بنداً في الطباعة ⚠","")))))</f>
        <v/>
      </c>
    </row>
    <row r="2320" customFormat="false" ht="15" hidden="false" customHeight="false" outlineLevel="0" collapsed="false">
      <c r="A2320" s="58"/>
      <c r="B2320" s="73" t="str">
        <f aca="false">IF(A2320="","",COUNTIF(A$5:A2320,A2320))</f>
        <v/>
      </c>
      <c r="C2320" s="73" t="str">
        <f aca="false">IF(A2320="","",A2320&amp;"-"&amp;B2320)</f>
        <v/>
      </c>
      <c r="D2320" s="58"/>
      <c r="E2320" s="57"/>
      <c r="F2320" s="69"/>
      <c r="G2320" s="69"/>
      <c r="H2320" s="74" t="str">
        <f aca="false">IF(A2320="","",IFERROR(INDEX(السندات!$C$5:$C$504,MATCH(A2320,السندات!$A$5:$A$504,0)),""))</f>
        <v/>
      </c>
      <c r="I2320" s="75" t="str">
        <f aca="false">IF(A2320="","",IFERROR(INDEX(السندات!$D$5:$D$504,MATCH(A2320,السندات!$A$5:$A$504,0)),""))</f>
        <v/>
      </c>
      <c r="J2320" s="76" t="str">
        <f aca="false">IF(A2320="","",IF(ISNA(MATCH(A2320,السندات!$A$5:$A$504,0)),"رقم سند غير موجود ✘",IF(AND(F2320&lt;&gt;"",G2320&lt;&gt;""),"اكتب مدين أو دائن فقط ✘",IF(AND(N(F2320)=0,N(G2320)=0),"بدون مبلغ ⚠",IF(B2320&gt;12,"يتجاوز 12 بنداً في الطباعة ⚠","")))))</f>
        <v/>
      </c>
    </row>
    <row r="2321" customFormat="false" ht="15" hidden="false" customHeight="false" outlineLevel="0" collapsed="false">
      <c r="A2321" s="58"/>
      <c r="B2321" s="68" t="str">
        <f aca="false">IF(A2321="","",COUNTIF(A$5:A2321,A2321))</f>
        <v/>
      </c>
      <c r="C2321" s="68" t="str">
        <f aca="false">IF(A2321="","",A2321&amp;"-"&amp;B2321)</f>
        <v/>
      </c>
      <c r="D2321" s="58"/>
      <c r="E2321" s="57"/>
      <c r="F2321" s="69"/>
      <c r="G2321" s="69"/>
      <c r="H2321" s="70" t="str">
        <f aca="false">IF(A2321="","",IFERROR(INDEX(السندات!$C$5:$C$504,MATCH(A2321,السندات!$A$5:$A$504,0)),""))</f>
        <v/>
      </c>
      <c r="I2321" s="71" t="str">
        <f aca="false">IF(A2321="","",IFERROR(INDEX(السندات!$D$5:$D$504,MATCH(A2321,السندات!$A$5:$A$504,0)),""))</f>
        <v/>
      </c>
      <c r="J2321" s="72" t="str">
        <f aca="false">IF(A2321="","",IF(ISNA(MATCH(A2321,السندات!$A$5:$A$504,0)),"رقم سند غير موجود ✘",IF(AND(F2321&lt;&gt;"",G2321&lt;&gt;""),"اكتب مدين أو دائن فقط ✘",IF(AND(N(F2321)=0,N(G2321)=0),"بدون مبلغ ⚠",IF(B2321&gt;12,"يتجاوز 12 بنداً في الطباعة ⚠","")))))</f>
        <v/>
      </c>
    </row>
    <row r="2322" customFormat="false" ht="15" hidden="false" customHeight="false" outlineLevel="0" collapsed="false">
      <c r="A2322" s="58"/>
      <c r="B2322" s="73" t="str">
        <f aca="false">IF(A2322="","",COUNTIF(A$5:A2322,A2322))</f>
        <v/>
      </c>
      <c r="C2322" s="73" t="str">
        <f aca="false">IF(A2322="","",A2322&amp;"-"&amp;B2322)</f>
        <v/>
      </c>
      <c r="D2322" s="58"/>
      <c r="E2322" s="57"/>
      <c r="F2322" s="69"/>
      <c r="G2322" s="69"/>
      <c r="H2322" s="74" t="str">
        <f aca="false">IF(A2322="","",IFERROR(INDEX(السندات!$C$5:$C$504,MATCH(A2322,السندات!$A$5:$A$504,0)),""))</f>
        <v/>
      </c>
      <c r="I2322" s="75" t="str">
        <f aca="false">IF(A2322="","",IFERROR(INDEX(السندات!$D$5:$D$504,MATCH(A2322,السندات!$A$5:$A$504,0)),""))</f>
        <v/>
      </c>
      <c r="J2322" s="76" t="str">
        <f aca="false">IF(A2322="","",IF(ISNA(MATCH(A2322,السندات!$A$5:$A$504,0)),"رقم سند غير موجود ✘",IF(AND(F2322&lt;&gt;"",G2322&lt;&gt;""),"اكتب مدين أو دائن فقط ✘",IF(AND(N(F2322)=0,N(G2322)=0),"بدون مبلغ ⚠",IF(B2322&gt;12,"يتجاوز 12 بنداً في الطباعة ⚠","")))))</f>
        <v/>
      </c>
    </row>
    <row r="2323" customFormat="false" ht="15" hidden="false" customHeight="false" outlineLevel="0" collapsed="false">
      <c r="A2323" s="58"/>
      <c r="B2323" s="68" t="str">
        <f aca="false">IF(A2323="","",COUNTIF(A$5:A2323,A2323))</f>
        <v/>
      </c>
      <c r="C2323" s="68" t="str">
        <f aca="false">IF(A2323="","",A2323&amp;"-"&amp;B2323)</f>
        <v/>
      </c>
      <c r="D2323" s="58"/>
      <c r="E2323" s="57"/>
      <c r="F2323" s="69"/>
      <c r="G2323" s="69"/>
      <c r="H2323" s="70" t="str">
        <f aca="false">IF(A2323="","",IFERROR(INDEX(السندات!$C$5:$C$504,MATCH(A2323,السندات!$A$5:$A$504,0)),""))</f>
        <v/>
      </c>
      <c r="I2323" s="71" t="str">
        <f aca="false">IF(A2323="","",IFERROR(INDEX(السندات!$D$5:$D$504,MATCH(A2323,السندات!$A$5:$A$504,0)),""))</f>
        <v/>
      </c>
      <c r="J2323" s="72" t="str">
        <f aca="false">IF(A2323="","",IF(ISNA(MATCH(A2323,السندات!$A$5:$A$504,0)),"رقم سند غير موجود ✘",IF(AND(F2323&lt;&gt;"",G2323&lt;&gt;""),"اكتب مدين أو دائن فقط ✘",IF(AND(N(F2323)=0,N(G2323)=0),"بدون مبلغ ⚠",IF(B2323&gt;12,"يتجاوز 12 بنداً في الطباعة ⚠","")))))</f>
        <v/>
      </c>
    </row>
    <row r="2324" customFormat="false" ht="15" hidden="false" customHeight="false" outlineLevel="0" collapsed="false">
      <c r="A2324" s="58"/>
      <c r="B2324" s="73" t="str">
        <f aca="false">IF(A2324="","",COUNTIF(A$5:A2324,A2324))</f>
        <v/>
      </c>
      <c r="C2324" s="73" t="str">
        <f aca="false">IF(A2324="","",A2324&amp;"-"&amp;B2324)</f>
        <v/>
      </c>
      <c r="D2324" s="58"/>
      <c r="E2324" s="57"/>
      <c r="F2324" s="69"/>
      <c r="G2324" s="69"/>
      <c r="H2324" s="74" t="str">
        <f aca="false">IF(A2324="","",IFERROR(INDEX(السندات!$C$5:$C$504,MATCH(A2324,السندات!$A$5:$A$504,0)),""))</f>
        <v/>
      </c>
      <c r="I2324" s="75" t="str">
        <f aca="false">IF(A2324="","",IFERROR(INDEX(السندات!$D$5:$D$504,MATCH(A2324,السندات!$A$5:$A$504,0)),""))</f>
        <v/>
      </c>
      <c r="J2324" s="76" t="str">
        <f aca="false">IF(A2324="","",IF(ISNA(MATCH(A2324,السندات!$A$5:$A$504,0)),"رقم سند غير موجود ✘",IF(AND(F2324&lt;&gt;"",G2324&lt;&gt;""),"اكتب مدين أو دائن فقط ✘",IF(AND(N(F2324)=0,N(G2324)=0),"بدون مبلغ ⚠",IF(B2324&gt;12,"يتجاوز 12 بنداً في الطباعة ⚠","")))))</f>
        <v/>
      </c>
    </row>
    <row r="2325" customFormat="false" ht="15" hidden="false" customHeight="false" outlineLevel="0" collapsed="false">
      <c r="A2325" s="58"/>
      <c r="B2325" s="68" t="str">
        <f aca="false">IF(A2325="","",COUNTIF(A$5:A2325,A2325))</f>
        <v/>
      </c>
      <c r="C2325" s="68" t="str">
        <f aca="false">IF(A2325="","",A2325&amp;"-"&amp;B2325)</f>
        <v/>
      </c>
      <c r="D2325" s="58"/>
      <c r="E2325" s="57"/>
      <c r="F2325" s="69"/>
      <c r="G2325" s="69"/>
      <c r="H2325" s="70" t="str">
        <f aca="false">IF(A2325="","",IFERROR(INDEX(السندات!$C$5:$C$504,MATCH(A2325,السندات!$A$5:$A$504,0)),""))</f>
        <v/>
      </c>
      <c r="I2325" s="71" t="str">
        <f aca="false">IF(A2325="","",IFERROR(INDEX(السندات!$D$5:$D$504,MATCH(A2325,السندات!$A$5:$A$504,0)),""))</f>
        <v/>
      </c>
      <c r="J2325" s="72" t="str">
        <f aca="false">IF(A2325="","",IF(ISNA(MATCH(A2325,السندات!$A$5:$A$504,0)),"رقم سند غير موجود ✘",IF(AND(F2325&lt;&gt;"",G2325&lt;&gt;""),"اكتب مدين أو دائن فقط ✘",IF(AND(N(F2325)=0,N(G2325)=0),"بدون مبلغ ⚠",IF(B2325&gt;12,"يتجاوز 12 بنداً في الطباعة ⚠","")))))</f>
        <v/>
      </c>
    </row>
    <row r="2326" customFormat="false" ht="15" hidden="false" customHeight="false" outlineLevel="0" collapsed="false">
      <c r="A2326" s="58"/>
      <c r="B2326" s="73" t="str">
        <f aca="false">IF(A2326="","",COUNTIF(A$5:A2326,A2326))</f>
        <v/>
      </c>
      <c r="C2326" s="73" t="str">
        <f aca="false">IF(A2326="","",A2326&amp;"-"&amp;B2326)</f>
        <v/>
      </c>
      <c r="D2326" s="58"/>
      <c r="E2326" s="57"/>
      <c r="F2326" s="69"/>
      <c r="G2326" s="69"/>
      <c r="H2326" s="74" t="str">
        <f aca="false">IF(A2326="","",IFERROR(INDEX(السندات!$C$5:$C$504,MATCH(A2326,السندات!$A$5:$A$504,0)),""))</f>
        <v/>
      </c>
      <c r="I2326" s="75" t="str">
        <f aca="false">IF(A2326="","",IFERROR(INDEX(السندات!$D$5:$D$504,MATCH(A2326,السندات!$A$5:$A$504,0)),""))</f>
        <v/>
      </c>
      <c r="J2326" s="76" t="str">
        <f aca="false">IF(A2326="","",IF(ISNA(MATCH(A2326,السندات!$A$5:$A$504,0)),"رقم سند غير موجود ✘",IF(AND(F2326&lt;&gt;"",G2326&lt;&gt;""),"اكتب مدين أو دائن فقط ✘",IF(AND(N(F2326)=0,N(G2326)=0),"بدون مبلغ ⚠",IF(B2326&gt;12,"يتجاوز 12 بنداً في الطباعة ⚠","")))))</f>
        <v/>
      </c>
    </row>
    <row r="2327" customFormat="false" ht="15" hidden="false" customHeight="false" outlineLevel="0" collapsed="false">
      <c r="A2327" s="58"/>
      <c r="B2327" s="68" t="str">
        <f aca="false">IF(A2327="","",COUNTIF(A$5:A2327,A2327))</f>
        <v/>
      </c>
      <c r="C2327" s="68" t="str">
        <f aca="false">IF(A2327="","",A2327&amp;"-"&amp;B2327)</f>
        <v/>
      </c>
      <c r="D2327" s="58"/>
      <c r="E2327" s="57"/>
      <c r="F2327" s="69"/>
      <c r="G2327" s="69"/>
      <c r="H2327" s="70" t="str">
        <f aca="false">IF(A2327="","",IFERROR(INDEX(السندات!$C$5:$C$504,MATCH(A2327,السندات!$A$5:$A$504,0)),""))</f>
        <v/>
      </c>
      <c r="I2327" s="71" t="str">
        <f aca="false">IF(A2327="","",IFERROR(INDEX(السندات!$D$5:$D$504,MATCH(A2327,السندات!$A$5:$A$504,0)),""))</f>
        <v/>
      </c>
      <c r="J2327" s="72" t="str">
        <f aca="false">IF(A2327="","",IF(ISNA(MATCH(A2327,السندات!$A$5:$A$504,0)),"رقم سند غير موجود ✘",IF(AND(F2327&lt;&gt;"",G2327&lt;&gt;""),"اكتب مدين أو دائن فقط ✘",IF(AND(N(F2327)=0,N(G2327)=0),"بدون مبلغ ⚠",IF(B2327&gt;12,"يتجاوز 12 بنداً في الطباعة ⚠","")))))</f>
        <v/>
      </c>
    </row>
    <row r="2328" customFormat="false" ht="15" hidden="false" customHeight="false" outlineLevel="0" collapsed="false">
      <c r="A2328" s="58"/>
      <c r="B2328" s="73" t="str">
        <f aca="false">IF(A2328="","",COUNTIF(A$5:A2328,A2328))</f>
        <v/>
      </c>
      <c r="C2328" s="73" t="str">
        <f aca="false">IF(A2328="","",A2328&amp;"-"&amp;B2328)</f>
        <v/>
      </c>
      <c r="D2328" s="58"/>
      <c r="E2328" s="57"/>
      <c r="F2328" s="69"/>
      <c r="G2328" s="69"/>
      <c r="H2328" s="74" t="str">
        <f aca="false">IF(A2328="","",IFERROR(INDEX(السندات!$C$5:$C$504,MATCH(A2328,السندات!$A$5:$A$504,0)),""))</f>
        <v/>
      </c>
      <c r="I2328" s="75" t="str">
        <f aca="false">IF(A2328="","",IFERROR(INDEX(السندات!$D$5:$D$504,MATCH(A2328,السندات!$A$5:$A$504,0)),""))</f>
        <v/>
      </c>
      <c r="J2328" s="76" t="str">
        <f aca="false">IF(A2328="","",IF(ISNA(MATCH(A2328,السندات!$A$5:$A$504,0)),"رقم سند غير موجود ✘",IF(AND(F2328&lt;&gt;"",G2328&lt;&gt;""),"اكتب مدين أو دائن فقط ✘",IF(AND(N(F2328)=0,N(G2328)=0),"بدون مبلغ ⚠",IF(B2328&gt;12,"يتجاوز 12 بنداً في الطباعة ⚠","")))))</f>
        <v/>
      </c>
    </row>
    <row r="2329" customFormat="false" ht="15" hidden="false" customHeight="false" outlineLevel="0" collapsed="false">
      <c r="A2329" s="58"/>
      <c r="B2329" s="68" t="str">
        <f aca="false">IF(A2329="","",COUNTIF(A$5:A2329,A2329))</f>
        <v/>
      </c>
      <c r="C2329" s="68" t="str">
        <f aca="false">IF(A2329="","",A2329&amp;"-"&amp;B2329)</f>
        <v/>
      </c>
      <c r="D2329" s="58"/>
      <c r="E2329" s="57"/>
      <c r="F2329" s="69"/>
      <c r="G2329" s="69"/>
      <c r="H2329" s="70" t="str">
        <f aca="false">IF(A2329="","",IFERROR(INDEX(السندات!$C$5:$C$504,MATCH(A2329,السندات!$A$5:$A$504,0)),""))</f>
        <v/>
      </c>
      <c r="I2329" s="71" t="str">
        <f aca="false">IF(A2329="","",IFERROR(INDEX(السندات!$D$5:$D$504,MATCH(A2329,السندات!$A$5:$A$504,0)),""))</f>
        <v/>
      </c>
      <c r="J2329" s="72" t="str">
        <f aca="false">IF(A2329="","",IF(ISNA(MATCH(A2329,السندات!$A$5:$A$504,0)),"رقم سند غير موجود ✘",IF(AND(F2329&lt;&gt;"",G2329&lt;&gt;""),"اكتب مدين أو دائن فقط ✘",IF(AND(N(F2329)=0,N(G2329)=0),"بدون مبلغ ⚠",IF(B2329&gt;12,"يتجاوز 12 بنداً في الطباعة ⚠","")))))</f>
        <v/>
      </c>
    </row>
    <row r="2330" customFormat="false" ht="15" hidden="false" customHeight="false" outlineLevel="0" collapsed="false">
      <c r="A2330" s="58"/>
      <c r="B2330" s="73" t="str">
        <f aca="false">IF(A2330="","",COUNTIF(A$5:A2330,A2330))</f>
        <v/>
      </c>
      <c r="C2330" s="73" t="str">
        <f aca="false">IF(A2330="","",A2330&amp;"-"&amp;B2330)</f>
        <v/>
      </c>
      <c r="D2330" s="58"/>
      <c r="E2330" s="57"/>
      <c r="F2330" s="69"/>
      <c r="G2330" s="69"/>
      <c r="H2330" s="74" t="str">
        <f aca="false">IF(A2330="","",IFERROR(INDEX(السندات!$C$5:$C$504,MATCH(A2330,السندات!$A$5:$A$504,0)),""))</f>
        <v/>
      </c>
      <c r="I2330" s="75" t="str">
        <f aca="false">IF(A2330="","",IFERROR(INDEX(السندات!$D$5:$D$504,MATCH(A2330,السندات!$A$5:$A$504,0)),""))</f>
        <v/>
      </c>
      <c r="J2330" s="76" t="str">
        <f aca="false">IF(A2330="","",IF(ISNA(MATCH(A2330,السندات!$A$5:$A$504,0)),"رقم سند غير موجود ✘",IF(AND(F2330&lt;&gt;"",G2330&lt;&gt;""),"اكتب مدين أو دائن فقط ✘",IF(AND(N(F2330)=0,N(G2330)=0),"بدون مبلغ ⚠",IF(B2330&gt;12,"يتجاوز 12 بنداً في الطباعة ⚠","")))))</f>
        <v/>
      </c>
    </row>
    <row r="2331" customFormat="false" ht="15" hidden="false" customHeight="false" outlineLevel="0" collapsed="false">
      <c r="A2331" s="58"/>
      <c r="B2331" s="68" t="str">
        <f aca="false">IF(A2331="","",COUNTIF(A$5:A2331,A2331))</f>
        <v/>
      </c>
      <c r="C2331" s="68" t="str">
        <f aca="false">IF(A2331="","",A2331&amp;"-"&amp;B2331)</f>
        <v/>
      </c>
      <c r="D2331" s="58"/>
      <c r="E2331" s="57"/>
      <c r="F2331" s="69"/>
      <c r="G2331" s="69"/>
      <c r="H2331" s="70" t="str">
        <f aca="false">IF(A2331="","",IFERROR(INDEX(السندات!$C$5:$C$504,MATCH(A2331,السندات!$A$5:$A$504,0)),""))</f>
        <v/>
      </c>
      <c r="I2331" s="71" t="str">
        <f aca="false">IF(A2331="","",IFERROR(INDEX(السندات!$D$5:$D$504,MATCH(A2331,السندات!$A$5:$A$504,0)),""))</f>
        <v/>
      </c>
      <c r="J2331" s="72" t="str">
        <f aca="false">IF(A2331="","",IF(ISNA(MATCH(A2331,السندات!$A$5:$A$504,0)),"رقم سند غير موجود ✘",IF(AND(F2331&lt;&gt;"",G2331&lt;&gt;""),"اكتب مدين أو دائن فقط ✘",IF(AND(N(F2331)=0,N(G2331)=0),"بدون مبلغ ⚠",IF(B2331&gt;12,"يتجاوز 12 بنداً في الطباعة ⚠","")))))</f>
        <v/>
      </c>
    </row>
    <row r="2332" customFormat="false" ht="15" hidden="false" customHeight="false" outlineLevel="0" collapsed="false">
      <c r="A2332" s="58"/>
      <c r="B2332" s="73" t="str">
        <f aca="false">IF(A2332="","",COUNTIF(A$5:A2332,A2332))</f>
        <v/>
      </c>
      <c r="C2332" s="73" t="str">
        <f aca="false">IF(A2332="","",A2332&amp;"-"&amp;B2332)</f>
        <v/>
      </c>
      <c r="D2332" s="58"/>
      <c r="E2332" s="57"/>
      <c r="F2332" s="69"/>
      <c r="G2332" s="69"/>
      <c r="H2332" s="74" t="str">
        <f aca="false">IF(A2332="","",IFERROR(INDEX(السندات!$C$5:$C$504,MATCH(A2332,السندات!$A$5:$A$504,0)),""))</f>
        <v/>
      </c>
      <c r="I2332" s="75" t="str">
        <f aca="false">IF(A2332="","",IFERROR(INDEX(السندات!$D$5:$D$504,MATCH(A2332,السندات!$A$5:$A$504,0)),""))</f>
        <v/>
      </c>
      <c r="J2332" s="76" t="str">
        <f aca="false">IF(A2332="","",IF(ISNA(MATCH(A2332,السندات!$A$5:$A$504,0)),"رقم سند غير موجود ✘",IF(AND(F2332&lt;&gt;"",G2332&lt;&gt;""),"اكتب مدين أو دائن فقط ✘",IF(AND(N(F2332)=0,N(G2332)=0),"بدون مبلغ ⚠",IF(B2332&gt;12,"يتجاوز 12 بنداً في الطباعة ⚠","")))))</f>
        <v/>
      </c>
    </row>
    <row r="2333" customFormat="false" ht="15" hidden="false" customHeight="false" outlineLevel="0" collapsed="false">
      <c r="A2333" s="58"/>
      <c r="B2333" s="68" t="str">
        <f aca="false">IF(A2333="","",COUNTIF(A$5:A2333,A2333))</f>
        <v/>
      </c>
      <c r="C2333" s="68" t="str">
        <f aca="false">IF(A2333="","",A2333&amp;"-"&amp;B2333)</f>
        <v/>
      </c>
      <c r="D2333" s="58"/>
      <c r="E2333" s="57"/>
      <c r="F2333" s="69"/>
      <c r="G2333" s="69"/>
      <c r="H2333" s="70" t="str">
        <f aca="false">IF(A2333="","",IFERROR(INDEX(السندات!$C$5:$C$504,MATCH(A2333,السندات!$A$5:$A$504,0)),""))</f>
        <v/>
      </c>
      <c r="I2333" s="71" t="str">
        <f aca="false">IF(A2333="","",IFERROR(INDEX(السندات!$D$5:$D$504,MATCH(A2333,السندات!$A$5:$A$504,0)),""))</f>
        <v/>
      </c>
      <c r="J2333" s="72" t="str">
        <f aca="false">IF(A2333="","",IF(ISNA(MATCH(A2333,السندات!$A$5:$A$504,0)),"رقم سند غير موجود ✘",IF(AND(F2333&lt;&gt;"",G2333&lt;&gt;""),"اكتب مدين أو دائن فقط ✘",IF(AND(N(F2333)=0,N(G2333)=0),"بدون مبلغ ⚠",IF(B2333&gt;12,"يتجاوز 12 بنداً في الطباعة ⚠","")))))</f>
        <v/>
      </c>
    </row>
    <row r="2334" customFormat="false" ht="15" hidden="false" customHeight="false" outlineLevel="0" collapsed="false">
      <c r="A2334" s="58"/>
      <c r="B2334" s="73" t="str">
        <f aca="false">IF(A2334="","",COUNTIF(A$5:A2334,A2334))</f>
        <v/>
      </c>
      <c r="C2334" s="73" t="str">
        <f aca="false">IF(A2334="","",A2334&amp;"-"&amp;B2334)</f>
        <v/>
      </c>
      <c r="D2334" s="58"/>
      <c r="E2334" s="57"/>
      <c r="F2334" s="69"/>
      <c r="G2334" s="69"/>
      <c r="H2334" s="74" t="str">
        <f aca="false">IF(A2334="","",IFERROR(INDEX(السندات!$C$5:$C$504,MATCH(A2334,السندات!$A$5:$A$504,0)),""))</f>
        <v/>
      </c>
      <c r="I2334" s="75" t="str">
        <f aca="false">IF(A2334="","",IFERROR(INDEX(السندات!$D$5:$D$504,MATCH(A2334,السندات!$A$5:$A$504,0)),""))</f>
        <v/>
      </c>
      <c r="J2334" s="76" t="str">
        <f aca="false">IF(A2334="","",IF(ISNA(MATCH(A2334,السندات!$A$5:$A$504,0)),"رقم سند غير موجود ✘",IF(AND(F2334&lt;&gt;"",G2334&lt;&gt;""),"اكتب مدين أو دائن فقط ✘",IF(AND(N(F2334)=0,N(G2334)=0),"بدون مبلغ ⚠",IF(B2334&gt;12,"يتجاوز 12 بنداً في الطباعة ⚠","")))))</f>
        <v/>
      </c>
    </row>
    <row r="2335" customFormat="false" ht="15" hidden="false" customHeight="false" outlineLevel="0" collapsed="false">
      <c r="A2335" s="58"/>
      <c r="B2335" s="68" t="str">
        <f aca="false">IF(A2335="","",COUNTIF(A$5:A2335,A2335))</f>
        <v/>
      </c>
      <c r="C2335" s="68" t="str">
        <f aca="false">IF(A2335="","",A2335&amp;"-"&amp;B2335)</f>
        <v/>
      </c>
      <c r="D2335" s="58"/>
      <c r="E2335" s="57"/>
      <c r="F2335" s="69"/>
      <c r="G2335" s="69"/>
      <c r="H2335" s="70" t="str">
        <f aca="false">IF(A2335="","",IFERROR(INDEX(السندات!$C$5:$C$504,MATCH(A2335,السندات!$A$5:$A$504,0)),""))</f>
        <v/>
      </c>
      <c r="I2335" s="71" t="str">
        <f aca="false">IF(A2335="","",IFERROR(INDEX(السندات!$D$5:$D$504,MATCH(A2335,السندات!$A$5:$A$504,0)),""))</f>
        <v/>
      </c>
      <c r="J2335" s="72" t="str">
        <f aca="false">IF(A2335="","",IF(ISNA(MATCH(A2335,السندات!$A$5:$A$504,0)),"رقم سند غير موجود ✘",IF(AND(F2335&lt;&gt;"",G2335&lt;&gt;""),"اكتب مدين أو دائن فقط ✘",IF(AND(N(F2335)=0,N(G2335)=0),"بدون مبلغ ⚠",IF(B2335&gt;12,"يتجاوز 12 بنداً في الطباعة ⚠","")))))</f>
        <v/>
      </c>
    </row>
    <row r="2336" customFormat="false" ht="15" hidden="false" customHeight="false" outlineLevel="0" collapsed="false">
      <c r="A2336" s="58"/>
      <c r="B2336" s="73" t="str">
        <f aca="false">IF(A2336="","",COUNTIF(A$5:A2336,A2336))</f>
        <v/>
      </c>
      <c r="C2336" s="73" t="str">
        <f aca="false">IF(A2336="","",A2336&amp;"-"&amp;B2336)</f>
        <v/>
      </c>
      <c r="D2336" s="58"/>
      <c r="E2336" s="57"/>
      <c r="F2336" s="69"/>
      <c r="G2336" s="69"/>
      <c r="H2336" s="74" t="str">
        <f aca="false">IF(A2336="","",IFERROR(INDEX(السندات!$C$5:$C$504,MATCH(A2336,السندات!$A$5:$A$504,0)),""))</f>
        <v/>
      </c>
      <c r="I2336" s="75" t="str">
        <f aca="false">IF(A2336="","",IFERROR(INDEX(السندات!$D$5:$D$504,MATCH(A2336,السندات!$A$5:$A$504,0)),""))</f>
        <v/>
      </c>
      <c r="J2336" s="76" t="str">
        <f aca="false">IF(A2336="","",IF(ISNA(MATCH(A2336,السندات!$A$5:$A$504,0)),"رقم سند غير موجود ✘",IF(AND(F2336&lt;&gt;"",G2336&lt;&gt;""),"اكتب مدين أو دائن فقط ✘",IF(AND(N(F2336)=0,N(G2336)=0),"بدون مبلغ ⚠",IF(B2336&gt;12,"يتجاوز 12 بنداً في الطباعة ⚠","")))))</f>
        <v/>
      </c>
    </row>
    <row r="2337" customFormat="false" ht="15" hidden="false" customHeight="false" outlineLevel="0" collapsed="false">
      <c r="A2337" s="58"/>
      <c r="B2337" s="68" t="str">
        <f aca="false">IF(A2337="","",COUNTIF(A$5:A2337,A2337))</f>
        <v/>
      </c>
      <c r="C2337" s="68" t="str">
        <f aca="false">IF(A2337="","",A2337&amp;"-"&amp;B2337)</f>
        <v/>
      </c>
      <c r="D2337" s="58"/>
      <c r="E2337" s="57"/>
      <c r="F2337" s="69"/>
      <c r="G2337" s="69"/>
      <c r="H2337" s="70" t="str">
        <f aca="false">IF(A2337="","",IFERROR(INDEX(السندات!$C$5:$C$504,MATCH(A2337,السندات!$A$5:$A$504,0)),""))</f>
        <v/>
      </c>
      <c r="I2337" s="71" t="str">
        <f aca="false">IF(A2337="","",IFERROR(INDEX(السندات!$D$5:$D$504,MATCH(A2337,السندات!$A$5:$A$504,0)),""))</f>
        <v/>
      </c>
      <c r="J2337" s="72" t="str">
        <f aca="false">IF(A2337="","",IF(ISNA(MATCH(A2337,السندات!$A$5:$A$504,0)),"رقم سند غير موجود ✘",IF(AND(F2337&lt;&gt;"",G2337&lt;&gt;""),"اكتب مدين أو دائن فقط ✘",IF(AND(N(F2337)=0,N(G2337)=0),"بدون مبلغ ⚠",IF(B2337&gt;12,"يتجاوز 12 بنداً في الطباعة ⚠","")))))</f>
        <v/>
      </c>
    </row>
    <row r="2338" customFormat="false" ht="15" hidden="false" customHeight="false" outlineLevel="0" collapsed="false">
      <c r="A2338" s="58"/>
      <c r="B2338" s="73" t="str">
        <f aca="false">IF(A2338="","",COUNTIF(A$5:A2338,A2338))</f>
        <v/>
      </c>
      <c r="C2338" s="73" t="str">
        <f aca="false">IF(A2338="","",A2338&amp;"-"&amp;B2338)</f>
        <v/>
      </c>
      <c r="D2338" s="58"/>
      <c r="E2338" s="57"/>
      <c r="F2338" s="69"/>
      <c r="G2338" s="69"/>
      <c r="H2338" s="74" t="str">
        <f aca="false">IF(A2338="","",IFERROR(INDEX(السندات!$C$5:$C$504,MATCH(A2338,السندات!$A$5:$A$504,0)),""))</f>
        <v/>
      </c>
      <c r="I2338" s="75" t="str">
        <f aca="false">IF(A2338="","",IFERROR(INDEX(السندات!$D$5:$D$504,MATCH(A2338,السندات!$A$5:$A$504,0)),""))</f>
        <v/>
      </c>
      <c r="J2338" s="76" t="str">
        <f aca="false">IF(A2338="","",IF(ISNA(MATCH(A2338,السندات!$A$5:$A$504,0)),"رقم سند غير موجود ✘",IF(AND(F2338&lt;&gt;"",G2338&lt;&gt;""),"اكتب مدين أو دائن فقط ✘",IF(AND(N(F2338)=0,N(G2338)=0),"بدون مبلغ ⚠",IF(B2338&gt;12,"يتجاوز 12 بنداً في الطباعة ⚠","")))))</f>
        <v/>
      </c>
    </row>
    <row r="2339" customFormat="false" ht="15" hidden="false" customHeight="false" outlineLevel="0" collapsed="false">
      <c r="A2339" s="58"/>
      <c r="B2339" s="68" t="str">
        <f aca="false">IF(A2339="","",COUNTIF(A$5:A2339,A2339))</f>
        <v/>
      </c>
      <c r="C2339" s="68" t="str">
        <f aca="false">IF(A2339="","",A2339&amp;"-"&amp;B2339)</f>
        <v/>
      </c>
      <c r="D2339" s="58"/>
      <c r="E2339" s="57"/>
      <c r="F2339" s="69"/>
      <c r="G2339" s="69"/>
      <c r="H2339" s="70" t="str">
        <f aca="false">IF(A2339="","",IFERROR(INDEX(السندات!$C$5:$C$504,MATCH(A2339,السندات!$A$5:$A$504,0)),""))</f>
        <v/>
      </c>
      <c r="I2339" s="71" t="str">
        <f aca="false">IF(A2339="","",IFERROR(INDEX(السندات!$D$5:$D$504,MATCH(A2339,السندات!$A$5:$A$504,0)),""))</f>
        <v/>
      </c>
      <c r="J2339" s="72" t="str">
        <f aca="false">IF(A2339="","",IF(ISNA(MATCH(A2339,السندات!$A$5:$A$504,0)),"رقم سند غير موجود ✘",IF(AND(F2339&lt;&gt;"",G2339&lt;&gt;""),"اكتب مدين أو دائن فقط ✘",IF(AND(N(F2339)=0,N(G2339)=0),"بدون مبلغ ⚠",IF(B2339&gt;12,"يتجاوز 12 بنداً في الطباعة ⚠","")))))</f>
        <v/>
      </c>
    </row>
    <row r="2340" customFormat="false" ht="15" hidden="false" customHeight="false" outlineLevel="0" collapsed="false">
      <c r="A2340" s="58"/>
      <c r="B2340" s="73" t="str">
        <f aca="false">IF(A2340="","",COUNTIF(A$5:A2340,A2340))</f>
        <v/>
      </c>
      <c r="C2340" s="73" t="str">
        <f aca="false">IF(A2340="","",A2340&amp;"-"&amp;B2340)</f>
        <v/>
      </c>
      <c r="D2340" s="58"/>
      <c r="E2340" s="57"/>
      <c r="F2340" s="69"/>
      <c r="G2340" s="69"/>
      <c r="H2340" s="74" t="str">
        <f aca="false">IF(A2340="","",IFERROR(INDEX(السندات!$C$5:$C$504,MATCH(A2340,السندات!$A$5:$A$504,0)),""))</f>
        <v/>
      </c>
      <c r="I2340" s="75" t="str">
        <f aca="false">IF(A2340="","",IFERROR(INDEX(السندات!$D$5:$D$504,MATCH(A2340,السندات!$A$5:$A$504,0)),""))</f>
        <v/>
      </c>
      <c r="J2340" s="76" t="str">
        <f aca="false">IF(A2340="","",IF(ISNA(MATCH(A2340,السندات!$A$5:$A$504,0)),"رقم سند غير موجود ✘",IF(AND(F2340&lt;&gt;"",G2340&lt;&gt;""),"اكتب مدين أو دائن فقط ✘",IF(AND(N(F2340)=0,N(G2340)=0),"بدون مبلغ ⚠",IF(B2340&gt;12,"يتجاوز 12 بنداً في الطباعة ⚠","")))))</f>
        <v/>
      </c>
    </row>
    <row r="2341" customFormat="false" ht="15" hidden="false" customHeight="false" outlineLevel="0" collapsed="false">
      <c r="A2341" s="58"/>
      <c r="B2341" s="68" t="str">
        <f aca="false">IF(A2341="","",COUNTIF(A$5:A2341,A2341))</f>
        <v/>
      </c>
      <c r="C2341" s="68" t="str">
        <f aca="false">IF(A2341="","",A2341&amp;"-"&amp;B2341)</f>
        <v/>
      </c>
      <c r="D2341" s="58"/>
      <c r="E2341" s="57"/>
      <c r="F2341" s="69"/>
      <c r="G2341" s="69"/>
      <c r="H2341" s="70" t="str">
        <f aca="false">IF(A2341="","",IFERROR(INDEX(السندات!$C$5:$C$504,MATCH(A2341,السندات!$A$5:$A$504,0)),""))</f>
        <v/>
      </c>
      <c r="I2341" s="71" t="str">
        <f aca="false">IF(A2341="","",IFERROR(INDEX(السندات!$D$5:$D$504,MATCH(A2341,السندات!$A$5:$A$504,0)),""))</f>
        <v/>
      </c>
      <c r="J2341" s="72" t="str">
        <f aca="false">IF(A2341="","",IF(ISNA(MATCH(A2341,السندات!$A$5:$A$504,0)),"رقم سند غير موجود ✘",IF(AND(F2341&lt;&gt;"",G2341&lt;&gt;""),"اكتب مدين أو دائن فقط ✘",IF(AND(N(F2341)=0,N(G2341)=0),"بدون مبلغ ⚠",IF(B2341&gt;12,"يتجاوز 12 بنداً في الطباعة ⚠","")))))</f>
        <v/>
      </c>
    </row>
    <row r="2342" customFormat="false" ht="15" hidden="false" customHeight="false" outlineLevel="0" collapsed="false">
      <c r="A2342" s="58"/>
      <c r="B2342" s="73" t="str">
        <f aca="false">IF(A2342="","",COUNTIF(A$5:A2342,A2342))</f>
        <v/>
      </c>
      <c r="C2342" s="73" t="str">
        <f aca="false">IF(A2342="","",A2342&amp;"-"&amp;B2342)</f>
        <v/>
      </c>
      <c r="D2342" s="58"/>
      <c r="E2342" s="57"/>
      <c r="F2342" s="69"/>
      <c r="G2342" s="69"/>
      <c r="H2342" s="74" t="str">
        <f aca="false">IF(A2342="","",IFERROR(INDEX(السندات!$C$5:$C$504,MATCH(A2342,السندات!$A$5:$A$504,0)),""))</f>
        <v/>
      </c>
      <c r="I2342" s="75" t="str">
        <f aca="false">IF(A2342="","",IFERROR(INDEX(السندات!$D$5:$D$504,MATCH(A2342,السندات!$A$5:$A$504,0)),""))</f>
        <v/>
      </c>
      <c r="J2342" s="76" t="str">
        <f aca="false">IF(A2342="","",IF(ISNA(MATCH(A2342,السندات!$A$5:$A$504,0)),"رقم سند غير موجود ✘",IF(AND(F2342&lt;&gt;"",G2342&lt;&gt;""),"اكتب مدين أو دائن فقط ✘",IF(AND(N(F2342)=0,N(G2342)=0),"بدون مبلغ ⚠",IF(B2342&gt;12,"يتجاوز 12 بنداً في الطباعة ⚠","")))))</f>
        <v/>
      </c>
    </row>
    <row r="2343" customFormat="false" ht="15" hidden="false" customHeight="false" outlineLevel="0" collapsed="false">
      <c r="A2343" s="58"/>
      <c r="B2343" s="68" t="str">
        <f aca="false">IF(A2343="","",COUNTIF(A$5:A2343,A2343))</f>
        <v/>
      </c>
      <c r="C2343" s="68" t="str">
        <f aca="false">IF(A2343="","",A2343&amp;"-"&amp;B2343)</f>
        <v/>
      </c>
      <c r="D2343" s="58"/>
      <c r="E2343" s="57"/>
      <c r="F2343" s="69"/>
      <c r="G2343" s="69"/>
      <c r="H2343" s="70" t="str">
        <f aca="false">IF(A2343="","",IFERROR(INDEX(السندات!$C$5:$C$504,MATCH(A2343,السندات!$A$5:$A$504,0)),""))</f>
        <v/>
      </c>
      <c r="I2343" s="71" t="str">
        <f aca="false">IF(A2343="","",IFERROR(INDEX(السندات!$D$5:$D$504,MATCH(A2343,السندات!$A$5:$A$504,0)),""))</f>
        <v/>
      </c>
      <c r="J2343" s="72" t="str">
        <f aca="false">IF(A2343="","",IF(ISNA(MATCH(A2343,السندات!$A$5:$A$504,0)),"رقم سند غير موجود ✘",IF(AND(F2343&lt;&gt;"",G2343&lt;&gt;""),"اكتب مدين أو دائن فقط ✘",IF(AND(N(F2343)=0,N(G2343)=0),"بدون مبلغ ⚠",IF(B2343&gt;12,"يتجاوز 12 بنداً في الطباعة ⚠","")))))</f>
        <v/>
      </c>
    </row>
    <row r="2344" customFormat="false" ht="15" hidden="false" customHeight="false" outlineLevel="0" collapsed="false">
      <c r="A2344" s="58"/>
      <c r="B2344" s="73" t="str">
        <f aca="false">IF(A2344="","",COUNTIF(A$5:A2344,A2344))</f>
        <v/>
      </c>
      <c r="C2344" s="73" t="str">
        <f aca="false">IF(A2344="","",A2344&amp;"-"&amp;B2344)</f>
        <v/>
      </c>
      <c r="D2344" s="58"/>
      <c r="E2344" s="57"/>
      <c r="F2344" s="69"/>
      <c r="G2344" s="69"/>
      <c r="H2344" s="74" t="str">
        <f aca="false">IF(A2344="","",IFERROR(INDEX(السندات!$C$5:$C$504,MATCH(A2344,السندات!$A$5:$A$504,0)),""))</f>
        <v/>
      </c>
      <c r="I2344" s="75" t="str">
        <f aca="false">IF(A2344="","",IFERROR(INDEX(السندات!$D$5:$D$504,MATCH(A2344,السندات!$A$5:$A$504,0)),""))</f>
        <v/>
      </c>
      <c r="J2344" s="76" t="str">
        <f aca="false">IF(A2344="","",IF(ISNA(MATCH(A2344,السندات!$A$5:$A$504,0)),"رقم سند غير موجود ✘",IF(AND(F2344&lt;&gt;"",G2344&lt;&gt;""),"اكتب مدين أو دائن فقط ✘",IF(AND(N(F2344)=0,N(G2344)=0),"بدون مبلغ ⚠",IF(B2344&gt;12,"يتجاوز 12 بنداً في الطباعة ⚠","")))))</f>
        <v/>
      </c>
    </row>
    <row r="2345" customFormat="false" ht="15" hidden="false" customHeight="false" outlineLevel="0" collapsed="false">
      <c r="A2345" s="58"/>
      <c r="B2345" s="68" t="str">
        <f aca="false">IF(A2345="","",COUNTIF(A$5:A2345,A2345))</f>
        <v/>
      </c>
      <c r="C2345" s="68" t="str">
        <f aca="false">IF(A2345="","",A2345&amp;"-"&amp;B2345)</f>
        <v/>
      </c>
      <c r="D2345" s="58"/>
      <c r="E2345" s="57"/>
      <c r="F2345" s="69"/>
      <c r="G2345" s="69"/>
      <c r="H2345" s="70" t="str">
        <f aca="false">IF(A2345="","",IFERROR(INDEX(السندات!$C$5:$C$504,MATCH(A2345,السندات!$A$5:$A$504,0)),""))</f>
        <v/>
      </c>
      <c r="I2345" s="71" t="str">
        <f aca="false">IF(A2345="","",IFERROR(INDEX(السندات!$D$5:$D$504,MATCH(A2345,السندات!$A$5:$A$504,0)),""))</f>
        <v/>
      </c>
      <c r="J2345" s="72" t="str">
        <f aca="false">IF(A2345="","",IF(ISNA(MATCH(A2345,السندات!$A$5:$A$504,0)),"رقم سند غير موجود ✘",IF(AND(F2345&lt;&gt;"",G2345&lt;&gt;""),"اكتب مدين أو دائن فقط ✘",IF(AND(N(F2345)=0,N(G2345)=0),"بدون مبلغ ⚠",IF(B2345&gt;12,"يتجاوز 12 بنداً في الطباعة ⚠","")))))</f>
        <v/>
      </c>
    </row>
    <row r="2346" customFormat="false" ht="15" hidden="false" customHeight="false" outlineLevel="0" collapsed="false">
      <c r="A2346" s="58"/>
      <c r="B2346" s="73" t="str">
        <f aca="false">IF(A2346="","",COUNTIF(A$5:A2346,A2346))</f>
        <v/>
      </c>
      <c r="C2346" s="73" t="str">
        <f aca="false">IF(A2346="","",A2346&amp;"-"&amp;B2346)</f>
        <v/>
      </c>
      <c r="D2346" s="58"/>
      <c r="E2346" s="57"/>
      <c r="F2346" s="69"/>
      <c r="G2346" s="69"/>
      <c r="H2346" s="74" t="str">
        <f aca="false">IF(A2346="","",IFERROR(INDEX(السندات!$C$5:$C$504,MATCH(A2346,السندات!$A$5:$A$504,0)),""))</f>
        <v/>
      </c>
      <c r="I2346" s="75" t="str">
        <f aca="false">IF(A2346="","",IFERROR(INDEX(السندات!$D$5:$D$504,MATCH(A2346,السندات!$A$5:$A$504,0)),""))</f>
        <v/>
      </c>
      <c r="J2346" s="76" t="str">
        <f aca="false">IF(A2346="","",IF(ISNA(MATCH(A2346,السندات!$A$5:$A$504,0)),"رقم سند غير موجود ✘",IF(AND(F2346&lt;&gt;"",G2346&lt;&gt;""),"اكتب مدين أو دائن فقط ✘",IF(AND(N(F2346)=0,N(G2346)=0),"بدون مبلغ ⚠",IF(B2346&gt;12,"يتجاوز 12 بنداً في الطباعة ⚠","")))))</f>
        <v/>
      </c>
    </row>
    <row r="2347" customFormat="false" ht="15" hidden="false" customHeight="false" outlineLevel="0" collapsed="false">
      <c r="A2347" s="58"/>
      <c r="B2347" s="68" t="str">
        <f aca="false">IF(A2347="","",COUNTIF(A$5:A2347,A2347))</f>
        <v/>
      </c>
      <c r="C2347" s="68" t="str">
        <f aca="false">IF(A2347="","",A2347&amp;"-"&amp;B2347)</f>
        <v/>
      </c>
      <c r="D2347" s="58"/>
      <c r="E2347" s="57"/>
      <c r="F2347" s="69"/>
      <c r="G2347" s="69"/>
      <c r="H2347" s="70" t="str">
        <f aca="false">IF(A2347="","",IFERROR(INDEX(السندات!$C$5:$C$504,MATCH(A2347,السندات!$A$5:$A$504,0)),""))</f>
        <v/>
      </c>
      <c r="I2347" s="71" t="str">
        <f aca="false">IF(A2347="","",IFERROR(INDEX(السندات!$D$5:$D$504,MATCH(A2347,السندات!$A$5:$A$504,0)),""))</f>
        <v/>
      </c>
      <c r="J2347" s="72" t="str">
        <f aca="false">IF(A2347="","",IF(ISNA(MATCH(A2347,السندات!$A$5:$A$504,0)),"رقم سند غير موجود ✘",IF(AND(F2347&lt;&gt;"",G2347&lt;&gt;""),"اكتب مدين أو دائن فقط ✘",IF(AND(N(F2347)=0,N(G2347)=0),"بدون مبلغ ⚠",IF(B2347&gt;12,"يتجاوز 12 بنداً في الطباعة ⚠","")))))</f>
        <v/>
      </c>
    </row>
    <row r="2348" customFormat="false" ht="15" hidden="false" customHeight="false" outlineLevel="0" collapsed="false">
      <c r="A2348" s="58"/>
      <c r="B2348" s="73" t="str">
        <f aca="false">IF(A2348="","",COUNTIF(A$5:A2348,A2348))</f>
        <v/>
      </c>
      <c r="C2348" s="73" t="str">
        <f aca="false">IF(A2348="","",A2348&amp;"-"&amp;B2348)</f>
        <v/>
      </c>
      <c r="D2348" s="58"/>
      <c r="E2348" s="57"/>
      <c r="F2348" s="69"/>
      <c r="G2348" s="69"/>
      <c r="H2348" s="74" t="str">
        <f aca="false">IF(A2348="","",IFERROR(INDEX(السندات!$C$5:$C$504,MATCH(A2348,السندات!$A$5:$A$504,0)),""))</f>
        <v/>
      </c>
      <c r="I2348" s="75" t="str">
        <f aca="false">IF(A2348="","",IFERROR(INDEX(السندات!$D$5:$D$504,MATCH(A2348,السندات!$A$5:$A$504,0)),""))</f>
        <v/>
      </c>
      <c r="J2348" s="76" t="str">
        <f aca="false">IF(A2348="","",IF(ISNA(MATCH(A2348,السندات!$A$5:$A$504,0)),"رقم سند غير موجود ✘",IF(AND(F2348&lt;&gt;"",G2348&lt;&gt;""),"اكتب مدين أو دائن فقط ✘",IF(AND(N(F2348)=0,N(G2348)=0),"بدون مبلغ ⚠",IF(B2348&gt;12,"يتجاوز 12 بنداً في الطباعة ⚠","")))))</f>
        <v/>
      </c>
    </row>
    <row r="2349" customFormat="false" ht="15" hidden="false" customHeight="false" outlineLevel="0" collapsed="false">
      <c r="A2349" s="58"/>
      <c r="B2349" s="68" t="str">
        <f aca="false">IF(A2349="","",COUNTIF(A$5:A2349,A2349))</f>
        <v/>
      </c>
      <c r="C2349" s="68" t="str">
        <f aca="false">IF(A2349="","",A2349&amp;"-"&amp;B2349)</f>
        <v/>
      </c>
      <c r="D2349" s="58"/>
      <c r="E2349" s="57"/>
      <c r="F2349" s="69"/>
      <c r="G2349" s="69"/>
      <c r="H2349" s="70" t="str">
        <f aca="false">IF(A2349="","",IFERROR(INDEX(السندات!$C$5:$C$504,MATCH(A2349,السندات!$A$5:$A$504,0)),""))</f>
        <v/>
      </c>
      <c r="I2349" s="71" t="str">
        <f aca="false">IF(A2349="","",IFERROR(INDEX(السندات!$D$5:$D$504,MATCH(A2349,السندات!$A$5:$A$504,0)),""))</f>
        <v/>
      </c>
      <c r="J2349" s="72" t="str">
        <f aca="false">IF(A2349="","",IF(ISNA(MATCH(A2349,السندات!$A$5:$A$504,0)),"رقم سند غير موجود ✘",IF(AND(F2349&lt;&gt;"",G2349&lt;&gt;""),"اكتب مدين أو دائن فقط ✘",IF(AND(N(F2349)=0,N(G2349)=0),"بدون مبلغ ⚠",IF(B2349&gt;12,"يتجاوز 12 بنداً في الطباعة ⚠","")))))</f>
        <v/>
      </c>
    </row>
    <row r="2350" customFormat="false" ht="15" hidden="false" customHeight="false" outlineLevel="0" collapsed="false">
      <c r="A2350" s="58"/>
      <c r="B2350" s="73" t="str">
        <f aca="false">IF(A2350="","",COUNTIF(A$5:A2350,A2350))</f>
        <v/>
      </c>
      <c r="C2350" s="73" t="str">
        <f aca="false">IF(A2350="","",A2350&amp;"-"&amp;B2350)</f>
        <v/>
      </c>
      <c r="D2350" s="58"/>
      <c r="E2350" s="57"/>
      <c r="F2350" s="69"/>
      <c r="G2350" s="69"/>
      <c r="H2350" s="74" t="str">
        <f aca="false">IF(A2350="","",IFERROR(INDEX(السندات!$C$5:$C$504,MATCH(A2350,السندات!$A$5:$A$504,0)),""))</f>
        <v/>
      </c>
      <c r="I2350" s="75" t="str">
        <f aca="false">IF(A2350="","",IFERROR(INDEX(السندات!$D$5:$D$504,MATCH(A2350,السندات!$A$5:$A$504,0)),""))</f>
        <v/>
      </c>
      <c r="J2350" s="76" t="str">
        <f aca="false">IF(A2350="","",IF(ISNA(MATCH(A2350,السندات!$A$5:$A$504,0)),"رقم سند غير موجود ✘",IF(AND(F2350&lt;&gt;"",G2350&lt;&gt;""),"اكتب مدين أو دائن فقط ✘",IF(AND(N(F2350)=0,N(G2350)=0),"بدون مبلغ ⚠",IF(B2350&gt;12,"يتجاوز 12 بنداً في الطباعة ⚠","")))))</f>
        <v/>
      </c>
    </row>
    <row r="2351" customFormat="false" ht="15" hidden="false" customHeight="false" outlineLevel="0" collapsed="false">
      <c r="A2351" s="58"/>
      <c r="B2351" s="68" t="str">
        <f aca="false">IF(A2351="","",COUNTIF(A$5:A2351,A2351))</f>
        <v/>
      </c>
      <c r="C2351" s="68" t="str">
        <f aca="false">IF(A2351="","",A2351&amp;"-"&amp;B2351)</f>
        <v/>
      </c>
      <c r="D2351" s="58"/>
      <c r="E2351" s="57"/>
      <c r="F2351" s="69"/>
      <c r="G2351" s="69"/>
      <c r="H2351" s="70" t="str">
        <f aca="false">IF(A2351="","",IFERROR(INDEX(السندات!$C$5:$C$504,MATCH(A2351,السندات!$A$5:$A$504,0)),""))</f>
        <v/>
      </c>
      <c r="I2351" s="71" t="str">
        <f aca="false">IF(A2351="","",IFERROR(INDEX(السندات!$D$5:$D$504,MATCH(A2351,السندات!$A$5:$A$504,0)),""))</f>
        <v/>
      </c>
      <c r="J2351" s="72" t="str">
        <f aca="false">IF(A2351="","",IF(ISNA(MATCH(A2351,السندات!$A$5:$A$504,0)),"رقم سند غير موجود ✘",IF(AND(F2351&lt;&gt;"",G2351&lt;&gt;""),"اكتب مدين أو دائن فقط ✘",IF(AND(N(F2351)=0,N(G2351)=0),"بدون مبلغ ⚠",IF(B2351&gt;12,"يتجاوز 12 بنداً في الطباعة ⚠","")))))</f>
        <v/>
      </c>
    </row>
    <row r="2352" customFormat="false" ht="15" hidden="false" customHeight="false" outlineLevel="0" collapsed="false">
      <c r="A2352" s="58"/>
      <c r="B2352" s="73" t="str">
        <f aca="false">IF(A2352="","",COUNTIF(A$5:A2352,A2352))</f>
        <v/>
      </c>
      <c r="C2352" s="73" t="str">
        <f aca="false">IF(A2352="","",A2352&amp;"-"&amp;B2352)</f>
        <v/>
      </c>
      <c r="D2352" s="58"/>
      <c r="E2352" s="57"/>
      <c r="F2352" s="69"/>
      <c r="G2352" s="69"/>
      <c r="H2352" s="74" t="str">
        <f aca="false">IF(A2352="","",IFERROR(INDEX(السندات!$C$5:$C$504,MATCH(A2352,السندات!$A$5:$A$504,0)),""))</f>
        <v/>
      </c>
      <c r="I2352" s="75" t="str">
        <f aca="false">IF(A2352="","",IFERROR(INDEX(السندات!$D$5:$D$504,MATCH(A2352,السندات!$A$5:$A$504,0)),""))</f>
        <v/>
      </c>
      <c r="J2352" s="76" t="str">
        <f aca="false">IF(A2352="","",IF(ISNA(MATCH(A2352,السندات!$A$5:$A$504,0)),"رقم سند غير موجود ✘",IF(AND(F2352&lt;&gt;"",G2352&lt;&gt;""),"اكتب مدين أو دائن فقط ✘",IF(AND(N(F2352)=0,N(G2352)=0),"بدون مبلغ ⚠",IF(B2352&gt;12,"يتجاوز 12 بنداً في الطباعة ⚠","")))))</f>
        <v/>
      </c>
    </row>
    <row r="2353" customFormat="false" ht="15" hidden="false" customHeight="false" outlineLevel="0" collapsed="false">
      <c r="A2353" s="58"/>
      <c r="B2353" s="68" t="str">
        <f aca="false">IF(A2353="","",COUNTIF(A$5:A2353,A2353))</f>
        <v/>
      </c>
      <c r="C2353" s="68" t="str">
        <f aca="false">IF(A2353="","",A2353&amp;"-"&amp;B2353)</f>
        <v/>
      </c>
      <c r="D2353" s="58"/>
      <c r="E2353" s="57"/>
      <c r="F2353" s="69"/>
      <c r="G2353" s="69"/>
      <c r="H2353" s="70" t="str">
        <f aca="false">IF(A2353="","",IFERROR(INDEX(السندات!$C$5:$C$504,MATCH(A2353,السندات!$A$5:$A$504,0)),""))</f>
        <v/>
      </c>
      <c r="I2353" s="71" t="str">
        <f aca="false">IF(A2353="","",IFERROR(INDEX(السندات!$D$5:$D$504,MATCH(A2353,السندات!$A$5:$A$504,0)),""))</f>
        <v/>
      </c>
      <c r="J2353" s="72" t="str">
        <f aca="false">IF(A2353="","",IF(ISNA(MATCH(A2353,السندات!$A$5:$A$504,0)),"رقم سند غير موجود ✘",IF(AND(F2353&lt;&gt;"",G2353&lt;&gt;""),"اكتب مدين أو دائن فقط ✘",IF(AND(N(F2353)=0,N(G2353)=0),"بدون مبلغ ⚠",IF(B2353&gt;12,"يتجاوز 12 بنداً في الطباعة ⚠","")))))</f>
        <v/>
      </c>
    </row>
    <row r="2354" customFormat="false" ht="15" hidden="false" customHeight="false" outlineLevel="0" collapsed="false">
      <c r="A2354" s="58"/>
      <c r="B2354" s="73" t="str">
        <f aca="false">IF(A2354="","",COUNTIF(A$5:A2354,A2354))</f>
        <v/>
      </c>
      <c r="C2354" s="73" t="str">
        <f aca="false">IF(A2354="","",A2354&amp;"-"&amp;B2354)</f>
        <v/>
      </c>
      <c r="D2354" s="58"/>
      <c r="E2354" s="57"/>
      <c r="F2354" s="69"/>
      <c r="G2354" s="69"/>
      <c r="H2354" s="74" t="str">
        <f aca="false">IF(A2354="","",IFERROR(INDEX(السندات!$C$5:$C$504,MATCH(A2354,السندات!$A$5:$A$504,0)),""))</f>
        <v/>
      </c>
      <c r="I2354" s="75" t="str">
        <f aca="false">IF(A2354="","",IFERROR(INDEX(السندات!$D$5:$D$504,MATCH(A2354,السندات!$A$5:$A$504,0)),""))</f>
        <v/>
      </c>
      <c r="J2354" s="76" t="str">
        <f aca="false">IF(A2354="","",IF(ISNA(MATCH(A2354,السندات!$A$5:$A$504,0)),"رقم سند غير موجود ✘",IF(AND(F2354&lt;&gt;"",G2354&lt;&gt;""),"اكتب مدين أو دائن فقط ✘",IF(AND(N(F2354)=0,N(G2354)=0),"بدون مبلغ ⚠",IF(B2354&gt;12,"يتجاوز 12 بنداً في الطباعة ⚠","")))))</f>
        <v/>
      </c>
    </row>
    <row r="2355" customFormat="false" ht="15" hidden="false" customHeight="false" outlineLevel="0" collapsed="false">
      <c r="A2355" s="58"/>
      <c r="B2355" s="68" t="str">
        <f aca="false">IF(A2355="","",COUNTIF(A$5:A2355,A2355))</f>
        <v/>
      </c>
      <c r="C2355" s="68" t="str">
        <f aca="false">IF(A2355="","",A2355&amp;"-"&amp;B2355)</f>
        <v/>
      </c>
      <c r="D2355" s="58"/>
      <c r="E2355" s="57"/>
      <c r="F2355" s="69"/>
      <c r="G2355" s="69"/>
      <c r="H2355" s="70" t="str">
        <f aca="false">IF(A2355="","",IFERROR(INDEX(السندات!$C$5:$C$504,MATCH(A2355,السندات!$A$5:$A$504,0)),""))</f>
        <v/>
      </c>
      <c r="I2355" s="71" t="str">
        <f aca="false">IF(A2355="","",IFERROR(INDEX(السندات!$D$5:$D$504,MATCH(A2355,السندات!$A$5:$A$504,0)),""))</f>
        <v/>
      </c>
      <c r="J2355" s="72" t="str">
        <f aca="false">IF(A2355="","",IF(ISNA(MATCH(A2355,السندات!$A$5:$A$504,0)),"رقم سند غير موجود ✘",IF(AND(F2355&lt;&gt;"",G2355&lt;&gt;""),"اكتب مدين أو دائن فقط ✘",IF(AND(N(F2355)=0,N(G2355)=0),"بدون مبلغ ⚠",IF(B2355&gt;12,"يتجاوز 12 بنداً في الطباعة ⚠","")))))</f>
        <v/>
      </c>
    </row>
    <row r="2356" customFormat="false" ht="15" hidden="false" customHeight="false" outlineLevel="0" collapsed="false">
      <c r="A2356" s="58"/>
      <c r="B2356" s="73" t="str">
        <f aca="false">IF(A2356="","",COUNTIF(A$5:A2356,A2356))</f>
        <v/>
      </c>
      <c r="C2356" s="73" t="str">
        <f aca="false">IF(A2356="","",A2356&amp;"-"&amp;B2356)</f>
        <v/>
      </c>
      <c r="D2356" s="58"/>
      <c r="E2356" s="57"/>
      <c r="F2356" s="69"/>
      <c r="G2356" s="69"/>
      <c r="H2356" s="74" t="str">
        <f aca="false">IF(A2356="","",IFERROR(INDEX(السندات!$C$5:$C$504,MATCH(A2356,السندات!$A$5:$A$504,0)),""))</f>
        <v/>
      </c>
      <c r="I2356" s="75" t="str">
        <f aca="false">IF(A2356="","",IFERROR(INDEX(السندات!$D$5:$D$504,MATCH(A2356,السندات!$A$5:$A$504,0)),""))</f>
        <v/>
      </c>
      <c r="J2356" s="76" t="str">
        <f aca="false">IF(A2356="","",IF(ISNA(MATCH(A2356,السندات!$A$5:$A$504,0)),"رقم سند غير موجود ✘",IF(AND(F2356&lt;&gt;"",G2356&lt;&gt;""),"اكتب مدين أو دائن فقط ✘",IF(AND(N(F2356)=0,N(G2356)=0),"بدون مبلغ ⚠",IF(B2356&gt;12,"يتجاوز 12 بنداً في الطباعة ⚠","")))))</f>
        <v/>
      </c>
    </row>
    <row r="2357" customFormat="false" ht="15" hidden="false" customHeight="false" outlineLevel="0" collapsed="false">
      <c r="A2357" s="58"/>
      <c r="B2357" s="68" t="str">
        <f aca="false">IF(A2357="","",COUNTIF(A$5:A2357,A2357))</f>
        <v/>
      </c>
      <c r="C2357" s="68" t="str">
        <f aca="false">IF(A2357="","",A2357&amp;"-"&amp;B2357)</f>
        <v/>
      </c>
      <c r="D2357" s="58"/>
      <c r="E2357" s="57"/>
      <c r="F2357" s="69"/>
      <c r="G2357" s="69"/>
      <c r="H2357" s="70" t="str">
        <f aca="false">IF(A2357="","",IFERROR(INDEX(السندات!$C$5:$C$504,MATCH(A2357,السندات!$A$5:$A$504,0)),""))</f>
        <v/>
      </c>
      <c r="I2357" s="71" t="str">
        <f aca="false">IF(A2357="","",IFERROR(INDEX(السندات!$D$5:$D$504,MATCH(A2357,السندات!$A$5:$A$504,0)),""))</f>
        <v/>
      </c>
      <c r="J2357" s="72" t="str">
        <f aca="false">IF(A2357="","",IF(ISNA(MATCH(A2357,السندات!$A$5:$A$504,0)),"رقم سند غير موجود ✘",IF(AND(F2357&lt;&gt;"",G2357&lt;&gt;""),"اكتب مدين أو دائن فقط ✘",IF(AND(N(F2357)=0,N(G2357)=0),"بدون مبلغ ⚠",IF(B2357&gt;12,"يتجاوز 12 بنداً في الطباعة ⚠","")))))</f>
        <v/>
      </c>
    </row>
    <row r="2358" customFormat="false" ht="15" hidden="false" customHeight="false" outlineLevel="0" collapsed="false">
      <c r="A2358" s="58"/>
      <c r="B2358" s="73" t="str">
        <f aca="false">IF(A2358="","",COUNTIF(A$5:A2358,A2358))</f>
        <v/>
      </c>
      <c r="C2358" s="73" t="str">
        <f aca="false">IF(A2358="","",A2358&amp;"-"&amp;B2358)</f>
        <v/>
      </c>
      <c r="D2358" s="58"/>
      <c r="E2358" s="57"/>
      <c r="F2358" s="69"/>
      <c r="G2358" s="69"/>
      <c r="H2358" s="74" t="str">
        <f aca="false">IF(A2358="","",IFERROR(INDEX(السندات!$C$5:$C$504,MATCH(A2358,السندات!$A$5:$A$504,0)),""))</f>
        <v/>
      </c>
      <c r="I2358" s="75" t="str">
        <f aca="false">IF(A2358="","",IFERROR(INDEX(السندات!$D$5:$D$504,MATCH(A2358,السندات!$A$5:$A$504,0)),""))</f>
        <v/>
      </c>
      <c r="J2358" s="76" t="str">
        <f aca="false">IF(A2358="","",IF(ISNA(MATCH(A2358,السندات!$A$5:$A$504,0)),"رقم سند غير موجود ✘",IF(AND(F2358&lt;&gt;"",G2358&lt;&gt;""),"اكتب مدين أو دائن فقط ✘",IF(AND(N(F2358)=0,N(G2358)=0),"بدون مبلغ ⚠",IF(B2358&gt;12,"يتجاوز 12 بنداً في الطباعة ⚠","")))))</f>
        <v/>
      </c>
    </row>
    <row r="2359" customFormat="false" ht="15" hidden="false" customHeight="false" outlineLevel="0" collapsed="false">
      <c r="A2359" s="58"/>
      <c r="B2359" s="68" t="str">
        <f aca="false">IF(A2359="","",COUNTIF(A$5:A2359,A2359))</f>
        <v/>
      </c>
      <c r="C2359" s="68" t="str">
        <f aca="false">IF(A2359="","",A2359&amp;"-"&amp;B2359)</f>
        <v/>
      </c>
      <c r="D2359" s="58"/>
      <c r="E2359" s="57"/>
      <c r="F2359" s="69"/>
      <c r="G2359" s="69"/>
      <c r="H2359" s="70" t="str">
        <f aca="false">IF(A2359="","",IFERROR(INDEX(السندات!$C$5:$C$504,MATCH(A2359,السندات!$A$5:$A$504,0)),""))</f>
        <v/>
      </c>
      <c r="I2359" s="71" t="str">
        <f aca="false">IF(A2359="","",IFERROR(INDEX(السندات!$D$5:$D$504,MATCH(A2359,السندات!$A$5:$A$504,0)),""))</f>
        <v/>
      </c>
      <c r="J2359" s="72" t="str">
        <f aca="false">IF(A2359="","",IF(ISNA(MATCH(A2359,السندات!$A$5:$A$504,0)),"رقم سند غير موجود ✘",IF(AND(F2359&lt;&gt;"",G2359&lt;&gt;""),"اكتب مدين أو دائن فقط ✘",IF(AND(N(F2359)=0,N(G2359)=0),"بدون مبلغ ⚠",IF(B2359&gt;12,"يتجاوز 12 بنداً في الطباعة ⚠","")))))</f>
        <v/>
      </c>
    </row>
    <row r="2360" customFormat="false" ht="15" hidden="false" customHeight="false" outlineLevel="0" collapsed="false">
      <c r="A2360" s="58"/>
      <c r="B2360" s="73" t="str">
        <f aca="false">IF(A2360="","",COUNTIF(A$5:A2360,A2360))</f>
        <v/>
      </c>
      <c r="C2360" s="73" t="str">
        <f aca="false">IF(A2360="","",A2360&amp;"-"&amp;B2360)</f>
        <v/>
      </c>
      <c r="D2360" s="58"/>
      <c r="E2360" s="57"/>
      <c r="F2360" s="69"/>
      <c r="G2360" s="69"/>
      <c r="H2360" s="74" t="str">
        <f aca="false">IF(A2360="","",IFERROR(INDEX(السندات!$C$5:$C$504,MATCH(A2360,السندات!$A$5:$A$504,0)),""))</f>
        <v/>
      </c>
      <c r="I2360" s="75" t="str">
        <f aca="false">IF(A2360="","",IFERROR(INDEX(السندات!$D$5:$D$504,MATCH(A2360,السندات!$A$5:$A$504,0)),""))</f>
        <v/>
      </c>
      <c r="J2360" s="76" t="str">
        <f aca="false">IF(A2360="","",IF(ISNA(MATCH(A2360,السندات!$A$5:$A$504,0)),"رقم سند غير موجود ✘",IF(AND(F2360&lt;&gt;"",G2360&lt;&gt;""),"اكتب مدين أو دائن فقط ✘",IF(AND(N(F2360)=0,N(G2360)=0),"بدون مبلغ ⚠",IF(B2360&gt;12,"يتجاوز 12 بنداً في الطباعة ⚠","")))))</f>
        <v/>
      </c>
    </row>
    <row r="2361" customFormat="false" ht="15" hidden="false" customHeight="false" outlineLevel="0" collapsed="false">
      <c r="A2361" s="58"/>
      <c r="B2361" s="68" t="str">
        <f aca="false">IF(A2361="","",COUNTIF(A$5:A2361,A2361))</f>
        <v/>
      </c>
      <c r="C2361" s="68" t="str">
        <f aca="false">IF(A2361="","",A2361&amp;"-"&amp;B2361)</f>
        <v/>
      </c>
      <c r="D2361" s="58"/>
      <c r="E2361" s="57"/>
      <c r="F2361" s="69"/>
      <c r="G2361" s="69"/>
      <c r="H2361" s="70" t="str">
        <f aca="false">IF(A2361="","",IFERROR(INDEX(السندات!$C$5:$C$504,MATCH(A2361,السندات!$A$5:$A$504,0)),""))</f>
        <v/>
      </c>
      <c r="I2361" s="71" t="str">
        <f aca="false">IF(A2361="","",IFERROR(INDEX(السندات!$D$5:$D$504,MATCH(A2361,السندات!$A$5:$A$504,0)),""))</f>
        <v/>
      </c>
      <c r="J2361" s="72" t="str">
        <f aca="false">IF(A2361="","",IF(ISNA(MATCH(A2361,السندات!$A$5:$A$504,0)),"رقم سند غير موجود ✘",IF(AND(F2361&lt;&gt;"",G2361&lt;&gt;""),"اكتب مدين أو دائن فقط ✘",IF(AND(N(F2361)=0,N(G2361)=0),"بدون مبلغ ⚠",IF(B2361&gt;12,"يتجاوز 12 بنداً في الطباعة ⚠","")))))</f>
        <v/>
      </c>
    </row>
    <row r="2362" customFormat="false" ht="15" hidden="false" customHeight="false" outlineLevel="0" collapsed="false">
      <c r="A2362" s="58"/>
      <c r="B2362" s="73" t="str">
        <f aca="false">IF(A2362="","",COUNTIF(A$5:A2362,A2362))</f>
        <v/>
      </c>
      <c r="C2362" s="73" t="str">
        <f aca="false">IF(A2362="","",A2362&amp;"-"&amp;B2362)</f>
        <v/>
      </c>
      <c r="D2362" s="58"/>
      <c r="E2362" s="57"/>
      <c r="F2362" s="69"/>
      <c r="G2362" s="69"/>
      <c r="H2362" s="74" t="str">
        <f aca="false">IF(A2362="","",IFERROR(INDEX(السندات!$C$5:$C$504,MATCH(A2362,السندات!$A$5:$A$504,0)),""))</f>
        <v/>
      </c>
      <c r="I2362" s="75" t="str">
        <f aca="false">IF(A2362="","",IFERROR(INDEX(السندات!$D$5:$D$504,MATCH(A2362,السندات!$A$5:$A$504,0)),""))</f>
        <v/>
      </c>
      <c r="J2362" s="76" t="str">
        <f aca="false">IF(A2362="","",IF(ISNA(MATCH(A2362,السندات!$A$5:$A$504,0)),"رقم سند غير موجود ✘",IF(AND(F2362&lt;&gt;"",G2362&lt;&gt;""),"اكتب مدين أو دائن فقط ✘",IF(AND(N(F2362)=0,N(G2362)=0),"بدون مبلغ ⚠",IF(B2362&gt;12,"يتجاوز 12 بنداً في الطباعة ⚠","")))))</f>
        <v/>
      </c>
    </row>
    <row r="2363" customFormat="false" ht="15" hidden="false" customHeight="false" outlineLevel="0" collapsed="false">
      <c r="A2363" s="58"/>
      <c r="B2363" s="68" t="str">
        <f aca="false">IF(A2363="","",COUNTIF(A$5:A2363,A2363))</f>
        <v/>
      </c>
      <c r="C2363" s="68" t="str">
        <f aca="false">IF(A2363="","",A2363&amp;"-"&amp;B2363)</f>
        <v/>
      </c>
      <c r="D2363" s="58"/>
      <c r="E2363" s="57"/>
      <c r="F2363" s="69"/>
      <c r="G2363" s="69"/>
      <c r="H2363" s="70" t="str">
        <f aca="false">IF(A2363="","",IFERROR(INDEX(السندات!$C$5:$C$504,MATCH(A2363,السندات!$A$5:$A$504,0)),""))</f>
        <v/>
      </c>
      <c r="I2363" s="71" t="str">
        <f aca="false">IF(A2363="","",IFERROR(INDEX(السندات!$D$5:$D$504,MATCH(A2363,السندات!$A$5:$A$504,0)),""))</f>
        <v/>
      </c>
      <c r="J2363" s="72" t="str">
        <f aca="false">IF(A2363="","",IF(ISNA(MATCH(A2363,السندات!$A$5:$A$504,0)),"رقم سند غير موجود ✘",IF(AND(F2363&lt;&gt;"",G2363&lt;&gt;""),"اكتب مدين أو دائن فقط ✘",IF(AND(N(F2363)=0,N(G2363)=0),"بدون مبلغ ⚠",IF(B2363&gt;12,"يتجاوز 12 بنداً في الطباعة ⚠","")))))</f>
        <v/>
      </c>
    </row>
    <row r="2364" customFormat="false" ht="15" hidden="false" customHeight="false" outlineLevel="0" collapsed="false">
      <c r="A2364" s="58"/>
      <c r="B2364" s="73" t="str">
        <f aca="false">IF(A2364="","",COUNTIF(A$5:A2364,A2364))</f>
        <v/>
      </c>
      <c r="C2364" s="73" t="str">
        <f aca="false">IF(A2364="","",A2364&amp;"-"&amp;B2364)</f>
        <v/>
      </c>
      <c r="D2364" s="58"/>
      <c r="E2364" s="57"/>
      <c r="F2364" s="69"/>
      <c r="G2364" s="69"/>
      <c r="H2364" s="74" t="str">
        <f aca="false">IF(A2364="","",IFERROR(INDEX(السندات!$C$5:$C$504,MATCH(A2364,السندات!$A$5:$A$504,0)),""))</f>
        <v/>
      </c>
      <c r="I2364" s="75" t="str">
        <f aca="false">IF(A2364="","",IFERROR(INDEX(السندات!$D$5:$D$504,MATCH(A2364,السندات!$A$5:$A$504,0)),""))</f>
        <v/>
      </c>
      <c r="J2364" s="76" t="str">
        <f aca="false">IF(A2364="","",IF(ISNA(MATCH(A2364,السندات!$A$5:$A$504,0)),"رقم سند غير موجود ✘",IF(AND(F2364&lt;&gt;"",G2364&lt;&gt;""),"اكتب مدين أو دائن فقط ✘",IF(AND(N(F2364)=0,N(G2364)=0),"بدون مبلغ ⚠",IF(B2364&gt;12,"يتجاوز 12 بنداً في الطباعة ⚠","")))))</f>
        <v/>
      </c>
    </row>
    <row r="2365" customFormat="false" ht="15" hidden="false" customHeight="false" outlineLevel="0" collapsed="false">
      <c r="A2365" s="58"/>
      <c r="B2365" s="68" t="str">
        <f aca="false">IF(A2365="","",COUNTIF(A$5:A2365,A2365))</f>
        <v/>
      </c>
      <c r="C2365" s="68" t="str">
        <f aca="false">IF(A2365="","",A2365&amp;"-"&amp;B2365)</f>
        <v/>
      </c>
      <c r="D2365" s="58"/>
      <c r="E2365" s="57"/>
      <c r="F2365" s="69"/>
      <c r="G2365" s="69"/>
      <c r="H2365" s="70" t="str">
        <f aca="false">IF(A2365="","",IFERROR(INDEX(السندات!$C$5:$C$504,MATCH(A2365,السندات!$A$5:$A$504,0)),""))</f>
        <v/>
      </c>
      <c r="I2365" s="71" t="str">
        <f aca="false">IF(A2365="","",IFERROR(INDEX(السندات!$D$5:$D$504,MATCH(A2365,السندات!$A$5:$A$504,0)),""))</f>
        <v/>
      </c>
      <c r="J2365" s="72" t="str">
        <f aca="false">IF(A2365="","",IF(ISNA(MATCH(A2365,السندات!$A$5:$A$504,0)),"رقم سند غير موجود ✘",IF(AND(F2365&lt;&gt;"",G2365&lt;&gt;""),"اكتب مدين أو دائن فقط ✘",IF(AND(N(F2365)=0,N(G2365)=0),"بدون مبلغ ⚠",IF(B2365&gt;12,"يتجاوز 12 بنداً في الطباعة ⚠","")))))</f>
        <v/>
      </c>
    </row>
    <row r="2366" customFormat="false" ht="15" hidden="false" customHeight="false" outlineLevel="0" collapsed="false">
      <c r="A2366" s="58"/>
      <c r="B2366" s="73" t="str">
        <f aca="false">IF(A2366="","",COUNTIF(A$5:A2366,A2366))</f>
        <v/>
      </c>
      <c r="C2366" s="73" t="str">
        <f aca="false">IF(A2366="","",A2366&amp;"-"&amp;B2366)</f>
        <v/>
      </c>
      <c r="D2366" s="58"/>
      <c r="E2366" s="57"/>
      <c r="F2366" s="69"/>
      <c r="G2366" s="69"/>
      <c r="H2366" s="74" t="str">
        <f aca="false">IF(A2366="","",IFERROR(INDEX(السندات!$C$5:$C$504,MATCH(A2366,السندات!$A$5:$A$504,0)),""))</f>
        <v/>
      </c>
      <c r="I2366" s="75" t="str">
        <f aca="false">IF(A2366="","",IFERROR(INDEX(السندات!$D$5:$D$504,MATCH(A2366,السندات!$A$5:$A$504,0)),""))</f>
        <v/>
      </c>
      <c r="J2366" s="76" t="str">
        <f aca="false">IF(A2366="","",IF(ISNA(MATCH(A2366,السندات!$A$5:$A$504,0)),"رقم سند غير موجود ✘",IF(AND(F2366&lt;&gt;"",G2366&lt;&gt;""),"اكتب مدين أو دائن فقط ✘",IF(AND(N(F2366)=0,N(G2366)=0),"بدون مبلغ ⚠",IF(B2366&gt;12,"يتجاوز 12 بنداً في الطباعة ⚠","")))))</f>
        <v/>
      </c>
    </row>
    <row r="2367" customFormat="false" ht="15" hidden="false" customHeight="false" outlineLevel="0" collapsed="false">
      <c r="A2367" s="58"/>
      <c r="B2367" s="68" t="str">
        <f aca="false">IF(A2367="","",COUNTIF(A$5:A2367,A2367))</f>
        <v/>
      </c>
      <c r="C2367" s="68" t="str">
        <f aca="false">IF(A2367="","",A2367&amp;"-"&amp;B2367)</f>
        <v/>
      </c>
      <c r="D2367" s="58"/>
      <c r="E2367" s="57"/>
      <c r="F2367" s="69"/>
      <c r="G2367" s="69"/>
      <c r="H2367" s="70" t="str">
        <f aca="false">IF(A2367="","",IFERROR(INDEX(السندات!$C$5:$C$504,MATCH(A2367,السندات!$A$5:$A$504,0)),""))</f>
        <v/>
      </c>
      <c r="I2367" s="71" t="str">
        <f aca="false">IF(A2367="","",IFERROR(INDEX(السندات!$D$5:$D$504,MATCH(A2367,السندات!$A$5:$A$504,0)),""))</f>
        <v/>
      </c>
      <c r="J2367" s="72" t="str">
        <f aca="false">IF(A2367="","",IF(ISNA(MATCH(A2367,السندات!$A$5:$A$504,0)),"رقم سند غير موجود ✘",IF(AND(F2367&lt;&gt;"",G2367&lt;&gt;""),"اكتب مدين أو دائن فقط ✘",IF(AND(N(F2367)=0,N(G2367)=0),"بدون مبلغ ⚠",IF(B2367&gt;12,"يتجاوز 12 بنداً في الطباعة ⚠","")))))</f>
        <v/>
      </c>
    </row>
    <row r="2368" customFormat="false" ht="15" hidden="false" customHeight="false" outlineLevel="0" collapsed="false">
      <c r="A2368" s="58"/>
      <c r="B2368" s="73" t="str">
        <f aca="false">IF(A2368="","",COUNTIF(A$5:A2368,A2368))</f>
        <v/>
      </c>
      <c r="C2368" s="73" t="str">
        <f aca="false">IF(A2368="","",A2368&amp;"-"&amp;B2368)</f>
        <v/>
      </c>
      <c r="D2368" s="58"/>
      <c r="E2368" s="57"/>
      <c r="F2368" s="69"/>
      <c r="G2368" s="69"/>
      <c r="H2368" s="74" t="str">
        <f aca="false">IF(A2368="","",IFERROR(INDEX(السندات!$C$5:$C$504,MATCH(A2368,السندات!$A$5:$A$504,0)),""))</f>
        <v/>
      </c>
      <c r="I2368" s="75" t="str">
        <f aca="false">IF(A2368="","",IFERROR(INDEX(السندات!$D$5:$D$504,MATCH(A2368,السندات!$A$5:$A$504,0)),""))</f>
        <v/>
      </c>
      <c r="J2368" s="76" t="str">
        <f aca="false">IF(A2368="","",IF(ISNA(MATCH(A2368,السندات!$A$5:$A$504,0)),"رقم سند غير موجود ✘",IF(AND(F2368&lt;&gt;"",G2368&lt;&gt;""),"اكتب مدين أو دائن فقط ✘",IF(AND(N(F2368)=0,N(G2368)=0),"بدون مبلغ ⚠",IF(B2368&gt;12,"يتجاوز 12 بنداً في الطباعة ⚠","")))))</f>
        <v/>
      </c>
    </row>
    <row r="2369" customFormat="false" ht="15" hidden="false" customHeight="false" outlineLevel="0" collapsed="false">
      <c r="A2369" s="58"/>
      <c r="B2369" s="68" t="str">
        <f aca="false">IF(A2369="","",COUNTIF(A$5:A2369,A2369))</f>
        <v/>
      </c>
      <c r="C2369" s="68" t="str">
        <f aca="false">IF(A2369="","",A2369&amp;"-"&amp;B2369)</f>
        <v/>
      </c>
      <c r="D2369" s="58"/>
      <c r="E2369" s="57"/>
      <c r="F2369" s="69"/>
      <c r="G2369" s="69"/>
      <c r="H2369" s="70" t="str">
        <f aca="false">IF(A2369="","",IFERROR(INDEX(السندات!$C$5:$C$504,MATCH(A2369,السندات!$A$5:$A$504,0)),""))</f>
        <v/>
      </c>
      <c r="I2369" s="71" t="str">
        <f aca="false">IF(A2369="","",IFERROR(INDEX(السندات!$D$5:$D$504,MATCH(A2369,السندات!$A$5:$A$504,0)),""))</f>
        <v/>
      </c>
      <c r="J2369" s="72" t="str">
        <f aca="false">IF(A2369="","",IF(ISNA(MATCH(A2369,السندات!$A$5:$A$504,0)),"رقم سند غير موجود ✘",IF(AND(F2369&lt;&gt;"",G2369&lt;&gt;""),"اكتب مدين أو دائن فقط ✘",IF(AND(N(F2369)=0,N(G2369)=0),"بدون مبلغ ⚠",IF(B2369&gt;12,"يتجاوز 12 بنداً في الطباعة ⚠","")))))</f>
        <v/>
      </c>
    </row>
    <row r="2370" customFormat="false" ht="15" hidden="false" customHeight="false" outlineLevel="0" collapsed="false">
      <c r="A2370" s="58"/>
      <c r="B2370" s="73" t="str">
        <f aca="false">IF(A2370="","",COUNTIF(A$5:A2370,A2370))</f>
        <v/>
      </c>
      <c r="C2370" s="73" t="str">
        <f aca="false">IF(A2370="","",A2370&amp;"-"&amp;B2370)</f>
        <v/>
      </c>
      <c r="D2370" s="58"/>
      <c r="E2370" s="57"/>
      <c r="F2370" s="69"/>
      <c r="G2370" s="69"/>
      <c r="H2370" s="74" t="str">
        <f aca="false">IF(A2370="","",IFERROR(INDEX(السندات!$C$5:$C$504,MATCH(A2370,السندات!$A$5:$A$504,0)),""))</f>
        <v/>
      </c>
      <c r="I2370" s="75" t="str">
        <f aca="false">IF(A2370="","",IFERROR(INDEX(السندات!$D$5:$D$504,MATCH(A2370,السندات!$A$5:$A$504,0)),""))</f>
        <v/>
      </c>
      <c r="J2370" s="76" t="str">
        <f aca="false">IF(A2370="","",IF(ISNA(MATCH(A2370,السندات!$A$5:$A$504,0)),"رقم سند غير موجود ✘",IF(AND(F2370&lt;&gt;"",G2370&lt;&gt;""),"اكتب مدين أو دائن فقط ✘",IF(AND(N(F2370)=0,N(G2370)=0),"بدون مبلغ ⚠",IF(B2370&gt;12,"يتجاوز 12 بنداً في الطباعة ⚠","")))))</f>
        <v/>
      </c>
    </row>
    <row r="2371" customFormat="false" ht="15" hidden="false" customHeight="false" outlineLevel="0" collapsed="false">
      <c r="A2371" s="58"/>
      <c r="B2371" s="68" t="str">
        <f aca="false">IF(A2371="","",COUNTIF(A$5:A2371,A2371))</f>
        <v/>
      </c>
      <c r="C2371" s="68" t="str">
        <f aca="false">IF(A2371="","",A2371&amp;"-"&amp;B2371)</f>
        <v/>
      </c>
      <c r="D2371" s="58"/>
      <c r="E2371" s="57"/>
      <c r="F2371" s="69"/>
      <c r="G2371" s="69"/>
      <c r="H2371" s="70" t="str">
        <f aca="false">IF(A2371="","",IFERROR(INDEX(السندات!$C$5:$C$504,MATCH(A2371,السندات!$A$5:$A$504,0)),""))</f>
        <v/>
      </c>
      <c r="I2371" s="71" t="str">
        <f aca="false">IF(A2371="","",IFERROR(INDEX(السندات!$D$5:$D$504,MATCH(A2371,السندات!$A$5:$A$504,0)),""))</f>
        <v/>
      </c>
      <c r="J2371" s="72" t="str">
        <f aca="false">IF(A2371="","",IF(ISNA(MATCH(A2371,السندات!$A$5:$A$504,0)),"رقم سند غير موجود ✘",IF(AND(F2371&lt;&gt;"",G2371&lt;&gt;""),"اكتب مدين أو دائن فقط ✘",IF(AND(N(F2371)=0,N(G2371)=0),"بدون مبلغ ⚠",IF(B2371&gt;12,"يتجاوز 12 بنداً في الطباعة ⚠","")))))</f>
        <v/>
      </c>
    </row>
    <row r="2372" customFormat="false" ht="15" hidden="false" customHeight="false" outlineLevel="0" collapsed="false">
      <c r="A2372" s="58"/>
      <c r="B2372" s="73" t="str">
        <f aca="false">IF(A2372="","",COUNTIF(A$5:A2372,A2372))</f>
        <v/>
      </c>
      <c r="C2372" s="73" t="str">
        <f aca="false">IF(A2372="","",A2372&amp;"-"&amp;B2372)</f>
        <v/>
      </c>
      <c r="D2372" s="58"/>
      <c r="E2372" s="57"/>
      <c r="F2372" s="69"/>
      <c r="G2372" s="69"/>
      <c r="H2372" s="74" t="str">
        <f aca="false">IF(A2372="","",IFERROR(INDEX(السندات!$C$5:$C$504,MATCH(A2372,السندات!$A$5:$A$504,0)),""))</f>
        <v/>
      </c>
      <c r="I2372" s="75" t="str">
        <f aca="false">IF(A2372="","",IFERROR(INDEX(السندات!$D$5:$D$504,MATCH(A2372,السندات!$A$5:$A$504,0)),""))</f>
        <v/>
      </c>
      <c r="J2372" s="76" t="str">
        <f aca="false">IF(A2372="","",IF(ISNA(MATCH(A2372,السندات!$A$5:$A$504,0)),"رقم سند غير موجود ✘",IF(AND(F2372&lt;&gt;"",G2372&lt;&gt;""),"اكتب مدين أو دائن فقط ✘",IF(AND(N(F2372)=0,N(G2372)=0),"بدون مبلغ ⚠",IF(B2372&gt;12,"يتجاوز 12 بنداً في الطباعة ⚠","")))))</f>
        <v/>
      </c>
    </row>
    <row r="2373" customFormat="false" ht="15" hidden="false" customHeight="false" outlineLevel="0" collapsed="false">
      <c r="A2373" s="58"/>
      <c r="B2373" s="68" t="str">
        <f aca="false">IF(A2373="","",COUNTIF(A$5:A2373,A2373))</f>
        <v/>
      </c>
      <c r="C2373" s="68" t="str">
        <f aca="false">IF(A2373="","",A2373&amp;"-"&amp;B2373)</f>
        <v/>
      </c>
      <c r="D2373" s="58"/>
      <c r="E2373" s="57"/>
      <c r="F2373" s="69"/>
      <c r="G2373" s="69"/>
      <c r="H2373" s="70" t="str">
        <f aca="false">IF(A2373="","",IFERROR(INDEX(السندات!$C$5:$C$504,MATCH(A2373,السندات!$A$5:$A$504,0)),""))</f>
        <v/>
      </c>
      <c r="I2373" s="71" t="str">
        <f aca="false">IF(A2373="","",IFERROR(INDEX(السندات!$D$5:$D$504,MATCH(A2373,السندات!$A$5:$A$504,0)),""))</f>
        <v/>
      </c>
      <c r="J2373" s="72" t="str">
        <f aca="false">IF(A2373="","",IF(ISNA(MATCH(A2373,السندات!$A$5:$A$504,0)),"رقم سند غير موجود ✘",IF(AND(F2373&lt;&gt;"",G2373&lt;&gt;""),"اكتب مدين أو دائن فقط ✘",IF(AND(N(F2373)=0,N(G2373)=0),"بدون مبلغ ⚠",IF(B2373&gt;12,"يتجاوز 12 بنداً في الطباعة ⚠","")))))</f>
        <v/>
      </c>
    </row>
    <row r="2374" customFormat="false" ht="15" hidden="false" customHeight="false" outlineLevel="0" collapsed="false">
      <c r="A2374" s="58"/>
      <c r="B2374" s="73" t="str">
        <f aca="false">IF(A2374="","",COUNTIF(A$5:A2374,A2374))</f>
        <v/>
      </c>
      <c r="C2374" s="73" t="str">
        <f aca="false">IF(A2374="","",A2374&amp;"-"&amp;B2374)</f>
        <v/>
      </c>
      <c r="D2374" s="58"/>
      <c r="E2374" s="57"/>
      <c r="F2374" s="69"/>
      <c r="G2374" s="69"/>
      <c r="H2374" s="74" t="str">
        <f aca="false">IF(A2374="","",IFERROR(INDEX(السندات!$C$5:$C$504,MATCH(A2374,السندات!$A$5:$A$504,0)),""))</f>
        <v/>
      </c>
      <c r="I2374" s="75" t="str">
        <f aca="false">IF(A2374="","",IFERROR(INDEX(السندات!$D$5:$D$504,MATCH(A2374,السندات!$A$5:$A$504,0)),""))</f>
        <v/>
      </c>
      <c r="J2374" s="76" t="str">
        <f aca="false">IF(A2374="","",IF(ISNA(MATCH(A2374,السندات!$A$5:$A$504,0)),"رقم سند غير موجود ✘",IF(AND(F2374&lt;&gt;"",G2374&lt;&gt;""),"اكتب مدين أو دائن فقط ✘",IF(AND(N(F2374)=0,N(G2374)=0),"بدون مبلغ ⚠",IF(B2374&gt;12,"يتجاوز 12 بنداً في الطباعة ⚠","")))))</f>
        <v/>
      </c>
    </row>
    <row r="2375" customFormat="false" ht="15" hidden="false" customHeight="false" outlineLevel="0" collapsed="false">
      <c r="A2375" s="58"/>
      <c r="B2375" s="68" t="str">
        <f aca="false">IF(A2375="","",COUNTIF(A$5:A2375,A2375))</f>
        <v/>
      </c>
      <c r="C2375" s="68" t="str">
        <f aca="false">IF(A2375="","",A2375&amp;"-"&amp;B2375)</f>
        <v/>
      </c>
      <c r="D2375" s="58"/>
      <c r="E2375" s="57"/>
      <c r="F2375" s="69"/>
      <c r="G2375" s="69"/>
      <c r="H2375" s="70" t="str">
        <f aca="false">IF(A2375="","",IFERROR(INDEX(السندات!$C$5:$C$504,MATCH(A2375,السندات!$A$5:$A$504,0)),""))</f>
        <v/>
      </c>
      <c r="I2375" s="71" t="str">
        <f aca="false">IF(A2375="","",IFERROR(INDEX(السندات!$D$5:$D$504,MATCH(A2375,السندات!$A$5:$A$504,0)),""))</f>
        <v/>
      </c>
      <c r="J2375" s="72" t="str">
        <f aca="false">IF(A2375="","",IF(ISNA(MATCH(A2375,السندات!$A$5:$A$504,0)),"رقم سند غير موجود ✘",IF(AND(F2375&lt;&gt;"",G2375&lt;&gt;""),"اكتب مدين أو دائن فقط ✘",IF(AND(N(F2375)=0,N(G2375)=0),"بدون مبلغ ⚠",IF(B2375&gt;12,"يتجاوز 12 بنداً في الطباعة ⚠","")))))</f>
        <v/>
      </c>
    </row>
    <row r="2376" customFormat="false" ht="15" hidden="false" customHeight="false" outlineLevel="0" collapsed="false">
      <c r="A2376" s="58"/>
      <c r="B2376" s="73" t="str">
        <f aca="false">IF(A2376="","",COUNTIF(A$5:A2376,A2376))</f>
        <v/>
      </c>
      <c r="C2376" s="73" t="str">
        <f aca="false">IF(A2376="","",A2376&amp;"-"&amp;B2376)</f>
        <v/>
      </c>
      <c r="D2376" s="58"/>
      <c r="E2376" s="57"/>
      <c r="F2376" s="69"/>
      <c r="G2376" s="69"/>
      <c r="H2376" s="74" t="str">
        <f aca="false">IF(A2376="","",IFERROR(INDEX(السندات!$C$5:$C$504,MATCH(A2376,السندات!$A$5:$A$504,0)),""))</f>
        <v/>
      </c>
      <c r="I2376" s="75" t="str">
        <f aca="false">IF(A2376="","",IFERROR(INDEX(السندات!$D$5:$D$504,MATCH(A2376,السندات!$A$5:$A$504,0)),""))</f>
        <v/>
      </c>
      <c r="J2376" s="76" t="str">
        <f aca="false">IF(A2376="","",IF(ISNA(MATCH(A2376,السندات!$A$5:$A$504,0)),"رقم سند غير موجود ✘",IF(AND(F2376&lt;&gt;"",G2376&lt;&gt;""),"اكتب مدين أو دائن فقط ✘",IF(AND(N(F2376)=0,N(G2376)=0),"بدون مبلغ ⚠",IF(B2376&gt;12,"يتجاوز 12 بنداً في الطباعة ⚠","")))))</f>
        <v/>
      </c>
    </row>
    <row r="2377" customFormat="false" ht="15" hidden="false" customHeight="false" outlineLevel="0" collapsed="false">
      <c r="A2377" s="58"/>
      <c r="B2377" s="68" t="str">
        <f aca="false">IF(A2377="","",COUNTIF(A$5:A2377,A2377))</f>
        <v/>
      </c>
      <c r="C2377" s="68" t="str">
        <f aca="false">IF(A2377="","",A2377&amp;"-"&amp;B2377)</f>
        <v/>
      </c>
      <c r="D2377" s="58"/>
      <c r="E2377" s="57"/>
      <c r="F2377" s="69"/>
      <c r="G2377" s="69"/>
      <c r="H2377" s="70" t="str">
        <f aca="false">IF(A2377="","",IFERROR(INDEX(السندات!$C$5:$C$504,MATCH(A2377,السندات!$A$5:$A$504,0)),""))</f>
        <v/>
      </c>
      <c r="I2377" s="71" t="str">
        <f aca="false">IF(A2377="","",IFERROR(INDEX(السندات!$D$5:$D$504,MATCH(A2377,السندات!$A$5:$A$504,0)),""))</f>
        <v/>
      </c>
      <c r="J2377" s="72" t="str">
        <f aca="false">IF(A2377="","",IF(ISNA(MATCH(A2377,السندات!$A$5:$A$504,0)),"رقم سند غير موجود ✘",IF(AND(F2377&lt;&gt;"",G2377&lt;&gt;""),"اكتب مدين أو دائن فقط ✘",IF(AND(N(F2377)=0,N(G2377)=0),"بدون مبلغ ⚠",IF(B2377&gt;12,"يتجاوز 12 بنداً في الطباعة ⚠","")))))</f>
        <v/>
      </c>
    </row>
    <row r="2378" customFormat="false" ht="15" hidden="false" customHeight="false" outlineLevel="0" collapsed="false">
      <c r="A2378" s="58"/>
      <c r="B2378" s="73" t="str">
        <f aca="false">IF(A2378="","",COUNTIF(A$5:A2378,A2378))</f>
        <v/>
      </c>
      <c r="C2378" s="73" t="str">
        <f aca="false">IF(A2378="","",A2378&amp;"-"&amp;B2378)</f>
        <v/>
      </c>
      <c r="D2378" s="58"/>
      <c r="E2378" s="57"/>
      <c r="F2378" s="69"/>
      <c r="G2378" s="69"/>
      <c r="H2378" s="74" t="str">
        <f aca="false">IF(A2378="","",IFERROR(INDEX(السندات!$C$5:$C$504,MATCH(A2378,السندات!$A$5:$A$504,0)),""))</f>
        <v/>
      </c>
      <c r="I2378" s="75" t="str">
        <f aca="false">IF(A2378="","",IFERROR(INDEX(السندات!$D$5:$D$504,MATCH(A2378,السندات!$A$5:$A$504,0)),""))</f>
        <v/>
      </c>
      <c r="J2378" s="76" t="str">
        <f aca="false">IF(A2378="","",IF(ISNA(MATCH(A2378,السندات!$A$5:$A$504,0)),"رقم سند غير موجود ✘",IF(AND(F2378&lt;&gt;"",G2378&lt;&gt;""),"اكتب مدين أو دائن فقط ✘",IF(AND(N(F2378)=0,N(G2378)=0),"بدون مبلغ ⚠",IF(B2378&gt;12,"يتجاوز 12 بنداً في الطباعة ⚠","")))))</f>
        <v/>
      </c>
    </row>
    <row r="2379" customFormat="false" ht="15" hidden="false" customHeight="false" outlineLevel="0" collapsed="false">
      <c r="A2379" s="58"/>
      <c r="B2379" s="68" t="str">
        <f aca="false">IF(A2379="","",COUNTIF(A$5:A2379,A2379))</f>
        <v/>
      </c>
      <c r="C2379" s="68" t="str">
        <f aca="false">IF(A2379="","",A2379&amp;"-"&amp;B2379)</f>
        <v/>
      </c>
      <c r="D2379" s="58"/>
      <c r="E2379" s="57"/>
      <c r="F2379" s="69"/>
      <c r="G2379" s="69"/>
      <c r="H2379" s="70" t="str">
        <f aca="false">IF(A2379="","",IFERROR(INDEX(السندات!$C$5:$C$504,MATCH(A2379,السندات!$A$5:$A$504,0)),""))</f>
        <v/>
      </c>
      <c r="I2379" s="71" t="str">
        <f aca="false">IF(A2379="","",IFERROR(INDEX(السندات!$D$5:$D$504,MATCH(A2379,السندات!$A$5:$A$504,0)),""))</f>
        <v/>
      </c>
      <c r="J2379" s="72" t="str">
        <f aca="false">IF(A2379="","",IF(ISNA(MATCH(A2379,السندات!$A$5:$A$504,0)),"رقم سند غير موجود ✘",IF(AND(F2379&lt;&gt;"",G2379&lt;&gt;""),"اكتب مدين أو دائن فقط ✘",IF(AND(N(F2379)=0,N(G2379)=0),"بدون مبلغ ⚠",IF(B2379&gt;12,"يتجاوز 12 بنداً في الطباعة ⚠","")))))</f>
        <v/>
      </c>
    </row>
    <row r="2380" customFormat="false" ht="15" hidden="false" customHeight="false" outlineLevel="0" collapsed="false">
      <c r="A2380" s="58"/>
      <c r="B2380" s="73" t="str">
        <f aca="false">IF(A2380="","",COUNTIF(A$5:A2380,A2380))</f>
        <v/>
      </c>
      <c r="C2380" s="73" t="str">
        <f aca="false">IF(A2380="","",A2380&amp;"-"&amp;B2380)</f>
        <v/>
      </c>
      <c r="D2380" s="58"/>
      <c r="E2380" s="57"/>
      <c r="F2380" s="69"/>
      <c r="G2380" s="69"/>
      <c r="H2380" s="74" t="str">
        <f aca="false">IF(A2380="","",IFERROR(INDEX(السندات!$C$5:$C$504,MATCH(A2380,السندات!$A$5:$A$504,0)),""))</f>
        <v/>
      </c>
      <c r="I2380" s="75" t="str">
        <f aca="false">IF(A2380="","",IFERROR(INDEX(السندات!$D$5:$D$504,MATCH(A2380,السندات!$A$5:$A$504,0)),""))</f>
        <v/>
      </c>
      <c r="J2380" s="76" t="str">
        <f aca="false">IF(A2380="","",IF(ISNA(MATCH(A2380,السندات!$A$5:$A$504,0)),"رقم سند غير موجود ✘",IF(AND(F2380&lt;&gt;"",G2380&lt;&gt;""),"اكتب مدين أو دائن فقط ✘",IF(AND(N(F2380)=0,N(G2380)=0),"بدون مبلغ ⚠",IF(B2380&gt;12,"يتجاوز 12 بنداً في الطباعة ⚠","")))))</f>
        <v/>
      </c>
    </row>
    <row r="2381" customFormat="false" ht="15" hidden="false" customHeight="false" outlineLevel="0" collapsed="false">
      <c r="A2381" s="58"/>
      <c r="B2381" s="68" t="str">
        <f aca="false">IF(A2381="","",COUNTIF(A$5:A2381,A2381))</f>
        <v/>
      </c>
      <c r="C2381" s="68" t="str">
        <f aca="false">IF(A2381="","",A2381&amp;"-"&amp;B2381)</f>
        <v/>
      </c>
      <c r="D2381" s="58"/>
      <c r="E2381" s="57"/>
      <c r="F2381" s="69"/>
      <c r="G2381" s="69"/>
      <c r="H2381" s="70" t="str">
        <f aca="false">IF(A2381="","",IFERROR(INDEX(السندات!$C$5:$C$504,MATCH(A2381,السندات!$A$5:$A$504,0)),""))</f>
        <v/>
      </c>
      <c r="I2381" s="71" t="str">
        <f aca="false">IF(A2381="","",IFERROR(INDEX(السندات!$D$5:$D$504,MATCH(A2381,السندات!$A$5:$A$504,0)),""))</f>
        <v/>
      </c>
      <c r="J2381" s="72" t="str">
        <f aca="false">IF(A2381="","",IF(ISNA(MATCH(A2381,السندات!$A$5:$A$504,0)),"رقم سند غير موجود ✘",IF(AND(F2381&lt;&gt;"",G2381&lt;&gt;""),"اكتب مدين أو دائن فقط ✘",IF(AND(N(F2381)=0,N(G2381)=0),"بدون مبلغ ⚠",IF(B2381&gt;12,"يتجاوز 12 بنداً في الطباعة ⚠","")))))</f>
        <v/>
      </c>
    </row>
    <row r="2382" customFormat="false" ht="15" hidden="false" customHeight="false" outlineLevel="0" collapsed="false">
      <c r="A2382" s="58"/>
      <c r="B2382" s="73" t="str">
        <f aca="false">IF(A2382="","",COUNTIF(A$5:A2382,A2382))</f>
        <v/>
      </c>
      <c r="C2382" s="73" t="str">
        <f aca="false">IF(A2382="","",A2382&amp;"-"&amp;B2382)</f>
        <v/>
      </c>
      <c r="D2382" s="58"/>
      <c r="E2382" s="57"/>
      <c r="F2382" s="69"/>
      <c r="G2382" s="69"/>
      <c r="H2382" s="74" t="str">
        <f aca="false">IF(A2382="","",IFERROR(INDEX(السندات!$C$5:$C$504,MATCH(A2382,السندات!$A$5:$A$504,0)),""))</f>
        <v/>
      </c>
      <c r="I2382" s="75" t="str">
        <f aca="false">IF(A2382="","",IFERROR(INDEX(السندات!$D$5:$D$504,MATCH(A2382,السندات!$A$5:$A$504,0)),""))</f>
        <v/>
      </c>
      <c r="J2382" s="76" t="str">
        <f aca="false">IF(A2382="","",IF(ISNA(MATCH(A2382,السندات!$A$5:$A$504,0)),"رقم سند غير موجود ✘",IF(AND(F2382&lt;&gt;"",G2382&lt;&gt;""),"اكتب مدين أو دائن فقط ✘",IF(AND(N(F2382)=0,N(G2382)=0),"بدون مبلغ ⚠",IF(B2382&gt;12,"يتجاوز 12 بنداً في الطباعة ⚠","")))))</f>
        <v/>
      </c>
    </row>
    <row r="2383" customFormat="false" ht="15" hidden="false" customHeight="false" outlineLevel="0" collapsed="false">
      <c r="A2383" s="58"/>
      <c r="B2383" s="68" t="str">
        <f aca="false">IF(A2383="","",COUNTIF(A$5:A2383,A2383))</f>
        <v/>
      </c>
      <c r="C2383" s="68" t="str">
        <f aca="false">IF(A2383="","",A2383&amp;"-"&amp;B2383)</f>
        <v/>
      </c>
      <c r="D2383" s="58"/>
      <c r="E2383" s="57"/>
      <c r="F2383" s="69"/>
      <c r="G2383" s="69"/>
      <c r="H2383" s="70" t="str">
        <f aca="false">IF(A2383="","",IFERROR(INDEX(السندات!$C$5:$C$504,MATCH(A2383,السندات!$A$5:$A$504,0)),""))</f>
        <v/>
      </c>
      <c r="I2383" s="71" t="str">
        <f aca="false">IF(A2383="","",IFERROR(INDEX(السندات!$D$5:$D$504,MATCH(A2383,السندات!$A$5:$A$504,0)),""))</f>
        <v/>
      </c>
      <c r="J2383" s="72" t="str">
        <f aca="false">IF(A2383="","",IF(ISNA(MATCH(A2383,السندات!$A$5:$A$504,0)),"رقم سند غير موجود ✘",IF(AND(F2383&lt;&gt;"",G2383&lt;&gt;""),"اكتب مدين أو دائن فقط ✘",IF(AND(N(F2383)=0,N(G2383)=0),"بدون مبلغ ⚠",IF(B2383&gt;12,"يتجاوز 12 بنداً في الطباعة ⚠","")))))</f>
        <v/>
      </c>
    </row>
    <row r="2384" customFormat="false" ht="15" hidden="false" customHeight="false" outlineLevel="0" collapsed="false">
      <c r="A2384" s="58"/>
      <c r="B2384" s="73" t="str">
        <f aca="false">IF(A2384="","",COUNTIF(A$5:A2384,A2384))</f>
        <v/>
      </c>
      <c r="C2384" s="73" t="str">
        <f aca="false">IF(A2384="","",A2384&amp;"-"&amp;B2384)</f>
        <v/>
      </c>
      <c r="D2384" s="58"/>
      <c r="E2384" s="57"/>
      <c r="F2384" s="69"/>
      <c r="G2384" s="69"/>
      <c r="H2384" s="74" t="str">
        <f aca="false">IF(A2384="","",IFERROR(INDEX(السندات!$C$5:$C$504,MATCH(A2384,السندات!$A$5:$A$504,0)),""))</f>
        <v/>
      </c>
      <c r="I2384" s="75" t="str">
        <f aca="false">IF(A2384="","",IFERROR(INDEX(السندات!$D$5:$D$504,MATCH(A2384,السندات!$A$5:$A$504,0)),""))</f>
        <v/>
      </c>
      <c r="J2384" s="76" t="str">
        <f aca="false">IF(A2384="","",IF(ISNA(MATCH(A2384,السندات!$A$5:$A$504,0)),"رقم سند غير موجود ✘",IF(AND(F2384&lt;&gt;"",G2384&lt;&gt;""),"اكتب مدين أو دائن فقط ✘",IF(AND(N(F2384)=0,N(G2384)=0),"بدون مبلغ ⚠",IF(B2384&gt;12,"يتجاوز 12 بنداً في الطباعة ⚠","")))))</f>
        <v/>
      </c>
    </row>
    <row r="2385" customFormat="false" ht="15" hidden="false" customHeight="false" outlineLevel="0" collapsed="false">
      <c r="A2385" s="58"/>
      <c r="B2385" s="68" t="str">
        <f aca="false">IF(A2385="","",COUNTIF(A$5:A2385,A2385))</f>
        <v/>
      </c>
      <c r="C2385" s="68" t="str">
        <f aca="false">IF(A2385="","",A2385&amp;"-"&amp;B2385)</f>
        <v/>
      </c>
      <c r="D2385" s="58"/>
      <c r="E2385" s="57"/>
      <c r="F2385" s="69"/>
      <c r="G2385" s="69"/>
      <c r="H2385" s="70" t="str">
        <f aca="false">IF(A2385="","",IFERROR(INDEX(السندات!$C$5:$C$504,MATCH(A2385,السندات!$A$5:$A$504,0)),""))</f>
        <v/>
      </c>
      <c r="I2385" s="71" t="str">
        <f aca="false">IF(A2385="","",IFERROR(INDEX(السندات!$D$5:$D$504,MATCH(A2385,السندات!$A$5:$A$504,0)),""))</f>
        <v/>
      </c>
      <c r="J2385" s="72" t="str">
        <f aca="false">IF(A2385="","",IF(ISNA(MATCH(A2385,السندات!$A$5:$A$504,0)),"رقم سند غير موجود ✘",IF(AND(F2385&lt;&gt;"",G2385&lt;&gt;""),"اكتب مدين أو دائن فقط ✘",IF(AND(N(F2385)=0,N(G2385)=0),"بدون مبلغ ⚠",IF(B2385&gt;12,"يتجاوز 12 بنداً في الطباعة ⚠","")))))</f>
        <v/>
      </c>
    </row>
    <row r="2386" customFormat="false" ht="15" hidden="false" customHeight="false" outlineLevel="0" collapsed="false">
      <c r="A2386" s="58"/>
      <c r="B2386" s="73" t="str">
        <f aca="false">IF(A2386="","",COUNTIF(A$5:A2386,A2386))</f>
        <v/>
      </c>
      <c r="C2386" s="73" t="str">
        <f aca="false">IF(A2386="","",A2386&amp;"-"&amp;B2386)</f>
        <v/>
      </c>
      <c r="D2386" s="58"/>
      <c r="E2386" s="57"/>
      <c r="F2386" s="69"/>
      <c r="G2386" s="69"/>
      <c r="H2386" s="74" t="str">
        <f aca="false">IF(A2386="","",IFERROR(INDEX(السندات!$C$5:$C$504,MATCH(A2386,السندات!$A$5:$A$504,0)),""))</f>
        <v/>
      </c>
      <c r="I2386" s="75" t="str">
        <f aca="false">IF(A2386="","",IFERROR(INDEX(السندات!$D$5:$D$504,MATCH(A2386,السندات!$A$5:$A$504,0)),""))</f>
        <v/>
      </c>
      <c r="J2386" s="76" t="str">
        <f aca="false">IF(A2386="","",IF(ISNA(MATCH(A2386,السندات!$A$5:$A$504,0)),"رقم سند غير موجود ✘",IF(AND(F2386&lt;&gt;"",G2386&lt;&gt;""),"اكتب مدين أو دائن فقط ✘",IF(AND(N(F2386)=0,N(G2386)=0),"بدون مبلغ ⚠",IF(B2386&gt;12,"يتجاوز 12 بنداً في الطباعة ⚠","")))))</f>
        <v/>
      </c>
    </row>
    <row r="2387" customFormat="false" ht="15" hidden="false" customHeight="false" outlineLevel="0" collapsed="false">
      <c r="A2387" s="58"/>
      <c r="B2387" s="68" t="str">
        <f aca="false">IF(A2387="","",COUNTIF(A$5:A2387,A2387))</f>
        <v/>
      </c>
      <c r="C2387" s="68" t="str">
        <f aca="false">IF(A2387="","",A2387&amp;"-"&amp;B2387)</f>
        <v/>
      </c>
      <c r="D2387" s="58"/>
      <c r="E2387" s="57"/>
      <c r="F2387" s="69"/>
      <c r="G2387" s="69"/>
      <c r="H2387" s="70" t="str">
        <f aca="false">IF(A2387="","",IFERROR(INDEX(السندات!$C$5:$C$504,MATCH(A2387,السندات!$A$5:$A$504,0)),""))</f>
        <v/>
      </c>
      <c r="I2387" s="71" t="str">
        <f aca="false">IF(A2387="","",IFERROR(INDEX(السندات!$D$5:$D$504,MATCH(A2387,السندات!$A$5:$A$504,0)),""))</f>
        <v/>
      </c>
      <c r="J2387" s="72" t="str">
        <f aca="false">IF(A2387="","",IF(ISNA(MATCH(A2387,السندات!$A$5:$A$504,0)),"رقم سند غير موجود ✘",IF(AND(F2387&lt;&gt;"",G2387&lt;&gt;""),"اكتب مدين أو دائن فقط ✘",IF(AND(N(F2387)=0,N(G2387)=0),"بدون مبلغ ⚠",IF(B2387&gt;12,"يتجاوز 12 بنداً في الطباعة ⚠","")))))</f>
        <v/>
      </c>
    </row>
    <row r="2388" customFormat="false" ht="15" hidden="false" customHeight="false" outlineLevel="0" collapsed="false">
      <c r="A2388" s="58"/>
      <c r="B2388" s="73" t="str">
        <f aca="false">IF(A2388="","",COUNTIF(A$5:A2388,A2388))</f>
        <v/>
      </c>
      <c r="C2388" s="73" t="str">
        <f aca="false">IF(A2388="","",A2388&amp;"-"&amp;B2388)</f>
        <v/>
      </c>
      <c r="D2388" s="58"/>
      <c r="E2388" s="57"/>
      <c r="F2388" s="69"/>
      <c r="G2388" s="69"/>
      <c r="H2388" s="74" t="str">
        <f aca="false">IF(A2388="","",IFERROR(INDEX(السندات!$C$5:$C$504,MATCH(A2388,السندات!$A$5:$A$504,0)),""))</f>
        <v/>
      </c>
      <c r="I2388" s="75" t="str">
        <f aca="false">IF(A2388="","",IFERROR(INDEX(السندات!$D$5:$D$504,MATCH(A2388,السندات!$A$5:$A$504,0)),""))</f>
        <v/>
      </c>
      <c r="J2388" s="76" t="str">
        <f aca="false">IF(A2388="","",IF(ISNA(MATCH(A2388,السندات!$A$5:$A$504,0)),"رقم سند غير موجود ✘",IF(AND(F2388&lt;&gt;"",G2388&lt;&gt;""),"اكتب مدين أو دائن فقط ✘",IF(AND(N(F2388)=0,N(G2388)=0),"بدون مبلغ ⚠",IF(B2388&gt;12,"يتجاوز 12 بنداً في الطباعة ⚠","")))))</f>
        <v/>
      </c>
    </row>
    <row r="2389" customFormat="false" ht="15" hidden="false" customHeight="false" outlineLevel="0" collapsed="false">
      <c r="A2389" s="58"/>
      <c r="B2389" s="68" t="str">
        <f aca="false">IF(A2389="","",COUNTIF(A$5:A2389,A2389))</f>
        <v/>
      </c>
      <c r="C2389" s="68" t="str">
        <f aca="false">IF(A2389="","",A2389&amp;"-"&amp;B2389)</f>
        <v/>
      </c>
      <c r="D2389" s="58"/>
      <c r="E2389" s="57"/>
      <c r="F2389" s="69"/>
      <c r="G2389" s="69"/>
      <c r="H2389" s="70" t="str">
        <f aca="false">IF(A2389="","",IFERROR(INDEX(السندات!$C$5:$C$504,MATCH(A2389,السندات!$A$5:$A$504,0)),""))</f>
        <v/>
      </c>
      <c r="I2389" s="71" t="str">
        <f aca="false">IF(A2389="","",IFERROR(INDEX(السندات!$D$5:$D$504,MATCH(A2389,السندات!$A$5:$A$504,0)),""))</f>
        <v/>
      </c>
      <c r="J2389" s="72" t="str">
        <f aca="false">IF(A2389="","",IF(ISNA(MATCH(A2389,السندات!$A$5:$A$504,0)),"رقم سند غير موجود ✘",IF(AND(F2389&lt;&gt;"",G2389&lt;&gt;""),"اكتب مدين أو دائن فقط ✘",IF(AND(N(F2389)=0,N(G2389)=0),"بدون مبلغ ⚠",IF(B2389&gt;12,"يتجاوز 12 بنداً في الطباعة ⚠","")))))</f>
        <v/>
      </c>
    </row>
    <row r="2390" customFormat="false" ht="15" hidden="false" customHeight="false" outlineLevel="0" collapsed="false">
      <c r="A2390" s="58"/>
      <c r="B2390" s="73" t="str">
        <f aca="false">IF(A2390="","",COUNTIF(A$5:A2390,A2390))</f>
        <v/>
      </c>
      <c r="C2390" s="73" t="str">
        <f aca="false">IF(A2390="","",A2390&amp;"-"&amp;B2390)</f>
        <v/>
      </c>
      <c r="D2390" s="58"/>
      <c r="E2390" s="57"/>
      <c r="F2390" s="69"/>
      <c r="G2390" s="69"/>
      <c r="H2390" s="74" t="str">
        <f aca="false">IF(A2390="","",IFERROR(INDEX(السندات!$C$5:$C$504,MATCH(A2390,السندات!$A$5:$A$504,0)),""))</f>
        <v/>
      </c>
      <c r="I2390" s="75" t="str">
        <f aca="false">IF(A2390="","",IFERROR(INDEX(السندات!$D$5:$D$504,MATCH(A2390,السندات!$A$5:$A$504,0)),""))</f>
        <v/>
      </c>
      <c r="J2390" s="76" t="str">
        <f aca="false">IF(A2390="","",IF(ISNA(MATCH(A2390,السندات!$A$5:$A$504,0)),"رقم سند غير موجود ✘",IF(AND(F2390&lt;&gt;"",G2390&lt;&gt;""),"اكتب مدين أو دائن فقط ✘",IF(AND(N(F2390)=0,N(G2390)=0),"بدون مبلغ ⚠",IF(B2390&gt;12,"يتجاوز 12 بنداً في الطباعة ⚠","")))))</f>
        <v/>
      </c>
    </row>
    <row r="2391" customFormat="false" ht="15" hidden="false" customHeight="false" outlineLevel="0" collapsed="false">
      <c r="A2391" s="58"/>
      <c r="B2391" s="68" t="str">
        <f aca="false">IF(A2391="","",COUNTIF(A$5:A2391,A2391))</f>
        <v/>
      </c>
      <c r="C2391" s="68" t="str">
        <f aca="false">IF(A2391="","",A2391&amp;"-"&amp;B2391)</f>
        <v/>
      </c>
      <c r="D2391" s="58"/>
      <c r="E2391" s="57"/>
      <c r="F2391" s="69"/>
      <c r="G2391" s="69"/>
      <c r="H2391" s="70" t="str">
        <f aca="false">IF(A2391="","",IFERROR(INDEX(السندات!$C$5:$C$504,MATCH(A2391,السندات!$A$5:$A$504,0)),""))</f>
        <v/>
      </c>
      <c r="I2391" s="71" t="str">
        <f aca="false">IF(A2391="","",IFERROR(INDEX(السندات!$D$5:$D$504,MATCH(A2391,السندات!$A$5:$A$504,0)),""))</f>
        <v/>
      </c>
      <c r="J2391" s="72" t="str">
        <f aca="false">IF(A2391="","",IF(ISNA(MATCH(A2391,السندات!$A$5:$A$504,0)),"رقم سند غير موجود ✘",IF(AND(F2391&lt;&gt;"",G2391&lt;&gt;""),"اكتب مدين أو دائن فقط ✘",IF(AND(N(F2391)=0,N(G2391)=0),"بدون مبلغ ⚠",IF(B2391&gt;12,"يتجاوز 12 بنداً في الطباعة ⚠","")))))</f>
        <v/>
      </c>
    </row>
    <row r="2392" customFormat="false" ht="15" hidden="false" customHeight="false" outlineLevel="0" collapsed="false">
      <c r="A2392" s="58"/>
      <c r="B2392" s="73" t="str">
        <f aca="false">IF(A2392="","",COUNTIF(A$5:A2392,A2392))</f>
        <v/>
      </c>
      <c r="C2392" s="73" t="str">
        <f aca="false">IF(A2392="","",A2392&amp;"-"&amp;B2392)</f>
        <v/>
      </c>
      <c r="D2392" s="58"/>
      <c r="E2392" s="57"/>
      <c r="F2392" s="69"/>
      <c r="G2392" s="69"/>
      <c r="H2392" s="74" t="str">
        <f aca="false">IF(A2392="","",IFERROR(INDEX(السندات!$C$5:$C$504,MATCH(A2392,السندات!$A$5:$A$504,0)),""))</f>
        <v/>
      </c>
      <c r="I2392" s="75" t="str">
        <f aca="false">IF(A2392="","",IFERROR(INDEX(السندات!$D$5:$D$504,MATCH(A2392,السندات!$A$5:$A$504,0)),""))</f>
        <v/>
      </c>
      <c r="J2392" s="76" t="str">
        <f aca="false">IF(A2392="","",IF(ISNA(MATCH(A2392,السندات!$A$5:$A$504,0)),"رقم سند غير موجود ✘",IF(AND(F2392&lt;&gt;"",G2392&lt;&gt;""),"اكتب مدين أو دائن فقط ✘",IF(AND(N(F2392)=0,N(G2392)=0),"بدون مبلغ ⚠",IF(B2392&gt;12,"يتجاوز 12 بنداً في الطباعة ⚠","")))))</f>
        <v/>
      </c>
    </row>
    <row r="2393" customFormat="false" ht="15" hidden="false" customHeight="false" outlineLevel="0" collapsed="false">
      <c r="A2393" s="58"/>
      <c r="B2393" s="68" t="str">
        <f aca="false">IF(A2393="","",COUNTIF(A$5:A2393,A2393))</f>
        <v/>
      </c>
      <c r="C2393" s="68" t="str">
        <f aca="false">IF(A2393="","",A2393&amp;"-"&amp;B2393)</f>
        <v/>
      </c>
      <c r="D2393" s="58"/>
      <c r="E2393" s="57"/>
      <c r="F2393" s="69"/>
      <c r="G2393" s="69"/>
      <c r="H2393" s="70" t="str">
        <f aca="false">IF(A2393="","",IFERROR(INDEX(السندات!$C$5:$C$504,MATCH(A2393,السندات!$A$5:$A$504,0)),""))</f>
        <v/>
      </c>
      <c r="I2393" s="71" t="str">
        <f aca="false">IF(A2393="","",IFERROR(INDEX(السندات!$D$5:$D$504,MATCH(A2393,السندات!$A$5:$A$504,0)),""))</f>
        <v/>
      </c>
      <c r="J2393" s="72" t="str">
        <f aca="false">IF(A2393="","",IF(ISNA(MATCH(A2393,السندات!$A$5:$A$504,0)),"رقم سند غير موجود ✘",IF(AND(F2393&lt;&gt;"",G2393&lt;&gt;""),"اكتب مدين أو دائن فقط ✘",IF(AND(N(F2393)=0,N(G2393)=0),"بدون مبلغ ⚠",IF(B2393&gt;12,"يتجاوز 12 بنداً في الطباعة ⚠","")))))</f>
        <v/>
      </c>
    </row>
    <row r="2394" customFormat="false" ht="15" hidden="false" customHeight="false" outlineLevel="0" collapsed="false">
      <c r="A2394" s="58"/>
      <c r="B2394" s="73" t="str">
        <f aca="false">IF(A2394="","",COUNTIF(A$5:A2394,A2394))</f>
        <v/>
      </c>
      <c r="C2394" s="73" t="str">
        <f aca="false">IF(A2394="","",A2394&amp;"-"&amp;B2394)</f>
        <v/>
      </c>
      <c r="D2394" s="58"/>
      <c r="E2394" s="57"/>
      <c r="F2394" s="69"/>
      <c r="G2394" s="69"/>
      <c r="H2394" s="74" t="str">
        <f aca="false">IF(A2394="","",IFERROR(INDEX(السندات!$C$5:$C$504,MATCH(A2394,السندات!$A$5:$A$504,0)),""))</f>
        <v/>
      </c>
      <c r="I2394" s="75" t="str">
        <f aca="false">IF(A2394="","",IFERROR(INDEX(السندات!$D$5:$D$504,MATCH(A2394,السندات!$A$5:$A$504,0)),""))</f>
        <v/>
      </c>
      <c r="J2394" s="76" t="str">
        <f aca="false">IF(A2394="","",IF(ISNA(MATCH(A2394,السندات!$A$5:$A$504,0)),"رقم سند غير موجود ✘",IF(AND(F2394&lt;&gt;"",G2394&lt;&gt;""),"اكتب مدين أو دائن فقط ✘",IF(AND(N(F2394)=0,N(G2394)=0),"بدون مبلغ ⚠",IF(B2394&gt;12,"يتجاوز 12 بنداً في الطباعة ⚠","")))))</f>
        <v/>
      </c>
    </row>
    <row r="2395" customFormat="false" ht="15" hidden="false" customHeight="false" outlineLevel="0" collapsed="false">
      <c r="A2395" s="58"/>
      <c r="B2395" s="68" t="str">
        <f aca="false">IF(A2395="","",COUNTIF(A$5:A2395,A2395))</f>
        <v/>
      </c>
      <c r="C2395" s="68" t="str">
        <f aca="false">IF(A2395="","",A2395&amp;"-"&amp;B2395)</f>
        <v/>
      </c>
      <c r="D2395" s="58"/>
      <c r="E2395" s="57"/>
      <c r="F2395" s="69"/>
      <c r="G2395" s="69"/>
      <c r="H2395" s="70" t="str">
        <f aca="false">IF(A2395="","",IFERROR(INDEX(السندات!$C$5:$C$504,MATCH(A2395,السندات!$A$5:$A$504,0)),""))</f>
        <v/>
      </c>
      <c r="I2395" s="71" t="str">
        <f aca="false">IF(A2395="","",IFERROR(INDEX(السندات!$D$5:$D$504,MATCH(A2395,السندات!$A$5:$A$504,0)),""))</f>
        <v/>
      </c>
      <c r="J2395" s="72" t="str">
        <f aca="false">IF(A2395="","",IF(ISNA(MATCH(A2395,السندات!$A$5:$A$504,0)),"رقم سند غير موجود ✘",IF(AND(F2395&lt;&gt;"",G2395&lt;&gt;""),"اكتب مدين أو دائن فقط ✘",IF(AND(N(F2395)=0,N(G2395)=0),"بدون مبلغ ⚠",IF(B2395&gt;12,"يتجاوز 12 بنداً في الطباعة ⚠","")))))</f>
        <v/>
      </c>
    </row>
    <row r="2396" customFormat="false" ht="15" hidden="false" customHeight="false" outlineLevel="0" collapsed="false">
      <c r="A2396" s="58"/>
      <c r="B2396" s="73" t="str">
        <f aca="false">IF(A2396="","",COUNTIF(A$5:A2396,A2396))</f>
        <v/>
      </c>
      <c r="C2396" s="73" t="str">
        <f aca="false">IF(A2396="","",A2396&amp;"-"&amp;B2396)</f>
        <v/>
      </c>
      <c r="D2396" s="58"/>
      <c r="E2396" s="57"/>
      <c r="F2396" s="69"/>
      <c r="G2396" s="69"/>
      <c r="H2396" s="74" t="str">
        <f aca="false">IF(A2396="","",IFERROR(INDEX(السندات!$C$5:$C$504,MATCH(A2396,السندات!$A$5:$A$504,0)),""))</f>
        <v/>
      </c>
      <c r="I2396" s="75" t="str">
        <f aca="false">IF(A2396="","",IFERROR(INDEX(السندات!$D$5:$D$504,MATCH(A2396,السندات!$A$5:$A$504,0)),""))</f>
        <v/>
      </c>
      <c r="J2396" s="76" t="str">
        <f aca="false">IF(A2396="","",IF(ISNA(MATCH(A2396,السندات!$A$5:$A$504,0)),"رقم سند غير موجود ✘",IF(AND(F2396&lt;&gt;"",G2396&lt;&gt;""),"اكتب مدين أو دائن فقط ✘",IF(AND(N(F2396)=0,N(G2396)=0),"بدون مبلغ ⚠",IF(B2396&gt;12,"يتجاوز 12 بنداً في الطباعة ⚠","")))))</f>
        <v/>
      </c>
    </row>
    <row r="2397" customFormat="false" ht="15" hidden="false" customHeight="false" outlineLevel="0" collapsed="false">
      <c r="A2397" s="58"/>
      <c r="B2397" s="68" t="str">
        <f aca="false">IF(A2397="","",COUNTIF(A$5:A2397,A2397))</f>
        <v/>
      </c>
      <c r="C2397" s="68" t="str">
        <f aca="false">IF(A2397="","",A2397&amp;"-"&amp;B2397)</f>
        <v/>
      </c>
      <c r="D2397" s="58"/>
      <c r="E2397" s="57"/>
      <c r="F2397" s="69"/>
      <c r="G2397" s="69"/>
      <c r="H2397" s="70" t="str">
        <f aca="false">IF(A2397="","",IFERROR(INDEX(السندات!$C$5:$C$504,MATCH(A2397,السندات!$A$5:$A$504,0)),""))</f>
        <v/>
      </c>
      <c r="I2397" s="71" t="str">
        <f aca="false">IF(A2397="","",IFERROR(INDEX(السندات!$D$5:$D$504,MATCH(A2397,السندات!$A$5:$A$504,0)),""))</f>
        <v/>
      </c>
      <c r="J2397" s="72" t="str">
        <f aca="false">IF(A2397="","",IF(ISNA(MATCH(A2397,السندات!$A$5:$A$504,0)),"رقم سند غير موجود ✘",IF(AND(F2397&lt;&gt;"",G2397&lt;&gt;""),"اكتب مدين أو دائن فقط ✘",IF(AND(N(F2397)=0,N(G2397)=0),"بدون مبلغ ⚠",IF(B2397&gt;12,"يتجاوز 12 بنداً في الطباعة ⚠","")))))</f>
        <v/>
      </c>
    </row>
    <row r="2398" customFormat="false" ht="15" hidden="false" customHeight="false" outlineLevel="0" collapsed="false">
      <c r="A2398" s="58"/>
      <c r="B2398" s="73" t="str">
        <f aca="false">IF(A2398="","",COUNTIF(A$5:A2398,A2398))</f>
        <v/>
      </c>
      <c r="C2398" s="73" t="str">
        <f aca="false">IF(A2398="","",A2398&amp;"-"&amp;B2398)</f>
        <v/>
      </c>
      <c r="D2398" s="58"/>
      <c r="E2398" s="57"/>
      <c r="F2398" s="69"/>
      <c r="G2398" s="69"/>
      <c r="H2398" s="74" t="str">
        <f aca="false">IF(A2398="","",IFERROR(INDEX(السندات!$C$5:$C$504,MATCH(A2398,السندات!$A$5:$A$504,0)),""))</f>
        <v/>
      </c>
      <c r="I2398" s="75" t="str">
        <f aca="false">IF(A2398="","",IFERROR(INDEX(السندات!$D$5:$D$504,MATCH(A2398,السندات!$A$5:$A$504,0)),""))</f>
        <v/>
      </c>
      <c r="J2398" s="76" t="str">
        <f aca="false">IF(A2398="","",IF(ISNA(MATCH(A2398,السندات!$A$5:$A$504,0)),"رقم سند غير موجود ✘",IF(AND(F2398&lt;&gt;"",G2398&lt;&gt;""),"اكتب مدين أو دائن فقط ✘",IF(AND(N(F2398)=0,N(G2398)=0),"بدون مبلغ ⚠",IF(B2398&gt;12,"يتجاوز 12 بنداً في الطباعة ⚠","")))))</f>
        <v/>
      </c>
    </row>
    <row r="2399" customFormat="false" ht="15" hidden="false" customHeight="false" outlineLevel="0" collapsed="false">
      <c r="A2399" s="58"/>
      <c r="B2399" s="68" t="str">
        <f aca="false">IF(A2399="","",COUNTIF(A$5:A2399,A2399))</f>
        <v/>
      </c>
      <c r="C2399" s="68" t="str">
        <f aca="false">IF(A2399="","",A2399&amp;"-"&amp;B2399)</f>
        <v/>
      </c>
      <c r="D2399" s="58"/>
      <c r="E2399" s="57"/>
      <c r="F2399" s="69"/>
      <c r="G2399" s="69"/>
      <c r="H2399" s="70" t="str">
        <f aca="false">IF(A2399="","",IFERROR(INDEX(السندات!$C$5:$C$504,MATCH(A2399,السندات!$A$5:$A$504,0)),""))</f>
        <v/>
      </c>
      <c r="I2399" s="71" t="str">
        <f aca="false">IF(A2399="","",IFERROR(INDEX(السندات!$D$5:$D$504,MATCH(A2399,السندات!$A$5:$A$504,0)),""))</f>
        <v/>
      </c>
      <c r="J2399" s="72" t="str">
        <f aca="false">IF(A2399="","",IF(ISNA(MATCH(A2399,السندات!$A$5:$A$504,0)),"رقم سند غير موجود ✘",IF(AND(F2399&lt;&gt;"",G2399&lt;&gt;""),"اكتب مدين أو دائن فقط ✘",IF(AND(N(F2399)=0,N(G2399)=0),"بدون مبلغ ⚠",IF(B2399&gt;12,"يتجاوز 12 بنداً في الطباعة ⚠","")))))</f>
        <v/>
      </c>
    </row>
    <row r="2400" customFormat="false" ht="15" hidden="false" customHeight="false" outlineLevel="0" collapsed="false">
      <c r="A2400" s="58"/>
      <c r="B2400" s="73" t="str">
        <f aca="false">IF(A2400="","",COUNTIF(A$5:A2400,A2400))</f>
        <v/>
      </c>
      <c r="C2400" s="73" t="str">
        <f aca="false">IF(A2400="","",A2400&amp;"-"&amp;B2400)</f>
        <v/>
      </c>
      <c r="D2400" s="58"/>
      <c r="E2400" s="57"/>
      <c r="F2400" s="69"/>
      <c r="G2400" s="69"/>
      <c r="H2400" s="74" t="str">
        <f aca="false">IF(A2400="","",IFERROR(INDEX(السندات!$C$5:$C$504,MATCH(A2400,السندات!$A$5:$A$504,0)),""))</f>
        <v/>
      </c>
      <c r="I2400" s="75" t="str">
        <f aca="false">IF(A2400="","",IFERROR(INDEX(السندات!$D$5:$D$504,MATCH(A2400,السندات!$A$5:$A$504,0)),""))</f>
        <v/>
      </c>
      <c r="J2400" s="76" t="str">
        <f aca="false">IF(A2400="","",IF(ISNA(MATCH(A2400,السندات!$A$5:$A$504,0)),"رقم سند غير موجود ✘",IF(AND(F2400&lt;&gt;"",G2400&lt;&gt;""),"اكتب مدين أو دائن فقط ✘",IF(AND(N(F2400)=0,N(G2400)=0),"بدون مبلغ ⚠",IF(B2400&gt;12,"يتجاوز 12 بنداً في الطباعة ⚠","")))))</f>
        <v/>
      </c>
    </row>
    <row r="2401" customFormat="false" ht="15" hidden="false" customHeight="false" outlineLevel="0" collapsed="false">
      <c r="A2401" s="58"/>
      <c r="B2401" s="68" t="str">
        <f aca="false">IF(A2401="","",COUNTIF(A$5:A2401,A2401))</f>
        <v/>
      </c>
      <c r="C2401" s="68" t="str">
        <f aca="false">IF(A2401="","",A2401&amp;"-"&amp;B2401)</f>
        <v/>
      </c>
      <c r="D2401" s="58"/>
      <c r="E2401" s="57"/>
      <c r="F2401" s="69"/>
      <c r="G2401" s="69"/>
      <c r="H2401" s="70" t="str">
        <f aca="false">IF(A2401="","",IFERROR(INDEX(السندات!$C$5:$C$504,MATCH(A2401,السندات!$A$5:$A$504,0)),""))</f>
        <v/>
      </c>
      <c r="I2401" s="71" t="str">
        <f aca="false">IF(A2401="","",IFERROR(INDEX(السندات!$D$5:$D$504,MATCH(A2401,السندات!$A$5:$A$504,0)),""))</f>
        <v/>
      </c>
      <c r="J2401" s="72" t="str">
        <f aca="false">IF(A2401="","",IF(ISNA(MATCH(A2401,السندات!$A$5:$A$504,0)),"رقم سند غير موجود ✘",IF(AND(F2401&lt;&gt;"",G2401&lt;&gt;""),"اكتب مدين أو دائن فقط ✘",IF(AND(N(F2401)=0,N(G2401)=0),"بدون مبلغ ⚠",IF(B2401&gt;12,"يتجاوز 12 بنداً في الطباعة ⚠","")))))</f>
        <v/>
      </c>
    </row>
    <row r="2402" customFormat="false" ht="15" hidden="false" customHeight="false" outlineLevel="0" collapsed="false">
      <c r="A2402" s="58"/>
      <c r="B2402" s="73" t="str">
        <f aca="false">IF(A2402="","",COUNTIF(A$5:A2402,A2402))</f>
        <v/>
      </c>
      <c r="C2402" s="73" t="str">
        <f aca="false">IF(A2402="","",A2402&amp;"-"&amp;B2402)</f>
        <v/>
      </c>
      <c r="D2402" s="58"/>
      <c r="E2402" s="57"/>
      <c r="F2402" s="69"/>
      <c r="G2402" s="69"/>
      <c r="H2402" s="74" t="str">
        <f aca="false">IF(A2402="","",IFERROR(INDEX(السندات!$C$5:$C$504,MATCH(A2402,السندات!$A$5:$A$504,0)),""))</f>
        <v/>
      </c>
      <c r="I2402" s="75" t="str">
        <f aca="false">IF(A2402="","",IFERROR(INDEX(السندات!$D$5:$D$504,MATCH(A2402,السندات!$A$5:$A$504,0)),""))</f>
        <v/>
      </c>
      <c r="J2402" s="76" t="str">
        <f aca="false">IF(A2402="","",IF(ISNA(MATCH(A2402,السندات!$A$5:$A$504,0)),"رقم سند غير موجود ✘",IF(AND(F2402&lt;&gt;"",G2402&lt;&gt;""),"اكتب مدين أو دائن فقط ✘",IF(AND(N(F2402)=0,N(G2402)=0),"بدون مبلغ ⚠",IF(B2402&gt;12,"يتجاوز 12 بنداً في الطباعة ⚠","")))))</f>
        <v/>
      </c>
    </row>
    <row r="2403" customFormat="false" ht="15" hidden="false" customHeight="false" outlineLevel="0" collapsed="false">
      <c r="A2403" s="58"/>
      <c r="B2403" s="68" t="str">
        <f aca="false">IF(A2403="","",COUNTIF(A$5:A2403,A2403))</f>
        <v/>
      </c>
      <c r="C2403" s="68" t="str">
        <f aca="false">IF(A2403="","",A2403&amp;"-"&amp;B2403)</f>
        <v/>
      </c>
      <c r="D2403" s="58"/>
      <c r="E2403" s="57"/>
      <c r="F2403" s="69"/>
      <c r="G2403" s="69"/>
      <c r="H2403" s="70" t="str">
        <f aca="false">IF(A2403="","",IFERROR(INDEX(السندات!$C$5:$C$504,MATCH(A2403,السندات!$A$5:$A$504,0)),""))</f>
        <v/>
      </c>
      <c r="I2403" s="71" t="str">
        <f aca="false">IF(A2403="","",IFERROR(INDEX(السندات!$D$5:$D$504,MATCH(A2403,السندات!$A$5:$A$504,0)),""))</f>
        <v/>
      </c>
      <c r="J2403" s="72" t="str">
        <f aca="false">IF(A2403="","",IF(ISNA(MATCH(A2403,السندات!$A$5:$A$504,0)),"رقم سند غير موجود ✘",IF(AND(F2403&lt;&gt;"",G2403&lt;&gt;""),"اكتب مدين أو دائن فقط ✘",IF(AND(N(F2403)=0,N(G2403)=0),"بدون مبلغ ⚠",IF(B2403&gt;12,"يتجاوز 12 بنداً في الطباعة ⚠","")))))</f>
        <v/>
      </c>
    </row>
    <row r="2404" customFormat="false" ht="15" hidden="false" customHeight="false" outlineLevel="0" collapsed="false">
      <c r="A2404" s="58"/>
      <c r="B2404" s="73" t="str">
        <f aca="false">IF(A2404="","",COUNTIF(A$5:A2404,A2404))</f>
        <v/>
      </c>
      <c r="C2404" s="73" t="str">
        <f aca="false">IF(A2404="","",A2404&amp;"-"&amp;B2404)</f>
        <v/>
      </c>
      <c r="D2404" s="58"/>
      <c r="E2404" s="57"/>
      <c r="F2404" s="69"/>
      <c r="G2404" s="69"/>
      <c r="H2404" s="74" t="str">
        <f aca="false">IF(A2404="","",IFERROR(INDEX(السندات!$C$5:$C$504,MATCH(A2404,السندات!$A$5:$A$504,0)),""))</f>
        <v/>
      </c>
      <c r="I2404" s="75" t="str">
        <f aca="false">IF(A2404="","",IFERROR(INDEX(السندات!$D$5:$D$504,MATCH(A2404,السندات!$A$5:$A$504,0)),""))</f>
        <v/>
      </c>
      <c r="J2404" s="76" t="str">
        <f aca="false">IF(A2404="","",IF(ISNA(MATCH(A2404,السندات!$A$5:$A$504,0)),"رقم سند غير موجود ✘",IF(AND(F2404&lt;&gt;"",G2404&lt;&gt;""),"اكتب مدين أو دائن فقط ✘",IF(AND(N(F2404)=0,N(G2404)=0),"بدون مبلغ ⚠",IF(B2404&gt;12,"يتجاوز 12 بنداً في الطباعة ⚠","")))))</f>
        <v/>
      </c>
    </row>
    <row r="2405" customFormat="false" ht="15" hidden="false" customHeight="false" outlineLevel="0" collapsed="false">
      <c r="A2405" s="58"/>
      <c r="B2405" s="68" t="str">
        <f aca="false">IF(A2405="","",COUNTIF(A$5:A2405,A2405))</f>
        <v/>
      </c>
      <c r="C2405" s="68" t="str">
        <f aca="false">IF(A2405="","",A2405&amp;"-"&amp;B2405)</f>
        <v/>
      </c>
      <c r="D2405" s="58"/>
      <c r="E2405" s="57"/>
      <c r="F2405" s="69"/>
      <c r="G2405" s="69"/>
      <c r="H2405" s="70" t="str">
        <f aca="false">IF(A2405="","",IFERROR(INDEX(السندات!$C$5:$C$504,MATCH(A2405,السندات!$A$5:$A$504,0)),""))</f>
        <v/>
      </c>
      <c r="I2405" s="71" t="str">
        <f aca="false">IF(A2405="","",IFERROR(INDEX(السندات!$D$5:$D$504,MATCH(A2405,السندات!$A$5:$A$504,0)),""))</f>
        <v/>
      </c>
      <c r="J2405" s="72" t="str">
        <f aca="false">IF(A2405="","",IF(ISNA(MATCH(A2405,السندات!$A$5:$A$504,0)),"رقم سند غير موجود ✘",IF(AND(F2405&lt;&gt;"",G2405&lt;&gt;""),"اكتب مدين أو دائن فقط ✘",IF(AND(N(F2405)=0,N(G2405)=0),"بدون مبلغ ⚠",IF(B2405&gt;12,"يتجاوز 12 بنداً في الطباعة ⚠","")))))</f>
        <v/>
      </c>
    </row>
    <row r="2406" customFormat="false" ht="15" hidden="false" customHeight="false" outlineLevel="0" collapsed="false">
      <c r="A2406" s="58"/>
      <c r="B2406" s="73" t="str">
        <f aca="false">IF(A2406="","",COUNTIF(A$5:A2406,A2406))</f>
        <v/>
      </c>
      <c r="C2406" s="73" t="str">
        <f aca="false">IF(A2406="","",A2406&amp;"-"&amp;B2406)</f>
        <v/>
      </c>
      <c r="D2406" s="58"/>
      <c r="E2406" s="57"/>
      <c r="F2406" s="69"/>
      <c r="G2406" s="69"/>
      <c r="H2406" s="74" t="str">
        <f aca="false">IF(A2406="","",IFERROR(INDEX(السندات!$C$5:$C$504,MATCH(A2406,السندات!$A$5:$A$504,0)),""))</f>
        <v/>
      </c>
      <c r="I2406" s="75" t="str">
        <f aca="false">IF(A2406="","",IFERROR(INDEX(السندات!$D$5:$D$504,MATCH(A2406,السندات!$A$5:$A$504,0)),""))</f>
        <v/>
      </c>
      <c r="J2406" s="76" t="str">
        <f aca="false">IF(A2406="","",IF(ISNA(MATCH(A2406,السندات!$A$5:$A$504,0)),"رقم سند غير موجود ✘",IF(AND(F2406&lt;&gt;"",G2406&lt;&gt;""),"اكتب مدين أو دائن فقط ✘",IF(AND(N(F2406)=0,N(G2406)=0),"بدون مبلغ ⚠",IF(B2406&gt;12,"يتجاوز 12 بنداً في الطباعة ⚠","")))))</f>
        <v/>
      </c>
    </row>
    <row r="2407" customFormat="false" ht="15" hidden="false" customHeight="false" outlineLevel="0" collapsed="false">
      <c r="A2407" s="58"/>
      <c r="B2407" s="68" t="str">
        <f aca="false">IF(A2407="","",COUNTIF(A$5:A2407,A2407))</f>
        <v/>
      </c>
      <c r="C2407" s="68" t="str">
        <f aca="false">IF(A2407="","",A2407&amp;"-"&amp;B2407)</f>
        <v/>
      </c>
      <c r="D2407" s="58"/>
      <c r="E2407" s="57"/>
      <c r="F2407" s="69"/>
      <c r="G2407" s="69"/>
      <c r="H2407" s="70" t="str">
        <f aca="false">IF(A2407="","",IFERROR(INDEX(السندات!$C$5:$C$504,MATCH(A2407,السندات!$A$5:$A$504,0)),""))</f>
        <v/>
      </c>
      <c r="I2407" s="71" t="str">
        <f aca="false">IF(A2407="","",IFERROR(INDEX(السندات!$D$5:$D$504,MATCH(A2407,السندات!$A$5:$A$504,0)),""))</f>
        <v/>
      </c>
      <c r="J2407" s="72" t="str">
        <f aca="false">IF(A2407="","",IF(ISNA(MATCH(A2407,السندات!$A$5:$A$504,0)),"رقم سند غير موجود ✘",IF(AND(F2407&lt;&gt;"",G2407&lt;&gt;""),"اكتب مدين أو دائن فقط ✘",IF(AND(N(F2407)=0,N(G2407)=0),"بدون مبلغ ⚠",IF(B2407&gt;12,"يتجاوز 12 بنداً في الطباعة ⚠","")))))</f>
        <v/>
      </c>
    </row>
    <row r="2408" customFormat="false" ht="15" hidden="false" customHeight="false" outlineLevel="0" collapsed="false">
      <c r="A2408" s="58"/>
      <c r="B2408" s="73" t="str">
        <f aca="false">IF(A2408="","",COUNTIF(A$5:A2408,A2408))</f>
        <v/>
      </c>
      <c r="C2408" s="73" t="str">
        <f aca="false">IF(A2408="","",A2408&amp;"-"&amp;B2408)</f>
        <v/>
      </c>
      <c r="D2408" s="58"/>
      <c r="E2408" s="57"/>
      <c r="F2408" s="69"/>
      <c r="G2408" s="69"/>
      <c r="H2408" s="74" t="str">
        <f aca="false">IF(A2408="","",IFERROR(INDEX(السندات!$C$5:$C$504,MATCH(A2408,السندات!$A$5:$A$504,0)),""))</f>
        <v/>
      </c>
      <c r="I2408" s="75" t="str">
        <f aca="false">IF(A2408="","",IFERROR(INDEX(السندات!$D$5:$D$504,MATCH(A2408,السندات!$A$5:$A$504,0)),""))</f>
        <v/>
      </c>
      <c r="J2408" s="76" t="str">
        <f aca="false">IF(A2408="","",IF(ISNA(MATCH(A2408,السندات!$A$5:$A$504,0)),"رقم سند غير موجود ✘",IF(AND(F2408&lt;&gt;"",G2408&lt;&gt;""),"اكتب مدين أو دائن فقط ✘",IF(AND(N(F2408)=0,N(G2408)=0),"بدون مبلغ ⚠",IF(B2408&gt;12,"يتجاوز 12 بنداً في الطباعة ⚠","")))))</f>
        <v/>
      </c>
    </row>
    <row r="2409" customFormat="false" ht="15" hidden="false" customHeight="false" outlineLevel="0" collapsed="false">
      <c r="A2409" s="58"/>
      <c r="B2409" s="68" t="str">
        <f aca="false">IF(A2409="","",COUNTIF(A$5:A2409,A2409))</f>
        <v/>
      </c>
      <c r="C2409" s="68" t="str">
        <f aca="false">IF(A2409="","",A2409&amp;"-"&amp;B2409)</f>
        <v/>
      </c>
      <c r="D2409" s="58"/>
      <c r="E2409" s="57"/>
      <c r="F2409" s="69"/>
      <c r="G2409" s="69"/>
      <c r="H2409" s="70" t="str">
        <f aca="false">IF(A2409="","",IFERROR(INDEX(السندات!$C$5:$C$504,MATCH(A2409,السندات!$A$5:$A$504,0)),""))</f>
        <v/>
      </c>
      <c r="I2409" s="71" t="str">
        <f aca="false">IF(A2409="","",IFERROR(INDEX(السندات!$D$5:$D$504,MATCH(A2409,السندات!$A$5:$A$504,0)),""))</f>
        <v/>
      </c>
      <c r="J2409" s="72" t="str">
        <f aca="false">IF(A2409="","",IF(ISNA(MATCH(A2409,السندات!$A$5:$A$504,0)),"رقم سند غير موجود ✘",IF(AND(F2409&lt;&gt;"",G2409&lt;&gt;""),"اكتب مدين أو دائن فقط ✘",IF(AND(N(F2409)=0,N(G2409)=0),"بدون مبلغ ⚠",IF(B2409&gt;12,"يتجاوز 12 بنداً في الطباعة ⚠","")))))</f>
        <v/>
      </c>
    </row>
    <row r="2410" customFormat="false" ht="15" hidden="false" customHeight="false" outlineLevel="0" collapsed="false">
      <c r="A2410" s="58"/>
      <c r="B2410" s="73" t="str">
        <f aca="false">IF(A2410="","",COUNTIF(A$5:A2410,A2410))</f>
        <v/>
      </c>
      <c r="C2410" s="73" t="str">
        <f aca="false">IF(A2410="","",A2410&amp;"-"&amp;B2410)</f>
        <v/>
      </c>
      <c r="D2410" s="58"/>
      <c r="E2410" s="57"/>
      <c r="F2410" s="69"/>
      <c r="G2410" s="69"/>
      <c r="H2410" s="74" t="str">
        <f aca="false">IF(A2410="","",IFERROR(INDEX(السندات!$C$5:$C$504,MATCH(A2410,السندات!$A$5:$A$504,0)),""))</f>
        <v/>
      </c>
      <c r="I2410" s="75" t="str">
        <f aca="false">IF(A2410="","",IFERROR(INDEX(السندات!$D$5:$D$504,MATCH(A2410,السندات!$A$5:$A$504,0)),""))</f>
        <v/>
      </c>
      <c r="J2410" s="76" t="str">
        <f aca="false">IF(A2410="","",IF(ISNA(MATCH(A2410,السندات!$A$5:$A$504,0)),"رقم سند غير موجود ✘",IF(AND(F2410&lt;&gt;"",G2410&lt;&gt;""),"اكتب مدين أو دائن فقط ✘",IF(AND(N(F2410)=0,N(G2410)=0),"بدون مبلغ ⚠",IF(B2410&gt;12,"يتجاوز 12 بنداً في الطباعة ⚠","")))))</f>
        <v/>
      </c>
    </row>
    <row r="2411" customFormat="false" ht="15" hidden="false" customHeight="false" outlineLevel="0" collapsed="false">
      <c r="A2411" s="58"/>
      <c r="B2411" s="68" t="str">
        <f aca="false">IF(A2411="","",COUNTIF(A$5:A2411,A2411))</f>
        <v/>
      </c>
      <c r="C2411" s="68" t="str">
        <f aca="false">IF(A2411="","",A2411&amp;"-"&amp;B2411)</f>
        <v/>
      </c>
      <c r="D2411" s="58"/>
      <c r="E2411" s="57"/>
      <c r="F2411" s="69"/>
      <c r="G2411" s="69"/>
      <c r="H2411" s="70" t="str">
        <f aca="false">IF(A2411="","",IFERROR(INDEX(السندات!$C$5:$C$504,MATCH(A2411,السندات!$A$5:$A$504,0)),""))</f>
        <v/>
      </c>
      <c r="I2411" s="71" t="str">
        <f aca="false">IF(A2411="","",IFERROR(INDEX(السندات!$D$5:$D$504,MATCH(A2411,السندات!$A$5:$A$504,0)),""))</f>
        <v/>
      </c>
      <c r="J2411" s="72" t="str">
        <f aca="false">IF(A2411="","",IF(ISNA(MATCH(A2411,السندات!$A$5:$A$504,0)),"رقم سند غير موجود ✘",IF(AND(F2411&lt;&gt;"",G2411&lt;&gt;""),"اكتب مدين أو دائن فقط ✘",IF(AND(N(F2411)=0,N(G2411)=0),"بدون مبلغ ⚠",IF(B2411&gt;12,"يتجاوز 12 بنداً في الطباعة ⚠","")))))</f>
        <v/>
      </c>
    </row>
    <row r="2412" customFormat="false" ht="15" hidden="false" customHeight="false" outlineLevel="0" collapsed="false">
      <c r="A2412" s="58"/>
      <c r="B2412" s="73" t="str">
        <f aca="false">IF(A2412="","",COUNTIF(A$5:A2412,A2412))</f>
        <v/>
      </c>
      <c r="C2412" s="73" t="str">
        <f aca="false">IF(A2412="","",A2412&amp;"-"&amp;B2412)</f>
        <v/>
      </c>
      <c r="D2412" s="58"/>
      <c r="E2412" s="57"/>
      <c r="F2412" s="69"/>
      <c r="G2412" s="69"/>
      <c r="H2412" s="74" t="str">
        <f aca="false">IF(A2412="","",IFERROR(INDEX(السندات!$C$5:$C$504,MATCH(A2412,السندات!$A$5:$A$504,0)),""))</f>
        <v/>
      </c>
      <c r="I2412" s="75" t="str">
        <f aca="false">IF(A2412="","",IFERROR(INDEX(السندات!$D$5:$D$504,MATCH(A2412,السندات!$A$5:$A$504,0)),""))</f>
        <v/>
      </c>
      <c r="J2412" s="76" t="str">
        <f aca="false">IF(A2412="","",IF(ISNA(MATCH(A2412,السندات!$A$5:$A$504,0)),"رقم سند غير موجود ✘",IF(AND(F2412&lt;&gt;"",G2412&lt;&gt;""),"اكتب مدين أو دائن فقط ✘",IF(AND(N(F2412)=0,N(G2412)=0),"بدون مبلغ ⚠",IF(B2412&gt;12,"يتجاوز 12 بنداً في الطباعة ⚠","")))))</f>
        <v/>
      </c>
    </row>
    <row r="2413" customFormat="false" ht="15" hidden="false" customHeight="false" outlineLevel="0" collapsed="false">
      <c r="A2413" s="58"/>
      <c r="B2413" s="68" t="str">
        <f aca="false">IF(A2413="","",COUNTIF(A$5:A2413,A2413))</f>
        <v/>
      </c>
      <c r="C2413" s="68" t="str">
        <f aca="false">IF(A2413="","",A2413&amp;"-"&amp;B2413)</f>
        <v/>
      </c>
      <c r="D2413" s="58"/>
      <c r="E2413" s="57"/>
      <c r="F2413" s="69"/>
      <c r="G2413" s="69"/>
      <c r="H2413" s="70" t="str">
        <f aca="false">IF(A2413="","",IFERROR(INDEX(السندات!$C$5:$C$504,MATCH(A2413,السندات!$A$5:$A$504,0)),""))</f>
        <v/>
      </c>
      <c r="I2413" s="71" t="str">
        <f aca="false">IF(A2413="","",IFERROR(INDEX(السندات!$D$5:$D$504,MATCH(A2413,السندات!$A$5:$A$504,0)),""))</f>
        <v/>
      </c>
      <c r="J2413" s="72" t="str">
        <f aca="false">IF(A2413="","",IF(ISNA(MATCH(A2413,السندات!$A$5:$A$504,0)),"رقم سند غير موجود ✘",IF(AND(F2413&lt;&gt;"",G2413&lt;&gt;""),"اكتب مدين أو دائن فقط ✘",IF(AND(N(F2413)=0,N(G2413)=0),"بدون مبلغ ⚠",IF(B2413&gt;12,"يتجاوز 12 بنداً في الطباعة ⚠","")))))</f>
        <v/>
      </c>
    </row>
    <row r="2414" customFormat="false" ht="15" hidden="false" customHeight="false" outlineLevel="0" collapsed="false">
      <c r="A2414" s="58"/>
      <c r="B2414" s="73" t="str">
        <f aca="false">IF(A2414="","",COUNTIF(A$5:A2414,A2414))</f>
        <v/>
      </c>
      <c r="C2414" s="73" t="str">
        <f aca="false">IF(A2414="","",A2414&amp;"-"&amp;B2414)</f>
        <v/>
      </c>
      <c r="D2414" s="58"/>
      <c r="E2414" s="57"/>
      <c r="F2414" s="69"/>
      <c r="G2414" s="69"/>
      <c r="H2414" s="74" t="str">
        <f aca="false">IF(A2414="","",IFERROR(INDEX(السندات!$C$5:$C$504,MATCH(A2414,السندات!$A$5:$A$504,0)),""))</f>
        <v/>
      </c>
      <c r="I2414" s="75" t="str">
        <f aca="false">IF(A2414="","",IFERROR(INDEX(السندات!$D$5:$D$504,MATCH(A2414,السندات!$A$5:$A$504,0)),""))</f>
        <v/>
      </c>
      <c r="J2414" s="76" t="str">
        <f aca="false">IF(A2414="","",IF(ISNA(MATCH(A2414,السندات!$A$5:$A$504,0)),"رقم سند غير موجود ✘",IF(AND(F2414&lt;&gt;"",G2414&lt;&gt;""),"اكتب مدين أو دائن فقط ✘",IF(AND(N(F2414)=0,N(G2414)=0),"بدون مبلغ ⚠",IF(B2414&gt;12,"يتجاوز 12 بنداً في الطباعة ⚠","")))))</f>
        <v/>
      </c>
    </row>
    <row r="2415" customFormat="false" ht="15" hidden="false" customHeight="false" outlineLevel="0" collapsed="false">
      <c r="A2415" s="58"/>
      <c r="B2415" s="68" t="str">
        <f aca="false">IF(A2415="","",COUNTIF(A$5:A2415,A2415))</f>
        <v/>
      </c>
      <c r="C2415" s="68" t="str">
        <f aca="false">IF(A2415="","",A2415&amp;"-"&amp;B2415)</f>
        <v/>
      </c>
      <c r="D2415" s="58"/>
      <c r="E2415" s="57"/>
      <c r="F2415" s="69"/>
      <c r="G2415" s="69"/>
      <c r="H2415" s="70" t="str">
        <f aca="false">IF(A2415="","",IFERROR(INDEX(السندات!$C$5:$C$504,MATCH(A2415,السندات!$A$5:$A$504,0)),""))</f>
        <v/>
      </c>
      <c r="I2415" s="71" t="str">
        <f aca="false">IF(A2415="","",IFERROR(INDEX(السندات!$D$5:$D$504,MATCH(A2415,السندات!$A$5:$A$504,0)),""))</f>
        <v/>
      </c>
      <c r="J2415" s="72" t="str">
        <f aca="false">IF(A2415="","",IF(ISNA(MATCH(A2415,السندات!$A$5:$A$504,0)),"رقم سند غير موجود ✘",IF(AND(F2415&lt;&gt;"",G2415&lt;&gt;""),"اكتب مدين أو دائن فقط ✘",IF(AND(N(F2415)=0,N(G2415)=0),"بدون مبلغ ⚠",IF(B2415&gt;12,"يتجاوز 12 بنداً في الطباعة ⚠","")))))</f>
        <v/>
      </c>
    </row>
    <row r="2416" customFormat="false" ht="15" hidden="false" customHeight="false" outlineLevel="0" collapsed="false">
      <c r="A2416" s="58"/>
      <c r="B2416" s="73" t="str">
        <f aca="false">IF(A2416="","",COUNTIF(A$5:A2416,A2416))</f>
        <v/>
      </c>
      <c r="C2416" s="73" t="str">
        <f aca="false">IF(A2416="","",A2416&amp;"-"&amp;B2416)</f>
        <v/>
      </c>
      <c r="D2416" s="58"/>
      <c r="E2416" s="57"/>
      <c r="F2416" s="69"/>
      <c r="G2416" s="69"/>
      <c r="H2416" s="74" t="str">
        <f aca="false">IF(A2416="","",IFERROR(INDEX(السندات!$C$5:$C$504,MATCH(A2416,السندات!$A$5:$A$504,0)),""))</f>
        <v/>
      </c>
      <c r="I2416" s="75" t="str">
        <f aca="false">IF(A2416="","",IFERROR(INDEX(السندات!$D$5:$D$504,MATCH(A2416,السندات!$A$5:$A$504,0)),""))</f>
        <v/>
      </c>
      <c r="J2416" s="76" t="str">
        <f aca="false">IF(A2416="","",IF(ISNA(MATCH(A2416,السندات!$A$5:$A$504,0)),"رقم سند غير موجود ✘",IF(AND(F2416&lt;&gt;"",G2416&lt;&gt;""),"اكتب مدين أو دائن فقط ✘",IF(AND(N(F2416)=0,N(G2416)=0),"بدون مبلغ ⚠",IF(B2416&gt;12,"يتجاوز 12 بنداً في الطباعة ⚠","")))))</f>
        <v/>
      </c>
    </row>
    <row r="2417" customFormat="false" ht="15" hidden="false" customHeight="false" outlineLevel="0" collapsed="false">
      <c r="A2417" s="58"/>
      <c r="B2417" s="68" t="str">
        <f aca="false">IF(A2417="","",COUNTIF(A$5:A2417,A2417))</f>
        <v/>
      </c>
      <c r="C2417" s="68" t="str">
        <f aca="false">IF(A2417="","",A2417&amp;"-"&amp;B2417)</f>
        <v/>
      </c>
      <c r="D2417" s="58"/>
      <c r="E2417" s="57"/>
      <c r="F2417" s="69"/>
      <c r="G2417" s="69"/>
      <c r="H2417" s="70" t="str">
        <f aca="false">IF(A2417="","",IFERROR(INDEX(السندات!$C$5:$C$504,MATCH(A2417,السندات!$A$5:$A$504,0)),""))</f>
        <v/>
      </c>
      <c r="I2417" s="71" t="str">
        <f aca="false">IF(A2417="","",IFERROR(INDEX(السندات!$D$5:$D$504,MATCH(A2417,السندات!$A$5:$A$504,0)),""))</f>
        <v/>
      </c>
      <c r="J2417" s="72" t="str">
        <f aca="false">IF(A2417="","",IF(ISNA(MATCH(A2417,السندات!$A$5:$A$504,0)),"رقم سند غير موجود ✘",IF(AND(F2417&lt;&gt;"",G2417&lt;&gt;""),"اكتب مدين أو دائن فقط ✘",IF(AND(N(F2417)=0,N(G2417)=0),"بدون مبلغ ⚠",IF(B2417&gt;12,"يتجاوز 12 بنداً في الطباعة ⚠","")))))</f>
        <v/>
      </c>
    </row>
    <row r="2418" customFormat="false" ht="15" hidden="false" customHeight="false" outlineLevel="0" collapsed="false">
      <c r="A2418" s="58"/>
      <c r="B2418" s="73" t="str">
        <f aca="false">IF(A2418="","",COUNTIF(A$5:A2418,A2418))</f>
        <v/>
      </c>
      <c r="C2418" s="73" t="str">
        <f aca="false">IF(A2418="","",A2418&amp;"-"&amp;B2418)</f>
        <v/>
      </c>
      <c r="D2418" s="58"/>
      <c r="E2418" s="57"/>
      <c r="F2418" s="69"/>
      <c r="G2418" s="69"/>
      <c r="H2418" s="74" t="str">
        <f aca="false">IF(A2418="","",IFERROR(INDEX(السندات!$C$5:$C$504,MATCH(A2418,السندات!$A$5:$A$504,0)),""))</f>
        <v/>
      </c>
      <c r="I2418" s="75" t="str">
        <f aca="false">IF(A2418="","",IFERROR(INDEX(السندات!$D$5:$D$504,MATCH(A2418,السندات!$A$5:$A$504,0)),""))</f>
        <v/>
      </c>
      <c r="J2418" s="76" t="str">
        <f aca="false">IF(A2418="","",IF(ISNA(MATCH(A2418,السندات!$A$5:$A$504,0)),"رقم سند غير موجود ✘",IF(AND(F2418&lt;&gt;"",G2418&lt;&gt;""),"اكتب مدين أو دائن فقط ✘",IF(AND(N(F2418)=0,N(G2418)=0),"بدون مبلغ ⚠",IF(B2418&gt;12,"يتجاوز 12 بنداً في الطباعة ⚠","")))))</f>
        <v/>
      </c>
    </row>
    <row r="2419" customFormat="false" ht="15" hidden="false" customHeight="false" outlineLevel="0" collapsed="false">
      <c r="A2419" s="58"/>
      <c r="B2419" s="68" t="str">
        <f aca="false">IF(A2419="","",COUNTIF(A$5:A2419,A2419))</f>
        <v/>
      </c>
      <c r="C2419" s="68" t="str">
        <f aca="false">IF(A2419="","",A2419&amp;"-"&amp;B2419)</f>
        <v/>
      </c>
      <c r="D2419" s="58"/>
      <c r="E2419" s="57"/>
      <c r="F2419" s="69"/>
      <c r="G2419" s="69"/>
      <c r="H2419" s="70" t="str">
        <f aca="false">IF(A2419="","",IFERROR(INDEX(السندات!$C$5:$C$504,MATCH(A2419,السندات!$A$5:$A$504,0)),""))</f>
        <v/>
      </c>
      <c r="I2419" s="71" t="str">
        <f aca="false">IF(A2419="","",IFERROR(INDEX(السندات!$D$5:$D$504,MATCH(A2419,السندات!$A$5:$A$504,0)),""))</f>
        <v/>
      </c>
      <c r="J2419" s="72" t="str">
        <f aca="false">IF(A2419="","",IF(ISNA(MATCH(A2419,السندات!$A$5:$A$504,0)),"رقم سند غير موجود ✘",IF(AND(F2419&lt;&gt;"",G2419&lt;&gt;""),"اكتب مدين أو دائن فقط ✘",IF(AND(N(F2419)=0,N(G2419)=0),"بدون مبلغ ⚠",IF(B2419&gt;12,"يتجاوز 12 بنداً في الطباعة ⚠","")))))</f>
        <v/>
      </c>
    </row>
    <row r="2420" customFormat="false" ht="15" hidden="false" customHeight="false" outlineLevel="0" collapsed="false">
      <c r="A2420" s="58"/>
      <c r="B2420" s="73" t="str">
        <f aca="false">IF(A2420="","",COUNTIF(A$5:A2420,A2420))</f>
        <v/>
      </c>
      <c r="C2420" s="73" t="str">
        <f aca="false">IF(A2420="","",A2420&amp;"-"&amp;B2420)</f>
        <v/>
      </c>
      <c r="D2420" s="58"/>
      <c r="E2420" s="57"/>
      <c r="F2420" s="69"/>
      <c r="G2420" s="69"/>
      <c r="H2420" s="74" t="str">
        <f aca="false">IF(A2420="","",IFERROR(INDEX(السندات!$C$5:$C$504,MATCH(A2420,السندات!$A$5:$A$504,0)),""))</f>
        <v/>
      </c>
      <c r="I2420" s="75" t="str">
        <f aca="false">IF(A2420="","",IFERROR(INDEX(السندات!$D$5:$D$504,MATCH(A2420,السندات!$A$5:$A$504,0)),""))</f>
        <v/>
      </c>
      <c r="J2420" s="76" t="str">
        <f aca="false">IF(A2420="","",IF(ISNA(MATCH(A2420,السندات!$A$5:$A$504,0)),"رقم سند غير موجود ✘",IF(AND(F2420&lt;&gt;"",G2420&lt;&gt;""),"اكتب مدين أو دائن فقط ✘",IF(AND(N(F2420)=0,N(G2420)=0),"بدون مبلغ ⚠",IF(B2420&gt;12,"يتجاوز 12 بنداً في الطباعة ⚠","")))))</f>
        <v/>
      </c>
    </row>
    <row r="2421" customFormat="false" ht="15" hidden="false" customHeight="false" outlineLevel="0" collapsed="false">
      <c r="A2421" s="58"/>
      <c r="B2421" s="68" t="str">
        <f aca="false">IF(A2421="","",COUNTIF(A$5:A2421,A2421))</f>
        <v/>
      </c>
      <c r="C2421" s="68" t="str">
        <f aca="false">IF(A2421="","",A2421&amp;"-"&amp;B2421)</f>
        <v/>
      </c>
      <c r="D2421" s="58"/>
      <c r="E2421" s="57"/>
      <c r="F2421" s="69"/>
      <c r="G2421" s="69"/>
      <c r="H2421" s="70" t="str">
        <f aca="false">IF(A2421="","",IFERROR(INDEX(السندات!$C$5:$C$504,MATCH(A2421,السندات!$A$5:$A$504,0)),""))</f>
        <v/>
      </c>
      <c r="I2421" s="71" t="str">
        <f aca="false">IF(A2421="","",IFERROR(INDEX(السندات!$D$5:$D$504,MATCH(A2421,السندات!$A$5:$A$504,0)),""))</f>
        <v/>
      </c>
      <c r="J2421" s="72" t="str">
        <f aca="false">IF(A2421="","",IF(ISNA(MATCH(A2421,السندات!$A$5:$A$504,0)),"رقم سند غير موجود ✘",IF(AND(F2421&lt;&gt;"",G2421&lt;&gt;""),"اكتب مدين أو دائن فقط ✘",IF(AND(N(F2421)=0,N(G2421)=0),"بدون مبلغ ⚠",IF(B2421&gt;12,"يتجاوز 12 بنداً في الطباعة ⚠","")))))</f>
        <v/>
      </c>
    </row>
    <row r="2422" customFormat="false" ht="15" hidden="false" customHeight="false" outlineLevel="0" collapsed="false">
      <c r="A2422" s="58"/>
      <c r="B2422" s="73" t="str">
        <f aca="false">IF(A2422="","",COUNTIF(A$5:A2422,A2422))</f>
        <v/>
      </c>
      <c r="C2422" s="73" t="str">
        <f aca="false">IF(A2422="","",A2422&amp;"-"&amp;B2422)</f>
        <v/>
      </c>
      <c r="D2422" s="58"/>
      <c r="E2422" s="57"/>
      <c r="F2422" s="69"/>
      <c r="G2422" s="69"/>
      <c r="H2422" s="74" t="str">
        <f aca="false">IF(A2422="","",IFERROR(INDEX(السندات!$C$5:$C$504,MATCH(A2422,السندات!$A$5:$A$504,0)),""))</f>
        <v/>
      </c>
      <c r="I2422" s="75" t="str">
        <f aca="false">IF(A2422="","",IFERROR(INDEX(السندات!$D$5:$D$504,MATCH(A2422,السندات!$A$5:$A$504,0)),""))</f>
        <v/>
      </c>
      <c r="J2422" s="76" t="str">
        <f aca="false">IF(A2422="","",IF(ISNA(MATCH(A2422,السندات!$A$5:$A$504,0)),"رقم سند غير موجود ✘",IF(AND(F2422&lt;&gt;"",G2422&lt;&gt;""),"اكتب مدين أو دائن فقط ✘",IF(AND(N(F2422)=0,N(G2422)=0),"بدون مبلغ ⚠",IF(B2422&gt;12,"يتجاوز 12 بنداً في الطباعة ⚠","")))))</f>
        <v/>
      </c>
    </row>
    <row r="2423" customFormat="false" ht="15" hidden="false" customHeight="false" outlineLevel="0" collapsed="false">
      <c r="A2423" s="58"/>
      <c r="B2423" s="68" t="str">
        <f aca="false">IF(A2423="","",COUNTIF(A$5:A2423,A2423))</f>
        <v/>
      </c>
      <c r="C2423" s="68" t="str">
        <f aca="false">IF(A2423="","",A2423&amp;"-"&amp;B2423)</f>
        <v/>
      </c>
      <c r="D2423" s="58"/>
      <c r="E2423" s="57"/>
      <c r="F2423" s="69"/>
      <c r="G2423" s="69"/>
      <c r="H2423" s="70" t="str">
        <f aca="false">IF(A2423="","",IFERROR(INDEX(السندات!$C$5:$C$504,MATCH(A2423,السندات!$A$5:$A$504,0)),""))</f>
        <v/>
      </c>
      <c r="I2423" s="71" t="str">
        <f aca="false">IF(A2423="","",IFERROR(INDEX(السندات!$D$5:$D$504,MATCH(A2423,السندات!$A$5:$A$504,0)),""))</f>
        <v/>
      </c>
      <c r="J2423" s="72" t="str">
        <f aca="false">IF(A2423="","",IF(ISNA(MATCH(A2423,السندات!$A$5:$A$504,0)),"رقم سند غير موجود ✘",IF(AND(F2423&lt;&gt;"",G2423&lt;&gt;""),"اكتب مدين أو دائن فقط ✘",IF(AND(N(F2423)=0,N(G2423)=0),"بدون مبلغ ⚠",IF(B2423&gt;12,"يتجاوز 12 بنداً في الطباعة ⚠","")))))</f>
        <v/>
      </c>
    </row>
    <row r="2424" customFormat="false" ht="15" hidden="false" customHeight="false" outlineLevel="0" collapsed="false">
      <c r="A2424" s="58"/>
      <c r="B2424" s="73" t="str">
        <f aca="false">IF(A2424="","",COUNTIF(A$5:A2424,A2424))</f>
        <v/>
      </c>
      <c r="C2424" s="73" t="str">
        <f aca="false">IF(A2424="","",A2424&amp;"-"&amp;B2424)</f>
        <v/>
      </c>
      <c r="D2424" s="58"/>
      <c r="E2424" s="57"/>
      <c r="F2424" s="69"/>
      <c r="G2424" s="69"/>
      <c r="H2424" s="74" t="str">
        <f aca="false">IF(A2424="","",IFERROR(INDEX(السندات!$C$5:$C$504,MATCH(A2424,السندات!$A$5:$A$504,0)),""))</f>
        <v/>
      </c>
      <c r="I2424" s="75" t="str">
        <f aca="false">IF(A2424="","",IFERROR(INDEX(السندات!$D$5:$D$504,MATCH(A2424,السندات!$A$5:$A$504,0)),""))</f>
        <v/>
      </c>
      <c r="J2424" s="76" t="str">
        <f aca="false">IF(A2424="","",IF(ISNA(MATCH(A2424,السندات!$A$5:$A$504,0)),"رقم سند غير موجود ✘",IF(AND(F2424&lt;&gt;"",G2424&lt;&gt;""),"اكتب مدين أو دائن فقط ✘",IF(AND(N(F2424)=0,N(G2424)=0),"بدون مبلغ ⚠",IF(B2424&gt;12,"يتجاوز 12 بنداً في الطباعة ⚠","")))))</f>
        <v/>
      </c>
    </row>
    <row r="2425" customFormat="false" ht="15" hidden="false" customHeight="false" outlineLevel="0" collapsed="false">
      <c r="A2425" s="58"/>
      <c r="B2425" s="68" t="str">
        <f aca="false">IF(A2425="","",COUNTIF(A$5:A2425,A2425))</f>
        <v/>
      </c>
      <c r="C2425" s="68" t="str">
        <f aca="false">IF(A2425="","",A2425&amp;"-"&amp;B2425)</f>
        <v/>
      </c>
      <c r="D2425" s="58"/>
      <c r="E2425" s="57"/>
      <c r="F2425" s="69"/>
      <c r="G2425" s="69"/>
      <c r="H2425" s="70" t="str">
        <f aca="false">IF(A2425="","",IFERROR(INDEX(السندات!$C$5:$C$504,MATCH(A2425,السندات!$A$5:$A$504,0)),""))</f>
        <v/>
      </c>
      <c r="I2425" s="71" t="str">
        <f aca="false">IF(A2425="","",IFERROR(INDEX(السندات!$D$5:$D$504,MATCH(A2425,السندات!$A$5:$A$504,0)),""))</f>
        <v/>
      </c>
      <c r="J2425" s="72" t="str">
        <f aca="false">IF(A2425="","",IF(ISNA(MATCH(A2425,السندات!$A$5:$A$504,0)),"رقم سند غير موجود ✘",IF(AND(F2425&lt;&gt;"",G2425&lt;&gt;""),"اكتب مدين أو دائن فقط ✘",IF(AND(N(F2425)=0,N(G2425)=0),"بدون مبلغ ⚠",IF(B2425&gt;12,"يتجاوز 12 بنداً في الطباعة ⚠","")))))</f>
        <v/>
      </c>
    </row>
    <row r="2426" customFormat="false" ht="15" hidden="false" customHeight="false" outlineLevel="0" collapsed="false">
      <c r="A2426" s="58"/>
      <c r="B2426" s="73" t="str">
        <f aca="false">IF(A2426="","",COUNTIF(A$5:A2426,A2426))</f>
        <v/>
      </c>
      <c r="C2426" s="73" t="str">
        <f aca="false">IF(A2426="","",A2426&amp;"-"&amp;B2426)</f>
        <v/>
      </c>
      <c r="D2426" s="58"/>
      <c r="E2426" s="57"/>
      <c r="F2426" s="69"/>
      <c r="G2426" s="69"/>
      <c r="H2426" s="74" t="str">
        <f aca="false">IF(A2426="","",IFERROR(INDEX(السندات!$C$5:$C$504,MATCH(A2426,السندات!$A$5:$A$504,0)),""))</f>
        <v/>
      </c>
      <c r="I2426" s="75" t="str">
        <f aca="false">IF(A2426="","",IFERROR(INDEX(السندات!$D$5:$D$504,MATCH(A2426,السندات!$A$5:$A$504,0)),""))</f>
        <v/>
      </c>
      <c r="J2426" s="76" t="str">
        <f aca="false">IF(A2426="","",IF(ISNA(MATCH(A2426,السندات!$A$5:$A$504,0)),"رقم سند غير موجود ✘",IF(AND(F2426&lt;&gt;"",G2426&lt;&gt;""),"اكتب مدين أو دائن فقط ✘",IF(AND(N(F2426)=0,N(G2426)=0),"بدون مبلغ ⚠",IF(B2426&gt;12,"يتجاوز 12 بنداً في الطباعة ⚠","")))))</f>
        <v/>
      </c>
    </row>
    <row r="2427" customFormat="false" ht="15" hidden="false" customHeight="false" outlineLevel="0" collapsed="false">
      <c r="A2427" s="58"/>
      <c r="B2427" s="68" t="str">
        <f aca="false">IF(A2427="","",COUNTIF(A$5:A2427,A2427))</f>
        <v/>
      </c>
      <c r="C2427" s="68" t="str">
        <f aca="false">IF(A2427="","",A2427&amp;"-"&amp;B2427)</f>
        <v/>
      </c>
      <c r="D2427" s="58"/>
      <c r="E2427" s="57"/>
      <c r="F2427" s="69"/>
      <c r="G2427" s="69"/>
      <c r="H2427" s="70" t="str">
        <f aca="false">IF(A2427="","",IFERROR(INDEX(السندات!$C$5:$C$504,MATCH(A2427,السندات!$A$5:$A$504,0)),""))</f>
        <v/>
      </c>
      <c r="I2427" s="71" t="str">
        <f aca="false">IF(A2427="","",IFERROR(INDEX(السندات!$D$5:$D$504,MATCH(A2427,السندات!$A$5:$A$504,0)),""))</f>
        <v/>
      </c>
      <c r="J2427" s="72" t="str">
        <f aca="false">IF(A2427="","",IF(ISNA(MATCH(A2427,السندات!$A$5:$A$504,0)),"رقم سند غير موجود ✘",IF(AND(F2427&lt;&gt;"",G2427&lt;&gt;""),"اكتب مدين أو دائن فقط ✘",IF(AND(N(F2427)=0,N(G2427)=0),"بدون مبلغ ⚠",IF(B2427&gt;12,"يتجاوز 12 بنداً في الطباعة ⚠","")))))</f>
        <v/>
      </c>
    </row>
    <row r="2428" customFormat="false" ht="15" hidden="false" customHeight="false" outlineLevel="0" collapsed="false">
      <c r="A2428" s="58"/>
      <c r="B2428" s="73" t="str">
        <f aca="false">IF(A2428="","",COUNTIF(A$5:A2428,A2428))</f>
        <v/>
      </c>
      <c r="C2428" s="73" t="str">
        <f aca="false">IF(A2428="","",A2428&amp;"-"&amp;B2428)</f>
        <v/>
      </c>
      <c r="D2428" s="58"/>
      <c r="E2428" s="57"/>
      <c r="F2428" s="69"/>
      <c r="G2428" s="69"/>
      <c r="H2428" s="74" t="str">
        <f aca="false">IF(A2428="","",IFERROR(INDEX(السندات!$C$5:$C$504,MATCH(A2428,السندات!$A$5:$A$504,0)),""))</f>
        <v/>
      </c>
      <c r="I2428" s="75" t="str">
        <f aca="false">IF(A2428="","",IFERROR(INDEX(السندات!$D$5:$D$504,MATCH(A2428,السندات!$A$5:$A$504,0)),""))</f>
        <v/>
      </c>
      <c r="J2428" s="76" t="str">
        <f aca="false">IF(A2428="","",IF(ISNA(MATCH(A2428,السندات!$A$5:$A$504,0)),"رقم سند غير موجود ✘",IF(AND(F2428&lt;&gt;"",G2428&lt;&gt;""),"اكتب مدين أو دائن فقط ✘",IF(AND(N(F2428)=0,N(G2428)=0),"بدون مبلغ ⚠",IF(B2428&gt;12,"يتجاوز 12 بنداً في الطباعة ⚠","")))))</f>
        <v/>
      </c>
    </row>
    <row r="2429" customFormat="false" ht="15" hidden="false" customHeight="false" outlineLevel="0" collapsed="false">
      <c r="A2429" s="58"/>
      <c r="B2429" s="68" t="str">
        <f aca="false">IF(A2429="","",COUNTIF(A$5:A2429,A2429))</f>
        <v/>
      </c>
      <c r="C2429" s="68" t="str">
        <f aca="false">IF(A2429="","",A2429&amp;"-"&amp;B2429)</f>
        <v/>
      </c>
      <c r="D2429" s="58"/>
      <c r="E2429" s="57"/>
      <c r="F2429" s="69"/>
      <c r="G2429" s="69"/>
      <c r="H2429" s="70" t="str">
        <f aca="false">IF(A2429="","",IFERROR(INDEX(السندات!$C$5:$C$504,MATCH(A2429,السندات!$A$5:$A$504,0)),""))</f>
        <v/>
      </c>
      <c r="I2429" s="71" t="str">
        <f aca="false">IF(A2429="","",IFERROR(INDEX(السندات!$D$5:$D$504,MATCH(A2429,السندات!$A$5:$A$504,0)),""))</f>
        <v/>
      </c>
      <c r="J2429" s="72" t="str">
        <f aca="false">IF(A2429="","",IF(ISNA(MATCH(A2429,السندات!$A$5:$A$504,0)),"رقم سند غير موجود ✘",IF(AND(F2429&lt;&gt;"",G2429&lt;&gt;""),"اكتب مدين أو دائن فقط ✘",IF(AND(N(F2429)=0,N(G2429)=0),"بدون مبلغ ⚠",IF(B2429&gt;12,"يتجاوز 12 بنداً في الطباعة ⚠","")))))</f>
        <v/>
      </c>
    </row>
    <row r="2430" customFormat="false" ht="15" hidden="false" customHeight="false" outlineLevel="0" collapsed="false">
      <c r="A2430" s="58"/>
      <c r="B2430" s="73" t="str">
        <f aca="false">IF(A2430="","",COUNTIF(A$5:A2430,A2430))</f>
        <v/>
      </c>
      <c r="C2430" s="73" t="str">
        <f aca="false">IF(A2430="","",A2430&amp;"-"&amp;B2430)</f>
        <v/>
      </c>
      <c r="D2430" s="58"/>
      <c r="E2430" s="57"/>
      <c r="F2430" s="69"/>
      <c r="G2430" s="69"/>
      <c r="H2430" s="74" t="str">
        <f aca="false">IF(A2430="","",IFERROR(INDEX(السندات!$C$5:$C$504,MATCH(A2430,السندات!$A$5:$A$504,0)),""))</f>
        <v/>
      </c>
      <c r="I2430" s="75" t="str">
        <f aca="false">IF(A2430="","",IFERROR(INDEX(السندات!$D$5:$D$504,MATCH(A2430,السندات!$A$5:$A$504,0)),""))</f>
        <v/>
      </c>
      <c r="J2430" s="76" t="str">
        <f aca="false">IF(A2430="","",IF(ISNA(MATCH(A2430,السندات!$A$5:$A$504,0)),"رقم سند غير موجود ✘",IF(AND(F2430&lt;&gt;"",G2430&lt;&gt;""),"اكتب مدين أو دائن فقط ✘",IF(AND(N(F2430)=0,N(G2430)=0),"بدون مبلغ ⚠",IF(B2430&gt;12,"يتجاوز 12 بنداً في الطباعة ⚠","")))))</f>
        <v/>
      </c>
    </row>
    <row r="2431" customFormat="false" ht="15" hidden="false" customHeight="false" outlineLevel="0" collapsed="false">
      <c r="A2431" s="58"/>
      <c r="B2431" s="68" t="str">
        <f aca="false">IF(A2431="","",COUNTIF(A$5:A2431,A2431))</f>
        <v/>
      </c>
      <c r="C2431" s="68" t="str">
        <f aca="false">IF(A2431="","",A2431&amp;"-"&amp;B2431)</f>
        <v/>
      </c>
      <c r="D2431" s="58"/>
      <c r="E2431" s="57"/>
      <c r="F2431" s="69"/>
      <c r="G2431" s="69"/>
      <c r="H2431" s="70" t="str">
        <f aca="false">IF(A2431="","",IFERROR(INDEX(السندات!$C$5:$C$504,MATCH(A2431,السندات!$A$5:$A$504,0)),""))</f>
        <v/>
      </c>
      <c r="I2431" s="71" t="str">
        <f aca="false">IF(A2431="","",IFERROR(INDEX(السندات!$D$5:$D$504,MATCH(A2431,السندات!$A$5:$A$504,0)),""))</f>
        <v/>
      </c>
      <c r="J2431" s="72" t="str">
        <f aca="false">IF(A2431="","",IF(ISNA(MATCH(A2431,السندات!$A$5:$A$504,0)),"رقم سند غير موجود ✘",IF(AND(F2431&lt;&gt;"",G2431&lt;&gt;""),"اكتب مدين أو دائن فقط ✘",IF(AND(N(F2431)=0,N(G2431)=0),"بدون مبلغ ⚠",IF(B2431&gt;12,"يتجاوز 12 بنداً في الطباعة ⚠","")))))</f>
        <v/>
      </c>
    </row>
    <row r="2432" customFormat="false" ht="15" hidden="false" customHeight="false" outlineLevel="0" collapsed="false">
      <c r="A2432" s="58"/>
      <c r="B2432" s="73" t="str">
        <f aca="false">IF(A2432="","",COUNTIF(A$5:A2432,A2432))</f>
        <v/>
      </c>
      <c r="C2432" s="73" t="str">
        <f aca="false">IF(A2432="","",A2432&amp;"-"&amp;B2432)</f>
        <v/>
      </c>
      <c r="D2432" s="58"/>
      <c r="E2432" s="57"/>
      <c r="F2432" s="69"/>
      <c r="G2432" s="69"/>
      <c r="H2432" s="74" t="str">
        <f aca="false">IF(A2432="","",IFERROR(INDEX(السندات!$C$5:$C$504,MATCH(A2432,السندات!$A$5:$A$504,0)),""))</f>
        <v/>
      </c>
      <c r="I2432" s="75" t="str">
        <f aca="false">IF(A2432="","",IFERROR(INDEX(السندات!$D$5:$D$504,MATCH(A2432,السندات!$A$5:$A$504,0)),""))</f>
        <v/>
      </c>
      <c r="J2432" s="76" t="str">
        <f aca="false">IF(A2432="","",IF(ISNA(MATCH(A2432,السندات!$A$5:$A$504,0)),"رقم سند غير موجود ✘",IF(AND(F2432&lt;&gt;"",G2432&lt;&gt;""),"اكتب مدين أو دائن فقط ✘",IF(AND(N(F2432)=0,N(G2432)=0),"بدون مبلغ ⚠",IF(B2432&gt;12,"يتجاوز 12 بنداً في الطباعة ⚠","")))))</f>
        <v/>
      </c>
    </row>
    <row r="2433" customFormat="false" ht="15" hidden="false" customHeight="false" outlineLevel="0" collapsed="false">
      <c r="A2433" s="58"/>
      <c r="B2433" s="68" t="str">
        <f aca="false">IF(A2433="","",COUNTIF(A$5:A2433,A2433))</f>
        <v/>
      </c>
      <c r="C2433" s="68" t="str">
        <f aca="false">IF(A2433="","",A2433&amp;"-"&amp;B2433)</f>
        <v/>
      </c>
      <c r="D2433" s="58"/>
      <c r="E2433" s="57"/>
      <c r="F2433" s="69"/>
      <c r="G2433" s="69"/>
      <c r="H2433" s="70" t="str">
        <f aca="false">IF(A2433="","",IFERROR(INDEX(السندات!$C$5:$C$504,MATCH(A2433,السندات!$A$5:$A$504,0)),""))</f>
        <v/>
      </c>
      <c r="I2433" s="71" t="str">
        <f aca="false">IF(A2433="","",IFERROR(INDEX(السندات!$D$5:$D$504,MATCH(A2433,السندات!$A$5:$A$504,0)),""))</f>
        <v/>
      </c>
      <c r="J2433" s="72" t="str">
        <f aca="false">IF(A2433="","",IF(ISNA(MATCH(A2433,السندات!$A$5:$A$504,0)),"رقم سند غير موجود ✘",IF(AND(F2433&lt;&gt;"",G2433&lt;&gt;""),"اكتب مدين أو دائن فقط ✘",IF(AND(N(F2433)=0,N(G2433)=0),"بدون مبلغ ⚠",IF(B2433&gt;12,"يتجاوز 12 بنداً في الطباعة ⚠","")))))</f>
        <v/>
      </c>
    </row>
    <row r="2434" customFormat="false" ht="15" hidden="false" customHeight="false" outlineLevel="0" collapsed="false">
      <c r="A2434" s="58"/>
      <c r="B2434" s="73" t="str">
        <f aca="false">IF(A2434="","",COUNTIF(A$5:A2434,A2434))</f>
        <v/>
      </c>
      <c r="C2434" s="73" t="str">
        <f aca="false">IF(A2434="","",A2434&amp;"-"&amp;B2434)</f>
        <v/>
      </c>
      <c r="D2434" s="58"/>
      <c r="E2434" s="57"/>
      <c r="F2434" s="69"/>
      <c r="G2434" s="69"/>
      <c r="H2434" s="74" t="str">
        <f aca="false">IF(A2434="","",IFERROR(INDEX(السندات!$C$5:$C$504,MATCH(A2434,السندات!$A$5:$A$504,0)),""))</f>
        <v/>
      </c>
      <c r="I2434" s="75" t="str">
        <f aca="false">IF(A2434="","",IFERROR(INDEX(السندات!$D$5:$D$504,MATCH(A2434,السندات!$A$5:$A$504,0)),""))</f>
        <v/>
      </c>
      <c r="J2434" s="76" t="str">
        <f aca="false">IF(A2434="","",IF(ISNA(MATCH(A2434,السندات!$A$5:$A$504,0)),"رقم سند غير موجود ✘",IF(AND(F2434&lt;&gt;"",G2434&lt;&gt;""),"اكتب مدين أو دائن فقط ✘",IF(AND(N(F2434)=0,N(G2434)=0),"بدون مبلغ ⚠",IF(B2434&gt;12,"يتجاوز 12 بنداً في الطباعة ⚠","")))))</f>
        <v/>
      </c>
    </row>
    <row r="2435" customFormat="false" ht="15" hidden="false" customHeight="false" outlineLevel="0" collapsed="false">
      <c r="A2435" s="58"/>
      <c r="B2435" s="68" t="str">
        <f aca="false">IF(A2435="","",COUNTIF(A$5:A2435,A2435))</f>
        <v/>
      </c>
      <c r="C2435" s="68" t="str">
        <f aca="false">IF(A2435="","",A2435&amp;"-"&amp;B2435)</f>
        <v/>
      </c>
      <c r="D2435" s="58"/>
      <c r="E2435" s="57"/>
      <c r="F2435" s="69"/>
      <c r="G2435" s="69"/>
      <c r="H2435" s="70" t="str">
        <f aca="false">IF(A2435="","",IFERROR(INDEX(السندات!$C$5:$C$504,MATCH(A2435,السندات!$A$5:$A$504,0)),""))</f>
        <v/>
      </c>
      <c r="I2435" s="71" t="str">
        <f aca="false">IF(A2435="","",IFERROR(INDEX(السندات!$D$5:$D$504,MATCH(A2435,السندات!$A$5:$A$504,0)),""))</f>
        <v/>
      </c>
      <c r="J2435" s="72" t="str">
        <f aca="false">IF(A2435="","",IF(ISNA(MATCH(A2435,السندات!$A$5:$A$504,0)),"رقم سند غير موجود ✘",IF(AND(F2435&lt;&gt;"",G2435&lt;&gt;""),"اكتب مدين أو دائن فقط ✘",IF(AND(N(F2435)=0,N(G2435)=0),"بدون مبلغ ⚠",IF(B2435&gt;12,"يتجاوز 12 بنداً في الطباعة ⚠","")))))</f>
        <v/>
      </c>
    </row>
    <row r="2436" customFormat="false" ht="15" hidden="false" customHeight="false" outlineLevel="0" collapsed="false">
      <c r="A2436" s="58"/>
      <c r="B2436" s="73" t="str">
        <f aca="false">IF(A2436="","",COUNTIF(A$5:A2436,A2436))</f>
        <v/>
      </c>
      <c r="C2436" s="73" t="str">
        <f aca="false">IF(A2436="","",A2436&amp;"-"&amp;B2436)</f>
        <v/>
      </c>
      <c r="D2436" s="58"/>
      <c r="E2436" s="57"/>
      <c r="F2436" s="69"/>
      <c r="G2436" s="69"/>
      <c r="H2436" s="74" t="str">
        <f aca="false">IF(A2436="","",IFERROR(INDEX(السندات!$C$5:$C$504,MATCH(A2436,السندات!$A$5:$A$504,0)),""))</f>
        <v/>
      </c>
      <c r="I2436" s="75" t="str">
        <f aca="false">IF(A2436="","",IFERROR(INDEX(السندات!$D$5:$D$504,MATCH(A2436,السندات!$A$5:$A$504,0)),""))</f>
        <v/>
      </c>
      <c r="J2436" s="76" t="str">
        <f aca="false">IF(A2436="","",IF(ISNA(MATCH(A2436,السندات!$A$5:$A$504,0)),"رقم سند غير موجود ✘",IF(AND(F2436&lt;&gt;"",G2436&lt;&gt;""),"اكتب مدين أو دائن فقط ✘",IF(AND(N(F2436)=0,N(G2436)=0),"بدون مبلغ ⚠",IF(B2436&gt;12,"يتجاوز 12 بنداً في الطباعة ⚠","")))))</f>
        <v/>
      </c>
    </row>
    <row r="2437" customFormat="false" ht="15" hidden="false" customHeight="false" outlineLevel="0" collapsed="false">
      <c r="A2437" s="58"/>
      <c r="B2437" s="68" t="str">
        <f aca="false">IF(A2437="","",COUNTIF(A$5:A2437,A2437))</f>
        <v/>
      </c>
      <c r="C2437" s="68" t="str">
        <f aca="false">IF(A2437="","",A2437&amp;"-"&amp;B2437)</f>
        <v/>
      </c>
      <c r="D2437" s="58"/>
      <c r="E2437" s="57"/>
      <c r="F2437" s="69"/>
      <c r="G2437" s="69"/>
      <c r="H2437" s="70" t="str">
        <f aca="false">IF(A2437="","",IFERROR(INDEX(السندات!$C$5:$C$504,MATCH(A2437,السندات!$A$5:$A$504,0)),""))</f>
        <v/>
      </c>
      <c r="I2437" s="71" t="str">
        <f aca="false">IF(A2437="","",IFERROR(INDEX(السندات!$D$5:$D$504,MATCH(A2437,السندات!$A$5:$A$504,0)),""))</f>
        <v/>
      </c>
      <c r="J2437" s="72" t="str">
        <f aca="false">IF(A2437="","",IF(ISNA(MATCH(A2437,السندات!$A$5:$A$504,0)),"رقم سند غير موجود ✘",IF(AND(F2437&lt;&gt;"",G2437&lt;&gt;""),"اكتب مدين أو دائن فقط ✘",IF(AND(N(F2437)=0,N(G2437)=0),"بدون مبلغ ⚠",IF(B2437&gt;12,"يتجاوز 12 بنداً في الطباعة ⚠","")))))</f>
        <v/>
      </c>
    </row>
    <row r="2438" customFormat="false" ht="15" hidden="false" customHeight="false" outlineLevel="0" collapsed="false">
      <c r="A2438" s="58"/>
      <c r="B2438" s="73" t="str">
        <f aca="false">IF(A2438="","",COUNTIF(A$5:A2438,A2438))</f>
        <v/>
      </c>
      <c r="C2438" s="73" t="str">
        <f aca="false">IF(A2438="","",A2438&amp;"-"&amp;B2438)</f>
        <v/>
      </c>
      <c r="D2438" s="58"/>
      <c r="E2438" s="57"/>
      <c r="F2438" s="69"/>
      <c r="G2438" s="69"/>
      <c r="H2438" s="74" t="str">
        <f aca="false">IF(A2438="","",IFERROR(INDEX(السندات!$C$5:$C$504,MATCH(A2438,السندات!$A$5:$A$504,0)),""))</f>
        <v/>
      </c>
      <c r="I2438" s="75" t="str">
        <f aca="false">IF(A2438="","",IFERROR(INDEX(السندات!$D$5:$D$504,MATCH(A2438,السندات!$A$5:$A$504,0)),""))</f>
        <v/>
      </c>
      <c r="J2438" s="76" t="str">
        <f aca="false">IF(A2438="","",IF(ISNA(MATCH(A2438,السندات!$A$5:$A$504,0)),"رقم سند غير موجود ✘",IF(AND(F2438&lt;&gt;"",G2438&lt;&gt;""),"اكتب مدين أو دائن فقط ✘",IF(AND(N(F2438)=0,N(G2438)=0),"بدون مبلغ ⚠",IF(B2438&gt;12,"يتجاوز 12 بنداً في الطباعة ⚠","")))))</f>
        <v/>
      </c>
    </row>
    <row r="2439" customFormat="false" ht="15" hidden="false" customHeight="false" outlineLevel="0" collapsed="false">
      <c r="A2439" s="58"/>
      <c r="B2439" s="68" t="str">
        <f aca="false">IF(A2439="","",COUNTIF(A$5:A2439,A2439))</f>
        <v/>
      </c>
      <c r="C2439" s="68" t="str">
        <f aca="false">IF(A2439="","",A2439&amp;"-"&amp;B2439)</f>
        <v/>
      </c>
      <c r="D2439" s="58"/>
      <c r="E2439" s="57"/>
      <c r="F2439" s="69"/>
      <c r="G2439" s="69"/>
      <c r="H2439" s="70" t="str">
        <f aca="false">IF(A2439="","",IFERROR(INDEX(السندات!$C$5:$C$504,MATCH(A2439,السندات!$A$5:$A$504,0)),""))</f>
        <v/>
      </c>
      <c r="I2439" s="71" t="str">
        <f aca="false">IF(A2439="","",IFERROR(INDEX(السندات!$D$5:$D$504,MATCH(A2439,السندات!$A$5:$A$504,0)),""))</f>
        <v/>
      </c>
      <c r="J2439" s="72" t="str">
        <f aca="false">IF(A2439="","",IF(ISNA(MATCH(A2439,السندات!$A$5:$A$504,0)),"رقم سند غير موجود ✘",IF(AND(F2439&lt;&gt;"",G2439&lt;&gt;""),"اكتب مدين أو دائن فقط ✘",IF(AND(N(F2439)=0,N(G2439)=0),"بدون مبلغ ⚠",IF(B2439&gt;12,"يتجاوز 12 بنداً في الطباعة ⚠","")))))</f>
        <v/>
      </c>
    </row>
    <row r="2440" customFormat="false" ht="15" hidden="false" customHeight="false" outlineLevel="0" collapsed="false">
      <c r="A2440" s="58"/>
      <c r="B2440" s="73" t="str">
        <f aca="false">IF(A2440="","",COUNTIF(A$5:A2440,A2440))</f>
        <v/>
      </c>
      <c r="C2440" s="73" t="str">
        <f aca="false">IF(A2440="","",A2440&amp;"-"&amp;B2440)</f>
        <v/>
      </c>
      <c r="D2440" s="58"/>
      <c r="E2440" s="57"/>
      <c r="F2440" s="69"/>
      <c r="G2440" s="69"/>
      <c r="H2440" s="74" t="str">
        <f aca="false">IF(A2440="","",IFERROR(INDEX(السندات!$C$5:$C$504,MATCH(A2440,السندات!$A$5:$A$504,0)),""))</f>
        <v/>
      </c>
      <c r="I2440" s="75" t="str">
        <f aca="false">IF(A2440="","",IFERROR(INDEX(السندات!$D$5:$D$504,MATCH(A2440,السندات!$A$5:$A$504,0)),""))</f>
        <v/>
      </c>
      <c r="J2440" s="76" t="str">
        <f aca="false">IF(A2440="","",IF(ISNA(MATCH(A2440,السندات!$A$5:$A$504,0)),"رقم سند غير موجود ✘",IF(AND(F2440&lt;&gt;"",G2440&lt;&gt;""),"اكتب مدين أو دائن فقط ✘",IF(AND(N(F2440)=0,N(G2440)=0),"بدون مبلغ ⚠",IF(B2440&gt;12,"يتجاوز 12 بنداً في الطباعة ⚠","")))))</f>
        <v/>
      </c>
    </row>
    <row r="2441" customFormat="false" ht="15" hidden="false" customHeight="false" outlineLevel="0" collapsed="false">
      <c r="A2441" s="58"/>
      <c r="B2441" s="68" t="str">
        <f aca="false">IF(A2441="","",COUNTIF(A$5:A2441,A2441))</f>
        <v/>
      </c>
      <c r="C2441" s="68" t="str">
        <f aca="false">IF(A2441="","",A2441&amp;"-"&amp;B2441)</f>
        <v/>
      </c>
      <c r="D2441" s="58"/>
      <c r="E2441" s="57"/>
      <c r="F2441" s="69"/>
      <c r="G2441" s="69"/>
      <c r="H2441" s="70" t="str">
        <f aca="false">IF(A2441="","",IFERROR(INDEX(السندات!$C$5:$C$504,MATCH(A2441,السندات!$A$5:$A$504,0)),""))</f>
        <v/>
      </c>
      <c r="I2441" s="71" t="str">
        <f aca="false">IF(A2441="","",IFERROR(INDEX(السندات!$D$5:$D$504,MATCH(A2441,السندات!$A$5:$A$504,0)),""))</f>
        <v/>
      </c>
      <c r="J2441" s="72" t="str">
        <f aca="false">IF(A2441="","",IF(ISNA(MATCH(A2441,السندات!$A$5:$A$504,0)),"رقم سند غير موجود ✘",IF(AND(F2441&lt;&gt;"",G2441&lt;&gt;""),"اكتب مدين أو دائن فقط ✘",IF(AND(N(F2441)=0,N(G2441)=0),"بدون مبلغ ⚠",IF(B2441&gt;12,"يتجاوز 12 بنداً في الطباعة ⚠","")))))</f>
        <v/>
      </c>
    </row>
    <row r="2442" customFormat="false" ht="15" hidden="false" customHeight="false" outlineLevel="0" collapsed="false">
      <c r="A2442" s="58"/>
      <c r="B2442" s="73" t="str">
        <f aca="false">IF(A2442="","",COUNTIF(A$5:A2442,A2442))</f>
        <v/>
      </c>
      <c r="C2442" s="73" t="str">
        <f aca="false">IF(A2442="","",A2442&amp;"-"&amp;B2442)</f>
        <v/>
      </c>
      <c r="D2442" s="58"/>
      <c r="E2442" s="57"/>
      <c r="F2442" s="69"/>
      <c r="G2442" s="69"/>
      <c r="H2442" s="74" t="str">
        <f aca="false">IF(A2442="","",IFERROR(INDEX(السندات!$C$5:$C$504,MATCH(A2442,السندات!$A$5:$A$504,0)),""))</f>
        <v/>
      </c>
      <c r="I2442" s="75" t="str">
        <f aca="false">IF(A2442="","",IFERROR(INDEX(السندات!$D$5:$D$504,MATCH(A2442,السندات!$A$5:$A$504,0)),""))</f>
        <v/>
      </c>
      <c r="J2442" s="76" t="str">
        <f aca="false">IF(A2442="","",IF(ISNA(MATCH(A2442,السندات!$A$5:$A$504,0)),"رقم سند غير موجود ✘",IF(AND(F2442&lt;&gt;"",G2442&lt;&gt;""),"اكتب مدين أو دائن فقط ✘",IF(AND(N(F2442)=0,N(G2442)=0),"بدون مبلغ ⚠",IF(B2442&gt;12,"يتجاوز 12 بنداً في الطباعة ⚠","")))))</f>
        <v/>
      </c>
    </row>
    <row r="2443" customFormat="false" ht="15" hidden="false" customHeight="false" outlineLevel="0" collapsed="false">
      <c r="A2443" s="58"/>
      <c r="B2443" s="68" t="str">
        <f aca="false">IF(A2443="","",COUNTIF(A$5:A2443,A2443))</f>
        <v/>
      </c>
      <c r="C2443" s="68" t="str">
        <f aca="false">IF(A2443="","",A2443&amp;"-"&amp;B2443)</f>
        <v/>
      </c>
      <c r="D2443" s="58"/>
      <c r="E2443" s="57"/>
      <c r="F2443" s="69"/>
      <c r="G2443" s="69"/>
      <c r="H2443" s="70" t="str">
        <f aca="false">IF(A2443="","",IFERROR(INDEX(السندات!$C$5:$C$504,MATCH(A2443,السندات!$A$5:$A$504,0)),""))</f>
        <v/>
      </c>
      <c r="I2443" s="71" t="str">
        <f aca="false">IF(A2443="","",IFERROR(INDEX(السندات!$D$5:$D$504,MATCH(A2443,السندات!$A$5:$A$504,0)),""))</f>
        <v/>
      </c>
      <c r="J2443" s="72" t="str">
        <f aca="false">IF(A2443="","",IF(ISNA(MATCH(A2443,السندات!$A$5:$A$504,0)),"رقم سند غير موجود ✘",IF(AND(F2443&lt;&gt;"",G2443&lt;&gt;""),"اكتب مدين أو دائن فقط ✘",IF(AND(N(F2443)=0,N(G2443)=0),"بدون مبلغ ⚠",IF(B2443&gt;12,"يتجاوز 12 بنداً في الطباعة ⚠","")))))</f>
        <v/>
      </c>
    </row>
    <row r="2444" customFormat="false" ht="15" hidden="false" customHeight="false" outlineLevel="0" collapsed="false">
      <c r="A2444" s="58"/>
      <c r="B2444" s="73" t="str">
        <f aca="false">IF(A2444="","",COUNTIF(A$5:A2444,A2444))</f>
        <v/>
      </c>
      <c r="C2444" s="73" t="str">
        <f aca="false">IF(A2444="","",A2444&amp;"-"&amp;B2444)</f>
        <v/>
      </c>
      <c r="D2444" s="58"/>
      <c r="E2444" s="57"/>
      <c r="F2444" s="69"/>
      <c r="G2444" s="69"/>
      <c r="H2444" s="74" t="str">
        <f aca="false">IF(A2444="","",IFERROR(INDEX(السندات!$C$5:$C$504,MATCH(A2444,السندات!$A$5:$A$504,0)),""))</f>
        <v/>
      </c>
      <c r="I2444" s="75" t="str">
        <f aca="false">IF(A2444="","",IFERROR(INDEX(السندات!$D$5:$D$504,MATCH(A2444,السندات!$A$5:$A$504,0)),""))</f>
        <v/>
      </c>
      <c r="J2444" s="76" t="str">
        <f aca="false">IF(A2444="","",IF(ISNA(MATCH(A2444,السندات!$A$5:$A$504,0)),"رقم سند غير موجود ✘",IF(AND(F2444&lt;&gt;"",G2444&lt;&gt;""),"اكتب مدين أو دائن فقط ✘",IF(AND(N(F2444)=0,N(G2444)=0),"بدون مبلغ ⚠",IF(B2444&gt;12,"يتجاوز 12 بنداً في الطباعة ⚠","")))))</f>
        <v/>
      </c>
    </row>
    <row r="2445" customFormat="false" ht="15" hidden="false" customHeight="false" outlineLevel="0" collapsed="false">
      <c r="A2445" s="58"/>
      <c r="B2445" s="68" t="str">
        <f aca="false">IF(A2445="","",COUNTIF(A$5:A2445,A2445))</f>
        <v/>
      </c>
      <c r="C2445" s="68" t="str">
        <f aca="false">IF(A2445="","",A2445&amp;"-"&amp;B2445)</f>
        <v/>
      </c>
      <c r="D2445" s="58"/>
      <c r="E2445" s="57"/>
      <c r="F2445" s="69"/>
      <c r="G2445" s="69"/>
      <c r="H2445" s="70" t="str">
        <f aca="false">IF(A2445="","",IFERROR(INDEX(السندات!$C$5:$C$504,MATCH(A2445,السندات!$A$5:$A$504,0)),""))</f>
        <v/>
      </c>
      <c r="I2445" s="71" t="str">
        <f aca="false">IF(A2445="","",IFERROR(INDEX(السندات!$D$5:$D$504,MATCH(A2445,السندات!$A$5:$A$504,0)),""))</f>
        <v/>
      </c>
      <c r="J2445" s="72" t="str">
        <f aca="false">IF(A2445="","",IF(ISNA(MATCH(A2445,السندات!$A$5:$A$504,0)),"رقم سند غير موجود ✘",IF(AND(F2445&lt;&gt;"",G2445&lt;&gt;""),"اكتب مدين أو دائن فقط ✘",IF(AND(N(F2445)=0,N(G2445)=0),"بدون مبلغ ⚠",IF(B2445&gt;12,"يتجاوز 12 بنداً في الطباعة ⚠","")))))</f>
        <v/>
      </c>
    </row>
    <row r="2446" customFormat="false" ht="15" hidden="false" customHeight="false" outlineLevel="0" collapsed="false">
      <c r="A2446" s="58"/>
      <c r="B2446" s="73" t="str">
        <f aca="false">IF(A2446="","",COUNTIF(A$5:A2446,A2446))</f>
        <v/>
      </c>
      <c r="C2446" s="73" t="str">
        <f aca="false">IF(A2446="","",A2446&amp;"-"&amp;B2446)</f>
        <v/>
      </c>
      <c r="D2446" s="58"/>
      <c r="E2446" s="57"/>
      <c r="F2446" s="69"/>
      <c r="G2446" s="69"/>
      <c r="H2446" s="74" t="str">
        <f aca="false">IF(A2446="","",IFERROR(INDEX(السندات!$C$5:$C$504,MATCH(A2446,السندات!$A$5:$A$504,0)),""))</f>
        <v/>
      </c>
      <c r="I2446" s="75" t="str">
        <f aca="false">IF(A2446="","",IFERROR(INDEX(السندات!$D$5:$D$504,MATCH(A2446,السندات!$A$5:$A$504,0)),""))</f>
        <v/>
      </c>
      <c r="J2446" s="76" t="str">
        <f aca="false">IF(A2446="","",IF(ISNA(MATCH(A2446,السندات!$A$5:$A$504,0)),"رقم سند غير موجود ✘",IF(AND(F2446&lt;&gt;"",G2446&lt;&gt;""),"اكتب مدين أو دائن فقط ✘",IF(AND(N(F2446)=0,N(G2446)=0),"بدون مبلغ ⚠",IF(B2446&gt;12,"يتجاوز 12 بنداً في الطباعة ⚠","")))))</f>
        <v/>
      </c>
    </row>
    <row r="2447" customFormat="false" ht="15" hidden="false" customHeight="false" outlineLevel="0" collapsed="false">
      <c r="A2447" s="58"/>
      <c r="B2447" s="68" t="str">
        <f aca="false">IF(A2447="","",COUNTIF(A$5:A2447,A2447))</f>
        <v/>
      </c>
      <c r="C2447" s="68" t="str">
        <f aca="false">IF(A2447="","",A2447&amp;"-"&amp;B2447)</f>
        <v/>
      </c>
      <c r="D2447" s="58"/>
      <c r="E2447" s="57"/>
      <c r="F2447" s="69"/>
      <c r="G2447" s="69"/>
      <c r="H2447" s="70" t="str">
        <f aca="false">IF(A2447="","",IFERROR(INDEX(السندات!$C$5:$C$504,MATCH(A2447,السندات!$A$5:$A$504,0)),""))</f>
        <v/>
      </c>
      <c r="I2447" s="71" t="str">
        <f aca="false">IF(A2447="","",IFERROR(INDEX(السندات!$D$5:$D$504,MATCH(A2447,السندات!$A$5:$A$504,0)),""))</f>
        <v/>
      </c>
      <c r="J2447" s="72" t="str">
        <f aca="false">IF(A2447="","",IF(ISNA(MATCH(A2447,السندات!$A$5:$A$504,0)),"رقم سند غير موجود ✘",IF(AND(F2447&lt;&gt;"",G2447&lt;&gt;""),"اكتب مدين أو دائن فقط ✘",IF(AND(N(F2447)=0,N(G2447)=0),"بدون مبلغ ⚠",IF(B2447&gt;12,"يتجاوز 12 بنداً في الطباعة ⚠","")))))</f>
        <v/>
      </c>
    </row>
    <row r="2448" customFormat="false" ht="15" hidden="false" customHeight="false" outlineLevel="0" collapsed="false">
      <c r="A2448" s="58"/>
      <c r="B2448" s="73" t="str">
        <f aca="false">IF(A2448="","",COUNTIF(A$5:A2448,A2448))</f>
        <v/>
      </c>
      <c r="C2448" s="73" t="str">
        <f aca="false">IF(A2448="","",A2448&amp;"-"&amp;B2448)</f>
        <v/>
      </c>
      <c r="D2448" s="58"/>
      <c r="E2448" s="57"/>
      <c r="F2448" s="69"/>
      <c r="G2448" s="69"/>
      <c r="H2448" s="74" t="str">
        <f aca="false">IF(A2448="","",IFERROR(INDEX(السندات!$C$5:$C$504,MATCH(A2448,السندات!$A$5:$A$504,0)),""))</f>
        <v/>
      </c>
      <c r="I2448" s="75" t="str">
        <f aca="false">IF(A2448="","",IFERROR(INDEX(السندات!$D$5:$D$504,MATCH(A2448,السندات!$A$5:$A$504,0)),""))</f>
        <v/>
      </c>
      <c r="J2448" s="76" t="str">
        <f aca="false">IF(A2448="","",IF(ISNA(MATCH(A2448,السندات!$A$5:$A$504,0)),"رقم سند غير موجود ✘",IF(AND(F2448&lt;&gt;"",G2448&lt;&gt;""),"اكتب مدين أو دائن فقط ✘",IF(AND(N(F2448)=0,N(G2448)=0),"بدون مبلغ ⚠",IF(B2448&gt;12,"يتجاوز 12 بنداً في الطباعة ⚠","")))))</f>
        <v/>
      </c>
    </row>
    <row r="2449" customFormat="false" ht="15" hidden="false" customHeight="false" outlineLevel="0" collapsed="false">
      <c r="A2449" s="58"/>
      <c r="B2449" s="68" t="str">
        <f aca="false">IF(A2449="","",COUNTIF(A$5:A2449,A2449))</f>
        <v/>
      </c>
      <c r="C2449" s="68" t="str">
        <f aca="false">IF(A2449="","",A2449&amp;"-"&amp;B2449)</f>
        <v/>
      </c>
      <c r="D2449" s="58"/>
      <c r="E2449" s="57"/>
      <c r="F2449" s="69"/>
      <c r="G2449" s="69"/>
      <c r="H2449" s="70" t="str">
        <f aca="false">IF(A2449="","",IFERROR(INDEX(السندات!$C$5:$C$504,MATCH(A2449,السندات!$A$5:$A$504,0)),""))</f>
        <v/>
      </c>
      <c r="I2449" s="71" t="str">
        <f aca="false">IF(A2449="","",IFERROR(INDEX(السندات!$D$5:$D$504,MATCH(A2449,السندات!$A$5:$A$504,0)),""))</f>
        <v/>
      </c>
      <c r="J2449" s="72" t="str">
        <f aca="false">IF(A2449="","",IF(ISNA(MATCH(A2449,السندات!$A$5:$A$504,0)),"رقم سند غير موجود ✘",IF(AND(F2449&lt;&gt;"",G2449&lt;&gt;""),"اكتب مدين أو دائن فقط ✘",IF(AND(N(F2449)=0,N(G2449)=0),"بدون مبلغ ⚠",IF(B2449&gt;12,"يتجاوز 12 بنداً في الطباعة ⚠","")))))</f>
        <v/>
      </c>
    </row>
    <row r="2450" customFormat="false" ht="15" hidden="false" customHeight="false" outlineLevel="0" collapsed="false">
      <c r="A2450" s="58"/>
      <c r="B2450" s="73" t="str">
        <f aca="false">IF(A2450="","",COUNTIF(A$5:A2450,A2450))</f>
        <v/>
      </c>
      <c r="C2450" s="73" t="str">
        <f aca="false">IF(A2450="","",A2450&amp;"-"&amp;B2450)</f>
        <v/>
      </c>
      <c r="D2450" s="58"/>
      <c r="E2450" s="57"/>
      <c r="F2450" s="69"/>
      <c r="G2450" s="69"/>
      <c r="H2450" s="74" t="str">
        <f aca="false">IF(A2450="","",IFERROR(INDEX(السندات!$C$5:$C$504,MATCH(A2450,السندات!$A$5:$A$504,0)),""))</f>
        <v/>
      </c>
      <c r="I2450" s="75" t="str">
        <f aca="false">IF(A2450="","",IFERROR(INDEX(السندات!$D$5:$D$504,MATCH(A2450,السندات!$A$5:$A$504,0)),""))</f>
        <v/>
      </c>
      <c r="J2450" s="76" t="str">
        <f aca="false">IF(A2450="","",IF(ISNA(MATCH(A2450,السندات!$A$5:$A$504,0)),"رقم سند غير موجود ✘",IF(AND(F2450&lt;&gt;"",G2450&lt;&gt;""),"اكتب مدين أو دائن فقط ✘",IF(AND(N(F2450)=0,N(G2450)=0),"بدون مبلغ ⚠",IF(B2450&gt;12,"يتجاوز 12 بنداً في الطباعة ⚠","")))))</f>
        <v/>
      </c>
    </row>
    <row r="2451" customFormat="false" ht="15" hidden="false" customHeight="false" outlineLevel="0" collapsed="false">
      <c r="A2451" s="58"/>
      <c r="B2451" s="68" t="str">
        <f aca="false">IF(A2451="","",COUNTIF(A$5:A2451,A2451))</f>
        <v/>
      </c>
      <c r="C2451" s="68" t="str">
        <f aca="false">IF(A2451="","",A2451&amp;"-"&amp;B2451)</f>
        <v/>
      </c>
      <c r="D2451" s="58"/>
      <c r="E2451" s="57"/>
      <c r="F2451" s="69"/>
      <c r="G2451" s="69"/>
      <c r="H2451" s="70" t="str">
        <f aca="false">IF(A2451="","",IFERROR(INDEX(السندات!$C$5:$C$504,MATCH(A2451,السندات!$A$5:$A$504,0)),""))</f>
        <v/>
      </c>
      <c r="I2451" s="71" t="str">
        <f aca="false">IF(A2451="","",IFERROR(INDEX(السندات!$D$5:$D$504,MATCH(A2451,السندات!$A$5:$A$504,0)),""))</f>
        <v/>
      </c>
      <c r="J2451" s="72" t="str">
        <f aca="false">IF(A2451="","",IF(ISNA(MATCH(A2451,السندات!$A$5:$A$504,0)),"رقم سند غير موجود ✘",IF(AND(F2451&lt;&gt;"",G2451&lt;&gt;""),"اكتب مدين أو دائن فقط ✘",IF(AND(N(F2451)=0,N(G2451)=0),"بدون مبلغ ⚠",IF(B2451&gt;12,"يتجاوز 12 بنداً في الطباعة ⚠","")))))</f>
        <v/>
      </c>
    </row>
    <row r="2452" customFormat="false" ht="15" hidden="false" customHeight="false" outlineLevel="0" collapsed="false">
      <c r="A2452" s="58"/>
      <c r="B2452" s="73" t="str">
        <f aca="false">IF(A2452="","",COUNTIF(A$5:A2452,A2452))</f>
        <v/>
      </c>
      <c r="C2452" s="73" t="str">
        <f aca="false">IF(A2452="","",A2452&amp;"-"&amp;B2452)</f>
        <v/>
      </c>
      <c r="D2452" s="58"/>
      <c r="E2452" s="57"/>
      <c r="F2452" s="69"/>
      <c r="G2452" s="69"/>
      <c r="H2452" s="74" t="str">
        <f aca="false">IF(A2452="","",IFERROR(INDEX(السندات!$C$5:$C$504,MATCH(A2452,السندات!$A$5:$A$504,0)),""))</f>
        <v/>
      </c>
      <c r="I2452" s="75" t="str">
        <f aca="false">IF(A2452="","",IFERROR(INDEX(السندات!$D$5:$D$504,MATCH(A2452,السندات!$A$5:$A$504,0)),""))</f>
        <v/>
      </c>
      <c r="J2452" s="76" t="str">
        <f aca="false">IF(A2452="","",IF(ISNA(MATCH(A2452,السندات!$A$5:$A$504,0)),"رقم سند غير موجود ✘",IF(AND(F2452&lt;&gt;"",G2452&lt;&gt;""),"اكتب مدين أو دائن فقط ✘",IF(AND(N(F2452)=0,N(G2452)=0),"بدون مبلغ ⚠",IF(B2452&gt;12,"يتجاوز 12 بنداً في الطباعة ⚠","")))))</f>
        <v/>
      </c>
    </row>
    <row r="2453" customFormat="false" ht="15" hidden="false" customHeight="false" outlineLevel="0" collapsed="false">
      <c r="A2453" s="58"/>
      <c r="B2453" s="68" t="str">
        <f aca="false">IF(A2453="","",COUNTIF(A$5:A2453,A2453))</f>
        <v/>
      </c>
      <c r="C2453" s="68" t="str">
        <f aca="false">IF(A2453="","",A2453&amp;"-"&amp;B2453)</f>
        <v/>
      </c>
      <c r="D2453" s="58"/>
      <c r="E2453" s="57"/>
      <c r="F2453" s="69"/>
      <c r="G2453" s="69"/>
      <c r="H2453" s="70" t="str">
        <f aca="false">IF(A2453="","",IFERROR(INDEX(السندات!$C$5:$C$504,MATCH(A2453,السندات!$A$5:$A$504,0)),""))</f>
        <v/>
      </c>
      <c r="I2453" s="71" t="str">
        <f aca="false">IF(A2453="","",IFERROR(INDEX(السندات!$D$5:$D$504,MATCH(A2453,السندات!$A$5:$A$504,0)),""))</f>
        <v/>
      </c>
      <c r="J2453" s="72" t="str">
        <f aca="false">IF(A2453="","",IF(ISNA(MATCH(A2453,السندات!$A$5:$A$504,0)),"رقم سند غير موجود ✘",IF(AND(F2453&lt;&gt;"",G2453&lt;&gt;""),"اكتب مدين أو دائن فقط ✘",IF(AND(N(F2453)=0,N(G2453)=0),"بدون مبلغ ⚠",IF(B2453&gt;12,"يتجاوز 12 بنداً في الطباعة ⚠","")))))</f>
        <v/>
      </c>
    </row>
    <row r="2454" customFormat="false" ht="15" hidden="false" customHeight="false" outlineLevel="0" collapsed="false">
      <c r="A2454" s="58"/>
      <c r="B2454" s="73" t="str">
        <f aca="false">IF(A2454="","",COUNTIF(A$5:A2454,A2454))</f>
        <v/>
      </c>
      <c r="C2454" s="73" t="str">
        <f aca="false">IF(A2454="","",A2454&amp;"-"&amp;B2454)</f>
        <v/>
      </c>
      <c r="D2454" s="58"/>
      <c r="E2454" s="57"/>
      <c r="F2454" s="69"/>
      <c r="G2454" s="69"/>
      <c r="H2454" s="74" t="str">
        <f aca="false">IF(A2454="","",IFERROR(INDEX(السندات!$C$5:$C$504,MATCH(A2454,السندات!$A$5:$A$504,0)),""))</f>
        <v/>
      </c>
      <c r="I2454" s="75" t="str">
        <f aca="false">IF(A2454="","",IFERROR(INDEX(السندات!$D$5:$D$504,MATCH(A2454,السندات!$A$5:$A$504,0)),""))</f>
        <v/>
      </c>
      <c r="J2454" s="76" t="str">
        <f aca="false">IF(A2454="","",IF(ISNA(MATCH(A2454,السندات!$A$5:$A$504,0)),"رقم سند غير موجود ✘",IF(AND(F2454&lt;&gt;"",G2454&lt;&gt;""),"اكتب مدين أو دائن فقط ✘",IF(AND(N(F2454)=0,N(G2454)=0),"بدون مبلغ ⚠",IF(B2454&gt;12,"يتجاوز 12 بنداً في الطباعة ⚠","")))))</f>
        <v/>
      </c>
    </row>
    <row r="2455" customFormat="false" ht="15" hidden="false" customHeight="false" outlineLevel="0" collapsed="false">
      <c r="A2455" s="58"/>
      <c r="B2455" s="68" t="str">
        <f aca="false">IF(A2455="","",COUNTIF(A$5:A2455,A2455))</f>
        <v/>
      </c>
      <c r="C2455" s="68" t="str">
        <f aca="false">IF(A2455="","",A2455&amp;"-"&amp;B2455)</f>
        <v/>
      </c>
      <c r="D2455" s="58"/>
      <c r="E2455" s="57"/>
      <c r="F2455" s="69"/>
      <c r="G2455" s="69"/>
      <c r="H2455" s="70" t="str">
        <f aca="false">IF(A2455="","",IFERROR(INDEX(السندات!$C$5:$C$504,MATCH(A2455,السندات!$A$5:$A$504,0)),""))</f>
        <v/>
      </c>
      <c r="I2455" s="71" t="str">
        <f aca="false">IF(A2455="","",IFERROR(INDEX(السندات!$D$5:$D$504,MATCH(A2455,السندات!$A$5:$A$504,0)),""))</f>
        <v/>
      </c>
      <c r="J2455" s="72" t="str">
        <f aca="false">IF(A2455="","",IF(ISNA(MATCH(A2455,السندات!$A$5:$A$504,0)),"رقم سند غير موجود ✘",IF(AND(F2455&lt;&gt;"",G2455&lt;&gt;""),"اكتب مدين أو دائن فقط ✘",IF(AND(N(F2455)=0,N(G2455)=0),"بدون مبلغ ⚠",IF(B2455&gt;12,"يتجاوز 12 بنداً في الطباعة ⚠","")))))</f>
        <v/>
      </c>
    </row>
    <row r="2456" customFormat="false" ht="15" hidden="false" customHeight="false" outlineLevel="0" collapsed="false">
      <c r="A2456" s="58"/>
      <c r="B2456" s="73" t="str">
        <f aca="false">IF(A2456="","",COUNTIF(A$5:A2456,A2456))</f>
        <v/>
      </c>
      <c r="C2456" s="73" t="str">
        <f aca="false">IF(A2456="","",A2456&amp;"-"&amp;B2456)</f>
        <v/>
      </c>
      <c r="D2456" s="58"/>
      <c r="E2456" s="57"/>
      <c r="F2456" s="69"/>
      <c r="G2456" s="69"/>
      <c r="H2456" s="74" t="str">
        <f aca="false">IF(A2456="","",IFERROR(INDEX(السندات!$C$5:$C$504,MATCH(A2456,السندات!$A$5:$A$504,0)),""))</f>
        <v/>
      </c>
      <c r="I2456" s="75" t="str">
        <f aca="false">IF(A2456="","",IFERROR(INDEX(السندات!$D$5:$D$504,MATCH(A2456,السندات!$A$5:$A$504,0)),""))</f>
        <v/>
      </c>
      <c r="J2456" s="76" t="str">
        <f aca="false">IF(A2456="","",IF(ISNA(MATCH(A2456,السندات!$A$5:$A$504,0)),"رقم سند غير موجود ✘",IF(AND(F2456&lt;&gt;"",G2456&lt;&gt;""),"اكتب مدين أو دائن فقط ✘",IF(AND(N(F2456)=0,N(G2456)=0),"بدون مبلغ ⚠",IF(B2456&gt;12,"يتجاوز 12 بنداً في الطباعة ⚠","")))))</f>
        <v/>
      </c>
    </row>
    <row r="2457" customFormat="false" ht="15" hidden="false" customHeight="false" outlineLevel="0" collapsed="false">
      <c r="A2457" s="58"/>
      <c r="B2457" s="68" t="str">
        <f aca="false">IF(A2457="","",COUNTIF(A$5:A2457,A2457))</f>
        <v/>
      </c>
      <c r="C2457" s="68" t="str">
        <f aca="false">IF(A2457="","",A2457&amp;"-"&amp;B2457)</f>
        <v/>
      </c>
      <c r="D2457" s="58"/>
      <c r="E2457" s="57"/>
      <c r="F2457" s="69"/>
      <c r="G2457" s="69"/>
      <c r="H2457" s="70" t="str">
        <f aca="false">IF(A2457="","",IFERROR(INDEX(السندات!$C$5:$C$504,MATCH(A2457,السندات!$A$5:$A$504,0)),""))</f>
        <v/>
      </c>
      <c r="I2457" s="71" t="str">
        <f aca="false">IF(A2457="","",IFERROR(INDEX(السندات!$D$5:$D$504,MATCH(A2457,السندات!$A$5:$A$504,0)),""))</f>
        <v/>
      </c>
      <c r="J2457" s="72" t="str">
        <f aca="false">IF(A2457="","",IF(ISNA(MATCH(A2457,السندات!$A$5:$A$504,0)),"رقم سند غير موجود ✘",IF(AND(F2457&lt;&gt;"",G2457&lt;&gt;""),"اكتب مدين أو دائن فقط ✘",IF(AND(N(F2457)=0,N(G2457)=0),"بدون مبلغ ⚠",IF(B2457&gt;12,"يتجاوز 12 بنداً في الطباعة ⚠","")))))</f>
        <v/>
      </c>
    </row>
    <row r="2458" customFormat="false" ht="15" hidden="false" customHeight="false" outlineLevel="0" collapsed="false">
      <c r="A2458" s="58"/>
      <c r="B2458" s="73" t="str">
        <f aca="false">IF(A2458="","",COUNTIF(A$5:A2458,A2458))</f>
        <v/>
      </c>
      <c r="C2458" s="73" t="str">
        <f aca="false">IF(A2458="","",A2458&amp;"-"&amp;B2458)</f>
        <v/>
      </c>
      <c r="D2458" s="58"/>
      <c r="E2458" s="57"/>
      <c r="F2458" s="69"/>
      <c r="G2458" s="69"/>
      <c r="H2458" s="74" t="str">
        <f aca="false">IF(A2458="","",IFERROR(INDEX(السندات!$C$5:$C$504,MATCH(A2458,السندات!$A$5:$A$504,0)),""))</f>
        <v/>
      </c>
      <c r="I2458" s="75" t="str">
        <f aca="false">IF(A2458="","",IFERROR(INDEX(السندات!$D$5:$D$504,MATCH(A2458,السندات!$A$5:$A$504,0)),""))</f>
        <v/>
      </c>
      <c r="J2458" s="76" t="str">
        <f aca="false">IF(A2458="","",IF(ISNA(MATCH(A2458,السندات!$A$5:$A$504,0)),"رقم سند غير موجود ✘",IF(AND(F2458&lt;&gt;"",G2458&lt;&gt;""),"اكتب مدين أو دائن فقط ✘",IF(AND(N(F2458)=0,N(G2458)=0),"بدون مبلغ ⚠",IF(B2458&gt;12,"يتجاوز 12 بنداً في الطباعة ⚠","")))))</f>
        <v/>
      </c>
    </row>
    <row r="2459" customFormat="false" ht="15" hidden="false" customHeight="false" outlineLevel="0" collapsed="false">
      <c r="A2459" s="58"/>
      <c r="B2459" s="68" t="str">
        <f aca="false">IF(A2459="","",COUNTIF(A$5:A2459,A2459))</f>
        <v/>
      </c>
      <c r="C2459" s="68" t="str">
        <f aca="false">IF(A2459="","",A2459&amp;"-"&amp;B2459)</f>
        <v/>
      </c>
      <c r="D2459" s="58"/>
      <c r="E2459" s="57"/>
      <c r="F2459" s="69"/>
      <c r="G2459" s="69"/>
      <c r="H2459" s="70" t="str">
        <f aca="false">IF(A2459="","",IFERROR(INDEX(السندات!$C$5:$C$504,MATCH(A2459,السندات!$A$5:$A$504,0)),""))</f>
        <v/>
      </c>
      <c r="I2459" s="71" t="str">
        <f aca="false">IF(A2459="","",IFERROR(INDEX(السندات!$D$5:$D$504,MATCH(A2459,السندات!$A$5:$A$504,0)),""))</f>
        <v/>
      </c>
      <c r="J2459" s="72" t="str">
        <f aca="false">IF(A2459="","",IF(ISNA(MATCH(A2459,السندات!$A$5:$A$504,0)),"رقم سند غير موجود ✘",IF(AND(F2459&lt;&gt;"",G2459&lt;&gt;""),"اكتب مدين أو دائن فقط ✘",IF(AND(N(F2459)=0,N(G2459)=0),"بدون مبلغ ⚠",IF(B2459&gt;12,"يتجاوز 12 بنداً في الطباعة ⚠","")))))</f>
        <v/>
      </c>
    </row>
    <row r="2460" customFormat="false" ht="15" hidden="false" customHeight="false" outlineLevel="0" collapsed="false">
      <c r="A2460" s="58"/>
      <c r="B2460" s="73" t="str">
        <f aca="false">IF(A2460="","",COUNTIF(A$5:A2460,A2460))</f>
        <v/>
      </c>
      <c r="C2460" s="73" t="str">
        <f aca="false">IF(A2460="","",A2460&amp;"-"&amp;B2460)</f>
        <v/>
      </c>
      <c r="D2460" s="58"/>
      <c r="E2460" s="57"/>
      <c r="F2460" s="69"/>
      <c r="G2460" s="69"/>
      <c r="H2460" s="74" t="str">
        <f aca="false">IF(A2460="","",IFERROR(INDEX(السندات!$C$5:$C$504,MATCH(A2460,السندات!$A$5:$A$504,0)),""))</f>
        <v/>
      </c>
      <c r="I2460" s="75" t="str">
        <f aca="false">IF(A2460="","",IFERROR(INDEX(السندات!$D$5:$D$504,MATCH(A2460,السندات!$A$5:$A$504,0)),""))</f>
        <v/>
      </c>
      <c r="J2460" s="76" t="str">
        <f aca="false">IF(A2460="","",IF(ISNA(MATCH(A2460,السندات!$A$5:$A$504,0)),"رقم سند غير موجود ✘",IF(AND(F2460&lt;&gt;"",G2460&lt;&gt;""),"اكتب مدين أو دائن فقط ✘",IF(AND(N(F2460)=0,N(G2460)=0),"بدون مبلغ ⚠",IF(B2460&gt;12,"يتجاوز 12 بنداً في الطباعة ⚠","")))))</f>
        <v/>
      </c>
    </row>
    <row r="2461" customFormat="false" ht="15" hidden="false" customHeight="false" outlineLevel="0" collapsed="false">
      <c r="A2461" s="58"/>
      <c r="B2461" s="68" t="str">
        <f aca="false">IF(A2461="","",COUNTIF(A$5:A2461,A2461))</f>
        <v/>
      </c>
      <c r="C2461" s="68" t="str">
        <f aca="false">IF(A2461="","",A2461&amp;"-"&amp;B2461)</f>
        <v/>
      </c>
      <c r="D2461" s="58"/>
      <c r="E2461" s="57"/>
      <c r="F2461" s="69"/>
      <c r="G2461" s="69"/>
      <c r="H2461" s="70" t="str">
        <f aca="false">IF(A2461="","",IFERROR(INDEX(السندات!$C$5:$C$504,MATCH(A2461,السندات!$A$5:$A$504,0)),""))</f>
        <v/>
      </c>
      <c r="I2461" s="71" t="str">
        <f aca="false">IF(A2461="","",IFERROR(INDEX(السندات!$D$5:$D$504,MATCH(A2461,السندات!$A$5:$A$504,0)),""))</f>
        <v/>
      </c>
      <c r="J2461" s="72" t="str">
        <f aca="false">IF(A2461="","",IF(ISNA(MATCH(A2461,السندات!$A$5:$A$504,0)),"رقم سند غير موجود ✘",IF(AND(F2461&lt;&gt;"",G2461&lt;&gt;""),"اكتب مدين أو دائن فقط ✘",IF(AND(N(F2461)=0,N(G2461)=0),"بدون مبلغ ⚠",IF(B2461&gt;12,"يتجاوز 12 بنداً في الطباعة ⚠","")))))</f>
        <v/>
      </c>
    </row>
    <row r="2462" customFormat="false" ht="15" hidden="false" customHeight="false" outlineLevel="0" collapsed="false">
      <c r="A2462" s="58"/>
      <c r="B2462" s="73" t="str">
        <f aca="false">IF(A2462="","",COUNTIF(A$5:A2462,A2462))</f>
        <v/>
      </c>
      <c r="C2462" s="73" t="str">
        <f aca="false">IF(A2462="","",A2462&amp;"-"&amp;B2462)</f>
        <v/>
      </c>
      <c r="D2462" s="58"/>
      <c r="E2462" s="57"/>
      <c r="F2462" s="69"/>
      <c r="G2462" s="69"/>
      <c r="H2462" s="74" t="str">
        <f aca="false">IF(A2462="","",IFERROR(INDEX(السندات!$C$5:$C$504,MATCH(A2462,السندات!$A$5:$A$504,0)),""))</f>
        <v/>
      </c>
      <c r="I2462" s="75" t="str">
        <f aca="false">IF(A2462="","",IFERROR(INDEX(السندات!$D$5:$D$504,MATCH(A2462,السندات!$A$5:$A$504,0)),""))</f>
        <v/>
      </c>
      <c r="J2462" s="76" t="str">
        <f aca="false">IF(A2462="","",IF(ISNA(MATCH(A2462,السندات!$A$5:$A$504,0)),"رقم سند غير موجود ✘",IF(AND(F2462&lt;&gt;"",G2462&lt;&gt;""),"اكتب مدين أو دائن فقط ✘",IF(AND(N(F2462)=0,N(G2462)=0),"بدون مبلغ ⚠",IF(B2462&gt;12,"يتجاوز 12 بنداً في الطباعة ⚠","")))))</f>
        <v/>
      </c>
    </row>
    <row r="2463" customFormat="false" ht="15" hidden="false" customHeight="false" outlineLevel="0" collapsed="false">
      <c r="A2463" s="58"/>
      <c r="B2463" s="68" t="str">
        <f aca="false">IF(A2463="","",COUNTIF(A$5:A2463,A2463))</f>
        <v/>
      </c>
      <c r="C2463" s="68" t="str">
        <f aca="false">IF(A2463="","",A2463&amp;"-"&amp;B2463)</f>
        <v/>
      </c>
      <c r="D2463" s="58"/>
      <c r="E2463" s="57"/>
      <c r="F2463" s="69"/>
      <c r="G2463" s="69"/>
      <c r="H2463" s="70" t="str">
        <f aca="false">IF(A2463="","",IFERROR(INDEX(السندات!$C$5:$C$504,MATCH(A2463,السندات!$A$5:$A$504,0)),""))</f>
        <v/>
      </c>
      <c r="I2463" s="71" t="str">
        <f aca="false">IF(A2463="","",IFERROR(INDEX(السندات!$D$5:$D$504,MATCH(A2463,السندات!$A$5:$A$504,0)),""))</f>
        <v/>
      </c>
      <c r="J2463" s="72" t="str">
        <f aca="false">IF(A2463="","",IF(ISNA(MATCH(A2463,السندات!$A$5:$A$504,0)),"رقم سند غير موجود ✘",IF(AND(F2463&lt;&gt;"",G2463&lt;&gt;""),"اكتب مدين أو دائن فقط ✘",IF(AND(N(F2463)=0,N(G2463)=0),"بدون مبلغ ⚠",IF(B2463&gt;12,"يتجاوز 12 بنداً في الطباعة ⚠","")))))</f>
        <v/>
      </c>
    </row>
    <row r="2464" customFormat="false" ht="15" hidden="false" customHeight="false" outlineLevel="0" collapsed="false">
      <c r="A2464" s="58"/>
      <c r="B2464" s="73" t="str">
        <f aca="false">IF(A2464="","",COUNTIF(A$5:A2464,A2464))</f>
        <v/>
      </c>
      <c r="C2464" s="73" t="str">
        <f aca="false">IF(A2464="","",A2464&amp;"-"&amp;B2464)</f>
        <v/>
      </c>
      <c r="D2464" s="58"/>
      <c r="E2464" s="57"/>
      <c r="F2464" s="69"/>
      <c r="G2464" s="69"/>
      <c r="H2464" s="74" t="str">
        <f aca="false">IF(A2464="","",IFERROR(INDEX(السندات!$C$5:$C$504,MATCH(A2464,السندات!$A$5:$A$504,0)),""))</f>
        <v/>
      </c>
      <c r="I2464" s="75" t="str">
        <f aca="false">IF(A2464="","",IFERROR(INDEX(السندات!$D$5:$D$504,MATCH(A2464,السندات!$A$5:$A$504,0)),""))</f>
        <v/>
      </c>
      <c r="J2464" s="76" t="str">
        <f aca="false">IF(A2464="","",IF(ISNA(MATCH(A2464,السندات!$A$5:$A$504,0)),"رقم سند غير موجود ✘",IF(AND(F2464&lt;&gt;"",G2464&lt;&gt;""),"اكتب مدين أو دائن فقط ✘",IF(AND(N(F2464)=0,N(G2464)=0),"بدون مبلغ ⚠",IF(B2464&gt;12,"يتجاوز 12 بنداً في الطباعة ⚠","")))))</f>
        <v/>
      </c>
    </row>
    <row r="2465" customFormat="false" ht="15" hidden="false" customHeight="false" outlineLevel="0" collapsed="false">
      <c r="A2465" s="58"/>
      <c r="B2465" s="68" t="str">
        <f aca="false">IF(A2465="","",COUNTIF(A$5:A2465,A2465))</f>
        <v/>
      </c>
      <c r="C2465" s="68" t="str">
        <f aca="false">IF(A2465="","",A2465&amp;"-"&amp;B2465)</f>
        <v/>
      </c>
      <c r="D2465" s="58"/>
      <c r="E2465" s="57"/>
      <c r="F2465" s="69"/>
      <c r="G2465" s="69"/>
      <c r="H2465" s="70" t="str">
        <f aca="false">IF(A2465="","",IFERROR(INDEX(السندات!$C$5:$C$504,MATCH(A2465,السندات!$A$5:$A$504,0)),""))</f>
        <v/>
      </c>
      <c r="I2465" s="71" t="str">
        <f aca="false">IF(A2465="","",IFERROR(INDEX(السندات!$D$5:$D$504,MATCH(A2465,السندات!$A$5:$A$504,0)),""))</f>
        <v/>
      </c>
      <c r="J2465" s="72" t="str">
        <f aca="false">IF(A2465="","",IF(ISNA(MATCH(A2465,السندات!$A$5:$A$504,0)),"رقم سند غير موجود ✘",IF(AND(F2465&lt;&gt;"",G2465&lt;&gt;""),"اكتب مدين أو دائن فقط ✘",IF(AND(N(F2465)=0,N(G2465)=0),"بدون مبلغ ⚠",IF(B2465&gt;12,"يتجاوز 12 بنداً في الطباعة ⚠","")))))</f>
        <v/>
      </c>
    </row>
    <row r="2466" customFormat="false" ht="15" hidden="false" customHeight="false" outlineLevel="0" collapsed="false">
      <c r="A2466" s="58"/>
      <c r="B2466" s="73" t="str">
        <f aca="false">IF(A2466="","",COUNTIF(A$5:A2466,A2466))</f>
        <v/>
      </c>
      <c r="C2466" s="73" t="str">
        <f aca="false">IF(A2466="","",A2466&amp;"-"&amp;B2466)</f>
        <v/>
      </c>
      <c r="D2466" s="58"/>
      <c r="E2466" s="57"/>
      <c r="F2466" s="69"/>
      <c r="G2466" s="69"/>
      <c r="H2466" s="74" t="str">
        <f aca="false">IF(A2466="","",IFERROR(INDEX(السندات!$C$5:$C$504,MATCH(A2466,السندات!$A$5:$A$504,0)),""))</f>
        <v/>
      </c>
      <c r="I2466" s="75" t="str">
        <f aca="false">IF(A2466="","",IFERROR(INDEX(السندات!$D$5:$D$504,MATCH(A2466,السندات!$A$5:$A$504,0)),""))</f>
        <v/>
      </c>
      <c r="J2466" s="76" t="str">
        <f aca="false">IF(A2466="","",IF(ISNA(MATCH(A2466,السندات!$A$5:$A$504,0)),"رقم سند غير موجود ✘",IF(AND(F2466&lt;&gt;"",G2466&lt;&gt;""),"اكتب مدين أو دائن فقط ✘",IF(AND(N(F2466)=0,N(G2466)=0),"بدون مبلغ ⚠",IF(B2466&gt;12,"يتجاوز 12 بنداً في الطباعة ⚠","")))))</f>
        <v/>
      </c>
    </row>
    <row r="2467" customFormat="false" ht="15" hidden="false" customHeight="false" outlineLevel="0" collapsed="false">
      <c r="A2467" s="58"/>
      <c r="B2467" s="68" t="str">
        <f aca="false">IF(A2467="","",COUNTIF(A$5:A2467,A2467))</f>
        <v/>
      </c>
      <c r="C2467" s="68" t="str">
        <f aca="false">IF(A2467="","",A2467&amp;"-"&amp;B2467)</f>
        <v/>
      </c>
      <c r="D2467" s="58"/>
      <c r="E2467" s="57"/>
      <c r="F2467" s="69"/>
      <c r="G2467" s="69"/>
      <c r="H2467" s="70" t="str">
        <f aca="false">IF(A2467="","",IFERROR(INDEX(السندات!$C$5:$C$504,MATCH(A2467,السندات!$A$5:$A$504,0)),""))</f>
        <v/>
      </c>
      <c r="I2467" s="71" t="str">
        <f aca="false">IF(A2467="","",IFERROR(INDEX(السندات!$D$5:$D$504,MATCH(A2467,السندات!$A$5:$A$504,0)),""))</f>
        <v/>
      </c>
      <c r="J2467" s="72" t="str">
        <f aca="false">IF(A2467="","",IF(ISNA(MATCH(A2467,السندات!$A$5:$A$504,0)),"رقم سند غير موجود ✘",IF(AND(F2467&lt;&gt;"",G2467&lt;&gt;""),"اكتب مدين أو دائن فقط ✘",IF(AND(N(F2467)=0,N(G2467)=0),"بدون مبلغ ⚠",IF(B2467&gt;12,"يتجاوز 12 بنداً في الطباعة ⚠","")))))</f>
        <v/>
      </c>
    </row>
    <row r="2468" customFormat="false" ht="15" hidden="false" customHeight="false" outlineLevel="0" collapsed="false">
      <c r="A2468" s="58"/>
      <c r="B2468" s="73" t="str">
        <f aca="false">IF(A2468="","",COUNTIF(A$5:A2468,A2468))</f>
        <v/>
      </c>
      <c r="C2468" s="73" t="str">
        <f aca="false">IF(A2468="","",A2468&amp;"-"&amp;B2468)</f>
        <v/>
      </c>
      <c r="D2468" s="58"/>
      <c r="E2468" s="57"/>
      <c r="F2468" s="69"/>
      <c r="G2468" s="69"/>
      <c r="H2468" s="74" t="str">
        <f aca="false">IF(A2468="","",IFERROR(INDEX(السندات!$C$5:$C$504,MATCH(A2468,السندات!$A$5:$A$504,0)),""))</f>
        <v/>
      </c>
      <c r="I2468" s="75" t="str">
        <f aca="false">IF(A2468="","",IFERROR(INDEX(السندات!$D$5:$D$504,MATCH(A2468,السندات!$A$5:$A$504,0)),""))</f>
        <v/>
      </c>
      <c r="J2468" s="76" t="str">
        <f aca="false">IF(A2468="","",IF(ISNA(MATCH(A2468,السندات!$A$5:$A$504,0)),"رقم سند غير موجود ✘",IF(AND(F2468&lt;&gt;"",G2468&lt;&gt;""),"اكتب مدين أو دائن فقط ✘",IF(AND(N(F2468)=0,N(G2468)=0),"بدون مبلغ ⚠",IF(B2468&gt;12,"يتجاوز 12 بنداً في الطباعة ⚠","")))))</f>
        <v/>
      </c>
    </row>
    <row r="2469" customFormat="false" ht="15" hidden="false" customHeight="false" outlineLevel="0" collapsed="false">
      <c r="A2469" s="58"/>
      <c r="B2469" s="68" t="str">
        <f aca="false">IF(A2469="","",COUNTIF(A$5:A2469,A2469))</f>
        <v/>
      </c>
      <c r="C2469" s="68" t="str">
        <f aca="false">IF(A2469="","",A2469&amp;"-"&amp;B2469)</f>
        <v/>
      </c>
      <c r="D2469" s="58"/>
      <c r="E2469" s="57"/>
      <c r="F2469" s="69"/>
      <c r="G2469" s="69"/>
      <c r="H2469" s="70" t="str">
        <f aca="false">IF(A2469="","",IFERROR(INDEX(السندات!$C$5:$C$504,MATCH(A2469,السندات!$A$5:$A$504,0)),""))</f>
        <v/>
      </c>
      <c r="I2469" s="71" t="str">
        <f aca="false">IF(A2469="","",IFERROR(INDEX(السندات!$D$5:$D$504,MATCH(A2469,السندات!$A$5:$A$504,0)),""))</f>
        <v/>
      </c>
      <c r="J2469" s="72" t="str">
        <f aca="false">IF(A2469="","",IF(ISNA(MATCH(A2469,السندات!$A$5:$A$504,0)),"رقم سند غير موجود ✘",IF(AND(F2469&lt;&gt;"",G2469&lt;&gt;""),"اكتب مدين أو دائن فقط ✘",IF(AND(N(F2469)=0,N(G2469)=0),"بدون مبلغ ⚠",IF(B2469&gt;12,"يتجاوز 12 بنداً في الطباعة ⚠","")))))</f>
        <v/>
      </c>
    </row>
    <row r="2470" customFormat="false" ht="15" hidden="false" customHeight="false" outlineLevel="0" collapsed="false">
      <c r="A2470" s="58"/>
      <c r="B2470" s="73" t="str">
        <f aca="false">IF(A2470="","",COUNTIF(A$5:A2470,A2470))</f>
        <v/>
      </c>
      <c r="C2470" s="73" t="str">
        <f aca="false">IF(A2470="","",A2470&amp;"-"&amp;B2470)</f>
        <v/>
      </c>
      <c r="D2470" s="58"/>
      <c r="E2470" s="57"/>
      <c r="F2470" s="69"/>
      <c r="G2470" s="69"/>
      <c r="H2470" s="74" t="str">
        <f aca="false">IF(A2470="","",IFERROR(INDEX(السندات!$C$5:$C$504,MATCH(A2470,السندات!$A$5:$A$504,0)),""))</f>
        <v/>
      </c>
      <c r="I2470" s="75" t="str">
        <f aca="false">IF(A2470="","",IFERROR(INDEX(السندات!$D$5:$D$504,MATCH(A2470,السندات!$A$5:$A$504,0)),""))</f>
        <v/>
      </c>
      <c r="J2470" s="76" t="str">
        <f aca="false">IF(A2470="","",IF(ISNA(MATCH(A2470,السندات!$A$5:$A$504,0)),"رقم سند غير موجود ✘",IF(AND(F2470&lt;&gt;"",G2470&lt;&gt;""),"اكتب مدين أو دائن فقط ✘",IF(AND(N(F2470)=0,N(G2470)=0),"بدون مبلغ ⚠",IF(B2470&gt;12,"يتجاوز 12 بنداً في الطباعة ⚠","")))))</f>
        <v/>
      </c>
    </row>
    <row r="2471" customFormat="false" ht="15" hidden="false" customHeight="false" outlineLevel="0" collapsed="false">
      <c r="A2471" s="58"/>
      <c r="B2471" s="68" t="str">
        <f aca="false">IF(A2471="","",COUNTIF(A$5:A2471,A2471))</f>
        <v/>
      </c>
      <c r="C2471" s="68" t="str">
        <f aca="false">IF(A2471="","",A2471&amp;"-"&amp;B2471)</f>
        <v/>
      </c>
      <c r="D2471" s="58"/>
      <c r="E2471" s="57"/>
      <c r="F2471" s="69"/>
      <c r="G2471" s="69"/>
      <c r="H2471" s="70" t="str">
        <f aca="false">IF(A2471="","",IFERROR(INDEX(السندات!$C$5:$C$504,MATCH(A2471,السندات!$A$5:$A$504,0)),""))</f>
        <v/>
      </c>
      <c r="I2471" s="71" t="str">
        <f aca="false">IF(A2471="","",IFERROR(INDEX(السندات!$D$5:$D$504,MATCH(A2471,السندات!$A$5:$A$504,0)),""))</f>
        <v/>
      </c>
      <c r="J2471" s="72" t="str">
        <f aca="false">IF(A2471="","",IF(ISNA(MATCH(A2471,السندات!$A$5:$A$504,0)),"رقم سند غير موجود ✘",IF(AND(F2471&lt;&gt;"",G2471&lt;&gt;""),"اكتب مدين أو دائن فقط ✘",IF(AND(N(F2471)=0,N(G2471)=0),"بدون مبلغ ⚠",IF(B2471&gt;12,"يتجاوز 12 بنداً في الطباعة ⚠","")))))</f>
        <v/>
      </c>
    </row>
    <row r="2472" customFormat="false" ht="15" hidden="false" customHeight="false" outlineLevel="0" collapsed="false">
      <c r="A2472" s="58"/>
      <c r="B2472" s="73" t="str">
        <f aca="false">IF(A2472="","",COUNTIF(A$5:A2472,A2472))</f>
        <v/>
      </c>
      <c r="C2472" s="73" t="str">
        <f aca="false">IF(A2472="","",A2472&amp;"-"&amp;B2472)</f>
        <v/>
      </c>
      <c r="D2472" s="58"/>
      <c r="E2472" s="57"/>
      <c r="F2472" s="69"/>
      <c r="G2472" s="69"/>
      <c r="H2472" s="74" t="str">
        <f aca="false">IF(A2472="","",IFERROR(INDEX(السندات!$C$5:$C$504,MATCH(A2472,السندات!$A$5:$A$504,0)),""))</f>
        <v/>
      </c>
      <c r="I2472" s="75" t="str">
        <f aca="false">IF(A2472="","",IFERROR(INDEX(السندات!$D$5:$D$504,MATCH(A2472,السندات!$A$5:$A$504,0)),""))</f>
        <v/>
      </c>
      <c r="J2472" s="76" t="str">
        <f aca="false">IF(A2472="","",IF(ISNA(MATCH(A2472,السندات!$A$5:$A$504,0)),"رقم سند غير موجود ✘",IF(AND(F2472&lt;&gt;"",G2472&lt;&gt;""),"اكتب مدين أو دائن فقط ✘",IF(AND(N(F2472)=0,N(G2472)=0),"بدون مبلغ ⚠",IF(B2472&gt;12,"يتجاوز 12 بنداً في الطباعة ⚠","")))))</f>
        <v/>
      </c>
    </row>
    <row r="2473" customFormat="false" ht="15" hidden="false" customHeight="false" outlineLevel="0" collapsed="false">
      <c r="A2473" s="58"/>
      <c r="B2473" s="68" t="str">
        <f aca="false">IF(A2473="","",COUNTIF(A$5:A2473,A2473))</f>
        <v/>
      </c>
      <c r="C2473" s="68" t="str">
        <f aca="false">IF(A2473="","",A2473&amp;"-"&amp;B2473)</f>
        <v/>
      </c>
      <c r="D2473" s="58"/>
      <c r="E2473" s="57"/>
      <c r="F2473" s="69"/>
      <c r="G2473" s="69"/>
      <c r="H2473" s="70" t="str">
        <f aca="false">IF(A2473="","",IFERROR(INDEX(السندات!$C$5:$C$504,MATCH(A2473,السندات!$A$5:$A$504,0)),""))</f>
        <v/>
      </c>
      <c r="I2473" s="71" t="str">
        <f aca="false">IF(A2473="","",IFERROR(INDEX(السندات!$D$5:$D$504,MATCH(A2473,السندات!$A$5:$A$504,0)),""))</f>
        <v/>
      </c>
      <c r="J2473" s="72" t="str">
        <f aca="false">IF(A2473="","",IF(ISNA(MATCH(A2473,السندات!$A$5:$A$504,0)),"رقم سند غير موجود ✘",IF(AND(F2473&lt;&gt;"",G2473&lt;&gt;""),"اكتب مدين أو دائن فقط ✘",IF(AND(N(F2473)=0,N(G2473)=0),"بدون مبلغ ⚠",IF(B2473&gt;12,"يتجاوز 12 بنداً في الطباعة ⚠","")))))</f>
        <v/>
      </c>
    </row>
    <row r="2474" customFormat="false" ht="15" hidden="false" customHeight="false" outlineLevel="0" collapsed="false">
      <c r="A2474" s="58"/>
      <c r="B2474" s="73" t="str">
        <f aca="false">IF(A2474="","",COUNTIF(A$5:A2474,A2474))</f>
        <v/>
      </c>
      <c r="C2474" s="73" t="str">
        <f aca="false">IF(A2474="","",A2474&amp;"-"&amp;B2474)</f>
        <v/>
      </c>
      <c r="D2474" s="58"/>
      <c r="E2474" s="57"/>
      <c r="F2474" s="69"/>
      <c r="G2474" s="69"/>
      <c r="H2474" s="74" t="str">
        <f aca="false">IF(A2474="","",IFERROR(INDEX(السندات!$C$5:$C$504,MATCH(A2474,السندات!$A$5:$A$504,0)),""))</f>
        <v/>
      </c>
      <c r="I2474" s="75" t="str">
        <f aca="false">IF(A2474="","",IFERROR(INDEX(السندات!$D$5:$D$504,MATCH(A2474,السندات!$A$5:$A$504,0)),""))</f>
        <v/>
      </c>
      <c r="J2474" s="76" t="str">
        <f aca="false">IF(A2474="","",IF(ISNA(MATCH(A2474,السندات!$A$5:$A$504,0)),"رقم سند غير موجود ✘",IF(AND(F2474&lt;&gt;"",G2474&lt;&gt;""),"اكتب مدين أو دائن فقط ✘",IF(AND(N(F2474)=0,N(G2474)=0),"بدون مبلغ ⚠",IF(B2474&gt;12,"يتجاوز 12 بنداً في الطباعة ⚠","")))))</f>
        <v/>
      </c>
    </row>
    <row r="2475" customFormat="false" ht="15" hidden="false" customHeight="false" outlineLevel="0" collapsed="false">
      <c r="A2475" s="58"/>
      <c r="B2475" s="68" t="str">
        <f aca="false">IF(A2475="","",COUNTIF(A$5:A2475,A2475))</f>
        <v/>
      </c>
      <c r="C2475" s="68" t="str">
        <f aca="false">IF(A2475="","",A2475&amp;"-"&amp;B2475)</f>
        <v/>
      </c>
      <c r="D2475" s="58"/>
      <c r="E2475" s="57"/>
      <c r="F2475" s="69"/>
      <c r="G2475" s="69"/>
      <c r="H2475" s="70" t="str">
        <f aca="false">IF(A2475="","",IFERROR(INDEX(السندات!$C$5:$C$504,MATCH(A2475,السندات!$A$5:$A$504,0)),""))</f>
        <v/>
      </c>
      <c r="I2475" s="71" t="str">
        <f aca="false">IF(A2475="","",IFERROR(INDEX(السندات!$D$5:$D$504,MATCH(A2475,السندات!$A$5:$A$504,0)),""))</f>
        <v/>
      </c>
      <c r="J2475" s="72" t="str">
        <f aca="false">IF(A2475="","",IF(ISNA(MATCH(A2475,السندات!$A$5:$A$504,0)),"رقم سند غير موجود ✘",IF(AND(F2475&lt;&gt;"",G2475&lt;&gt;""),"اكتب مدين أو دائن فقط ✘",IF(AND(N(F2475)=0,N(G2475)=0),"بدون مبلغ ⚠",IF(B2475&gt;12,"يتجاوز 12 بنداً في الطباعة ⚠","")))))</f>
        <v/>
      </c>
    </row>
    <row r="2476" customFormat="false" ht="15" hidden="false" customHeight="false" outlineLevel="0" collapsed="false">
      <c r="A2476" s="58"/>
      <c r="B2476" s="73" t="str">
        <f aca="false">IF(A2476="","",COUNTIF(A$5:A2476,A2476))</f>
        <v/>
      </c>
      <c r="C2476" s="73" t="str">
        <f aca="false">IF(A2476="","",A2476&amp;"-"&amp;B2476)</f>
        <v/>
      </c>
      <c r="D2476" s="58"/>
      <c r="E2476" s="57"/>
      <c r="F2476" s="69"/>
      <c r="G2476" s="69"/>
      <c r="H2476" s="74" t="str">
        <f aca="false">IF(A2476="","",IFERROR(INDEX(السندات!$C$5:$C$504,MATCH(A2476,السندات!$A$5:$A$504,0)),""))</f>
        <v/>
      </c>
      <c r="I2476" s="75" t="str">
        <f aca="false">IF(A2476="","",IFERROR(INDEX(السندات!$D$5:$D$504,MATCH(A2476,السندات!$A$5:$A$504,0)),""))</f>
        <v/>
      </c>
      <c r="J2476" s="76" t="str">
        <f aca="false">IF(A2476="","",IF(ISNA(MATCH(A2476,السندات!$A$5:$A$504,0)),"رقم سند غير موجود ✘",IF(AND(F2476&lt;&gt;"",G2476&lt;&gt;""),"اكتب مدين أو دائن فقط ✘",IF(AND(N(F2476)=0,N(G2476)=0),"بدون مبلغ ⚠",IF(B2476&gt;12,"يتجاوز 12 بنداً في الطباعة ⚠","")))))</f>
        <v/>
      </c>
    </row>
    <row r="2477" customFormat="false" ht="15" hidden="false" customHeight="false" outlineLevel="0" collapsed="false">
      <c r="A2477" s="58"/>
      <c r="B2477" s="68" t="str">
        <f aca="false">IF(A2477="","",COUNTIF(A$5:A2477,A2477))</f>
        <v/>
      </c>
      <c r="C2477" s="68" t="str">
        <f aca="false">IF(A2477="","",A2477&amp;"-"&amp;B2477)</f>
        <v/>
      </c>
      <c r="D2477" s="58"/>
      <c r="E2477" s="57"/>
      <c r="F2477" s="69"/>
      <c r="G2477" s="69"/>
      <c r="H2477" s="70" t="str">
        <f aca="false">IF(A2477="","",IFERROR(INDEX(السندات!$C$5:$C$504,MATCH(A2477,السندات!$A$5:$A$504,0)),""))</f>
        <v/>
      </c>
      <c r="I2477" s="71" t="str">
        <f aca="false">IF(A2477="","",IFERROR(INDEX(السندات!$D$5:$D$504,MATCH(A2477,السندات!$A$5:$A$504,0)),""))</f>
        <v/>
      </c>
      <c r="J2477" s="72" t="str">
        <f aca="false">IF(A2477="","",IF(ISNA(MATCH(A2477,السندات!$A$5:$A$504,0)),"رقم سند غير موجود ✘",IF(AND(F2477&lt;&gt;"",G2477&lt;&gt;""),"اكتب مدين أو دائن فقط ✘",IF(AND(N(F2477)=0,N(G2477)=0),"بدون مبلغ ⚠",IF(B2477&gt;12,"يتجاوز 12 بنداً في الطباعة ⚠","")))))</f>
        <v/>
      </c>
    </row>
    <row r="2478" customFormat="false" ht="15" hidden="false" customHeight="false" outlineLevel="0" collapsed="false">
      <c r="A2478" s="58"/>
      <c r="B2478" s="73" t="str">
        <f aca="false">IF(A2478="","",COUNTIF(A$5:A2478,A2478))</f>
        <v/>
      </c>
      <c r="C2478" s="73" t="str">
        <f aca="false">IF(A2478="","",A2478&amp;"-"&amp;B2478)</f>
        <v/>
      </c>
      <c r="D2478" s="58"/>
      <c r="E2478" s="57"/>
      <c r="F2478" s="69"/>
      <c r="G2478" s="69"/>
      <c r="H2478" s="74" t="str">
        <f aca="false">IF(A2478="","",IFERROR(INDEX(السندات!$C$5:$C$504,MATCH(A2478,السندات!$A$5:$A$504,0)),""))</f>
        <v/>
      </c>
      <c r="I2478" s="75" t="str">
        <f aca="false">IF(A2478="","",IFERROR(INDEX(السندات!$D$5:$D$504,MATCH(A2478,السندات!$A$5:$A$504,0)),""))</f>
        <v/>
      </c>
      <c r="J2478" s="76" t="str">
        <f aca="false">IF(A2478="","",IF(ISNA(MATCH(A2478,السندات!$A$5:$A$504,0)),"رقم سند غير موجود ✘",IF(AND(F2478&lt;&gt;"",G2478&lt;&gt;""),"اكتب مدين أو دائن فقط ✘",IF(AND(N(F2478)=0,N(G2478)=0),"بدون مبلغ ⚠",IF(B2478&gt;12,"يتجاوز 12 بنداً في الطباعة ⚠","")))))</f>
        <v/>
      </c>
    </row>
    <row r="2479" customFormat="false" ht="15" hidden="false" customHeight="false" outlineLevel="0" collapsed="false">
      <c r="A2479" s="58"/>
      <c r="B2479" s="68" t="str">
        <f aca="false">IF(A2479="","",COUNTIF(A$5:A2479,A2479))</f>
        <v/>
      </c>
      <c r="C2479" s="68" t="str">
        <f aca="false">IF(A2479="","",A2479&amp;"-"&amp;B2479)</f>
        <v/>
      </c>
      <c r="D2479" s="58"/>
      <c r="E2479" s="57"/>
      <c r="F2479" s="69"/>
      <c r="G2479" s="69"/>
      <c r="H2479" s="70" t="str">
        <f aca="false">IF(A2479="","",IFERROR(INDEX(السندات!$C$5:$C$504,MATCH(A2479,السندات!$A$5:$A$504,0)),""))</f>
        <v/>
      </c>
      <c r="I2479" s="71" t="str">
        <f aca="false">IF(A2479="","",IFERROR(INDEX(السندات!$D$5:$D$504,MATCH(A2479,السندات!$A$5:$A$504,0)),""))</f>
        <v/>
      </c>
      <c r="J2479" s="72" t="str">
        <f aca="false">IF(A2479="","",IF(ISNA(MATCH(A2479,السندات!$A$5:$A$504,0)),"رقم سند غير موجود ✘",IF(AND(F2479&lt;&gt;"",G2479&lt;&gt;""),"اكتب مدين أو دائن فقط ✘",IF(AND(N(F2479)=0,N(G2479)=0),"بدون مبلغ ⚠",IF(B2479&gt;12,"يتجاوز 12 بنداً في الطباعة ⚠","")))))</f>
        <v/>
      </c>
    </row>
    <row r="2480" customFormat="false" ht="15" hidden="false" customHeight="false" outlineLevel="0" collapsed="false">
      <c r="A2480" s="58"/>
      <c r="B2480" s="73" t="str">
        <f aca="false">IF(A2480="","",COUNTIF(A$5:A2480,A2480))</f>
        <v/>
      </c>
      <c r="C2480" s="73" t="str">
        <f aca="false">IF(A2480="","",A2480&amp;"-"&amp;B2480)</f>
        <v/>
      </c>
      <c r="D2480" s="58"/>
      <c r="E2480" s="57"/>
      <c r="F2480" s="69"/>
      <c r="G2480" s="69"/>
      <c r="H2480" s="74" t="str">
        <f aca="false">IF(A2480="","",IFERROR(INDEX(السندات!$C$5:$C$504,MATCH(A2480,السندات!$A$5:$A$504,0)),""))</f>
        <v/>
      </c>
      <c r="I2480" s="75" t="str">
        <f aca="false">IF(A2480="","",IFERROR(INDEX(السندات!$D$5:$D$504,MATCH(A2480,السندات!$A$5:$A$504,0)),""))</f>
        <v/>
      </c>
      <c r="J2480" s="76" t="str">
        <f aca="false">IF(A2480="","",IF(ISNA(MATCH(A2480,السندات!$A$5:$A$504,0)),"رقم سند غير موجود ✘",IF(AND(F2480&lt;&gt;"",G2480&lt;&gt;""),"اكتب مدين أو دائن فقط ✘",IF(AND(N(F2480)=0,N(G2480)=0),"بدون مبلغ ⚠",IF(B2480&gt;12,"يتجاوز 12 بنداً في الطباعة ⚠","")))))</f>
        <v/>
      </c>
    </row>
    <row r="2481" customFormat="false" ht="15" hidden="false" customHeight="false" outlineLevel="0" collapsed="false">
      <c r="A2481" s="58"/>
      <c r="B2481" s="68" t="str">
        <f aca="false">IF(A2481="","",COUNTIF(A$5:A2481,A2481))</f>
        <v/>
      </c>
      <c r="C2481" s="68" t="str">
        <f aca="false">IF(A2481="","",A2481&amp;"-"&amp;B2481)</f>
        <v/>
      </c>
      <c r="D2481" s="58"/>
      <c r="E2481" s="57"/>
      <c r="F2481" s="69"/>
      <c r="G2481" s="69"/>
      <c r="H2481" s="70" t="str">
        <f aca="false">IF(A2481="","",IFERROR(INDEX(السندات!$C$5:$C$504,MATCH(A2481,السندات!$A$5:$A$504,0)),""))</f>
        <v/>
      </c>
      <c r="I2481" s="71" t="str">
        <f aca="false">IF(A2481="","",IFERROR(INDEX(السندات!$D$5:$D$504,MATCH(A2481,السندات!$A$5:$A$504,0)),""))</f>
        <v/>
      </c>
      <c r="J2481" s="72" t="str">
        <f aca="false">IF(A2481="","",IF(ISNA(MATCH(A2481,السندات!$A$5:$A$504,0)),"رقم سند غير موجود ✘",IF(AND(F2481&lt;&gt;"",G2481&lt;&gt;""),"اكتب مدين أو دائن فقط ✘",IF(AND(N(F2481)=0,N(G2481)=0),"بدون مبلغ ⚠",IF(B2481&gt;12,"يتجاوز 12 بنداً في الطباعة ⚠","")))))</f>
        <v/>
      </c>
    </row>
    <row r="2482" customFormat="false" ht="15" hidden="false" customHeight="false" outlineLevel="0" collapsed="false">
      <c r="A2482" s="58"/>
      <c r="B2482" s="73" t="str">
        <f aca="false">IF(A2482="","",COUNTIF(A$5:A2482,A2482))</f>
        <v/>
      </c>
      <c r="C2482" s="73" t="str">
        <f aca="false">IF(A2482="","",A2482&amp;"-"&amp;B2482)</f>
        <v/>
      </c>
      <c r="D2482" s="58"/>
      <c r="E2482" s="57"/>
      <c r="F2482" s="69"/>
      <c r="G2482" s="69"/>
      <c r="H2482" s="74" t="str">
        <f aca="false">IF(A2482="","",IFERROR(INDEX(السندات!$C$5:$C$504,MATCH(A2482,السندات!$A$5:$A$504,0)),""))</f>
        <v/>
      </c>
      <c r="I2482" s="75" t="str">
        <f aca="false">IF(A2482="","",IFERROR(INDEX(السندات!$D$5:$D$504,MATCH(A2482,السندات!$A$5:$A$504,0)),""))</f>
        <v/>
      </c>
      <c r="J2482" s="76" t="str">
        <f aca="false">IF(A2482="","",IF(ISNA(MATCH(A2482,السندات!$A$5:$A$504,0)),"رقم سند غير موجود ✘",IF(AND(F2482&lt;&gt;"",G2482&lt;&gt;""),"اكتب مدين أو دائن فقط ✘",IF(AND(N(F2482)=0,N(G2482)=0),"بدون مبلغ ⚠",IF(B2482&gt;12,"يتجاوز 12 بنداً في الطباعة ⚠","")))))</f>
        <v/>
      </c>
    </row>
    <row r="2483" customFormat="false" ht="15" hidden="false" customHeight="false" outlineLevel="0" collapsed="false">
      <c r="A2483" s="58"/>
      <c r="B2483" s="68" t="str">
        <f aca="false">IF(A2483="","",COUNTIF(A$5:A2483,A2483))</f>
        <v/>
      </c>
      <c r="C2483" s="68" t="str">
        <f aca="false">IF(A2483="","",A2483&amp;"-"&amp;B2483)</f>
        <v/>
      </c>
      <c r="D2483" s="58"/>
      <c r="E2483" s="57"/>
      <c r="F2483" s="69"/>
      <c r="G2483" s="69"/>
      <c r="H2483" s="70" t="str">
        <f aca="false">IF(A2483="","",IFERROR(INDEX(السندات!$C$5:$C$504,MATCH(A2483,السندات!$A$5:$A$504,0)),""))</f>
        <v/>
      </c>
      <c r="I2483" s="71" t="str">
        <f aca="false">IF(A2483="","",IFERROR(INDEX(السندات!$D$5:$D$504,MATCH(A2483,السندات!$A$5:$A$504,0)),""))</f>
        <v/>
      </c>
      <c r="J2483" s="72" t="str">
        <f aca="false">IF(A2483="","",IF(ISNA(MATCH(A2483,السندات!$A$5:$A$504,0)),"رقم سند غير موجود ✘",IF(AND(F2483&lt;&gt;"",G2483&lt;&gt;""),"اكتب مدين أو دائن فقط ✘",IF(AND(N(F2483)=0,N(G2483)=0),"بدون مبلغ ⚠",IF(B2483&gt;12,"يتجاوز 12 بنداً في الطباعة ⚠","")))))</f>
        <v/>
      </c>
    </row>
    <row r="2484" customFormat="false" ht="15" hidden="false" customHeight="false" outlineLevel="0" collapsed="false">
      <c r="A2484" s="58"/>
      <c r="B2484" s="73" t="str">
        <f aca="false">IF(A2484="","",COUNTIF(A$5:A2484,A2484))</f>
        <v/>
      </c>
      <c r="C2484" s="73" t="str">
        <f aca="false">IF(A2484="","",A2484&amp;"-"&amp;B2484)</f>
        <v/>
      </c>
      <c r="D2484" s="58"/>
      <c r="E2484" s="57"/>
      <c r="F2484" s="69"/>
      <c r="G2484" s="69"/>
      <c r="H2484" s="74" t="str">
        <f aca="false">IF(A2484="","",IFERROR(INDEX(السندات!$C$5:$C$504,MATCH(A2484,السندات!$A$5:$A$504,0)),""))</f>
        <v/>
      </c>
      <c r="I2484" s="75" t="str">
        <f aca="false">IF(A2484="","",IFERROR(INDEX(السندات!$D$5:$D$504,MATCH(A2484,السندات!$A$5:$A$504,0)),""))</f>
        <v/>
      </c>
      <c r="J2484" s="76" t="str">
        <f aca="false">IF(A2484="","",IF(ISNA(MATCH(A2484,السندات!$A$5:$A$504,0)),"رقم سند غير موجود ✘",IF(AND(F2484&lt;&gt;"",G2484&lt;&gt;""),"اكتب مدين أو دائن فقط ✘",IF(AND(N(F2484)=0,N(G2484)=0),"بدون مبلغ ⚠",IF(B2484&gt;12,"يتجاوز 12 بنداً في الطباعة ⚠","")))))</f>
        <v/>
      </c>
    </row>
    <row r="2485" customFormat="false" ht="15" hidden="false" customHeight="false" outlineLevel="0" collapsed="false">
      <c r="A2485" s="58"/>
      <c r="B2485" s="68" t="str">
        <f aca="false">IF(A2485="","",COUNTIF(A$5:A2485,A2485))</f>
        <v/>
      </c>
      <c r="C2485" s="68" t="str">
        <f aca="false">IF(A2485="","",A2485&amp;"-"&amp;B2485)</f>
        <v/>
      </c>
      <c r="D2485" s="58"/>
      <c r="E2485" s="57"/>
      <c r="F2485" s="69"/>
      <c r="G2485" s="69"/>
      <c r="H2485" s="70" t="str">
        <f aca="false">IF(A2485="","",IFERROR(INDEX(السندات!$C$5:$C$504,MATCH(A2485,السندات!$A$5:$A$504,0)),""))</f>
        <v/>
      </c>
      <c r="I2485" s="71" t="str">
        <f aca="false">IF(A2485="","",IFERROR(INDEX(السندات!$D$5:$D$504,MATCH(A2485,السندات!$A$5:$A$504,0)),""))</f>
        <v/>
      </c>
      <c r="J2485" s="72" t="str">
        <f aca="false">IF(A2485="","",IF(ISNA(MATCH(A2485,السندات!$A$5:$A$504,0)),"رقم سند غير موجود ✘",IF(AND(F2485&lt;&gt;"",G2485&lt;&gt;""),"اكتب مدين أو دائن فقط ✘",IF(AND(N(F2485)=0,N(G2485)=0),"بدون مبلغ ⚠",IF(B2485&gt;12,"يتجاوز 12 بنداً في الطباعة ⚠","")))))</f>
        <v/>
      </c>
    </row>
    <row r="2486" customFormat="false" ht="15" hidden="false" customHeight="false" outlineLevel="0" collapsed="false">
      <c r="A2486" s="58"/>
      <c r="B2486" s="73" t="str">
        <f aca="false">IF(A2486="","",COUNTIF(A$5:A2486,A2486))</f>
        <v/>
      </c>
      <c r="C2486" s="73" t="str">
        <f aca="false">IF(A2486="","",A2486&amp;"-"&amp;B2486)</f>
        <v/>
      </c>
      <c r="D2486" s="58"/>
      <c r="E2486" s="57"/>
      <c r="F2486" s="69"/>
      <c r="G2486" s="69"/>
      <c r="H2486" s="74" t="str">
        <f aca="false">IF(A2486="","",IFERROR(INDEX(السندات!$C$5:$C$504,MATCH(A2486,السندات!$A$5:$A$504,0)),""))</f>
        <v/>
      </c>
      <c r="I2486" s="75" t="str">
        <f aca="false">IF(A2486="","",IFERROR(INDEX(السندات!$D$5:$D$504,MATCH(A2486,السندات!$A$5:$A$504,0)),""))</f>
        <v/>
      </c>
      <c r="J2486" s="76" t="str">
        <f aca="false">IF(A2486="","",IF(ISNA(MATCH(A2486,السندات!$A$5:$A$504,0)),"رقم سند غير موجود ✘",IF(AND(F2486&lt;&gt;"",G2486&lt;&gt;""),"اكتب مدين أو دائن فقط ✘",IF(AND(N(F2486)=0,N(G2486)=0),"بدون مبلغ ⚠",IF(B2486&gt;12,"يتجاوز 12 بنداً في الطباعة ⚠","")))))</f>
        <v/>
      </c>
    </row>
    <row r="2487" customFormat="false" ht="15" hidden="false" customHeight="false" outlineLevel="0" collapsed="false">
      <c r="A2487" s="58"/>
      <c r="B2487" s="68" t="str">
        <f aca="false">IF(A2487="","",COUNTIF(A$5:A2487,A2487))</f>
        <v/>
      </c>
      <c r="C2487" s="68" t="str">
        <f aca="false">IF(A2487="","",A2487&amp;"-"&amp;B2487)</f>
        <v/>
      </c>
      <c r="D2487" s="58"/>
      <c r="E2487" s="57"/>
      <c r="F2487" s="69"/>
      <c r="G2487" s="69"/>
      <c r="H2487" s="70" t="str">
        <f aca="false">IF(A2487="","",IFERROR(INDEX(السندات!$C$5:$C$504,MATCH(A2487,السندات!$A$5:$A$504,0)),""))</f>
        <v/>
      </c>
      <c r="I2487" s="71" t="str">
        <f aca="false">IF(A2487="","",IFERROR(INDEX(السندات!$D$5:$D$504,MATCH(A2487,السندات!$A$5:$A$504,0)),""))</f>
        <v/>
      </c>
      <c r="J2487" s="72" t="str">
        <f aca="false">IF(A2487="","",IF(ISNA(MATCH(A2487,السندات!$A$5:$A$504,0)),"رقم سند غير موجود ✘",IF(AND(F2487&lt;&gt;"",G2487&lt;&gt;""),"اكتب مدين أو دائن فقط ✘",IF(AND(N(F2487)=0,N(G2487)=0),"بدون مبلغ ⚠",IF(B2487&gt;12,"يتجاوز 12 بنداً في الطباعة ⚠","")))))</f>
        <v/>
      </c>
    </row>
    <row r="2488" customFormat="false" ht="15" hidden="false" customHeight="false" outlineLevel="0" collapsed="false">
      <c r="A2488" s="58"/>
      <c r="B2488" s="73" t="str">
        <f aca="false">IF(A2488="","",COUNTIF(A$5:A2488,A2488))</f>
        <v/>
      </c>
      <c r="C2488" s="73" t="str">
        <f aca="false">IF(A2488="","",A2488&amp;"-"&amp;B2488)</f>
        <v/>
      </c>
      <c r="D2488" s="58"/>
      <c r="E2488" s="57"/>
      <c r="F2488" s="69"/>
      <c r="G2488" s="69"/>
      <c r="H2488" s="74" t="str">
        <f aca="false">IF(A2488="","",IFERROR(INDEX(السندات!$C$5:$C$504,MATCH(A2488,السندات!$A$5:$A$504,0)),""))</f>
        <v/>
      </c>
      <c r="I2488" s="75" t="str">
        <f aca="false">IF(A2488="","",IFERROR(INDEX(السندات!$D$5:$D$504,MATCH(A2488,السندات!$A$5:$A$504,0)),""))</f>
        <v/>
      </c>
      <c r="J2488" s="76" t="str">
        <f aca="false">IF(A2488="","",IF(ISNA(MATCH(A2488,السندات!$A$5:$A$504,0)),"رقم سند غير موجود ✘",IF(AND(F2488&lt;&gt;"",G2488&lt;&gt;""),"اكتب مدين أو دائن فقط ✘",IF(AND(N(F2488)=0,N(G2488)=0),"بدون مبلغ ⚠",IF(B2488&gt;12,"يتجاوز 12 بنداً في الطباعة ⚠","")))))</f>
        <v/>
      </c>
    </row>
    <row r="2489" customFormat="false" ht="15" hidden="false" customHeight="false" outlineLevel="0" collapsed="false">
      <c r="A2489" s="58"/>
      <c r="B2489" s="68" t="str">
        <f aca="false">IF(A2489="","",COUNTIF(A$5:A2489,A2489))</f>
        <v/>
      </c>
      <c r="C2489" s="68" t="str">
        <f aca="false">IF(A2489="","",A2489&amp;"-"&amp;B2489)</f>
        <v/>
      </c>
      <c r="D2489" s="58"/>
      <c r="E2489" s="57"/>
      <c r="F2489" s="69"/>
      <c r="G2489" s="69"/>
      <c r="H2489" s="70" t="str">
        <f aca="false">IF(A2489="","",IFERROR(INDEX(السندات!$C$5:$C$504,MATCH(A2489,السندات!$A$5:$A$504,0)),""))</f>
        <v/>
      </c>
      <c r="I2489" s="71" t="str">
        <f aca="false">IF(A2489="","",IFERROR(INDEX(السندات!$D$5:$D$504,MATCH(A2489,السندات!$A$5:$A$504,0)),""))</f>
        <v/>
      </c>
      <c r="J2489" s="72" t="str">
        <f aca="false">IF(A2489="","",IF(ISNA(MATCH(A2489,السندات!$A$5:$A$504,0)),"رقم سند غير موجود ✘",IF(AND(F2489&lt;&gt;"",G2489&lt;&gt;""),"اكتب مدين أو دائن فقط ✘",IF(AND(N(F2489)=0,N(G2489)=0),"بدون مبلغ ⚠",IF(B2489&gt;12,"يتجاوز 12 بنداً في الطباعة ⚠","")))))</f>
        <v/>
      </c>
    </row>
    <row r="2490" customFormat="false" ht="15" hidden="false" customHeight="false" outlineLevel="0" collapsed="false">
      <c r="A2490" s="58"/>
      <c r="B2490" s="73" t="str">
        <f aca="false">IF(A2490="","",COUNTIF(A$5:A2490,A2490))</f>
        <v/>
      </c>
      <c r="C2490" s="73" t="str">
        <f aca="false">IF(A2490="","",A2490&amp;"-"&amp;B2490)</f>
        <v/>
      </c>
      <c r="D2490" s="58"/>
      <c r="E2490" s="57"/>
      <c r="F2490" s="69"/>
      <c r="G2490" s="69"/>
      <c r="H2490" s="74" t="str">
        <f aca="false">IF(A2490="","",IFERROR(INDEX(السندات!$C$5:$C$504,MATCH(A2490,السندات!$A$5:$A$504,0)),""))</f>
        <v/>
      </c>
      <c r="I2490" s="75" t="str">
        <f aca="false">IF(A2490="","",IFERROR(INDEX(السندات!$D$5:$D$504,MATCH(A2490,السندات!$A$5:$A$504,0)),""))</f>
        <v/>
      </c>
      <c r="J2490" s="76" t="str">
        <f aca="false">IF(A2490="","",IF(ISNA(MATCH(A2490,السندات!$A$5:$A$504,0)),"رقم سند غير موجود ✘",IF(AND(F2490&lt;&gt;"",G2490&lt;&gt;""),"اكتب مدين أو دائن فقط ✘",IF(AND(N(F2490)=0,N(G2490)=0),"بدون مبلغ ⚠",IF(B2490&gt;12,"يتجاوز 12 بنداً في الطباعة ⚠","")))))</f>
        <v/>
      </c>
    </row>
    <row r="2491" customFormat="false" ht="15" hidden="false" customHeight="false" outlineLevel="0" collapsed="false">
      <c r="A2491" s="58"/>
      <c r="B2491" s="68" t="str">
        <f aca="false">IF(A2491="","",COUNTIF(A$5:A2491,A2491))</f>
        <v/>
      </c>
      <c r="C2491" s="68" t="str">
        <f aca="false">IF(A2491="","",A2491&amp;"-"&amp;B2491)</f>
        <v/>
      </c>
      <c r="D2491" s="58"/>
      <c r="E2491" s="57"/>
      <c r="F2491" s="69"/>
      <c r="G2491" s="69"/>
      <c r="H2491" s="70" t="str">
        <f aca="false">IF(A2491="","",IFERROR(INDEX(السندات!$C$5:$C$504,MATCH(A2491,السندات!$A$5:$A$504,0)),""))</f>
        <v/>
      </c>
      <c r="I2491" s="71" t="str">
        <f aca="false">IF(A2491="","",IFERROR(INDEX(السندات!$D$5:$D$504,MATCH(A2491,السندات!$A$5:$A$504,0)),""))</f>
        <v/>
      </c>
      <c r="J2491" s="72" t="str">
        <f aca="false">IF(A2491="","",IF(ISNA(MATCH(A2491,السندات!$A$5:$A$504,0)),"رقم سند غير موجود ✘",IF(AND(F2491&lt;&gt;"",G2491&lt;&gt;""),"اكتب مدين أو دائن فقط ✘",IF(AND(N(F2491)=0,N(G2491)=0),"بدون مبلغ ⚠",IF(B2491&gt;12,"يتجاوز 12 بنداً في الطباعة ⚠","")))))</f>
        <v/>
      </c>
    </row>
    <row r="2492" customFormat="false" ht="15" hidden="false" customHeight="false" outlineLevel="0" collapsed="false">
      <c r="A2492" s="58"/>
      <c r="B2492" s="73" t="str">
        <f aca="false">IF(A2492="","",COUNTIF(A$5:A2492,A2492))</f>
        <v/>
      </c>
      <c r="C2492" s="73" t="str">
        <f aca="false">IF(A2492="","",A2492&amp;"-"&amp;B2492)</f>
        <v/>
      </c>
      <c r="D2492" s="58"/>
      <c r="E2492" s="57"/>
      <c r="F2492" s="69"/>
      <c r="G2492" s="69"/>
      <c r="H2492" s="74" t="str">
        <f aca="false">IF(A2492="","",IFERROR(INDEX(السندات!$C$5:$C$504,MATCH(A2492,السندات!$A$5:$A$504,0)),""))</f>
        <v/>
      </c>
      <c r="I2492" s="75" t="str">
        <f aca="false">IF(A2492="","",IFERROR(INDEX(السندات!$D$5:$D$504,MATCH(A2492,السندات!$A$5:$A$504,0)),""))</f>
        <v/>
      </c>
      <c r="J2492" s="76" t="str">
        <f aca="false">IF(A2492="","",IF(ISNA(MATCH(A2492,السندات!$A$5:$A$504,0)),"رقم سند غير موجود ✘",IF(AND(F2492&lt;&gt;"",G2492&lt;&gt;""),"اكتب مدين أو دائن فقط ✘",IF(AND(N(F2492)=0,N(G2492)=0),"بدون مبلغ ⚠",IF(B2492&gt;12,"يتجاوز 12 بنداً في الطباعة ⚠","")))))</f>
        <v/>
      </c>
    </row>
    <row r="2493" customFormat="false" ht="15" hidden="false" customHeight="false" outlineLevel="0" collapsed="false">
      <c r="A2493" s="58"/>
      <c r="B2493" s="68" t="str">
        <f aca="false">IF(A2493="","",COUNTIF(A$5:A2493,A2493))</f>
        <v/>
      </c>
      <c r="C2493" s="68" t="str">
        <f aca="false">IF(A2493="","",A2493&amp;"-"&amp;B2493)</f>
        <v/>
      </c>
      <c r="D2493" s="58"/>
      <c r="E2493" s="57"/>
      <c r="F2493" s="69"/>
      <c r="G2493" s="69"/>
      <c r="H2493" s="70" t="str">
        <f aca="false">IF(A2493="","",IFERROR(INDEX(السندات!$C$5:$C$504,MATCH(A2493,السندات!$A$5:$A$504,0)),""))</f>
        <v/>
      </c>
      <c r="I2493" s="71" t="str">
        <f aca="false">IF(A2493="","",IFERROR(INDEX(السندات!$D$5:$D$504,MATCH(A2493,السندات!$A$5:$A$504,0)),""))</f>
        <v/>
      </c>
      <c r="J2493" s="72" t="str">
        <f aca="false">IF(A2493="","",IF(ISNA(MATCH(A2493,السندات!$A$5:$A$504,0)),"رقم سند غير موجود ✘",IF(AND(F2493&lt;&gt;"",G2493&lt;&gt;""),"اكتب مدين أو دائن فقط ✘",IF(AND(N(F2493)=0,N(G2493)=0),"بدون مبلغ ⚠",IF(B2493&gt;12,"يتجاوز 12 بنداً في الطباعة ⚠","")))))</f>
        <v/>
      </c>
    </row>
    <row r="2494" customFormat="false" ht="15" hidden="false" customHeight="false" outlineLevel="0" collapsed="false">
      <c r="A2494" s="58"/>
      <c r="B2494" s="73" t="str">
        <f aca="false">IF(A2494="","",COUNTIF(A$5:A2494,A2494))</f>
        <v/>
      </c>
      <c r="C2494" s="73" t="str">
        <f aca="false">IF(A2494="","",A2494&amp;"-"&amp;B2494)</f>
        <v/>
      </c>
      <c r="D2494" s="58"/>
      <c r="E2494" s="57"/>
      <c r="F2494" s="69"/>
      <c r="G2494" s="69"/>
      <c r="H2494" s="74" t="str">
        <f aca="false">IF(A2494="","",IFERROR(INDEX(السندات!$C$5:$C$504,MATCH(A2494,السندات!$A$5:$A$504,0)),""))</f>
        <v/>
      </c>
      <c r="I2494" s="75" t="str">
        <f aca="false">IF(A2494="","",IFERROR(INDEX(السندات!$D$5:$D$504,MATCH(A2494,السندات!$A$5:$A$504,0)),""))</f>
        <v/>
      </c>
      <c r="J2494" s="76" t="str">
        <f aca="false">IF(A2494="","",IF(ISNA(MATCH(A2494,السندات!$A$5:$A$504,0)),"رقم سند غير موجود ✘",IF(AND(F2494&lt;&gt;"",G2494&lt;&gt;""),"اكتب مدين أو دائن فقط ✘",IF(AND(N(F2494)=0,N(G2494)=0),"بدون مبلغ ⚠",IF(B2494&gt;12,"يتجاوز 12 بنداً في الطباعة ⚠","")))))</f>
        <v/>
      </c>
    </row>
    <row r="2495" customFormat="false" ht="15" hidden="false" customHeight="false" outlineLevel="0" collapsed="false">
      <c r="A2495" s="58"/>
      <c r="B2495" s="68" t="str">
        <f aca="false">IF(A2495="","",COUNTIF(A$5:A2495,A2495))</f>
        <v/>
      </c>
      <c r="C2495" s="68" t="str">
        <f aca="false">IF(A2495="","",A2495&amp;"-"&amp;B2495)</f>
        <v/>
      </c>
      <c r="D2495" s="58"/>
      <c r="E2495" s="57"/>
      <c r="F2495" s="69"/>
      <c r="G2495" s="69"/>
      <c r="H2495" s="70" t="str">
        <f aca="false">IF(A2495="","",IFERROR(INDEX(السندات!$C$5:$C$504,MATCH(A2495,السندات!$A$5:$A$504,0)),""))</f>
        <v/>
      </c>
      <c r="I2495" s="71" t="str">
        <f aca="false">IF(A2495="","",IFERROR(INDEX(السندات!$D$5:$D$504,MATCH(A2495,السندات!$A$5:$A$504,0)),""))</f>
        <v/>
      </c>
      <c r="J2495" s="72" t="str">
        <f aca="false">IF(A2495="","",IF(ISNA(MATCH(A2495,السندات!$A$5:$A$504,0)),"رقم سند غير موجود ✘",IF(AND(F2495&lt;&gt;"",G2495&lt;&gt;""),"اكتب مدين أو دائن فقط ✘",IF(AND(N(F2495)=0,N(G2495)=0),"بدون مبلغ ⚠",IF(B2495&gt;12,"يتجاوز 12 بنداً في الطباعة ⚠","")))))</f>
        <v/>
      </c>
    </row>
    <row r="2496" customFormat="false" ht="15" hidden="false" customHeight="false" outlineLevel="0" collapsed="false">
      <c r="A2496" s="58"/>
      <c r="B2496" s="73" t="str">
        <f aca="false">IF(A2496="","",COUNTIF(A$5:A2496,A2496))</f>
        <v/>
      </c>
      <c r="C2496" s="73" t="str">
        <f aca="false">IF(A2496="","",A2496&amp;"-"&amp;B2496)</f>
        <v/>
      </c>
      <c r="D2496" s="58"/>
      <c r="E2496" s="57"/>
      <c r="F2496" s="69"/>
      <c r="G2496" s="69"/>
      <c r="H2496" s="74" t="str">
        <f aca="false">IF(A2496="","",IFERROR(INDEX(السندات!$C$5:$C$504,MATCH(A2496,السندات!$A$5:$A$504,0)),""))</f>
        <v/>
      </c>
      <c r="I2496" s="75" t="str">
        <f aca="false">IF(A2496="","",IFERROR(INDEX(السندات!$D$5:$D$504,MATCH(A2496,السندات!$A$5:$A$504,0)),""))</f>
        <v/>
      </c>
      <c r="J2496" s="76" t="str">
        <f aca="false">IF(A2496="","",IF(ISNA(MATCH(A2496,السندات!$A$5:$A$504,0)),"رقم سند غير موجود ✘",IF(AND(F2496&lt;&gt;"",G2496&lt;&gt;""),"اكتب مدين أو دائن فقط ✘",IF(AND(N(F2496)=0,N(G2496)=0),"بدون مبلغ ⚠",IF(B2496&gt;12,"يتجاوز 12 بنداً في الطباعة ⚠","")))))</f>
        <v/>
      </c>
    </row>
    <row r="2497" customFormat="false" ht="15" hidden="false" customHeight="false" outlineLevel="0" collapsed="false">
      <c r="A2497" s="58"/>
      <c r="B2497" s="68" t="str">
        <f aca="false">IF(A2497="","",COUNTIF(A$5:A2497,A2497))</f>
        <v/>
      </c>
      <c r="C2497" s="68" t="str">
        <f aca="false">IF(A2497="","",A2497&amp;"-"&amp;B2497)</f>
        <v/>
      </c>
      <c r="D2497" s="58"/>
      <c r="E2497" s="57"/>
      <c r="F2497" s="69"/>
      <c r="G2497" s="69"/>
      <c r="H2497" s="70" t="str">
        <f aca="false">IF(A2497="","",IFERROR(INDEX(السندات!$C$5:$C$504,MATCH(A2497,السندات!$A$5:$A$504,0)),""))</f>
        <v/>
      </c>
      <c r="I2497" s="71" t="str">
        <f aca="false">IF(A2497="","",IFERROR(INDEX(السندات!$D$5:$D$504,MATCH(A2497,السندات!$A$5:$A$504,0)),""))</f>
        <v/>
      </c>
      <c r="J2497" s="72" t="str">
        <f aca="false">IF(A2497="","",IF(ISNA(MATCH(A2497,السندات!$A$5:$A$504,0)),"رقم سند غير موجود ✘",IF(AND(F2497&lt;&gt;"",G2497&lt;&gt;""),"اكتب مدين أو دائن فقط ✘",IF(AND(N(F2497)=0,N(G2497)=0),"بدون مبلغ ⚠",IF(B2497&gt;12,"يتجاوز 12 بنداً في الطباعة ⚠","")))))</f>
        <v/>
      </c>
    </row>
    <row r="2498" customFormat="false" ht="15" hidden="false" customHeight="false" outlineLevel="0" collapsed="false">
      <c r="A2498" s="58"/>
      <c r="B2498" s="73" t="str">
        <f aca="false">IF(A2498="","",COUNTIF(A$5:A2498,A2498))</f>
        <v/>
      </c>
      <c r="C2498" s="73" t="str">
        <f aca="false">IF(A2498="","",A2498&amp;"-"&amp;B2498)</f>
        <v/>
      </c>
      <c r="D2498" s="58"/>
      <c r="E2498" s="57"/>
      <c r="F2498" s="69"/>
      <c r="G2498" s="69"/>
      <c r="H2498" s="74" t="str">
        <f aca="false">IF(A2498="","",IFERROR(INDEX(السندات!$C$5:$C$504,MATCH(A2498,السندات!$A$5:$A$504,0)),""))</f>
        <v/>
      </c>
      <c r="I2498" s="75" t="str">
        <f aca="false">IF(A2498="","",IFERROR(INDEX(السندات!$D$5:$D$504,MATCH(A2498,السندات!$A$5:$A$504,0)),""))</f>
        <v/>
      </c>
      <c r="J2498" s="76" t="str">
        <f aca="false">IF(A2498="","",IF(ISNA(MATCH(A2498,السندات!$A$5:$A$504,0)),"رقم سند غير موجود ✘",IF(AND(F2498&lt;&gt;"",G2498&lt;&gt;""),"اكتب مدين أو دائن فقط ✘",IF(AND(N(F2498)=0,N(G2498)=0),"بدون مبلغ ⚠",IF(B2498&gt;12,"يتجاوز 12 بنداً في الطباعة ⚠","")))))</f>
        <v/>
      </c>
    </row>
    <row r="2499" customFormat="false" ht="15" hidden="false" customHeight="false" outlineLevel="0" collapsed="false">
      <c r="A2499" s="58"/>
      <c r="B2499" s="68" t="str">
        <f aca="false">IF(A2499="","",COUNTIF(A$5:A2499,A2499))</f>
        <v/>
      </c>
      <c r="C2499" s="68" t="str">
        <f aca="false">IF(A2499="","",A2499&amp;"-"&amp;B2499)</f>
        <v/>
      </c>
      <c r="D2499" s="58"/>
      <c r="E2499" s="57"/>
      <c r="F2499" s="69"/>
      <c r="G2499" s="69"/>
      <c r="H2499" s="70" t="str">
        <f aca="false">IF(A2499="","",IFERROR(INDEX(السندات!$C$5:$C$504,MATCH(A2499,السندات!$A$5:$A$504,0)),""))</f>
        <v/>
      </c>
      <c r="I2499" s="71" t="str">
        <f aca="false">IF(A2499="","",IFERROR(INDEX(السندات!$D$5:$D$504,MATCH(A2499,السندات!$A$5:$A$504,0)),""))</f>
        <v/>
      </c>
      <c r="J2499" s="72" t="str">
        <f aca="false">IF(A2499="","",IF(ISNA(MATCH(A2499,السندات!$A$5:$A$504,0)),"رقم سند غير موجود ✘",IF(AND(F2499&lt;&gt;"",G2499&lt;&gt;""),"اكتب مدين أو دائن فقط ✘",IF(AND(N(F2499)=0,N(G2499)=0),"بدون مبلغ ⚠",IF(B2499&gt;12,"يتجاوز 12 بنداً في الطباعة ⚠","")))))</f>
        <v/>
      </c>
    </row>
    <row r="2500" customFormat="false" ht="15" hidden="false" customHeight="false" outlineLevel="0" collapsed="false">
      <c r="A2500" s="58"/>
      <c r="B2500" s="73" t="str">
        <f aca="false">IF(A2500="","",COUNTIF(A$5:A2500,A2500))</f>
        <v/>
      </c>
      <c r="C2500" s="73" t="str">
        <f aca="false">IF(A2500="","",A2500&amp;"-"&amp;B2500)</f>
        <v/>
      </c>
      <c r="D2500" s="58"/>
      <c r="E2500" s="57"/>
      <c r="F2500" s="69"/>
      <c r="G2500" s="69"/>
      <c r="H2500" s="74" t="str">
        <f aca="false">IF(A2500="","",IFERROR(INDEX(السندات!$C$5:$C$504,MATCH(A2500,السندات!$A$5:$A$504,0)),""))</f>
        <v/>
      </c>
      <c r="I2500" s="75" t="str">
        <f aca="false">IF(A2500="","",IFERROR(INDEX(السندات!$D$5:$D$504,MATCH(A2500,السندات!$A$5:$A$504,0)),""))</f>
        <v/>
      </c>
      <c r="J2500" s="76" t="str">
        <f aca="false">IF(A2500="","",IF(ISNA(MATCH(A2500,السندات!$A$5:$A$504,0)),"رقم سند غير موجود ✘",IF(AND(F2500&lt;&gt;"",G2500&lt;&gt;""),"اكتب مدين أو دائن فقط ✘",IF(AND(N(F2500)=0,N(G2500)=0),"بدون مبلغ ⚠",IF(B2500&gt;12,"يتجاوز 12 بنداً في الطباعة ⚠","")))))</f>
        <v/>
      </c>
    </row>
    <row r="2501" customFormat="false" ht="15" hidden="false" customHeight="false" outlineLevel="0" collapsed="false">
      <c r="A2501" s="58"/>
      <c r="B2501" s="68" t="str">
        <f aca="false">IF(A2501="","",COUNTIF(A$5:A2501,A2501))</f>
        <v/>
      </c>
      <c r="C2501" s="68" t="str">
        <f aca="false">IF(A2501="","",A2501&amp;"-"&amp;B2501)</f>
        <v/>
      </c>
      <c r="D2501" s="58"/>
      <c r="E2501" s="57"/>
      <c r="F2501" s="69"/>
      <c r="G2501" s="69"/>
      <c r="H2501" s="70" t="str">
        <f aca="false">IF(A2501="","",IFERROR(INDEX(السندات!$C$5:$C$504,MATCH(A2501,السندات!$A$5:$A$504,0)),""))</f>
        <v/>
      </c>
      <c r="I2501" s="71" t="str">
        <f aca="false">IF(A2501="","",IFERROR(INDEX(السندات!$D$5:$D$504,MATCH(A2501,السندات!$A$5:$A$504,0)),""))</f>
        <v/>
      </c>
      <c r="J2501" s="72" t="str">
        <f aca="false">IF(A2501="","",IF(ISNA(MATCH(A2501,السندات!$A$5:$A$504,0)),"رقم سند غير موجود ✘",IF(AND(F2501&lt;&gt;"",G2501&lt;&gt;""),"اكتب مدين أو دائن فقط ✘",IF(AND(N(F2501)=0,N(G2501)=0),"بدون مبلغ ⚠",IF(B2501&gt;12,"يتجاوز 12 بنداً في الطباعة ⚠","")))))</f>
        <v/>
      </c>
    </row>
    <row r="2502" customFormat="false" ht="15" hidden="false" customHeight="false" outlineLevel="0" collapsed="false">
      <c r="A2502" s="58"/>
      <c r="B2502" s="73" t="str">
        <f aca="false">IF(A2502="","",COUNTIF(A$5:A2502,A2502))</f>
        <v/>
      </c>
      <c r="C2502" s="73" t="str">
        <f aca="false">IF(A2502="","",A2502&amp;"-"&amp;B2502)</f>
        <v/>
      </c>
      <c r="D2502" s="58"/>
      <c r="E2502" s="57"/>
      <c r="F2502" s="69"/>
      <c r="G2502" s="69"/>
      <c r="H2502" s="74" t="str">
        <f aca="false">IF(A2502="","",IFERROR(INDEX(السندات!$C$5:$C$504,MATCH(A2502,السندات!$A$5:$A$504,0)),""))</f>
        <v/>
      </c>
      <c r="I2502" s="75" t="str">
        <f aca="false">IF(A2502="","",IFERROR(INDEX(السندات!$D$5:$D$504,MATCH(A2502,السندات!$A$5:$A$504,0)),""))</f>
        <v/>
      </c>
      <c r="J2502" s="76" t="str">
        <f aca="false">IF(A2502="","",IF(ISNA(MATCH(A2502,السندات!$A$5:$A$504,0)),"رقم سند غير موجود ✘",IF(AND(F2502&lt;&gt;"",G2502&lt;&gt;""),"اكتب مدين أو دائن فقط ✘",IF(AND(N(F2502)=0,N(G2502)=0),"بدون مبلغ ⚠",IF(B2502&gt;12,"يتجاوز 12 بنداً في الطباعة ⚠","")))))</f>
        <v/>
      </c>
    </row>
    <row r="2503" customFormat="false" ht="15" hidden="false" customHeight="false" outlineLevel="0" collapsed="false">
      <c r="A2503" s="58"/>
      <c r="B2503" s="68" t="str">
        <f aca="false">IF(A2503="","",COUNTIF(A$5:A2503,A2503))</f>
        <v/>
      </c>
      <c r="C2503" s="68" t="str">
        <f aca="false">IF(A2503="","",A2503&amp;"-"&amp;B2503)</f>
        <v/>
      </c>
      <c r="D2503" s="58"/>
      <c r="E2503" s="57"/>
      <c r="F2503" s="69"/>
      <c r="G2503" s="69"/>
      <c r="H2503" s="70" t="str">
        <f aca="false">IF(A2503="","",IFERROR(INDEX(السندات!$C$5:$C$504,MATCH(A2503,السندات!$A$5:$A$504,0)),""))</f>
        <v/>
      </c>
      <c r="I2503" s="71" t="str">
        <f aca="false">IF(A2503="","",IFERROR(INDEX(السندات!$D$5:$D$504,MATCH(A2503,السندات!$A$5:$A$504,0)),""))</f>
        <v/>
      </c>
      <c r="J2503" s="72" t="str">
        <f aca="false">IF(A2503="","",IF(ISNA(MATCH(A2503,السندات!$A$5:$A$504,0)),"رقم سند غير موجود ✘",IF(AND(F2503&lt;&gt;"",G2503&lt;&gt;""),"اكتب مدين أو دائن فقط ✘",IF(AND(N(F2503)=0,N(G2503)=0),"بدون مبلغ ⚠",IF(B2503&gt;12,"يتجاوز 12 بنداً في الطباعة ⚠","")))))</f>
        <v/>
      </c>
    </row>
    <row r="2504" customFormat="false" ht="15" hidden="false" customHeight="false" outlineLevel="0" collapsed="false">
      <c r="A2504" s="58"/>
      <c r="B2504" s="73" t="str">
        <f aca="false">IF(A2504="","",COUNTIF(A$5:A2504,A2504))</f>
        <v/>
      </c>
      <c r="C2504" s="73" t="str">
        <f aca="false">IF(A2504="","",A2504&amp;"-"&amp;B2504)</f>
        <v/>
      </c>
      <c r="D2504" s="58"/>
      <c r="E2504" s="57"/>
      <c r="F2504" s="69"/>
      <c r="G2504" s="69"/>
      <c r="H2504" s="74" t="str">
        <f aca="false">IF(A2504="","",IFERROR(INDEX(السندات!$C$5:$C$504,MATCH(A2504,السندات!$A$5:$A$504,0)),""))</f>
        <v/>
      </c>
      <c r="I2504" s="75" t="str">
        <f aca="false">IF(A2504="","",IFERROR(INDEX(السندات!$D$5:$D$504,MATCH(A2504,السندات!$A$5:$A$504,0)),""))</f>
        <v/>
      </c>
      <c r="J2504" s="76" t="str">
        <f aca="false">IF(A2504="","",IF(ISNA(MATCH(A2504,السندات!$A$5:$A$504,0)),"رقم سند غير موجود ✘",IF(AND(F2504&lt;&gt;"",G2504&lt;&gt;""),"اكتب مدين أو دائن فقط ✘",IF(AND(N(F2504)=0,N(G2504)=0),"بدون مبلغ ⚠",IF(B2504&gt;12,"يتجاوز 12 بنداً في الطباعة ⚠","")))))</f>
        <v/>
      </c>
    </row>
    <row r="2505" customFormat="false" ht="15" hidden="false" customHeight="false" outlineLevel="0" collapsed="false">
      <c r="A2505" s="58"/>
      <c r="B2505" s="68" t="str">
        <f aca="false">IF(A2505="","",COUNTIF(A$5:A2505,A2505))</f>
        <v/>
      </c>
      <c r="C2505" s="68" t="str">
        <f aca="false">IF(A2505="","",A2505&amp;"-"&amp;B2505)</f>
        <v/>
      </c>
      <c r="D2505" s="58"/>
      <c r="E2505" s="57"/>
      <c r="F2505" s="69"/>
      <c r="G2505" s="69"/>
      <c r="H2505" s="70" t="str">
        <f aca="false">IF(A2505="","",IFERROR(INDEX(السندات!$C$5:$C$504,MATCH(A2505,السندات!$A$5:$A$504,0)),""))</f>
        <v/>
      </c>
      <c r="I2505" s="71" t="str">
        <f aca="false">IF(A2505="","",IFERROR(INDEX(السندات!$D$5:$D$504,MATCH(A2505,السندات!$A$5:$A$504,0)),""))</f>
        <v/>
      </c>
      <c r="J2505" s="72" t="str">
        <f aca="false">IF(A2505="","",IF(ISNA(MATCH(A2505,السندات!$A$5:$A$504,0)),"رقم سند غير موجود ✘",IF(AND(F2505&lt;&gt;"",G2505&lt;&gt;""),"اكتب مدين أو دائن فقط ✘",IF(AND(N(F2505)=0,N(G2505)=0),"بدون مبلغ ⚠",IF(B2505&gt;12,"يتجاوز 12 بنداً في الطباعة ⚠","")))))</f>
        <v/>
      </c>
    </row>
    <row r="2506" customFormat="false" ht="15" hidden="false" customHeight="false" outlineLevel="0" collapsed="false">
      <c r="A2506" s="58"/>
      <c r="B2506" s="73" t="str">
        <f aca="false">IF(A2506="","",COUNTIF(A$5:A2506,A2506))</f>
        <v/>
      </c>
      <c r="C2506" s="73" t="str">
        <f aca="false">IF(A2506="","",A2506&amp;"-"&amp;B2506)</f>
        <v/>
      </c>
      <c r="D2506" s="58"/>
      <c r="E2506" s="57"/>
      <c r="F2506" s="69"/>
      <c r="G2506" s="69"/>
      <c r="H2506" s="74" t="str">
        <f aca="false">IF(A2506="","",IFERROR(INDEX(السندات!$C$5:$C$504,MATCH(A2506,السندات!$A$5:$A$504,0)),""))</f>
        <v/>
      </c>
      <c r="I2506" s="75" t="str">
        <f aca="false">IF(A2506="","",IFERROR(INDEX(السندات!$D$5:$D$504,MATCH(A2506,السندات!$A$5:$A$504,0)),""))</f>
        <v/>
      </c>
      <c r="J2506" s="76" t="str">
        <f aca="false">IF(A2506="","",IF(ISNA(MATCH(A2506,السندات!$A$5:$A$504,0)),"رقم سند غير موجود ✘",IF(AND(F2506&lt;&gt;"",G2506&lt;&gt;""),"اكتب مدين أو دائن فقط ✘",IF(AND(N(F2506)=0,N(G2506)=0),"بدون مبلغ ⚠",IF(B2506&gt;12,"يتجاوز 12 بنداً في الطباعة ⚠","")))))</f>
        <v/>
      </c>
    </row>
    <row r="2507" customFormat="false" ht="15" hidden="false" customHeight="false" outlineLevel="0" collapsed="false">
      <c r="A2507" s="58"/>
      <c r="B2507" s="68" t="str">
        <f aca="false">IF(A2507="","",COUNTIF(A$5:A2507,A2507))</f>
        <v/>
      </c>
      <c r="C2507" s="68" t="str">
        <f aca="false">IF(A2507="","",A2507&amp;"-"&amp;B2507)</f>
        <v/>
      </c>
      <c r="D2507" s="58"/>
      <c r="E2507" s="57"/>
      <c r="F2507" s="69"/>
      <c r="G2507" s="69"/>
      <c r="H2507" s="70" t="str">
        <f aca="false">IF(A2507="","",IFERROR(INDEX(السندات!$C$5:$C$504,MATCH(A2507,السندات!$A$5:$A$504,0)),""))</f>
        <v/>
      </c>
      <c r="I2507" s="71" t="str">
        <f aca="false">IF(A2507="","",IFERROR(INDEX(السندات!$D$5:$D$504,MATCH(A2507,السندات!$A$5:$A$504,0)),""))</f>
        <v/>
      </c>
      <c r="J2507" s="72" t="str">
        <f aca="false">IF(A2507="","",IF(ISNA(MATCH(A2507,السندات!$A$5:$A$504,0)),"رقم سند غير موجود ✘",IF(AND(F2507&lt;&gt;"",G2507&lt;&gt;""),"اكتب مدين أو دائن فقط ✘",IF(AND(N(F2507)=0,N(G2507)=0),"بدون مبلغ ⚠",IF(B2507&gt;12,"يتجاوز 12 بنداً في الطباعة ⚠","")))))</f>
        <v/>
      </c>
    </row>
    <row r="2508" customFormat="false" ht="15" hidden="false" customHeight="false" outlineLevel="0" collapsed="false">
      <c r="A2508" s="58"/>
      <c r="B2508" s="73" t="str">
        <f aca="false">IF(A2508="","",COUNTIF(A$5:A2508,A2508))</f>
        <v/>
      </c>
      <c r="C2508" s="73" t="str">
        <f aca="false">IF(A2508="","",A2508&amp;"-"&amp;B2508)</f>
        <v/>
      </c>
      <c r="D2508" s="58"/>
      <c r="E2508" s="57"/>
      <c r="F2508" s="69"/>
      <c r="G2508" s="69"/>
      <c r="H2508" s="74" t="str">
        <f aca="false">IF(A2508="","",IFERROR(INDEX(السندات!$C$5:$C$504,MATCH(A2508,السندات!$A$5:$A$504,0)),""))</f>
        <v/>
      </c>
      <c r="I2508" s="75" t="str">
        <f aca="false">IF(A2508="","",IFERROR(INDEX(السندات!$D$5:$D$504,MATCH(A2508,السندات!$A$5:$A$504,0)),""))</f>
        <v/>
      </c>
      <c r="J2508" s="76" t="str">
        <f aca="false">IF(A2508="","",IF(ISNA(MATCH(A2508,السندات!$A$5:$A$504,0)),"رقم سند غير موجود ✘",IF(AND(F2508&lt;&gt;"",G2508&lt;&gt;""),"اكتب مدين أو دائن فقط ✘",IF(AND(N(F2508)=0,N(G2508)=0),"بدون مبلغ ⚠",IF(B2508&gt;12,"يتجاوز 12 بنداً في الطباعة ⚠","")))))</f>
        <v/>
      </c>
    </row>
    <row r="2509" customFormat="false" ht="15" hidden="false" customHeight="false" outlineLevel="0" collapsed="false">
      <c r="A2509" s="58"/>
      <c r="B2509" s="68" t="str">
        <f aca="false">IF(A2509="","",COUNTIF(A$5:A2509,A2509))</f>
        <v/>
      </c>
      <c r="C2509" s="68" t="str">
        <f aca="false">IF(A2509="","",A2509&amp;"-"&amp;B2509)</f>
        <v/>
      </c>
      <c r="D2509" s="58"/>
      <c r="E2509" s="57"/>
      <c r="F2509" s="69"/>
      <c r="G2509" s="69"/>
      <c r="H2509" s="70" t="str">
        <f aca="false">IF(A2509="","",IFERROR(INDEX(السندات!$C$5:$C$504,MATCH(A2509,السندات!$A$5:$A$504,0)),""))</f>
        <v/>
      </c>
      <c r="I2509" s="71" t="str">
        <f aca="false">IF(A2509="","",IFERROR(INDEX(السندات!$D$5:$D$504,MATCH(A2509,السندات!$A$5:$A$504,0)),""))</f>
        <v/>
      </c>
      <c r="J2509" s="72" t="str">
        <f aca="false">IF(A2509="","",IF(ISNA(MATCH(A2509,السندات!$A$5:$A$504,0)),"رقم سند غير موجود ✘",IF(AND(F2509&lt;&gt;"",G2509&lt;&gt;""),"اكتب مدين أو دائن فقط ✘",IF(AND(N(F2509)=0,N(G2509)=0),"بدون مبلغ ⚠",IF(B2509&gt;12,"يتجاوز 12 بنداً في الطباعة ⚠","")))))</f>
        <v/>
      </c>
    </row>
    <row r="2510" customFormat="false" ht="15" hidden="false" customHeight="false" outlineLevel="0" collapsed="false">
      <c r="A2510" s="58"/>
      <c r="B2510" s="73" t="str">
        <f aca="false">IF(A2510="","",COUNTIF(A$5:A2510,A2510))</f>
        <v/>
      </c>
      <c r="C2510" s="73" t="str">
        <f aca="false">IF(A2510="","",A2510&amp;"-"&amp;B2510)</f>
        <v/>
      </c>
      <c r="D2510" s="58"/>
      <c r="E2510" s="57"/>
      <c r="F2510" s="69"/>
      <c r="G2510" s="69"/>
      <c r="H2510" s="74" t="str">
        <f aca="false">IF(A2510="","",IFERROR(INDEX(السندات!$C$5:$C$504,MATCH(A2510,السندات!$A$5:$A$504,0)),""))</f>
        <v/>
      </c>
      <c r="I2510" s="75" t="str">
        <f aca="false">IF(A2510="","",IFERROR(INDEX(السندات!$D$5:$D$504,MATCH(A2510,السندات!$A$5:$A$504,0)),""))</f>
        <v/>
      </c>
      <c r="J2510" s="76" t="str">
        <f aca="false">IF(A2510="","",IF(ISNA(MATCH(A2510,السندات!$A$5:$A$504,0)),"رقم سند غير موجود ✘",IF(AND(F2510&lt;&gt;"",G2510&lt;&gt;""),"اكتب مدين أو دائن فقط ✘",IF(AND(N(F2510)=0,N(G2510)=0),"بدون مبلغ ⚠",IF(B2510&gt;12,"يتجاوز 12 بنداً في الطباعة ⚠","")))))</f>
        <v/>
      </c>
    </row>
    <row r="2511" customFormat="false" ht="15" hidden="false" customHeight="false" outlineLevel="0" collapsed="false">
      <c r="A2511" s="58"/>
      <c r="B2511" s="68" t="str">
        <f aca="false">IF(A2511="","",COUNTIF(A$5:A2511,A2511))</f>
        <v/>
      </c>
      <c r="C2511" s="68" t="str">
        <f aca="false">IF(A2511="","",A2511&amp;"-"&amp;B2511)</f>
        <v/>
      </c>
      <c r="D2511" s="58"/>
      <c r="E2511" s="57"/>
      <c r="F2511" s="69"/>
      <c r="G2511" s="69"/>
      <c r="H2511" s="70" t="str">
        <f aca="false">IF(A2511="","",IFERROR(INDEX(السندات!$C$5:$C$504,MATCH(A2511,السندات!$A$5:$A$504,0)),""))</f>
        <v/>
      </c>
      <c r="I2511" s="71" t="str">
        <f aca="false">IF(A2511="","",IFERROR(INDEX(السندات!$D$5:$D$504,MATCH(A2511,السندات!$A$5:$A$504,0)),""))</f>
        <v/>
      </c>
      <c r="J2511" s="72" t="str">
        <f aca="false">IF(A2511="","",IF(ISNA(MATCH(A2511,السندات!$A$5:$A$504,0)),"رقم سند غير موجود ✘",IF(AND(F2511&lt;&gt;"",G2511&lt;&gt;""),"اكتب مدين أو دائن فقط ✘",IF(AND(N(F2511)=0,N(G2511)=0),"بدون مبلغ ⚠",IF(B2511&gt;12,"يتجاوز 12 بنداً في الطباعة ⚠","")))))</f>
        <v/>
      </c>
    </row>
    <row r="2512" customFormat="false" ht="15" hidden="false" customHeight="false" outlineLevel="0" collapsed="false">
      <c r="A2512" s="58"/>
      <c r="B2512" s="73" t="str">
        <f aca="false">IF(A2512="","",COUNTIF(A$5:A2512,A2512))</f>
        <v/>
      </c>
      <c r="C2512" s="73" t="str">
        <f aca="false">IF(A2512="","",A2512&amp;"-"&amp;B2512)</f>
        <v/>
      </c>
      <c r="D2512" s="58"/>
      <c r="E2512" s="57"/>
      <c r="F2512" s="69"/>
      <c r="G2512" s="69"/>
      <c r="H2512" s="74" t="str">
        <f aca="false">IF(A2512="","",IFERROR(INDEX(السندات!$C$5:$C$504,MATCH(A2512,السندات!$A$5:$A$504,0)),""))</f>
        <v/>
      </c>
      <c r="I2512" s="75" t="str">
        <f aca="false">IF(A2512="","",IFERROR(INDEX(السندات!$D$5:$D$504,MATCH(A2512,السندات!$A$5:$A$504,0)),""))</f>
        <v/>
      </c>
      <c r="J2512" s="76" t="str">
        <f aca="false">IF(A2512="","",IF(ISNA(MATCH(A2512,السندات!$A$5:$A$504,0)),"رقم سند غير موجود ✘",IF(AND(F2512&lt;&gt;"",G2512&lt;&gt;""),"اكتب مدين أو دائن فقط ✘",IF(AND(N(F2512)=0,N(G2512)=0),"بدون مبلغ ⚠",IF(B2512&gt;12,"يتجاوز 12 بنداً في الطباعة ⚠","")))))</f>
        <v/>
      </c>
    </row>
    <row r="2513" customFormat="false" ht="15" hidden="false" customHeight="false" outlineLevel="0" collapsed="false">
      <c r="A2513" s="58"/>
      <c r="B2513" s="68" t="str">
        <f aca="false">IF(A2513="","",COUNTIF(A$5:A2513,A2513))</f>
        <v/>
      </c>
      <c r="C2513" s="68" t="str">
        <f aca="false">IF(A2513="","",A2513&amp;"-"&amp;B2513)</f>
        <v/>
      </c>
      <c r="D2513" s="58"/>
      <c r="E2513" s="57"/>
      <c r="F2513" s="69"/>
      <c r="G2513" s="69"/>
      <c r="H2513" s="70" t="str">
        <f aca="false">IF(A2513="","",IFERROR(INDEX(السندات!$C$5:$C$504,MATCH(A2513,السندات!$A$5:$A$504,0)),""))</f>
        <v/>
      </c>
      <c r="I2513" s="71" t="str">
        <f aca="false">IF(A2513="","",IFERROR(INDEX(السندات!$D$5:$D$504,MATCH(A2513,السندات!$A$5:$A$504,0)),""))</f>
        <v/>
      </c>
      <c r="J2513" s="72" t="str">
        <f aca="false">IF(A2513="","",IF(ISNA(MATCH(A2513,السندات!$A$5:$A$504,0)),"رقم سند غير موجود ✘",IF(AND(F2513&lt;&gt;"",G2513&lt;&gt;""),"اكتب مدين أو دائن فقط ✘",IF(AND(N(F2513)=0,N(G2513)=0),"بدون مبلغ ⚠",IF(B2513&gt;12,"يتجاوز 12 بنداً في الطباعة ⚠","")))))</f>
        <v/>
      </c>
    </row>
    <row r="2514" customFormat="false" ht="15" hidden="false" customHeight="false" outlineLevel="0" collapsed="false">
      <c r="A2514" s="58"/>
      <c r="B2514" s="73" t="str">
        <f aca="false">IF(A2514="","",COUNTIF(A$5:A2514,A2514))</f>
        <v/>
      </c>
      <c r="C2514" s="73" t="str">
        <f aca="false">IF(A2514="","",A2514&amp;"-"&amp;B2514)</f>
        <v/>
      </c>
      <c r="D2514" s="58"/>
      <c r="E2514" s="57"/>
      <c r="F2514" s="69"/>
      <c r="G2514" s="69"/>
      <c r="H2514" s="74" t="str">
        <f aca="false">IF(A2514="","",IFERROR(INDEX(السندات!$C$5:$C$504,MATCH(A2514,السندات!$A$5:$A$504,0)),""))</f>
        <v/>
      </c>
      <c r="I2514" s="75" t="str">
        <f aca="false">IF(A2514="","",IFERROR(INDEX(السندات!$D$5:$D$504,MATCH(A2514,السندات!$A$5:$A$504,0)),""))</f>
        <v/>
      </c>
      <c r="J2514" s="76" t="str">
        <f aca="false">IF(A2514="","",IF(ISNA(MATCH(A2514,السندات!$A$5:$A$504,0)),"رقم سند غير موجود ✘",IF(AND(F2514&lt;&gt;"",G2514&lt;&gt;""),"اكتب مدين أو دائن فقط ✘",IF(AND(N(F2514)=0,N(G2514)=0),"بدون مبلغ ⚠",IF(B2514&gt;12,"يتجاوز 12 بنداً في الطباعة ⚠","")))))</f>
        <v/>
      </c>
    </row>
    <row r="2515" customFormat="false" ht="15" hidden="false" customHeight="false" outlineLevel="0" collapsed="false">
      <c r="A2515" s="58"/>
      <c r="B2515" s="68" t="str">
        <f aca="false">IF(A2515="","",COUNTIF(A$5:A2515,A2515))</f>
        <v/>
      </c>
      <c r="C2515" s="68" t="str">
        <f aca="false">IF(A2515="","",A2515&amp;"-"&amp;B2515)</f>
        <v/>
      </c>
      <c r="D2515" s="58"/>
      <c r="E2515" s="57"/>
      <c r="F2515" s="69"/>
      <c r="G2515" s="69"/>
      <c r="H2515" s="70" t="str">
        <f aca="false">IF(A2515="","",IFERROR(INDEX(السندات!$C$5:$C$504,MATCH(A2515,السندات!$A$5:$A$504,0)),""))</f>
        <v/>
      </c>
      <c r="I2515" s="71" t="str">
        <f aca="false">IF(A2515="","",IFERROR(INDEX(السندات!$D$5:$D$504,MATCH(A2515,السندات!$A$5:$A$504,0)),""))</f>
        <v/>
      </c>
      <c r="J2515" s="72" t="str">
        <f aca="false">IF(A2515="","",IF(ISNA(MATCH(A2515,السندات!$A$5:$A$504,0)),"رقم سند غير موجود ✘",IF(AND(F2515&lt;&gt;"",G2515&lt;&gt;""),"اكتب مدين أو دائن فقط ✘",IF(AND(N(F2515)=0,N(G2515)=0),"بدون مبلغ ⚠",IF(B2515&gt;12,"يتجاوز 12 بنداً في الطباعة ⚠","")))))</f>
        <v/>
      </c>
    </row>
    <row r="2516" customFormat="false" ht="15" hidden="false" customHeight="false" outlineLevel="0" collapsed="false">
      <c r="A2516" s="58"/>
      <c r="B2516" s="73" t="str">
        <f aca="false">IF(A2516="","",COUNTIF(A$5:A2516,A2516))</f>
        <v/>
      </c>
      <c r="C2516" s="73" t="str">
        <f aca="false">IF(A2516="","",A2516&amp;"-"&amp;B2516)</f>
        <v/>
      </c>
      <c r="D2516" s="58"/>
      <c r="E2516" s="57"/>
      <c r="F2516" s="69"/>
      <c r="G2516" s="69"/>
      <c r="H2516" s="74" t="str">
        <f aca="false">IF(A2516="","",IFERROR(INDEX(السندات!$C$5:$C$504,MATCH(A2516,السندات!$A$5:$A$504,0)),""))</f>
        <v/>
      </c>
      <c r="I2516" s="75" t="str">
        <f aca="false">IF(A2516="","",IFERROR(INDEX(السندات!$D$5:$D$504,MATCH(A2516,السندات!$A$5:$A$504,0)),""))</f>
        <v/>
      </c>
      <c r="J2516" s="76" t="str">
        <f aca="false">IF(A2516="","",IF(ISNA(MATCH(A2516,السندات!$A$5:$A$504,0)),"رقم سند غير موجود ✘",IF(AND(F2516&lt;&gt;"",G2516&lt;&gt;""),"اكتب مدين أو دائن فقط ✘",IF(AND(N(F2516)=0,N(G2516)=0),"بدون مبلغ ⚠",IF(B2516&gt;12,"يتجاوز 12 بنداً في الطباعة ⚠","")))))</f>
        <v/>
      </c>
    </row>
    <row r="2517" customFormat="false" ht="15" hidden="false" customHeight="false" outlineLevel="0" collapsed="false">
      <c r="A2517" s="58"/>
      <c r="B2517" s="68" t="str">
        <f aca="false">IF(A2517="","",COUNTIF(A$5:A2517,A2517))</f>
        <v/>
      </c>
      <c r="C2517" s="68" t="str">
        <f aca="false">IF(A2517="","",A2517&amp;"-"&amp;B2517)</f>
        <v/>
      </c>
      <c r="D2517" s="58"/>
      <c r="E2517" s="57"/>
      <c r="F2517" s="69"/>
      <c r="G2517" s="69"/>
      <c r="H2517" s="70" t="str">
        <f aca="false">IF(A2517="","",IFERROR(INDEX(السندات!$C$5:$C$504,MATCH(A2517,السندات!$A$5:$A$504,0)),""))</f>
        <v/>
      </c>
      <c r="I2517" s="71" t="str">
        <f aca="false">IF(A2517="","",IFERROR(INDEX(السندات!$D$5:$D$504,MATCH(A2517,السندات!$A$5:$A$504,0)),""))</f>
        <v/>
      </c>
      <c r="J2517" s="72" t="str">
        <f aca="false">IF(A2517="","",IF(ISNA(MATCH(A2517,السندات!$A$5:$A$504,0)),"رقم سند غير موجود ✘",IF(AND(F2517&lt;&gt;"",G2517&lt;&gt;""),"اكتب مدين أو دائن فقط ✘",IF(AND(N(F2517)=0,N(G2517)=0),"بدون مبلغ ⚠",IF(B2517&gt;12,"يتجاوز 12 بنداً في الطباعة ⚠","")))))</f>
        <v/>
      </c>
    </row>
    <row r="2518" customFormat="false" ht="15" hidden="false" customHeight="false" outlineLevel="0" collapsed="false">
      <c r="A2518" s="58"/>
      <c r="B2518" s="73" t="str">
        <f aca="false">IF(A2518="","",COUNTIF(A$5:A2518,A2518))</f>
        <v/>
      </c>
      <c r="C2518" s="73" t="str">
        <f aca="false">IF(A2518="","",A2518&amp;"-"&amp;B2518)</f>
        <v/>
      </c>
      <c r="D2518" s="58"/>
      <c r="E2518" s="57"/>
      <c r="F2518" s="69"/>
      <c r="G2518" s="69"/>
      <c r="H2518" s="74" t="str">
        <f aca="false">IF(A2518="","",IFERROR(INDEX(السندات!$C$5:$C$504,MATCH(A2518,السندات!$A$5:$A$504,0)),""))</f>
        <v/>
      </c>
      <c r="I2518" s="75" t="str">
        <f aca="false">IF(A2518="","",IFERROR(INDEX(السندات!$D$5:$D$504,MATCH(A2518,السندات!$A$5:$A$504,0)),""))</f>
        <v/>
      </c>
      <c r="J2518" s="76" t="str">
        <f aca="false">IF(A2518="","",IF(ISNA(MATCH(A2518,السندات!$A$5:$A$504,0)),"رقم سند غير موجود ✘",IF(AND(F2518&lt;&gt;"",G2518&lt;&gt;""),"اكتب مدين أو دائن فقط ✘",IF(AND(N(F2518)=0,N(G2518)=0),"بدون مبلغ ⚠",IF(B2518&gt;12,"يتجاوز 12 بنداً في الطباعة ⚠","")))))</f>
        <v/>
      </c>
    </row>
    <row r="2519" customFormat="false" ht="15" hidden="false" customHeight="false" outlineLevel="0" collapsed="false">
      <c r="A2519" s="58"/>
      <c r="B2519" s="68" t="str">
        <f aca="false">IF(A2519="","",COUNTIF(A$5:A2519,A2519))</f>
        <v/>
      </c>
      <c r="C2519" s="68" t="str">
        <f aca="false">IF(A2519="","",A2519&amp;"-"&amp;B2519)</f>
        <v/>
      </c>
      <c r="D2519" s="58"/>
      <c r="E2519" s="57"/>
      <c r="F2519" s="69"/>
      <c r="G2519" s="69"/>
      <c r="H2519" s="70" t="str">
        <f aca="false">IF(A2519="","",IFERROR(INDEX(السندات!$C$5:$C$504,MATCH(A2519,السندات!$A$5:$A$504,0)),""))</f>
        <v/>
      </c>
      <c r="I2519" s="71" t="str">
        <f aca="false">IF(A2519="","",IFERROR(INDEX(السندات!$D$5:$D$504,MATCH(A2519,السندات!$A$5:$A$504,0)),""))</f>
        <v/>
      </c>
      <c r="J2519" s="72" t="str">
        <f aca="false">IF(A2519="","",IF(ISNA(MATCH(A2519,السندات!$A$5:$A$504,0)),"رقم سند غير موجود ✘",IF(AND(F2519&lt;&gt;"",G2519&lt;&gt;""),"اكتب مدين أو دائن فقط ✘",IF(AND(N(F2519)=0,N(G2519)=0),"بدون مبلغ ⚠",IF(B2519&gt;12,"يتجاوز 12 بنداً في الطباعة ⚠","")))))</f>
        <v/>
      </c>
    </row>
    <row r="2520" customFormat="false" ht="15" hidden="false" customHeight="false" outlineLevel="0" collapsed="false">
      <c r="A2520" s="58"/>
      <c r="B2520" s="73" t="str">
        <f aca="false">IF(A2520="","",COUNTIF(A$5:A2520,A2520))</f>
        <v/>
      </c>
      <c r="C2520" s="73" t="str">
        <f aca="false">IF(A2520="","",A2520&amp;"-"&amp;B2520)</f>
        <v/>
      </c>
      <c r="D2520" s="58"/>
      <c r="E2520" s="57"/>
      <c r="F2520" s="69"/>
      <c r="G2520" s="69"/>
      <c r="H2520" s="74" t="str">
        <f aca="false">IF(A2520="","",IFERROR(INDEX(السندات!$C$5:$C$504,MATCH(A2520,السندات!$A$5:$A$504,0)),""))</f>
        <v/>
      </c>
      <c r="I2520" s="75" t="str">
        <f aca="false">IF(A2520="","",IFERROR(INDEX(السندات!$D$5:$D$504,MATCH(A2520,السندات!$A$5:$A$504,0)),""))</f>
        <v/>
      </c>
      <c r="J2520" s="76" t="str">
        <f aca="false">IF(A2520="","",IF(ISNA(MATCH(A2520,السندات!$A$5:$A$504,0)),"رقم سند غير موجود ✘",IF(AND(F2520&lt;&gt;"",G2520&lt;&gt;""),"اكتب مدين أو دائن فقط ✘",IF(AND(N(F2520)=0,N(G2520)=0),"بدون مبلغ ⚠",IF(B2520&gt;12,"يتجاوز 12 بنداً في الطباعة ⚠","")))))</f>
        <v/>
      </c>
    </row>
    <row r="2521" customFormat="false" ht="15" hidden="false" customHeight="false" outlineLevel="0" collapsed="false">
      <c r="A2521" s="58"/>
      <c r="B2521" s="68" t="str">
        <f aca="false">IF(A2521="","",COUNTIF(A$5:A2521,A2521))</f>
        <v/>
      </c>
      <c r="C2521" s="68" t="str">
        <f aca="false">IF(A2521="","",A2521&amp;"-"&amp;B2521)</f>
        <v/>
      </c>
      <c r="D2521" s="58"/>
      <c r="E2521" s="57"/>
      <c r="F2521" s="69"/>
      <c r="G2521" s="69"/>
      <c r="H2521" s="70" t="str">
        <f aca="false">IF(A2521="","",IFERROR(INDEX(السندات!$C$5:$C$504,MATCH(A2521,السندات!$A$5:$A$504,0)),""))</f>
        <v/>
      </c>
      <c r="I2521" s="71" t="str">
        <f aca="false">IF(A2521="","",IFERROR(INDEX(السندات!$D$5:$D$504,MATCH(A2521,السندات!$A$5:$A$504,0)),""))</f>
        <v/>
      </c>
      <c r="J2521" s="72" t="str">
        <f aca="false">IF(A2521="","",IF(ISNA(MATCH(A2521,السندات!$A$5:$A$504,0)),"رقم سند غير موجود ✘",IF(AND(F2521&lt;&gt;"",G2521&lt;&gt;""),"اكتب مدين أو دائن فقط ✘",IF(AND(N(F2521)=0,N(G2521)=0),"بدون مبلغ ⚠",IF(B2521&gt;12,"يتجاوز 12 بنداً في الطباعة ⚠","")))))</f>
        <v/>
      </c>
    </row>
    <row r="2522" customFormat="false" ht="15" hidden="false" customHeight="false" outlineLevel="0" collapsed="false">
      <c r="A2522" s="58"/>
      <c r="B2522" s="73" t="str">
        <f aca="false">IF(A2522="","",COUNTIF(A$5:A2522,A2522))</f>
        <v/>
      </c>
      <c r="C2522" s="73" t="str">
        <f aca="false">IF(A2522="","",A2522&amp;"-"&amp;B2522)</f>
        <v/>
      </c>
      <c r="D2522" s="58"/>
      <c r="E2522" s="57"/>
      <c r="F2522" s="69"/>
      <c r="G2522" s="69"/>
      <c r="H2522" s="74" t="str">
        <f aca="false">IF(A2522="","",IFERROR(INDEX(السندات!$C$5:$C$504,MATCH(A2522,السندات!$A$5:$A$504,0)),""))</f>
        <v/>
      </c>
      <c r="I2522" s="75" t="str">
        <f aca="false">IF(A2522="","",IFERROR(INDEX(السندات!$D$5:$D$504,MATCH(A2522,السندات!$A$5:$A$504,0)),""))</f>
        <v/>
      </c>
      <c r="J2522" s="76" t="str">
        <f aca="false">IF(A2522="","",IF(ISNA(MATCH(A2522,السندات!$A$5:$A$504,0)),"رقم سند غير موجود ✘",IF(AND(F2522&lt;&gt;"",G2522&lt;&gt;""),"اكتب مدين أو دائن فقط ✘",IF(AND(N(F2522)=0,N(G2522)=0),"بدون مبلغ ⚠",IF(B2522&gt;12,"يتجاوز 12 بنداً في الطباعة ⚠","")))))</f>
        <v/>
      </c>
    </row>
    <row r="2523" customFormat="false" ht="15" hidden="false" customHeight="false" outlineLevel="0" collapsed="false">
      <c r="A2523" s="58"/>
      <c r="B2523" s="68" t="str">
        <f aca="false">IF(A2523="","",COUNTIF(A$5:A2523,A2523))</f>
        <v/>
      </c>
      <c r="C2523" s="68" t="str">
        <f aca="false">IF(A2523="","",A2523&amp;"-"&amp;B2523)</f>
        <v/>
      </c>
      <c r="D2523" s="58"/>
      <c r="E2523" s="57"/>
      <c r="F2523" s="69"/>
      <c r="G2523" s="69"/>
      <c r="H2523" s="70" t="str">
        <f aca="false">IF(A2523="","",IFERROR(INDEX(السندات!$C$5:$C$504,MATCH(A2523,السندات!$A$5:$A$504,0)),""))</f>
        <v/>
      </c>
      <c r="I2523" s="71" t="str">
        <f aca="false">IF(A2523="","",IFERROR(INDEX(السندات!$D$5:$D$504,MATCH(A2523,السندات!$A$5:$A$504,0)),""))</f>
        <v/>
      </c>
      <c r="J2523" s="72" t="str">
        <f aca="false">IF(A2523="","",IF(ISNA(MATCH(A2523,السندات!$A$5:$A$504,0)),"رقم سند غير موجود ✘",IF(AND(F2523&lt;&gt;"",G2523&lt;&gt;""),"اكتب مدين أو دائن فقط ✘",IF(AND(N(F2523)=0,N(G2523)=0),"بدون مبلغ ⚠",IF(B2523&gt;12,"يتجاوز 12 بنداً في الطباعة ⚠","")))))</f>
        <v/>
      </c>
    </row>
    <row r="2524" customFormat="false" ht="15" hidden="false" customHeight="false" outlineLevel="0" collapsed="false">
      <c r="A2524" s="58"/>
      <c r="B2524" s="73" t="str">
        <f aca="false">IF(A2524="","",COUNTIF(A$5:A2524,A2524))</f>
        <v/>
      </c>
      <c r="C2524" s="73" t="str">
        <f aca="false">IF(A2524="","",A2524&amp;"-"&amp;B2524)</f>
        <v/>
      </c>
      <c r="D2524" s="58"/>
      <c r="E2524" s="57"/>
      <c r="F2524" s="69"/>
      <c r="G2524" s="69"/>
      <c r="H2524" s="74" t="str">
        <f aca="false">IF(A2524="","",IFERROR(INDEX(السندات!$C$5:$C$504,MATCH(A2524,السندات!$A$5:$A$504,0)),""))</f>
        <v/>
      </c>
      <c r="I2524" s="75" t="str">
        <f aca="false">IF(A2524="","",IFERROR(INDEX(السندات!$D$5:$D$504,MATCH(A2524,السندات!$A$5:$A$504,0)),""))</f>
        <v/>
      </c>
      <c r="J2524" s="76" t="str">
        <f aca="false">IF(A2524="","",IF(ISNA(MATCH(A2524,السندات!$A$5:$A$504,0)),"رقم سند غير موجود ✘",IF(AND(F2524&lt;&gt;"",G2524&lt;&gt;""),"اكتب مدين أو دائن فقط ✘",IF(AND(N(F2524)=0,N(G2524)=0),"بدون مبلغ ⚠",IF(B2524&gt;12,"يتجاوز 12 بنداً في الطباعة ⚠","")))))</f>
        <v/>
      </c>
    </row>
    <row r="2525" customFormat="false" ht="15" hidden="false" customHeight="false" outlineLevel="0" collapsed="false">
      <c r="A2525" s="58"/>
      <c r="B2525" s="68" t="str">
        <f aca="false">IF(A2525="","",COUNTIF(A$5:A2525,A2525))</f>
        <v/>
      </c>
      <c r="C2525" s="68" t="str">
        <f aca="false">IF(A2525="","",A2525&amp;"-"&amp;B2525)</f>
        <v/>
      </c>
      <c r="D2525" s="58"/>
      <c r="E2525" s="57"/>
      <c r="F2525" s="69"/>
      <c r="G2525" s="69"/>
      <c r="H2525" s="70" t="str">
        <f aca="false">IF(A2525="","",IFERROR(INDEX(السندات!$C$5:$C$504,MATCH(A2525,السندات!$A$5:$A$504,0)),""))</f>
        <v/>
      </c>
      <c r="I2525" s="71" t="str">
        <f aca="false">IF(A2525="","",IFERROR(INDEX(السندات!$D$5:$D$504,MATCH(A2525,السندات!$A$5:$A$504,0)),""))</f>
        <v/>
      </c>
      <c r="J2525" s="72" t="str">
        <f aca="false">IF(A2525="","",IF(ISNA(MATCH(A2525,السندات!$A$5:$A$504,0)),"رقم سند غير موجود ✘",IF(AND(F2525&lt;&gt;"",G2525&lt;&gt;""),"اكتب مدين أو دائن فقط ✘",IF(AND(N(F2525)=0,N(G2525)=0),"بدون مبلغ ⚠",IF(B2525&gt;12,"يتجاوز 12 بنداً في الطباعة ⚠","")))))</f>
        <v/>
      </c>
    </row>
    <row r="2526" customFormat="false" ht="15" hidden="false" customHeight="false" outlineLevel="0" collapsed="false">
      <c r="A2526" s="58"/>
      <c r="B2526" s="73" t="str">
        <f aca="false">IF(A2526="","",COUNTIF(A$5:A2526,A2526))</f>
        <v/>
      </c>
      <c r="C2526" s="73" t="str">
        <f aca="false">IF(A2526="","",A2526&amp;"-"&amp;B2526)</f>
        <v/>
      </c>
      <c r="D2526" s="58"/>
      <c r="E2526" s="57"/>
      <c r="F2526" s="69"/>
      <c r="G2526" s="69"/>
      <c r="H2526" s="74" t="str">
        <f aca="false">IF(A2526="","",IFERROR(INDEX(السندات!$C$5:$C$504,MATCH(A2526,السندات!$A$5:$A$504,0)),""))</f>
        <v/>
      </c>
      <c r="I2526" s="75" t="str">
        <f aca="false">IF(A2526="","",IFERROR(INDEX(السندات!$D$5:$D$504,MATCH(A2526,السندات!$A$5:$A$504,0)),""))</f>
        <v/>
      </c>
      <c r="J2526" s="76" t="str">
        <f aca="false">IF(A2526="","",IF(ISNA(MATCH(A2526,السندات!$A$5:$A$504,0)),"رقم سند غير موجود ✘",IF(AND(F2526&lt;&gt;"",G2526&lt;&gt;""),"اكتب مدين أو دائن فقط ✘",IF(AND(N(F2526)=0,N(G2526)=0),"بدون مبلغ ⚠",IF(B2526&gt;12,"يتجاوز 12 بنداً في الطباعة ⚠","")))))</f>
        <v/>
      </c>
    </row>
    <row r="2527" customFormat="false" ht="15" hidden="false" customHeight="false" outlineLevel="0" collapsed="false">
      <c r="A2527" s="58"/>
      <c r="B2527" s="68" t="str">
        <f aca="false">IF(A2527="","",COUNTIF(A$5:A2527,A2527))</f>
        <v/>
      </c>
      <c r="C2527" s="68" t="str">
        <f aca="false">IF(A2527="","",A2527&amp;"-"&amp;B2527)</f>
        <v/>
      </c>
      <c r="D2527" s="58"/>
      <c r="E2527" s="57"/>
      <c r="F2527" s="69"/>
      <c r="G2527" s="69"/>
      <c r="H2527" s="70" t="str">
        <f aca="false">IF(A2527="","",IFERROR(INDEX(السندات!$C$5:$C$504,MATCH(A2527,السندات!$A$5:$A$504,0)),""))</f>
        <v/>
      </c>
      <c r="I2527" s="71" t="str">
        <f aca="false">IF(A2527="","",IFERROR(INDEX(السندات!$D$5:$D$504,MATCH(A2527,السندات!$A$5:$A$504,0)),""))</f>
        <v/>
      </c>
      <c r="J2527" s="72" t="str">
        <f aca="false">IF(A2527="","",IF(ISNA(MATCH(A2527,السندات!$A$5:$A$504,0)),"رقم سند غير موجود ✘",IF(AND(F2527&lt;&gt;"",G2527&lt;&gt;""),"اكتب مدين أو دائن فقط ✘",IF(AND(N(F2527)=0,N(G2527)=0),"بدون مبلغ ⚠",IF(B2527&gt;12,"يتجاوز 12 بنداً في الطباعة ⚠","")))))</f>
        <v/>
      </c>
    </row>
    <row r="2528" customFormat="false" ht="15" hidden="false" customHeight="false" outlineLevel="0" collapsed="false">
      <c r="A2528" s="58"/>
      <c r="B2528" s="73" t="str">
        <f aca="false">IF(A2528="","",COUNTIF(A$5:A2528,A2528))</f>
        <v/>
      </c>
      <c r="C2528" s="73" t="str">
        <f aca="false">IF(A2528="","",A2528&amp;"-"&amp;B2528)</f>
        <v/>
      </c>
      <c r="D2528" s="58"/>
      <c r="E2528" s="57"/>
      <c r="F2528" s="69"/>
      <c r="G2528" s="69"/>
      <c r="H2528" s="74" t="str">
        <f aca="false">IF(A2528="","",IFERROR(INDEX(السندات!$C$5:$C$504,MATCH(A2528,السندات!$A$5:$A$504,0)),""))</f>
        <v/>
      </c>
      <c r="I2528" s="75" t="str">
        <f aca="false">IF(A2528="","",IFERROR(INDEX(السندات!$D$5:$D$504,MATCH(A2528,السندات!$A$5:$A$504,0)),""))</f>
        <v/>
      </c>
      <c r="J2528" s="76" t="str">
        <f aca="false">IF(A2528="","",IF(ISNA(MATCH(A2528,السندات!$A$5:$A$504,0)),"رقم سند غير موجود ✘",IF(AND(F2528&lt;&gt;"",G2528&lt;&gt;""),"اكتب مدين أو دائن فقط ✘",IF(AND(N(F2528)=0,N(G2528)=0),"بدون مبلغ ⚠",IF(B2528&gt;12,"يتجاوز 12 بنداً في الطباعة ⚠","")))))</f>
        <v/>
      </c>
    </row>
    <row r="2529" customFormat="false" ht="15" hidden="false" customHeight="false" outlineLevel="0" collapsed="false">
      <c r="A2529" s="58"/>
      <c r="B2529" s="68" t="str">
        <f aca="false">IF(A2529="","",COUNTIF(A$5:A2529,A2529))</f>
        <v/>
      </c>
      <c r="C2529" s="68" t="str">
        <f aca="false">IF(A2529="","",A2529&amp;"-"&amp;B2529)</f>
        <v/>
      </c>
      <c r="D2529" s="58"/>
      <c r="E2529" s="57"/>
      <c r="F2529" s="69"/>
      <c r="G2529" s="69"/>
      <c r="H2529" s="70" t="str">
        <f aca="false">IF(A2529="","",IFERROR(INDEX(السندات!$C$5:$C$504,MATCH(A2529,السندات!$A$5:$A$504,0)),""))</f>
        <v/>
      </c>
      <c r="I2529" s="71" t="str">
        <f aca="false">IF(A2529="","",IFERROR(INDEX(السندات!$D$5:$D$504,MATCH(A2529,السندات!$A$5:$A$504,0)),""))</f>
        <v/>
      </c>
      <c r="J2529" s="72" t="str">
        <f aca="false">IF(A2529="","",IF(ISNA(MATCH(A2529,السندات!$A$5:$A$504,0)),"رقم سند غير موجود ✘",IF(AND(F2529&lt;&gt;"",G2529&lt;&gt;""),"اكتب مدين أو دائن فقط ✘",IF(AND(N(F2529)=0,N(G2529)=0),"بدون مبلغ ⚠",IF(B2529&gt;12,"يتجاوز 12 بنداً في الطباعة ⚠","")))))</f>
        <v/>
      </c>
    </row>
    <row r="2530" customFormat="false" ht="15" hidden="false" customHeight="false" outlineLevel="0" collapsed="false">
      <c r="A2530" s="58"/>
      <c r="B2530" s="73" t="str">
        <f aca="false">IF(A2530="","",COUNTIF(A$5:A2530,A2530))</f>
        <v/>
      </c>
      <c r="C2530" s="73" t="str">
        <f aca="false">IF(A2530="","",A2530&amp;"-"&amp;B2530)</f>
        <v/>
      </c>
      <c r="D2530" s="58"/>
      <c r="E2530" s="57"/>
      <c r="F2530" s="69"/>
      <c r="G2530" s="69"/>
      <c r="H2530" s="74" t="str">
        <f aca="false">IF(A2530="","",IFERROR(INDEX(السندات!$C$5:$C$504,MATCH(A2530,السندات!$A$5:$A$504,0)),""))</f>
        <v/>
      </c>
      <c r="I2530" s="75" t="str">
        <f aca="false">IF(A2530="","",IFERROR(INDEX(السندات!$D$5:$D$504,MATCH(A2530,السندات!$A$5:$A$504,0)),""))</f>
        <v/>
      </c>
      <c r="J2530" s="76" t="str">
        <f aca="false">IF(A2530="","",IF(ISNA(MATCH(A2530,السندات!$A$5:$A$504,0)),"رقم سند غير موجود ✘",IF(AND(F2530&lt;&gt;"",G2530&lt;&gt;""),"اكتب مدين أو دائن فقط ✘",IF(AND(N(F2530)=0,N(G2530)=0),"بدون مبلغ ⚠",IF(B2530&gt;12,"يتجاوز 12 بنداً في الطباعة ⚠","")))))</f>
        <v/>
      </c>
    </row>
    <row r="2531" customFormat="false" ht="15" hidden="false" customHeight="false" outlineLevel="0" collapsed="false">
      <c r="A2531" s="58"/>
      <c r="B2531" s="68" t="str">
        <f aca="false">IF(A2531="","",COUNTIF(A$5:A2531,A2531))</f>
        <v/>
      </c>
      <c r="C2531" s="68" t="str">
        <f aca="false">IF(A2531="","",A2531&amp;"-"&amp;B2531)</f>
        <v/>
      </c>
      <c r="D2531" s="58"/>
      <c r="E2531" s="57"/>
      <c r="F2531" s="69"/>
      <c r="G2531" s="69"/>
      <c r="H2531" s="70" t="str">
        <f aca="false">IF(A2531="","",IFERROR(INDEX(السندات!$C$5:$C$504,MATCH(A2531,السندات!$A$5:$A$504,0)),""))</f>
        <v/>
      </c>
      <c r="I2531" s="71" t="str">
        <f aca="false">IF(A2531="","",IFERROR(INDEX(السندات!$D$5:$D$504,MATCH(A2531,السندات!$A$5:$A$504,0)),""))</f>
        <v/>
      </c>
      <c r="J2531" s="72" t="str">
        <f aca="false">IF(A2531="","",IF(ISNA(MATCH(A2531,السندات!$A$5:$A$504,0)),"رقم سند غير موجود ✘",IF(AND(F2531&lt;&gt;"",G2531&lt;&gt;""),"اكتب مدين أو دائن فقط ✘",IF(AND(N(F2531)=0,N(G2531)=0),"بدون مبلغ ⚠",IF(B2531&gt;12,"يتجاوز 12 بنداً في الطباعة ⚠","")))))</f>
        <v/>
      </c>
    </row>
    <row r="2532" customFormat="false" ht="15" hidden="false" customHeight="false" outlineLevel="0" collapsed="false">
      <c r="A2532" s="58"/>
      <c r="B2532" s="73" t="str">
        <f aca="false">IF(A2532="","",COUNTIF(A$5:A2532,A2532))</f>
        <v/>
      </c>
      <c r="C2532" s="73" t="str">
        <f aca="false">IF(A2532="","",A2532&amp;"-"&amp;B2532)</f>
        <v/>
      </c>
      <c r="D2532" s="58"/>
      <c r="E2532" s="57"/>
      <c r="F2532" s="69"/>
      <c r="G2532" s="69"/>
      <c r="H2532" s="74" t="str">
        <f aca="false">IF(A2532="","",IFERROR(INDEX(السندات!$C$5:$C$504,MATCH(A2532,السندات!$A$5:$A$504,0)),""))</f>
        <v/>
      </c>
      <c r="I2532" s="75" t="str">
        <f aca="false">IF(A2532="","",IFERROR(INDEX(السندات!$D$5:$D$504,MATCH(A2532,السندات!$A$5:$A$504,0)),""))</f>
        <v/>
      </c>
      <c r="J2532" s="76" t="str">
        <f aca="false">IF(A2532="","",IF(ISNA(MATCH(A2532,السندات!$A$5:$A$504,0)),"رقم سند غير موجود ✘",IF(AND(F2532&lt;&gt;"",G2532&lt;&gt;""),"اكتب مدين أو دائن فقط ✘",IF(AND(N(F2532)=0,N(G2532)=0),"بدون مبلغ ⚠",IF(B2532&gt;12,"يتجاوز 12 بنداً في الطباعة ⚠","")))))</f>
        <v/>
      </c>
    </row>
    <row r="2533" customFormat="false" ht="15" hidden="false" customHeight="false" outlineLevel="0" collapsed="false">
      <c r="A2533" s="58"/>
      <c r="B2533" s="68" t="str">
        <f aca="false">IF(A2533="","",COUNTIF(A$5:A2533,A2533))</f>
        <v/>
      </c>
      <c r="C2533" s="68" t="str">
        <f aca="false">IF(A2533="","",A2533&amp;"-"&amp;B2533)</f>
        <v/>
      </c>
      <c r="D2533" s="58"/>
      <c r="E2533" s="57"/>
      <c r="F2533" s="69"/>
      <c r="G2533" s="69"/>
      <c r="H2533" s="70" t="str">
        <f aca="false">IF(A2533="","",IFERROR(INDEX(السندات!$C$5:$C$504,MATCH(A2533,السندات!$A$5:$A$504,0)),""))</f>
        <v/>
      </c>
      <c r="I2533" s="71" t="str">
        <f aca="false">IF(A2533="","",IFERROR(INDEX(السندات!$D$5:$D$504,MATCH(A2533,السندات!$A$5:$A$504,0)),""))</f>
        <v/>
      </c>
      <c r="J2533" s="72" t="str">
        <f aca="false">IF(A2533="","",IF(ISNA(MATCH(A2533,السندات!$A$5:$A$504,0)),"رقم سند غير موجود ✘",IF(AND(F2533&lt;&gt;"",G2533&lt;&gt;""),"اكتب مدين أو دائن فقط ✘",IF(AND(N(F2533)=0,N(G2533)=0),"بدون مبلغ ⚠",IF(B2533&gt;12,"يتجاوز 12 بنداً في الطباعة ⚠","")))))</f>
        <v/>
      </c>
    </row>
    <row r="2534" customFormat="false" ht="15" hidden="false" customHeight="false" outlineLevel="0" collapsed="false">
      <c r="A2534" s="58"/>
      <c r="B2534" s="73" t="str">
        <f aca="false">IF(A2534="","",COUNTIF(A$5:A2534,A2534))</f>
        <v/>
      </c>
      <c r="C2534" s="73" t="str">
        <f aca="false">IF(A2534="","",A2534&amp;"-"&amp;B2534)</f>
        <v/>
      </c>
      <c r="D2534" s="58"/>
      <c r="E2534" s="57"/>
      <c r="F2534" s="69"/>
      <c r="G2534" s="69"/>
      <c r="H2534" s="74" t="str">
        <f aca="false">IF(A2534="","",IFERROR(INDEX(السندات!$C$5:$C$504,MATCH(A2534,السندات!$A$5:$A$504,0)),""))</f>
        <v/>
      </c>
      <c r="I2534" s="75" t="str">
        <f aca="false">IF(A2534="","",IFERROR(INDEX(السندات!$D$5:$D$504,MATCH(A2534,السندات!$A$5:$A$504,0)),""))</f>
        <v/>
      </c>
      <c r="J2534" s="76" t="str">
        <f aca="false">IF(A2534="","",IF(ISNA(MATCH(A2534,السندات!$A$5:$A$504,0)),"رقم سند غير موجود ✘",IF(AND(F2534&lt;&gt;"",G2534&lt;&gt;""),"اكتب مدين أو دائن فقط ✘",IF(AND(N(F2534)=0,N(G2534)=0),"بدون مبلغ ⚠",IF(B2534&gt;12,"يتجاوز 12 بنداً في الطباعة ⚠","")))))</f>
        <v/>
      </c>
    </row>
    <row r="2535" customFormat="false" ht="15" hidden="false" customHeight="false" outlineLevel="0" collapsed="false">
      <c r="A2535" s="58"/>
      <c r="B2535" s="68" t="str">
        <f aca="false">IF(A2535="","",COUNTIF(A$5:A2535,A2535))</f>
        <v/>
      </c>
      <c r="C2535" s="68" t="str">
        <f aca="false">IF(A2535="","",A2535&amp;"-"&amp;B2535)</f>
        <v/>
      </c>
      <c r="D2535" s="58"/>
      <c r="E2535" s="57"/>
      <c r="F2535" s="69"/>
      <c r="G2535" s="69"/>
      <c r="H2535" s="70" t="str">
        <f aca="false">IF(A2535="","",IFERROR(INDEX(السندات!$C$5:$C$504,MATCH(A2535,السندات!$A$5:$A$504,0)),""))</f>
        <v/>
      </c>
      <c r="I2535" s="71" t="str">
        <f aca="false">IF(A2535="","",IFERROR(INDEX(السندات!$D$5:$D$504,MATCH(A2535,السندات!$A$5:$A$504,0)),""))</f>
        <v/>
      </c>
      <c r="J2535" s="72" t="str">
        <f aca="false">IF(A2535="","",IF(ISNA(MATCH(A2535,السندات!$A$5:$A$504,0)),"رقم سند غير موجود ✘",IF(AND(F2535&lt;&gt;"",G2535&lt;&gt;""),"اكتب مدين أو دائن فقط ✘",IF(AND(N(F2535)=0,N(G2535)=0),"بدون مبلغ ⚠",IF(B2535&gt;12,"يتجاوز 12 بنداً في الطباعة ⚠","")))))</f>
        <v/>
      </c>
    </row>
    <row r="2536" customFormat="false" ht="15" hidden="false" customHeight="false" outlineLevel="0" collapsed="false">
      <c r="A2536" s="58"/>
      <c r="B2536" s="73" t="str">
        <f aca="false">IF(A2536="","",COUNTIF(A$5:A2536,A2536))</f>
        <v/>
      </c>
      <c r="C2536" s="73" t="str">
        <f aca="false">IF(A2536="","",A2536&amp;"-"&amp;B2536)</f>
        <v/>
      </c>
      <c r="D2536" s="58"/>
      <c r="E2536" s="57"/>
      <c r="F2536" s="69"/>
      <c r="G2536" s="69"/>
      <c r="H2536" s="74" t="str">
        <f aca="false">IF(A2536="","",IFERROR(INDEX(السندات!$C$5:$C$504,MATCH(A2536,السندات!$A$5:$A$504,0)),""))</f>
        <v/>
      </c>
      <c r="I2536" s="75" t="str">
        <f aca="false">IF(A2536="","",IFERROR(INDEX(السندات!$D$5:$D$504,MATCH(A2536,السندات!$A$5:$A$504,0)),""))</f>
        <v/>
      </c>
      <c r="J2536" s="76" t="str">
        <f aca="false">IF(A2536="","",IF(ISNA(MATCH(A2536,السندات!$A$5:$A$504,0)),"رقم سند غير موجود ✘",IF(AND(F2536&lt;&gt;"",G2536&lt;&gt;""),"اكتب مدين أو دائن فقط ✘",IF(AND(N(F2536)=0,N(G2536)=0),"بدون مبلغ ⚠",IF(B2536&gt;12,"يتجاوز 12 بنداً في الطباعة ⚠","")))))</f>
        <v/>
      </c>
    </row>
    <row r="2537" customFormat="false" ht="15" hidden="false" customHeight="false" outlineLevel="0" collapsed="false">
      <c r="A2537" s="58"/>
      <c r="B2537" s="68" t="str">
        <f aca="false">IF(A2537="","",COUNTIF(A$5:A2537,A2537))</f>
        <v/>
      </c>
      <c r="C2537" s="68" t="str">
        <f aca="false">IF(A2537="","",A2537&amp;"-"&amp;B2537)</f>
        <v/>
      </c>
      <c r="D2537" s="58"/>
      <c r="E2537" s="57"/>
      <c r="F2537" s="69"/>
      <c r="G2537" s="69"/>
      <c r="H2537" s="70" t="str">
        <f aca="false">IF(A2537="","",IFERROR(INDEX(السندات!$C$5:$C$504,MATCH(A2537,السندات!$A$5:$A$504,0)),""))</f>
        <v/>
      </c>
      <c r="I2537" s="71" t="str">
        <f aca="false">IF(A2537="","",IFERROR(INDEX(السندات!$D$5:$D$504,MATCH(A2537,السندات!$A$5:$A$504,0)),""))</f>
        <v/>
      </c>
      <c r="J2537" s="72" t="str">
        <f aca="false">IF(A2537="","",IF(ISNA(MATCH(A2537,السندات!$A$5:$A$504,0)),"رقم سند غير موجود ✘",IF(AND(F2537&lt;&gt;"",G2537&lt;&gt;""),"اكتب مدين أو دائن فقط ✘",IF(AND(N(F2537)=0,N(G2537)=0),"بدون مبلغ ⚠",IF(B2537&gt;12,"يتجاوز 12 بنداً في الطباعة ⚠","")))))</f>
        <v/>
      </c>
    </row>
    <row r="2538" customFormat="false" ht="15" hidden="false" customHeight="false" outlineLevel="0" collapsed="false">
      <c r="A2538" s="58"/>
      <c r="B2538" s="73" t="str">
        <f aca="false">IF(A2538="","",COUNTIF(A$5:A2538,A2538))</f>
        <v/>
      </c>
      <c r="C2538" s="73" t="str">
        <f aca="false">IF(A2538="","",A2538&amp;"-"&amp;B2538)</f>
        <v/>
      </c>
      <c r="D2538" s="58"/>
      <c r="E2538" s="57"/>
      <c r="F2538" s="69"/>
      <c r="G2538" s="69"/>
      <c r="H2538" s="74" t="str">
        <f aca="false">IF(A2538="","",IFERROR(INDEX(السندات!$C$5:$C$504,MATCH(A2538,السندات!$A$5:$A$504,0)),""))</f>
        <v/>
      </c>
      <c r="I2538" s="75" t="str">
        <f aca="false">IF(A2538="","",IFERROR(INDEX(السندات!$D$5:$D$504,MATCH(A2538,السندات!$A$5:$A$504,0)),""))</f>
        <v/>
      </c>
      <c r="J2538" s="76" t="str">
        <f aca="false">IF(A2538="","",IF(ISNA(MATCH(A2538,السندات!$A$5:$A$504,0)),"رقم سند غير موجود ✘",IF(AND(F2538&lt;&gt;"",G2538&lt;&gt;""),"اكتب مدين أو دائن فقط ✘",IF(AND(N(F2538)=0,N(G2538)=0),"بدون مبلغ ⚠",IF(B2538&gt;12,"يتجاوز 12 بنداً في الطباعة ⚠","")))))</f>
        <v/>
      </c>
    </row>
    <row r="2539" customFormat="false" ht="15" hidden="false" customHeight="false" outlineLevel="0" collapsed="false">
      <c r="A2539" s="58"/>
      <c r="B2539" s="68" t="str">
        <f aca="false">IF(A2539="","",COUNTIF(A$5:A2539,A2539))</f>
        <v/>
      </c>
      <c r="C2539" s="68" t="str">
        <f aca="false">IF(A2539="","",A2539&amp;"-"&amp;B2539)</f>
        <v/>
      </c>
      <c r="D2539" s="58"/>
      <c r="E2539" s="57"/>
      <c r="F2539" s="69"/>
      <c r="G2539" s="69"/>
      <c r="H2539" s="70" t="str">
        <f aca="false">IF(A2539="","",IFERROR(INDEX(السندات!$C$5:$C$504,MATCH(A2539,السندات!$A$5:$A$504,0)),""))</f>
        <v/>
      </c>
      <c r="I2539" s="71" t="str">
        <f aca="false">IF(A2539="","",IFERROR(INDEX(السندات!$D$5:$D$504,MATCH(A2539,السندات!$A$5:$A$504,0)),""))</f>
        <v/>
      </c>
      <c r="J2539" s="72" t="str">
        <f aca="false">IF(A2539="","",IF(ISNA(MATCH(A2539,السندات!$A$5:$A$504,0)),"رقم سند غير موجود ✘",IF(AND(F2539&lt;&gt;"",G2539&lt;&gt;""),"اكتب مدين أو دائن فقط ✘",IF(AND(N(F2539)=0,N(G2539)=0),"بدون مبلغ ⚠",IF(B2539&gt;12,"يتجاوز 12 بنداً في الطباعة ⚠","")))))</f>
        <v/>
      </c>
    </row>
    <row r="2540" customFormat="false" ht="15" hidden="false" customHeight="false" outlineLevel="0" collapsed="false">
      <c r="A2540" s="58"/>
      <c r="B2540" s="73" t="str">
        <f aca="false">IF(A2540="","",COUNTIF(A$5:A2540,A2540))</f>
        <v/>
      </c>
      <c r="C2540" s="73" t="str">
        <f aca="false">IF(A2540="","",A2540&amp;"-"&amp;B2540)</f>
        <v/>
      </c>
      <c r="D2540" s="58"/>
      <c r="E2540" s="57"/>
      <c r="F2540" s="69"/>
      <c r="G2540" s="69"/>
      <c r="H2540" s="74" t="str">
        <f aca="false">IF(A2540="","",IFERROR(INDEX(السندات!$C$5:$C$504,MATCH(A2540,السندات!$A$5:$A$504,0)),""))</f>
        <v/>
      </c>
      <c r="I2540" s="75" t="str">
        <f aca="false">IF(A2540="","",IFERROR(INDEX(السندات!$D$5:$D$504,MATCH(A2540,السندات!$A$5:$A$504,0)),""))</f>
        <v/>
      </c>
      <c r="J2540" s="76" t="str">
        <f aca="false">IF(A2540="","",IF(ISNA(MATCH(A2540,السندات!$A$5:$A$504,0)),"رقم سند غير موجود ✘",IF(AND(F2540&lt;&gt;"",G2540&lt;&gt;""),"اكتب مدين أو دائن فقط ✘",IF(AND(N(F2540)=0,N(G2540)=0),"بدون مبلغ ⚠",IF(B2540&gt;12,"يتجاوز 12 بنداً في الطباعة ⚠","")))))</f>
        <v/>
      </c>
    </row>
    <row r="2541" customFormat="false" ht="15" hidden="false" customHeight="false" outlineLevel="0" collapsed="false">
      <c r="A2541" s="58"/>
      <c r="B2541" s="68" t="str">
        <f aca="false">IF(A2541="","",COUNTIF(A$5:A2541,A2541))</f>
        <v/>
      </c>
      <c r="C2541" s="68" t="str">
        <f aca="false">IF(A2541="","",A2541&amp;"-"&amp;B2541)</f>
        <v/>
      </c>
      <c r="D2541" s="58"/>
      <c r="E2541" s="57"/>
      <c r="F2541" s="69"/>
      <c r="G2541" s="69"/>
      <c r="H2541" s="70" t="str">
        <f aca="false">IF(A2541="","",IFERROR(INDEX(السندات!$C$5:$C$504,MATCH(A2541,السندات!$A$5:$A$504,0)),""))</f>
        <v/>
      </c>
      <c r="I2541" s="71" t="str">
        <f aca="false">IF(A2541="","",IFERROR(INDEX(السندات!$D$5:$D$504,MATCH(A2541,السندات!$A$5:$A$504,0)),""))</f>
        <v/>
      </c>
      <c r="J2541" s="72" t="str">
        <f aca="false">IF(A2541="","",IF(ISNA(MATCH(A2541,السندات!$A$5:$A$504,0)),"رقم سند غير موجود ✘",IF(AND(F2541&lt;&gt;"",G2541&lt;&gt;""),"اكتب مدين أو دائن فقط ✘",IF(AND(N(F2541)=0,N(G2541)=0),"بدون مبلغ ⚠",IF(B2541&gt;12,"يتجاوز 12 بنداً في الطباعة ⚠","")))))</f>
        <v/>
      </c>
    </row>
    <row r="2542" customFormat="false" ht="15" hidden="false" customHeight="false" outlineLevel="0" collapsed="false">
      <c r="A2542" s="58"/>
      <c r="B2542" s="73" t="str">
        <f aca="false">IF(A2542="","",COUNTIF(A$5:A2542,A2542))</f>
        <v/>
      </c>
      <c r="C2542" s="73" t="str">
        <f aca="false">IF(A2542="","",A2542&amp;"-"&amp;B2542)</f>
        <v/>
      </c>
      <c r="D2542" s="58"/>
      <c r="E2542" s="57"/>
      <c r="F2542" s="69"/>
      <c r="G2542" s="69"/>
      <c r="H2542" s="74" t="str">
        <f aca="false">IF(A2542="","",IFERROR(INDEX(السندات!$C$5:$C$504,MATCH(A2542,السندات!$A$5:$A$504,0)),""))</f>
        <v/>
      </c>
      <c r="I2542" s="75" t="str">
        <f aca="false">IF(A2542="","",IFERROR(INDEX(السندات!$D$5:$D$504,MATCH(A2542,السندات!$A$5:$A$504,0)),""))</f>
        <v/>
      </c>
      <c r="J2542" s="76" t="str">
        <f aca="false">IF(A2542="","",IF(ISNA(MATCH(A2542,السندات!$A$5:$A$504,0)),"رقم سند غير موجود ✘",IF(AND(F2542&lt;&gt;"",G2542&lt;&gt;""),"اكتب مدين أو دائن فقط ✘",IF(AND(N(F2542)=0,N(G2542)=0),"بدون مبلغ ⚠",IF(B2542&gt;12,"يتجاوز 12 بنداً في الطباعة ⚠","")))))</f>
        <v/>
      </c>
    </row>
    <row r="2543" customFormat="false" ht="15" hidden="false" customHeight="false" outlineLevel="0" collapsed="false">
      <c r="A2543" s="58"/>
      <c r="B2543" s="68" t="str">
        <f aca="false">IF(A2543="","",COUNTIF(A$5:A2543,A2543))</f>
        <v/>
      </c>
      <c r="C2543" s="68" t="str">
        <f aca="false">IF(A2543="","",A2543&amp;"-"&amp;B2543)</f>
        <v/>
      </c>
      <c r="D2543" s="58"/>
      <c r="E2543" s="57"/>
      <c r="F2543" s="69"/>
      <c r="G2543" s="69"/>
      <c r="H2543" s="70" t="str">
        <f aca="false">IF(A2543="","",IFERROR(INDEX(السندات!$C$5:$C$504,MATCH(A2543,السندات!$A$5:$A$504,0)),""))</f>
        <v/>
      </c>
      <c r="I2543" s="71" t="str">
        <f aca="false">IF(A2543="","",IFERROR(INDEX(السندات!$D$5:$D$504,MATCH(A2543,السندات!$A$5:$A$504,0)),""))</f>
        <v/>
      </c>
      <c r="J2543" s="72" t="str">
        <f aca="false">IF(A2543="","",IF(ISNA(MATCH(A2543,السندات!$A$5:$A$504,0)),"رقم سند غير موجود ✘",IF(AND(F2543&lt;&gt;"",G2543&lt;&gt;""),"اكتب مدين أو دائن فقط ✘",IF(AND(N(F2543)=0,N(G2543)=0),"بدون مبلغ ⚠",IF(B2543&gt;12,"يتجاوز 12 بنداً في الطباعة ⚠","")))))</f>
        <v/>
      </c>
    </row>
    <row r="2544" customFormat="false" ht="15" hidden="false" customHeight="false" outlineLevel="0" collapsed="false">
      <c r="A2544" s="58"/>
      <c r="B2544" s="73" t="str">
        <f aca="false">IF(A2544="","",COUNTIF(A$5:A2544,A2544))</f>
        <v/>
      </c>
      <c r="C2544" s="73" t="str">
        <f aca="false">IF(A2544="","",A2544&amp;"-"&amp;B2544)</f>
        <v/>
      </c>
      <c r="D2544" s="58"/>
      <c r="E2544" s="57"/>
      <c r="F2544" s="69"/>
      <c r="G2544" s="69"/>
      <c r="H2544" s="74" t="str">
        <f aca="false">IF(A2544="","",IFERROR(INDEX(السندات!$C$5:$C$504,MATCH(A2544,السندات!$A$5:$A$504,0)),""))</f>
        <v/>
      </c>
      <c r="I2544" s="75" t="str">
        <f aca="false">IF(A2544="","",IFERROR(INDEX(السندات!$D$5:$D$504,MATCH(A2544,السندات!$A$5:$A$504,0)),""))</f>
        <v/>
      </c>
      <c r="J2544" s="76" t="str">
        <f aca="false">IF(A2544="","",IF(ISNA(MATCH(A2544,السندات!$A$5:$A$504,0)),"رقم سند غير موجود ✘",IF(AND(F2544&lt;&gt;"",G2544&lt;&gt;""),"اكتب مدين أو دائن فقط ✘",IF(AND(N(F2544)=0,N(G2544)=0),"بدون مبلغ ⚠",IF(B2544&gt;12,"يتجاوز 12 بنداً في الطباعة ⚠","")))))</f>
        <v/>
      </c>
    </row>
    <row r="2545" customFormat="false" ht="15" hidden="false" customHeight="false" outlineLevel="0" collapsed="false">
      <c r="A2545" s="58"/>
      <c r="B2545" s="68" t="str">
        <f aca="false">IF(A2545="","",COUNTIF(A$5:A2545,A2545))</f>
        <v/>
      </c>
      <c r="C2545" s="68" t="str">
        <f aca="false">IF(A2545="","",A2545&amp;"-"&amp;B2545)</f>
        <v/>
      </c>
      <c r="D2545" s="58"/>
      <c r="E2545" s="57"/>
      <c r="F2545" s="69"/>
      <c r="G2545" s="69"/>
      <c r="H2545" s="70" t="str">
        <f aca="false">IF(A2545="","",IFERROR(INDEX(السندات!$C$5:$C$504,MATCH(A2545,السندات!$A$5:$A$504,0)),""))</f>
        <v/>
      </c>
      <c r="I2545" s="71" t="str">
        <f aca="false">IF(A2545="","",IFERROR(INDEX(السندات!$D$5:$D$504,MATCH(A2545,السندات!$A$5:$A$504,0)),""))</f>
        <v/>
      </c>
      <c r="J2545" s="72" t="str">
        <f aca="false">IF(A2545="","",IF(ISNA(MATCH(A2545,السندات!$A$5:$A$504,0)),"رقم سند غير موجود ✘",IF(AND(F2545&lt;&gt;"",G2545&lt;&gt;""),"اكتب مدين أو دائن فقط ✘",IF(AND(N(F2545)=0,N(G2545)=0),"بدون مبلغ ⚠",IF(B2545&gt;12,"يتجاوز 12 بنداً في الطباعة ⚠","")))))</f>
        <v/>
      </c>
    </row>
    <row r="2546" customFormat="false" ht="15" hidden="false" customHeight="false" outlineLevel="0" collapsed="false">
      <c r="A2546" s="58"/>
      <c r="B2546" s="73" t="str">
        <f aca="false">IF(A2546="","",COUNTIF(A$5:A2546,A2546))</f>
        <v/>
      </c>
      <c r="C2546" s="73" t="str">
        <f aca="false">IF(A2546="","",A2546&amp;"-"&amp;B2546)</f>
        <v/>
      </c>
      <c r="D2546" s="58"/>
      <c r="E2546" s="57"/>
      <c r="F2546" s="69"/>
      <c r="G2546" s="69"/>
      <c r="H2546" s="74" t="str">
        <f aca="false">IF(A2546="","",IFERROR(INDEX(السندات!$C$5:$C$504,MATCH(A2546,السندات!$A$5:$A$504,0)),""))</f>
        <v/>
      </c>
      <c r="I2546" s="75" t="str">
        <f aca="false">IF(A2546="","",IFERROR(INDEX(السندات!$D$5:$D$504,MATCH(A2546,السندات!$A$5:$A$504,0)),""))</f>
        <v/>
      </c>
      <c r="J2546" s="76" t="str">
        <f aca="false">IF(A2546="","",IF(ISNA(MATCH(A2546,السندات!$A$5:$A$504,0)),"رقم سند غير موجود ✘",IF(AND(F2546&lt;&gt;"",G2546&lt;&gt;""),"اكتب مدين أو دائن فقط ✘",IF(AND(N(F2546)=0,N(G2546)=0),"بدون مبلغ ⚠",IF(B2546&gt;12,"يتجاوز 12 بنداً في الطباعة ⚠","")))))</f>
        <v/>
      </c>
    </row>
    <row r="2547" customFormat="false" ht="15" hidden="false" customHeight="false" outlineLevel="0" collapsed="false">
      <c r="A2547" s="58"/>
      <c r="B2547" s="68" t="str">
        <f aca="false">IF(A2547="","",COUNTIF(A$5:A2547,A2547))</f>
        <v/>
      </c>
      <c r="C2547" s="68" t="str">
        <f aca="false">IF(A2547="","",A2547&amp;"-"&amp;B2547)</f>
        <v/>
      </c>
      <c r="D2547" s="58"/>
      <c r="E2547" s="57"/>
      <c r="F2547" s="69"/>
      <c r="G2547" s="69"/>
      <c r="H2547" s="70" t="str">
        <f aca="false">IF(A2547="","",IFERROR(INDEX(السندات!$C$5:$C$504,MATCH(A2547,السندات!$A$5:$A$504,0)),""))</f>
        <v/>
      </c>
      <c r="I2547" s="71" t="str">
        <f aca="false">IF(A2547="","",IFERROR(INDEX(السندات!$D$5:$D$504,MATCH(A2547,السندات!$A$5:$A$504,0)),""))</f>
        <v/>
      </c>
      <c r="J2547" s="72" t="str">
        <f aca="false">IF(A2547="","",IF(ISNA(MATCH(A2547,السندات!$A$5:$A$504,0)),"رقم سند غير موجود ✘",IF(AND(F2547&lt;&gt;"",G2547&lt;&gt;""),"اكتب مدين أو دائن فقط ✘",IF(AND(N(F2547)=0,N(G2547)=0),"بدون مبلغ ⚠",IF(B2547&gt;12,"يتجاوز 12 بنداً في الطباعة ⚠","")))))</f>
        <v/>
      </c>
    </row>
    <row r="2548" customFormat="false" ht="15" hidden="false" customHeight="false" outlineLevel="0" collapsed="false">
      <c r="A2548" s="58"/>
      <c r="B2548" s="73" t="str">
        <f aca="false">IF(A2548="","",COUNTIF(A$5:A2548,A2548))</f>
        <v/>
      </c>
      <c r="C2548" s="73" t="str">
        <f aca="false">IF(A2548="","",A2548&amp;"-"&amp;B2548)</f>
        <v/>
      </c>
      <c r="D2548" s="58"/>
      <c r="E2548" s="57"/>
      <c r="F2548" s="69"/>
      <c r="G2548" s="69"/>
      <c r="H2548" s="74" t="str">
        <f aca="false">IF(A2548="","",IFERROR(INDEX(السندات!$C$5:$C$504,MATCH(A2548,السندات!$A$5:$A$504,0)),""))</f>
        <v/>
      </c>
      <c r="I2548" s="75" t="str">
        <f aca="false">IF(A2548="","",IFERROR(INDEX(السندات!$D$5:$D$504,MATCH(A2548,السندات!$A$5:$A$504,0)),""))</f>
        <v/>
      </c>
      <c r="J2548" s="76" t="str">
        <f aca="false">IF(A2548="","",IF(ISNA(MATCH(A2548,السندات!$A$5:$A$504,0)),"رقم سند غير موجود ✘",IF(AND(F2548&lt;&gt;"",G2548&lt;&gt;""),"اكتب مدين أو دائن فقط ✘",IF(AND(N(F2548)=0,N(G2548)=0),"بدون مبلغ ⚠",IF(B2548&gt;12,"يتجاوز 12 بنداً في الطباعة ⚠","")))))</f>
        <v/>
      </c>
    </row>
    <row r="2549" customFormat="false" ht="15" hidden="false" customHeight="false" outlineLevel="0" collapsed="false">
      <c r="A2549" s="58"/>
      <c r="B2549" s="68" t="str">
        <f aca="false">IF(A2549="","",COUNTIF(A$5:A2549,A2549))</f>
        <v/>
      </c>
      <c r="C2549" s="68" t="str">
        <f aca="false">IF(A2549="","",A2549&amp;"-"&amp;B2549)</f>
        <v/>
      </c>
      <c r="D2549" s="58"/>
      <c r="E2549" s="57"/>
      <c r="F2549" s="69"/>
      <c r="G2549" s="69"/>
      <c r="H2549" s="70" t="str">
        <f aca="false">IF(A2549="","",IFERROR(INDEX(السندات!$C$5:$C$504,MATCH(A2549,السندات!$A$5:$A$504,0)),""))</f>
        <v/>
      </c>
      <c r="I2549" s="71" t="str">
        <f aca="false">IF(A2549="","",IFERROR(INDEX(السندات!$D$5:$D$504,MATCH(A2549,السندات!$A$5:$A$504,0)),""))</f>
        <v/>
      </c>
      <c r="J2549" s="72" t="str">
        <f aca="false">IF(A2549="","",IF(ISNA(MATCH(A2549,السندات!$A$5:$A$504,0)),"رقم سند غير موجود ✘",IF(AND(F2549&lt;&gt;"",G2549&lt;&gt;""),"اكتب مدين أو دائن فقط ✘",IF(AND(N(F2549)=0,N(G2549)=0),"بدون مبلغ ⚠",IF(B2549&gt;12,"يتجاوز 12 بنداً في الطباعة ⚠","")))))</f>
        <v/>
      </c>
    </row>
    <row r="2550" customFormat="false" ht="15" hidden="false" customHeight="false" outlineLevel="0" collapsed="false">
      <c r="A2550" s="58"/>
      <c r="B2550" s="73" t="str">
        <f aca="false">IF(A2550="","",COUNTIF(A$5:A2550,A2550))</f>
        <v/>
      </c>
      <c r="C2550" s="73" t="str">
        <f aca="false">IF(A2550="","",A2550&amp;"-"&amp;B2550)</f>
        <v/>
      </c>
      <c r="D2550" s="58"/>
      <c r="E2550" s="57"/>
      <c r="F2550" s="69"/>
      <c r="G2550" s="69"/>
      <c r="H2550" s="74" t="str">
        <f aca="false">IF(A2550="","",IFERROR(INDEX(السندات!$C$5:$C$504,MATCH(A2550,السندات!$A$5:$A$504,0)),""))</f>
        <v/>
      </c>
      <c r="I2550" s="75" t="str">
        <f aca="false">IF(A2550="","",IFERROR(INDEX(السندات!$D$5:$D$504,MATCH(A2550,السندات!$A$5:$A$504,0)),""))</f>
        <v/>
      </c>
      <c r="J2550" s="76" t="str">
        <f aca="false">IF(A2550="","",IF(ISNA(MATCH(A2550,السندات!$A$5:$A$504,0)),"رقم سند غير موجود ✘",IF(AND(F2550&lt;&gt;"",G2550&lt;&gt;""),"اكتب مدين أو دائن فقط ✘",IF(AND(N(F2550)=0,N(G2550)=0),"بدون مبلغ ⚠",IF(B2550&gt;12,"يتجاوز 12 بنداً في الطباعة ⚠","")))))</f>
        <v/>
      </c>
    </row>
    <row r="2551" customFormat="false" ht="15" hidden="false" customHeight="false" outlineLevel="0" collapsed="false">
      <c r="A2551" s="58"/>
      <c r="B2551" s="68" t="str">
        <f aca="false">IF(A2551="","",COUNTIF(A$5:A2551,A2551))</f>
        <v/>
      </c>
      <c r="C2551" s="68" t="str">
        <f aca="false">IF(A2551="","",A2551&amp;"-"&amp;B2551)</f>
        <v/>
      </c>
      <c r="D2551" s="58"/>
      <c r="E2551" s="57"/>
      <c r="F2551" s="69"/>
      <c r="G2551" s="69"/>
      <c r="H2551" s="70" t="str">
        <f aca="false">IF(A2551="","",IFERROR(INDEX(السندات!$C$5:$C$504,MATCH(A2551,السندات!$A$5:$A$504,0)),""))</f>
        <v/>
      </c>
      <c r="I2551" s="71" t="str">
        <f aca="false">IF(A2551="","",IFERROR(INDEX(السندات!$D$5:$D$504,MATCH(A2551,السندات!$A$5:$A$504,0)),""))</f>
        <v/>
      </c>
      <c r="J2551" s="72" t="str">
        <f aca="false">IF(A2551="","",IF(ISNA(MATCH(A2551,السندات!$A$5:$A$504,0)),"رقم سند غير موجود ✘",IF(AND(F2551&lt;&gt;"",G2551&lt;&gt;""),"اكتب مدين أو دائن فقط ✘",IF(AND(N(F2551)=0,N(G2551)=0),"بدون مبلغ ⚠",IF(B2551&gt;12,"يتجاوز 12 بنداً في الطباعة ⚠","")))))</f>
        <v/>
      </c>
    </row>
    <row r="2552" customFormat="false" ht="15" hidden="false" customHeight="false" outlineLevel="0" collapsed="false">
      <c r="A2552" s="58"/>
      <c r="B2552" s="73" t="str">
        <f aca="false">IF(A2552="","",COUNTIF(A$5:A2552,A2552))</f>
        <v/>
      </c>
      <c r="C2552" s="73" t="str">
        <f aca="false">IF(A2552="","",A2552&amp;"-"&amp;B2552)</f>
        <v/>
      </c>
      <c r="D2552" s="58"/>
      <c r="E2552" s="57"/>
      <c r="F2552" s="69"/>
      <c r="G2552" s="69"/>
      <c r="H2552" s="74" t="str">
        <f aca="false">IF(A2552="","",IFERROR(INDEX(السندات!$C$5:$C$504,MATCH(A2552,السندات!$A$5:$A$504,0)),""))</f>
        <v/>
      </c>
      <c r="I2552" s="75" t="str">
        <f aca="false">IF(A2552="","",IFERROR(INDEX(السندات!$D$5:$D$504,MATCH(A2552,السندات!$A$5:$A$504,0)),""))</f>
        <v/>
      </c>
      <c r="J2552" s="76" t="str">
        <f aca="false">IF(A2552="","",IF(ISNA(MATCH(A2552,السندات!$A$5:$A$504,0)),"رقم سند غير موجود ✘",IF(AND(F2552&lt;&gt;"",G2552&lt;&gt;""),"اكتب مدين أو دائن فقط ✘",IF(AND(N(F2552)=0,N(G2552)=0),"بدون مبلغ ⚠",IF(B2552&gt;12,"يتجاوز 12 بنداً في الطباعة ⚠","")))))</f>
        <v/>
      </c>
    </row>
    <row r="2553" customFormat="false" ht="15" hidden="false" customHeight="false" outlineLevel="0" collapsed="false">
      <c r="A2553" s="58"/>
      <c r="B2553" s="68" t="str">
        <f aca="false">IF(A2553="","",COUNTIF(A$5:A2553,A2553))</f>
        <v/>
      </c>
      <c r="C2553" s="68" t="str">
        <f aca="false">IF(A2553="","",A2553&amp;"-"&amp;B2553)</f>
        <v/>
      </c>
      <c r="D2553" s="58"/>
      <c r="E2553" s="57"/>
      <c r="F2553" s="69"/>
      <c r="G2553" s="69"/>
      <c r="H2553" s="70" t="str">
        <f aca="false">IF(A2553="","",IFERROR(INDEX(السندات!$C$5:$C$504,MATCH(A2553,السندات!$A$5:$A$504,0)),""))</f>
        <v/>
      </c>
      <c r="I2553" s="71" t="str">
        <f aca="false">IF(A2553="","",IFERROR(INDEX(السندات!$D$5:$D$504,MATCH(A2553,السندات!$A$5:$A$504,0)),""))</f>
        <v/>
      </c>
      <c r="J2553" s="72" t="str">
        <f aca="false">IF(A2553="","",IF(ISNA(MATCH(A2553,السندات!$A$5:$A$504,0)),"رقم سند غير موجود ✘",IF(AND(F2553&lt;&gt;"",G2553&lt;&gt;""),"اكتب مدين أو دائن فقط ✘",IF(AND(N(F2553)=0,N(G2553)=0),"بدون مبلغ ⚠",IF(B2553&gt;12,"يتجاوز 12 بنداً في الطباعة ⚠","")))))</f>
        <v/>
      </c>
    </row>
    <row r="2554" customFormat="false" ht="15" hidden="false" customHeight="false" outlineLevel="0" collapsed="false">
      <c r="A2554" s="58"/>
      <c r="B2554" s="73" t="str">
        <f aca="false">IF(A2554="","",COUNTIF(A$5:A2554,A2554))</f>
        <v/>
      </c>
      <c r="C2554" s="73" t="str">
        <f aca="false">IF(A2554="","",A2554&amp;"-"&amp;B2554)</f>
        <v/>
      </c>
      <c r="D2554" s="58"/>
      <c r="E2554" s="57"/>
      <c r="F2554" s="69"/>
      <c r="G2554" s="69"/>
      <c r="H2554" s="74" t="str">
        <f aca="false">IF(A2554="","",IFERROR(INDEX(السندات!$C$5:$C$504,MATCH(A2554,السندات!$A$5:$A$504,0)),""))</f>
        <v/>
      </c>
      <c r="I2554" s="75" t="str">
        <f aca="false">IF(A2554="","",IFERROR(INDEX(السندات!$D$5:$D$504,MATCH(A2554,السندات!$A$5:$A$504,0)),""))</f>
        <v/>
      </c>
      <c r="J2554" s="76" t="str">
        <f aca="false">IF(A2554="","",IF(ISNA(MATCH(A2554,السندات!$A$5:$A$504,0)),"رقم سند غير موجود ✘",IF(AND(F2554&lt;&gt;"",G2554&lt;&gt;""),"اكتب مدين أو دائن فقط ✘",IF(AND(N(F2554)=0,N(G2554)=0),"بدون مبلغ ⚠",IF(B2554&gt;12,"يتجاوز 12 بنداً في الطباعة ⚠","")))))</f>
        <v/>
      </c>
    </row>
    <row r="2555" customFormat="false" ht="15" hidden="false" customHeight="false" outlineLevel="0" collapsed="false">
      <c r="A2555" s="58"/>
      <c r="B2555" s="68" t="str">
        <f aca="false">IF(A2555="","",COUNTIF(A$5:A2555,A2555))</f>
        <v/>
      </c>
      <c r="C2555" s="68" t="str">
        <f aca="false">IF(A2555="","",A2555&amp;"-"&amp;B2555)</f>
        <v/>
      </c>
      <c r="D2555" s="58"/>
      <c r="E2555" s="57"/>
      <c r="F2555" s="69"/>
      <c r="G2555" s="69"/>
      <c r="H2555" s="70" t="str">
        <f aca="false">IF(A2555="","",IFERROR(INDEX(السندات!$C$5:$C$504,MATCH(A2555,السندات!$A$5:$A$504,0)),""))</f>
        <v/>
      </c>
      <c r="I2555" s="71" t="str">
        <f aca="false">IF(A2555="","",IFERROR(INDEX(السندات!$D$5:$D$504,MATCH(A2555,السندات!$A$5:$A$504,0)),""))</f>
        <v/>
      </c>
      <c r="J2555" s="72" t="str">
        <f aca="false">IF(A2555="","",IF(ISNA(MATCH(A2555,السندات!$A$5:$A$504,0)),"رقم سند غير موجود ✘",IF(AND(F2555&lt;&gt;"",G2555&lt;&gt;""),"اكتب مدين أو دائن فقط ✘",IF(AND(N(F2555)=0,N(G2555)=0),"بدون مبلغ ⚠",IF(B2555&gt;12,"يتجاوز 12 بنداً في الطباعة ⚠","")))))</f>
        <v/>
      </c>
    </row>
    <row r="2556" customFormat="false" ht="15" hidden="false" customHeight="false" outlineLevel="0" collapsed="false">
      <c r="A2556" s="58"/>
      <c r="B2556" s="73" t="str">
        <f aca="false">IF(A2556="","",COUNTIF(A$5:A2556,A2556))</f>
        <v/>
      </c>
      <c r="C2556" s="73" t="str">
        <f aca="false">IF(A2556="","",A2556&amp;"-"&amp;B2556)</f>
        <v/>
      </c>
      <c r="D2556" s="58"/>
      <c r="E2556" s="57"/>
      <c r="F2556" s="69"/>
      <c r="G2556" s="69"/>
      <c r="H2556" s="74" t="str">
        <f aca="false">IF(A2556="","",IFERROR(INDEX(السندات!$C$5:$C$504,MATCH(A2556,السندات!$A$5:$A$504,0)),""))</f>
        <v/>
      </c>
      <c r="I2556" s="75" t="str">
        <f aca="false">IF(A2556="","",IFERROR(INDEX(السندات!$D$5:$D$504,MATCH(A2556,السندات!$A$5:$A$504,0)),""))</f>
        <v/>
      </c>
      <c r="J2556" s="76" t="str">
        <f aca="false">IF(A2556="","",IF(ISNA(MATCH(A2556,السندات!$A$5:$A$504,0)),"رقم سند غير موجود ✘",IF(AND(F2556&lt;&gt;"",G2556&lt;&gt;""),"اكتب مدين أو دائن فقط ✘",IF(AND(N(F2556)=0,N(G2556)=0),"بدون مبلغ ⚠",IF(B2556&gt;12,"يتجاوز 12 بنداً في الطباعة ⚠","")))))</f>
        <v/>
      </c>
    </row>
    <row r="2557" customFormat="false" ht="15" hidden="false" customHeight="false" outlineLevel="0" collapsed="false">
      <c r="A2557" s="58"/>
      <c r="B2557" s="68" t="str">
        <f aca="false">IF(A2557="","",COUNTIF(A$5:A2557,A2557))</f>
        <v/>
      </c>
      <c r="C2557" s="68" t="str">
        <f aca="false">IF(A2557="","",A2557&amp;"-"&amp;B2557)</f>
        <v/>
      </c>
      <c r="D2557" s="58"/>
      <c r="E2557" s="57"/>
      <c r="F2557" s="69"/>
      <c r="G2557" s="69"/>
      <c r="H2557" s="70" t="str">
        <f aca="false">IF(A2557="","",IFERROR(INDEX(السندات!$C$5:$C$504,MATCH(A2557,السندات!$A$5:$A$504,0)),""))</f>
        <v/>
      </c>
      <c r="I2557" s="71" t="str">
        <f aca="false">IF(A2557="","",IFERROR(INDEX(السندات!$D$5:$D$504,MATCH(A2557,السندات!$A$5:$A$504,0)),""))</f>
        <v/>
      </c>
      <c r="J2557" s="72" t="str">
        <f aca="false">IF(A2557="","",IF(ISNA(MATCH(A2557,السندات!$A$5:$A$504,0)),"رقم سند غير موجود ✘",IF(AND(F2557&lt;&gt;"",G2557&lt;&gt;""),"اكتب مدين أو دائن فقط ✘",IF(AND(N(F2557)=0,N(G2557)=0),"بدون مبلغ ⚠",IF(B2557&gt;12,"يتجاوز 12 بنداً في الطباعة ⚠","")))))</f>
        <v/>
      </c>
    </row>
    <row r="2558" customFormat="false" ht="15" hidden="false" customHeight="false" outlineLevel="0" collapsed="false">
      <c r="A2558" s="58"/>
      <c r="B2558" s="73" t="str">
        <f aca="false">IF(A2558="","",COUNTIF(A$5:A2558,A2558))</f>
        <v/>
      </c>
      <c r="C2558" s="73" t="str">
        <f aca="false">IF(A2558="","",A2558&amp;"-"&amp;B2558)</f>
        <v/>
      </c>
      <c r="D2558" s="58"/>
      <c r="E2558" s="57"/>
      <c r="F2558" s="69"/>
      <c r="G2558" s="69"/>
      <c r="H2558" s="74" t="str">
        <f aca="false">IF(A2558="","",IFERROR(INDEX(السندات!$C$5:$C$504,MATCH(A2558,السندات!$A$5:$A$504,0)),""))</f>
        <v/>
      </c>
      <c r="I2558" s="75" t="str">
        <f aca="false">IF(A2558="","",IFERROR(INDEX(السندات!$D$5:$D$504,MATCH(A2558,السندات!$A$5:$A$504,0)),""))</f>
        <v/>
      </c>
      <c r="J2558" s="76" t="str">
        <f aca="false">IF(A2558="","",IF(ISNA(MATCH(A2558,السندات!$A$5:$A$504,0)),"رقم سند غير موجود ✘",IF(AND(F2558&lt;&gt;"",G2558&lt;&gt;""),"اكتب مدين أو دائن فقط ✘",IF(AND(N(F2558)=0,N(G2558)=0),"بدون مبلغ ⚠",IF(B2558&gt;12,"يتجاوز 12 بنداً في الطباعة ⚠","")))))</f>
        <v/>
      </c>
    </row>
    <row r="2559" customFormat="false" ht="15" hidden="false" customHeight="false" outlineLevel="0" collapsed="false">
      <c r="A2559" s="58"/>
      <c r="B2559" s="68" t="str">
        <f aca="false">IF(A2559="","",COUNTIF(A$5:A2559,A2559))</f>
        <v/>
      </c>
      <c r="C2559" s="68" t="str">
        <f aca="false">IF(A2559="","",A2559&amp;"-"&amp;B2559)</f>
        <v/>
      </c>
      <c r="D2559" s="58"/>
      <c r="E2559" s="57"/>
      <c r="F2559" s="69"/>
      <c r="G2559" s="69"/>
      <c r="H2559" s="70" t="str">
        <f aca="false">IF(A2559="","",IFERROR(INDEX(السندات!$C$5:$C$504,MATCH(A2559,السندات!$A$5:$A$504,0)),""))</f>
        <v/>
      </c>
      <c r="I2559" s="71" t="str">
        <f aca="false">IF(A2559="","",IFERROR(INDEX(السندات!$D$5:$D$504,MATCH(A2559,السندات!$A$5:$A$504,0)),""))</f>
        <v/>
      </c>
      <c r="J2559" s="72" t="str">
        <f aca="false">IF(A2559="","",IF(ISNA(MATCH(A2559,السندات!$A$5:$A$504,0)),"رقم سند غير موجود ✘",IF(AND(F2559&lt;&gt;"",G2559&lt;&gt;""),"اكتب مدين أو دائن فقط ✘",IF(AND(N(F2559)=0,N(G2559)=0),"بدون مبلغ ⚠",IF(B2559&gt;12,"يتجاوز 12 بنداً في الطباعة ⚠","")))))</f>
        <v/>
      </c>
    </row>
    <row r="2560" customFormat="false" ht="15" hidden="false" customHeight="false" outlineLevel="0" collapsed="false">
      <c r="A2560" s="58"/>
      <c r="B2560" s="73" t="str">
        <f aca="false">IF(A2560="","",COUNTIF(A$5:A2560,A2560))</f>
        <v/>
      </c>
      <c r="C2560" s="73" t="str">
        <f aca="false">IF(A2560="","",A2560&amp;"-"&amp;B2560)</f>
        <v/>
      </c>
      <c r="D2560" s="58"/>
      <c r="E2560" s="57"/>
      <c r="F2560" s="69"/>
      <c r="G2560" s="69"/>
      <c r="H2560" s="74" t="str">
        <f aca="false">IF(A2560="","",IFERROR(INDEX(السندات!$C$5:$C$504,MATCH(A2560,السندات!$A$5:$A$504,0)),""))</f>
        <v/>
      </c>
      <c r="I2560" s="75" t="str">
        <f aca="false">IF(A2560="","",IFERROR(INDEX(السندات!$D$5:$D$504,MATCH(A2560,السندات!$A$5:$A$504,0)),""))</f>
        <v/>
      </c>
      <c r="J2560" s="76" t="str">
        <f aca="false">IF(A2560="","",IF(ISNA(MATCH(A2560,السندات!$A$5:$A$504,0)),"رقم سند غير موجود ✘",IF(AND(F2560&lt;&gt;"",G2560&lt;&gt;""),"اكتب مدين أو دائن فقط ✘",IF(AND(N(F2560)=0,N(G2560)=0),"بدون مبلغ ⚠",IF(B2560&gt;12,"يتجاوز 12 بنداً في الطباعة ⚠","")))))</f>
        <v/>
      </c>
    </row>
    <row r="2561" customFormat="false" ht="15" hidden="false" customHeight="false" outlineLevel="0" collapsed="false">
      <c r="A2561" s="58"/>
      <c r="B2561" s="68" t="str">
        <f aca="false">IF(A2561="","",COUNTIF(A$5:A2561,A2561))</f>
        <v/>
      </c>
      <c r="C2561" s="68" t="str">
        <f aca="false">IF(A2561="","",A2561&amp;"-"&amp;B2561)</f>
        <v/>
      </c>
      <c r="D2561" s="58"/>
      <c r="E2561" s="57"/>
      <c r="F2561" s="69"/>
      <c r="G2561" s="69"/>
      <c r="H2561" s="70" t="str">
        <f aca="false">IF(A2561="","",IFERROR(INDEX(السندات!$C$5:$C$504,MATCH(A2561,السندات!$A$5:$A$504,0)),""))</f>
        <v/>
      </c>
      <c r="I2561" s="71" t="str">
        <f aca="false">IF(A2561="","",IFERROR(INDEX(السندات!$D$5:$D$504,MATCH(A2561,السندات!$A$5:$A$504,0)),""))</f>
        <v/>
      </c>
      <c r="J2561" s="72" t="str">
        <f aca="false">IF(A2561="","",IF(ISNA(MATCH(A2561,السندات!$A$5:$A$504,0)),"رقم سند غير موجود ✘",IF(AND(F2561&lt;&gt;"",G2561&lt;&gt;""),"اكتب مدين أو دائن فقط ✘",IF(AND(N(F2561)=0,N(G2561)=0),"بدون مبلغ ⚠",IF(B2561&gt;12,"يتجاوز 12 بنداً في الطباعة ⚠","")))))</f>
        <v/>
      </c>
    </row>
    <row r="2562" customFormat="false" ht="15" hidden="false" customHeight="false" outlineLevel="0" collapsed="false">
      <c r="A2562" s="58"/>
      <c r="B2562" s="73" t="str">
        <f aca="false">IF(A2562="","",COUNTIF(A$5:A2562,A2562))</f>
        <v/>
      </c>
      <c r="C2562" s="73" t="str">
        <f aca="false">IF(A2562="","",A2562&amp;"-"&amp;B2562)</f>
        <v/>
      </c>
      <c r="D2562" s="58"/>
      <c r="E2562" s="57"/>
      <c r="F2562" s="69"/>
      <c r="G2562" s="69"/>
      <c r="H2562" s="74" t="str">
        <f aca="false">IF(A2562="","",IFERROR(INDEX(السندات!$C$5:$C$504,MATCH(A2562,السندات!$A$5:$A$504,0)),""))</f>
        <v/>
      </c>
      <c r="I2562" s="75" t="str">
        <f aca="false">IF(A2562="","",IFERROR(INDEX(السندات!$D$5:$D$504,MATCH(A2562,السندات!$A$5:$A$504,0)),""))</f>
        <v/>
      </c>
      <c r="J2562" s="76" t="str">
        <f aca="false">IF(A2562="","",IF(ISNA(MATCH(A2562,السندات!$A$5:$A$504,0)),"رقم سند غير موجود ✘",IF(AND(F2562&lt;&gt;"",G2562&lt;&gt;""),"اكتب مدين أو دائن فقط ✘",IF(AND(N(F2562)=0,N(G2562)=0),"بدون مبلغ ⚠",IF(B2562&gt;12,"يتجاوز 12 بنداً في الطباعة ⚠","")))))</f>
        <v/>
      </c>
    </row>
    <row r="2563" customFormat="false" ht="15" hidden="false" customHeight="false" outlineLevel="0" collapsed="false">
      <c r="A2563" s="58"/>
      <c r="B2563" s="68" t="str">
        <f aca="false">IF(A2563="","",COUNTIF(A$5:A2563,A2563))</f>
        <v/>
      </c>
      <c r="C2563" s="68" t="str">
        <f aca="false">IF(A2563="","",A2563&amp;"-"&amp;B2563)</f>
        <v/>
      </c>
      <c r="D2563" s="58"/>
      <c r="E2563" s="57"/>
      <c r="F2563" s="69"/>
      <c r="G2563" s="69"/>
      <c r="H2563" s="70" t="str">
        <f aca="false">IF(A2563="","",IFERROR(INDEX(السندات!$C$5:$C$504,MATCH(A2563,السندات!$A$5:$A$504,0)),""))</f>
        <v/>
      </c>
      <c r="I2563" s="71" t="str">
        <f aca="false">IF(A2563="","",IFERROR(INDEX(السندات!$D$5:$D$504,MATCH(A2563,السندات!$A$5:$A$504,0)),""))</f>
        <v/>
      </c>
      <c r="J2563" s="72" t="str">
        <f aca="false">IF(A2563="","",IF(ISNA(MATCH(A2563,السندات!$A$5:$A$504,0)),"رقم سند غير موجود ✘",IF(AND(F2563&lt;&gt;"",G2563&lt;&gt;""),"اكتب مدين أو دائن فقط ✘",IF(AND(N(F2563)=0,N(G2563)=0),"بدون مبلغ ⚠",IF(B2563&gt;12,"يتجاوز 12 بنداً في الطباعة ⚠","")))))</f>
        <v/>
      </c>
    </row>
    <row r="2564" customFormat="false" ht="15" hidden="false" customHeight="false" outlineLevel="0" collapsed="false">
      <c r="A2564" s="58"/>
      <c r="B2564" s="73" t="str">
        <f aca="false">IF(A2564="","",COUNTIF(A$5:A2564,A2564))</f>
        <v/>
      </c>
      <c r="C2564" s="73" t="str">
        <f aca="false">IF(A2564="","",A2564&amp;"-"&amp;B2564)</f>
        <v/>
      </c>
      <c r="D2564" s="58"/>
      <c r="E2564" s="57"/>
      <c r="F2564" s="69"/>
      <c r="G2564" s="69"/>
      <c r="H2564" s="74" t="str">
        <f aca="false">IF(A2564="","",IFERROR(INDEX(السندات!$C$5:$C$504,MATCH(A2564,السندات!$A$5:$A$504,0)),""))</f>
        <v/>
      </c>
      <c r="I2564" s="75" t="str">
        <f aca="false">IF(A2564="","",IFERROR(INDEX(السندات!$D$5:$D$504,MATCH(A2564,السندات!$A$5:$A$504,0)),""))</f>
        <v/>
      </c>
      <c r="J2564" s="76" t="str">
        <f aca="false">IF(A2564="","",IF(ISNA(MATCH(A2564,السندات!$A$5:$A$504,0)),"رقم سند غير موجود ✘",IF(AND(F2564&lt;&gt;"",G2564&lt;&gt;""),"اكتب مدين أو دائن فقط ✘",IF(AND(N(F2564)=0,N(G2564)=0),"بدون مبلغ ⚠",IF(B2564&gt;12,"يتجاوز 12 بنداً في الطباعة ⚠","")))))</f>
        <v/>
      </c>
    </row>
    <row r="2565" customFormat="false" ht="15" hidden="false" customHeight="false" outlineLevel="0" collapsed="false">
      <c r="A2565" s="58"/>
      <c r="B2565" s="68" t="str">
        <f aca="false">IF(A2565="","",COUNTIF(A$5:A2565,A2565))</f>
        <v/>
      </c>
      <c r="C2565" s="68" t="str">
        <f aca="false">IF(A2565="","",A2565&amp;"-"&amp;B2565)</f>
        <v/>
      </c>
      <c r="D2565" s="58"/>
      <c r="E2565" s="57"/>
      <c r="F2565" s="69"/>
      <c r="G2565" s="69"/>
      <c r="H2565" s="70" t="str">
        <f aca="false">IF(A2565="","",IFERROR(INDEX(السندات!$C$5:$C$504,MATCH(A2565,السندات!$A$5:$A$504,0)),""))</f>
        <v/>
      </c>
      <c r="I2565" s="71" t="str">
        <f aca="false">IF(A2565="","",IFERROR(INDEX(السندات!$D$5:$D$504,MATCH(A2565,السندات!$A$5:$A$504,0)),""))</f>
        <v/>
      </c>
      <c r="J2565" s="72" t="str">
        <f aca="false">IF(A2565="","",IF(ISNA(MATCH(A2565,السندات!$A$5:$A$504,0)),"رقم سند غير موجود ✘",IF(AND(F2565&lt;&gt;"",G2565&lt;&gt;""),"اكتب مدين أو دائن فقط ✘",IF(AND(N(F2565)=0,N(G2565)=0),"بدون مبلغ ⚠",IF(B2565&gt;12,"يتجاوز 12 بنداً في الطباعة ⚠","")))))</f>
        <v/>
      </c>
    </row>
    <row r="2566" customFormat="false" ht="15" hidden="false" customHeight="false" outlineLevel="0" collapsed="false">
      <c r="A2566" s="58"/>
      <c r="B2566" s="73" t="str">
        <f aca="false">IF(A2566="","",COUNTIF(A$5:A2566,A2566))</f>
        <v/>
      </c>
      <c r="C2566" s="73" t="str">
        <f aca="false">IF(A2566="","",A2566&amp;"-"&amp;B2566)</f>
        <v/>
      </c>
      <c r="D2566" s="58"/>
      <c r="E2566" s="57"/>
      <c r="F2566" s="69"/>
      <c r="G2566" s="69"/>
      <c r="H2566" s="74" t="str">
        <f aca="false">IF(A2566="","",IFERROR(INDEX(السندات!$C$5:$C$504,MATCH(A2566,السندات!$A$5:$A$504,0)),""))</f>
        <v/>
      </c>
      <c r="I2566" s="75" t="str">
        <f aca="false">IF(A2566="","",IFERROR(INDEX(السندات!$D$5:$D$504,MATCH(A2566,السندات!$A$5:$A$504,0)),""))</f>
        <v/>
      </c>
      <c r="J2566" s="76" t="str">
        <f aca="false">IF(A2566="","",IF(ISNA(MATCH(A2566,السندات!$A$5:$A$504,0)),"رقم سند غير موجود ✘",IF(AND(F2566&lt;&gt;"",G2566&lt;&gt;""),"اكتب مدين أو دائن فقط ✘",IF(AND(N(F2566)=0,N(G2566)=0),"بدون مبلغ ⚠",IF(B2566&gt;12,"يتجاوز 12 بنداً في الطباعة ⚠","")))))</f>
        <v/>
      </c>
    </row>
    <row r="2567" customFormat="false" ht="15" hidden="false" customHeight="false" outlineLevel="0" collapsed="false">
      <c r="A2567" s="58"/>
      <c r="B2567" s="68" t="str">
        <f aca="false">IF(A2567="","",COUNTIF(A$5:A2567,A2567))</f>
        <v/>
      </c>
      <c r="C2567" s="68" t="str">
        <f aca="false">IF(A2567="","",A2567&amp;"-"&amp;B2567)</f>
        <v/>
      </c>
      <c r="D2567" s="58"/>
      <c r="E2567" s="57"/>
      <c r="F2567" s="69"/>
      <c r="G2567" s="69"/>
      <c r="H2567" s="70" t="str">
        <f aca="false">IF(A2567="","",IFERROR(INDEX(السندات!$C$5:$C$504,MATCH(A2567,السندات!$A$5:$A$504,0)),""))</f>
        <v/>
      </c>
      <c r="I2567" s="71" t="str">
        <f aca="false">IF(A2567="","",IFERROR(INDEX(السندات!$D$5:$D$504,MATCH(A2567,السندات!$A$5:$A$504,0)),""))</f>
        <v/>
      </c>
      <c r="J2567" s="72" t="str">
        <f aca="false">IF(A2567="","",IF(ISNA(MATCH(A2567,السندات!$A$5:$A$504,0)),"رقم سند غير موجود ✘",IF(AND(F2567&lt;&gt;"",G2567&lt;&gt;""),"اكتب مدين أو دائن فقط ✘",IF(AND(N(F2567)=0,N(G2567)=0),"بدون مبلغ ⚠",IF(B2567&gt;12,"يتجاوز 12 بنداً في الطباعة ⚠","")))))</f>
        <v/>
      </c>
    </row>
    <row r="2568" customFormat="false" ht="15" hidden="false" customHeight="false" outlineLevel="0" collapsed="false">
      <c r="A2568" s="58"/>
      <c r="B2568" s="73" t="str">
        <f aca="false">IF(A2568="","",COUNTIF(A$5:A2568,A2568))</f>
        <v/>
      </c>
      <c r="C2568" s="73" t="str">
        <f aca="false">IF(A2568="","",A2568&amp;"-"&amp;B2568)</f>
        <v/>
      </c>
      <c r="D2568" s="58"/>
      <c r="E2568" s="57"/>
      <c r="F2568" s="69"/>
      <c r="G2568" s="69"/>
      <c r="H2568" s="74" t="str">
        <f aca="false">IF(A2568="","",IFERROR(INDEX(السندات!$C$5:$C$504,MATCH(A2568,السندات!$A$5:$A$504,0)),""))</f>
        <v/>
      </c>
      <c r="I2568" s="75" t="str">
        <f aca="false">IF(A2568="","",IFERROR(INDEX(السندات!$D$5:$D$504,MATCH(A2568,السندات!$A$5:$A$504,0)),""))</f>
        <v/>
      </c>
      <c r="J2568" s="76" t="str">
        <f aca="false">IF(A2568="","",IF(ISNA(MATCH(A2568,السندات!$A$5:$A$504,0)),"رقم سند غير موجود ✘",IF(AND(F2568&lt;&gt;"",G2568&lt;&gt;""),"اكتب مدين أو دائن فقط ✘",IF(AND(N(F2568)=0,N(G2568)=0),"بدون مبلغ ⚠",IF(B2568&gt;12,"يتجاوز 12 بنداً في الطباعة ⚠","")))))</f>
        <v/>
      </c>
    </row>
    <row r="2569" customFormat="false" ht="15" hidden="false" customHeight="false" outlineLevel="0" collapsed="false">
      <c r="A2569" s="58"/>
      <c r="B2569" s="68" t="str">
        <f aca="false">IF(A2569="","",COUNTIF(A$5:A2569,A2569))</f>
        <v/>
      </c>
      <c r="C2569" s="68" t="str">
        <f aca="false">IF(A2569="","",A2569&amp;"-"&amp;B2569)</f>
        <v/>
      </c>
      <c r="D2569" s="58"/>
      <c r="E2569" s="57"/>
      <c r="F2569" s="69"/>
      <c r="G2569" s="69"/>
      <c r="H2569" s="70" t="str">
        <f aca="false">IF(A2569="","",IFERROR(INDEX(السندات!$C$5:$C$504,MATCH(A2569,السندات!$A$5:$A$504,0)),""))</f>
        <v/>
      </c>
      <c r="I2569" s="71" t="str">
        <f aca="false">IF(A2569="","",IFERROR(INDEX(السندات!$D$5:$D$504,MATCH(A2569,السندات!$A$5:$A$504,0)),""))</f>
        <v/>
      </c>
      <c r="J2569" s="72" t="str">
        <f aca="false">IF(A2569="","",IF(ISNA(MATCH(A2569,السندات!$A$5:$A$504,0)),"رقم سند غير موجود ✘",IF(AND(F2569&lt;&gt;"",G2569&lt;&gt;""),"اكتب مدين أو دائن فقط ✘",IF(AND(N(F2569)=0,N(G2569)=0),"بدون مبلغ ⚠",IF(B2569&gt;12,"يتجاوز 12 بنداً في الطباعة ⚠","")))))</f>
        <v/>
      </c>
    </row>
    <row r="2570" customFormat="false" ht="15" hidden="false" customHeight="false" outlineLevel="0" collapsed="false">
      <c r="A2570" s="58"/>
      <c r="B2570" s="73" t="str">
        <f aca="false">IF(A2570="","",COUNTIF(A$5:A2570,A2570))</f>
        <v/>
      </c>
      <c r="C2570" s="73" t="str">
        <f aca="false">IF(A2570="","",A2570&amp;"-"&amp;B2570)</f>
        <v/>
      </c>
      <c r="D2570" s="58"/>
      <c r="E2570" s="57"/>
      <c r="F2570" s="69"/>
      <c r="G2570" s="69"/>
      <c r="H2570" s="74" t="str">
        <f aca="false">IF(A2570="","",IFERROR(INDEX(السندات!$C$5:$C$504,MATCH(A2570,السندات!$A$5:$A$504,0)),""))</f>
        <v/>
      </c>
      <c r="I2570" s="75" t="str">
        <f aca="false">IF(A2570="","",IFERROR(INDEX(السندات!$D$5:$D$504,MATCH(A2570,السندات!$A$5:$A$504,0)),""))</f>
        <v/>
      </c>
      <c r="J2570" s="76" t="str">
        <f aca="false">IF(A2570="","",IF(ISNA(MATCH(A2570,السندات!$A$5:$A$504,0)),"رقم سند غير موجود ✘",IF(AND(F2570&lt;&gt;"",G2570&lt;&gt;""),"اكتب مدين أو دائن فقط ✘",IF(AND(N(F2570)=0,N(G2570)=0),"بدون مبلغ ⚠",IF(B2570&gt;12,"يتجاوز 12 بنداً في الطباعة ⚠","")))))</f>
        <v/>
      </c>
    </row>
    <row r="2571" customFormat="false" ht="15" hidden="false" customHeight="false" outlineLevel="0" collapsed="false">
      <c r="A2571" s="58"/>
      <c r="B2571" s="68" t="str">
        <f aca="false">IF(A2571="","",COUNTIF(A$5:A2571,A2571))</f>
        <v/>
      </c>
      <c r="C2571" s="68" t="str">
        <f aca="false">IF(A2571="","",A2571&amp;"-"&amp;B2571)</f>
        <v/>
      </c>
      <c r="D2571" s="58"/>
      <c r="E2571" s="57"/>
      <c r="F2571" s="69"/>
      <c r="G2571" s="69"/>
      <c r="H2571" s="70" t="str">
        <f aca="false">IF(A2571="","",IFERROR(INDEX(السندات!$C$5:$C$504,MATCH(A2571,السندات!$A$5:$A$504,0)),""))</f>
        <v/>
      </c>
      <c r="I2571" s="71" t="str">
        <f aca="false">IF(A2571="","",IFERROR(INDEX(السندات!$D$5:$D$504,MATCH(A2571,السندات!$A$5:$A$504,0)),""))</f>
        <v/>
      </c>
      <c r="J2571" s="72" t="str">
        <f aca="false">IF(A2571="","",IF(ISNA(MATCH(A2571,السندات!$A$5:$A$504,0)),"رقم سند غير موجود ✘",IF(AND(F2571&lt;&gt;"",G2571&lt;&gt;""),"اكتب مدين أو دائن فقط ✘",IF(AND(N(F2571)=0,N(G2571)=0),"بدون مبلغ ⚠",IF(B2571&gt;12,"يتجاوز 12 بنداً في الطباعة ⚠","")))))</f>
        <v/>
      </c>
    </row>
    <row r="2572" customFormat="false" ht="15" hidden="false" customHeight="false" outlineLevel="0" collapsed="false">
      <c r="A2572" s="58"/>
      <c r="B2572" s="73" t="str">
        <f aca="false">IF(A2572="","",COUNTIF(A$5:A2572,A2572))</f>
        <v/>
      </c>
      <c r="C2572" s="73" t="str">
        <f aca="false">IF(A2572="","",A2572&amp;"-"&amp;B2572)</f>
        <v/>
      </c>
      <c r="D2572" s="58"/>
      <c r="E2572" s="57"/>
      <c r="F2572" s="69"/>
      <c r="G2572" s="69"/>
      <c r="H2572" s="74" t="str">
        <f aca="false">IF(A2572="","",IFERROR(INDEX(السندات!$C$5:$C$504,MATCH(A2572,السندات!$A$5:$A$504,0)),""))</f>
        <v/>
      </c>
      <c r="I2572" s="75" t="str">
        <f aca="false">IF(A2572="","",IFERROR(INDEX(السندات!$D$5:$D$504,MATCH(A2572,السندات!$A$5:$A$504,0)),""))</f>
        <v/>
      </c>
      <c r="J2572" s="76" t="str">
        <f aca="false">IF(A2572="","",IF(ISNA(MATCH(A2572,السندات!$A$5:$A$504,0)),"رقم سند غير موجود ✘",IF(AND(F2572&lt;&gt;"",G2572&lt;&gt;""),"اكتب مدين أو دائن فقط ✘",IF(AND(N(F2572)=0,N(G2572)=0),"بدون مبلغ ⚠",IF(B2572&gt;12,"يتجاوز 12 بنداً في الطباعة ⚠","")))))</f>
        <v/>
      </c>
    </row>
    <row r="2573" customFormat="false" ht="15" hidden="false" customHeight="false" outlineLevel="0" collapsed="false">
      <c r="A2573" s="58"/>
      <c r="B2573" s="68" t="str">
        <f aca="false">IF(A2573="","",COUNTIF(A$5:A2573,A2573))</f>
        <v/>
      </c>
      <c r="C2573" s="68" t="str">
        <f aca="false">IF(A2573="","",A2573&amp;"-"&amp;B2573)</f>
        <v/>
      </c>
      <c r="D2573" s="58"/>
      <c r="E2573" s="57"/>
      <c r="F2573" s="69"/>
      <c r="G2573" s="69"/>
      <c r="H2573" s="70" t="str">
        <f aca="false">IF(A2573="","",IFERROR(INDEX(السندات!$C$5:$C$504,MATCH(A2573,السندات!$A$5:$A$504,0)),""))</f>
        <v/>
      </c>
      <c r="I2573" s="71" t="str">
        <f aca="false">IF(A2573="","",IFERROR(INDEX(السندات!$D$5:$D$504,MATCH(A2573,السندات!$A$5:$A$504,0)),""))</f>
        <v/>
      </c>
      <c r="J2573" s="72" t="str">
        <f aca="false">IF(A2573="","",IF(ISNA(MATCH(A2573,السندات!$A$5:$A$504,0)),"رقم سند غير موجود ✘",IF(AND(F2573&lt;&gt;"",G2573&lt;&gt;""),"اكتب مدين أو دائن فقط ✘",IF(AND(N(F2573)=0,N(G2573)=0),"بدون مبلغ ⚠",IF(B2573&gt;12,"يتجاوز 12 بنداً في الطباعة ⚠","")))))</f>
        <v/>
      </c>
    </row>
    <row r="2574" customFormat="false" ht="15" hidden="false" customHeight="false" outlineLevel="0" collapsed="false">
      <c r="A2574" s="58"/>
      <c r="B2574" s="73" t="str">
        <f aca="false">IF(A2574="","",COUNTIF(A$5:A2574,A2574))</f>
        <v/>
      </c>
      <c r="C2574" s="73" t="str">
        <f aca="false">IF(A2574="","",A2574&amp;"-"&amp;B2574)</f>
        <v/>
      </c>
      <c r="D2574" s="58"/>
      <c r="E2574" s="57"/>
      <c r="F2574" s="69"/>
      <c r="G2574" s="69"/>
      <c r="H2574" s="74" t="str">
        <f aca="false">IF(A2574="","",IFERROR(INDEX(السندات!$C$5:$C$504,MATCH(A2574,السندات!$A$5:$A$504,0)),""))</f>
        <v/>
      </c>
      <c r="I2574" s="75" t="str">
        <f aca="false">IF(A2574="","",IFERROR(INDEX(السندات!$D$5:$D$504,MATCH(A2574,السندات!$A$5:$A$504,0)),""))</f>
        <v/>
      </c>
      <c r="J2574" s="76" t="str">
        <f aca="false">IF(A2574="","",IF(ISNA(MATCH(A2574,السندات!$A$5:$A$504,0)),"رقم سند غير موجود ✘",IF(AND(F2574&lt;&gt;"",G2574&lt;&gt;""),"اكتب مدين أو دائن فقط ✘",IF(AND(N(F2574)=0,N(G2574)=0),"بدون مبلغ ⚠",IF(B2574&gt;12,"يتجاوز 12 بنداً في الطباعة ⚠","")))))</f>
        <v/>
      </c>
    </row>
    <row r="2575" customFormat="false" ht="15" hidden="false" customHeight="false" outlineLevel="0" collapsed="false">
      <c r="A2575" s="58"/>
      <c r="B2575" s="68" t="str">
        <f aca="false">IF(A2575="","",COUNTIF(A$5:A2575,A2575))</f>
        <v/>
      </c>
      <c r="C2575" s="68" t="str">
        <f aca="false">IF(A2575="","",A2575&amp;"-"&amp;B2575)</f>
        <v/>
      </c>
      <c r="D2575" s="58"/>
      <c r="E2575" s="57"/>
      <c r="F2575" s="69"/>
      <c r="G2575" s="69"/>
      <c r="H2575" s="70" t="str">
        <f aca="false">IF(A2575="","",IFERROR(INDEX(السندات!$C$5:$C$504,MATCH(A2575,السندات!$A$5:$A$504,0)),""))</f>
        <v/>
      </c>
      <c r="I2575" s="71" t="str">
        <f aca="false">IF(A2575="","",IFERROR(INDEX(السندات!$D$5:$D$504,MATCH(A2575,السندات!$A$5:$A$504,0)),""))</f>
        <v/>
      </c>
      <c r="J2575" s="72" t="str">
        <f aca="false">IF(A2575="","",IF(ISNA(MATCH(A2575,السندات!$A$5:$A$504,0)),"رقم سند غير موجود ✘",IF(AND(F2575&lt;&gt;"",G2575&lt;&gt;""),"اكتب مدين أو دائن فقط ✘",IF(AND(N(F2575)=0,N(G2575)=0),"بدون مبلغ ⚠",IF(B2575&gt;12,"يتجاوز 12 بنداً في الطباعة ⚠","")))))</f>
        <v/>
      </c>
    </row>
    <row r="2576" customFormat="false" ht="15" hidden="false" customHeight="false" outlineLevel="0" collapsed="false">
      <c r="A2576" s="58"/>
      <c r="B2576" s="73" t="str">
        <f aca="false">IF(A2576="","",COUNTIF(A$5:A2576,A2576))</f>
        <v/>
      </c>
      <c r="C2576" s="73" t="str">
        <f aca="false">IF(A2576="","",A2576&amp;"-"&amp;B2576)</f>
        <v/>
      </c>
      <c r="D2576" s="58"/>
      <c r="E2576" s="57"/>
      <c r="F2576" s="69"/>
      <c r="G2576" s="69"/>
      <c r="H2576" s="74" t="str">
        <f aca="false">IF(A2576="","",IFERROR(INDEX(السندات!$C$5:$C$504,MATCH(A2576,السندات!$A$5:$A$504,0)),""))</f>
        <v/>
      </c>
      <c r="I2576" s="75" t="str">
        <f aca="false">IF(A2576="","",IFERROR(INDEX(السندات!$D$5:$D$504,MATCH(A2576,السندات!$A$5:$A$504,0)),""))</f>
        <v/>
      </c>
      <c r="J2576" s="76" t="str">
        <f aca="false">IF(A2576="","",IF(ISNA(MATCH(A2576,السندات!$A$5:$A$504,0)),"رقم سند غير موجود ✘",IF(AND(F2576&lt;&gt;"",G2576&lt;&gt;""),"اكتب مدين أو دائن فقط ✘",IF(AND(N(F2576)=0,N(G2576)=0),"بدون مبلغ ⚠",IF(B2576&gt;12,"يتجاوز 12 بنداً في الطباعة ⚠","")))))</f>
        <v/>
      </c>
    </row>
    <row r="2577" customFormat="false" ht="15" hidden="false" customHeight="false" outlineLevel="0" collapsed="false">
      <c r="A2577" s="58"/>
      <c r="B2577" s="68" t="str">
        <f aca="false">IF(A2577="","",COUNTIF(A$5:A2577,A2577))</f>
        <v/>
      </c>
      <c r="C2577" s="68" t="str">
        <f aca="false">IF(A2577="","",A2577&amp;"-"&amp;B2577)</f>
        <v/>
      </c>
      <c r="D2577" s="58"/>
      <c r="E2577" s="57"/>
      <c r="F2577" s="69"/>
      <c r="G2577" s="69"/>
      <c r="H2577" s="70" t="str">
        <f aca="false">IF(A2577="","",IFERROR(INDEX(السندات!$C$5:$C$504,MATCH(A2577,السندات!$A$5:$A$504,0)),""))</f>
        <v/>
      </c>
      <c r="I2577" s="71" t="str">
        <f aca="false">IF(A2577="","",IFERROR(INDEX(السندات!$D$5:$D$504,MATCH(A2577,السندات!$A$5:$A$504,0)),""))</f>
        <v/>
      </c>
      <c r="J2577" s="72" t="str">
        <f aca="false">IF(A2577="","",IF(ISNA(MATCH(A2577,السندات!$A$5:$A$504,0)),"رقم سند غير موجود ✘",IF(AND(F2577&lt;&gt;"",G2577&lt;&gt;""),"اكتب مدين أو دائن فقط ✘",IF(AND(N(F2577)=0,N(G2577)=0),"بدون مبلغ ⚠",IF(B2577&gt;12,"يتجاوز 12 بنداً في الطباعة ⚠","")))))</f>
        <v/>
      </c>
    </row>
    <row r="2578" customFormat="false" ht="15" hidden="false" customHeight="false" outlineLevel="0" collapsed="false">
      <c r="A2578" s="58"/>
      <c r="B2578" s="73" t="str">
        <f aca="false">IF(A2578="","",COUNTIF(A$5:A2578,A2578))</f>
        <v/>
      </c>
      <c r="C2578" s="73" t="str">
        <f aca="false">IF(A2578="","",A2578&amp;"-"&amp;B2578)</f>
        <v/>
      </c>
      <c r="D2578" s="58"/>
      <c r="E2578" s="57"/>
      <c r="F2578" s="69"/>
      <c r="G2578" s="69"/>
      <c r="H2578" s="74" t="str">
        <f aca="false">IF(A2578="","",IFERROR(INDEX(السندات!$C$5:$C$504,MATCH(A2578,السندات!$A$5:$A$504,0)),""))</f>
        <v/>
      </c>
      <c r="I2578" s="75" t="str">
        <f aca="false">IF(A2578="","",IFERROR(INDEX(السندات!$D$5:$D$504,MATCH(A2578,السندات!$A$5:$A$504,0)),""))</f>
        <v/>
      </c>
      <c r="J2578" s="76" t="str">
        <f aca="false">IF(A2578="","",IF(ISNA(MATCH(A2578,السندات!$A$5:$A$504,0)),"رقم سند غير موجود ✘",IF(AND(F2578&lt;&gt;"",G2578&lt;&gt;""),"اكتب مدين أو دائن فقط ✘",IF(AND(N(F2578)=0,N(G2578)=0),"بدون مبلغ ⚠",IF(B2578&gt;12,"يتجاوز 12 بنداً في الطباعة ⚠","")))))</f>
        <v/>
      </c>
    </row>
    <row r="2579" customFormat="false" ht="15" hidden="false" customHeight="false" outlineLevel="0" collapsed="false">
      <c r="A2579" s="58"/>
      <c r="B2579" s="68" t="str">
        <f aca="false">IF(A2579="","",COUNTIF(A$5:A2579,A2579))</f>
        <v/>
      </c>
      <c r="C2579" s="68" t="str">
        <f aca="false">IF(A2579="","",A2579&amp;"-"&amp;B2579)</f>
        <v/>
      </c>
      <c r="D2579" s="58"/>
      <c r="E2579" s="57"/>
      <c r="F2579" s="69"/>
      <c r="G2579" s="69"/>
      <c r="H2579" s="70" t="str">
        <f aca="false">IF(A2579="","",IFERROR(INDEX(السندات!$C$5:$C$504,MATCH(A2579,السندات!$A$5:$A$504,0)),""))</f>
        <v/>
      </c>
      <c r="I2579" s="71" t="str">
        <f aca="false">IF(A2579="","",IFERROR(INDEX(السندات!$D$5:$D$504,MATCH(A2579,السندات!$A$5:$A$504,0)),""))</f>
        <v/>
      </c>
      <c r="J2579" s="72" t="str">
        <f aca="false">IF(A2579="","",IF(ISNA(MATCH(A2579,السندات!$A$5:$A$504,0)),"رقم سند غير موجود ✘",IF(AND(F2579&lt;&gt;"",G2579&lt;&gt;""),"اكتب مدين أو دائن فقط ✘",IF(AND(N(F2579)=0,N(G2579)=0),"بدون مبلغ ⚠",IF(B2579&gt;12,"يتجاوز 12 بنداً في الطباعة ⚠","")))))</f>
        <v/>
      </c>
    </row>
    <row r="2580" customFormat="false" ht="15" hidden="false" customHeight="false" outlineLevel="0" collapsed="false">
      <c r="A2580" s="58"/>
      <c r="B2580" s="73" t="str">
        <f aca="false">IF(A2580="","",COUNTIF(A$5:A2580,A2580))</f>
        <v/>
      </c>
      <c r="C2580" s="73" t="str">
        <f aca="false">IF(A2580="","",A2580&amp;"-"&amp;B2580)</f>
        <v/>
      </c>
      <c r="D2580" s="58"/>
      <c r="E2580" s="57"/>
      <c r="F2580" s="69"/>
      <c r="G2580" s="69"/>
      <c r="H2580" s="74" t="str">
        <f aca="false">IF(A2580="","",IFERROR(INDEX(السندات!$C$5:$C$504,MATCH(A2580,السندات!$A$5:$A$504,0)),""))</f>
        <v/>
      </c>
      <c r="I2580" s="75" t="str">
        <f aca="false">IF(A2580="","",IFERROR(INDEX(السندات!$D$5:$D$504,MATCH(A2580,السندات!$A$5:$A$504,0)),""))</f>
        <v/>
      </c>
      <c r="J2580" s="76" t="str">
        <f aca="false">IF(A2580="","",IF(ISNA(MATCH(A2580,السندات!$A$5:$A$504,0)),"رقم سند غير موجود ✘",IF(AND(F2580&lt;&gt;"",G2580&lt;&gt;""),"اكتب مدين أو دائن فقط ✘",IF(AND(N(F2580)=0,N(G2580)=0),"بدون مبلغ ⚠",IF(B2580&gt;12,"يتجاوز 12 بنداً في الطباعة ⚠","")))))</f>
        <v/>
      </c>
    </row>
    <row r="2581" customFormat="false" ht="15" hidden="false" customHeight="false" outlineLevel="0" collapsed="false">
      <c r="A2581" s="58"/>
      <c r="B2581" s="68" t="str">
        <f aca="false">IF(A2581="","",COUNTIF(A$5:A2581,A2581))</f>
        <v/>
      </c>
      <c r="C2581" s="68" t="str">
        <f aca="false">IF(A2581="","",A2581&amp;"-"&amp;B2581)</f>
        <v/>
      </c>
      <c r="D2581" s="58"/>
      <c r="E2581" s="57"/>
      <c r="F2581" s="69"/>
      <c r="G2581" s="69"/>
      <c r="H2581" s="70" t="str">
        <f aca="false">IF(A2581="","",IFERROR(INDEX(السندات!$C$5:$C$504,MATCH(A2581,السندات!$A$5:$A$504,0)),""))</f>
        <v/>
      </c>
      <c r="I2581" s="71" t="str">
        <f aca="false">IF(A2581="","",IFERROR(INDEX(السندات!$D$5:$D$504,MATCH(A2581,السندات!$A$5:$A$504,0)),""))</f>
        <v/>
      </c>
      <c r="J2581" s="72" t="str">
        <f aca="false">IF(A2581="","",IF(ISNA(MATCH(A2581,السندات!$A$5:$A$504,0)),"رقم سند غير موجود ✘",IF(AND(F2581&lt;&gt;"",G2581&lt;&gt;""),"اكتب مدين أو دائن فقط ✘",IF(AND(N(F2581)=0,N(G2581)=0),"بدون مبلغ ⚠",IF(B2581&gt;12,"يتجاوز 12 بنداً في الطباعة ⚠","")))))</f>
        <v/>
      </c>
    </row>
    <row r="2582" customFormat="false" ht="15" hidden="false" customHeight="false" outlineLevel="0" collapsed="false">
      <c r="A2582" s="58"/>
      <c r="B2582" s="73" t="str">
        <f aca="false">IF(A2582="","",COUNTIF(A$5:A2582,A2582))</f>
        <v/>
      </c>
      <c r="C2582" s="73" t="str">
        <f aca="false">IF(A2582="","",A2582&amp;"-"&amp;B2582)</f>
        <v/>
      </c>
      <c r="D2582" s="58"/>
      <c r="E2582" s="57"/>
      <c r="F2582" s="69"/>
      <c r="G2582" s="69"/>
      <c r="H2582" s="74" t="str">
        <f aca="false">IF(A2582="","",IFERROR(INDEX(السندات!$C$5:$C$504,MATCH(A2582,السندات!$A$5:$A$504,0)),""))</f>
        <v/>
      </c>
      <c r="I2582" s="75" t="str">
        <f aca="false">IF(A2582="","",IFERROR(INDEX(السندات!$D$5:$D$504,MATCH(A2582,السندات!$A$5:$A$504,0)),""))</f>
        <v/>
      </c>
      <c r="J2582" s="76" t="str">
        <f aca="false">IF(A2582="","",IF(ISNA(MATCH(A2582,السندات!$A$5:$A$504,0)),"رقم سند غير موجود ✘",IF(AND(F2582&lt;&gt;"",G2582&lt;&gt;""),"اكتب مدين أو دائن فقط ✘",IF(AND(N(F2582)=0,N(G2582)=0),"بدون مبلغ ⚠",IF(B2582&gt;12,"يتجاوز 12 بنداً في الطباعة ⚠","")))))</f>
        <v/>
      </c>
    </row>
    <row r="2583" customFormat="false" ht="15" hidden="false" customHeight="false" outlineLevel="0" collapsed="false">
      <c r="A2583" s="58"/>
      <c r="B2583" s="68" t="str">
        <f aca="false">IF(A2583="","",COUNTIF(A$5:A2583,A2583))</f>
        <v/>
      </c>
      <c r="C2583" s="68" t="str">
        <f aca="false">IF(A2583="","",A2583&amp;"-"&amp;B2583)</f>
        <v/>
      </c>
      <c r="D2583" s="58"/>
      <c r="E2583" s="57"/>
      <c r="F2583" s="69"/>
      <c r="G2583" s="69"/>
      <c r="H2583" s="70" t="str">
        <f aca="false">IF(A2583="","",IFERROR(INDEX(السندات!$C$5:$C$504,MATCH(A2583,السندات!$A$5:$A$504,0)),""))</f>
        <v/>
      </c>
      <c r="I2583" s="71" t="str">
        <f aca="false">IF(A2583="","",IFERROR(INDEX(السندات!$D$5:$D$504,MATCH(A2583,السندات!$A$5:$A$504,0)),""))</f>
        <v/>
      </c>
      <c r="J2583" s="72" t="str">
        <f aca="false">IF(A2583="","",IF(ISNA(MATCH(A2583,السندات!$A$5:$A$504,0)),"رقم سند غير موجود ✘",IF(AND(F2583&lt;&gt;"",G2583&lt;&gt;""),"اكتب مدين أو دائن فقط ✘",IF(AND(N(F2583)=0,N(G2583)=0),"بدون مبلغ ⚠",IF(B2583&gt;12,"يتجاوز 12 بنداً في الطباعة ⚠","")))))</f>
        <v/>
      </c>
    </row>
    <row r="2584" customFormat="false" ht="15" hidden="false" customHeight="false" outlineLevel="0" collapsed="false">
      <c r="A2584" s="58"/>
      <c r="B2584" s="73" t="str">
        <f aca="false">IF(A2584="","",COUNTIF(A$5:A2584,A2584))</f>
        <v/>
      </c>
      <c r="C2584" s="73" t="str">
        <f aca="false">IF(A2584="","",A2584&amp;"-"&amp;B2584)</f>
        <v/>
      </c>
      <c r="D2584" s="58"/>
      <c r="E2584" s="57"/>
      <c r="F2584" s="69"/>
      <c r="G2584" s="69"/>
      <c r="H2584" s="74" t="str">
        <f aca="false">IF(A2584="","",IFERROR(INDEX(السندات!$C$5:$C$504,MATCH(A2584,السندات!$A$5:$A$504,0)),""))</f>
        <v/>
      </c>
      <c r="I2584" s="75" t="str">
        <f aca="false">IF(A2584="","",IFERROR(INDEX(السندات!$D$5:$D$504,MATCH(A2584,السندات!$A$5:$A$504,0)),""))</f>
        <v/>
      </c>
      <c r="J2584" s="76" t="str">
        <f aca="false">IF(A2584="","",IF(ISNA(MATCH(A2584,السندات!$A$5:$A$504,0)),"رقم سند غير موجود ✘",IF(AND(F2584&lt;&gt;"",G2584&lt;&gt;""),"اكتب مدين أو دائن فقط ✘",IF(AND(N(F2584)=0,N(G2584)=0),"بدون مبلغ ⚠",IF(B2584&gt;12,"يتجاوز 12 بنداً في الطباعة ⚠","")))))</f>
        <v/>
      </c>
    </row>
    <row r="2585" customFormat="false" ht="15" hidden="false" customHeight="false" outlineLevel="0" collapsed="false">
      <c r="A2585" s="58"/>
      <c r="B2585" s="68" t="str">
        <f aca="false">IF(A2585="","",COUNTIF(A$5:A2585,A2585))</f>
        <v/>
      </c>
      <c r="C2585" s="68" t="str">
        <f aca="false">IF(A2585="","",A2585&amp;"-"&amp;B2585)</f>
        <v/>
      </c>
      <c r="D2585" s="58"/>
      <c r="E2585" s="57"/>
      <c r="F2585" s="69"/>
      <c r="G2585" s="69"/>
      <c r="H2585" s="70" t="str">
        <f aca="false">IF(A2585="","",IFERROR(INDEX(السندات!$C$5:$C$504,MATCH(A2585,السندات!$A$5:$A$504,0)),""))</f>
        <v/>
      </c>
      <c r="I2585" s="71" t="str">
        <f aca="false">IF(A2585="","",IFERROR(INDEX(السندات!$D$5:$D$504,MATCH(A2585,السندات!$A$5:$A$504,0)),""))</f>
        <v/>
      </c>
      <c r="J2585" s="72" t="str">
        <f aca="false">IF(A2585="","",IF(ISNA(MATCH(A2585,السندات!$A$5:$A$504,0)),"رقم سند غير موجود ✘",IF(AND(F2585&lt;&gt;"",G2585&lt;&gt;""),"اكتب مدين أو دائن فقط ✘",IF(AND(N(F2585)=0,N(G2585)=0),"بدون مبلغ ⚠",IF(B2585&gt;12,"يتجاوز 12 بنداً في الطباعة ⚠","")))))</f>
        <v/>
      </c>
    </row>
    <row r="2586" customFormat="false" ht="15" hidden="false" customHeight="false" outlineLevel="0" collapsed="false">
      <c r="A2586" s="58"/>
      <c r="B2586" s="73" t="str">
        <f aca="false">IF(A2586="","",COUNTIF(A$5:A2586,A2586))</f>
        <v/>
      </c>
      <c r="C2586" s="73" t="str">
        <f aca="false">IF(A2586="","",A2586&amp;"-"&amp;B2586)</f>
        <v/>
      </c>
      <c r="D2586" s="58"/>
      <c r="E2586" s="57"/>
      <c r="F2586" s="69"/>
      <c r="G2586" s="69"/>
      <c r="H2586" s="74" t="str">
        <f aca="false">IF(A2586="","",IFERROR(INDEX(السندات!$C$5:$C$504,MATCH(A2586,السندات!$A$5:$A$504,0)),""))</f>
        <v/>
      </c>
      <c r="I2586" s="75" t="str">
        <f aca="false">IF(A2586="","",IFERROR(INDEX(السندات!$D$5:$D$504,MATCH(A2586,السندات!$A$5:$A$504,0)),""))</f>
        <v/>
      </c>
      <c r="J2586" s="76" t="str">
        <f aca="false">IF(A2586="","",IF(ISNA(MATCH(A2586,السندات!$A$5:$A$504,0)),"رقم سند غير موجود ✘",IF(AND(F2586&lt;&gt;"",G2586&lt;&gt;""),"اكتب مدين أو دائن فقط ✘",IF(AND(N(F2586)=0,N(G2586)=0),"بدون مبلغ ⚠",IF(B2586&gt;12,"يتجاوز 12 بنداً في الطباعة ⚠","")))))</f>
        <v/>
      </c>
    </row>
    <row r="2587" customFormat="false" ht="15" hidden="false" customHeight="false" outlineLevel="0" collapsed="false">
      <c r="A2587" s="58"/>
      <c r="B2587" s="68" t="str">
        <f aca="false">IF(A2587="","",COUNTIF(A$5:A2587,A2587))</f>
        <v/>
      </c>
      <c r="C2587" s="68" t="str">
        <f aca="false">IF(A2587="","",A2587&amp;"-"&amp;B2587)</f>
        <v/>
      </c>
      <c r="D2587" s="58"/>
      <c r="E2587" s="57"/>
      <c r="F2587" s="69"/>
      <c r="G2587" s="69"/>
      <c r="H2587" s="70" t="str">
        <f aca="false">IF(A2587="","",IFERROR(INDEX(السندات!$C$5:$C$504,MATCH(A2587,السندات!$A$5:$A$504,0)),""))</f>
        <v/>
      </c>
      <c r="I2587" s="71" t="str">
        <f aca="false">IF(A2587="","",IFERROR(INDEX(السندات!$D$5:$D$504,MATCH(A2587,السندات!$A$5:$A$504,0)),""))</f>
        <v/>
      </c>
      <c r="J2587" s="72" t="str">
        <f aca="false">IF(A2587="","",IF(ISNA(MATCH(A2587,السندات!$A$5:$A$504,0)),"رقم سند غير موجود ✘",IF(AND(F2587&lt;&gt;"",G2587&lt;&gt;""),"اكتب مدين أو دائن فقط ✘",IF(AND(N(F2587)=0,N(G2587)=0),"بدون مبلغ ⚠",IF(B2587&gt;12,"يتجاوز 12 بنداً في الطباعة ⚠","")))))</f>
        <v/>
      </c>
    </row>
    <row r="2588" customFormat="false" ht="15" hidden="false" customHeight="false" outlineLevel="0" collapsed="false">
      <c r="A2588" s="58"/>
      <c r="B2588" s="73" t="str">
        <f aca="false">IF(A2588="","",COUNTIF(A$5:A2588,A2588))</f>
        <v/>
      </c>
      <c r="C2588" s="73" t="str">
        <f aca="false">IF(A2588="","",A2588&amp;"-"&amp;B2588)</f>
        <v/>
      </c>
      <c r="D2588" s="58"/>
      <c r="E2588" s="57"/>
      <c r="F2588" s="69"/>
      <c r="G2588" s="69"/>
      <c r="H2588" s="74" t="str">
        <f aca="false">IF(A2588="","",IFERROR(INDEX(السندات!$C$5:$C$504,MATCH(A2588,السندات!$A$5:$A$504,0)),""))</f>
        <v/>
      </c>
      <c r="I2588" s="75" t="str">
        <f aca="false">IF(A2588="","",IFERROR(INDEX(السندات!$D$5:$D$504,MATCH(A2588,السندات!$A$5:$A$504,0)),""))</f>
        <v/>
      </c>
      <c r="J2588" s="76" t="str">
        <f aca="false">IF(A2588="","",IF(ISNA(MATCH(A2588,السندات!$A$5:$A$504,0)),"رقم سند غير موجود ✘",IF(AND(F2588&lt;&gt;"",G2588&lt;&gt;""),"اكتب مدين أو دائن فقط ✘",IF(AND(N(F2588)=0,N(G2588)=0),"بدون مبلغ ⚠",IF(B2588&gt;12,"يتجاوز 12 بنداً في الطباعة ⚠","")))))</f>
        <v/>
      </c>
    </row>
    <row r="2589" customFormat="false" ht="15" hidden="false" customHeight="false" outlineLevel="0" collapsed="false">
      <c r="A2589" s="58"/>
      <c r="B2589" s="68" t="str">
        <f aca="false">IF(A2589="","",COUNTIF(A$5:A2589,A2589))</f>
        <v/>
      </c>
      <c r="C2589" s="68" t="str">
        <f aca="false">IF(A2589="","",A2589&amp;"-"&amp;B2589)</f>
        <v/>
      </c>
      <c r="D2589" s="58"/>
      <c r="E2589" s="57"/>
      <c r="F2589" s="69"/>
      <c r="G2589" s="69"/>
      <c r="H2589" s="70" t="str">
        <f aca="false">IF(A2589="","",IFERROR(INDEX(السندات!$C$5:$C$504,MATCH(A2589,السندات!$A$5:$A$504,0)),""))</f>
        <v/>
      </c>
      <c r="I2589" s="71" t="str">
        <f aca="false">IF(A2589="","",IFERROR(INDEX(السندات!$D$5:$D$504,MATCH(A2589,السندات!$A$5:$A$504,0)),""))</f>
        <v/>
      </c>
      <c r="J2589" s="72" t="str">
        <f aca="false">IF(A2589="","",IF(ISNA(MATCH(A2589,السندات!$A$5:$A$504,0)),"رقم سند غير موجود ✘",IF(AND(F2589&lt;&gt;"",G2589&lt;&gt;""),"اكتب مدين أو دائن فقط ✘",IF(AND(N(F2589)=0,N(G2589)=0),"بدون مبلغ ⚠",IF(B2589&gt;12,"يتجاوز 12 بنداً في الطباعة ⚠","")))))</f>
        <v/>
      </c>
    </row>
    <row r="2590" customFormat="false" ht="15" hidden="false" customHeight="false" outlineLevel="0" collapsed="false">
      <c r="A2590" s="58"/>
      <c r="B2590" s="73" t="str">
        <f aca="false">IF(A2590="","",COUNTIF(A$5:A2590,A2590))</f>
        <v/>
      </c>
      <c r="C2590" s="73" t="str">
        <f aca="false">IF(A2590="","",A2590&amp;"-"&amp;B2590)</f>
        <v/>
      </c>
      <c r="D2590" s="58"/>
      <c r="E2590" s="57"/>
      <c r="F2590" s="69"/>
      <c r="G2590" s="69"/>
      <c r="H2590" s="74" t="str">
        <f aca="false">IF(A2590="","",IFERROR(INDEX(السندات!$C$5:$C$504,MATCH(A2590,السندات!$A$5:$A$504,0)),""))</f>
        <v/>
      </c>
      <c r="I2590" s="75" t="str">
        <f aca="false">IF(A2590="","",IFERROR(INDEX(السندات!$D$5:$D$504,MATCH(A2590,السندات!$A$5:$A$504,0)),""))</f>
        <v/>
      </c>
      <c r="J2590" s="76" t="str">
        <f aca="false">IF(A2590="","",IF(ISNA(MATCH(A2590,السندات!$A$5:$A$504,0)),"رقم سند غير موجود ✘",IF(AND(F2590&lt;&gt;"",G2590&lt;&gt;""),"اكتب مدين أو دائن فقط ✘",IF(AND(N(F2590)=0,N(G2590)=0),"بدون مبلغ ⚠",IF(B2590&gt;12,"يتجاوز 12 بنداً في الطباعة ⚠","")))))</f>
        <v/>
      </c>
    </row>
    <row r="2591" customFormat="false" ht="15" hidden="false" customHeight="false" outlineLevel="0" collapsed="false">
      <c r="A2591" s="58"/>
      <c r="B2591" s="68" t="str">
        <f aca="false">IF(A2591="","",COUNTIF(A$5:A2591,A2591))</f>
        <v/>
      </c>
      <c r="C2591" s="68" t="str">
        <f aca="false">IF(A2591="","",A2591&amp;"-"&amp;B2591)</f>
        <v/>
      </c>
      <c r="D2591" s="58"/>
      <c r="E2591" s="57"/>
      <c r="F2591" s="69"/>
      <c r="G2591" s="69"/>
      <c r="H2591" s="70" t="str">
        <f aca="false">IF(A2591="","",IFERROR(INDEX(السندات!$C$5:$C$504,MATCH(A2591,السندات!$A$5:$A$504,0)),""))</f>
        <v/>
      </c>
      <c r="I2591" s="71" t="str">
        <f aca="false">IF(A2591="","",IFERROR(INDEX(السندات!$D$5:$D$504,MATCH(A2591,السندات!$A$5:$A$504,0)),""))</f>
        <v/>
      </c>
      <c r="J2591" s="72" t="str">
        <f aca="false">IF(A2591="","",IF(ISNA(MATCH(A2591,السندات!$A$5:$A$504,0)),"رقم سند غير موجود ✘",IF(AND(F2591&lt;&gt;"",G2591&lt;&gt;""),"اكتب مدين أو دائن فقط ✘",IF(AND(N(F2591)=0,N(G2591)=0),"بدون مبلغ ⚠",IF(B2591&gt;12,"يتجاوز 12 بنداً في الطباعة ⚠","")))))</f>
        <v/>
      </c>
    </row>
    <row r="2592" customFormat="false" ht="15" hidden="false" customHeight="false" outlineLevel="0" collapsed="false">
      <c r="A2592" s="58"/>
      <c r="B2592" s="73" t="str">
        <f aca="false">IF(A2592="","",COUNTIF(A$5:A2592,A2592))</f>
        <v/>
      </c>
      <c r="C2592" s="73" t="str">
        <f aca="false">IF(A2592="","",A2592&amp;"-"&amp;B2592)</f>
        <v/>
      </c>
      <c r="D2592" s="58"/>
      <c r="E2592" s="57"/>
      <c r="F2592" s="69"/>
      <c r="G2592" s="69"/>
      <c r="H2592" s="74" t="str">
        <f aca="false">IF(A2592="","",IFERROR(INDEX(السندات!$C$5:$C$504,MATCH(A2592,السندات!$A$5:$A$504,0)),""))</f>
        <v/>
      </c>
      <c r="I2592" s="75" t="str">
        <f aca="false">IF(A2592="","",IFERROR(INDEX(السندات!$D$5:$D$504,MATCH(A2592,السندات!$A$5:$A$504,0)),""))</f>
        <v/>
      </c>
      <c r="J2592" s="76" t="str">
        <f aca="false">IF(A2592="","",IF(ISNA(MATCH(A2592,السندات!$A$5:$A$504,0)),"رقم سند غير موجود ✘",IF(AND(F2592&lt;&gt;"",G2592&lt;&gt;""),"اكتب مدين أو دائن فقط ✘",IF(AND(N(F2592)=0,N(G2592)=0),"بدون مبلغ ⚠",IF(B2592&gt;12,"يتجاوز 12 بنداً في الطباعة ⚠","")))))</f>
        <v/>
      </c>
    </row>
    <row r="2593" customFormat="false" ht="15" hidden="false" customHeight="false" outlineLevel="0" collapsed="false">
      <c r="A2593" s="58"/>
      <c r="B2593" s="68" t="str">
        <f aca="false">IF(A2593="","",COUNTIF(A$5:A2593,A2593))</f>
        <v/>
      </c>
      <c r="C2593" s="68" t="str">
        <f aca="false">IF(A2593="","",A2593&amp;"-"&amp;B2593)</f>
        <v/>
      </c>
      <c r="D2593" s="58"/>
      <c r="E2593" s="57"/>
      <c r="F2593" s="69"/>
      <c r="G2593" s="69"/>
      <c r="H2593" s="70" t="str">
        <f aca="false">IF(A2593="","",IFERROR(INDEX(السندات!$C$5:$C$504,MATCH(A2593,السندات!$A$5:$A$504,0)),""))</f>
        <v/>
      </c>
      <c r="I2593" s="71" t="str">
        <f aca="false">IF(A2593="","",IFERROR(INDEX(السندات!$D$5:$D$504,MATCH(A2593,السندات!$A$5:$A$504,0)),""))</f>
        <v/>
      </c>
      <c r="J2593" s="72" t="str">
        <f aca="false">IF(A2593="","",IF(ISNA(MATCH(A2593,السندات!$A$5:$A$504,0)),"رقم سند غير موجود ✘",IF(AND(F2593&lt;&gt;"",G2593&lt;&gt;""),"اكتب مدين أو دائن فقط ✘",IF(AND(N(F2593)=0,N(G2593)=0),"بدون مبلغ ⚠",IF(B2593&gt;12,"يتجاوز 12 بنداً في الطباعة ⚠","")))))</f>
        <v/>
      </c>
    </row>
    <row r="2594" customFormat="false" ht="15" hidden="false" customHeight="false" outlineLevel="0" collapsed="false">
      <c r="A2594" s="58"/>
      <c r="B2594" s="73" t="str">
        <f aca="false">IF(A2594="","",COUNTIF(A$5:A2594,A2594))</f>
        <v/>
      </c>
      <c r="C2594" s="73" t="str">
        <f aca="false">IF(A2594="","",A2594&amp;"-"&amp;B2594)</f>
        <v/>
      </c>
      <c r="D2594" s="58"/>
      <c r="E2594" s="57"/>
      <c r="F2594" s="69"/>
      <c r="G2594" s="69"/>
      <c r="H2594" s="74" t="str">
        <f aca="false">IF(A2594="","",IFERROR(INDEX(السندات!$C$5:$C$504,MATCH(A2594,السندات!$A$5:$A$504,0)),""))</f>
        <v/>
      </c>
      <c r="I2594" s="75" t="str">
        <f aca="false">IF(A2594="","",IFERROR(INDEX(السندات!$D$5:$D$504,MATCH(A2594,السندات!$A$5:$A$504,0)),""))</f>
        <v/>
      </c>
      <c r="J2594" s="76" t="str">
        <f aca="false">IF(A2594="","",IF(ISNA(MATCH(A2594,السندات!$A$5:$A$504,0)),"رقم سند غير موجود ✘",IF(AND(F2594&lt;&gt;"",G2594&lt;&gt;""),"اكتب مدين أو دائن فقط ✘",IF(AND(N(F2594)=0,N(G2594)=0),"بدون مبلغ ⚠",IF(B2594&gt;12,"يتجاوز 12 بنداً في الطباعة ⚠","")))))</f>
        <v/>
      </c>
    </row>
    <row r="2595" customFormat="false" ht="15" hidden="false" customHeight="false" outlineLevel="0" collapsed="false">
      <c r="A2595" s="58"/>
      <c r="B2595" s="68" t="str">
        <f aca="false">IF(A2595="","",COUNTIF(A$5:A2595,A2595))</f>
        <v/>
      </c>
      <c r="C2595" s="68" t="str">
        <f aca="false">IF(A2595="","",A2595&amp;"-"&amp;B2595)</f>
        <v/>
      </c>
      <c r="D2595" s="58"/>
      <c r="E2595" s="57"/>
      <c r="F2595" s="69"/>
      <c r="G2595" s="69"/>
      <c r="H2595" s="70" t="str">
        <f aca="false">IF(A2595="","",IFERROR(INDEX(السندات!$C$5:$C$504,MATCH(A2595,السندات!$A$5:$A$504,0)),""))</f>
        <v/>
      </c>
      <c r="I2595" s="71" t="str">
        <f aca="false">IF(A2595="","",IFERROR(INDEX(السندات!$D$5:$D$504,MATCH(A2595,السندات!$A$5:$A$504,0)),""))</f>
        <v/>
      </c>
      <c r="J2595" s="72" t="str">
        <f aca="false">IF(A2595="","",IF(ISNA(MATCH(A2595,السندات!$A$5:$A$504,0)),"رقم سند غير موجود ✘",IF(AND(F2595&lt;&gt;"",G2595&lt;&gt;""),"اكتب مدين أو دائن فقط ✘",IF(AND(N(F2595)=0,N(G2595)=0),"بدون مبلغ ⚠",IF(B2595&gt;12,"يتجاوز 12 بنداً في الطباعة ⚠","")))))</f>
        <v/>
      </c>
    </row>
    <row r="2596" customFormat="false" ht="15" hidden="false" customHeight="false" outlineLevel="0" collapsed="false">
      <c r="A2596" s="58"/>
      <c r="B2596" s="73" t="str">
        <f aca="false">IF(A2596="","",COUNTIF(A$5:A2596,A2596))</f>
        <v/>
      </c>
      <c r="C2596" s="73" t="str">
        <f aca="false">IF(A2596="","",A2596&amp;"-"&amp;B2596)</f>
        <v/>
      </c>
      <c r="D2596" s="58"/>
      <c r="E2596" s="57"/>
      <c r="F2596" s="69"/>
      <c r="G2596" s="69"/>
      <c r="H2596" s="74" t="str">
        <f aca="false">IF(A2596="","",IFERROR(INDEX(السندات!$C$5:$C$504,MATCH(A2596,السندات!$A$5:$A$504,0)),""))</f>
        <v/>
      </c>
      <c r="I2596" s="75" t="str">
        <f aca="false">IF(A2596="","",IFERROR(INDEX(السندات!$D$5:$D$504,MATCH(A2596,السندات!$A$5:$A$504,0)),""))</f>
        <v/>
      </c>
      <c r="J2596" s="76" t="str">
        <f aca="false">IF(A2596="","",IF(ISNA(MATCH(A2596,السندات!$A$5:$A$504,0)),"رقم سند غير موجود ✘",IF(AND(F2596&lt;&gt;"",G2596&lt;&gt;""),"اكتب مدين أو دائن فقط ✘",IF(AND(N(F2596)=0,N(G2596)=0),"بدون مبلغ ⚠",IF(B2596&gt;12,"يتجاوز 12 بنداً في الطباعة ⚠","")))))</f>
        <v/>
      </c>
    </row>
    <row r="2597" customFormat="false" ht="15" hidden="false" customHeight="false" outlineLevel="0" collapsed="false">
      <c r="A2597" s="58"/>
      <c r="B2597" s="68" t="str">
        <f aca="false">IF(A2597="","",COUNTIF(A$5:A2597,A2597))</f>
        <v/>
      </c>
      <c r="C2597" s="68" t="str">
        <f aca="false">IF(A2597="","",A2597&amp;"-"&amp;B2597)</f>
        <v/>
      </c>
      <c r="D2597" s="58"/>
      <c r="E2597" s="57"/>
      <c r="F2597" s="69"/>
      <c r="G2597" s="69"/>
      <c r="H2597" s="70" t="str">
        <f aca="false">IF(A2597="","",IFERROR(INDEX(السندات!$C$5:$C$504,MATCH(A2597,السندات!$A$5:$A$504,0)),""))</f>
        <v/>
      </c>
      <c r="I2597" s="71" t="str">
        <f aca="false">IF(A2597="","",IFERROR(INDEX(السندات!$D$5:$D$504,MATCH(A2597,السندات!$A$5:$A$504,0)),""))</f>
        <v/>
      </c>
      <c r="J2597" s="72" t="str">
        <f aca="false">IF(A2597="","",IF(ISNA(MATCH(A2597,السندات!$A$5:$A$504,0)),"رقم سند غير موجود ✘",IF(AND(F2597&lt;&gt;"",G2597&lt;&gt;""),"اكتب مدين أو دائن فقط ✘",IF(AND(N(F2597)=0,N(G2597)=0),"بدون مبلغ ⚠",IF(B2597&gt;12,"يتجاوز 12 بنداً في الطباعة ⚠","")))))</f>
        <v/>
      </c>
    </row>
    <row r="2598" customFormat="false" ht="15" hidden="false" customHeight="false" outlineLevel="0" collapsed="false">
      <c r="A2598" s="58"/>
      <c r="B2598" s="73" t="str">
        <f aca="false">IF(A2598="","",COUNTIF(A$5:A2598,A2598))</f>
        <v/>
      </c>
      <c r="C2598" s="73" t="str">
        <f aca="false">IF(A2598="","",A2598&amp;"-"&amp;B2598)</f>
        <v/>
      </c>
      <c r="D2598" s="58"/>
      <c r="E2598" s="57"/>
      <c r="F2598" s="69"/>
      <c r="G2598" s="69"/>
      <c r="H2598" s="74" t="str">
        <f aca="false">IF(A2598="","",IFERROR(INDEX(السندات!$C$5:$C$504,MATCH(A2598,السندات!$A$5:$A$504,0)),""))</f>
        <v/>
      </c>
      <c r="I2598" s="75" t="str">
        <f aca="false">IF(A2598="","",IFERROR(INDEX(السندات!$D$5:$D$504,MATCH(A2598,السندات!$A$5:$A$504,0)),""))</f>
        <v/>
      </c>
      <c r="J2598" s="76" t="str">
        <f aca="false">IF(A2598="","",IF(ISNA(MATCH(A2598,السندات!$A$5:$A$504,0)),"رقم سند غير موجود ✘",IF(AND(F2598&lt;&gt;"",G2598&lt;&gt;""),"اكتب مدين أو دائن فقط ✘",IF(AND(N(F2598)=0,N(G2598)=0),"بدون مبلغ ⚠",IF(B2598&gt;12,"يتجاوز 12 بنداً في الطباعة ⚠","")))))</f>
        <v/>
      </c>
    </row>
    <row r="2599" customFormat="false" ht="15" hidden="false" customHeight="false" outlineLevel="0" collapsed="false">
      <c r="A2599" s="58"/>
      <c r="B2599" s="68" t="str">
        <f aca="false">IF(A2599="","",COUNTIF(A$5:A2599,A2599))</f>
        <v/>
      </c>
      <c r="C2599" s="68" t="str">
        <f aca="false">IF(A2599="","",A2599&amp;"-"&amp;B2599)</f>
        <v/>
      </c>
      <c r="D2599" s="58"/>
      <c r="E2599" s="57"/>
      <c r="F2599" s="69"/>
      <c r="G2599" s="69"/>
      <c r="H2599" s="70" t="str">
        <f aca="false">IF(A2599="","",IFERROR(INDEX(السندات!$C$5:$C$504,MATCH(A2599,السندات!$A$5:$A$504,0)),""))</f>
        <v/>
      </c>
      <c r="I2599" s="71" t="str">
        <f aca="false">IF(A2599="","",IFERROR(INDEX(السندات!$D$5:$D$504,MATCH(A2599,السندات!$A$5:$A$504,0)),""))</f>
        <v/>
      </c>
      <c r="J2599" s="72" t="str">
        <f aca="false">IF(A2599="","",IF(ISNA(MATCH(A2599,السندات!$A$5:$A$504,0)),"رقم سند غير موجود ✘",IF(AND(F2599&lt;&gt;"",G2599&lt;&gt;""),"اكتب مدين أو دائن فقط ✘",IF(AND(N(F2599)=0,N(G2599)=0),"بدون مبلغ ⚠",IF(B2599&gt;12,"يتجاوز 12 بنداً في الطباعة ⚠","")))))</f>
        <v/>
      </c>
    </row>
    <row r="2600" customFormat="false" ht="15" hidden="false" customHeight="false" outlineLevel="0" collapsed="false">
      <c r="A2600" s="58"/>
      <c r="B2600" s="73" t="str">
        <f aca="false">IF(A2600="","",COUNTIF(A$5:A2600,A2600))</f>
        <v/>
      </c>
      <c r="C2600" s="73" t="str">
        <f aca="false">IF(A2600="","",A2600&amp;"-"&amp;B2600)</f>
        <v/>
      </c>
      <c r="D2600" s="58"/>
      <c r="E2600" s="57"/>
      <c r="F2600" s="69"/>
      <c r="G2600" s="69"/>
      <c r="H2600" s="74" t="str">
        <f aca="false">IF(A2600="","",IFERROR(INDEX(السندات!$C$5:$C$504,MATCH(A2600,السندات!$A$5:$A$504,0)),""))</f>
        <v/>
      </c>
      <c r="I2600" s="75" t="str">
        <f aca="false">IF(A2600="","",IFERROR(INDEX(السندات!$D$5:$D$504,MATCH(A2600,السندات!$A$5:$A$504,0)),""))</f>
        <v/>
      </c>
      <c r="J2600" s="76" t="str">
        <f aca="false">IF(A2600="","",IF(ISNA(MATCH(A2600,السندات!$A$5:$A$504,0)),"رقم سند غير موجود ✘",IF(AND(F2600&lt;&gt;"",G2600&lt;&gt;""),"اكتب مدين أو دائن فقط ✘",IF(AND(N(F2600)=0,N(G2600)=0),"بدون مبلغ ⚠",IF(B2600&gt;12,"يتجاوز 12 بنداً في الطباعة ⚠","")))))</f>
        <v/>
      </c>
    </row>
    <row r="2601" customFormat="false" ht="15" hidden="false" customHeight="false" outlineLevel="0" collapsed="false">
      <c r="A2601" s="58"/>
      <c r="B2601" s="68" t="str">
        <f aca="false">IF(A2601="","",COUNTIF(A$5:A2601,A2601))</f>
        <v/>
      </c>
      <c r="C2601" s="68" t="str">
        <f aca="false">IF(A2601="","",A2601&amp;"-"&amp;B2601)</f>
        <v/>
      </c>
      <c r="D2601" s="58"/>
      <c r="E2601" s="57"/>
      <c r="F2601" s="69"/>
      <c r="G2601" s="69"/>
      <c r="H2601" s="70" t="str">
        <f aca="false">IF(A2601="","",IFERROR(INDEX(السندات!$C$5:$C$504,MATCH(A2601,السندات!$A$5:$A$504,0)),""))</f>
        <v/>
      </c>
      <c r="I2601" s="71" t="str">
        <f aca="false">IF(A2601="","",IFERROR(INDEX(السندات!$D$5:$D$504,MATCH(A2601,السندات!$A$5:$A$504,0)),""))</f>
        <v/>
      </c>
      <c r="J2601" s="72" t="str">
        <f aca="false">IF(A2601="","",IF(ISNA(MATCH(A2601,السندات!$A$5:$A$504,0)),"رقم سند غير موجود ✘",IF(AND(F2601&lt;&gt;"",G2601&lt;&gt;""),"اكتب مدين أو دائن فقط ✘",IF(AND(N(F2601)=0,N(G2601)=0),"بدون مبلغ ⚠",IF(B2601&gt;12,"يتجاوز 12 بنداً في الطباعة ⚠","")))))</f>
        <v/>
      </c>
    </row>
    <row r="2602" customFormat="false" ht="15" hidden="false" customHeight="false" outlineLevel="0" collapsed="false">
      <c r="A2602" s="58"/>
      <c r="B2602" s="73" t="str">
        <f aca="false">IF(A2602="","",COUNTIF(A$5:A2602,A2602))</f>
        <v/>
      </c>
      <c r="C2602" s="73" t="str">
        <f aca="false">IF(A2602="","",A2602&amp;"-"&amp;B2602)</f>
        <v/>
      </c>
      <c r="D2602" s="58"/>
      <c r="E2602" s="57"/>
      <c r="F2602" s="69"/>
      <c r="G2602" s="69"/>
      <c r="H2602" s="74" t="str">
        <f aca="false">IF(A2602="","",IFERROR(INDEX(السندات!$C$5:$C$504,MATCH(A2602,السندات!$A$5:$A$504,0)),""))</f>
        <v/>
      </c>
      <c r="I2602" s="75" t="str">
        <f aca="false">IF(A2602="","",IFERROR(INDEX(السندات!$D$5:$D$504,MATCH(A2602,السندات!$A$5:$A$504,0)),""))</f>
        <v/>
      </c>
      <c r="J2602" s="76" t="str">
        <f aca="false">IF(A2602="","",IF(ISNA(MATCH(A2602,السندات!$A$5:$A$504,0)),"رقم سند غير موجود ✘",IF(AND(F2602&lt;&gt;"",G2602&lt;&gt;""),"اكتب مدين أو دائن فقط ✘",IF(AND(N(F2602)=0,N(G2602)=0),"بدون مبلغ ⚠",IF(B2602&gt;12,"يتجاوز 12 بنداً في الطباعة ⚠","")))))</f>
        <v/>
      </c>
    </row>
    <row r="2603" customFormat="false" ht="15" hidden="false" customHeight="false" outlineLevel="0" collapsed="false">
      <c r="A2603" s="58"/>
      <c r="B2603" s="68" t="str">
        <f aca="false">IF(A2603="","",COUNTIF(A$5:A2603,A2603))</f>
        <v/>
      </c>
      <c r="C2603" s="68" t="str">
        <f aca="false">IF(A2603="","",A2603&amp;"-"&amp;B2603)</f>
        <v/>
      </c>
      <c r="D2603" s="58"/>
      <c r="E2603" s="57"/>
      <c r="F2603" s="69"/>
      <c r="G2603" s="69"/>
      <c r="H2603" s="70" t="str">
        <f aca="false">IF(A2603="","",IFERROR(INDEX(السندات!$C$5:$C$504,MATCH(A2603,السندات!$A$5:$A$504,0)),""))</f>
        <v/>
      </c>
      <c r="I2603" s="71" t="str">
        <f aca="false">IF(A2603="","",IFERROR(INDEX(السندات!$D$5:$D$504,MATCH(A2603,السندات!$A$5:$A$504,0)),""))</f>
        <v/>
      </c>
      <c r="J2603" s="72" t="str">
        <f aca="false">IF(A2603="","",IF(ISNA(MATCH(A2603,السندات!$A$5:$A$504,0)),"رقم سند غير موجود ✘",IF(AND(F2603&lt;&gt;"",G2603&lt;&gt;""),"اكتب مدين أو دائن فقط ✘",IF(AND(N(F2603)=0,N(G2603)=0),"بدون مبلغ ⚠",IF(B2603&gt;12,"يتجاوز 12 بنداً في الطباعة ⚠","")))))</f>
        <v/>
      </c>
    </row>
    <row r="2604" customFormat="false" ht="15" hidden="false" customHeight="false" outlineLevel="0" collapsed="false">
      <c r="A2604" s="58"/>
      <c r="B2604" s="73" t="str">
        <f aca="false">IF(A2604="","",COUNTIF(A$5:A2604,A2604))</f>
        <v/>
      </c>
      <c r="C2604" s="73" t="str">
        <f aca="false">IF(A2604="","",A2604&amp;"-"&amp;B2604)</f>
        <v/>
      </c>
      <c r="D2604" s="58"/>
      <c r="E2604" s="57"/>
      <c r="F2604" s="69"/>
      <c r="G2604" s="69"/>
      <c r="H2604" s="74" t="str">
        <f aca="false">IF(A2604="","",IFERROR(INDEX(السندات!$C$5:$C$504,MATCH(A2604,السندات!$A$5:$A$504,0)),""))</f>
        <v/>
      </c>
      <c r="I2604" s="75" t="str">
        <f aca="false">IF(A2604="","",IFERROR(INDEX(السندات!$D$5:$D$504,MATCH(A2604,السندات!$A$5:$A$504,0)),""))</f>
        <v/>
      </c>
      <c r="J2604" s="76" t="str">
        <f aca="false">IF(A2604="","",IF(ISNA(MATCH(A2604,السندات!$A$5:$A$504,0)),"رقم سند غير موجود ✘",IF(AND(F2604&lt;&gt;"",G2604&lt;&gt;""),"اكتب مدين أو دائن فقط ✘",IF(AND(N(F2604)=0,N(G2604)=0),"بدون مبلغ ⚠",IF(B2604&gt;12,"يتجاوز 12 بنداً في الطباعة ⚠","")))))</f>
        <v/>
      </c>
    </row>
    <row r="2605" customFormat="false" ht="15" hidden="false" customHeight="false" outlineLevel="0" collapsed="false">
      <c r="A2605" s="58"/>
      <c r="B2605" s="68" t="str">
        <f aca="false">IF(A2605="","",COUNTIF(A$5:A2605,A2605))</f>
        <v/>
      </c>
      <c r="C2605" s="68" t="str">
        <f aca="false">IF(A2605="","",A2605&amp;"-"&amp;B2605)</f>
        <v/>
      </c>
      <c r="D2605" s="58"/>
      <c r="E2605" s="57"/>
      <c r="F2605" s="69"/>
      <c r="G2605" s="69"/>
      <c r="H2605" s="70" t="str">
        <f aca="false">IF(A2605="","",IFERROR(INDEX(السندات!$C$5:$C$504,MATCH(A2605,السندات!$A$5:$A$504,0)),""))</f>
        <v/>
      </c>
      <c r="I2605" s="71" t="str">
        <f aca="false">IF(A2605="","",IFERROR(INDEX(السندات!$D$5:$D$504,MATCH(A2605,السندات!$A$5:$A$504,0)),""))</f>
        <v/>
      </c>
      <c r="J2605" s="72" t="str">
        <f aca="false">IF(A2605="","",IF(ISNA(MATCH(A2605,السندات!$A$5:$A$504,0)),"رقم سند غير موجود ✘",IF(AND(F2605&lt;&gt;"",G2605&lt;&gt;""),"اكتب مدين أو دائن فقط ✘",IF(AND(N(F2605)=0,N(G2605)=0),"بدون مبلغ ⚠",IF(B2605&gt;12,"يتجاوز 12 بنداً في الطباعة ⚠","")))))</f>
        <v/>
      </c>
    </row>
    <row r="2606" customFormat="false" ht="15" hidden="false" customHeight="false" outlineLevel="0" collapsed="false">
      <c r="A2606" s="58"/>
      <c r="B2606" s="73" t="str">
        <f aca="false">IF(A2606="","",COUNTIF(A$5:A2606,A2606))</f>
        <v/>
      </c>
      <c r="C2606" s="73" t="str">
        <f aca="false">IF(A2606="","",A2606&amp;"-"&amp;B2606)</f>
        <v/>
      </c>
      <c r="D2606" s="58"/>
      <c r="E2606" s="57"/>
      <c r="F2606" s="69"/>
      <c r="G2606" s="69"/>
      <c r="H2606" s="74" t="str">
        <f aca="false">IF(A2606="","",IFERROR(INDEX(السندات!$C$5:$C$504,MATCH(A2606,السندات!$A$5:$A$504,0)),""))</f>
        <v/>
      </c>
      <c r="I2606" s="75" t="str">
        <f aca="false">IF(A2606="","",IFERROR(INDEX(السندات!$D$5:$D$504,MATCH(A2606,السندات!$A$5:$A$504,0)),""))</f>
        <v/>
      </c>
      <c r="J2606" s="76" t="str">
        <f aca="false">IF(A2606="","",IF(ISNA(MATCH(A2606,السندات!$A$5:$A$504,0)),"رقم سند غير موجود ✘",IF(AND(F2606&lt;&gt;"",G2606&lt;&gt;""),"اكتب مدين أو دائن فقط ✘",IF(AND(N(F2606)=0,N(G2606)=0),"بدون مبلغ ⚠",IF(B2606&gt;12,"يتجاوز 12 بنداً في الطباعة ⚠","")))))</f>
        <v/>
      </c>
    </row>
    <row r="2607" customFormat="false" ht="15" hidden="false" customHeight="false" outlineLevel="0" collapsed="false">
      <c r="A2607" s="58"/>
      <c r="B2607" s="68" t="str">
        <f aca="false">IF(A2607="","",COUNTIF(A$5:A2607,A2607))</f>
        <v/>
      </c>
      <c r="C2607" s="68" t="str">
        <f aca="false">IF(A2607="","",A2607&amp;"-"&amp;B2607)</f>
        <v/>
      </c>
      <c r="D2607" s="58"/>
      <c r="E2607" s="57"/>
      <c r="F2607" s="69"/>
      <c r="G2607" s="69"/>
      <c r="H2607" s="70" t="str">
        <f aca="false">IF(A2607="","",IFERROR(INDEX(السندات!$C$5:$C$504,MATCH(A2607,السندات!$A$5:$A$504,0)),""))</f>
        <v/>
      </c>
      <c r="I2607" s="71" t="str">
        <f aca="false">IF(A2607="","",IFERROR(INDEX(السندات!$D$5:$D$504,MATCH(A2607,السندات!$A$5:$A$504,0)),""))</f>
        <v/>
      </c>
      <c r="J2607" s="72" t="str">
        <f aca="false">IF(A2607="","",IF(ISNA(MATCH(A2607,السندات!$A$5:$A$504,0)),"رقم سند غير موجود ✘",IF(AND(F2607&lt;&gt;"",G2607&lt;&gt;""),"اكتب مدين أو دائن فقط ✘",IF(AND(N(F2607)=0,N(G2607)=0),"بدون مبلغ ⚠",IF(B2607&gt;12,"يتجاوز 12 بنداً في الطباعة ⚠","")))))</f>
        <v/>
      </c>
    </row>
    <row r="2608" customFormat="false" ht="15" hidden="false" customHeight="false" outlineLevel="0" collapsed="false">
      <c r="A2608" s="58"/>
      <c r="B2608" s="73" t="str">
        <f aca="false">IF(A2608="","",COUNTIF(A$5:A2608,A2608))</f>
        <v/>
      </c>
      <c r="C2608" s="73" t="str">
        <f aca="false">IF(A2608="","",A2608&amp;"-"&amp;B2608)</f>
        <v/>
      </c>
      <c r="D2608" s="58"/>
      <c r="E2608" s="57"/>
      <c r="F2608" s="69"/>
      <c r="G2608" s="69"/>
      <c r="H2608" s="74" t="str">
        <f aca="false">IF(A2608="","",IFERROR(INDEX(السندات!$C$5:$C$504,MATCH(A2608,السندات!$A$5:$A$504,0)),""))</f>
        <v/>
      </c>
      <c r="I2608" s="75" t="str">
        <f aca="false">IF(A2608="","",IFERROR(INDEX(السندات!$D$5:$D$504,MATCH(A2608,السندات!$A$5:$A$504,0)),""))</f>
        <v/>
      </c>
      <c r="J2608" s="76" t="str">
        <f aca="false">IF(A2608="","",IF(ISNA(MATCH(A2608,السندات!$A$5:$A$504,0)),"رقم سند غير موجود ✘",IF(AND(F2608&lt;&gt;"",G2608&lt;&gt;""),"اكتب مدين أو دائن فقط ✘",IF(AND(N(F2608)=0,N(G2608)=0),"بدون مبلغ ⚠",IF(B2608&gt;12,"يتجاوز 12 بنداً في الطباعة ⚠","")))))</f>
        <v/>
      </c>
    </row>
    <row r="2609" customFormat="false" ht="15" hidden="false" customHeight="false" outlineLevel="0" collapsed="false">
      <c r="A2609" s="58"/>
      <c r="B2609" s="68" t="str">
        <f aca="false">IF(A2609="","",COUNTIF(A$5:A2609,A2609))</f>
        <v/>
      </c>
      <c r="C2609" s="68" t="str">
        <f aca="false">IF(A2609="","",A2609&amp;"-"&amp;B2609)</f>
        <v/>
      </c>
      <c r="D2609" s="58"/>
      <c r="E2609" s="57"/>
      <c r="F2609" s="69"/>
      <c r="G2609" s="69"/>
      <c r="H2609" s="70" t="str">
        <f aca="false">IF(A2609="","",IFERROR(INDEX(السندات!$C$5:$C$504,MATCH(A2609,السندات!$A$5:$A$504,0)),""))</f>
        <v/>
      </c>
      <c r="I2609" s="71" t="str">
        <f aca="false">IF(A2609="","",IFERROR(INDEX(السندات!$D$5:$D$504,MATCH(A2609,السندات!$A$5:$A$504,0)),""))</f>
        <v/>
      </c>
      <c r="J2609" s="72" t="str">
        <f aca="false">IF(A2609="","",IF(ISNA(MATCH(A2609,السندات!$A$5:$A$504,0)),"رقم سند غير موجود ✘",IF(AND(F2609&lt;&gt;"",G2609&lt;&gt;""),"اكتب مدين أو دائن فقط ✘",IF(AND(N(F2609)=0,N(G2609)=0),"بدون مبلغ ⚠",IF(B2609&gt;12,"يتجاوز 12 بنداً في الطباعة ⚠","")))))</f>
        <v/>
      </c>
    </row>
    <row r="2610" customFormat="false" ht="15" hidden="false" customHeight="false" outlineLevel="0" collapsed="false">
      <c r="A2610" s="58"/>
      <c r="B2610" s="73" t="str">
        <f aca="false">IF(A2610="","",COUNTIF(A$5:A2610,A2610))</f>
        <v/>
      </c>
      <c r="C2610" s="73" t="str">
        <f aca="false">IF(A2610="","",A2610&amp;"-"&amp;B2610)</f>
        <v/>
      </c>
      <c r="D2610" s="58"/>
      <c r="E2610" s="57"/>
      <c r="F2610" s="69"/>
      <c r="G2610" s="69"/>
      <c r="H2610" s="74" t="str">
        <f aca="false">IF(A2610="","",IFERROR(INDEX(السندات!$C$5:$C$504,MATCH(A2610,السندات!$A$5:$A$504,0)),""))</f>
        <v/>
      </c>
      <c r="I2610" s="75" t="str">
        <f aca="false">IF(A2610="","",IFERROR(INDEX(السندات!$D$5:$D$504,MATCH(A2610,السندات!$A$5:$A$504,0)),""))</f>
        <v/>
      </c>
      <c r="J2610" s="76" t="str">
        <f aca="false">IF(A2610="","",IF(ISNA(MATCH(A2610,السندات!$A$5:$A$504,0)),"رقم سند غير موجود ✘",IF(AND(F2610&lt;&gt;"",G2610&lt;&gt;""),"اكتب مدين أو دائن فقط ✘",IF(AND(N(F2610)=0,N(G2610)=0),"بدون مبلغ ⚠",IF(B2610&gt;12,"يتجاوز 12 بنداً في الطباعة ⚠","")))))</f>
        <v/>
      </c>
    </row>
    <row r="2611" customFormat="false" ht="15" hidden="false" customHeight="false" outlineLevel="0" collapsed="false">
      <c r="A2611" s="58"/>
      <c r="B2611" s="68" t="str">
        <f aca="false">IF(A2611="","",COUNTIF(A$5:A2611,A2611))</f>
        <v/>
      </c>
      <c r="C2611" s="68" t="str">
        <f aca="false">IF(A2611="","",A2611&amp;"-"&amp;B2611)</f>
        <v/>
      </c>
      <c r="D2611" s="58"/>
      <c r="E2611" s="57"/>
      <c r="F2611" s="69"/>
      <c r="G2611" s="69"/>
      <c r="H2611" s="70" t="str">
        <f aca="false">IF(A2611="","",IFERROR(INDEX(السندات!$C$5:$C$504,MATCH(A2611,السندات!$A$5:$A$504,0)),""))</f>
        <v/>
      </c>
      <c r="I2611" s="71" t="str">
        <f aca="false">IF(A2611="","",IFERROR(INDEX(السندات!$D$5:$D$504,MATCH(A2611,السندات!$A$5:$A$504,0)),""))</f>
        <v/>
      </c>
      <c r="J2611" s="72" t="str">
        <f aca="false">IF(A2611="","",IF(ISNA(MATCH(A2611,السندات!$A$5:$A$504,0)),"رقم سند غير موجود ✘",IF(AND(F2611&lt;&gt;"",G2611&lt;&gt;""),"اكتب مدين أو دائن فقط ✘",IF(AND(N(F2611)=0,N(G2611)=0),"بدون مبلغ ⚠",IF(B2611&gt;12,"يتجاوز 12 بنداً في الطباعة ⚠","")))))</f>
        <v/>
      </c>
    </row>
    <row r="2612" customFormat="false" ht="15" hidden="false" customHeight="false" outlineLevel="0" collapsed="false">
      <c r="A2612" s="58"/>
      <c r="B2612" s="73" t="str">
        <f aca="false">IF(A2612="","",COUNTIF(A$5:A2612,A2612))</f>
        <v/>
      </c>
      <c r="C2612" s="73" t="str">
        <f aca="false">IF(A2612="","",A2612&amp;"-"&amp;B2612)</f>
        <v/>
      </c>
      <c r="D2612" s="58"/>
      <c r="E2612" s="57"/>
      <c r="F2612" s="69"/>
      <c r="G2612" s="69"/>
      <c r="H2612" s="74" t="str">
        <f aca="false">IF(A2612="","",IFERROR(INDEX(السندات!$C$5:$C$504,MATCH(A2612,السندات!$A$5:$A$504,0)),""))</f>
        <v/>
      </c>
      <c r="I2612" s="75" t="str">
        <f aca="false">IF(A2612="","",IFERROR(INDEX(السندات!$D$5:$D$504,MATCH(A2612,السندات!$A$5:$A$504,0)),""))</f>
        <v/>
      </c>
      <c r="J2612" s="76" t="str">
        <f aca="false">IF(A2612="","",IF(ISNA(MATCH(A2612,السندات!$A$5:$A$504,0)),"رقم سند غير موجود ✘",IF(AND(F2612&lt;&gt;"",G2612&lt;&gt;""),"اكتب مدين أو دائن فقط ✘",IF(AND(N(F2612)=0,N(G2612)=0),"بدون مبلغ ⚠",IF(B2612&gt;12,"يتجاوز 12 بنداً في الطباعة ⚠","")))))</f>
        <v/>
      </c>
    </row>
    <row r="2613" customFormat="false" ht="15" hidden="false" customHeight="false" outlineLevel="0" collapsed="false">
      <c r="A2613" s="58"/>
      <c r="B2613" s="68" t="str">
        <f aca="false">IF(A2613="","",COUNTIF(A$5:A2613,A2613))</f>
        <v/>
      </c>
      <c r="C2613" s="68" t="str">
        <f aca="false">IF(A2613="","",A2613&amp;"-"&amp;B2613)</f>
        <v/>
      </c>
      <c r="D2613" s="58"/>
      <c r="E2613" s="57"/>
      <c r="F2613" s="69"/>
      <c r="G2613" s="69"/>
      <c r="H2613" s="70" t="str">
        <f aca="false">IF(A2613="","",IFERROR(INDEX(السندات!$C$5:$C$504,MATCH(A2613,السندات!$A$5:$A$504,0)),""))</f>
        <v/>
      </c>
      <c r="I2613" s="71" t="str">
        <f aca="false">IF(A2613="","",IFERROR(INDEX(السندات!$D$5:$D$504,MATCH(A2613,السندات!$A$5:$A$504,0)),""))</f>
        <v/>
      </c>
      <c r="J2613" s="72" t="str">
        <f aca="false">IF(A2613="","",IF(ISNA(MATCH(A2613,السندات!$A$5:$A$504,0)),"رقم سند غير موجود ✘",IF(AND(F2613&lt;&gt;"",G2613&lt;&gt;""),"اكتب مدين أو دائن فقط ✘",IF(AND(N(F2613)=0,N(G2613)=0),"بدون مبلغ ⚠",IF(B2613&gt;12,"يتجاوز 12 بنداً في الطباعة ⚠","")))))</f>
        <v/>
      </c>
    </row>
    <row r="2614" customFormat="false" ht="15" hidden="false" customHeight="false" outlineLevel="0" collapsed="false">
      <c r="A2614" s="58"/>
      <c r="B2614" s="73" t="str">
        <f aca="false">IF(A2614="","",COUNTIF(A$5:A2614,A2614))</f>
        <v/>
      </c>
      <c r="C2614" s="73" t="str">
        <f aca="false">IF(A2614="","",A2614&amp;"-"&amp;B2614)</f>
        <v/>
      </c>
      <c r="D2614" s="58"/>
      <c r="E2614" s="57"/>
      <c r="F2614" s="69"/>
      <c r="G2614" s="69"/>
      <c r="H2614" s="74" t="str">
        <f aca="false">IF(A2614="","",IFERROR(INDEX(السندات!$C$5:$C$504,MATCH(A2614,السندات!$A$5:$A$504,0)),""))</f>
        <v/>
      </c>
      <c r="I2614" s="75" t="str">
        <f aca="false">IF(A2614="","",IFERROR(INDEX(السندات!$D$5:$D$504,MATCH(A2614,السندات!$A$5:$A$504,0)),""))</f>
        <v/>
      </c>
      <c r="J2614" s="76" t="str">
        <f aca="false">IF(A2614="","",IF(ISNA(MATCH(A2614,السندات!$A$5:$A$504,0)),"رقم سند غير موجود ✘",IF(AND(F2614&lt;&gt;"",G2614&lt;&gt;""),"اكتب مدين أو دائن فقط ✘",IF(AND(N(F2614)=0,N(G2614)=0),"بدون مبلغ ⚠",IF(B2614&gt;12,"يتجاوز 12 بنداً في الطباعة ⚠","")))))</f>
        <v/>
      </c>
    </row>
    <row r="2615" customFormat="false" ht="15" hidden="false" customHeight="false" outlineLevel="0" collapsed="false">
      <c r="A2615" s="58"/>
      <c r="B2615" s="68" t="str">
        <f aca="false">IF(A2615="","",COUNTIF(A$5:A2615,A2615))</f>
        <v/>
      </c>
      <c r="C2615" s="68" t="str">
        <f aca="false">IF(A2615="","",A2615&amp;"-"&amp;B2615)</f>
        <v/>
      </c>
      <c r="D2615" s="58"/>
      <c r="E2615" s="57"/>
      <c r="F2615" s="69"/>
      <c r="G2615" s="69"/>
      <c r="H2615" s="70" t="str">
        <f aca="false">IF(A2615="","",IFERROR(INDEX(السندات!$C$5:$C$504,MATCH(A2615,السندات!$A$5:$A$504,0)),""))</f>
        <v/>
      </c>
      <c r="I2615" s="71" t="str">
        <f aca="false">IF(A2615="","",IFERROR(INDEX(السندات!$D$5:$D$504,MATCH(A2615,السندات!$A$5:$A$504,0)),""))</f>
        <v/>
      </c>
      <c r="J2615" s="72" t="str">
        <f aca="false">IF(A2615="","",IF(ISNA(MATCH(A2615,السندات!$A$5:$A$504,0)),"رقم سند غير موجود ✘",IF(AND(F2615&lt;&gt;"",G2615&lt;&gt;""),"اكتب مدين أو دائن فقط ✘",IF(AND(N(F2615)=0,N(G2615)=0),"بدون مبلغ ⚠",IF(B2615&gt;12,"يتجاوز 12 بنداً في الطباعة ⚠","")))))</f>
        <v/>
      </c>
    </row>
    <row r="2616" customFormat="false" ht="15" hidden="false" customHeight="false" outlineLevel="0" collapsed="false">
      <c r="A2616" s="58"/>
      <c r="B2616" s="73" t="str">
        <f aca="false">IF(A2616="","",COUNTIF(A$5:A2616,A2616))</f>
        <v/>
      </c>
      <c r="C2616" s="73" t="str">
        <f aca="false">IF(A2616="","",A2616&amp;"-"&amp;B2616)</f>
        <v/>
      </c>
      <c r="D2616" s="58"/>
      <c r="E2616" s="57"/>
      <c r="F2616" s="69"/>
      <c r="G2616" s="69"/>
      <c r="H2616" s="74" t="str">
        <f aca="false">IF(A2616="","",IFERROR(INDEX(السندات!$C$5:$C$504,MATCH(A2616,السندات!$A$5:$A$504,0)),""))</f>
        <v/>
      </c>
      <c r="I2616" s="75" t="str">
        <f aca="false">IF(A2616="","",IFERROR(INDEX(السندات!$D$5:$D$504,MATCH(A2616,السندات!$A$5:$A$504,0)),""))</f>
        <v/>
      </c>
      <c r="J2616" s="76" t="str">
        <f aca="false">IF(A2616="","",IF(ISNA(MATCH(A2616,السندات!$A$5:$A$504,0)),"رقم سند غير موجود ✘",IF(AND(F2616&lt;&gt;"",G2616&lt;&gt;""),"اكتب مدين أو دائن فقط ✘",IF(AND(N(F2616)=0,N(G2616)=0),"بدون مبلغ ⚠",IF(B2616&gt;12,"يتجاوز 12 بنداً في الطباعة ⚠","")))))</f>
        <v/>
      </c>
    </row>
    <row r="2617" customFormat="false" ht="15" hidden="false" customHeight="false" outlineLevel="0" collapsed="false">
      <c r="A2617" s="58"/>
      <c r="B2617" s="68" t="str">
        <f aca="false">IF(A2617="","",COUNTIF(A$5:A2617,A2617))</f>
        <v/>
      </c>
      <c r="C2617" s="68" t="str">
        <f aca="false">IF(A2617="","",A2617&amp;"-"&amp;B2617)</f>
        <v/>
      </c>
      <c r="D2617" s="58"/>
      <c r="E2617" s="57"/>
      <c r="F2617" s="69"/>
      <c r="G2617" s="69"/>
      <c r="H2617" s="70" t="str">
        <f aca="false">IF(A2617="","",IFERROR(INDEX(السندات!$C$5:$C$504,MATCH(A2617,السندات!$A$5:$A$504,0)),""))</f>
        <v/>
      </c>
      <c r="I2617" s="71" t="str">
        <f aca="false">IF(A2617="","",IFERROR(INDEX(السندات!$D$5:$D$504,MATCH(A2617,السندات!$A$5:$A$504,0)),""))</f>
        <v/>
      </c>
      <c r="J2617" s="72" t="str">
        <f aca="false">IF(A2617="","",IF(ISNA(MATCH(A2617,السندات!$A$5:$A$504,0)),"رقم سند غير موجود ✘",IF(AND(F2617&lt;&gt;"",G2617&lt;&gt;""),"اكتب مدين أو دائن فقط ✘",IF(AND(N(F2617)=0,N(G2617)=0),"بدون مبلغ ⚠",IF(B2617&gt;12,"يتجاوز 12 بنداً في الطباعة ⚠","")))))</f>
        <v/>
      </c>
    </row>
    <row r="2618" customFormat="false" ht="15" hidden="false" customHeight="false" outlineLevel="0" collapsed="false">
      <c r="A2618" s="58"/>
      <c r="B2618" s="73" t="str">
        <f aca="false">IF(A2618="","",COUNTIF(A$5:A2618,A2618))</f>
        <v/>
      </c>
      <c r="C2618" s="73" t="str">
        <f aca="false">IF(A2618="","",A2618&amp;"-"&amp;B2618)</f>
        <v/>
      </c>
      <c r="D2618" s="58"/>
      <c r="E2618" s="57"/>
      <c r="F2618" s="69"/>
      <c r="G2618" s="69"/>
      <c r="H2618" s="74" t="str">
        <f aca="false">IF(A2618="","",IFERROR(INDEX(السندات!$C$5:$C$504,MATCH(A2618,السندات!$A$5:$A$504,0)),""))</f>
        <v/>
      </c>
      <c r="I2618" s="75" t="str">
        <f aca="false">IF(A2618="","",IFERROR(INDEX(السندات!$D$5:$D$504,MATCH(A2618,السندات!$A$5:$A$504,0)),""))</f>
        <v/>
      </c>
      <c r="J2618" s="76" t="str">
        <f aca="false">IF(A2618="","",IF(ISNA(MATCH(A2618,السندات!$A$5:$A$504,0)),"رقم سند غير موجود ✘",IF(AND(F2618&lt;&gt;"",G2618&lt;&gt;""),"اكتب مدين أو دائن فقط ✘",IF(AND(N(F2618)=0,N(G2618)=0),"بدون مبلغ ⚠",IF(B2618&gt;12,"يتجاوز 12 بنداً في الطباعة ⚠","")))))</f>
        <v/>
      </c>
    </row>
    <row r="2619" customFormat="false" ht="15" hidden="false" customHeight="false" outlineLevel="0" collapsed="false">
      <c r="A2619" s="58"/>
      <c r="B2619" s="68" t="str">
        <f aca="false">IF(A2619="","",COUNTIF(A$5:A2619,A2619))</f>
        <v/>
      </c>
      <c r="C2619" s="68" t="str">
        <f aca="false">IF(A2619="","",A2619&amp;"-"&amp;B2619)</f>
        <v/>
      </c>
      <c r="D2619" s="58"/>
      <c r="E2619" s="57"/>
      <c r="F2619" s="69"/>
      <c r="G2619" s="69"/>
      <c r="H2619" s="70" t="str">
        <f aca="false">IF(A2619="","",IFERROR(INDEX(السندات!$C$5:$C$504,MATCH(A2619,السندات!$A$5:$A$504,0)),""))</f>
        <v/>
      </c>
      <c r="I2619" s="71" t="str">
        <f aca="false">IF(A2619="","",IFERROR(INDEX(السندات!$D$5:$D$504,MATCH(A2619,السندات!$A$5:$A$504,0)),""))</f>
        <v/>
      </c>
      <c r="J2619" s="72" t="str">
        <f aca="false">IF(A2619="","",IF(ISNA(MATCH(A2619,السندات!$A$5:$A$504,0)),"رقم سند غير موجود ✘",IF(AND(F2619&lt;&gt;"",G2619&lt;&gt;""),"اكتب مدين أو دائن فقط ✘",IF(AND(N(F2619)=0,N(G2619)=0),"بدون مبلغ ⚠",IF(B2619&gt;12,"يتجاوز 12 بنداً في الطباعة ⚠","")))))</f>
        <v/>
      </c>
    </row>
    <row r="2620" customFormat="false" ht="15" hidden="false" customHeight="false" outlineLevel="0" collapsed="false">
      <c r="A2620" s="58"/>
      <c r="B2620" s="73" t="str">
        <f aca="false">IF(A2620="","",COUNTIF(A$5:A2620,A2620))</f>
        <v/>
      </c>
      <c r="C2620" s="73" t="str">
        <f aca="false">IF(A2620="","",A2620&amp;"-"&amp;B2620)</f>
        <v/>
      </c>
      <c r="D2620" s="58"/>
      <c r="E2620" s="57"/>
      <c r="F2620" s="69"/>
      <c r="G2620" s="69"/>
      <c r="H2620" s="74" t="str">
        <f aca="false">IF(A2620="","",IFERROR(INDEX(السندات!$C$5:$C$504,MATCH(A2620,السندات!$A$5:$A$504,0)),""))</f>
        <v/>
      </c>
      <c r="I2620" s="75" t="str">
        <f aca="false">IF(A2620="","",IFERROR(INDEX(السندات!$D$5:$D$504,MATCH(A2620,السندات!$A$5:$A$504,0)),""))</f>
        <v/>
      </c>
      <c r="J2620" s="76" t="str">
        <f aca="false">IF(A2620="","",IF(ISNA(MATCH(A2620,السندات!$A$5:$A$504,0)),"رقم سند غير موجود ✘",IF(AND(F2620&lt;&gt;"",G2620&lt;&gt;""),"اكتب مدين أو دائن فقط ✘",IF(AND(N(F2620)=0,N(G2620)=0),"بدون مبلغ ⚠",IF(B2620&gt;12,"يتجاوز 12 بنداً في الطباعة ⚠","")))))</f>
        <v/>
      </c>
    </row>
    <row r="2621" customFormat="false" ht="15" hidden="false" customHeight="false" outlineLevel="0" collapsed="false">
      <c r="A2621" s="58"/>
      <c r="B2621" s="68" t="str">
        <f aca="false">IF(A2621="","",COUNTIF(A$5:A2621,A2621))</f>
        <v/>
      </c>
      <c r="C2621" s="68" t="str">
        <f aca="false">IF(A2621="","",A2621&amp;"-"&amp;B2621)</f>
        <v/>
      </c>
      <c r="D2621" s="58"/>
      <c r="E2621" s="57"/>
      <c r="F2621" s="69"/>
      <c r="G2621" s="69"/>
      <c r="H2621" s="70" t="str">
        <f aca="false">IF(A2621="","",IFERROR(INDEX(السندات!$C$5:$C$504,MATCH(A2621,السندات!$A$5:$A$504,0)),""))</f>
        <v/>
      </c>
      <c r="I2621" s="71" t="str">
        <f aca="false">IF(A2621="","",IFERROR(INDEX(السندات!$D$5:$D$504,MATCH(A2621,السندات!$A$5:$A$504,0)),""))</f>
        <v/>
      </c>
      <c r="J2621" s="72" t="str">
        <f aca="false">IF(A2621="","",IF(ISNA(MATCH(A2621,السندات!$A$5:$A$504,0)),"رقم سند غير موجود ✘",IF(AND(F2621&lt;&gt;"",G2621&lt;&gt;""),"اكتب مدين أو دائن فقط ✘",IF(AND(N(F2621)=0,N(G2621)=0),"بدون مبلغ ⚠",IF(B2621&gt;12,"يتجاوز 12 بنداً في الطباعة ⚠","")))))</f>
        <v/>
      </c>
    </row>
    <row r="2622" customFormat="false" ht="15" hidden="false" customHeight="false" outlineLevel="0" collapsed="false">
      <c r="A2622" s="58"/>
      <c r="B2622" s="73" t="str">
        <f aca="false">IF(A2622="","",COUNTIF(A$5:A2622,A2622))</f>
        <v/>
      </c>
      <c r="C2622" s="73" t="str">
        <f aca="false">IF(A2622="","",A2622&amp;"-"&amp;B2622)</f>
        <v/>
      </c>
      <c r="D2622" s="58"/>
      <c r="E2622" s="57"/>
      <c r="F2622" s="69"/>
      <c r="G2622" s="69"/>
      <c r="H2622" s="74" t="str">
        <f aca="false">IF(A2622="","",IFERROR(INDEX(السندات!$C$5:$C$504,MATCH(A2622,السندات!$A$5:$A$504,0)),""))</f>
        <v/>
      </c>
      <c r="I2622" s="75" t="str">
        <f aca="false">IF(A2622="","",IFERROR(INDEX(السندات!$D$5:$D$504,MATCH(A2622,السندات!$A$5:$A$504,0)),""))</f>
        <v/>
      </c>
      <c r="J2622" s="76" t="str">
        <f aca="false">IF(A2622="","",IF(ISNA(MATCH(A2622,السندات!$A$5:$A$504,0)),"رقم سند غير موجود ✘",IF(AND(F2622&lt;&gt;"",G2622&lt;&gt;""),"اكتب مدين أو دائن فقط ✘",IF(AND(N(F2622)=0,N(G2622)=0),"بدون مبلغ ⚠",IF(B2622&gt;12,"يتجاوز 12 بنداً في الطباعة ⚠","")))))</f>
        <v/>
      </c>
    </row>
    <row r="2623" customFormat="false" ht="15" hidden="false" customHeight="false" outlineLevel="0" collapsed="false">
      <c r="A2623" s="58"/>
      <c r="B2623" s="68" t="str">
        <f aca="false">IF(A2623="","",COUNTIF(A$5:A2623,A2623))</f>
        <v/>
      </c>
      <c r="C2623" s="68" t="str">
        <f aca="false">IF(A2623="","",A2623&amp;"-"&amp;B2623)</f>
        <v/>
      </c>
      <c r="D2623" s="58"/>
      <c r="E2623" s="57"/>
      <c r="F2623" s="69"/>
      <c r="G2623" s="69"/>
      <c r="H2623" s="70" t="str">
        <f aca="false">IF(A2623="","",IFERROR(INDEX(السندات!$C$5:$C$504,MATCH(A2623,السندات!$A$5:$A$504,0)),""))</f>
        <v/>
      </c>
      <c r="I2623" s="71" t="str">
        <f aca="false">IF(A2623="","",IFERROR(INDEX(السندات!$D$5:$D$504,MATCH(A2623,السندات!$A$5:$A$504,0)),""))</f>
        <v/>
      </c>
      <c r="J2623" s="72" t="str">
        <f aca="false">IF(A2623="","",IF(ISNA(MATCH(A2623,السندات!$A$5:$A$504,0)),"رقم سند غير موجود ✘",IF(AND(F2623&lt;&gt;"",G2623&lt;&gt;""),"اكتب مدين أو دائن فقط ✘",IF(AND(N(F2623)=0,N(G2623)=0),"بدون مبلغ ⚠",IF(B2623&gt;12,"يتجاوز 12 بنداً في الطباعة ⚠","")))))</f>
        <v/>
      </c>
    </row>
    <row r="2624" customFormat="false" ht="15" hidden="false" customHeight="false" outlineLevel="0" collapsed="false">
      <c r="A2624" s="58"/>
      <c r="B2624" s="73" t="str">
        <f aca="false">IF(A2624="","",COUNTIF(A$5:A2624,A2624))</f>
        <v/>
      </c>
      <c r="C2624" s="73" t="str">
        <f aca="false">IF(A2624="","",A2624&amp;"-"&amp;B2624)</f>
        <v/>
      </c>
      <c r="D2624" s="58"/>
      <c r="E2624" s="57"/>
      <c r="F2624" s="69"/>
      <c r="G2624" s="69"/>
      <c r="H2624" s="74" t="str">
        <f aca="false">IF(A2624="","",IFERROR(INDEX(السندات!$C$5:$C$504,MATCH(A2624,السندات!$A$5:$A$504,0)),""))</f>
        <v/>
      </c>
      <c r="I2624" s="75" t="str">
        <f aca="false">IF(A2624="","",IFERROR(INDEX(السندات!$D$5:$D$504,MATCH(A2624,السندات!$A$5:$A$504,0)),""))</f>
        <v/>
      </c>
      <c r="J2624" s="76" t="str">
        <f aca="false">IF(A2624="","",IF(ISNA(MATCH(A2624,السندات!$A$5:$A$504,0)),"رقم سند غير موجود ✘",IF(AND(F2624&lt;&gt;"",G2624&lt;&gt;""),"اكتب مدين أو دائن فقط ✘",IF(AND(N(F2624)=0,N(G2624)=0),"بدون مبلغ ⚠",IF(B2624&gt;12,"يتجاوز 12 بنداً في الطباعة ⚠","")))))</f>
        <v/>
      </c>
    </row>
    <row r="2625" customFormat="false" ht="15" hidden="false" customHeight="false" outlineLevel="0" collapsed="false">
      <c r="A2625" s="58"/>
      <c r="B2625" s="68" t="str">
        <f aca="false">IF(A2625="","",COUNTIF(A$5:A2625,A2625))</f>
        <v/>
      </c>
      <c r="C2625" s="68" t="str">
        <f aca="false">IF(A2625="","",A2625&amp;"-"&amp;B2625)</f>
        <v/>
      </c>
      <c r="D2625" s="58"/>
      <c r="E2625" s="57"/>
      <c r="F2625" s="69"/>
      <c r="G2625" s="69"/>
      <c r="H2625" s="70" t="str">
        <f aca="false">IF(A2625="","",IFERROR(INDEX(السندات!$C$5:$C$504,MATCH(A2625,السندات!$A$5:$A$504,0)),""))</f>
        <v/>
      </c>
      <c r="I2625" s="71" t="str">
        <f aca="false">IF(A2625="","",IFERROR(INDEX(السندات!$D$5:$D$504,MATCH(A2625,السندات!$A$5:$A$504,0)),""))</f>
        <v/>
      </c>
      <c r="J2625" s="72" t="str">
        <f aca="false">IF(A2625="","",IF(ISNA(MATCH(A2625,السندات!$A$5:$A$504,0)),"رقم سند غير موجود ✘",IF(AND(F2625&lt;&gt;"",G2625&lt;&gt;""),"اكتب مدين أو دائن فقط ✘",IF(AND(N(F2625)=0,N(G2625)=0),"بدون مبلغ ⚠",IF(B2625&gt;12,"يتجاوز 12 بنداً في الطباعة ⚠","")))))</f>
        <v/>
      </c>
    </row>
    <row r="2626" customFormat="false" ht="15" hidden="false" customHeight="false" outlineLevel="0" collapsed="false">
      <c r="A2626" s="58"/>
      <c r="B2626" s="73" t="str">
        <f aca="false">IF(A2626="","",COUNTIF(A$5:A2626,A2626))</f>
        <v/>
      </c>
      <c r="C2626" s="73" t="str">
        <f aca="false">IF(A2626="","",A2626&amp;"-"&amp;B2626)</f>
        <v/>
      </c>
      <c r="D2626" s="58"/>
      <c r="E2626" s="57"/>
      <c r="F2626" s="69"/>
      <c r="G2626" s="69"/>
      <c r="H2626" s="74" t="str">
        <f aca="false">IF(A2626="","",IFERROR(INDEX(السندات!$C$5:$C$504,MATCH(A2626,السندات!$A$5:$A$504,0)),""))</f>
        <v/>
      </c>
      <c r="I2626" s="75" t="str">
        <f aca="false">IF(A2626="","",IFERROR(INDEX(السندات!$D$5:$D$504,MATCH(A2626,السندات!$A$5:$A$504,0)),""))</f>
        <v/>
      </c>
      <c r="J2626" s="76" t="str">
        <f aca="false">IF(A2626="","",IF(ISNA(MATCH(A2626,السندات!$A$5:$A$504,0)),"رقم سند غير موجود ✘",IF(AND(F2626&lt;&gt;"",G2626&lt;&gt;""),"اكتب مدين أو دائن فقط ✘",IF(AND(N(F2626)=0,N(G2626)=0),"بدون مبلغ ⚠",IF(B2626&gt;12,"يتجاوز 12 بنداً في الطباعة ⚠","")))))</f>
        <v/>
      </c>
    </row>
    <row r="2627" customFormat="false" ht="15" hidden="false" customHeight="false" outlineLevel="0" collapsed="false">
      <c r="A2627" s="58"/>
      <c r="B2627" s="68" t="str">
        <f aca="false">IF(A2627="","",COUNTIF(A$5:A2627,A2627))</f>
        <v/>
      </c>
      <c r="C2627" s="68" t="str">
        <f aca="false">IF(A2627="","",A2627&amp;"-"&amp;B2627)</f>
        <v/>
      </c>
      <c r="D2627" s="58"/>
      <c r="E2627" s="57"/>
      <c r="F2627" s="69"/>
      <c r="G2627" s="69"/>
      <c r="H2627" s="70" t="str">
        <f aca="false">IF(A2627="","",IFERROR(INDEX(السندات!$C$5:$C$504,MATCH(A2627,السندات!$A$5:$A$504,0)),""))</f>
        <v/>
      </c>
      <c r="I2627" s="71" t="str">
        <f aca="false">IF(A2627="","",IFERROR(INDEX(السندات!$D$5:$D$504,MATCH(A2627,السندات!$A$5:$A$504,0)),""))</f>
        <v/>
      </c>
      <c r="J2627" s="72" t="str">
        <f aca="false">IF(A2627="","",IF(ISNA(MATCH(A2627,السندات!$A$5:$A$504,0)),"رقم سند غير موجود ✘",IF(AND(F2627&lt;&gt;"",G2627&lt;&gt;""),"اكتب مدين أو دائن فقط ✘",IF(AND(N(F2627)=0,N(G2627)=0),"بدون مبلغ ⚠",IF(B2627&gt;12,"يتجاوز 12 بنداً في الطباعة ⚠","")))))</f>
        <v/>
      </c>
    </row>
    <row r="2628" customFormat="false" ht="15" hidden="false" customHeight="false" outlineLevel="0" collapsed="false">
      <c r="A2628" s="58"/>
      <c r="B2628" s="73" t="str">
        <f aca="false">IF(A2628="","",COUNTIF(A$5:A2628,A2628))</f>
        <v/>
      </c>
      <c r="C2628" s="73" t="str">
        <f aca="false">IF(A2628="","",A2628&amp;"-"&amp;B2628)</f>
        <v/>
      </c>
      <c r="D2628" s="58"/>
      <c r="E2628" s="57"/>
      <c r="F2628" s="69"/>
      <c r="G2628" s="69"/>
      <c r="H2628" s="74" t="str">
        <f aca="false">IF(A2628="","",IFERROR(INDEX(السندات!$C$5:$C$504,MATCH(A2628,السندات!$A$5:$A$504,0)),""))</f>
        <v/>
      </c>
      <c r="I2628" s="75" t="str">
        <f aca="false">IF(A2628="","",IFERROR(INDEX(السندات!$D$5:$D$504,MATCH(A2628,السندات!$A$5:$A$504,0)),""))</f>
        <v/>
      </c>
      <c r="J2628" s="76" t="str">
        <f aca="false">IF(A2628="","",IF(ISNA(MATCH(A2628,السندات!$A$5:$A$504,0)),"رقم سند غير موجود ✘",IF(AND(F2628&lt;&gt;"",G2628&lt;&gt;""),"اكتب مدين أو دائن فقط ✘",IF(AND(N(F2628)=0,N(G2628)=0),"بدون مبلغ ⚠",IF(B2628&gt;12,"يتجاوز 12 بنداً في الطباعة ⚠","")))))</f>
        <v/>
      </c>
    </row>
    <row r="2629" customFormat="false" ht="15" hidden="false" customHeight="false" outlineLevel="0" collapsed="false">
      <c r="A2629" s="58"/>
      <c r="B2629" s="68" t="str">
        <f aca="false">IF(A2629="","",COUNTIF(A$5:A2629,A2629))</f>
        <v/>
      </c>
      <c r="C2629" s="68" t="str">
        <f aca="false">IF(A2629="","",A2629&amp;"-"&amp;B2629)</f>
        <v/>
      </c>
      <c r="D2629" s="58"/>
      <c r="E2629" s="57"/>
      <c r="F2629" s="69"/>
      <c r="G2629" s="69"/>
      <c r="H2629" s="70" t="str">
        <f aca="false">IF(A2629="","",IFERROR(INDEX(السندات!$C$5:$C$504,MATCH(A2629,السندات!$A$5:$A$504,0)),""))</f>
        <v/>
      </c>
      <c r="I2629" s="71" t="str">
        <f aca="false">IF(A2629="","",IFERROR(INDEX(السندات!$D$5:$D$504,MATCH(A2629,السندات!$A$5:$A$504,0)),""))</f>
        <v/>
      </c>
      <c r="J2629" s="72" t="str">
        <f aca="false">IF(A2629="","",IF(ISNA(MATCH(A2629,السندات!$A$5:$A$504,0)),"رقم سند غير موجود ✘",IF(AND(F2629&lt;&gt;"",G2629&lt;&gt;""),"اكتب مدين أو دائن فقط ✘",IF(AND(N(F2629)=0,N(G2629)=0),"بدون مبلغ ⚠",IF(B2629&gt;12,"يتجاوز 12 بنداً في الطباعة ⚠","")))))</f>
        <v/>
      </c>
    </row>
    <row r="2630" customFormat="false" ht="15" hidden="false" customHeight="false" outlineLevel="0" collapsed="false">
      <c r="A2630" s="58"/>
      <c r="B2630" s="73" t="str">
        <f aca="false">IF(A2630="","",COUNTIF(A$5:A2630,A2630))</f>
        <v/>
      </c>
      <c r="C2630" s="73" t="str">
        <f aca="false">IF(A2630="","",A2630&amp;"-"&amp;B2630)</f>
        <v/>
      </c>
      <c r="D2630" s="58"/>
      <c r="E2630" s="57"/>
      <c r="F2630" s="69"/>
      <c r="G2630" s="69"/>
      <c r="H2630" s="74" t="str">
        <f aca="false">IF(A2630="","",IFERROR(INDEX(السندات!$C$5:$C$504,MATCH(A2630,السندات!$A$5:$A$504,0)),""))</f>
        <v/>
      </c>
      <c r="I2630" s="75" t="str">
        <f aca="false">IF(A2630="","",IFERROR(INDEX(السندات!$D$5:$D$504,MATCH(A2630,السندات!$A$5:$A$504,0)),""))</f>
        <v/>
      </c>
      <c r="J2630" s="76" t="str">
        <f aca="false">IF(A2630="","",IF(ISNA(MATCH(A2630,السندات!$A$5:$A$504,0)),"رقم سند غير موجود ✘",IF(AND(F2630&lt;&gt;"",G2630&lt;&gt;""),"اكتب مدين أو دائن فقط ✘",IF(AND(N(F2630)=0,N(G2630)=0),"بدون مبلغ ⚠",IF(B2630&gt;12,"يتجاوز 12 بنداً في الطباعة ⚠","")))))</f>
        <v/>
      </c>
    </row>
    <row r="2631" customFormat="false" ht="15" hidden="false" customHeight="false" outlineLevel="0" collapsed="false">
      <c r="A2631" s="58"/>
      <c r="B2631" s="68" t="str">
        <f aca="false">IF(A2631="","",COUNTIF(A$5:A2631,A2631))</f>
        <v/>
      </c>
      <c r="C2631" s="68" t="str">
        <f aca="false">IF(A2631="","",A2631&amp;"-"&amp;B2631)</f>
        <v/>
      </c>
      <c r="D2631" s="58"/>
      <c r="E2631" s="57"/>
      <c r="F2631" s="69"/>
      <c r="G2631" s="69"/>
      <c r="H2631" s="70" t="str">
        <f aca="false">IF(A2631="","",IFERROR(INDEX(السندات!$C$5:$C$504,MATCH(A2631,السندات!$A$5:$A$504,0)),""))</f>
        <v/>
      </c>
      <c r="I2631" s="71" t="str">
        <f aca="false">IF(A2631="","",IFERROR(INDEX(السندات!$D$5:$D$504,MATCH(A2631,السندات!$A$5:$A$504,0)),""))</f>
        <v/>
      </c>
      <c r="J2631" s="72" t="str">
        <f aca="false">IF(A2631="","",IF(ISNA(MATCH(A2631,السندات!$A$5:$A$504,0)),"رقم سند غير موجود ✘",IF(AND(F2631&lt;&gt;"",G2631&lt;&gt;""),"اكتب مدين أو دائن فقط ✘",IF(AND(N(F2631)=0,N(G2631)=0),"بدون مبلغ ⚠",IF(B2631&gt;12,"يتجاوز 12 بنداً في الطباعة ⚠","")))))</f>
        <v/>
      </c>
    </row>
    <row r="2632" customFormat="false" ht="15" hidden="false" customHeight="false" outlineLevel="0" collapsed="false">
      <c r="A2632" s="58"/>
      <c r="B2632" s="73" t="str">
        <f aca="false">IF(A2632="","",COUNTIF(A$5:A2632,A2632))</f>
        <v/>
      </c>
      <c r="C2632" s="73" t="str">
        <f aca="false">IF(A2632="","",A2632&amp;"-"&amp;B2632)</f>
        <v/>
      </c>
      <c r="D2632" s="58"/>
      <c r="E2632" s="57"/>
      <c r="F2632" s="69"/>
      <c r="G2632" s="69"/>
      <c r="H2632" s="74" t="str">
        <f aca="false">IF(A2632="","",IFERROR(INDEX(السندات!$C$5:$C$504,MATCH(A2632,السندات!$A$5:$A$504,0)),""))</f>
        <v/>
      </c>
      <c r="I2632" s="75" t="str">
        <f aca="false">IF(A2632="","",IFERROR(INDEX(السندات!$D$5:$D$504,MATCH(A2632,السندات!$A$5:$A$504,0)),""))</f>
        <v/>
      </c>
      <c r="J2632" s="76" t="str">
        <f aca="false">IF(A2632="","",IF(ISNA(MATCH(A2632,السندات!$A$5:$A$504,0)),"رقم سند غير موجود ✘",IF(AND(F2632&lt;&gt;"",G2632&lt;&gt;""),"اكتب مدين أو دائن فقط ✘",IF(AND(N(F2632)=0,N(G2632)=0),"بدون مبلغ ⚠",IF(B2632&gt;12,"يتجاوز 12 بنداً في الطباعة ⚠","")))))</f>
        <v/>
      </c>
    </row>
    <row r="2633" customFormat="false" ht="15" hidden="false" customHeight="false" outlineLevel="0" collapsed="false">
      <c r="A2633" s="58"/>
      <c r="B2633" s="68" t="str">
        <f aca="false">IF(A2633="","",COUNTIF(A$5:A2633,A2633))</f>
        <v/>
      </c>
      <c r="C2633" s="68" t="str">
        <f aca="false">IF(A2633="","",A2633&amp;"-"&amp;B2633)</f>
        <v/>
      </c>
      <c r="D2633" s="58"/>
      <c r="E2633" s="57"/>
      <c r="F2633" s="69"/>
      <c r="G2633" s="69"/>
      <c r="H2633" s="70" t="str">
        <f aca="false">IF(A2633="","",IFERROR(INDEX(السندات!$C$5:$C$504,MATCH(A2633,السندات!$A$5:$A$504,0)),""))</f>
        <v/>
      </c>
      <c r="I2633" s="71" t="str">
        <f aca="false">IF(A2633="","",IFERROR(INDEX(السندات!$D$5:$D$504,MATCH(A2633,السندات!$A$5:$A$504,0)),""))</f>
        <v/>
      </c>
      <c r="J2633" s="72" t="str">
        <f aca="false">IF(A2633="","",IF(ISNA(MATCH(A2633,السندات!$A$5:$A$504,0)),"رقم سند غير موجود ✘",IF(AND(F2633&lt;&gt;"",G2633&lt;&gt;""),"اكتب مدين أو دائن فقط ✘",IF(AND(N(F2633)=0,N(G2633)=0),"بدون مبلغ ⚠",IF(B2633&gt;12,"يتجاوز 12 بنداً في الطباعة ⚠","")))))</f>
        <v/>
      </c>
    </row>
    <row r="2634" customFormat="false" ht="15" hidden="false" customHeight="false" outlineLevel="0" collapsed="false">
      <c r="A2634" s="58"/>
      <c r="B2634" s="73" t="str">
        <f aca="false">IF(A2634="","",COUNTIF(A$5:A2634,A2634))</f>
        <v/>
      </c>
      <c r="C2634" s="73" t="str">
        <f aca="false">IF(A2634="","",A2634&amp;"-"&amp;B2634)</f>
        <v/>
      </c>
      <c r="D2634" s="58"/>
      <c r="E2634" s="57"/>
      <c r="F2634" s="69"/>
      <c r="G2634" s="69"/>
      <c r="H2634" s="74" t="str">
        <f aca="false">IF(A2634="","",IFERROR(INDEX(السندات!$C$5:$C$504,MATCH(A2634,السندات!$A$5:$A$504,0)),""))</f>
        <v/>
      </c>
      <c r="I2634" s="75" t="str">
        <f aca="false">IF(A2634="","",IFERROR(INDEX(السندات!$D$5:$D$504,MATCH(A2634,السندات!$A$5:$A$504,0)),""))</f>
        <v/>
      </c>
      <c r="J2634" s="76" t="str">
        <f aca="false">IF(A2634="","",IF(ISNA(MATCH(A2634,السندات!$A$5:$A$504,0)),"رقم سند غير موجود ✘",IF(AND(F2634&lt;&gt;"",G2634&lt;&gt;""),"اكتب مدين أو دائن فقط ✘",IF(AND(N(F2634)=0,N(G2634)=0),"بدون مبلغ ⚠",IF(B2634&gt;12,"يتجاوز 12 بنداً في الطباعة ⚠","")))))</f>
        <v/>
      </c>
    </row>
    <row r="2635" customFormat="false" ht="15" hidden="false" customHeight="false" outlineLevel="0" collapsed="false">
      <c r="A2635" s="58"/>
      <c r="B2635" s="68" t="str">
        <f aca="false">IF(A2635="","",COUNTIF(A$5:A2635,A2635))</f>
        <v/>
      </c>
      <c r="C2635" s="68" t="str">
        <f aca="false">IF(A2635="","",A2635&amp;"-"&amp;B2635)</f>
        <v/>
      </c>
      <c r="D2635" s="58"/>
      <c r="E2635" s="57"/>
      <c r="F2635" s="69"/>
      <c r="G2635" s="69"/>
      <c r="H2635" s="70" t="str">
        <f aca="false">IF(A2635="","",IFERROR(INDEX(السندات!$C$5:$C$504,MATCH(A2635,السندات!$A$5:$A$504,0)),""))</f>
        <v/>
      </c>
      <c r="I2635" s="71" t="str">
        <f aca="false">IF(A2635="","",IFERROR(INDEX(السندات!$D$5:$D$504,MATCH(A2635,السندات!$A$5:$A$504,0)),""))</f>
        <v/>
      </c>
      <c r="J2635" s="72" t="str">
        <f aca="false">IF(A2635="","",IF(ISNA(MATCH(A2635,السندات!$A$5:$A$504,0)),"رقم سند غير موجود ✘",IF(AND(F2635&lt;&gt;"",G2635&lt;&gt;""),"اكتب مدين أو دائن فقط ✘",IF(AND(N(F2635)=0,N(G2635)=0),"بدون مبلغ ⚠",IF(B2635&gt;12,"يتجاوز 12 بنداً في الطباعة ⚠","")))))</f>
        <v/>
      </c>
    </row>
    <row r="2636" customFormat="false" ht="15" hidden="false" customHeight="false" outlineLevel="0" collapsed="false">
      <c r="A2636" s="58"/>
      <c r="B2636" s="73" t="str">
        <f aca="false">IF(A2636="","",COUNTIF(A$5:A2636,A2636))</f>
        <v/>
      </c>
      <c r="C2636" s="73" t="str">
        <f aca="false">IF(A2636="","",A2636&amp;"-"&amp;B2636)</f>
        <v/>
      </c>
      <c r="D2636" s="58"/>
      <c r="E2636" s="57"/>
      <c r="F2636" s="69"/>
      <c r="G2636" s="69"/>
      <c r="H2636" s="74" t="str">
        <f aca="false">IF(A2636="","",IFERROR(INDEX(السندات!$C$5:$C$504,MATCH(A2636,السندات!$A$5:$A$504,0)),""))</f>
        <v/>
      </c>
      <c r="I2636" s="75" t="str">
        <f aca="false">IF(A2636="","",IFERROR(INDEX(السندات!$D$5:$D$504,MATCH(A2636,السندات!$A$5:$A$504,0)),""))</f>
        <v/>
      </c>
      <c r="J2636" s="76" t="str">
        <f aca="false">IF(A2636="","",IF(ISNA(MATCH(A2636,السندات!$A$5:$A$504,0)),"رقم سند غير موجود ✘",IF(AND(F2636&lt;&gt;"",G2636&lt;&gt;""),"اكتب مدين أو دائن فقط ✘",IF(AND(N(F2636)=0,N(G2636)=0),"بدون مبلغ ⚠",IF(B2636&gt;12,"يتجاوز 12 بنداً في الطباعة ⚠","")))))</f>
        <v/>
      </c>
    </row>
    <row r="2637" customFormat="false" ht="15" hidden="false" customHeight="false" outlineLevel="0" collapsed="false">
      <c r="A2637" s="58"/>
      <c r="B2637" s="68" t="str">
        <f aca="false">IF(A2637="","",COUNTIF(A$5:A2637,A2637))</f>
        <v/>
      </c>
      <c r="C2637" s="68" t="str">
        <f aca="false">IF(A2637="","",A2637&amp;"-"&amp;B2637)</f>
        <v/>
      </c>
      <c r="D2637" s="58"/>
      <c r="E2637" s="57"/>
      <c r="F2637" s="69"/>
      <c r="G2637" s="69"/>
      <c r="H2637" s="70" t="str">
        <f aca="false">IF(A2637="","",IFERROR(INDEX(السندات!$C$5:$C$504,MATCH(A2637,السندات!$A$5:$A$504,0)),""))</f>
        <v/>
      </c>
      <c r="I2637" s="71" t="str">
        <f aca="false">IF(A2637="","",IFERROR(INDEX(السندات!$D$5:$D$504,MATCH(A2637,السندات!$A$5:$A$504,0)),""))</f>
        <v/>
      </c>
      <c r="J2637" s="72" t="str">
        <f aca="false">IF(A2637="","",IF(ISNA(MATCH(A2637,السندات!$A$5:$A$504,0)),"رقم سند غير موجود ✘",IF(AND(F2637&lt;&gt;"",G2637&lt;&gt;""),"اكتب مدين أو دائن فقط ✘",IF(AND(N(F2637)=0,N(G2637)=0),"بدون مبلغ ⚠",IF(B2637&gt;12,"يتجاوز 12 بنداً في الطباعة ⚠","")))))</f>
        <v/>
      </c>
    </row>
    <row r="2638" customFormat="false" ht="15" hidden="false" customHeight="false" outlineLevel="0" collapsed="false">
      <c r="A2638" s="58"/>
      <c r="B2638" s="73" t="str">
        <f aca="false">IF(A2638="","",COUNTIF(A$5:A2638,A2638))</f>
        <v/>
      </c>
      <c r="C2638" s="73" t="str">
        <f aca="false">IF(A2638="","",A2638&amp;"-"&amp;B2638)</f>
        <v/>
      </c>
      <c r="D2638" s="58"/>
      <c r="E2638" s="57"/>
      <c r="F2638" s="69"/>
      <c r="G2638" s="69"/>
      <c r="H2638" s="74" t="str">
        <f aca="false">IF(A2638="","",IFERROR(INDEX(السندات!$C$5:$C$504,MATCH(A2638,السندات!$A$5:$A$504,0)),""))</f>
        <v/>
      </c>
      <c r="I2638" s="75" t="str">
        <f aca="false">IF(A2638="","",IFERROR(INDEX(السندات!$D$5:$D$504,MATCH(A2638,السندات!$A$5:$A$504,0)),""))</f>
        <v/>
      </c>
      <c r="J2638" s="76" t="str">
        <f aca="false">IF(A2638="","",IF(ISNA(MATCH(A2638,السندات!$A$5:$A$504,0)),"رقم سند غير موجود ✘",IF(AND(F2638&lt;&gt;"",G2638&lt;&gt;""),"اكتب مدين أو دائن فقط ✘",IF(AND(N(F2638)=0,N(G2638)=0),"بدون مبلغ ⚠",IF(B2638&gt;12,"يتجاوز 12 بنداً في الطباعة ⚠","")))))</f>
        <v/>
      </c>
    </row>
    <row r="2639" customFormat="false" ht="15" hidden="false" customHeight="false" outlineLevel="0" collapsed="false">
      <c r="A2639" s="58"/>
      <c r="B2639" s="68" t="str">
        <f aca="false">IF(A2639="","",COUNTIF(A$5:A2639,A2639))</f>
        <v/>
      </c>
      <c r="C2639" s="68" t="str">
        <f aca="false">IF(A2639="","",A2639&amp;"-"&amp;B2639)</f>
        <v/>
      </c>
      <c r="D2639" s="58"/>
      <c r="E2639" s="57"/>
      <c r="F2639" s="69"/>
      <c r="G2639" s="69"/>
      <c r="H2639" s="70" t="str">
        <f aca="false">IF(A2639="","",IFERROR(INDEX(السندات!$C$5:$C$504,MATCH(A2639,السندات!$A$5:$A$504,0)),""))</f>
        <v/>
      </c>
      <c r="I2639" s="71" t="str">
        <f aca="false">IF(A2639="","",IFERROR(INDEX(السندات!$D$5:$D$504,MATCH(A2639,السندات!$A$5:$A$504,0)),""))</f>
        <v/>
      </c>
      <c r="J2639" s="72" t="str">
        <f aca="false">IF(A2639="","",IF(ISNA(MATCH(A2639,السندات!$A$5:$A$504,0)),"رقم سند غير موجود ✘",IF(AND(F2639&lt;&gt;"",G2639&lt;&gt;""),"اكتب مدين أو دائن فقط ✘",IF(AND(N(F2639)=0,N(G2639)=0),"بدون مبلغ ⚠",IF(B2639&gt;12,"يتجاوز 12 بنداً في الطباعة ⚠","")))))</f>
        <v/>
      </c>
    </row>
    <row r="2640" customFormat="false" ht="15" hidden="false" customHeight="false" outlineLevel="0" collapsed="false">
      <c r="A2640" s="58"/>
      <c r="B2640" s="73" t="str">
        <f aca="false">IF(A2640="","",COUNTIF(A$5:A2640,A2640))</f>
        <v/>
      </c>
      <c r="C2640" s="73" t="str">
        <f aca="false">IF(A2640="","",A2640&amp;"-"&amp;B2640)</f>
        <v/>
      </c>
      <c r="D2640" s="58"/>
      <c r="E2640" s="57"/>
      <c r="F2640" s="69"/>
      <c r="G2640" s="69"/>
      <c r="H2640" s="74" t="str">
        <f aca="false">IF(A2640="","",IFERROR(INDEX(السندات!$C$5:$C$504,MATCH(A2640,السندات!$A$5:$A$504,0)),""))</f>
        <v/>
      </c>
      <c r="I2640" s="75" t="str">
        <f aca="false">IF(A2640="","",IFERROR(INDEX(السندات!$D$5:$D$504,MATCH(A2640,السندات!$A$5:$A$504,0)),""))</f>
        <v/>
      </c>
      <c r="J2640" s="76" t="str">
        <f aca="false">IF(A2640="","",IF(ISNA(MATCH(A2640,السندات!$A$5:$A$504,0)),"رقم سند غير موجود ✘",IF(AND(F2640&lt;&gt;"",G2640&lt;&gt;""),"اكتب مدين أو دائن فقط ✘",IF(AND(N(F2640)=0,N(G2640)=0),"بدون مبلغ ⚠",IF(B2640&gt;12,"يتجاوز 12 بنداً في الطباعة ⚠","")))))</f>
        <v/>
      </c>
    </row>
    <row r="2641" customFormat="false" ht="15" hidden="false" customHeight="false" outlineLevel="0" collapsed="false">
      <c r="A2641" s="58"/>
      <c r="B2641" s="68" t="str">
        <f aca="false">IF(A2641="","",COUNTIF(A$5:A2641,A2641))</f>
        <v/>
      </c>
      <c r="C2641" s="68" t="str">
        <f aca="false">IF(A2641="","",A2641&amp;"-"&amp;B2641)</f>
        <v/>
      </c>
      <c r="D2641" s="58"/>
      <c r="E2641" s="57"/>
      <c r="F2641" s="69"/>
      <c r="G2641" s="69"/>
      <c r="H2641" s="70" t="str">
        <f aca="false">IF(A2641="","",IFERROR(INDEX(السندات!$C$5:$C$504,MATCH(A2641,السندات!$A$5:$A$504,0)),""))</f>
        <v/>
      </c>
      <c r="I2641" s="71" t="str">
        <f aca="false">IF(A2641="","",IFERROR(INDEX(السندات!$D$5:$D$504,MATCH(A2641,السندات!$A$5:$A$504,0)),""))</f>
        <v/>
      </c>
      <c r="J2641" s="72" t="str">
        <f aca="false">IF(A2641="","",IF(ISNA(MATCH(A2641,السندات!$A$5:$A$504,0)),"رقم سند غير موجود ✘",IF(AND(F2641&lt;&gt;"",G2641&lt;&gt;""),"اكتب مدين أو دائن فقط ✘",IF(AND(N(F2641)=0,N(G2641)=0),"بدون مبلغ ⚠",IF(B2641&gt;12,"يتجاوز 12 بنداً في الطباعة ⚠","")))))</f>
        <v/>
      </c>
    </row>
    <row r="2642" customFormat="false" ht="15" hidden="false" customHeight="false" outlineLevel="0" collapsed="false">
      <c r="A2642" s="58"/>
      <c r="B2642" s="73" t="str">
        <f aca="false">IF(A2642="","",COUNTIF(A$5:A2642,A2642))</f>
        <v/>
      </c>
      <c r="C2642" s="73" t="str">
        <f aca="false">IF(A2642="","",A2642&amp;"-"&amp;B2642)</f>
        <v/>
      </c>
      <c r="D2642" s="58"/>
      <c r="E2642" s="57"/>
      <c r="F2642" s="69"/>
      <c r="G2642" s="69"/>
      <c r="H2642" s="74" t="str">
        <f aca="false">IF(A2642="","",IFERROR(INDEX(السندات!$C$5:$C$504,MATCH(A2642,السندات!$A$5:$A$504,0)),""))</f>
        <v/>
      </c>
      <c r="I2642" s="75" t="str">
        <f aca="false">IF(A2642="","",IFERROR(INDEX(السندات!$D$5:$D$504,MATCH(A2642,السندات!$A$5:$A$504,0)),""))</f>
        <v/>
      </c>
      <c r="J2642" s="76" t="str">
        <f aca="false">IF(A2642="","",IF(ISNA(MATCH(A2642,السندات!$A$5:$A$504,0)),"رقم سند غير موجود ✘",IF(AND(F2642&lt;&gt;"",G2642&lt;&gt;""),"اكتب مدين أو دائن فقط ✘",IF(AND(N(F2642)=0,N(G2642)=0),"بدون مبلغ ⚠",IF(B2642&gt;12,"يتجاوز 12 بنداً في الطباعة ⚠","")))))</f>
        <v/>
      </c>
    </row>
    <row r="2643" customFormat="false" ht="15" hidden="false" customHeight="false" outlineLevel="0" collapsed="false">
      <c r="A2643" s="58"/>
      <c r="B2643" s="68" t="str">
        <f aca="false">IF(A2643="","",COUNTIF(A$5:A2643,A2643))</f>
        <v/>
      </c>
      <c r="C2643" s="68" t="str">
        <f aca="false">IF(A2643="","",A2643&amp;"-"&amp;B2643)</f>
        <v/>
      </c>
      <c r="D2643" s="58"/>
      <c r="E2643" s="57"/>
      <c r="F2643" s="69"/>
      <c r="G2643" s="69"/>
      <c r="H2643" s="70" t="str">
        <f aca="false">IF(A2643="","",IFERROR(INDEX(السندات!$C$5:$C$504,MATCH(A2643,السندات!$A$5:$A$504,0)),""))</f>
        <v/>
      </c>
      <c r="I2643" s="71" t="str">
        <f aca="false">IF(A2643="","",IFERROR(INDEX(السندات!$D$5:$D$504,MATCH(A2643,السندات!$A$5:$A$504,0)),""))</f>
        <v/>
      </c>
      <c r="J2643" s="72" t="str">
        <f aca="false">IF(A2643="","",IF(ISNA(MATCH(A2643,السندات!$A$5:$A$504,0)),"رقم سند غير موجود ✘",IF(AND(F2643&lt;&gt;"",G2643&lt;&gt;""),"اكتب مدين أو دائن فقط ✘",IF(AND(N(F2643)=0,N(G2643)=0),"بدون مبلغ ⚠",IF(B2643&gt;12,"يتجاوز 12 بنداً في الطباعة ⚠","")))))</f>
        <v/>
      </c>
    </row>
    <row r="2644" customFormat="false" ht="15" hidden="false" customHeight="false" outlineLevel="0" collapsed="false">
      <c r="A2644" s="58"/>
      <c r="B2644" s="73" t="str">
        <f aca="false">IF(A2644="","",COUNTIF(A$5:A2644,A2644))</f>
        <v/>
      </c>
      <c r="C2644" s="73" t="str">
        <f aca="false">IF(A2644="","",A2644&amp;"-"&amp;B2644)</f>
        <v/>
      </c>
      <c r="D2644" s="58"/>
      <c r="E2644" s="57"/>
      <c r="F2644" s="69"/>
      <c r="G2644" s="69"/>
      <c r="H2644" s="74" t="str">
        <f aca="false">IF(A2644="","",IFERROR(INDEX(السندات!$C$5:$C$504,MATCH(A2644,السندات!$A$5:$A$504,0)),""))</f>
        <v/>
      </c>
      <c r="I2644" s="75" t="str">
        <f aca="false">IF(A2644="","",IFERROR(INDEX(السندات!$D$5:$D$504,MATCH(A2644,السندات!$A$5:$A$504,0)),""))</f>
        <v/>
      </c>
      <c r="J2644" s="76" t="str">
        <f aca="false">IF(A2644="","",IF(ISNA(MATCH(A2644,السندات!$A$5:$A$504,0)),"رقم سند غير موجود ✘",IF(AND(F2644&lt;&gt;"",G2644&lt;&gt;""),"اكتب مدين أو دائن فقط ✘",IF(AND(N(F2644)=0,N(G2644)=0),"بدون مبلغ ⚠",IF(B2644&gt;12,"يتجاوز 12 بنداً في الطباعة ⚠","")))))</f>
        <v/>
      </c>
    </row>
    <row r="2645" customFormat="false" ht="15" hidden="false" customHeight="false" outlineLevel="0" collapsed="false">
      <c r="A2645" s="58"/>
      <c r="B2645" s="68" t="str">
        <f aca="false">IF(A2645="","",COUNTIF(A$5:A2645,A2645))</f>
        <v/>
      </c>
      <c r="C2645" s="68" t="str">
        <f aca="false">IF(A2645="","",A2645&amp;"-"&amp;B2645)</f>
        <v/>
      </c>
      <c r="D2645" s="58"/>
      <c r="E2645" s="57"/>
      <c r="F2645" s="69"/>
      <c r="G2645" s="69"/>
      <c r="H2645" s="70" t="str">
        <f aca="false">IF(A2645="","",IFERROR(INDEX(السندات!$C$5:$C$504,MATCH(A2645,السندات!$A$5:$A$504,0)),""))</f>
        <v/>
      </c>
      <c r="I2645" s="71" t="str">
        <f aca="false">IF(A2645="","",IFERROR(INDEX(السندات!$D$5:$D$504,MATCH(A2645,السندات!$A$5:$A$504,0)),""))</f>
        <v/>
      </c>
      <c r="J2645" s="72" t="str">
        <f aca="false">IF(A2645="","",IF(ISNA(MATCH(A2645,السندات!$A$5:$A$504,0)),"رقم سند غير موجود ✘",IF(AND(F2645&lt;&gt;"",G2645&lt;&gt;""),"اكتب مدين أو دائن فقط ✘",IF(AND(N(F2645)=0,N(G2645)=0),"بدون مبلغ ⚠",IF(B2645&gt;12,"يتجاوز 12 بنداً في الطباعة ⚠","")))))</f>
        <v/>
      </c>
    </row>
    <row r="2646" customFormat="false" ht="15" hidden="false" customHeight="false" outlineLevel="0" collapsed="false">
      <c r="A2646" s="58"/>
      <c r="B2646" s="73" t="str">
        <f aca="false">IF(A2646="","",COUNTIF(A$5:A2646,A2646))</f>
        <v/>
      </c>
      <c r="C2646" s="73" t="str">
        <f aca="false">IF(A2646="","",A2646&amp;"-"&amp;B2646)</f>
        <v/>
      </c>
      <c r="D2646" s="58"/>
      <c r="E2646" s="57"/>
      <c r="F2646" s="69"/>
      <c r="G2646" s="69"/>
      <c r="H2646" s="74" t="str">
        <f aca="false">IF(A2646="","",IFERROR(INDEX(السندات!$C$5:$C$504,MATCH(A2646,السندات!$A$5:$A$504,0)),""))</f>
        <v/>
      </c>
      <c r="I2646" s="75" t="str">
        <f aca="false">IF(A2646="","",IFERROR(INDEX(السندات!$D$5:$D$504,MATCH(A2646,السندات!$A$5:$A$504,0)),""))</f>
        <v/>
      </c>
      <c r="J2646" s="76" t="str">
        <f aca="false">IF(A2646="","",IF(ISNA(MATCH(A2646,السندات!$A$5:$A$504,0)),"رقم سند غير موجود ✘",IF(AND(F2646&lt;&gt;"",G2646&lt;&gt;""),"اكتب مدين أو دائن فقط ✘",IF(AND(N(F2646)=0,N(G2646)=0),"بدون مبلغ ⚠",IF(B2646&gt;12,"يتجاوز 12 بنداً في الطباعة ⚠","")))))</f>
        <v/>
      </c>
    </row>
    <row r="2647" customFormat="false" ht="15" hidden="false" customHeight="false" outlineLevel="0" collapsed="false">
      <c r="A2647" s="58"/>
      <c r="B2647" s="68" t="str">
        <f aca="false">IF(A2647="","",COUNTIF(A$5:A2647,A2647))</f>
        <v/>
      </c>
      <c r="C2647" s="68" t="str">
        <f aca="false">IF(A2647="","",A2647&amp;"-"&amp;B2647)</f>
        <v/>
      </c>
      <c r="D2647" s="58"/>
      <c r="E2647" s="57"/>
      <c r="F2647" s="69"/>
      <c r="G2647" s="69"/>
      <c r="H2647" s="70" t="str">
        <f aca="false">IF(A2647="","",IFERROR(INDEX(السندات!$C$5:$C$504,MATCH(A2647,السندات!$A$5:$A$504,0)),""))</f>
        <v/>
      </c>
      <c r="I2647" s="71" t="str">
        <f aca="false">IF(A2647="","",IFERROR(INDEX(السندات!$D$5:$D$504,MATCH(A2647,السندات!$A$5:$A$504,0)),""))</f>
        <v/>
      </c>
      <c r="J2647" s="72" t="str">
        <f aca="false">IF(A2647="","",IF(ISNA(MATCH(A2647,السندات!$A$5:$A$504,0)),"رقم سند غير موجود ✘",IF(AND(F2647&lt;&gt;"",G2647&lt;&gt;""),"اكتب مدين أو دائن فقط ✘",IF(AND(N(F2647)=0,N(G2647)=0),"بدون مبلغ ⚠",IF(B2647&gt;12,"يتجاوز 12 بنداً في الطباعة ⚠","")))))</f>
        <v/>
      </c>
    </row>
    <row r="2648" customFormat="false" ht="15" hidden="false" customHeight="false" outlineLevel="0" collapsed="false">
      <c r="A2648" s="58"/>
      <c r="B2648" s="73" t="str">
        <f aca="false">IF(A2648="","",COUNTIF(A$5:A2648,A2648))</f>
        <v/>
      </c>
      <c r="C2648" s="73" t="str">
        <f aca="false">IF(A2648="","",A2648&amp;"-"&amp;B2648)</f>
        <v/>
      </c>
      <c r="D2648" s="58"/>
      <c r="E2648" s="57"/>
      <c r="F2648" s="69"/>
      <c r="G2648" s="69"/>
      <c r="H2648" s="74" t="str">
        <f aca="false">IF(A2648="","",IFERROR(INDEX(السندات!$C$5:$C$504,MATCH(A2648,السندات!$A$5:$A$504,0)),""))</f>
        <v/>
      </c>
      <c r="I2648" s="75" t="str">
        <f aca="false">IF(A2648="","",IFERROR(INDEX(السندات!$D$5:$D$504,MATCH(A2648,السندات!$A$5:$A$504,0)),""))</f>
        <v/>
      </c>
      <c r="J2648" s="76" t="str">
        <f aca="false">IF(A2648="","",IF(ISNA(MATCH(A2648,السندات!$A$5:$A$504,0)),"رقم سند غير موجود ✘",IF(AND(F2648&lt;&gt;"",G2648&lt;&gt;""),"اكتب مدين أو دائن فقط ✘",IF(AND(N(F2648)=0,N(G2648)=0),"بدون مبلغ ⚠",IF(B2648&gt;12,"يتجاوز 12 بنداً في الطباعة ⚠","")))))</f>
        <v/>
      </c>
    </row>
    <row r="2649" customFormat="false" ht="15" hidden="false" customHeight="false" outlineLevel="0" collapsed="false">
      <c r="A2649" s="58"/>
      <c r="B2649" s="68" t="str">
        <f aca="false">IF(A2649="","",COUNTIF(A$5:A2649,A2649))</f>
        <v/>
      </c>
      <c r="C2649" s="68" t="str">
        <f aca="false">IF(A2649="","",A2649&amp;"-"&amp;B2649)</f>
        <v/>
      </c>
      <c r="D2649" s="58"/>
      <c r="E2649" s="57"/>
      <c r="F2649" s="69"/>
      <c r="G2649" s="69"/>
      <c r="H2649" s="70" t="str">
        <f aca="false">IF(A2649="","",IFERROR(INDEX(السندات!$C$5:$C$504,MATCH(A2649,السندات!$A$5:$A$504,0)),""))</f>
        <v/>
      </c>
      <c r="I2649" s="71" t="str">
        <f aca="false">IF(A2649="","",IFERROR(INDEX(السندات!$D$5:$D$504,MATCH(A2649,السندات!$A$5:$A$504,0)),""))</f>
        <v/>
      </c>
      <c r="J2649" s="72" t="str">
        <f aca="false">IF(A2649="","",IF(ISNA(MATCH(A2649,السندات!$A$5:$A$504,0)),"رقم سند غير موجود ✘",IF(AND(F2649&lt;&gt;"",G2649&lt;&gt;""),"اكتب مدين أو دائن فقط ✘",IF(AND(N(F2649)=0,N(G2649)=0),"بدون مبلغ ⚠",IF(B2649&gt;12,"يتجاوز 12 بنداً في الطباعة ⚠","")))))</f>
        <v/>
      </c>
    </row>
    <row r="2650" customFormat="false" ht="15" hidden="false" customHeight="false" outlineLevel="0" collapsed="false">
      <c r="A2650" s="58"/>
      <c r="B2650" s="73" t="str">
        <f aca="false">IF(A2650="","",COUNTIF(A$5:A2650,A2650))</f>
        <v/>
      </c>
      <c r="C2650" s="73" t="str">
        <f aca="false">IF(A2650="","",A2650&amp;"-"&amp;B2650)</f>
        <v/>
      </c>
      <c r="D2650" s="58"/>
      <c r="E2650" s="57"/>
      <c r="F2650" s="69"/>
      <c r="G2650" s="69"/>
      <c r="H2650" s="74" t="str">
        <f aca="false">IF(A2650="","",IFERROR(INDEX(السندات!$C$5:$C$504,MATCH(A2650,السندات!$A$5:$A$504,0)),""))</f>
        <v/>
      </c>
      <c r="I2650" s="75" t="str">
        <f aca="false">IF(A2650="","",IFERROR(INDEX(السندات!$D$5:$D$504,MATCH(A2650,السندات!$A$5:$A$504,0)),""))</f>
        <v/>
      </c>
      <c r="J2650" s="76" t="str">
        <f aca="false">IF(A2650="","",IF(ISNA(MATCH(A2650,السندات!$A$5:$A$504,0)),"رقم سند غير موجود ✘",IF(AND(F2650&lt;&gt;"",G2650&lt;&gt;""),"اكتب مدين أو دائن فقط ✘",IF(AND(N(F2650)=0,N(G2650)=0),"بدون مبلغ ⚠",IF(B2650&gt;12,"يتجاوز 12 بنداً في الطباعة ⚠","")))))</f>
        <v/>
      </c>
    </row>
    <row r="2651" customFormat="false" ht="15" hidden="false" customHeight="false" outlineLevel="0" collapsed="false">
      <c r="A2651" s="58"/>
      <c r="B2651" s="68" t="str">
        <f aca="false">IF(A2651="","",COUNTIF(A$5:A2651,A2651))</f>
        <v/>
      </c>
      <c r="C2651" s="68" t="str">
        <f aca="false">IF(A2651="","",A2651&amp;"-"&amp;B2651)</f>
        <v/>
      </c>
      <c r="D2651" s="58"/>
      <c r="E2651" s="57"/>
      <c r="F2651" s="69"/>
      <c r="G2651" s="69"/>
      <c r="H2651" s="70" t="str">
        <f aca="false">IF(A2651="","",IFERROR(INDEX(السندات!$C$5:$C$504,MATCH(A2651,السندات!$A$5:$A$504,0)),""))</f>
        <v/>
      </c>
      <c r="I2651" s="71" t="str">
        <f aca="false">IF(A2651="","",IFERROR(INDEX(السندات!$D$5:$D$504,MATCH(A2651,السندات!$A$5:$A$504,0)),""))</f>
        <v/>
      </c>
      <c r="J2651" s="72" t="str">
        <f aca="false">IF(A2651="","",IF(ISNA(MATCH(A2651,السندات!$A$5:$A$504,0)),"رقم سند غير موجود ✘",IF(AND(F2651&lt;&gt;"",G2651&lt;&gt;""),"اكتب مدين أو دائن فقط ✘",IF(AND(N(F2651)=0,N(G2651)=0),"بدون مبلغ ⚠",IF(B2651&gt;12,"يتجاوز 12 بنداً في الطباعة ⚠","")))))</f>
        <v/>
      </c>
    </row>
    <row r="2652" customFormat="false" ht="15" hidden="false" customHeight="false" outlineLevel="0" collapsed="false">
      <c r="A2652" s="58"/>
      <c r="B2652" s="73" t="str">
        <f aca="false">IF(A2652="","",COUNTIF(A$5:A2652,A2652))</f>
        <v/>
      </c>
      <c r="C2652" s="73" t="str">
        <f aca="false">IF(A2652="","",A2652&amp;"-"&amp;B2652)</f>
        <v/>
      </c>
      <c r="D2652" s="58"/>
      <c r="E2652" s="57"/>
      <c r="F2652" s="69"/>
      <c r="G2652" s="69"/>
      <c r="H2652" s="74" t="str">
        <f aca="false">IF(A2652="","",IFERROR(INDEX(السندات!$C$5:$C$504,MATCH(A2652,السندات!$A$5:$A$504,0)),""))</f>
        <v/>
      </c>
      <c r="I2652" s="75" t="str">
        <f aca="false">IF(A2652="","",IFERROR(INDEX(السندات!$D$5:$D$504,MATCH(A2652,السندات!$A$5:$A$504,0)),""))</f>
        <v/>
      </c>
      <c r="J2652" s="76" t="str">
        <f aca="false">IF(A2652="","",IF(ISNA(MATCH(A2652,السندات!$A$5:$A$504,0)),"رقم سند غير موجود ✘",IF(AND(F2652&lt;&gt;"",G2652&lt;&gt;""),"اكتب مدين أو دائن فقط ✘",IF(AND(N(F2652)=0,N(G2652)=0),"بدون مبلغ ⚠",IF(B2652&gt;12,"يتجاوز 12 بنداً في الطباعة ⚠","")))))</f>
        <v/>
      </c>
    </row>
    <row r="2653" customFormat="false" ht="15" hidden="false" customHeight="false" outlineLevel="0" collapsed="false">
      <c r="A2653" s="58"/>
      <c r="B2653" s="68" t="str">
        <f aca="false">IF(A2653="","",COUNTIF(A$5:A2653,A2653))</f>
        <v/>
      </c>
      <c r="C2653" s="68" t="str">
        <f aca="false">IF(A2653="","",A2653&amp;"-"&amp;B2653)</f>
        <v/>
      </c>
      <c r="D2653" s="58"/>
      <c r="E2653" s="57"/>
      <c r="F2653" s="69"/>
      <c r="G2653" s="69"/>
      <c r="H2653" s="70" t="str">
        <f aca="false">IF(A2653="","",IFERROR(INDEX(السندات!$C$5:$C$504,MATCH(A2653,السندات!$A$5:$A$504,0)),""))</f>
        <v/>
      </c>
      <c r="I2653" s="71" t="str">
        <f aca="false">IF(A2653="","",IFERROR(INDEX(السندات!$D$5:$D$504,MATCH(A2653,السندات!$A$5:$A$504,0)),""))</f>
        <v/>
      </c>
      <c r="J2653" s="72" t="str">
        <f aca="false">IF(A2653="","",IF(ISNA(MATCH(A2653,السندات!$A$5:$A$504,0)),"رقم سند غير موجود ✘",IF(AND(F2653&lt;&gt;"",G2653&lt;&gt;""),"اكتب مدين أو دائن فقط ✘",IF(AND(N(F2653)=0,N(G2653)=0),"بدون مبلغ ⚠",IF(B2653&gt;12,"يتجاوز 12 بنداً في الطباعة ⚠","")))))</f>
        <v/>
      </c>
    </row>
    <row r="2654" customFormat="false" ht="15" hidden="false" customHeight="false" outlineLevel="0" collapsed="false">
      <c r="A2654" s="58"/>
      <c r="B2654" s="73" t="str">
        <f aca="false">IF(A2654="","",COUNTIF(A$5:A2654,A2654))</f>
        <v/>
      </c>
      <c r="C2654" s="73" t="str">
        <f aca="false">IF(A2654="","",A2654&amp;"-"&amp;B2654)</f>
        <v/>
      </c>
      <c r="D2654" s="58"/>
      <c r="E2654" s="57"/>
      <c r="F2654" s="69"/>
      <c r="G2654" s="69"/>
      <c r="H2654" s="74" t="str">
        <f aca="false">IF(A2654="","",IFERROR(INDEX(السندات!$C$5:$C$504,MATCH(A2654,السندات!$A$5:$A$504,0)),""))</f>
        <v/>
      </c>
      <c r="I2654" s="75" t="str">
        <f aca="false">IF(A2654="","",IFERROR(INDEX(السندات!$D$5:$D$504,MATCH(A2654,السندات!$A$5:$A$504,0)),""))</f>
        <v/>
      </c>
      <c r="J2654" s="76" t="str">
        <f aca="false">IF(A2654="","",IF(ISNA(MATCH(A2654,السندات!$A$5:$A$504,0)),"رقم سند غير موجود ✘",IF(AND(F2654&lt;&gt;"",G2654&lt;&gt;""),"اكتب مدين أو دائن فقط ✘",IF(AND(N(F2654)=0,N(G2654)=0),"بدون مبلغ ⚠",IF(B2654&gt;12,"يتجاوز 12 بنداً في الطباعة ⚠","")))))</f>
        <v/>
      </c>
    </row>
    <row r="2655" customFormat="false" ht="15" hidden="false" customHeight="false" outlineLevel="0" collapsed="false">
      <c r="A2655" s="58"/>
      <c r="B2655" s="68" t="str">
        <f aca="false">IF(A2655="","",COUNTIF(A$5:A2655,A2655))</f>
        <v/>
      </c>
      <c r="C2655" s="68" t="str">
        <f aca="false">IF(A2655="","",A2655&amp;"-"&amp;B2655)</f>
        <v/>
      </c>
      <c r="D2655" s="58"/>
      <c r="E2655" s="57"/>
      <c r="F2655" s="69"/>
      <c r="G2655" s="69"/>
      <c r="H2655" s="70" t="str">
        <f aca="false">IF(A2655="","",IFERROR(INDEX(السندات!$C$5:$C$504,MATCH(A2655,السندات!$A$5:$A$504,0)),""))</f>
        <v/>
      </c>
      <c r="I2655" s="71" t="str">
        <f aca="false">IF(A2655="","",IFERROR(INDEX(السندات!$D$5:$D$504,MATCH(A2655,السندات!$A$5:$A$504,0)),""))</f>
        <v/>
      </c>
      <c r="J2655" s="72" t="str">
        <f aca="false">IF(A2655="","",IF(ISNA(MATCH(A2655,السندات!$A$5:$A$504,0)),"رقم سند غير موجود ✘",IF(AND(F2655&lt;&gt;"",G2655&lt;&gt;""),"اكتب مدين أو دائن فقط ✘",IF(AND(N(F2655)=0,N(G2655)=0),"بدون مبلغ ⚠",IF(B2655&gt;12,"يتجاوز 12 بنداً في الطباعة ⚠","")))))</f>
        <v/>
      </c>
    </row>
    <row r="2656" customFormat="false" ht="15" hidden="false" customHeight="false" outlineLevel="0" collapsed="false">
      <c r="A2656" s="58"/>
      <c r="B2656" s="73" t="str">
        <f aca="false">IF(A2656="","",COUNTIF(A$5:A2656,A2656))</f>
        <v/>
      </c>
      <c r="C2656" s="73" t="str">
        <f aca="false">IF(A2656="","",A2656&amp;"-"&amp;B2656)</f>
        <v/>
      </c>
      <c r="D2656" s="58"/>
      <c r="E2656" s="57"/>
      <c r="F2656" s="69"/>
      <c r="G2656" s="69"/>
      <c r="H2656" s="74" t="str">
        <f aca="false">IF(A2656="","",IFERROR(INDEX(السندات!$C$5:$C$504,MATCH(A2656,السندات!$A$5:$A$504,0)),""))</f>
        <v/>
      </c>
      <c r="I2656" s="75" t="str">
        <f aca="false">IF(A2656="","",IFERROR(INDEX(السندات!$D$5:$D$504,MATCH(A2656,السندات!$A$5:$A$504,0)),""))</f>
        <v/>
      </c>
      <c r="J2656" s="76" t="str">
        <f aca="false">IF(A2656="","",IF(ISNA(MATCH(A2656,السندات!$A$5:$A$504,0)),"رقم سند غير موجود ✘",IF(AND(F2656&lt;&gt;"",G2656&lt;&gt;""),"اكتب مدين أو دائن فقط ✘",IF(AND(N(F2656)=0,N(G2656)=0),"بدون مبلغ ⚠",IF(B2656&gt;12,"يتجاوز 12 بنداً في الطباعة ⚠","")))))</f>
        <v/>
      </c>
    </row>
    <row r="2657" customFormat="false" ht="15" hidden="false" customHeight="false" outlineLevel="0" collapsed="false">
      <c r="A2657" s="58"/>
      <c r="B2657" s="68" t="str">
        <f aca="false">IF(A2657="","",COUNTIF(A$5:A2657,A2657))</f>
        <v/>
      </c>
      <c r="C2657" s="68" t="str">
        <f aca="false">IF(A2657="","",A2657&amp;"-"&amp;B2657)</f>
        <v/>
      </c>
      <c r="D2657" s="58"/>
      <c r="E2657" s="57"/>
      <c r="F2657" s="69"/>
      <c r="G2657" s="69"/>
      <c r="H2657" s="70" t="str">
        <f aca="false">IF(A2657="","",IFERROR(INDEX(السندات!$C$5:$C$504,MATCH(A2657,السندات!$A$5:$A$504,0)),""))</f>
        <v/>
      </c>
      <c r="I2657" s="71" t="str">
        <f aca="false">IF(A2657="","",IFERROR(INDEX(السندات!$D$5:$D$504,MATCH(A2657,السندات!$A$5:$A$504,0)),""))</f>
        <v/>
      </c>
      <c r="J2657" s="72" t="str">
        <f aca="false">IF(A2657="","",IF(ISNA(MATCH(A2657,السندات!$A$5:$A$504,0)),"رقم سند غير موجود ✘",IF(AND(F2657&lt;&gt;"",G2657&lt;&gt;""),"اكتب مدين أو دائن فقط ✘",IF(AND(N(F2657)=0,N(G2657)=0),"بدون مبلغ ⚠",IF(B2657&gt;12,"يتجاوز 12 بنداً في الطباعة ⚠","")))))</f>
        <v/>
      </c>
    </row>
    <row r="2658" customFormat="false" ht="15" hidden="false" customHeight="false" outlineLevel="0" collapsed="false">
      <c r="A2658" s="58"/>
      <c r="B2658" s="73" t="str">
        <f aca="false">IF(A2658="","",COUNTIF(A$5:A2658,A2658))</f>
        <v/>
      </c>
      <c r="C2658" s="73" t="str">
        <f aca="false">IF(A2658="","",A2658&amp;"-"&amp;B2658)</f>
        <v/>
      </c>
      <c r="D2658" s="58"/>
      <c r="E2658" s="57"/>
      <c r="F2658" s="69"/>
      <c r="G2658" s="69"/>
      <c r="H2658" s="74" t="str">
        <f aca="false">IF(A2658="","",IFERROR(INDEX(السندات!$C$5:$C$504,MATCH(A2658,السندات!$A$5:$A$504,0)),""))</f>
        <v/>
      </c>
      <c r="I2658" s="75" t="str">
        <f aca="false">IF(A2658="","",IFERROR(INDEX(السندات!$D$5:$D$504,MATCH(A2658,السندات!$A$5:$A$504,0)),""))</f>
        <v/>
      </c>
      <c r="J2658" s="76" t="str">
        <f aca="false">IF(A2658="","",IF(ISNA(MATCH(A2658,السندات!$A$5:$A$504,0)),"رقم سند غير موجود ✘",IF(AND(F2658&lt;&gt;"",G2658&lt;&gt;""),"اكتب مدين أو دائن فقط ✘",IF(AND(N(F2658)=0,N(G2658)=0),"بدون مبلغ ⚠",IF(B2658&gt;12,"يتجاوز 12 بنداً في الطباعة ⚠","")))))</f>
        <v/>
      </c>
    </row>
    <row r="2659" customFormat="false" ht="15" hidden="false" customHeight="false" outlineLevel="0" collapsed="false">
      <c r="A2659" s="58"/>
      <c r="B2659" s="68" t="str">
        <f aca="false">IF(A2659="","",COUNTIF(A$5:A2659,A2659))</f>
        <v/>
      </c>
      <c r="C2659" s="68" t="str">
        <f aca="false">IF(A2659="","",A2659&amp;"-"&amp;B2659)</f>
        <v/>
      </c>
      <c r="D2659" s="58"/>
      <c r="E2659" s="57"/>
      <c r="F2659" s="69"/>
      <c r="G2659" s="69"/>
      <c r="H2659" s="70" t="str">
        <f aca="false">IF(A2659="","",IFERROR(INDEX(السندات!$C$5:$C$504,MATCH(A2659,السندات!$A$5:$A$504,0)),""))</f>
        <v/>
      </c>
      <c r="I2659" s="71" t="str">
        <f aca="false">IF(A2659="","",IFERROR(INDEX(السندات!$D$5:$D$504,MATCH(A2659,السندات!$A$5:$A$504,0)),""))</f>
        <v/>
      </c>
      <c r="J2659" s="72" t="str">
        <f aca="false">IF(A2659="","",IF(ISNA(MATCH(A2659,السندات!$A$5:$A$504,0)),"رقم سند غير موجود ✘",IF(AND(F2659&lt;&gt;"",G2659&lt;&gt;""),"اكتب مدين أو دائن فقط ✘",IF(AND(N(F2659)=0,N(G2659)=0),"بدون مبلغ ⚠",IF(B2659&gt;12,"يتجاوز 12 بنداً في الطباعة ⚠","")))))</f>
        <v/>
      </c>
    </row>
    <row r="2660" customFormat="false" ht="15" hidden="false" customHeight="false" outlineLevel="0" collapsed="false">
      <c r="A2660" s="58"/>
      <c r="B2660" s="73" t="str">
        <f aca="false">IF(A2660="","",COUNTIF(A$5:A2660,A2660))</f>
        <v/>
      </c>
      <c r="C2660" s="73" t="str">
        <f aca="false">IF(A2660="","",A2660&amp;"-"&amp;B2660)</f>
        <v/>
      </c>
      <c r="D2660" s="58"/>
      <c r="E2660" s="57"/>
      <c r="F2660" s="69"/>
      <c r="G2660" s="69"/>
      <c r="H2660" s="74" t="str">
        <f aca="false">IF(A2660="","",IFERROR(INDEX(السندات!$C$5:$C$504,MATCH(A2660,السندات!$A$5:$A$504,0)),""))</f>
        <v/>
      </c>
      <c r="I2660" s="75" t="str">
        <f aca="false">IF(A2660="","",IFERROR(INDEX(السندات!$D$5:$D$504,MATCH(A2660,السندات!$A$5:$A$504,0)),""))</f>
        <v/>
      </c>
      <c r="J2660" s="76" t="str">
        <f aca="false">IF(A2660="","",IF(ISNA(MATCH(A2660,السندات!$A$5:$A$504,0)),"رقم سند غير موجود ✘",IF(AND(F2660&lt;&gt;"",G2660&lt;&gt;""),"اكتب مدين أو دائن فقط ✘",IF(AND(N(F2660)=0,N(G2660)=0),"بدون مبلغ ⚠",IF(B2660&gt;12,"يتجاوز 12 بنداً في الطباعة ⚠","")))))</f>
        <v/>
      </c>
    </row>
    <row r="2661" customFormat="false" ht="15" hidden="false" customHeight="false" outlineLevel="0" collapsed="false">
      <c r="A2661" s="58"/>
      <c r="B2661" s="68" t="str">
        <f aca="false">IF(A2661="","",COUNTIF(A$5:A2661,A2661))</f>
        <v/>
      </c>
      <c r="C2661" s="68" t="str">
        <f aca="false">IF(A2661="","",A2661&amp;"-"&amp;B2661)</f>
        <v/>
      </c>
      <c r="D2661" s="58"/>
      <c r="E2661" s="57"/>
      <c r="F2661" s="69"/>
      <c r="G2661" s="69"/>
      <c r="H2661" s="70" t="str">
        <f aca="false">IF(A2661="","",IFERROR(INDEX(السندات!$C$5:$C$504,MATCH(A2661,السندات!$A$5:$A$504,0)),""))</f>
        <v/>
      </c>
      <c r="I2661" s="71" t="str">
        <f aca="false">IF(A2661="","",IFERROR(INDEX(السندات!$D$5:$D$504,MATCH(A2661,السندات!$A$5:$A$504,0)),""))</f>
        <v/>
      </c>
      <c r="J2661" s="72" t="str">
        <f aca="false">IF(A2661="","",IF(ISNA(MATCH(A2661,السندات!$A$5:$A$504,0)),"رقم سند غير موجود ✘",IF(AND(F2661&lt;&gt;"",G2661&lt;&gt;""),"اكتب مدين أو دائن فقط ✘",IF(AND(N(F2661)=0,N(G2661)=0),"بدون مبلغ ⚠",IF(B2661&gt;12,"يتجاوز 12 بنداً في الطباعة ⚠","")))))</f>
        <v/>
      </c>
    </row>
    <row r="2662" customFormat="false" ht="15" hidden="false" customHeight="false" outlineLevel="0" collapsed="false">
      <c r="A2662" s="58"/>
      <c r="B2662" s="73" t="str">
        <f aca="false">IF(A2662="","",COUNTIF(A$5:A2662,A2662))</f>
        <v/>
      </c>
      <c r="C2662" s="73" t="str">
        <f aca="false">IF(A2662="","",A2662&amp;"-"&amp;B2662)</f>
        <v/>
      </c>
      <c r="D2662" s="58"/>
      <c r="E2662" s="57"/>
      <c r="F2662" s="69"/>
      <c r="G2662" s="69"/>
      <c r="H2662" s="74" t="str">
        <f aca="false">IF(A2662="","",IFERROR(INDEX(السندات!$C$5:$C$504,MATCH(A2662,السندات!$A$5:$A$504,0)),""))</f>
        <v/>
      </c>
      <c r="I2662" s="75" t="str">
        <f aca="false">IF(A2662="","",IFERROR(INDEX(السندات!$D$5:$D$504,MATCH(A2662,السندات!$A$5:$A$504,0)),""))</f>
        <v/>
      </c>
      <c r="J2662" s="76" t="str">
        <f aca="false">IF(A2662="","",IF(ISNA(MATCH(A2662,السندات!$A$5:$A$504,0)),"رقم سند غير موجود ✘",IF(AND(F2662&lt;&gt;"",G2662&lt;&gt;""),"اكتب مدين أو دائن فقط ✘",IF(AND(N(F2662)=0,N(G2662)=0),"بدون مبلغ ⚠",IF(B2662&gt;12,"يتجاوز 12 بنداً في الطباعة ⚠","")))))</f>
        <v/>
      </c>
    </row>
    <row r="2663" customFormat="false" ht="15" hidden="false" customHeight="false" outlineLevel="0" collapsed="false">
      <c r="A2663" s="58"/>
      <c r="B2663" s="68" t="str">
        <f aca="false">IF(A2663="","",COUNTIF(A$5:A2663,A2663))</f>
        <v/>
      </c>
      <c r="C2663" s="68" t="str">
        <f aca="false">IF(A2663="","",A2663&amp;"-"&amp;B2663)</f>
        <v/>
      </c>
      <c r="D2663" s="58"/>
      <c r="E2663" s="57"/>
      <c r="F2663" s="69"/>
      <c r="G2663" s="69"/>
      <c r="H2663" s="70" t="str">
        <f aca="false">IF(A2663="","",IFERROR(INDEX(السندات!$C$5:$C$504,MATCH(A2663,السندات!$A$5:$A$504,0)),""))</f>
        <v/>
      </c>
      <c r="I2663" s="71" t="str">
        <f aca="false">IF(A2663="","",IFERROR(INDEX(السندات!$D$5:$D$504,MATCH(A2663,السندات!$A$5:$A$504,0)),""))</f>
        <v/>
      </c>
      <c r="J2663" s="72" t="str">
        <f aca="false">IF(A2663="","",IF(ISNA(MATCH(A2663,السندات!$A$5:$A$504,0)),"رقم سند غير موجود ✘",IF(AND(F2663&lt;&gt;"",G2663&lt;&gt;""),"اكتب مدين أو دائن فقط ✘",IF(AND(N(F2663)=0,N(G2663)=0),"بدون مبلغ ⚠",IF(B2663&gt;12,"يتجاوز 12 بنداً في الطباعة ⚠","")))))</f>
        <v/>
      </c>
    </row>
    <row r="2664" customFormat="false" ht="15" hidden="false" customHeight="false" outlineLevel="0" collapsed="false">
      <c r="A2664" s="58"/>
      <c r="B2664" s="73" t="str">
        <f aca="false">IF(A2664="","",COUNTIF(A$5:A2664,A2664))</f>
        <v/>
      </c>
      <c r="C2664" s="73" t="str">
        <f aca="false">IF(A2664="","",A2664&amp;"-"&amp;B2664)</f>
        <v/>
      </c>
      <c r="D2664" s="58"/>
      <c r="E2664" s="57"/>
      <c r="F2664" s="69"/>
      <c r="G2664" s="69"/>
      <c r="H2664" s="74" t="str">
        <f aca="false">IF(A2664="","",IFERROR(INDEX(السندات!$C$5:$C$504,MATCH(A2664,السندات!$A$5:$A$504,0)),""))</f>
        <v/>
      </c>
      <c r="I2664" s="75" t="str">
        <f aca="false">IF(A2664="","",IFERROR(INDEX(السندات!$D$5:$D$504,MATCH(A2664,السندات!$A$5:$A$504,0)),""))</f>
        <v/>
      </c>
      <c r="J2664" s="76" t="str">
        <f aca="false">IF(A2664="","",IF(ISNA(MATCH(A2664,السندات!$A$5:$A$504,0)),"رقم سند غير موجود ✘",IF(AND(F2664&lt;&gt;"",G2664&lt;&gt;""),"اكتب مدين أو دائن فقط ✘",IF(AND(N(F2664)=0,N(G2664)=0),"بدون مبلغ ⚠",IF(B2664&gt;12,"يتجاوز 12 بنداً في الطباعة ⚠","")))))</f>
        <v/>
      </c>
    </row>
    <row r="2665" customFormat="false" ht="15" hidden="false" customHeight="false" outlineLevel="0" collapsed="false">
      <c r="A2665" s="58"/>
      <c r="B2665" s="68" t="str">
        <f aca="false">IF(A2665="","",COUNTIF(A$5:A2665,A2665))</f>
        <v/>
      </c>
      <c r="C2665" s="68" t="str">
        <f aca="false">IF(A2665="","",A2665&amp;"-"&amp;B2665)</f>
        <v/>
      </c>
      <c r="D2665" s="58"/>
      <c r="E2665" s="57"/>
      <c r="F2665" s="69"/>
      <c r="G2665" s="69"/>
      <c r="H2665" s="70" t="str">
        <f aca="false">IF(A2665="","",IFERROR(INDEX(السندات!$C$5:$C$504,MATCH(A2665,السندات!$A$5:$A$504,0)),""))</f>
        <v/>
      </c>
      <c r="I2665" s="71" t="str">
        <f aca="false">IF(A2665="","",IFERROR(INDEX(السندات!$D$5:$D$504,MATCH(A2665,السندات!$A$5:$A$504,0)),""))</f>
        <v/>
      </c>
      <c r="J2665" s="72" t="str">
        <f aca="false">IF(A2665="","",IF(ISNA(MATCH(A2665,السندات!$A$5:$A$504,0)),"رقم سند غير موجود ✘",IF(AND(F2665&lt;&gt;"",G2665&lt;&gt;""),"اكتب مدين أو دائن فقط ✘",IF(AND(N(F2665)=0,N(G2665)=0),"بدون مبلغ ⚠",IF(B2665&gt;12,"يتجاوز 12 بنداً في الطباعة ⚠","")))))</f>
        <v/>
      </c>
    </row>
    <row r="2666" customFormat="false" ht="15" hidden="false" customHeight="false" outlineLevel="0" collapsed="false">
      <c r="A2666" s="58"/>
      <c r="B2666" s="73" t="str">
        <f aca="false">IF(A2666="","",COUNTIF(A$5:A2666,A2666))</f>
        <v/>
      </c>
      <c r="C2666" s="73" t="str">
        <f aca="false">IF(A2666="","",A2666&amp;"-"&amp;B2666)</f>
        <v/>
      </c>
      <c r="D2666" s="58"/>
      <c r="E2666" s="57"/>
      <c r="F2666" s="69"/>
      <c r="G2666" s="69"/>
      <c r="H2666" s="74" t="str">
        <f aca="false">IF(A2666="","",IFERROR(INDEX(السندات!$C$5:$C$504,MATCH(A2666,السندات!$A$5:$A$504,0)),""))</f>
        <v/>
      </c>
      <c r="I2666" s="75" t="str">
        <f aca="false">IF(A2666="","",IFERROR(INDEX(السندات!$D$5:$D$504,MATCH(A2666,السندات!$A$5:$A$504,0)),""))</f>
        <v/>
      </c>
      <c r="J2666" s="76" t="str">
        <f aca="false">IF(A2666="","",IF(ISNA(MATCH(A2666,السندات!$A$5:$A$504,0)),"رقم سند غير موجود ✘",IF(AND(F2666&lt;&gt;"",G2666&lt;&gt;""),"اكتب مدين أو دائن فقط ✘",IF(AND(N(F2666)=0,N(G2666)=0),"بدون مبلغ ⚠",IF(B2666&gt;12,"يتجاوز 12 بنداً في الطباعة ⚠","")))))</f>
        <v/>
      </c>
    </row>
    <row r="2667" customFormat="false" ht="15" hidden="false" customHeight="false" outlineLevel="0" collapsed="false">
      <c r="A2667" s="58"/>
      <c r="B2667" s="68" t="str">
        <f aca="false">IF(A2667="","",COUNTIF(A$5:A2667,A2667))</f>
        <v/>
      </c>
      <c r="C2667" s="68" t="str">
        <f aca="false">IF(A2667="","",A2667&amp;"-"&amp;B2667)</f>
        <v/>
      </c>
      <c r="D2667" s="58"/>
      <c r="E2667" s="57"/>
      <c r="F2667" s="69"/>
      <c r="G2667" s="69"/>
      <c r="H2667" s="70" t="str">
        <f aca="false">IF(A2667="","",IFERROR(INDEX(السندات!$C$5:$C$504,MATCH(A2667,السندات!$A$5:$A$504,0)),""))</f>
        <v/>
      </c>
      <c r="I2667" s="71" t="str">
        <f aca="false">IF(A2667="","",IFERROR(INDEX(السندات!$D$5:$D$504,MATCH(A2667,السندات!$A$5:$A$504,0)),""))</f>
        <v/>
      </c>
      <c r="J2667" s="72" t="str">
        <f aca="false">IF(A2667="","",IF(ISNA(MATCH(A2667,السندات!$A$5:$A$504,0)),"رقم سند غير موجود ✘",IF(AND(F2667&lt;&gt;"",G2667&lt;&gt;""),"اكتب مدين أو دائن فقط ✘",IF(AND(N(F2667)=0,N(G2667)=0),"بدون مبلغ ⚠",IF(B2667&gt;12,"يتجاوز 12 بنداً في الطباعة ⚠","")))))</f>
        <v/>
      </c>
    </row>
    <row r="2668" customFormat="false" ht="15" hidden="false" customHeight="false" outlineLevel="0" collapsed="false">
      <c r="A2668" s="58"/>
      <c r="B2668" s="73" t="str">
        <f aca="false">IF(A2668="","",COUNTIF(A$5:A2668,A2668))</f>
        <v/>
      </c>
      <c r="C2668" s="73" t="str">
        <f aca="false">IF(A2668="","",A2668&amp;"-"&amp;B2668)</f>
        <v/>
      </c>
      <c r="D2668" s="58"/>
      <c r="E2668" s="57"/>
      <c r="F2668" s="69"/>
      <c r="G2668" s="69"/>
      <c r="H2668" s="74" t="str">
        <f aca="false">IF(A2668="","",IFERROR(INDEX(السندات!$C$5:$C$504,MATCH(A2668,السندات!$A$5:$A$504,0)),""))</f>
        <v/>
      </c>
      <c r="I2668" s="75" t="str">
        <f aca="false">IF(A2668="","",IFERROR(INDEX(السندات!$D$5:$D$504,MATCH(A2668,السندات!$A$5:$A$504,0)),""))</f>
        <v/>
      </c>
      <c r="J2668" s="76" t="str">
        <f aca="false">IF(A2668="","",IF(ISNA(MATCH(A2668,السندات!$A$5:$A$504,0)),"رقم سند غير موجود ✘",IF(AND(F2668&lt;&gt;"",G2668&lt;&gt;""),"اكتب مدين أو دائن فقط ✘",IF(AND(N(F2668)=0,N(G2668)=0),"بدون مبلغ ⚠",IF(B2668&gt;12,"يتجاوز 12 بنداً في الطباعة ⚠","")))))</f>
        <v/>
      </c>
    </row>
    <row r="2669" customFormat="false" ht="15" hidden="false" customHeight="false" outlineLevel="0" collapsed="false">
      <c r="A2669" s="58"/>
      <c r="B2669" s="68" t="str">
        <f aca="false">IF(A2669="","",COUNTIF(A$5:A2669,A2669))</f>
        <v/>
      </c>
      <c r="C2669" s="68" t="str">
        <f aca="false">IF(A2669="","",A2669&amp;"-"&amp;B2669)</f>
        <v/>
      </c>
      <c r="D2669" s="58"/>
      <c r="E2669" s="57"/>
      <c r="F2669" s="69"/>
      <c r="G2669" s="69"/>
      <c r="H2669" s="70" t="str">
        <f aca="false">IF(A2669="","",IFERROR(INDEX(السندات!$C$5:$C$504,MATCH(A2669,السندات!$A$5:$A$504,0)),""))</f>
        <v/>
      </c>
      <c r="I2669" s="71" t="str">
        <f aca="false">IF(A2669="","",IFERROR(INDEX(السندات!$D$5:$D$504,MATCH(A2669,السندات!$A$5:$A$504,0)),""))</f>
        <v/>
      </c>
      <c r="J2669" s="72" t="str">
        <f aca="false">IF(A2669="","",IF(ISNA(MATCH(A2669,السندات!$A$5:$A$504,0)),"رقم سند غير موجود ✘",IF(AND(F2669&lt;&gt;"",G2669&lt;&gt;""),"اكتب مدين أو دائن فقط ✘",IF(AND(N(F2669)=0,N(G2669)=0),"بدون مبلغ ⚠",IF(B2669&gt;12,"يتجاوز 12 بنداً في الطباعة ⚠","")))))</f>
        <v/>
      </c>
    </row>
    <row r="2670" customFormat="false" ht="15" hidden="false" customHeight="false" outlineLevel="0" collapsed="false">
      <c r="A2670" s="58"/>
      <c r="B2670" s="73" t="str">
        <f aca="false">IF(A2670="","",COUNTIF(A$5:A2670,A2670))</f>
        <v/>
      </c>
      <c r="C2670" s="73" t="str">
        <f aca="false">IF(A2670="","",A2670&amp;"-"&amp;B2670)</f>
        <v/>
      </c>
      <c r="D2670" s="58"/>
      <c r="E2670" s="57"/>
      <c r="F2670" s="69"/>
      <c r="G2670" s="69"/>
      <c r="H2670" s="74" t="str">
        <f aca="false">IF(A2670="","",IFERROR(INDEX(السندات!$C$5:$C$504,MATCH(A2670,السندات!$A$5:$A$504,0)),""))</f>
        <v/>
      </c>
      <c r="I2670" s="75" t="str">
        <f aca="false">IF(A2670="","",IFERROR(INDEX(السندات!$D$5:$D$504,MATCH(A2670,السندات!$A$5:$A$504,0)),""))</f>
        <v/>
      </c>
      <c r="J2670" s="76" t="str">
        <f aca="false">IF(A2670="","",IF(ISNA(MATCH(A2670,السندات!$A$5:$A$504,0)),"رقم سند غير موجود ✘",IF(AND(F2670&lt;&gt;"",G2670&lt;&gt;""),"اكتب مدين أو دائن فقط ✘",IF(AND(N(F2670)=0,N(G2670)=0),"بدون مبلغ ⚠",IF(B2670&gt;12,"يتجاوز 12 بنداً في الطباعة ⚠","")))))</f>
        <v/>
      </c>
    </row>
    <row r="2671" customFormat="false" ht="15" hidden="false" customHeight="false" outlineLevel="0" collapsed="false">
      <c r="A2671" s="58"/>
      <c r="B2671" s="68" t="str">
        <f aca="false">IF(A2671="","",COUNTIF(A$5:A2671,A2671))</f>
        <v/>
      </c>
      <c r="C2671" s="68" t="str">
        <f aca="false">IF(A2671="","",A2671&amp;"-"&amp;B2671)</f>
        <v/>
      </c>
      <c r="D2671" s="58"/>
      <c r="E2671" s="57"/>
      <c r="F2671" s="69"/>
      <c r="G2671" s="69"/>
      <c r="H2671" s="70" t="str">
        <f aca="false">IF(A2671="","",IFERROR(INDEX(السندات!$C$5:$C$504,MATCH(A2671,السندات!$A$5:$A$504,0)),""))</f>
        <v/>
      </c>
      <c r="I2671" s="71" t="str">
        <f aca="false">IF(A2671="","",IFERROR(INDEX(السندات!$D$5:$D$504,MATCH(A2671,السندات!$A$5:$A$504,0)),""))</f>
        <v/>
      </c>
      <c r="J2671" s="72" t="str">
        <f aca="false">IF(A2671="","",IF(ISNA(MATCH(A2671,السندات!$A$5:$A$504,0)),"رقم سند غير موجود ✘",IF(AND(F2671&lt;&gt;"",G2671&lt;&gt;""),"اكتب مدين أو دائن فقط ✘",IF(AND(N(F2671)=0,N(G2671)=0),"بدون مبلغ ⚠",IF(B2671&gt;12,"يتجاوز 12 بنداً في الطباعة ⚠","")))))</f>
        <v/>
      </c>
    </row>
    <row r="2672" customFormat="false" ht="15" hidden="false" customHeight="false" outlineLevel="0" collapsed="false">
      <c r="A2672" s="58"/>
      <c r="B2672" s="73" t="str">
        <f aca="false">IF(A2672="","",COUNTIF(A$5:A2672,A2672))</f>
        <v/>
      </c>
      <c r="C2672" s="73" t="str">
        <f aca="false">IF(A2672="","",A2672&amp;"-"&amp;B2672)</f>
        <v/>
      </c>
      <c r="D2672" s="58"/>
      <c r="E2672" s="57"/>
      <c r="F2672" s="69"/>
      <c r="G2672" s="69"/>
      <c r="H2672" s="74" t="str">
        <f aca="false">IF(A2672="","",IFERROR(INDEX(السندات!$C$5:$C$504,MATCH(A2672,السندات!$A$5:$A$504,0)),""))</f>
        <v/>
      </c>
      <c r="I2672" s="75" t="str">
        <f aca="false">IF(A2672="","",IFERROR(INDEX(السندات!$D$5:$D$504,MATCH(A2672,السندات!$A$5:$A$504,0)),""))</f>
        <v/>
      </c>
      <c r="J2672" s="76" t="str">
        <f aca="false">IF(A2672="","",IF(ISNA(MATCH(A2672,السندات!$A$5:$A$504,0)),"رقم سند غير موجود ✘",IF(AND(F2672&lt;&gt;"",G2672&lt;&gt;""),"اكتب مدين أو دائن فقط ✘",IF(AND(N(F2672)=0,N(G2672)=0),"بدون مبلغ ⚠",IF(B2672&gt;12,"يتجاوز 12 بنداً في الطباعة ⚠","")))))</f>
        <v/>
      </c>
    </row>
    <row r="2673" customFormat="false" ht="15" hidden="false" customHeight="false" outlineLevel="0" collapsed="false">
      <c r="A2673" s="58"/>
      <c r="B2673" s="68" t="str">
        <f aca="false">IF(A2673="","",COUNTIF(A$5:A2673,A2673))</f>
        <v/>
      </c>
      <c r="C2673" s="68" t="str">
        <f aca="false">IF(A2673="","",A2673&amp;"-"&amp;B2673)</f>
        <v/>
      </c>
      <c r="D2673" s="58"/>
      <c r="E2673" s="57"/>
      <c r="F2673" s="69"/>
      <c r="G2673" s="69"/>
      <c r="H2673" s="70" t="str">
        <f aca="false">IF(A2673="","",IFERROR(INDEX(السندات!$C$5:$C$504,MATCH(A2673,السندات!$A$5:$A$504,0)),""))</f>
        <v/>
      </c>
      <c r="I2673" s="71" t="str">
        <f aca="false">IF(A2673="","",IFERROR(INDEX(السندات!$D$5:$D$504,MATCH(A2673,السندات!$A$5:$A$504,0)),""))</f>
        <v/>
      </c>
      <c r="J2673" s="72" t="str">
        <f aca="false">IF(A2673="","",IF(ISNA(MATCH(A2673,السندات!$A$5:$A$504,0)),"رقم سند غير موجود ✘",IF(AND(F2673&lt;&gt;"",G2673&lt;&gt;""),"اكتب مدين أو دائن فقط ✘",IF(AND(N(F2673)=0,N(G2673)=0),"بدون مبلغ ⚠",IF(B2673&gt;12,"يتجاوز 12 بنداً في الطباعة ⚠","")))))</f>
        <v/>
      </c>
    </row>
    <row r="2674" customFormat="false" ht="15" hidden="false" customHeight="false" outlineLevel="0" collapsed="false">
      <c r="A2674" s="58"/>
      <c r="B2674" s="73" t="str">
        <f aca="false">IF(A2674="","",COUNTIF(A$5:A2674,A2674))</f>
        <v/>
      </c>
      <c r="C2674" s="73" t="str">
        <f aca="false">IF(A2674="","",A2674&amp;"-"&amp;B2674)</f>
        <v/>
      </c>
      <c r="D2674" s="58"/>
      <c r="E2674" s="57"/>
      <c r="F2674" s="69"/>
      <c r="G2674" s="69"/>
      <c r="H2674" s="74" t="str">
        <f aca="false">IF(A2674="","",IFERROR(INDEX(السندات!$C$5:$C$504,MATCH(A2674,السندات!$A$5:$A$504,0)),""))</f>
        <v/>
      </c>
      <c r="I2674" s="75" t="str">
        <f aca="false">IF(A2674="","",IFERROR(INDEX(السندات!$D$5:$D$504,MATCH(A2674,السندات!$A$5:$A$504,0)),""))</f>
        <v/>
      </c>
      <c r="J2674" s="76" t="str">
        <f aca="false">IF(A2674="","",IF(ISNA(MATCH(A2674,السندات!$A$5:$A$504,0)),"رقم سند غير موجود ✘",IF(AND(F2674&lt;&gt;"",G2674&lt;&gt;""),"اكتب مدين أو دائن فقط ✘",IF(AND(N(F2674)=0,N(G2674)=0),"بدون مبلغ ⚠",IF(B2674&gt;12,"يتجاوز 12 بنداً في الطباعة ⚠","")))))</f>
        <v/>
      </c>
    </row>
    <row r="2675" customFormat="false" ht="15" hidden="false" customHeight="false" outlineLevel="0" collapsed="false">
      <c r="A2675" s="58"/>
      <c r="B2675" s="68" t="str">
        <f aca="false">IF(A2675="","",COUNTIF(A$5:A2675,A2675))</f>
        <v/>
      </c>
      <c r="C2675" s="68" t="str">
        <f aca="false">IF(A2675="","",A2675&amp;"-"&amp;B2675)</f>
        <v/>
      </c>
      <c r="D2675" s="58"/>
      <c r="E2675" s="57"/>
      <c r="F2675" s="69"/>
      <c r="G2675" s="69"/>
      <c r="H2675" s="70" t="str">
        <f aca="false">IF(A2675="","",IFERROR(INDEX(السندات!$C$5:$C$504,MATCH(A2675,السندات!$A$5:$A$504,0)),""))</f>
        <v/>
      </c>
      <c r="I2675" s="71" t="str">
        <f aca="false">IF(A2675="","",IFERROR(INDEX(السندات!$D$5:$D$504,MATCH(A2675,السندات!$A$5:$A$504,0)),""))</f>
        <v/>
      </c>
      <c r="J2675" s="72" t="str">
        <f aca="false">IF(A2675="","",IF(ISNA(MATCH(A2675,السندات!$A$5:$A$504,0)),"رقم سند غير موجود ✘",IF(AND(F2675&lt;&gt;"",G2675&lt;&gt;""),"اكتب مدين أو دائن فقط ✘",IF(AND(N(F2675)=0,N(G2675)=0),"بدون مبلغ ⚠",IF(B2675&gt;12,"يتجاوز 12 بنداً في الطباعة ⚠","")))))</f>
        <v/>
      </c>
    </row>
    <row r="2676" customFormat="false" ht="15" hidden="false" customHeight="false" outlineLevel="0" collapsed="false">
      <c r="A2676" s="58"/>
      <c r="B2676" s="73" t="str">
        <f aca="false">IF(A2676="","",COUNTIF(A$5:A2676,A2676))</f>
        <v/>
      </c>
      <c r="C2676" s="73" t="str">
        <f aca="false">IF(A2676="","",A2676&amp;"-"&amp;B2676)</f>
        <v/>
      </c>
      <c r="D2676" s="58"/>
      <c r="E2676" s="57"/>
      <c r="F2676" s="69"/>
      <c r="G2676" s="69"/>
      <c r="H2676" s="74" t="str">
        <f aca="false">IF(A2676="","",IFERROR(INDEX(السندات!$C$5:$C$504,MATCH(A2676,السندات!$A$5:$A$504,0)),""))</f>
        <v/>
      </c>
      <c r="I2676" s="75" t="str">
        <f aca="false">IF(A2676="","",IFERROR(INDEX(السندات!$D$5:$D$504,MATCH(A2676,السندات!$A$5:$A$504,0)),""))</f>
        <v/>
      </c>
      <c r="J2676" s="76" t="str">
        <f aca="false">IF(A2676="","",IF(ISNA(MATCH(A2676,السندات!$A$5:$A$504,0)),"رقم سند غير موجود ✘",IF(AND(F2676&lt;&gt;"",G2676&lt;&gt;""),"اكتب مدين أو دائن فقط ✘",IF(AND(N(F2676)=0,N(G2676)=0),"بدون مبلغ ⚠",IF(B2676&gt;12,"يتجاوز 12 بنداً في الطباعة ⚠","")))))</f>
        <v/>
      </c>
    </row>
    <row r="2677" customFormat="false" ht="15" hidden="false" customHeight="false" outlineLevel="0" collapsed="false">
      <c r="A2677" s="58"/>
      <c r="B2677" s="68" t="str">
        <f aca="false">IF(A2677="","",COUNTIF(A$5:A2677,A2677))</f>
        <v/>
      </c>
      <c r="C2677" s="68" t="str">
        <f aca="false">IF(A2677="","",A2677&amp;"-"&amp;B2677)</f>
        <v/>
      </c>
      <c r="D2677" s="58"/>
      <c r="E2677" s="57"/>
      <c r="F2677" s="69"/>
      <c r="G2677" s="69"/>
      <c r="H2677" s="70" t="str">
        <f aca="false">IF(A2677="","",IFERROR(INDEX(السندات!$C$5:$C$504,MATCH(A2677,السندات!$A$5:$A$504,0)),""))</f>
        <v/>
      </c>
      <c r="I2677" s="71" t="str">
        <f aca="false">IF(A2677="","",IFERROR(INDEX(السندات!$D$5:$D$504,MATCH(A2677,السندات!$A$5:$A$504,0)),""))</f>
        <v/>
      </c>
      <c r="J2677" s="72" t="str">
        <f aca="false">IF(A2677="","",IF(ISNA(MATCH(A2677,السندات!$A$5:$A$504,0)),"رقم سند غير موجود ✘",IF(AND(F2677&lt;&gt;"",G2677&lt;&gt;""),"اكتب مدين أو دائن فقط ✘",IF(AND(N(F2677)=0,N(G2677)=0),"بدون مبلغ ⚠",IF(B2677&gt;12,"يتجاوز 12 بنداً في الطباعة ⚠","")))))</f>
        <v/>
      </c>
    </row>
    <row r="2678" customFormat="false" ht="15" hidden="false" customHeight="false" outlineLevel="0" collapsed="false">
      <c r="A2678" s="58"/>
      <c r="B2678" s="73" t="str">
        <f aca="false">IF(A2678="","",COUNTIF(A$5:A2678,A2678))</f>
        <v/>
      </c>
      <c r="C2678" s="73" t="str">
        <f aca="false">IF(A2678="","",A2678&amp;"-"&amp;B2678)</f>
        <v/>
      </c>
      <c r="D2678" s="58"/>
      <c r="E2678" s="57"/>
      <c r="F2678" s="69"/>
      <c r="G2678" s="69"/>
      <c r="H2678" s="74" t="str">
        <f aca="false">IF(A2678="","",IFERROR(INDEX(السندات!$C$5:$C$504,MATCH(A2678,السندات!$A$5:$A$504,0)),""))</f>
        <v/>
      </c>
      <c r="I2678" s="75" t="str">
        <f aca="false">IF(A2678="","",IFERROR(INDEX(السندات!$D$5:$D$504,MATCH(A2678,السندات!$A$5:$A$504,0)),""))</f>
        <v/>
      </c>
      <c r="J2678" s="76" t="str">
        <f aca="false">IF(A2678="","",IF(ISNA(MATCH(A2678,السندات!$A$5:$A$504,0)),"رقم سند غير موجود ✘",IF(AND(F2678&lt;&gt;"",G2678&lt;&gt;""),"اكتب مدين أو دائن فقط ✘",IF(AND(N(F2678)=0,N(G2678)=0),"بدون مبلغ ⚠",IF(B2678&gt;12,"يتجاوز 12 بنداً في الطباعة ⚠","")))))</f>
        <v/>
      </c>
    </row>
    <row r="2679" customFormat="false" ht="15" hidden="false" customHeight="false" outlineLevel="0" collapsed="false">
      <c r="A2679" s="58"/>
      <c r="B2679" s="68" t="str">
        <f aca="false">IF(A2679="","",COUNTIF(A$5:A2679,A2679))</f>
        <v/>
      </c>
      <c r="C2679" s="68" t="str">
        <f aca="false">IF(A2679="","",A2679&amp;"-"&amp;B2679)</f>
        <v/>
      </c>
      <c r="D2679" s="58"/>
      <c r="E2679" s="57"/>
      <c r="F2679" s="69"/>
      <c r="G2679" s="69"/>
      <c r="H2679" s="70" t="str">
        <f aca="false">IF(A2679="","",IFERROR(INDEX(السندات!$C$5:$C$504,MATCH(A2679,السندات!$A$5:$A$504,0)),""))</f>
        <v/>
      </c>
      <c r="I2679" s="71" t="str">
        <f aca="false">IF(A2679="","",IFERROR(INDEX(السندات!$D$5:$D$504,MATCH(A2679,السندات!$A$5:$A$504,0)),""))</f>
        <v/>
      </c>
      <c r="J2679" s="72" t="str">
        <f aca="false">IF(A2679="","",IF(ISNA(MATCH(A2679,السندات!$A$5:$A$504,0)),"رقم سند غير موجود ✘",IF(AND(F2679&lt;&gt;"",G2679&lt;&gt;""),"اكتب مدين أو دائن فقط ✘",IF(AND(N(F2679)=0,N(G2679)=0),"بدون مبلغ ⚠",IF(B2679&gt;12,"يتجاوز 12 بنداً في الطباعة ⚠","")))))</f>
        <v/>
      </c>
    </row>
    <row r="2680" customFormat="false" ht="15" hidden="false" customHeight="false" outlineLevel="0" collapsed="false">
      <c r="A2680" s="58"/>
      <c r="B2680" s="73" t="str">
        <f aca="false">IF(A2680="","",COUNTIF(A$5:A2680,A2680))</f>
        <v/>
      </c>
      <c r="C2680" s="73" t="str">
        <f aca="false">IF(A2680="","",A2680&amp;"-"&amp;B2680)</f>
        <v/>
      </c>
      <c r="D2680" s="58"/>
      <c r="E2680" s="57"/>
      <c r="F2680" s="69"/>
      <c r="G2680" s="69"/>
      <c r="H2680" s="74" t="str">
        <f aca="false">IF(A2680="","",IFERROR(INDEX(السندات!$C$5:$C$504,MATCH(A2680,السندات!$A$5:$A$504,0)),""))</f>
        <v/>
      </c>
      <c r="I2680" s="75" t="str">
        <f aca="false">IF(A2680="","",IFERROR(INDEX(السندات!$D$5:$D$504,MATCH(A2680,السندات!$A$5:$A$504,0)),""))</f>
        <v/>
      </c>
      <c r="J2680" s="76" t="str">
        <f aca="false">IF(A2680="","",IF(ISNA(MATCH(A2680,السندات!$A$5:$A$504,0)),"رقم سند غير موجود ✘",IF(AND(F2680&lt;&gt;"",G2680&lt;&gt;""),"اكتب مدين أو دائن فقط ✘",IF(AND(N(F2680)=0,N(G2680)=0),"بدون مبلغ ⚠",IF(B2680&gt;12,"يتجاوز 12 بنداً في الطباعة ⚠","")))))</f>
        <v/>
      </c>
    </row>
    <row r="2681" customFormat="false" ht="15" hidden="false" customHeight="false" outlineLevel="0" collapsed="false">
      <c r="A2681" s="58"/>
      <c r="B2681" s="68" t="str">
        <f aca="false">IF(A2681="","",COUNTIF(A$5:A2681,A2681))</f>
        <v/>
      </c>
      <c r="C2681" s="68" t="str">
        <f aca="false">IF(A2681="","",A2681&amp;"-"&amp;B2681)</f>
        <v/>
      </c>
      <c r="D2681" s="58"/>
      <c r="E2681" s="57"/>
      <c r="F2681" s="69"/>
      <c r="G2681" s="69"/>
      <c r="H2681" s="70" t="str">
        <f aca="false">IF(A2681="","",IFERROR(INDEX(السندات!$C$5:$C$504,MATCH(A2681,السندات!$A$5:$A$504,0)),""))</f>
        <v/>
      </c>
      <c r="I2681" s="71" t="str">
        <f aca="false">IF(A2681="","",IFERROR(INDEX(السندات!$D$5:$D$504,MATCH(A2681,السندات!$A$5:$A$504,0)),""))</f>
        <v/>
      </c>
      <c r="J2681" s="72" t="str">
        <f aca="false">IF(A2681="","",IF(ISNA(MATCH(A2681,السندات!$A$5:$A$504,0)),"رقم سند غير موجود ✘",IF(AND(F2681&lt;&gt;"",G2681&lt;&gt;""),"اكتب مدين أو دائن فقط ✘",IF(AND(N(F2681)=0,N(G2681)=0),"بدون مبلغ ⚠",IF(B2681&gt;12,"يتجاوز 12 بنداً في الطباعة ⚠","")))))</f>
        <v/>
      </c>
    </row>
    <row r="2682" customFormat="false" ht="15" hidden="false" customHeight="false" outlineLevel="0" collapsed="false">
      <c r="A2682" s="58"/>
      <c r="B2682" s="73" t="str">
        <f aca="false">IF(A2682="","",COUNTIF(A$5:A2682,A2682))</f>
        <v/>
      </c>
      <c r="C2682" s="73" t="str">
        <f aca="false">IF(A2682="","",A2682&amp;"-"&amp;B2682)</f>
        <v/>
      </c>
      <c r="D2682" s="58"/>
      <c r="E2682" s="57"/>
      <c r="F2682" s="69"/>
      <c r="G2682" s="69"/>
      <c r="H2682" s="74" t="str">
        <f aca="false">IF(A2682="","",IFERROR(INDEX(السندات!$C$5:$C$504,MATCH(A2682,السندات!$A$5:$A$504,0)),""))</f>
        <v/>
      </c>
      <c r="I2682" s="75" t="str">
        <f aca="false">IF(A2682="","",IFERROR(INDEX(السندات!$D$5:$D$504,MATCH(A2682,السندات!$A$5:$A$504,0)),""))</f>
        <v/>
      </c>
      <c r="J2682" s="76" t="str">
        <f aca="false">IF(A2682="","",IF(ISNA(MATCH(A2682,السندات!$A$5:$A$504,0)),"رقم سند غير موجود ✘",IF(AND(F2682&lt;&gt;"",G2682&lt;&gt;""),"اكتب مدين أو دائن فقط ✘",IF(AND(N(F2682)=0,N(G2682)=0),"بدون مبلغ ⚠",IF(B2682&gt;12,"يتجاوز 12 بنداً في الطباعة ⚠","")))))</f>
        <v/>
      </c>
    </row>
    <row r="2683" customFormat="false" ht="15" hidden="false" customHeight="false" outlineLevel="0" collapsed="false">
      <c r="A2683" s="58"/>
      <c r="B2683" s="68" t="str">
        <f aca="false">IF(A2683="","",COUNTIF(A$5:A2683,A2683))</f>
        <v/>
      </c>
      <c r="C2683" s="68" t="str">
        <f aca="false">IF(A2683="","",A2683&amp;"-"&amp;B2683)</f>
        <v/>
      </c>
      <c r="D2683" s="58"/>
      <c r="E2683" s="57"/>
      <c r="F2683" s="69"/>
      <c r="G2683" s="69"/>
      <c r="H2683" s="70" t="str">
        <f aca="false">IF(A2683="","",IFERROR(INDEX(السندات!$C$5:$C$504,MATCH(A2683,السندات!$A$5:$A$504,0)),""))</f>
        <v/>
      </c>
      <c r="I2683" s="71" t="str">
        <f aca="false">IF(A2683="","",IFERROR(INDEX(السندات!$D$5:$D$504,MATCH(A2683,السندات!$A$5:$A$504,0)),""))</f>
        <v/>
      </c>
      <c r="J2683" s="72" t="str">
        <f aca="false">IF(A2683="","",IF(ISNA(MATCH(A2683,السندات!$A$5:$A$504,0)),"رقم سند غير موجود ✘",IF(AND(F2683&lt;&gt;"",G2683&lt;&gt;""),"اكتب مدين أو دائن فقط ✘",IF(AND(N(F2683)=0,N(G2683)=0),"بدون مبلغ ⚠",IF(B2683&gt;12,"يتجاوز 12 بنداً في الطباعة ⚠","")))))</f>
        <v/>
      </c>
    </row>
    <row r="2684" customFormat="false" ht="15" hidden="false" customHeight="false" outlineLevel="0" collapsed="false">
      <c r="A2684" s="58"/>
      <c r="B2684" s="73" t="str">
        <f aca="false">IF(A2684="","",COUNTIF(A$5:A2684,A2684))</f>
        <v/>
      </c>
      <c r="C2684" s="73" t="str">
        <f aca="false">IF(A2684="","",A2684&amp;"-"&amp;B2684)</f>
        <v/>
      </c>
      <c r="D2684" s="58"/>
      <c r="E2684" s="57"/>
      <c r="F2684" s="69"/>
      <c r="G2684" s="69"/>
      <c r="H2684" s="74" t="str">
        <f aca="false">IF(A2684="","",IFERROR(INDEX(السندات!$C$5:$C$504,MATCH(A2684,السندات!$A$5:$A$504,0)),""))</f>
        <v/>
      </c>
      <c r="I2684" s="75" t="str">
        <f aca="false">IF(A2684="","",IFERROR(INDEX(السندات!$D$5:$D$504,MATCH(A2684,السندات!$A$5:$A$504,0)),""))</f>
        <v/>
      </c>
      <c r="J2684" s="76" t="str">
        <f aca="false">IF(A2684="","",IF(ISNA(MATCH(A2684,السندات!$A$5:$A$504,0)),"رقم سند غير موجود ✘",IF(AND(F2684&lt;&gt;"",G2684&lt;&gt;""),"اكتب مدين أو دائن فقط ✘",IF(AND(N(F2684)=0,N(G2684)=0),"بدون مبلغ ⚠",IF(B2684&gt;12,"يتجاوز 12 بنداً في الطباعة ⚠","")))))</f>
        <v/>
      </c>
    </row>
    <row r="2685" customFormat="false" ht="15" hidden="false" customHeight="false" outlineLevel="0" collapsed="false">
      <c r="A2685" s="58"/>
      <c r="B2685" s="68" t="str">
        <f aca="false">IF(A2685="","",COUNTIF(A$5:A2685,A2685))</f>
        <v/>
      </c>
      <c r="C2685" s="68" t="str">
        <f aca="false">IF(A2685="","",A2685&amp;"-"&amp;B2685)</f>
        <v/>
      </c>
      <c r="D2685" s="58"/>
      <c r="E2685" s="57"/>
      <c r="F2685" s="69"/>
      <c r="G2685" s="69"/>
      <c r="H2685" s="70" t="str">
        <f aca="false">IF(A2685="","",IFERROR(INDEX(السندات!$C$5:$C$504,MATCH(A2685,السندات!$A$5:$A$504,0)),""))</f>
        <v/>
      </c>
      <c r="I2685" s="71" t="str">
        <f aca="false">IF(A2685="","",IFERROR(INDEX(السندات!$D$5:$D$504,MATCH(A2685,السندات!$A$5:$A$504,0)),""))</f>
        <v/>
      </c>
      <c r="J2685" s="72" t="str">
        <f aca="false">IF(A2685="","",IF(ISNA(MATCH(A2685,السندات!$A$5:$A$504,0)),"رقم سند غير موجود ✘",IF(AND(F2685&lt;&gt;"",G2685&lt;&gt;""),"اكتب مدين أو دائن فقط ✘",IF(AND(N(F2685)=0,N(G2685)=0),"بدون مبلغ ⚠",IF(B2685&gt;12,"يتجاوز 12 بنداً في الطباعة ⚠","")))))</f>
        <v/>
      </c>
    </row>
    <row r="2686" customFormat="false" ht="15" hidden="false" customHeight="false" outlineLevel="0" collapsed="false">
      <c r="A2686" s="58"/>
      <c r="B2686" s="73" t="str">
        <f aca="false">IF(A2686="","",COUNTIF(A$5:A2686,A2686))</f>
        <v/>
      </c>
      <c r="C2686" s="73" t="str">
        <f aca="false">IF(A2686="","",A2686&amp;"-"&amp;B2686)</f>
        <v/>
      </c>
      <c r="D2686" s="58"/>
      <c r="E2686" s="57"/>
      <c r="F2686" s="69"/>
      <c r="G2686" s="69"/>
      <c r="H2686" s="74" t="str">
        <f aca="false">IF(A2686="","",IFERROR(INDEX(السندات!$C$5:$C$504,MATCH(A2686,السندات!$A$5:$A$504,0)),""))</f>
        <v/>
      </c>
      <c r="I2686" s="75" t="str">
        <f aca="false">IF(A2686="","",IFERROR(INDEX(السندات!$D$5:$D$504,MATCH(A2686,السندات!$A$5:$A$504,0)),""))</f>
        <v/>
      </c>
      <c r="J2686" s="76" t="str">
        <f aca="false">IF(A2686="","",IF(ISNA(MATCH(A2686,السندات!$A$5:$A$504,0)),"رقم سند غير موجود ✘",IF(AND(F2686&lt;&gt;"",G2686&lt;&gt;""),"اكتب مدين أو دائن فقط ✘",IF(AND(N(F2686)=0,N(G2686)=0),"بدون مبلغ ⚠",IF(B2686&gt;12,"يتجاوز 12 بنداً في الطباعة ⚠","")))))</f>
        <v/>
      </c>
    </row>
    <row r="2687" customFormat="false" ht="15" hidden="false" customHeight="false" outlineLevel="0" collapsed="false">
      <c r="A2687" s="58"/>
      <c r="B2687" s="68" t="str">
        <f aca="false">IF(A2687="","",COUNTIF(A$5:A2687,A2687))</f>
        <v/>
      </c>
      <c r="C2687" s="68" t="str">
        <f aca="false">IF(A2687="","",A2687&amp;"-"&amp;B2687)</f>
        <v/>
      </c>
      <c r="D2687" s="58"/>
      <c r="E2687" s="57"/>
      <c r="F2687" s="69"/>
      <c r="G2687" s="69"/>
      <c r="H2687" s="70" t="str">
        <f aca="false">IF(A2687="","",IFERROR(INDEX(السندات!$C$5:$C$504,MATCH(A2687,السندات!$A$5:$A$504,0)),""))</f>
        <v/>
      </c>
      <c r="I2687" s="71" t="str">
        <f aca="false">IF(A2687="","",IFERROR(INDEX(السندات!$D$5:$D$504,MATCH(A2687,السندات!$A$5:$A$504,0)),""))</f>
        <v/>
      </c>
      <c r="J2687" s="72" t="str">
        <f aca="false">IF(A2687="","",IF(ISNA(MATCH(A2687,السندات!$A$5:$A$504,0)),"رقم سند غير موجود ✘",IF(AND(F2687&lt;&gt;"",G2687&lt;&gt;""),"اكتب مدين أو دائن فقط ✘",IF(AND(N(F2687)=0,N(G2687)=0),"بدون مبلغ ⚠",IF(B2687&gt;12,"يتجاوز 12 بنداً في الطباعة ⚠","")))))</f>
        <v/>
      </c>
    </row>
    <row r="2688" customFormat="false" ht="15" hidden="false" customHeight="false" outlineLevel="0" collapsed="false">
      <c r="A2688" s="58"/>
      <c r="B2688" s="73" t="str">
        <f aca="false">IF(A2688="","",COUNTIF(A$5:A2688,A2688))</f>
        <v/>
      </c>
      <c r="C2688" s="73" t="str">
        <f aca="false">IF(A2688="","",A2688&amp;"-"&amp;B2688)</f>
        <v/>
      </c>
      <c r="D2688" s="58"/>
      <c r="E2688" s="57"/>
      <c r="F2688" s="69"/>
      <c r="G2688" s="69"/>
      <c r="H2688" s="74" t="str">
        <f aca="false">IF(A2688="","",IFERROR(INDEX(السندات!$C$5:$C$504,MATCH(A2688,السندات!$A$5:$A$504,0)),""))</f>
        <v/>
      </c>
      <c r="I2688" s="75" t="str">
        <f aca="false">IF(A2688="","",IFERROR(INDEX(السندات!$D$5:$D$504,MATCH(A2688,السندات!$A$5:$A$504,0)),""))</f>
        <v/>
      </c>
      <c r="J2688" s="76" t="str">
        <f aca="false">IF(A2688="","",IF(ISNA(MATCH(A2688,السندات!$A$5:$A$504,0)),"رقم سند غير موجود ✘",IF(AND(F2688&lt;&gt;"",G2688&lt;&gt;""),"اكتب مدين أو دائن فقط ✘",IF(AND(N(F2688)=0,N(G2688)=0),"بدون مبلغ ⚠",IF(B2688&gt;12,"يتجاوز 12 بنداً في الطباعة ⚠","")))))</f>
        <v/>
      </c>
    </row>
    <row r="2689" customFormat="false" ht="15" hidden="false" customHeight="false" outlineLevel="0" collapsed="false">
      <c r="A2689" s="58"/>
      <c r="B2689" s="68" t="str">
        <f aca="false">IF(A2689="","",COUNTIF(A$5:A2689,A2689))</f>
        <v/>
      </c>
      <c r="C2689" s="68" t="str">
        <f aca="false">IF(A2689="","",A2689&amp;"-"&amp;B2689)</f>
        <v/>
      </c>
      <c r="D2689" s="58"/>
      <c r="E2689" s="57"/>
      <c r="F2689" s="69"/>
      <c r="G2689" s="69"/>
      <c r="H2689" s="70" t="str">
        <f aca="false">IF(A2689="","",IFERROR(INDEX(السندات!$C$5:$C$504,MATCH(A2689,السندات!$A$5:$A$504,0)),""))</f>
        <v/>
      </c>
      <c r="I2689" s="71" t="str">
        <f aca="false">IF(A2689="","",IFERROR(INDEX(السندات!$D$5:$D$504,MATCH(A2689,السندات!$A$5:$A$504,0)),""))</f>
        <v/>
      </c>
      <c r="J2689" s="72" t="str">
        <f aca="false">IF(A2689="","",IF(ISNA(MATCH(A2689,السندات!$A$5:$A$504,0)),"رقم سند غير موجود ✘",IF(AND(F2689&lt;&gt;"",G2689&lt;&gt;""),"اكتب مدين أو دائن فقط ✘",IF(AND(N(F2689)=0,N(G2689)=0),"بدون مبلغ ⚠",IF(B2689&gt;12,"يتجاوز 12 بنداً في الطباعة ⚠","")))))</f>
        <v/>
      </c>
    </row>
    <row r="2690" customFormat="false" ht="15" hidden="false" customHeight="false" outlineLevel="0" collapsed="false">
      <c r="A2690" s="58"/>
      <c r="B2690" s="73" t="str">
        <f aca="false">IF(A2690="","",COUNTIF(A$5:A2690,A2690))</f>
        <v/>
      </c>
      <c r="C2690" s="73" t="str">
        <f aca="false">IF(A2690="","",A2690&amp;"-"&amp;B2690)</f>
        <v/>
      </c>
      <c r="D2690" s="58"/>
      <c r="E2690" s="57"/>
      <c r="F2690" s="69"/>
      <c r="G2690" s="69"/>
      <c r="H2690" s="74" t="str">
        <f aca="false">IF(A2690="","",IFERROR(INDEX(السندات!$C$5:$C$504,MATCH(A2690,السندات!$A$5:$A$504,0)),""))</f>
        <v/>
      </c>
      <c r="I2690" s="75" t="str">
        <f aca="false">IF(A2690="","",IFERROR(INDEX(السندات!$D$5:$D$504,MATCH(A2690,السندات!$A$5:$A$504,0)),""))</f>
        <v/>
      </c>
      <c r="J2690" s="76" t="str">
        <f aca="false">IF(A2690="","",IF(ISNA(MATCH(A2690,السندات!$A$5:$A$504,0)),"رقم سند غير موجود ✘",IF(AND(F2690&lt;&gt;"",G2690&lt;&gt;""),"اكتب مدين أو دائن فقط ✘",IF(AND(N(F2690)=0,N(G2690)=0),"بدون مبلغ ⚠",IF(B2690&gt;12,"يتجاوز 12 بنداً في الطباعة ⚠","")))))</f>
        <v/>
      </c>
    </row>
    <row r="2691" customFormat="false" ht="15" hidden="false" customHeight="false" outlineLevel="0" collapsed="false">
      <c r="A2691" s="58"/>
      <c r="B2691" s="68" t="str">
        <f aca="false">IF(A2691="","",COUNTIF(A$5:A2691,A2691))</f>
        <v/>
      </c>
      <c r="C2691" s="68" t="str">
        <f aca="false">IF(A2691="","",A2691&amp;"-"&amp;B2691)</f>
        <v/>
      </c>
      <c r="D2691" s="58"/>
      <c r="E2691" s="57"/>
      <c r="F2691" s="69"/>
      <c r="G2691" s="69"/>
      <c r="H2691" s="70" t="str">
        <f aca="false">IF(A2691="","",IFERROR(INDEX(السندات!$C$5:$C$504,MATCH(A2691,السندات!$A$5:$A$504,0)),""))</f>
        <v/>
      </c>
      <c r="I2691" s="71" t="str">
        <f aca="false">IF(A2691="","",IFERROR(INDEX(السندات!$D$5:$D$504,MATCH(A2691,السندات!$A$5:$A$504,0)),""))</f>
        <v/>
      </c>
      <c r="J2691" s="72" t="str">
        <f aca="false">IF(A2691="","",IF(ISNA(MATCH(A2691,السندات!$A$5:$A$504,0)),"رقم سند غير موجود ✘",IF(AND(F2691&lt;&gt;"",G2691&lt;&gt;""),"اكتب مدين أو دائن فقط ✘",IF(AND(N(F2691)=0,N(G2691)=0),"بدون مبلغ ⚠",IF(B2691&gt;12,"يتجاوز 12 بنداً في الطباعة ⚠","")))))</f>
        <v/>
      </c>
    </row>
    <row r="2692" customFormat="false" ht="15" hidden="false" customHeight="false" outlineLevel="0" collapsed="false">
      <c r="A2692" s="58"/>
      <c r="B2692" s="73" t="str">
        <f aca="false">IF(A2692="","",COUNTIF(A$5:A2692,A2692))</f>
        <v/>
      </c>
      <c r="C2692" s="73" t="str">
        <f aca="false">IF(A2692="","",A2692&amp;"-"&amp;B2692)</f>
        <v/>
      </c>
      <c r="D2692" s="58"/>
      <c r="E2692" s="57"/>
      <c r="F2692" s="69"/>
      <c r="G2692" s="69"/>
      <c r="H2692" s="74" t="str">
        <f aca="false">IF(A2692="","",IFERROR(INDEX(السندات!$C$5:$C$504,MATCH(A2692,السندات!$A$5:$A$504,0)),""))</f>
        <v/>
      </c>
      <c r="I2692" s="75" t="str">
        <f aca="false">IF(A2692="","",IFERROR(INDEX(السندات!$D$5:$D$504,MATCH(A2692,السندات!$A$5:$A$504,0)),""))</f>
        <v/>
      </c>
      <c r="J2692" s="76" t="str">
        <f aca="false">IF(A2692="","",IF(ISNA(MATCH(A2692,السندات!$A$5:$A$504,0)),"رقم سند غير موجود ✘",IF(AND(F2692&lt;&gt;"",G2692&lt;&gt;""),"اكتب مدين أو دائن فقط ✘",IF(AND(N(F2692)=0,N(G2692)=0),"بدون مبلغ ⚠",IF(B2692&gt;12,"يتجاوز 12 بنداً في الطباعة ⚠","")))))</f>
        <v/>
      </c>
    </row>
    <row r="2693" customFormat="false" ht="15" hidden="false" customHeight="false" outlineLevel="0" collapsed="false">
      <c r="A2693" s="58"/>
      <c r="B2693" s="68" t="str">
        <f aca="false">IF(A2693="","",COUNTIF(A$5:A2693,A2693))</f>
        <v/>
      </c>
      <c r="C2693" s="68" t="str">
        <f aca="false">IF(A2693="","",A2693&amp;"-"&amp;B2693)</f>
        <v/>
      </c>
      <c r="D2693" s="58"/>
      <c r="E2693" s="57"/>
      <c r="F2693" s="69"/>
      <c r="G2693" s="69"/>
      <c r="H2693" s="70" t="str">
        <f aca="false">IF(A2693="","",IFERROR(INDEX(السندات!$C$5:$C$504,MATCH(A2693,السندات!$A$5:$A$504,0)),""))</f>
        <v/>
      </c>
      <c r="I2693" s="71" t="str">
        <f aca="false">IF(A2693="","",IFERROR(INDEX(السندات!$D$5:$D$504,MATCH(A2693,السندات!$A$5:$A$504,0)),""))</f>
        <v/>
      </c>
      <c r="J2693" s="72" t="str">
        <f aca="false">IF(A2693="","",IF(ISNA(MATCH(A2693,السندات!$A$5:$A$504,0)),"رقم سند غير موجود ✘",IF(AND(F2693&lt;&gt;"",G2693&lt;&gt;""),"اكتب مدين أو دائن فقط ✘",IF(AND(N(F2693)=0,N(G2693)=0),"بدون مبلغ ⚠",IF(B2693&gt;12,"يتجاوز 12 بنداً في الطباعة ⚠","")))))</f>
        <v/>
      </c>
    </row>
    <row r="2694" customFormat="false" ht="15" hidden="false" customHeight="false" outlineLevel="0" collapsed="false">
      <c r="A2694" s="58"/>
      <c r="B2694" s="73" t="str">
        <f aca="false">IF(A2694="","",COUNTIF(A$5:A2694,A2694))</f>
        <v/>
      </c>
      <c r="C2694" s="73" t="str">
        <f aca="false">IF(A2694="","",A2694&amp;"-"&amp;B2694)</f>
        <v/>
      </c>
      <c r="D2694" s="58"/>
      <c r="E2694" s="57"/>
      <c r="F2694" s="69"/>
      <c r="G2694" s="69"/>
      <c r="H2694" s="74" t="str">
        <f aca="false">IF(A2694="","",IFERROR(INDEX(السندات!$C$5:$C$504,MATCH(A2694,السندات!$A$5:$A$504,0)),""))</f>
        <v/>
      </c>
      <c r="I2694" s="75" t="str">
        <f aca="false">IF(A2694="","",IFERROR(INDEX(السندات!$D$5:$D$504,MATCH(A2694,السندات!$A$5:$A$504,0)),""))</f>
        <v/>
      </c>
      <c r="J2694" s="76" t="str">
        <f aca="false">IF(A2694="","",IF(ISNA(MATCH(A2694,السندات!$A$5:$A$504,0)),"رقم سند غير موجود ✘",IF(AND(F2694&lt;&gt;"",G2694&lt;&gt;""),"اكتب مدين أو دائن فقط ✘",IF(AND(N(F2694)=0,N(G2694)=0),"بدون مبلغ ⚠",IF(B2694&gt;12,"يتجاوز 12 بنداً في الطباعة ⚠","")))))</f>
        <v/>
      </c>
    </row>
    <row r="2695" customFormat="false" ht="15" hidden="false" customHeight="false" outlineLevel="0" collapsed="false">
      <c r="A2695" s="58"/>
      <c r="B2695" s="68" t="str">
        <f aca="false">IF(A2695="","",COUNTIF(A$5:A2695,A2695))</f>
        <v/>
      </c>
      <c r="C2695" s="68" t="str">
        <f aca="false">IF(A2695="","",A2695&amp;"-"&amp;B2695)</f>
        <v/>
      </c>
      <c r="D2695" s="58"/>
      <c r="E2695" s="57"/>
      <c r="F2695" s="69"/>
      <c r="G2695" s="69"/>
      <c r="H2695" s="70" t="str">
        <f aca="false">IF(A2695="","",IFERROR(INDEX(السندات!$C$5:$C$504,MATCH(A2695,السندات!$A$5:$A$504,0)),""))</f>
        <v/>
      </c>
      <c r="I2695" s="71" t="str">
        <f aca="false">IF(A2695="","",IFERROR(INDEX(السندات!$D$5:$D$504,MATCH(A2695,السندات!$A$5:$A$504,0)),""))</f>
        <v/>
      </c>
      <c r="J2695" s="72" t="str">
        <f aca="false">IF(A2695="","",IF(ISNA(MATCH(A2695,السندات!$A$5:$A$504,0)),"رقم سند غير موجود ✘",IF(AND(F2695&lt;&gt;"",G2695&lt;&gt;""),"اكتب مدين أو دائن فقط ✘",IF(AND(N(F2695)=0,N(G2695)=0),"بدون مبلغ ⚠",IF(B2695&gt;12,"يتجاوز 12 بنداً في الطباعة ⚠","")))))</f>
        <v/>
      </c>
    </row>
    <row r="2696" customFormat="false" ht="15" hidden="false" customHeight="false" outlineLevel="0" collapsed="false">
      <c r="A2696" s="58"/>
      <c r="B2696" s="73" t="str">
        <f aca="false">IF(A2696="","",COUNTIF(A$5:A2696,A2696))</f>
        <v/>
      </c>
      <c r="C2696" s="73" t="str">
        <f aca="false">IF(A2696="","",A2696&amp;"-"&amp;B2696)</f>
        <v/>
      </c>
      <c r="D2696" s="58"/>
      <c r="E2696" s="57"/>
      <c r="F2696" s="69"/>
      <c r="G2696" s="69"/>
      <c r="H2696" s="74" t="str">
        <f aca="false">IF(A2696="","",IFERROR(INDEX(السندات!$C$5:$C$504,MATCH(A2696,السندات!$A$5:$A$504,0)),""))</f>
        <v/>
      </c>
      <c r="I2696" s="75" t="str">
        <f aca="false">IF(A2696="","",IFERROR(INDEX(السندات!$D$5:$D$504,MATCH(A2696,السندات!$A$5:$A$504,0)),""))</f>
        <v/>
      </c>
      <c r="J2696" s="76" t="str">
        <f aca="false">IF(A2696="","",IF(ISNA(MATCH(A2696,السندات!$A$5:$A$504,0)),"رقم سند غير موجود ✘",IF(AND(F2696&lt;&gt;"",G2696&lt;&gt;""),"اكتب مدين أو دائن فقط ✘",IF(AND(N(F2696)=0,N(G2696)=0),"بدون مبلغ ⚠",IF(B2696&gt;12,"يتجاوز 12 بنداً في الطباعة ⚠","")))))</f>
        <v/>
      </c>
    </row>
    <row r="2697" customFormat="false" ht="15" hidden="false" customHeight="false" outlineLevel="0" collapsed="false">
      <c r="A2697" s="58"/>
      <c r="B2697" s="68" t="str">
        <f aca="false">IF(A2697="","",COUNTIF(A$5:A2697,A2697))</f>
        <v/>
      </c>
      <c r="C2697" s="68" t="str">
        <f aca="false">IF(A2697="","",A2697&amp;"-"&amp;B2697)</f>
        <v/>
      </c>
      <c r="D2697" s="58"/>
      <c r="E2697" s="57"/>
      <c r="F2697" s="69"/>
      <c r="G2697" s="69"/>
      <c r="H2697" s="70" t="str">
        <f aca="false">IF(A2697="","",IFERROR(INDEX(السندات!$C$5:$C$504,MATCH(A2697,السندات!$A$5:$A$504,0)),""))</f>
        <v/>
      </c>
      <c r="I2697" s="71" t="str">
        <f aca="false">IF(A2697="","",IFERROR(INDEX(السندات!$D$5:$D$504,MATCH(A2697,السندات!$A$5:$A$504,0)),""))</f>
        <v/>
      </c>
      <c r="J2697" s="72" t="str">
        <f aca="false">IF(A2697="","",IF(ISNA(MATCH(A2697,السندات!$A$5:$A$504,0)),"رقم سند غير موجود ✘",IF(AND(F2697&lt;&gt;"",G2697&lt;&gt;""),"اكتب مدين أو دائن فقط ✘",IF(AND(N(F2697)=0,N(G2697)=0),"بدون مبلغ ⚠",IF(B2697&gt;12,"يتجاوز 12 بنداً في الطباعة ⚠","")))))</f>
        <v/>
      </c>
    </row>
    <row r="2698" customFormat="false" ht="15" hidden="false" customHeight="false" outlineLevel="0" collapsed="false">
      <c r="A2698" s="58"/>
      <c r="B2698" s="73" t="str">
        <f aca="false">IF(A2698="","",COUNTIF(A$5:A2698,A2698))</f>
        <v/>
      </c>
      <c r="C2698" s="73" t="str">
        <f aca="false">IF(A2698="","",A2698&amp;"-"&amp;B2698)</f>
        <v/>
      </c>
      <c r="D2698" s="58"/>
      <c r="E2698" s="57"/>
      <c r="F2698" s="69"/>
      <c r="G2698" s="69"/>
      <c r="H2698" s="74" t="str">
        <f aca="false">IF(A2698="","",IFERROR(INDEX(السندات!$C$5:$C$504,MATCH(A2698,السندات!$A$5:$A$504,0)),""))</f>
        <v/>
      </c>
      <c r="I2698" s="75" t="str">
        <f aca="false">IF(A2698="","",IFERROR(INDEX(السندات!$D$5:$D$504,MATCH(A2698,السندات!$A$5:$A$504,0)),""))</f>
        <v/>
      </c>
      <c r="J2698" s="76" t="str">
        <f aca="false">IF(A2698="","",IF(ISNA(MATCH(A2698,السندات!$A$5:$A$504,0)),"رقم سند غير موجود ✘",IF(AND(F2698&lt;&gt;"",G2698&lt;&gt;""),"اكتب مدين أو دائن فقط ✘",IF(AND(N(F2698)=0,N(G2698)=0),"بدون مبلغ ⚠",IF(B2698&gt;12,"يتجاوز 12 بنداً في الطباعة ⚠","")))))</f>
        <v/>
      </c>
    </row>
    <row r="2699" customFormat="false" ht="15" hidden="false" customHeight="false" outlineLevel="0" collapsed="false">
      <c r="A2699" s="58"/>
      <c r="B2699" s="68" t="str">
        <f aca="false">IF(A2699="","",COUNTIF(A$5:A2699,A2699))</f>
        <v/>
      </c>
      <c r="C2699" s="68" t="str">
        <f aca="false">IF(A2699="","",A2699&amp;"-"&amp;B2699)</f>
        <v/>
      </c>
      <c r="D2699" s="58"/>
      <c r="E2699" s="57"/>
      <c r="F2699" s="69"/>
      <c r="G2699" s="69"/>
      <c r="H2699" s="70" t="str">
        <f aca="false">IF(A2699="","",IFERROR(INDEX(السندات!$C$5:$C$504,MATCH(A2699,السندات!$A$5:$A$504,0)),""))</f>
        <v/>
      </c>
      <c r="I2699" s="71" t="str">
        <f aca="false">IF(A2699="","",IFERROR(INDEX(السندات!$D$5:$D$504,MATCH(A2699,السندات!$A$5:$A$504,0)),""))</f>
        <v/>
      </c>
      <c r="J2699" s="72" t="str">
        <f aca="false">IF(A2699="","",IF(ISNA(MATCH(A2699,السندات!$A$5:$A$504,0)),"رقم سند غير موجود ✘",IF(AND(F2699&lt;&gt;"",G2699&lt;&gt;""),"اكتب مدين أو دائن فقط ✘",IF(AND(N(F2699)=0,N(G2699)=0),"بدون مبلغ ⚠",IF(B2699&gt;12,"يتجاوز 12 بنداً في الطباعة ⚠","")))))</f>
        <v/>
      </c>
    </row>
    <row r="2700" customFormat="false" ht="15" hidden="false" customHeight="false" outlineLevel="0" collapsed="false">
      <c r="A2700" s="58"/>
      <c r="B2700" s="73" t="str">
        <f aca="false">IF(A2700="","",COUNTIF(A$5:A2700,A2700))</f>
        <v/>
      </c>
      <c r="C2700" s="73" t="str">
        <f aca="false">IF(A2700="","",A2700&amp;"-"&amp;B2700)</f>
        <v/>
      </c>
      <c r="D2700" s="58"/>
      <c r="E2700" s="57"/>
      <c r="F2700" s="69"/>
      <c r="G2700" s="69"/>
      <c r="H2700" s="74" t="str">
        <f aca="false">IF(A2700="","",IFERROR(INDEX(السندات!$C$5:$C$504,MATCH(A2700,السندات!$A$5:$A$504,0)),""))</f>
        <v/>
      </c>
      <c r="I2700" s="75" t="str">
        <f aca="false">IF(A2700="","",IFERROR(INDEX(السندات!$D$5:$D$504,MATCH(A2700,السندات!$A$5:$A$504,0)),""))</f>
        <v/>
      </c>
      <c r="J2700" s="76" t="str">
        <f aca="false">IF(A2700="","",IF(ISNA(MATCH(A2700,السندات!$A$5:$A$504,0)),"رقم سند غير موجود ✘",IF(AND(F2700&lt;&gt;"",G2700&lt;&gt;""),"اكتب مدين أو دائن فقط ✘",IF(AND(N(F2700)=0,N(G2700)=0),"بدون مبلغ ⚠",IF(B2700&gt;12,"يتجاوز 12 بنداً في الطباعة ⚠","")))))</f>
        <v/>
      </c>
    </row>
    <row r="2701" customFormat="false" ht="15" hidden="false" customHeight="false" outlineLevel="0" collapsed="false">
      <c r="A2701" s="58"/>
      <c r="B2701" s="68" t="str">
        <f aca="false">IF(A2701="","",COUNTIF(A$5:A2701,A2701))</f>
        <v/>
      </c>
      <c r="C2701" s="68" t="str">
        <f aca="false">IF(A2701="","",A2701&amp;"-"&amp;B2701)</f>
        <v/>
      </c>
      <c r="D2701" s="58"/>
      <c r="E2701" s="57"/>
      <c r="F2701" s="69"/>
      <c r="G2701" s="69"/>
      <c r="H2701" s="70" t="str">
        <f aca="false">IF(A2701="","",IFERROR(INDEX(السندات!$C$5:$C$504,MATCH(A2701,السندات!$A$5:$A$504,0)),""))</f>
        <v/>
      </c>
      <c r="I2701" s="71" t="str">
        <f aca="false">IF(A2701="","",IFERROR(INDEX(السندات!$D$5:$D$504,MATCH(A2701,السندات!$A$5:$A$504,0)),""))</f>
        <v/>
      </c>
      <c r="J2701" s="72" t="str">
        <f aca="false">IF(A2701="","",IF(ISNA(MATCH(A2701,السندات!$A$5:$A$504,0)),"رقم سند غير موجود ✘",IF(AND(F2701&lt;&gt;"",G2701&lt;&gt;""),"اكتب مدين أو دائن فقط ✘",IF(AND(N(F2701)=0,N(G2701)=0),"بدون مبلغ ⚠",IF(B2701&gt;12,"يتجاوز 12 بنداً في الطباعة ⚠","")))))</f>
        <v/>
      </c>
    </row>
    <row r="2702" customFormat="false" ht="15" hidden="false" customHeight="false" outlineLevel="0" collapsed="false">
      <c r="A2702" s="58"/>
      <c r="B2702" s="73" t="str">
        <f aca="false">IF(A2702="","",COUNTIF(A$5:A2702,A2702))</f>
        <v/>
      </c>
      <c r="C2702" s="73" t="str">
        <f aca="false">IF(A2702="","",A2702&amp;"-"&amp;B2702)</f>
        <v/>
      </c>
      <c r="D2702" s="58"/>
      <c r="E2702" s="57"/>
      <c r="F2702" s="69"/>
      <c r="G2702" s="69"/>
      <c r="H2702" s="74" t="str">
        <f aca="false">IF(A2702="","",IFERROR(INDEX(السندات!$C$5:$C$504,MATCH(A2702,السندات!$A$5:$A$504,0)),""))</f>
        <v/>
      </c>
      <c r="I2702" s="75" t="str">
        <f aca="false">IF(A2702="","",IFERROR(INDEX(السندات!$D$5:$D$504,MATCH(A2702,السندات!$A$5:$A$504,0)),""))</f>
        <v/>
      </c>
      <c r="J2702" s="76" t="str">
        <f aca="false">IF(A2702="","",IF(ISNA(MATCH(A2702,السندات!$A$5:$A$504,0)),"رقم سند غير موجود ✘",IF(AND(F2702&lt;&gt;"",G2702&lt;&gt;""),"اكتب مدين أو دائن فقط ✘",IF(AND(N(F2702)=0,N(G2702)=0),"بدون مبلغ ⚠",IF(B2702&gt;12,"يتجاوز 12 بنداً في الطباعة ⚠","")))))</f>
        <v/>
      </c>
    </row>
    <row r="2703" customFormat="false" ht="15" hidden="false" customHeight="false" outlineLevel="0" collapsed="false">
      <c r="A2703" s="58"/>
      <c r="B2703" s="68" t="str">
        <f aca="false">IF(A2703="","",COUNTIF(A$5:A2703,A2703))</f>
        <v/>
      </c>
      <c r="C2703" s="68" t="str">
        <f aca="false">IF(A2703="","",A2703&amp;"-"&amp;B2703)</f>
        <v/>
      </c>
      <c r="D2703" s="58"/>
      <c r="E2703" s="57"/>
      <c r="F2703" s="69"/>
      <c r="G2703" s="69"/>
      <c r="H2703" s="70" t="str">
        <f aca="false">IF(A2703="","",IFERROR(INDEX(السندات!$C$5:$C$504,MATCH(A2703,السندات!$A$5:$A$504,0)),""))</f>
        <v/>
      </c>
      <c r="I2703" s="71" t="str">
        <f aca="false">IF(A2703="","",IFERROR(INDEX(السندات!$D$5:$D$504,MATCH(A2703,السندات!$A$5:$A$504,0)),""))</f>
        <v/>
      </c>
      <c r="J2703" s="72" t="str">
        <f aca="false">IF(A2703="","",IF(ISNA(MATCH(A2703,السندات!$A$5:$A$504,0)),"رقم سند غير موجود ✘",IF(AND(F2703&lt;&gt;"",G2703&lt;&gt;""),"اكتب مدين أو دائن فقط ✘",IF(AND(N(F2703)=0,N(G2703)=0),"بدون مبلغ ⚠",IF(B2703&gt;12,"يتجاوز 12 بنداً في الطباعة ⚠","")))))</f>
        <v/>
      </c>
    </row>
    <row r="2704" customFormat="false" ht="15" hidden="false" customHeight="false" outlineLevel="0" collapsed="false">
      <c r="A2704" s="58"/>
      <c r="B2704" s="73" t="str">
        <f aca="false">IF(A2704="","",COUNTIF(A$5:A2704,A2704))</f>
        <v/>
      </c>
      <c r="C2704" s="73" t="str">
        <f aca="false">IF(A2704="","",A2704&amp;"-"&amp;B2704)</f>
        <v/>
      </c>
      <c r="D2704" s="58"/>
      <c r="E2704" s="57"/>
      <c r="F2704" s="69"/>
      <c r="G2704" s="69"/>
      <c r="H2704" s="74" t="str">
        <f aca="false">IF(A2704="","",IFERROR(INDEX(السندات!$C$5:$C$504,MATCH(A2704,السندات!$A$5:$A$504,0)),""))</f>
        <v/>
      </c>
      <c r="I2704" s="75" t="str">
        <f aca="false">IF(A2704="","",IFERROR(INDEX(السندات!$D$5:$D$504,MATCH(A2704,السندات!$A$5:$A$504,0)),""))</f>
        <v/>
      </c>
      <c r="J2704" s="76" t="str">
        <f aca="false">IF(A2704="","",IF(ISNA(MATCH(A2704,السندات!$A$5:$A$504,0)),"رقم سند غير موجود ✘",IF(AND(F2704&lt;&gt;"",G2704&lt;&gt;""),"اكتب مدين أو دائن فقط ✘",IF(AND(N(F2704)=0,N(G2704)=0),"بدون مبلغ ⚠",IF(B2704&gt;12,"يتجاوز 12 بنداً في الطباعة ⚠","")))))</f>
        <v/>
      </c>
    </row>
    <row r="2705" customFormat="false" ht="15" hidden="false" customHeight="false" outlineLevel="0" collapsed="false">
      <c r="A2705" s="58"/>
      <c r="B2705" s="68" t="str">
        <f aca="false">IF(A2705="","",COUNTIF(A$5:A2705,A2705))</f>
        <v/>
      </c>
      <c r="C2705" s="68" t="str">
        <f aca="false">IF(A2705="","",A2705&amp;"-"&amp;B2705)</f>
        <v/>
      </c>
      <c r="D2705" s="58"/>
      <c r="E2705" s="57"/>
      <c r="F2705" s="69"/>
      <c r="G2705" s="69"/>
      <c r="H2705" s="70" t="str">
        <f aca="false">IF(A2705="","",IFERROR(INDEX(السندات!$C$5:$C$504,MATCH(A2705,السندات!$A$5:$A$504,0)),""))</f>
        <v/>
      </c>
      <c r="I2705" s="71" t="str">
        <f aca="false">IF(A2705="","",IFERROR(INDEX(السندات!$D$5:$D$504,MATCH(A2705,السندات!$A$5:$A$504,0)),""))</f>
        <v/>
      </c>
      <c r="J2705" s="72" t="str">
        <f aca="false">IF(A2705="","",IF(ISNA(MATCH(A2705,السندات!$A$5:$A$504,0)),"رقم سند غير موجود ✘",IF(AND(F2705&lt;&gt;"",G2705&lt;&gt;""),"اكتب مدين أو دائن فقط ✘",IF(AND(N(F2705)=0,N(G2705)=0),"بدون مبلغ ⚠",IF(B2705&gt;12,"يتجاوز 12 بنداً في الطباعة ⚠","")))))</f>
        <v/>
      </c>
    </row>
    <row r="2706" customFormat="false" ht="15" hidden="false" customHeight="false" outlineLevel="0" collapsed="false">
      <c r="A2706" s="58"/>
      <c r="B2706" s="73" t="str">
        <f aca="false">IF(A2706="","",COUNTIF(A$5:A2706,A2706))</f>
        <v/>
      </c>
      <c r="C2706" s="73" t="str">
        <f aca="false">IF(A2706="","",A2706&amp;"-"&amp;B2706)</f>
        <v/>
      </c>
      <c r="D2706" s="58"/>
      <c r="E2706" s="57"/>
      <c r="F2706" s="69"/>
      <c r="G2706" s="69"/>
      <c r="H2706" s="74" t="str">
        <f aca="false">IF(A2706="","",IFERROR(INDEX(السندات!$C$5:$C$504,MATCH(A2706,السندات!$A$5:$A$504,0)),""))</f>
        <v/>
      </c>
      <c r="I2706" s="75" t="str">
        <f aca="false">IF(A2706="","",IFERROR(INDEX(السندات!$D$5:$D$504,MATCH(A2706,السندات!$A$5:$A$504,0)),""))</f>
        <v/>
      </c>
      <c r="J2706" s="76" t="str">
        <f aca="false">IF(A2706="","",IF(ISNA(MATCH(A2706,السندات!$A$5:$A$504,0)),"رقم سند غير موجود ✘",IF(AND(F2706&lt;&gt;"",G2706&lt;&gt;""),"اكتب مدين أو دائن فقط ✘",IF(AND(N(F2706)=0,N(G2706)=0),"بدون مبلغ ⚠",IF(B2706&gt;12,"يتجاوز 12 بنداً في الطباعة ⚠","")))))</f>
        <v/>
      </c>
    </row>
    <row r="2707" customFormat="false" ht="15" hidden="false" customHeight="false" outlineLevel="0" collapsed="false">
      <c r="A2707" s="58"/>
      <c r="B2707" s="68" t="str">
        <f aca="false">IF(A2707="","",COUNTIF(A$5:A2707,A2707))</f>
        <v/>
      </c>
      <c r="C2707" s="68" t="str">
        <f aca="false">IF(A2707="","",A2707&amp;"-"&amp;B2707)</f>
        <v/>
      </c>
      <c r="D2707" s="58"/>
      <c r="E2707" s="57"/>
      <c r="F2707" s="69"/>
      <c r="G2707" s="69"/>
      <c r="H2707" s="70" t="str">
        <f aca="false">IF(A2707="","",IFERROR(INDEX(السندات!$C$5:$C$504,MATCH(A2707,السندات!$A$5:$A$504,0)),""))</f>
        <v/>
      </c>
      <c r="I2707" s="71" t="str">
        <f aca="false">IF(A2707="","",IFERROR(INDEX(السندات!$D$5:$D$504,MATCH(A2707,السندات!$A$5:$A$504,0)),""))</f>
        <v/>
      </c>
      <c r="J2707" s="72" t="str">
        <f aca="false">IF(A2707="","",IF(ISNA(MATCH(A2707,السندات!$A$5:$A$504,0)),"رقم سند غير موجود ✘",IF(AND(F2707&lt;&gt;"",G2707&lt;&gt;""),"اكتب مدين أو دائن فقط ✘",IF(AND(N(F2707)=0,N(G2707)=0),"بدون مبلغ ⚠",IF(B2707&gt;12,"يتجاوز 12 بنداً في الطباعة ⚠","")))))</f>
        <v/>
      </c>
    </row>
    <row r="2708" customFormat="false" ht="15" hidden="false" customHeight="false" outlineLevel="0" collapsed="false">
      <c r="A2708" s="58"/>
      <c r="B2708" s="73" t="str">
        <f aca="false">IF(A2708="","",COUNTIF(A$5:A2708,A2708))</f>
        <v/>
      </c>
      <c r="C2708" s="73" t="str">
        <f aca="false">IF(A2708="","",A2708&amp;"-"&amp;B2708)</f>
        <v/>
      </c>
      <c r="D2708" s="58"/>
      <c r="E2708" s="57"/>
      <c r="F2708" s="69"/>
      <c r="G2708" s="69"/>
      <c r="H2708" s="74" t="str">
        <f aca="false">IF(A2708="","",IFERROR(INDEX(السندات!$C$5:$C$504,MATCH(A2708,السندات!$A$5:$A$504,0)),""))</f>
        <v/>
      </c>
      <c r="I2708" s="75" t="str">
        <f aca="false">IF(A2708="","",IFERROR(INDEX(السندات!$D$5:$D$504,MATCH(A2708,السندات!$A$5:$A$504,0)),""))</f>
        <v/>
      </c>
      <c r="J2708" s="76" t="str">
        <f aca="false">IF(A2708="","",IF(ISNA(MATCH(A2708,السندات!$A$5:$A$504,0)),"رقم سند غير موجود ✘",IF(AND(F2708&lt;&gt;"",G2708&lt;&gt;""),"اكتب مدين أو دائن فقط ✘",IF(AND(N(F2708)=0,N(G2708)=0),"بدون مبلغ ⚠",IF(B2708&gt;12,"يتجاوز 12 بنداً في الطباعة ⚠","")))))</f>
        <v/>
      </c>
    </row>
    <row r="2709" customFormat="false" ht="15" hidden="false" customHeight="false" outlineLevel="0" collapsed="false">
      <c r="A2709" s="58"/>
      <c r="B2709" s="68" t="str">
        <f aca="false">IF(A2709="","",COUNTIF(A$5:A2709,A2709))</f>
        <v/>
      </c>
      <c r="C2709" s="68" t="str">
        <f aca="false">IF(A2709="","",A2709&amp;"-"&amp;B2709)</f>
        <v/>
      </c>
      <c r="D2709" s="58"/>
      <c r="E2709" s="57"/>
      <c r="F2709" s="69"/>
      <c r="G2709" s="69"/>
      <c r="H2709" s="70" t="str">
        <f aca="false">IF(A2709="","",IFERROR(INDEX(السندات!$C$5:$C$504,MATCH(A2709,السندات!$A$5:$A$504,0)),""))</f>
        <v/>
      </c>
      <c r="I2709" s="71" t="str">
        <f aca="false">IF(A2709="","",IFERROR(INDEX(السندات!$D$5:$D$504,MATCH(A2709,السندات!$A$5:$A$504,0)),""))</f>
        <v/>
      </c>
      <c r="J2709" s="72" t="str">
        <f aca="false">IF(A2709="","",IF(ISNA(MATCH(A2709,السندات!$A$5:$A$504,0)),"رقم سند غير موجود ✘",IF(AND(F2709&lt;&gt;"",G2709&lt;&gt;""),"اكتب مدين أو دائن فقط ✘",IF(AND(N(F2709)=0,N(G2709)=0),"بدون مبلغ ⚠",IF(B2709&gt;12,"يتجاوز 12 بنداً في الطباعة ⚠","")))))</f>
        <v/>
      </c>
    </row>
    <row r="2710" customFormat="false" ht="15" hidden="false" customHeight="false" outlineLevel="0" collapsed="false">
      <c r="A2710" s="58"/>
      <c r="B2710" s="73" t="str">
        <f aca="false">IF(A2710="","",COUNTIF(A$5:A2710,A2710))</f>
        <v/>
      </c>
      <c r="C2710" s="73" t="str">
        <f aca="false">IF(A2710="","",A2710&amp;"-"&amp;B2710)</f>
        <v/>
      </c>
      <c r="D2710" s="58"/>
      <c r="E2710" s="57"/>
      <c r="F2710" s="69"/>
      <c r="G2710" s="69"/>
      <c r="H2710" s="74" t="str">
        <f aca="false">IF(A2710="","",IFERROR(INDEX(السندات!$C$5:$C$504,MATCH(A2710,السندات!$A$5:$A$504,0)),""))</f>
        <v/>
      </c>
      <c r="I2710" s="75" t="str">
        <f aca="false">IF(A2710="","",IFERROR(INDEX(السندات!$D$5:$D$504,MATCH(A2710,السندات!$A$5:$A$504,0)),""))</f>
        <v/>
      </c>
      <c r="J2710" s="76" t="str">
        <f aca="false">IF(A2710="","",IF(ISNA(MATCH(A2710,السندات!$A$5:$A$504,0)),"رقم سند غير موجود ✘",IF(AND(F2710&lt;&gt;"",G2710&lt;&gt;""),"اكتب مدين أو دائن فقط ✘",IF(AND(N(F2710)=0,N(G2710)=0),"بدون مبلغ ⚠",IF(B2710&gt;12,"يتجاوز 12 بنداً في الطباعة ⚠","")))))</f>
        <v/>
      </c>
    </row>
    <row r="2711" customFormat="false" ht="15" hidden="false" customHeight="false" outlineLevel="0" collapsed="false">
      <c r="A2711" s="58"/>
      <c r="B2711" s="68" t="str">
        <f aca="false">IF(A2711="","",COUNTIF(A$5:A2711,A2711))</f>
        <v/>
      </c>
      <c r="C2711" s="68" t="str">
        <f aca="false">IF(A2711="","",A2711&amp;"-"&amp;B2711)</f>
        <v/>
      </c>
      <c r="D2711" s="58"/>
      <c r="E2711" s="57"/>
      <c r="F2711" s="69"/>
      <c r="G2711" s="69"/>
      <c r="H2711" s="70" t="str">
        <f aca="false">IF(A2711="","",IFERROR(INDEX(السندات!$C$5:$C$504,MATCH(A2711,السندات!$A$5:$A$504,0)),""))</f>
        <v/>
      </c>
      <c r="I2711" s="71" t="str">
        <f aca="false">IF(A2711="","",IFERROR(INDEX(السندات!$D$5:$D$504,MATCH(A2711,السندات!$A$5:$A$504,0)),""))</f>
        <v/>
      </c>
      <c r="J2711" s="72" t="str">
        <f aca="false">IF(A2711="","",IF(ISNA(MATCH(A2711,السندات!$A$5:$A$504,0)),"رقم سند غير موجود ✘",IF(AND(F2711&lt;&gt;"",G2711&lt;&gt;""),"اكتب مدين أو دائن فقط ✘",IF(AND(N(F2711)=0,N(G2711)=0),"بدون مبلغ ⚠",IF(B2711&gt;12,"يتجاوز 12 بنداً في الطباعة ⚠","")))))</f>
        <v/>
      </c>
    </row>
    <row r="2712" customFormat="false" ht="15" hidden="false" customHeight="false" outlineLevel="0" collapsed="false">
      <c r="A2712" s="58"/>
      <c r="B2712" s="73" t="str">
        <f aca="false">IF(A2712="","",COUNTIF(A$5:A2712,A2712))</f>
        <v/>
      </c>
      <c r="C2712" s="73" t="str">
        <f aca="false">IF(A2712="","",A2712&amp;"-"&amp;B2712)</f>
        <v/>
      </c>
      <c r="D2712" s="58"/>
      <c r="E2712" s="57"/>
      <c r="F2712" s="69"/>
      <c r="G2712" s="69"/>
      <c r="H2712" s="74" t="str">
        <f aca="false">IF(A2712="","",IFERROR(INDEX(السندات!$C$5:$C$504,MATCH(A2712,السندات!$A$5:$A$504,0)),""))</f>
        <v/>
      </c>
      <c r="I2712" s="75" t="str">
        <f aca="false">IF(A2712="","",IFERROR(INDEX(السندات!$D$5:$D$504,MATCH(A2712,السندات!$A$5:$A$504,0)),""))</f>
        <v/>
      </c>
      <c r="J2712" s="76" t="str">
        <f aca="false">IF(A2712="","",IF(ISNA(MATCH(A2712,السندات!$A$5:$A$504,0)),"رقم سند غير موجود ✘",IF(AND(F2712&lt;&gt;"",G2712&lt;&gt;""),"اكتب مدين أو دائن فقط ✘",IF(AND(N(F2712)=0,N(G2712)=0),"بدون مبلغ ⚠",IF(B2712&gt;12,"يتجاوز 12 بنداً في الطباعة ⚠","")))))</f>
        <v/>
      </c>
    </row>
    <row r="2713" customFormat="false" ht="15" hidden="false" customHeight="false" outlineLevel="0" collapsed="false">
      <c r="A2713" s="58"/>
      <c r="B2713" s="68" t="str">
        <f aca="false">IF(A2713="","",COUNTIF(A$5:A2713,A2713))</f>
        <v/>
      </c>
      <c r="C2713" s="68" t="str">
        <f aca="false">IF(A2713="","",A2713&amp;"-"&amp;B2713)</f>
        <v/>
      </c>
      <c r="D2713" s="58"/>
      <c r="E2713" s="57"/>
      <c r="F2713" s="69"/>
      <c r="G2713" s="69"/>
      <c r="H2713" s="70" t="str">
        <f aca="false">IF(A2713="","",IFERROR(INDEX(السندات!$C$5:$C$504,MATCH(A2713,السندات!$A$5:$A$504,0)),""))</f>
        <v/>
      </c>
      <c r="I2713" s="71" t="str">
        <f aca="false">IF(A2713="","",IFERROR(INDEX(السندات!$D$5:$D$504,MATCH(A2713,السندات!$A$5:$A$504,0)),""))</f>
        <v/>
      </c>
      <c r="J2713" s="72" t="str">
        <f aca="false">IF(A2713="","",IF(ISNA(MATCH(A2713,السندات!$A$5:$A$504,0)),"رقم سند غير موجود ✘",IF(AND(F2713&lt;&gt;"",G2713&lt;&gt;""),"اكتب مدين أو دائن فقط ✘",IF(AND(N(F2713)=0,N(G2713)=0),"بدون مبلغ ⚠",IF(B2713&gt;12,"يتجاوز 12 بنداً في الطباعة ⚠","")))))</f>
        <v/>
      </c>
    </row>
    <row r="2714" customFormat="false" ht="15" hidden="false" customHeight="false" outlineLevel="0" collapsed="false">
      <c r="A2714" s="58"/>
      <c r="B2714" s="73" t="str">
        <f aca="false">IF(A2714="","",COUNTIF(A$5:A2714,A2714))</f>
        <v/>
      </c>
      <c r="C2714" s="73" t="str">
        <f aca="false">IF(A2714="","",A2714&amp;"-"&amp;B2714)</f>
        <v/>
      </c>
      <c r="D2714" s="58"/>
      <c r="E2714" s="57"/>
      <c r="F2714" s="69"/>
      <c r="G2714" s="69"/>
      <c r="H2714" s="74" t="str">
        <f aca="false">IF(A2714="","",IFERROR(INDEX(السندات!$C$5:$C$504,MATCH(A2714,السندات!$A$5:$A$504,0)),""))</f>
        <v/>
      </c>
      <c r="I2714" s="75" t="str">
        <f aca="false">IF(A2714="","",IFERROR(INDEX(السندات!$D$5:$D$504,MATCH(A2714,السندات!$A$5:$A$504,0)),""))</f>
        <v/>
      </c>
      <c r="J2714" s="76" t="str">
        <f aca="false">IF(A2714="","",IF(ISNA(MATCH(A2714,السندات!$A$5:$A$504,0)),"رقم سند غير موجود ✘",IF(AND(F2714&lt;&gt;"",G2714&lt;&gt;""),"اكتب مدين أو دائن فقط ✘",IF(AND(N(F2714)=0,N(G2714)=0),"بدون مبلغ ⚠",IF(B2714&gt;12,"يتجاوز 12 بنداً في الطباعة ⚠","")))))</f>
        <v/>
      </c>
    </row>
    <row r="2715" customFormat="false" ht="15" hidden="false" customHeight="false" outlineLevel="0" collapsed="false">
      <c r="A2715" s="58"/>
      <c r="B2715" s="68" t="str">
        <f aca="false">IF(A2715="","",COUNTIF(A$5:A2715,A2715))</f>
        <v/>
      </c>
      <c r="C2715" s="68" t="str">
        <f aca="false">IF(A2715="","",A2715&amp;"-"&amp;B2715)</f>
        <v/>
      </c>
      <c r="D2715" s="58"/>
      <c r="E2715" s="57"/>
      <c r="F2715" s="69"/>
      <c r="G2715" s="69"/>
      <c r="H2715" s="70" t="str">
        <f aca="false">IF(A2715="","",IFERROR(INDEX(السندات!$C$5:$C$504,MATCH(A2715,السندات!$A$5:$A$504,0)),""))</f>
        <v/>
      </c>
      <c r="I2715" s="71" t="str">
        <f aca="false">IF(A2715="","",IFERROR(INDEX(السندات!$D$5:$D$504,MATCH(A2715,السندات!$A$5:$A$504,0)),""))</f>
        <v/>
      </c>
      <c r="J2715" s="72" t="str">
        <f aca="false">IF(A2715="","",IF(ISNA(MATCH(A2715,السندات!$A$5:$A$504,0)),"رقم سند غير موجود ✘",IF(AND(F2715&lt;&gt;"",G2715&lt;&gt;""),"اكتب مدين أو دائن فقط ✘",IF(AND(N(F2715)=0,N(G2715)=0),"بدون مبلغ ⚠",IF(B2715&gt;12,"يتجاوز 12 بنداً في الطباعة ⚠","")))))</f>
        <v/>
      </c>
    </row>
    <row r="2716" customFormat="false" ht="15" hidden="false" customHeight="false" outlineLevel="0" collapsed="false">
      <c r="A2716" s="58"/>
      <c r="B2716" s="73" t="str">
        <f aca="false">IF(A2716="","",COUNTIF(A$5:A2716,A2716))</f>
        <v/>
      </c>
      <c r="C2716" s="73" t="str">
        <f aca="false">IF(A2716="","",A2716&amp;"-"&amp;B2716)</f>
        <v/>
      </c>
      <c r="D2716" s="58"/>
      <c r="E2716" s="57"/>
      <c r="F2716" s="69"/>
      <c r="G2716" s="69"/>
      <c r="H2716" s="74" t="str">
        <f aca="false">IF(A2716="","",IFERROR(INDEX(السندات!$C$5:$C$504,MATCH(A2716,السندات!$A$5:$A$504,0)),""))</f>
        <v/>
      </c>
      <c r="I2716" s="75" t="str">
        <f aca="false">IF(A2716="","",IFERROR(INDEX(السندات!$D$5:$D$504,MATCH(A2716,السندات!$A$5:$A$504,0)),""))</f>
        <v/>
      </c>
      <c r="J2716" s="76" t="str">
        <f aca="false">IF(A2716="","",IF(ISNA(MATCH(A2716,السندات!$A$5:$A$504,0)),"رقم سند غير موجود ✘",IF(AND(F2716&lt;&gt;"",G2716&lt;&gt;""),"اكتب مدين أو دائن فقط ✘",IF(AND(N(F2716)=0,N(G2716)=0),"بدون مبلغ ⚠",IF(B2716&gt;12,"يتجاوز 12 بنداً في الطباعة ⚠","")))))</f>
        <v/>
      </c>
    </row>
    <row r="2717" customFormat="false" ht="15" hidden="false" customHeight="false" outlineLevel="0" collapsed="false">
      <c r="A2717" s="58"/>
      <c r="B2717" s="68" t="str">
        <f aca="false">IF(A2717="","",COUNTIF(A$5:A2717,A2717))</f>
        <v/>
      </c>
      <c r="C2717" s="68" t="str">
        <f aca="false">IF(A2717="","",A2717&amp;"-"&amp;B2717)</f>
        <v/>
      </c>
      <c r="D2717" s="58"/>
      <c r="E2717" s="57"/>
      <c r="F2717" s="69"/>
      <c r="G2717" s="69"/>
      <c r="H2717" s="70" t="str">
        <f aca="false">IF(A2717="","",IFERROR(INDEX(السندات!$C$5:$C$504,MATCH(A2717,السندات!$A$5:$A$504,0)),""))</f>
        <v/>
      </c>
      <c r="I2717" s="71" t="str">
        <f aca="false">IF(A2717="","",IFERROR(INDEX(السندات!$D$5:$D$504,MATCH(A2717,السندات!$A$5:$A$504,0)),""))</f>
        <v/>
      </c>
      <c r="J2717" s="72" t="str">
        <f aca="false">IF(A2717="","",IF(ISNA(MATCH(A2717,السندات!$A$5:$A$504,0)),"رقم سند غير موجود ✘",IF(AND(F2717&lt;&gt;"",G2717&lt;&gt;""),"اكتب مدين أو دائن فقط ✘",IF(AND(N(F2717)=0,N(G2717)=0),"بدون مبلغ ⚠",IF(B2717&gt;12,"يتجاوز 12 بنداً في الطباعة ⚠","")))))</f>
        <v/>
      </c>
    </row>
    <row r="2718" customFormat="false" ht="15" hidden="false" customHeight="false" outlineLevel="0" collapsed="false">
      <c r="A2718" s="58"/>
      <c r="B2718" s="73" t="str">
        <f aca="false">IF(A2718="","",COUNTIF(A$5:A2718,A2718))</f>
        <v/>
      </c>
      <c r="C2718" s="73" t="str">
        <f aca="false">IF(A2718="","",A2718&amp;"-"&amp;B2718)</f>
        <v/>
      </c>
      <c r="D2718" s="58"/>
      <c r="E2718" s="57"/>
      <c r="F2718" s="69"/>
      <c r="G2718" s="69"/>
      <c r="H2718" s="74" t="str">
        <f aca="false">IF(A2718="","",IFERROR(INDEX(السندات!$C$5:$C$504,MATCH(A2718,السندات!$A$5:$A$504,0)),""))</f>
        <v/>
      </c>
      <c r="I2718" s="75" t="str">
        <f aca="false">IF(A2718="","",IFERROR(INDEX(السندات!$D$5:$D$504,MATCH(A2718,السندات!$A$5:$A$504,0)),""))</f>
        <v/>
      </c>
      <c r="J2718" s="76" t="str">
        <f aca="false">IF(A2718="","",IF(ISNA(MATCH(A2718,السندات!$A$5:$A$504,0)),"رقم سند غير موجود ✘",IF(AND(F2718&lt;&gt;"",G2718&lt;&gt;""),"اكتب مدين أو دائن فقط ✘",IF(AND(N(F2718)=0,N(G2718)=0),"بدون مبلغ ⚠",IF(B2718&gt;12,"يتجاوز 12 بنداً في الطباعة ⚠","")))))</f>
        <v/>
      </c>
    </row>
    <row r="2719" customFormat="false" ht="15" hidden="false" customHeight="false" outlineLevel="0" collapsed="false">
      <c r="A2719" s="58"/>
      <c r="B2719" s="68" t="str">
        <f aca="false">IF(A2719="","",COUNTIF(A$5:A2719,A2719))</f>
        <v/>
      </c>
      <c r="C2719" s="68" t="str">
        <f aca="false">IF(A2719="","",A2719&amp;"-"&amp;B2719)</f>
        <v/>
      </c>
      <c r="D2719" s="58"/>
      <c r="E2719" s="57"/>
      <c r="F2719" s="69"/>
      <c r="G2719" s="69"/>
      <c r="H2719" s="70" t="str">
        <f aca="false">IF(A2719="","",IFERROR(INDEX(السندات!$C$5:$C$504,MATCH(A2719,السندات!$A$5:$A$504,0)),""))</f>
        <v/>
      </c>
      <c r="I2719" s="71" t="str">
        <f aca="false">IF(A2719="","",IFERROR(INDEX(السندات!$D$5:$D$504,MATCH(A2719,السندات!$A$5:$A$504,0)),""))</f>
        <v/>
      </c>
      <c r="J2719" s="72" t="str">
        <f aca="false">IF(A2719="","",IF(ISNA(MATCH(A2719,السندات!$A$5:$A$504,0)),"رقم سند غير موجود ✘",IF(AND(F2719&lt;&gt;"",G2719&lt;&gt;""),"اكتب مدين أو دائن فقط ✘",IF(AND(N(F2719)=0,N(G2719)=0),"بدون مبلغ ⚠",IF(B2719&gt;12,"يتجاوز 12 بنداً في الطباعة ⚠","")))))</f>
        <v/>
      </c>
    </row>
    <row r="2720" customFormat="false" ht="15" hidden="false" customHeight="false" outlineLevel="0" collapsed="false">
      <c r="A2720" s="58"/>
      <c r="B2720" s="73" t="str">
        <f aca="false">IF(A2720="","",COUNTIF(A$5:A2720,A2720))</f>
        <v/>
      </c>
      <c r="C2720" s="73" t="str">
        <f aca="false">IF(A2720="","",A2720&amp;"-"&amp;B2720)</f>
        <v/>
      </c>
      <c r="D2720" s="58"/>
      <c r="E2720" s="57"/>
      <c r="F2720" s="69"/>
      <c r="G2720" s="69"/>
      <c r="H2720" s="74" t="str">
        <f aca="false">IF(A2720="","",IFERROR(INDEX(السندات!$C$5:$C$504,MATCH(A2720,السندات!$A$5:$A$504,0)),""))</f>
        <v/>
      </c>
      <c r="I2720" s="75" t="str">
        <f aca="false">IF(A2720="","",IFERROR(INDEX(السندات!$D$5:$D$504,MATCH(A2720,السندات!$A$5:$A$504,0)),""))</f>
        <v/>
      </c>
      <c r="J2720" s="76" t="str">
        <f aca="false">IF(A2720="","",IF(ISNA(MATCH(A2720,السندات!$A$5:$A$504,0)),"رقم سند غير موجود ✘",IF(AND(F2720&lt;&gt;"",G2720&lt;&gt;""),"اكتب مدين أو دائن فقط ✘",IF(AND(N(F2720)=0,N(G2720)=0),"بدون مبلغ ⚠",IF(B2720&gt;12,"يتجاوز 12 بنداً في الطباعة ⚠","")))))</f>
        <v/>
      </c>
    </row>
    <row r="2721" customFormat="false" ht="15" hidden="false" customHeight="false" outlineLevel="0" collapsed="false">
      <c r="A2721" s="58"/>
      <c r="B2721" s="68" t="str">
        <f aca="false">IF(A2721="","",COUNTIF(A$5:A2721,A2721))</f>
        <v/>
      </c>
      <c r="C2721" s="68" t="str">
        <f aca="false">IF(A2721="","",A2721&amp;"-"&amp;B2721)</f>
        <v/>
      </c>
      <c r="D2721" s="58"/>
      <c r="E2721" s="57"/>
      <c r="F2721" s="69"/>
      <c r="G2721" s="69"/>
      <c r="H2721" s="70" t="str">
        <f aca="false">IF(A2721="","",IFERROR(INDEX(السندات!$C$5:$C$504,MATCH(A2721,السندات!$A$5:$A$504,0)),""))</f>
        <v/>
      </c>
      <c r="I2721" s="71" t="str">
        <f aca="false">IF(A2721="","",IFERROR(INDEX(السندات!$D$5:$D$504,MATCH(A2721,السندات!$A$5:$A$504,0)),""))</f>
        <v/>
      </c>
      <c r="J2721" s="72" t="str">
        <f aca="false">IF(A2721="","",IF(ISNA(MATCH(A2721,السندات!$A$5:$A$504,0)),"رقم سند غير موجود ✘",IF(AND(F2721&lt;&gt;"",G2721&lt;&gt;""),"اكتب مدين أو دائن فقط ✘",IF(AND(N(F2721)=0,N(G2721)=0),"بدون مبلغ ⚠",IF(B2721&gt;12,"يتجاوز 12 بنداً في الطباعة ⚠","")))))</f>
        <v/>
      </c>
    </row>
    <row r="2722" customFormat="false" ht="15" hidden="false" customHeight="false" outlineLevel="0" collapsed="false">
      <c r="A2722" s="58"/>
      <c r="B2722" s="73" t="str">
        <f aca="false">IF(A2722="","",COUNTIF(A$5:A2722,A2722))</f>
        <v/>
      </c>
      <c r="C2722" s="73" t="str">
        <f aca="false">IF(A2722="","",A2722&amp;"-"&amp;B2722)</f>
        <v/>
      </c>
      <c r="D2722" s="58"/>
      <c r="E2722" s="57"/>
      <c r="F2722" s="69"/>
      <c r="G2722" s="69"/>
      <c r="H2722" s="74" t="str">
        <f aca="false">IF(A2722="","",IFERROR(INDEX(السندات!$C$5:$C$504,MATCH(A2722,السندات!$A$5:$A$504,0)),""))</f>
        <v/>
      </c>
      <c r="I2722" s="75" t="str">
        <f aca="false">IF(A2722="","",IFERROR(INDEX(السندات!$D$5:$D$504,MATCH(A2722,السندات!$A$5:$A$504,0)),""))</f>
        <v/>
      </c>
      <c r="J2722" s="76" t="str">
        <f aca="false">IF(A2722="","",IF(ISNA(MATCH(A2722,السندات!$A$5:$A$504,0)),"رقم سند غير موجود ✘",IF(AND(F2722&lt;&gt;"",G2722&lt;&gt;""),"اكتب مدين أو دائن فقط ✘",IF(AND(N(F2722)=0,N(G2722)=0),"بدون مبلغ ⚠",IF(B2722&gt;12,"يتجاوز 12 بنداً في الطباعة ⚠","")))))</f>
        <v/>
      </c>
    </row>
    <row r="2723" customFormat="false" ht="15" hidden="false" customHeight="false" outlineLevel="0" collapsed="false">
      <c r="A2723" s="58"/>
      <c r="B2723" s="68" t="str">
        <f aca="false">IF(A2723="","",COUNTIF(A$5:A2723,A2723))</f>
        <v/>
      </c>
      <c r="C2723" s="68" t="str">
        <f aca="false">IF(A2723="","",A2723&amp;"-"&amp;B2723)</f>
        <v/>
      </c>
      <c r="D2723" s="58"/>
      <c r="E2723" s="57"/>
      <c r="F2723" s="69"/>
      <c r="G2723" s="69"/>
      <c r="H2723" s="70" t="str">
        <f aca="false">IF(A2723="","",IFERROR(INDEX(السندات!$C$5:$C$504,MATCH(A2723,السندات!$A$5:$A$504,0)),""))</f>
        <v/>
      </c>
      <c r="I2723" s="71" t="str">
        <f aca="false">IF(A2723="","",IFERROR(INDEX(السندات!$D$5:$D$504,MATCH(A2723,السندات!$A$5:$A$504,0)),""))</f>
        <v/>
      </c>
      <c r="J2723" s="72" t="str">
        <f aca="false">IF(A2723="","",IF(ISNA(MATCH(A2723,السندات!$A$5:$A$504,0)),"رقم سند غير موجود ✘",IF(AND(F2723&lt;&gt;"",G2723&lt;&gt;""),"اكتب مدين أو دائن فقط ✘",IF(AND(N(F2723)=0,N(G2723)=0),"بدون مبلغ ⚠",IF(B2723&gt;12,"يتجاوز 12 بنداً في الطباعة ⚠","")))))</f>
        <v/>
      </c>
    </row>
    <row r="2724" customFormat="false" ht="15" hidden="false" customHeight="false" outlineLevel="0" collapsed="false">
      <c r="A2724" s="58"/>
      <c r="B2724" s="73" t="str">
        <f aca="false">IF(A2724="","",COUNTIF(A$5:A2724,A2724))</f>
        <v/>
      </c>
      <c r="C2724" s="73" t="str">
        <f aca="false">IF(A2724="","",A2724&amp;"-"&amp;B2724)</f>
        <v/>
      </c>
      <c r="D2724" s="58"/>
      <c r="E2724" s="57"/>
      <c r="F2724" s="69"/>
      <c r="G2724" s="69"/>
      <c r="H2724" s="74" t="str">
        <f aca="false">IF(A2724="","",IFERROR(INDEX(السندات!$C$5:$C$504,MATCH(A2724,السندات!$A$5:$A$504,0)),""))</f>
        <v/>
      </c>
      <c r="I2724" s="75" t="str">
        <f aca="false">IF(A2724="","",IFERROR(INDEX(السندات!$D$5:$D$504,MATCH(A2724,السندات!$A$5:$A$504,0)),""))</f>
        <v/>
      </c>
      <c r="J2724" s="76" t="str">
        <f aca="false">IF(A2724="","",IF(ISNA(MATCH(A2724,السندات!$A$5:$A$504,0)),"رقم سند غير موجود ✘",IF(AND(F2724&lt;&gt;"",G2724&lt;&gt;""),"اكتب مدين أو دائن فقط ✘",IF(AND(N(F2724)=0,N(G2724)=0),"بدون مبلغ ⚠",IF(B2724&gt;12,"يتجاوز 12 بنداً في الطباعة ⚠","")))))</f>
        <v/>
      </c>
    </row>
    <row r="2725" customFormat="false" ht="15" hidden="false" customHeight="false" outlineLevel="0" collapsed="false">
      <c r="A2725" s="58"/>
      <c r="B2725" s="68" t="str">
        <f aca="false">IF(A2725="","",COUNTIF(A$5:A2725,A2725))</f>
        <v/>
      </c>
      <c r="C2725" s="68" t="str">
        <f aca="false">IF(A2725="","",A2725&amp;"-"&amp;B2725)</f>
        <v/>
      </c>
      <c r="D2725" s="58"/>
      <c r="E2725" s="57"/>
      <c r="F2725" s="69"/>
      <c r="G2725" s="69"/>
      <c r="H2725" s="70" t="str">
        <f aca="false">IF(A2725="","",IFERROR(INDEX(السندات!$C$5:$C$504,MATCH(A2725,السندات!$A$5:$A$504,0)),""))</f>
        <v/>
      </c>
      <c r="I2725" s="71" t="str">
        <f aca="false">IF(A2725="","",IFERROR(INDEX(السندات!$D$5:$D$504,MATCH(A2725,السندات!$A$5:$A$504,0)),""))</f>
        <v/>
      </c>
      <c r="J2725" s="72" t="str">
        <f aca="false">IF(A2725="","",IF(ISNA(MATCH(A2725,السندات!$A$5:$A$504,0)),"رقم سند غير موجود ✘",IF(AND(F2725&lt;&gt;"",G2725&lt;&gt;""),"اكتب مدين أو دائن فقط ✘",IF(AND(N(F2725)=0,N(G2725)=0),"بدون مبلغ ⚠",IF(B2725&gt;12,"يتجاوز 12 بنداً في الطباعة ⚠","")))))</f>
        <v/>
      </c>
    </row>
    <row r="2726" customFormat="false" ht="15" hidden="false" customHeight="false" outlineLevel="0" collapsed="false">
      <c r="A2726" s="58"/>
      <c r="B2726" s="73" t="str">
        <f aca="false">IF(A2726="","",COUNTIF(A$5:A2726,A2726))</f>
        <v/>
      </c>
      <c r="C2726" s="73" t="str">
        <f aca="false">IF(A2726="","",A2726&amp;"-"&amp;B2726)</f>
        <v/>
      </c>
      <c r="D2726" s="58"/>
      <c r="E2726" s="57"/>
      <c r="F2726" s="69"/>
      <c r="G2726" s="69"/>
      <c r="H2726" s="74" t="str">
        <f aca="false">IF(A2726="","",IFERROR(INDEX(السندات!$C$5:$C$504,MATCH(A2726,السندات!$A$5:$A$504,0)),""))</f>
        <v/>
      </c>
      <c r="I2726" s="75" t="str">
        <f aca="false">IF(A2726="","",IFERROR(INDEX(السندات!$D$5:$D$504,MATCH(A2726,السندات!$A$5:$A$504,0)),""))</f>
        <v/>
      </c>
      <c r="J2726" s="76" t="str">
        <f aca="false">IF(A2726="","",IF(ISNA(MATCH(A2726,السندات!$A$5:$A$504,0)),"رقم سند غير موجود ✘",IF(AND(F2726&lt;&gt;"",G2726&lt;&gt;""),"اكتب مدين أو دائن فقط ✘",IF(AND(N(F2726)=0,N(G2726)=0),"بدون مبلغ ⚠",IF(B2726&gt;12,"يتجاوز 12 بنداً في الطباعة ⚠","")))))</f>
        <v/>
      </c>
    </row>
    <row r="2727" customFormat="false" ht="15" hidden="false" customHeight="false" outlineLevel="0" collapsed="false">
      <c r="A2727" s="58"/>
      <c r="B2727" s="68" t="str">
        <f aca="false">IF(A2727="","",COUNTIF(A$5:A2727,A2727))</f>
        <v/>
      </c>
      <c r="C2727" s="68" t="str">
        <f aca="false">IF(A2727="","",A2727&amp;"-"&amp;B2727)</f>
        <v/>
      </c>
      <c r="D2727" s="58"/>
      <c r="E2727" s="57"/>
      <c r="F2727" s="69"/>
      <c r="G2727" s="69"/>
      <c r="H2727" s="70" t="str">
        <f aca="false">IF(A2727="","",IFERROR(INDEX(السندات!$C$5:$C$504,MATCH(A2727,السندات!$A$5:$A$504,0)),""))</f>
        <v/>
      </c>
      <c r="I2727" s="71" t="str">
        <f aca="false">IF(A2727="","",IFERROR(INDEX(السندات!$D$5:$D$504,MATCH(A2727,السندات!$A$5:$A$504,0)),""))</f>
        <v/>
      </c>
      <c r="J2727" s="72" t="str">
        <f aca="false">IF(A2727="","",IF(ISNA(MATCH(A2727,السندات!$A$5:$A$504,0)),"رقم سند غير موجود ✘",IF(AND(F2727&lt;&gt;"",G2727&lt;&gt;""),"اكتب مدين أو دائن فقط ✘",IF(AND(N(F2727)=0,N(G2727)=0),"بدون مبلغ ⚠",IF(B2727&gt;12,"يتجاوز 12 بنداً في الطباعة ⚠","")))))</f>
        <v/>
      </c>
    </row>
    <row r="2728" customFormat="false" ht="15" hidden="false" customHeight="false" outlineLevel="0" collapsed="false">
      <c r="A2728" s="58"/>
      <c r="B2728" s="73" t="str">
        <f aca="false">IF(A2728="","",COUNTIF(A$5:A2728,A2728))</f>
        <v/>
      </c>
      <c r="C2728" s="73" t="str">
        <f aca="false">IF(A2728="","",A2728&amp;"-"&amp;B2728)</f>
        <v/>
      </c>
      <c r="D2728" s="58"/>
      <c r="E2728" s="57"/>
      <c r="F2728" s="69"/>
      <c r="G2728" s="69"/>
      <c r="H2728" s="74" t="str">
        <f aca="false">IF(A2728="","",IFERROR(INDEX(السندات!$C$5:$C$504,MATCH(A2728,السندات!$A$5:$A$504,0)),""))</f>
        <v/>
      </c>
      <c r="I2728" s="75" t="str">
        <f aca="false">IF(A2728="","",IFERROR(INDEX(السندات!$D$5:$D$504,MATCH(A2728,السندات!$A$5:$A$504,0)),""))</f>
        <v/>
      </c>
      <c r="J2728" s="76" t="str">
        <f aca="false">IF(A2728="","",IF(ISNA(MATCH(A2728,السندات!$A$5:$A$504,0)),"رقم سند غير موجود ✘",IF(AND(F2728&lt;&gt;"",G2728&lt;&gt;""),"اكتب مدين أو دائن فقط ✘",IF(AND(N(F2728)=0,N(G2728)=0),"بدون مبلغ ⚠",IF(B2728&gt;12,"يتجاوز 12 بنداً في الطباعة ⚠","")))))</f>
        <v/>
      </c>
    </row>
    <row r="2729" customFormat="false" ht="15" hidden="false" customHeight="false" outlineLevel="0" collapsed="false">
      <c r="A2729" s="58"/>
      <c r="B2729" s="68" t="str">
        <f aca="false">IF(A2729="","",COUNTIF(A$5:A2729,A2729))</f>
        <v/>
      </c>
      <c r="C2729" s="68" t="str">
        <f aca="false">IF(A2729="","",A2729&amp;"-"&amp;B2729)</f>
        <v/>
      </c>
      <c r="D2729" s="58"/>
      <c r="E2729" s="57"/>
      <c r="F2729" s="69"/>
      <c r="G2729" s="69"/>
      <c r="H2729" s="70" t="str">
        <f aca="false">IF(A2729="","",IFERROR(INDEX(السندات!$C$5:$C$504,MATCH(A2729,السندات!$A$5:$A$504,0)),""))</f>
        <v/>
      </c>
      <c r="I2729" s="71" t="str">
        <f aca="false">IF(A2729="","",IFERROR(INDEX(السندات!$D$5:$D$504,MATCH(A2729,السندات!$A$5:$A$504,0)),""))</f>
        <v/>
      </c>
      <c r="J2729" s="72" t="str">
        <f aca="false">IF(A2729="","",IF(ISNA(MATCH(A2729,السندات!$A$5:$A$504,0)),"رقم سند غير موجود ✘",IF(AND(F2729&lt;&gt;"",G2729&lt;&gt;""),"اكتب مدين أو دائن فقط ✘",IF(AND(N(F2729)=0,N(G2729)=0),"بدون مبلغ ⚠",IF(B2729&gt;12,"يتجاوز 12 بنداً في الطباعة ⚠","")))))</f>
        <v/>
      </c>
    </row>
    <row r="2730" customFormat="false" ht="15" hidden="false" customHeight="false" outlineLevel="0" collapsed="false">
      <c r="A2730" s="58"/>
      <c r="B2730" s="73" t="str">
        <f aca="false">IF(A2730="","",COUNTIF(A$5:A2730,A2730))</f>
        <v/>
      </c>
      <c r="C2730" s="73" t="str">
        <f aca="false">IF(A2730="","",A2730&amp;"-"&amp;B2730)</f>
        <v/>
      </c>
      <c r="D2730" s="58"/>
      <c r="E2730" s="57"/>
      <c r="F2730" s="69"/>
      <c r="G2730" s="69"/>
      <c r="H2730" s="74" t="str">
        <f aca="false">IF(A2730="","",IFERROR(INDEX(السندات!$C$5:$C$504,MATCH(A2730,السندات!$A$5:$A$504,0)),""))</f>
        <v/>
      </c>
      <c r="I2730" s="75" t="str">
        <f aca="false">IF(A2730="","",IFERROR(INDEX(السندات!$D$5:$D$504,MATCH(A2730,السندات!$A$5:$A$504,0)),""))</f>
        <v/>
      </c>
      <c r="J2730" s="76" t="str">
        <f aca="false">IF(A2730="","",IF(ISNA(MATCH(A2730,السندات!$A$5:$A$504,0)),"رقم سند غير موجود ✘",IF(AND(F2730&lt;&gt;"",G2730&lt;&gt;""),"اكتب مدين أو دائن فقط ✘",IF(AND(N(F2730)=0,N(G2730)=0),"بدون مبلغ ⚠",IF(B2730&gt;12,"يتجاوز 12 بنداً في الطباعة ⚠","")))))</f>
        <v/>
      </c>
    </row>
    <row r="2731" customFormat="false" ht="15" hidden="false" customHeight="false" outlineLevel="0" collapsed="false">
      <c r="A2731" s="58"/>
      <c r="B2731" s="68" t="str">
        <f aca="false">IF(A2731="","",COUNTIF(A$5:A2731,A2731))</f>
        <v/>
      </c>
      <c r="C2731" s="68" t="str">
        <f aca="false">IF(A2731="","",A2731&amp;"-"&amp;B2731)</f>
        <v/>
      </c>
      <c r="D2731" s="58"/>
      <c r="E2731" s="57"/>
      <c r="F2731" s="69"/>
      <c r="G2731" s="69"/>
      <c r="H2731" s="70" t="str">
        <f aca="false">IF(A2731="","",IFERROR(INDEX(السندات!$C$5:$C$504,MATCH(A2731,السندات!$A$5:$A$504,0)),""))</f>
        <v/>
      </c>
      <c r="I2731" s="71" t="str">
        <f aca="false">IF(A2731="","",IFERROR(INDEX(السندات!$D$5:$D$504,MATCH(A2731,السندات!$A$5:$A$504,0)),""))</f>
        <v/>
      </c>
      <c r="J2731" s="72" t="str">
        <f aca="false">IF(A2731="","",IF(ISNA(MATCH(A2731,السندات!$A$5:$A$504,0)),"رقم سند غير موجود ✘",IF(AND(F2731&lt;&gt;"",G2731&lt;&gt;""),"اكتب مدين أو دائن فقط ✘",IF(AND(N(F2731)=0,N(G2731)=0),"بدون مبلغ ⚠",IF(B2731&gt;12,"يتجاوز 12 بنداً في الطباعة ⚠","")))))</f>
        <v/>
      </c>
    </row>
    <row r="2732" customFormat="false" ht="15" hidden="false" customHeight="false" outlineLevel="0" collapsed="false">
      <c r="A2732" s="58"/>
      <c r="B2732" s="73" t="str">
        <f aca="false">IF(A2732="","",COUNTIF(A$5:A2732,A2732))</f>
        <v/>
      </c>
      <c r="C2732" s="73" t="str">
        <f aca="false">IF(A2732="","",A2732&amp;"-"&amp;B2732)</f>
        <v/>
      </c>
      <c r="D2732" s="58"/>
      <c r="E2732" s="57"/>
      <c r="F2732" s="69"/>
      <c r="G2732" s="69"/>
      <c r="H2732" s="74" t="str">
        <f aca="false">IF(A2732="","",IFERROR(INDEX(السندات!$C$5:$C$504,MATCH(A2732,السندات!$A$5:$A$504,0)),""))</f>
        <v/>
      </c>
      <c r="I2732" s="75" t="str">
        <f aca="false">IF(A2732="","",IFERROR(INDEX(السندات!$D$5:$D$504,MATCH(A2732,السندات!$A$5:$A$504,0)),""))</f>
        <v/>
      </c>
      <c r="J2732" s="76" t="str">
        <f aca="false">IF(A2732="","",IF(ISNA(MATCH(A2732,السندات!$A$5:$A$504,0)),"رقم سند غير موجود ✘",IF(AND(F2732&lt;&gt;"",G2732&lt;&gt;""),"اكتب مدين أو دائن فقط ✘",IF(AND(N(F2732)=0,N(G2732)=0),"بدون مبلغ ⚠",IF(B2732&gt;12,"يتجاوز 12 بنداً في الطباعة ⚠","")))))</f>
        <v/>
      </c>
    </row>
    <row r="2733" customFormat="false" ht="15" hidden="false" customHeight="false" outlineLevel="0" collapsed="false">
      <c r="A2733" s="58"/>
      <c r="B2733" s="68" t="str">
        <f aca="false">IF(A2733="","",COUNTIF(A$5:A2733,A2733))</f>
        <v/>
      </c>
      <c r="C2733" s="68" t="str">
        <f aca="false">IF(A2733="","",A2733&amp;"-"&amp;B2733)</f>
        <v/>
      </c>
      <c r="D2733" s="58"/>
      <c r="E2733" s="57"/>
      <c r="F2733" s="69"/>
      <c r="G2733" s="69"/>
      <c r="H2733" s="70" t="str">
        <f aca="false">IF(A2733="","",IFERROR(INDEX(السندات!$C$5:$C$504,MATCH(A2733,السندات!$A$5:$A$504,0)),""))</f>
        <v/>
      </c>
      <c r="I2733" s="71" t="str">
        <f aca="false">IF(A2733="","",IFERROR(INDEX(السندات!$D$5:$D$504,MATCH(A2733,السندات!$A$5:$A$504,0)),""))</f>
        <v/>
      </c>
      <c r="J2733" s="72" t="str">
        <f aca="false">IF(A2733="","",IF(ISNA(MATCH(A2733,السندات!$A$5:$A$504,0)),"رقم سند غير موجود ✘",IF(AND(F2733&lt;&gt;"",G2733&lt;&gt;""),"اكتب مدين أو دائن فقط ✘",IF(AND(N(F2733)=0,N(G2733)=0),"بدون مبلغ ⚠",IF(B2733&gt;12,"يتجاوز 12 بنداً في الطباعة ⚠","")))))</f>
        <v/>
      </c>
    </row>
    <row r="2734" customFormat="false" ht="15" hidden="false" customHeight="false" outlineLevel="0" collapsed="false">
      <c r="A2734" s="58"/>
      <c r="B2734" s="73" t="str">
        <f aca="false">IF(A2734="","",COUNTIF(A$5:A2734,A2734))</f>
        <v/>
      </c>
      <c r="C2734" s="73" t="str">
        <f aca="false">IF(A2734="","",A2734&amp;"-"&amp;B2734)</f>
        <v/>
      </c>
      <c r="D2734" s="58"/>
      <c r="E2734" s="57"/>
      <c r="F2734" s="69"/>
      <c r="G2734" s="69"/>
      <c r="H2734" s="74" t="str">
        <f aca="false">IF(A2734="","",IFERROR(INDEX(السندات!$C$5:$C$504,MATCH(A2734,السندات!$A$5:$A$504,0)),""))</f>
        <v/>
      </c>
      <c r="I2734" s="75" t="str">
        <f aca="false">IF(A2734="","",IFERROR(INDEX(السندات!$D$5:$D$504,MATCH(A2734,السندات!$A$5:$A$504,0)),""))</f>
        <v/>
      </c>
      <c r="J2734" s="76" t="str">
        <f aca="false">IF(A2734="","",IF(ISNA(MATCH(A2734,السندات!$A$5:$A$504,0)),"رقم سند غير موجود ✘",IF(AND(F2734&lt;&gt;"",G2734&lt;&gt;""),"اكتب مدين أو دائن فقط ✘",IF(AND(N(F2734)=0,N(G2734)=0),"بدون مبلغ ⚠",IF(B2734&gt;12,"يتجاوز 12 بنداً في الطباعة ⚠","")))))</f>
        <v/>
      </c>
    </row>
    <row r="2735" customFormat="false" ht="15" hidden="false" customHeight="false" outlineLevel="0" collapsed="false">
      <c r="A2735" s="58"/>
      <c r="B2735" s="68" t="str">
        <f aca="false">IF(A2735="","",COUNTIF(A$5:A2735,A2735))</f>
        <v/>
      </c>
      <c r="C2735" s="68" t="str">
        <f aca="false">IF(A2735="","",A2735&amp;"-"&amp;B2735)</f>
        <v/>
      </c>
      <c r="D2735" s="58"/>
      <c r="E2735" s="57"/>
      <c r="F2735" s="69"/>
      <c r="G2735" s="69"/>
      <c r="H2735" s="70" t="str">
        <f aca="false">IF(A2735="","",IFERROR(INDEX(السندات!$C$5:$C$504,MATCH(A2735,السندات!$A$5:$A$504,0)),""))</f>
        <v/>
      </c>
      <c r="I2735" s="71" t="str">
        <f aca="false">IF(A2735="","",IFERROR(INDEX(السندات!$D$5:$D$504,MATCH(A2735,السندات!$A$5:$A$504,0)),""))</f>
        <v/>
      </c>
      <c r="J2735" s="72" t="str">
        <f aca="false">IF(A2735="","",IF(ISNA(MATCH(A2735,السندات!$A$5:$A$504,0)),"رقم سند غير موجود ✘",IF(AND(F2735&lt;&gt;"",G2735&lt;&gt;""),"اكتب مدين أو دائن فقط ✘",IF(AND(N(F2735)=0,N(G2735)=0),"بدون مبلغ ⚠",IF(B2735&gt;12,"يتجاوز 12 بنداً في الطباعة ⚠","")))))</f>
        <v/>
      </c>
    </row>
    <row r="2736" customFormat="false" ht="15" hidden="false" customHeight="false" outlineLevel="0" collapsed="false">
      <c r="A2736" s="58"/>
      <c r="B2736" s="73" t="str">
        <f aca="false">IF(A2736="","",COUNTIF(A$5:A2736,A2736))</f>
        <v/>
      </c>
      <c r="C2736" s="73" t="str">
        <f aca="false">IF(A2736="","",A2736&amp;"-"&amp;B2736)</f>
        <v/>
      </c>
      <c r="D2736" s="58"/>
      <c r="E2736" s="57"/>
      <c r="F2736" s="69"/>
      <c r="G2736" s="69"/>
      <c r="H2736" s="74" t="str">
        <f aca="false">IF(A2736="","",IFERROR(INDEX(السندات!$C$5:$C$504,MATCH(A2736,السندات!$A$5:$A$504,0)),""))</f>
        <v/>
      </c>
      <c r="I2736" s="75" t="str">
        <f aca="false">IF(A2736="","",IFERROR(INDEX(السندات!$D$5:$D$504,MATCH(A2736,السندات!$A$5:$A$504,0)),""))</f>
        <v/>
      </c>
      <c r="J2736" s="76" t="str">
        <f aca="false">IF(A2736="","",IF(ISNA(MATCH(A2736,السندات!$A$5:$A$504,0)),"رقم سند غير موجود ✘",IF(AND(F2736&lt;&gt;"",G2736&lt;&gt;""),"اكتب مدين أو دائن فقط ✘",IF(AND(N(F2736)=0,N(G2736)=0),"بدون مبلغ ⚠",IF(B2736&gt;12,"يتجاوز 12 بنداً في الطباعة ⚠","")))))</f>
        <v/>
      </c>
    </row>
    <row r="2737" customFormat="false" ht="15" hidden="false" customHeight="false" outlineLevel="0" collapsed="false">
      <c r="A2737" s="58"/>
      <c r="B2737" s="68" t="str">
        <f aca="false">IF(A2737="","",COUNTIF(A$5:A2737,A2737))</f>
        <v/>
      </c>
      <c r="C2737" s="68" t="str">
        <f aca="false">IF(A2737="","",A2737&amp;"-"&amp;B2737)</f>
        <v/>
      </c>
      <c r="D2737" s="58"/>
      <c r="E2737" s="57"/>
      <c r="F2737" s="69"/>
      <c r="G2737" s="69"/>
      <c r="H2737" s="70" t="str">
        <f aca="false">IF(A2737="","",IFERROR(INDEX(السندات!$C$5:$C$504,MATCH(A2737,السندات!$A$5:$A$504,0)),""))</f>
        <v/>
      </c>
      <c r="I2737" s="71" t="str">
        <f aca="false">IF(A2737="","",IFERROR(INDEX(السندات!$D$5:$D$504,MATCH(A2737,السندات!$A$5:$A$504,0)),""))</f>
        <v/>
      </c>
      <c r="J2737" s="72" t="str">
        <f aca="false">IF(A2737="","",IF(ISNA(MATCH(A2737,السندات!$A$5:$A$504,0)),"رقم سند غير موجود ✘",IF(AND(F2737&lt;&gt;"",G2737&lt;&gt;""),"اكتب مدين أو دائن فقط ✘",IF(AND(N(F2737)=0,N(G2737)=0),"بدون مبلغ ⚠",IF(B2737&gt;12,"يتجاوز 12 بنداً في الطباعة ⚠","")))))</f>
        <v/>
      </c>
    </row>
    <row r="2738" customFormat="false" ht="15" hidden="false" customHeight="false" outlineLevel="0" collapsed="false">
      <c r="A2738" s="58"/>
      <c r="B2738" s="73" t="str">
        <f aca="false">IF(A2738="","",COUNTIF(A$5:A2738,A2738))</f>
        <v/>
      </c>
      <c r="C2738" s="73" t="str">
        <f aca="false">IF(A2738="","",A2738&amp;"-"&amp;B2738)</f>
        <v/>
      </c>
      <c r="D2738" s="58"/>
      <c r="E2738" s="57"/>
      <c r="F2738" s="69"/>
      <c r="G2738" s="69"/>
      <c r="H2738" s="74" t="str">
        <f aca="false">IF(A2738="","",IFERROR(INDEX(السندات!$C$5:$C$504,MATCH(A2738,السندات!$A$5:$A$504,0)),""))</f>
        <v/>
      </c>
      <c r="I2738" s="75" t="str">
        <f aca="false">IF(A2738="","",IFERROR(INDEX(السندات!$D$5:$D$504,MATCH(A2738,السندات!$A$5:$A$504,0)),""))</f>
        <v/>
      </c>
      <c r="J2738" s="76" t="str">
        <f aca="false">IF(A2738="","",IF(ISNA(MATCH(A2738,السندات!$A$5:$A$504,0)),"رقم سند غير موجود ✘",IF(AND(F2738&lt;&gt;"",G2738&lt;&gt;""),"اكتب مدين أو دائن فقط ✘",IF(AND(N(F2738)=0,N(G2738)=0),"بدون مبلغ ⚠",IF(B2738&gt;12,"يتجاوز 12 بنداً في الطباعة ⚠","")))))</f>
        <v/>
      </c>
    </row>
    <row r="2739" customFormat="false" ht="15" hidden="false" customHeight="false" outlineLevel="0" collapsed="false">
      <c r="A2739" s="58"/>
      <c r="B2739" s="68" t="str">
        <f aca="false">IF(A2739="","",COUNTIF(A$5:A2739,A2739))</f>
        <v/>
      </c>
      <c r="C2739" s="68" t="str">
        <f aca="false">IF(A2739="","",A2739&amp;"-"&amp;B2739)</f>
        <v/>
      </c>
      <c r="D2739" s="58"/>
      <c r="E2739" s="57"/>
      <c r="F2739" s="69"/>
      <c r="G2739" s="69"/>
      <c r="H2739" s="70" t="str">
        <f aca="false">IF(A2739="","",IFERROR(INDEX(السندات!$C$5:$C$504,MATCH(A2739,السندات!$A$5:$A$504,0)),""))</f>
        <v/>
      </c>
      <c r="I2739" s="71" t="str">
        <f aca="false">IF(A2739="","",IFERROR(INDEX(السندات!$D$5:$D$504,MATCH(A2739,السندات!$A$5:$A$504,0)),""))</f>
        <v/>
      </c>
      <c r="J2739" s="72" t="str">
        <f aca="false">IF(A2739="","",IF(ISNA(MATCH(A2739,السندات!$A$5:$A$504,0)),"رقم سند غير موجود ✘",IF(AND(F2739&lt;&gt;"",G2739&lt;&gt;""),"اكتب مدين أو دائن فقط ✘",IF(AND(N(F2739)=0,N(G2739)=0),"بدون مبلغ ⚠",IF(B2739&gt;12,"يتجاوز 12 بنداً في الطباعة ⚠","")))))</f>
        <v/>
      </c>
    </row>
    <row r="2740" customFormat="false" ht="15" hidden="false" customHeight="false" outlineLevel="0" collapsed="false">
      <c r="A2740" s="58"/>
      <c r="B2740" s="73" t="str">
        <f aca="false">IF(A2740="","",COUNTIF(A$5:A2740,A2740))</f>
        <v/>
      </c>
      <c r="C2740" s="73" t="str">
        <f aca="false">IF(A2740="","",A2740&amp;"-"&amp;B2740)</f>
        <v/>
      </c>
      <c r="D2740" s="58"/>
      <c r="E2740" s="57"/>
      <c r="F2740" s="69"/>
      <c r="G2740" s="69"/>
      <c r="H2740" s="74" t="str">
        <f aca="false">IF(A2740="","",IFERROR(INDEX(السندات!$C$5:$C$504,MATCH(A2740,السندات!$A$5:$A$504,0)),""))</f>
        <v/>
      </c>
      <c r="I2740" s="75" t="str">
        <f aca="false">IF(A2740="","",IFERROR(INDEX(السندات!$D$5:$D$504,MATCH(A2740,السندات!$A$5:$A$504,0)),""))</f>
        <v/>
      </c>
      <c r="J2740" s="76" t="str">
        <f aca="false">IF(A2740="","",IF(ISNA(MATCH(A2740,السندات!$A$5:$A$504,0)),"رقم سند غير موجود ✘",IF(AND(F2740&lt;&gt;"",G2740&lt;&gt;""),"اكتب مدين أو دائن فقط ✘",IF(AND(N(F2740)=0,N(G2740)=0),"بدون مبلغ ⚠",IF(B2740&gt;12,"يتجاوز 12 بنداً في الطباعة ⚠","")))))</f>
        <v/>
      </c>
    </row>
    <row r="2741" customFormat="false" ht="15" hidden="false" customHeight="false" outlineLevel="0" collapsed="false">
      <c r="A2741" s="58"/>
      <c r="B2741" s="68" t="str">
        <f aca="false">IF(A2741="","",COUNTIF(A$5:A2741,A2741))</f>
        <v/>
      </c>
      <c r="C2741" s="68" t="str">
        <f aca="false">IF(A2741="","",A2741&amp;"-"&amp;B2741)</f>
        <v/>
      </c>
      <c r="D2741" s="58"/>
      <c r="E2741" s="57"/>
      <c r="F2741" s="69"/>
      <c r="G2741" s="69"/>
      <c r="H2741" s="70" t="str">
        <f aca="false">IF(A2741="","",IFERROR(INDEX(السندات!$C$5:$C$504,MATCH(A2741,السندات!$A$5:$A$504,0)),""))</f>
        <v/>
      </c>
      <c r="I2741" s="71" t="str">
        <f aca="false">IF(A2741="","",IFERROR(INDEX(السندات!$D$5:$D$504,MATCH(A2741,السندات!$A$5:$A$504,0)),""))</f>
        <v/>
      </c>
      <c r="J2741" s="72" t="str">
        <f aca="false">IF(A2741="","",IF(ISNA(MATCH(A2741,السندات!$A$5:$A$504,0)),"رقم سند غير موجود ✘",IF(AND(F2741&lt;&gt;"",G2741&lt;&gt;""),"اكتب مدين أو دائن فقط ✘",IF(AND(N(F2741)=0,N(G2741)=0),"بدون مبلغ ⚠",IF(B2741&gt;12,"يتجاوز 12 بنداً في الطباعة ⚠","")))))</f>
        <v/>
      </c>
    </row>
    <row r="2742" customFormat="false" ht="15" hidden="false" customHeight="false" outlineLevel="0" collapsed="false">
      <c r="A2742" s="58"/>
      <c r="B2742" s="73" t="str">
        <f aca="false">IF(A2742="","",COUNTIF(A$5:A2742,A2742))</f>
        <v/>
      </c>
      <c r="C2742" s="73" t="str">
        <f aca="false">IF(A2742="","",A2742&amp;"-"&amp;B2742)</f>
        <v/>
      </c>
      <c r="D2742" s="58"/>
      <c r="E2742" s="57"/>
      <c r="F2742" s="69"/>
      <c r="G2742" s="69"/>
      <c r="H2742" s="74" t="str">
        <f aca="false">IF(A2742="","",IFERROR(INDEX(السندات!$C$5:$C$504,MATCH(A2742,السندات!$A$5:$A$504,0)),""))</f>
        <v/>
      </c>
      <c r="I2742" s="75" t="str">
        <f aca="false">IF(A2742="","",IFERROR(INDEX(السندات!$D$5:$D$504,MATCH(A2742,السندات!$A$5:$A$504,0)),""))</f>
        <v/>
      </c>
      <c r="J2742" s="76" t="str">
        <f aca="false">IF(A2742="","",IF(ISNA(MATCH(A2742,السندات!$A$5:$A$504,0)),"رقم سند غير موجود ✘",IF(AND(F2742&lt;&gt;"",G2742&lt;&gt;""),"اكتب مدين أو دائن فقط ✘",IF(AND(N(F2742)=0,N(G2742)=0),"بدون مبلغ ⚠",IF(B2742&gt;12,"يتجاوز 12 بنداً في الطباعة ⚠","")))))</f>
        <v/>
      </c>
    </row>
    <row r="2743" customFormat="false" ht="15" hidden="false" customHeight="false" outlineLevel="0" collapsed="false">
      <c r="A2743" s="58"/>
      <c r="B2743" s="68" t="str">
        <f aca="false">IF(A2743="","",COUNTIF(A$5:A2743,A2743))</f>
        <v/>
      </c>
      <c r="C2743" s="68" t="str">
        <f aca="false">IF(A2743="","",A2743&amp;"-"&amp;B2743)</f>
        <v/>
      </c>
      <c r="D2743" s="58"/>
      <c r="E2743" s="57"/>
      <c r="F2743" s="69"/>
      <c r="G2743" s="69"/>
      <c r="H2743" s="70" t="str">
        <f aca="false">IF(A2743="","",IFERROR(INDEX(السندات!$C$5:$C$504,MATCH(A2743,السندات!$A$5:$A$504,0)),""))</f>
        <v/>
      </c>
      <c r="I2743" s="71" t="str">
        <f aca="false">IF(A2743="","",IFERROR(INDEX(السندات!$D$5:$D$504,MATCH(A2743,السندات!$A$5:$A$504,0)),""))</f>
        <v/>
      </c>
      <c r="J2743" s="72" t="str">
        <f aca="false">IF(A2743="","",IF(ISNA(MATCH(A2743,السندات!$A$5:$A$504,0)),"رقم سند غير موجود ✘",IF(AND(F2743&lt;&gt;"",G2743&lt;&gt;""),"اكتب مدين أو دائن فقط ✘",IF(AND(N(F2743)=0,N(G2743)=0),"بدون مبلغ ⚠",IF(B2743&gt;12,"يتجاوز 12 بنداً في الطباعة ⚠","")))))</f>
        <v/>
      </c>
    </row>
    <row r="2744" customFormat="false" ht="15" hidden="false" customHeight="false" outlineLevel="0" collapsed="false">
      <c r="A2744" s="58"/>
      <c r="B2744" s="73" t="str">
        <f aca="false">IF(A2744="","",COUNTIF(A$5:A2744,A2744))</f>
        <v/>
      </c>
      <c r="C2744" s="73" t="str">
        <f aca="false">IF(A2744="","",A2744&amp;"-"&amp;B2744)</f>
        <v/>
      </c>
      <c r="D2744" s="58"/>
      <c r="E2744" s="57"/>
      <c r="F2744" s="69"/>
      <c r="G2744" s="69"/>
      <c r="H2744" s="74" t="str">
        <f aca="false">IF(A2744="","",IFERROR(INDEX(السندات!$C$5:$C$504,MATCH(A2744,السندات!$A$5:$A$504,0)),""))</f>
        <v/>
      </c>
      <c r="I2744" s="75" t="str">
        <f aca="false">IF(A2744="","",IFERROR(INDEX(السندات!$D$5:$D$504,MATCH(A2744,السندات!$A$5:$A$504,0)),""))</f>
        <v/>
      </c>
      <c r="J2744" s="76" t="str">
        <f aca="false">IF(A2744="","",IF(ISNA(MATCH(A2744,السندات!$A$5:$A$504,0)),"رقم سند غير موجود ✘",IF(AND(F2744&lt;&gt;"",G2744&lt;&gt;""),"اكتب مدين أو دائن فقط ✘",IF(AND(N(F2744)=0,N(G2744)=0),"بدون مبلغ ⚠",IF(B2744&gt;12,"يتجاوز 12 بنداً في الطباعة ⚠","")))))</f>
        <v/>
      </c>
    </row>
    <row r="2745" customFormat="false" ht="15" hidden="false" customHeight="false" outlineLevel="0" collapsed="false">
      <c r="A2745" s="58"/>
      <c r="B2745" s="68" t="str">
        <f aca="false">IF(A2745="","",COUNTIF(A$5:A2745,A2745))</f>
        <v/>
      </c>
      <c r="C2745" s="68" t="str">
        <f aca="false">IF(A2745="","",A2745&amp;"-"&amp;B2745)</f>
        <v/>
      </c>
      <c r="D2745" s="58"/>
      <c r="E2745" s="57"/>
      <c r="F2745" s="69"/>
      <c r="G2745" s="69"/>
      <c r="H2745" s="70" t="str">
        <f aca="false">IF(A2745="","",IFERROR(INDEX(السندات!$C$5:$C$504,MATCH(A2745,السندات!$A$5:$A$504,0)),""))</f>
        <v/>
      </c>
      <c r="I2745" s="71" t="str">
        <f aca="false">IF(A2745="","",IFERROR(INDEX(السندات!$D$5:$D$504,MATCH(A2745,السندات!$A$5:$A$504,0)),""))</f>
        <v/>
      </c>
      <c r="J2745" s="72" t="str">
        <f aca="false">IF(A2745="","",IF(ISNA(MATCH(A2745,السندات!$A$5:$A$504,0)),"رقم سند غير موجود ✘",IF(AND(F2745&lt;&gt;"",G2745&lt;&gt;""),"اكتب مدين أو دائن فقط ✘",IF(AND(N(F2745)=0,N(G2745)=0),"بدون مبلغ ⚠",IF(B2745&gt;12,"يتجاوز 12 بنداً في الطباعة ⚠","")))))</f>
        <v/>
      </c>
    </row>
    <row r="2746" customFormat="false" ht="15" hidden="false" customHeight="false" outlineLevel="0" collapsed="false">
      <c r="A2746" s="58"/>
      <c r="B2746" s="73" t="str">
        <f aca="false">IF(A2746="","",COUNTIF(A$5:A2746,A2746))</f>
        <v/>
      </c>
      <c r="C2746" s="73" t="str">
        <f aca="false">IF(A2746="","",A2746&amp;"-"&amp;B2746)</f>
        <v/>
      </c>
      <c r="D2746" s="58"/>
      <c r="E2746" s="57"/>
      <c r="F2746" s="69"/>
      <c r="G2746" s="69"/>
      <c r="H2746" s="74" t="str">
        <f aca="false">IF(A2746="","",IFERROR(INDEX(السندات!$C$5:$C$504,MATCH(A2746,السندات!$A$5:$A$504,0)),""))</f>
        <v/>
      </c>
      <c r="I2746" s="75" t="str">
        <f aca="false">IF(A2746="","",IFERROR(INDEX(السندات!$D$5:$D$504,MATCH(A2746,السندات!$A$5:$A$504,0)),""))</f>
        <v/>
      </c>
      <c r="J2746" s="76" t="str">
        <f aca="false">IF(A2746="","",IF(ISNA(MATCH(A2746,السندات!$A$5:$A$504,0)),"رقم سند غير موجود ✘",IF(AND(F2746&lt;&gt;"",G2746&lt;&gt;""),"اكتب مدين أو دائن فقط ✘",IF(AND(N(F2746)=0,N(G2746)=0),"بدون مبلغ ⚠",IF(B2746&gt;12,"يتجاوز 12 بنداً في الطباعة ⚠","")))))</f>
        <v/>
      </c>
    </row>
    <row r="2747" customFormat="false" ht="15" hidden="false" customHeight="false" outlineLevel="0" collapsed="false">
      <c r="A2747" s="58"/>
      <c r="B2747" s="68" t="str">
        <f aca="false">IF(A2747="","",COUNTIF(A$5:A2747,A2747))</f>
        <v/>
      </c>
      <c r="C2747" s="68" t="str">
        <f aca="false">IF(A2747="","",A2747&amp;"-"&amp;B2747)</f>
        <v/>
      </c>
      <c r="D2747" s="58"/>
      <c r="E2747" s="57"/>
      <c r="F2747" s="69"/>
      <c r="G2747" s="69"/>
      <c r="H2747" s="70" t="str">
        <f aca="false">IF(A2747="","",IFERROR(INDEX(السندات!$C$5:$C$504,MATCH(A2747,السندات!$A$5:$A$504,0)),""))</f>
        <v/>
      </c>
      <c r="I2747" s="71" t="str">
        <f aca="false">IF(A2747="","",IFERROR(INDEX(السندات!$D$5:$D$504,MATCH(A2747,السندات!$A$5:$A$504,0)),""))</f>
        <v/>
      </c>
      <c r="J2747" s="72" t="str">
        <f aca="false">IF(A2747="","",IF(ISNA(MATCH(A2747,السندات!$A$5:$A$504,0)),"رقم سند غير موجود ✘",IF(AND(F2747&lt;&gt;"",G2747&lt;&gt;""),"اكتب مدين أو دائن فقط ✘",IF(AND(N(F2747)=0,N(G2747)=0),"بدون مبلغ ⚠",IF(B2747&gt;12,"يتجاوز 12 بنداً في الطباعة ⚠","")))))</f>
        <v/>
      </c>
    </row>
    <row r="2748" customFormat="false" ht="15" hidden="false" customHeight="false" outlineLevel="0" collapsed="false">
      <c r="A2748" s="58"/>
      <c r="B2748" s="73" t="str">
        <f aca="false">IF(A2748="","",COUNTIF(A$5:A2748,A2748))</f>
        <v/>
      </c>
      <c r="C2748" s="73" t="str">
        <f aca="false">IF(A2748="","",A2748&amp;"-"&amp;B2748)</f>
        <v/>
      </c>
      <c r="D2748" s="58"/>
      <c r="E2748" s="57"/>
      <c r="F2748" s="69"/>
      <c r="G2748" s="69"/>
      <c r="H2748" s="74" t="str">
        <f aca="false">IF(A2748="","",IFERROR(INDEX(السندات!$C$5:$C$504,MATCH(A2748,السندات!$A$5:$A$504,0)),""))</f>
        <v/>
      </c>
      <c r="I2748" s="75" t="str">
        <f aca="false">IF(A2748="","",IFERROR(INDEX(السندات!$D$5:$D$504,MATCH(A2748,السندات!$A$5:$A$504,0)),""))</f>
        <v/>
      </c>
      <c r="J2748" s="76" t="str">
        <f aca="false">IF(A2748="","",IF(ISNA(MATCH(A2748,السندات!$A$5:$A$504,0)),"رقم سند غير موجود ✘",IF(AND(F2748&lt;&gt;"",G2748&lt;&gt;""),"اكتب مدين أو دائن فقط ✘",IF(AND(N(F2748)=0,N(G2748)=0),"بدون مبلغ ⚠",IF(B2748&gt;12,"يتجاوز 12 بنداً في الطباعة ⚠","")))))</f>
        <v/>
      </c>
    </row>
    <row r="2749" customFormat="false" ht="15" hidden="false" customHeight="false" outlineLevel="0" collapsed="false">
      <c r="A2749" s="58"/>
      <c r="B2749" s="68" t="str">
        <f aca="false">IF(A2749="","",COUNTIF(A$5:A2749,A2749))</f>
        <v/>
      </c>
      <c r="C2749" s="68" t="str">
        <f aca="false">IF(A2749="","",A2749&amp;"-"&amp;B2749)</f>
        <v/>
      </c>
      <c r="D2749" s="58"/>
      <c r="E2749" s="57"/>
      <c r="F2749" s="69"/>
      <c r="G2749" s="69"/>
      <c r="H2749" s="70" t="str">
        <f aca="false">IF(A2749="","",IFERROR(INDEX(السندات!$C$5:$C$504,MATCH(A2749,السندات!$A$5:$A$504,0)),""))</f>
        <v/>
      </c>
      <c r="I2749" s="71" t="str">
        <f aca="false">IF(A2749="","",IFERROR(INDEX(السندات!$D$5:$D$504,MATCH(A2749,السندات!$A$5:$A$504,0)),""))</f>
        <v/>
      </c>
      <c r="J2749" s="72" t="str">
        <f aca="false">IF(A2749="","",IF(ISNA(MATCH(A2749,السندات!$A$5:$A$504,0)),"رقم سند غير موجود ✘",IF(AND(F2749&lt;&gt;"",G2749&lt;&gt;""),"اكتب مدين أو دائن فقط ✘",IF(AND(N(F2749)=0,N(G2749)=0),"بدون مبلغ ⚠",IF(B2749&gt;12,"يتجاوز 12 بنداً في الطباعة ⚠","")))))</f>
        <v/>
      </c>
    </row>
    <row r="2750" customFormat="false" ht="15" hidden="false" customHeight="false" outlineLevel="0" collapsed="false">
      <c r="A2750" s="58"/>
      <c r="B2750" s="73" t="str">
        <f aca="false">IF(A2750="","",COUNTIF(A$5:A2750,A2750))</f>
        <v/>
      </c>
      <c r="C2750" s="73" t="str">
        <f aca="false">IF(A2750="","",A2750&amp;"-"&amp;B2750)</f>
        <v/>
      </c>
      <c r="D2750" s="58"/>
      <c r="E2750" s="57"/>
      <c r="F2750" s="69"/>
      <c r="G2750" s="69"/>
      <c r="H2750" s="74" t="str">
        <f aca="false">IF(A2750="","",IFERROR(INDEX(السندات!$C$5:$C$504,MATCH(A2750,السندات!$A$5:$A$504,0)),""))</f>
        <v/>
      </c>
      <c r="I2750" s="75" t="str">
        <f aca="false">IF(A2750="","",IFERROR(INDEX(السندات!$D$5:$D$504,MATCH(A2750,السندات!$A$5:$A$504,0)),""))</f>
        <v/>
      </c>
      <c r="J2750" s="76" t="str">
        <f aca="false">IF(A2750="","",IF(ISNA(MATCH(A2750,السندات!$A$5:$A$504,0)),"رقم سند غير موجود ✘",IF(AND(F2750&lt;&gt;"",G2750&lt;&gt;""),"اكتب مدين أو دائن فقط ✘",IF(AND(N(F2750)=0,N(G2750)=0),"بدون مبلغ ⚠",IF(B2750&gt;12,"يتجاوز 12 بنداً في الطباعة ⚠","")))))</f>
        <v/>
      </c>
    </row>
    <row r="2751" customFormat="false" ht="15" hidden="false" customHeight="false" outlineLevel="0" collapsed="false">
      <c r="A2751" s="58"/>
      <c r="B2751" s="68" t="str">
        <f aca="false">IF(A2751="","",COUNTIF(A$5:A2751,A2751))</f>
        <v/>
      </c>
      <c r="C2751" s="68" t="str">
        <f aca="false">IF(A2751="","",A2751&amp;"-"&amp;B2751)</f>
        <v/>
      </c>
      <c r="D2751" s="58"/>
      <c r="E2751" s="57"/>
      <c r="F2751" s="69"/>
      <c r="G2751" s="69"/>
      <c r="H2751" s="70" t="str">
        <f aca="false">IF(A2751="","",IFERROR(INDEX(السندات!$C$5:$C$504,MATCH(A2751,السندات!$A$5:$A$504,0)),""))</f>
        <v/>
      </c>
      <c r="I2751" s="71" t="str">
        <f aca="false">IF(A2751="","",IFERROR(INDEX(السندات!$D$5:$D$504,MATCH(A2751,السندات!$A$5:$A$504,0)),""))</f>
        <v/>
      </c>
      <c r="J2751" s="72" t="str">
        <f aca="false">IF(A2751="","",IF(ISNA(MATCH(A2751,السندات!$A$5:$A$504,0)),"رقم سند غير موجود ✘",IF(AND(F2751&lt;&gt;"",G2751&lt;&gt;""),"اكتب مدين أو دائن فقط ✘",IF(AND(N(F2751)=0,N(G2751)=0),"بدون مبلغ ⚠",IF(B2751&gt;12,"يتجاوز 12 بنداً في الطباعة ⚠","")))))</f>
        <v/>
      </c>
    </row>
    <row r="2752" customFormat="false" ht="15" hidden="false" customHeight="false" outlineLevel="0" collapsed="false">
      <c r="A2752" s="58"/>
      <c r="B2752" s="73" t="str">
        <f aca="false">IF(A2752="","",COUNTIF(A$5:A2752,A2752))</f>
        <v/>
      </c>
      <c r="C2752" s="73" t="str">
        <f aca="false">IF(A2752="","",A2752&amp;"-"&amp;B2752)</f>
        <v/>
      </c>
      <c r="D2752" s="58"/>
      <c r="E2752" s="57"/>
      <c r="F2752" s="69"/>
      <c r="G2752" s="69"/>
      <c r="H2752" s="74" t="str">
        <f aca="false">IF(A2752="","",IFERROR(INDEX(السندات!$C$5:$C$504,MATCH(A2752,السندات!$A$5:$A$504,0)),""))</f>
        <v/>
      </c>
      <c r="I2752" s="75" t="str">
        <f aca="false">IF(A2752="","",IFERROR(INDEX(السندات!$D$5:$D$504,MATCH(A2752,السندات!$A$5:$A$504,0)),""))</f>
        <v/>
      </c>
      <c r="J2752" s="76" t="str">
        <f aca="false">IF(A2752="","",IF(ISNA(MATCH(A2752,السندات!$A$5:$A$504,0)),"رقم سند غير موجود ✘",IF(AND(F2752&lt;&gt;"",G2752&lt;&gt;""),"اكتب مدين أو دائن فقط ✘",IF(AND(N(F2752)=0,N(G2752)=0),"بدون مبلغ ⚠",IF(B2752&gt;12,"يتجاوز 12 بنداً في الطباعة ⚠","")))))</f>
        <v/>
      </c>
    </row>
    <row r="2753" customFormat="false" ht="15" hidden="false" customHeight="false" outlineLevel="0" collapsed="false">
      <c r="A2753" s="58"/>
      <c r="B2753" s="68" t="str">
        <f aca="false">IF(A2753="","",COUNTIF(A$5:A2753,A2753))</f>
        <v/>
      </c>
      <c r="C2753" s="68" t="str">
        <f aca="false">IF(A2753="","",A2753&amp;"-"&amp;B2753)</f>
        <v/>
      </c>
      <c r="D2753" s="58"/>
      <c r="E2753" s="57"/>
      <c r="F2753" s="69"/>
      <c r="G2753" s="69"/>
      <c r="H2753" s="70" t="str">
        <f aca="false">IF(A2753="","",IFERROR(INDEX(السندات!$C$5:$C$504,MATCH(A2753,السندات!$A$5:$A$504,0)),""))</f>
        <v/>
      </c>
      <c r="I2753" s="71" t="str">
        <f aca="false">IF(A2753="","",IFERROR(INDEX(السندات!$D$5:$D$504,MATCH(A2753,السندات!$A$5:$A$504,0)),""))</f>
        <v/>
      </c>
      <c r="J2753" s="72" t="str">
        <f aca="false">IF(A2753="","",IF(ISNA(MATCH(A2753,السندات!$A$5:$A$504,0)),"رقم سند غير موجود ✘",IF(AND(F2753&lt;&gt;"",G2753&lt;&gt;""),"اكتب مدين أو دائن فقط ✘",IF(AND(N(F2753)=0,N(G2753)=0),"بدون مبلغ ⚠",IF(B2753&gt;12,"يتجاوز 12 بنداً في الطباعة ⚠","")))))</f>
        <v/>
      </c>
    </row>
    <row r="2754" customFormat="false" ht="15" hidden="false" customHeight="false" outlineLevel="0" collapsed="false">
      <c r="A2754" s="58"/>
      <c r="B2754" s="73" t="str">
        <f aca="false">IF(A2754="","",COUNTIF(A$5:A2754,A2754))</f>
        <v/>
      </c>
      <c r="C2754" s="73" t="str">
        <f aca="false">IF(A2754="","",A2754&amp;"-"&amp;B2754)</f>
        <v/>
      </c>
      <c r="D2754" s="58"/>
      <c r="E2754" s="57"/>
      <c r="F2754" s="69"/>
      <c r="G2754" s="69"/>
      <c r="H2754" s="74" t="str">
        <f aca="false">IF(A2754="","",IFERROR(INDEX(السندات!$C$5:$C$504,MATCH(A2754,السندات!$A$5:$A$504,0)),""))</f>
        <v/>
      </c>
      <c r="I2754" s="75" t="str">
        <f aca="false">IF(A2754="","",IFERROR(INDEX(السندات!$D$5:$D$504,MATCH(A2754,السندات!$A$5:$A$504,0)),""))</f>
        <v/>
      </c>
      <c r="J2754" s="76" t="str">
        <f aca="false">IF(A2754="","",IF(ISNA(MATCH(A2754,السندات!$A$5:$A$504,0)),"رقم سند غير موجود ✘",IF(AND(F2754&lt;&gt;"",G2754&lt;&gt;""),"اكتب مدين أو دائن فقط ✘",IF(AND(N(F2754)=0,N(G2754)=0),"بدون مبلغ ⚠",IF(B2754&gt;12,"يتجاوز 12 بنداً في الطباعة ⚠","")))))</f>
        <v/>
      </c>
    </row>
    <row r="2755" customFormat="false" ht="15" hidden="false" customHeight="false" outlineLevel="0" collapsed="false">
      <c r="A2755" s="58"/>
      <c r="B2755" s="68" t="str">
        <f aca="false">IF(A2755="","",COUNTIF(A$5:A2755,A2755))</f>
        <v/>
      </c>
      <c r="C2755" s="68" t="str">
        <f aca="false">IF(A2755="","",A2755&amp;"-"&amp;B2755)</f>
        <v/>
      </c>
      <c r="D2755" s="58"/>
      <c r="E2755" s="57"/>
      <c r="F2755" s="69"/>
      <c r="G2755" s="69"/>
      <c r="H2755" s="70" t="str">
        <f aca="false">IF(A2755="","",IFERROR(INDEX(السندات!$C$5:$C$504,MATCH(A2755,السندات!$A$5:$A$504,0)),""))</f>
        <v/>
      </c>
      <c r="I2755" s="71" t="str">
        <f aca="false">IF(A2755="","",IFERROR(INDEX(السندات!$D$5:$D$504,MATCH(A2755,السندات!$A$5:$A$504,0)),""))</f>
        <v/>
      </c>
      <c r="J2755" s="72" t="str">
        <f aca="false">IF(A2755="","",IF(ISNA(MATCH(A2755,السندات!$A$5:$A$504,0)),"رقم سند غير موجود ✘",IF(AND(F2755&lt;&gt;"",G2755&lt;&gt;""),"اكتب مدين أو دائن فقط ✘",IF(AND(N(F2755)=0,N(G2755)=0),"بدون مبلغ ⚠",IF(B2755&gt;12,"يتجاوز 12 بنداً في الطباعة ⚠","")))))</f>
        <v/>
      </c>
    </row>
    <row r="2756" customFormat="false" ht="15" hidden="false" customHeight="false" outlineLevel="0" collapsed="false">
      <c r="A2756" s="58"/>
      <c r="B2756" s="73" t="str">
        <f aca="false">IF(A2756="","",COUNTIF(A$5:A2756,A2756))</f>
        <v/>
      </c>
      <c r="C2756" s="73" t="str">
        <f aca="false">IF(A2756="","",A2756&amp;"-"&amp;B2756)</f>
        <v/>
      </c>
      <c r="D2756" s="58"/>
      <c r="E2756" s="57"/>
      <c r="F2756" s="69"/>
      <c r="G2756" s="69"/>
      <c r="H2756" s="74" t="str">
        <f aca="false">IF(A2756="","",IFERROR(INDEX(السندات!$C$5:$C$504,MATCH(A2756,السندات!$A$5:$A$504,0)),""))</f>
        <v/>
      </c>
      <c r="I2756" s="75" t="str">
        <f aca="false">IF(A2756="","",IFERROR(INDEX(السندات!$D$5:$D$504,MATCH(A2756,السندات!$A$5:$A$504,0)),""))</f>
        <v/>
      </c>
      <c r="J2756" s="76" t="str">
        <f aca="false">IF(A2756="","",IF(ISNA(MATCH(A2756,السندات!$A$5:$A$504,0)),"رقم سند غير موجود ✘",IF(AND(F2756&lt;&gt;"",G2756&lt;&gt;""),"اكتب مدين أو دائن فقط ✘",IF(AND(N(F2756)=0,N(G2756)=0),"بدون مبلغ ⚠",IF(B2756&gt;12,"يتجاوز 12 بنداً في الطباعة ⚠","")))))</f>
        <v/>
      </c>
    </row>
    <row r="2757" customFormat="false" ht="15" hidden="false" customHeight="false" outlineLevel="0" collapsed="false">
      <c r="A2757" s="58"/>
      <c r="B2757" s="68" t="str">
        <f aca="false">IF(A2757="","",COUNTIF(A$5:A2757,A2757))</f>
        <v/>
      </c>
      <c r="C2757" s="68" t="str">
        <f aca="false">IF(A2757="","",A2757&amp;"-"&amp;B2757)</f>
        <v/>
      </c>
      <c r="D2757" s="58"/>
      <c r="E2757" s="57"/>
      <c r="F2757" s="69"/>
      <c r="G2757" s="69"/>
      <c r="H2757" s="70" t="str">
        <f aca="false">IF(A2757="","",IFERROR(INDEX(السندات!$C$5:$C$504,MATCH(A2757,السندات!$A$5:$A$504,0)),""))</f>
        <v/>
      </c>
      <c r="I2757" s="71" t="str">
        <f aca="false">IF(A2757="","",IFERROR(INDEX(السندات!$D$5:$D$504,MATCH(A2757,السندات!$A$5:$A$504,0)),""))</f>
        <v/>
      </c>
      <c r="J2757" s="72" t="str">
        <f aca="false">IF(A2757="","",IF(ISNA(MATCH(A2757,السندات!$A$5:$A$504,0)),"رقم سند غير موجود ✘",IF(AND(F2757&lt;&gt;"",G2757&lt;&gt;""),"اكتب مدين أو دائن فقط ✘",IF(AND(N(F2757)=0,N(G2757)=0),"بدون مبلغ ⚠",IF(B2757&gt;12,"يتجاوز 12 بنداً في الطباعة ⚠","")))))</f>
        <v/>
      </c>
    </row>
    <row r="2758" customFormat="false" ht="15" hidden="false" customHeight="false" outlineLevel="0" collapsed="false">
      <c r="A2758" s="58"/>
      <c r="B2758" s="73" t="str">
        <f aca="false">IF(A2758="","",COUNTIF(A$5:A2758,A2758))</f>
        <v/>
      </c>
      <c r="C2758" s="73" t="str">
        <f aca="false">IF(A2758="","",A2758&amp;"-"&amp;B2758)</f>
        <v/>
      </c>
      <c r="D2758" s="58"/>
      <c r="E2758" s="57"/>
      <c r="F2758" s="69"/>
      <c r="G2758" s="69"/>
      <c r="H2758" s="74" t="str">
        <f aca="false">IF(A2758="","",IFERROR(INDEX(السندات!$C$5:$C$504,MATCH(A2758,السندات!$A$5:$A$504,0)),""))</f>
        <v/>
      </c>
      <c r="I2758" s="75" t="str">
        <f aca="false">IF(A2758="","",IFERROR(INDEX(السندات!$D$5:$D$504,MATCH(A2758,السندات!$A$5:$A$504,0)),""))</f>
        <v/>
      </c>
      <c r="J2758" s="76" t="str">
        <f aca="false">IF(A2758="","",IF(ISNA(MATCH(A2758,السندات!$A$5:$A$504,0)),"رقم سند غير موجود ✘",IF(AND(F2758&lt;&gt;"",G2758&lt;&gt;""),"اكتب مدين أو دائن فقط ✘",IF(AND(N(F2758)=0,N(G2758)=0),"بدون مبلغ ⚠",IF(B2758&gt;12,"يتجاوز 12 بنداً في الطباعة ⚠","")))))</f>
        <v/>
      </c>
    </row>
    <row r="2759" customFormat="false" ht="15" hidden="false" customHeight="false" outlineLevel="0" collapsed="false">
      <c r="A2759" s="58"/>
      <c r="B2759" s="68" t="str">
        <f aca="false">IF(A2759="","",COUNTIF(A$5:A2759,A2759))</f>
        <v/>
      </c>
      <c r="C2759" s="68" t="str">
        <f aca="false">IF(A2759="","",A2759&amp;"-"&amp;B2759)</f>
        <v/>
      </c>
      <c r="D2759" s="58"/>
      <c r="E2759" s="57"/>
      <c r="F2759" s="69"/>
      <c r="G2759" s="69"/>
      <c r="H2759" s="70" t="str">
        <f aca="false">IF(A2759="","",IFERROR(INDEX(السندات!$C$5:$C$504,MATCH(A2759,السندات!$A$5:$A$504,0)),""))</f>
        <v/>
      </c>
      <c r="I2759" s="71" t="str">
        <f aca="false">IF(A2759="","",IFERROR(INDEX(السندات!$D$5:$D$504,MATCH(A2759,السندات!$A$5:$A$504,0)),""))</f>
        <v/>
      </c>
      <c r="J2759" s="72" t="str">
        <f aca="false">IF(A2759="","",IF(ISNA(MATCH(A2759,السندات!$A$5:$A$504,0)),"رقم سند غير موجود ✘",IF(AND(F2759&lt;&gt;"",G2759&lt;&gt;""),"اكتب مدين أو دائن فقط ✘",IF(AND(N(F2759)=0,N(G2759)=0),"بدون مبلغ ⚠",IF(B2759&gt;12,"يتجاوز 12 بنداً في الطباعة ⚠","")))))</f>
        <v/>
      </c>
    </row>
    <row r="2760" customFormat="false" ht="15" hidden="false" customHeight="false" outlineLevel="0" collapsed="false">
      <c r="A2760" s="58"/>
      <c r="B2760" s="73" t="str">
        <f aca="false">IF(A2760="","",COUNTIF(A$5:A2760,A2760))</f>
        <v/>
      </c>
      <c r="C2760" s="73" t="str">
        <f aca="false">IF(A2760="","",A2760&amp;"-"&amp;B2760)</f>
        <v/>
      </c>
      <c r="D2760" s="58"/>
      <c r="E2760" s="57"/>
      <c r="F2760" s="69"/>
      <c r="G2760" s="69"/>
      <c r="H2760" s="74" t="str">
        <f aca="false">IF(A2760="","",IFERROR(INDEX(السندات!$C$5:$C$504,MATCH(A2760,السندات!$A$5:$A$504,0)),""))</f>
        <v/>
      </c>
      <c r="I2760" s="75" t="str">
        <f aca="false">IF(A2760="","",IFERROR(INDEX(السندات!$D$5:$D$504,MATCH(A2760,السندات!$A$5:$A$504,0)),""))</f>
        <v/>
      </c>
      <c r="J2760" s="76" t="str">
        <f aca="false">IF(A2760="","",IF(ISNA(MATCH(A2760,السندات!$A$5:$A$504,0)),"رقم سند غير موجود ✘",IF(AND(F2760&lt;&gt;"",G2760&lt;&gt;""),"اكتب مدين أو دائن فقط ✘",IF(AND(N(F2760)=0,N(G2760)=0),"بدون مبلغ ⚠",IF(B2760&gt;12,"يتجاوز 12 بنداً في الطباعة ⚠","")))))</f>
        <v/>
      </c>
    </row>
    <row r="2761" customFormat="false" ht="15" hidden="false" customHeight="false" outlineLevel="0" collapsed="false">
      <c r="A2761" s="58"/>
      <c r="B2761" s="68" t="str">
        <f aca="false">IF(A2761="","",COUNTIF(A$5:A2761,A2761))</f>
        <v/>
      </c>
      <c r="C2761" s="68" t="str">
        <f aca="false">IF(A2761="","",A2761&amp;"-"&amp;B2761)</f>
        <v/>
      </c>
      <c r="D2761" s="58"/>
      <c r="E2761" s="57"/>
      <c r="F2761" s="69"/>
      <c r="G2761" s="69"/>
      <c r="H2761" s="70" t="str">
        <f aca="false">IF(A2761="","",IFERROR(INDEX(السندات!$C$5:$C$504,MATCH(A2761,السندات!$A$5:$A$504,0)),""))</f>
        <v/>
      </c>
      <c r="I2761" s="71" t="str">
        <f aca="false">IF(A2761="","",IFERROR(INDEX(السندات!$D$5:$D$504,MATCH(A2761,السندات!$A$5:$A$504,0)),""))</f>
        <v/>
      </c>
      <c r="J2761" s="72" t="str">
        <f aca="false">IF(A2761="","",IF(ISNA(MATCH(A2761,السندات!$A$5:$A$504,0)),"رقم سند غير موجود ✘",IF(AND(F2761&lt;&gt;"",G2761&lt;&gt;""),"اكتب مدين أو دائن فقط ✘",IF(AND(N(F2761)=0,N(G2761)=0),"بدون مبلغ ⚠",IF(B2761&gt;12,"يتجاوز 12 بنداً في الطباعة ⚠","")))))</f>
        <v/>
      </c>
    </row>
    <row r="2762" customFormat="false" ht="15" hidden="false" customHeight="false" outlineLevel="0" collapsed="false">
      <c r="A2762" s="58"/>
      <c r="B2762" s="73" t="str">
        <f aca="false">IF(A2762="","",COUNTIF(A$5:A2762,A2762))</f>
        <v/>
      </c>
      <c r="C2762" s="73" t="str">
        <f aca="false">IF(A2762="","",A2762&amp;"-"&amp;B2762)</f>
        <v/>
      </c>
      <c r="D2762" s="58"/>
      <c r="E2762" s="57"/>
      <c r="F2762" s="69"/>
      <c r="G2762" s="69"/>
      <c r="H2762" s="74" t="str">
        <f aca="false">IF(A2762="","",IFERROR(INDEX(السندات!$C$5:$C$504,MATCH(A2762,السندات!$A$5:$A$504,0)),""))</f>
        <v/>
      </c>
      <c r="I2762" s="75" t="str">
        <f aca="false">IF(A2762="","",IFERROR(INDEX(السندات!$D$5:$D$504,MATCH(A2762,السندات!$A$5:$A$504,0)),""))</f>
        <v/>
      </c>
      <c r="J2762" s="76" t="str">
        <f aca="false">IF(A2762="","",IF(ISNA(MATCH(A2762,السندات!$A$5:$A$504,0)),"رقم سند غير موجود ✘",IF(AND(F2762&lt;&gt;"",G2762&lt;&gt;""),"اكتب مدين أو دائن فقط ✘",IF(AND(N(F2762)=0,N(G2762)=0),"بدون مبلغ ⚠",IF(B2762&gt;12,"يتجاوز 12 بنداً في الطباعة ⚠","")))))</f>
        <v/>
      </c>
    </row>
    <row r="2763" customFormat="false" ht="15" hidden="false" customHeight="false" outlineLevel="0" collapsed="false">
      <c r="A2763" s="58"/>
      <c r="B2763" s="68" t="str">
        <f aca="false">IF(A2763="","",COUNTIF(A$5:A2763,A2763))</f>
        <v/>
      </c>
      <c r="C2763" s="68" t="str">
        <f aca="false">IF(A2763="","",A2763&amp;"-"&amp;B2763)</f>
        <v/>
      </c>
      <c r="D2763" s="58"/>
      <c r="E2763" s="57"/>
      <c r="F2763" s="69"/>
      <c r="G2763" s="69"/>
      <c r="H2763" s="70" t="str">
        <f aca="false">IF(A2763="","",IFERROR(INDEX(السندات!$C$5:$C$504,MATCH(A2763,السندات!$A$5:$A$504,0)),""))</f>
        <v/>
      </c>
      <c r="I2763" s="71" t="str">
        <f aca="false">IF(A2763="","",IFERROR(INDEX(السندات!$D$5:$D$504,MATCH(A2763,السندات!$A$5:$A$504,0)),""))</f>
        <v/>
      </c>
      <c r="J2763" s="72" t="str">
        <f aca="false">IF(A2763="","",IF(ISNA(MATCH(A2763,السندات!$A$5:$A$504,0)),"رقم سند غير موجود ✘",IF(AND(F2763&lt;&gt;"",G2763&lt;&gt;""),"اكتب مدين أو دائن فقط ✘",IF(AND(N(F2763)=0,N(G2763)=0),"بدون مبلغ ⚠",IF(B2763&gt;12,"يتجاوز 12 بنداً في الطباعة ⚠","")))))</f>
        <v/>
      </c>
    </row>
    <row r="2764" customFormat="false" ht="15" hidden="false" customHeight="false" outlineLevel="0" collapsed="false">
      <c r="A2764" s="58"/>
      <c r="B2764" s="73" t="str">
        <f aca="false">IF(A2764="","",COUNTIF(A$5:A2764,A2764))</f>
        <v/>
      </c>
      <c r="C2764" s="73" t="str">
        <f aca="false">IF(A2764="","",A2764&amp;"-"&amp;B2764)</f>
        <v/>
      </c>
      <c r="D2764" s="58"/>
      <c r="E2764" s="57"/>
      <c r="F2764" s="69"/>
      <c r="G2764" s="69"/>
      <c r="H2764" s="74" t="str">
        <f aca="false">IF(A2764="","",IFERROR(INDEX(السندات!$C$5:$C$504,MATCH(A2764,السندات!$A$5:$A$504,0)),""))</f>
        <v/>
      </c>
      <c r="I2764" s="75" t="str">
        <f aca="false">IF(A2764="","",IFERROR(INDEX(السندات!$D$5:$D$504,MATCH(A2764,السندات!$A$5:$A$504,0)),""))</f>
        <v/>
      </c>
      <c r="J2764" s="76" t="str">
        <f aca="false">IF(A2764="","",IF(ISNA(MATCH(A2764,السندات!$A$5:$A$504,0)),"رقم سند غير موجود ✘",IF(AND(F2764&lt;&gt;"",G2764&lt;&gt;""),"اكتب مدين أو دائن فقط ✘",IF(AND(N(F2764)=0,N(G2764)=0),"بدون مبلغ ⚠",IF(B2764&gt;12,"يتجاوز 12 بنداً في الطباعة ⚠","")))))</f>
        <v/>
      </c>
    </row>
    <row r="2765" customFormat="false" ht="15" hidden="false" customHeight="false" outlineLevel="0" collapsed="false">
      <c r="A2765" s="58"/>
      <c r="B2765" s="68" t="str">
        <f aca="false">IF(A2765="","",COUNTIF(A$5:A2765,A2765))</f>
        <v/>
      </c>
      <c r="C2765" s="68" t="str">
        <f aca="false">IF(A2765="","",A2765&amp;"-"&amp;B2765)</f>
        <v/>
      </c>
      <c r="D2765" s="58"/>
      <c r="E2765" s="57"/>
      <c r="F2765" s="69"/>
      <c r="G2765" s="69"/>
      <c r="H2765" s="70" t="str">
        <f aca="false">IF(A2765="","",IFERROR(INDEX(السندات!$C$5:$C$504,MATCH(A2765,السندات!$A$5:$A$504,0)),""))</f>
        <v/>
      </c>
      <c r="I2765" s="71" t="str">
        <f aca="false">IF(A2765="","",IFERROR(INDEX(السندات!$D$5:$D$504,MATCH(A2765,السندات!$A$5:$A$504,0)),""))</f>
        <v/>
      </c>
      <c r="J2765" s="72" t="str">
        <f aca="false">IF(A2765="","",IF(ISNA(MATCH(A2765,السندات!$A$5:$A$504,0)),"رقم سند غير موجود ✘",IF(AND(F2765&lt;&gt;"",G2765&lt;&gt;""),"اكتب مدين أو دائن فقط ✘",IF(AND(N(F2765)=0,N(G2765)=0),"بدون مبلغ ⚠",IF(B2765&gt;12,"يتجاوز 12 بنداً في الطباعة ⚠","")))))</f>
        <v/>
      </c>
    </row>
    <row r="2766" customFormat="false" ht="15" hidden="false" customHeight="false" outlineLevel="0" collapsed="false">
      <c r="A2766" s="58"/>
      <c r="B2766" s="73" t="str">
        <f aca="false">IF(A2766="","",COUNTIF(A$5:A2766,A2766))</f>
        <v/>
      </c>
      <c r="C2766" s="73" t="str">
        <f aca="false">IF(A2766="","",A2766&amp;"-"&amp;B2766)</f>
        <v/>
      </c>
      <c r="D2766" s="58"/>
      <c r="E2766" s="57"/>
      <c r="F2766" s="69"/>
      <c r="G2766" s="69"/>
      <c r="H2766" s="74" t="str">
        <f aca="false">IF(A2766="","",IFERROR(INDEX(السندات!$C$5:$C$504,MATCH(A2766,السندات!$A$5:$A$504,0)),""))</f>
        <v/>
      </c>
      <c r="I2766" s="75" t="str">
        <f aca="false">IF(A2766="","",IFERROR(INDEX(السندات!$D$5:$D$504,MATCH(A2766,السندات!$A$5:$A$504,0)),""))</f>
        <v/>
      </c>
      <c r="J2766" s="76" t="str">
        <f aca="false">IF(A2766="","",IF(ISNA(MATCH(A2766,السندات!$A$5:$A$504,0)),"رقم سند غير موجود ✘",IF(AND(F2766&lt;&gt;"",G2766&lt;&gt;""),"اكتب مدين أو دائن فقط ✘",IF(AND(N(F2766)=0,N(G2766)=0),"بدون مبلغ ⚠",IF(B2766&gt;12,"يتجاوز 12 بنداً في الطباعة ⚠","")))))</f>
        <v/>
      </c>
    </row>
    <row r="2767" customFormat="false" ht="15" hidden="false" customHeight="false" outlineLevel="0" collapsed="false">
      <c r="A2767" s="58"/>
      <c r="B2767" s="68" t="str">
        <f aca="false">IF(A2767="","",COUNTIF(A$5:A2767,A2767))</f>
        <v/>
      </c>
      <c r="C2767" s="68" t="str">
        <f aca="false">IF(A2767="","",A2767&amp;"-"&amp;B2767)</f>
        <v/>
      </c>
      <c r="D2767" s="58"/>
      <c r="E2767" s="57"/>
      <c r="F2767" s="69"/>
      <c r="G2767" s="69"/>
      <c r="H2767" s="70" t="str">
        <f aca="false">IF(A2767="","",IFERROR(INDEX(السندات!$C$5:$C$504,MATCH(A2767,السندات!$A$5:$A$504,0)),""))</f>
        <v/>
      </c>
      <c r="I2767" s="71" t="str">
        <f aca="false">IF(A2767="","",IFERROR(INDEX(السندات!$D$5:$D$504,MATCH(A2767,السندات!$A$5:$A$504,0)),""))</f>
        <v/>
      </c>
      <c r="J2767" s="72" t="str">
        <f aca="false">IF(A2767="","",IF(ISNA(MATCH(A2767,السندات!$A$5:$A$504,0)),"رقم سند غير موجود ✘",IF(AND(F2767&lt;&gt;"",G2767&lt;&gt;""),"اكتب مدين أو دائن فقط ✘",IF(AND(N(F2767)=0,N(G2767)=0),"بدون مبلغ ⚠",IF(B2767&gt;12,"يتجاوز 12 بنداً في الطباعة ⚠","")))))</f>
        <v/>
      </c>
    </row>
    <row r="2768" customFormat="false" ht="15" hidden="false" customHeight="false" outlineLevel="0" collapsed="false">
      <c r="A2768" s="58"/>
      <c r="B2768" s="73" t="str">
        <f aca="false">IF(A2768="","",COUNTIF(A$5:A2768,A2768))</f>
        <v/>
      </c>
      <c r="C2768" s="73" t="str">
        <f aca="false">IF(A2768="","",A2768&amp;"-"&amp;B2768)</f>
        <v/>
      </c>
      <c r="D2768" s="58"/>
      <c r="E2768" s="57"/>
      <c r="F2768" s="69"/>
      <c r="G2768" s="69"/>
      <c r="H2768" s="74" t="str">
        <f aca="false">IF(A2768="","",IFERROR(INDEX(السندات!$C$5:$C$504,MATCH(A2768,السندات!$A$5:$A$504,0)),""))</f>
        <v/>
      </c>
      <c r="I2768" s="75" t="str">
        <f aca="false">IF(A2768="","",IFERROR(INDEX(السندات!$D$5:$D$504,MATCH(A2768,السندات!$A$5:$A$504,0)),""))</f>
        <v/>
      </c>
      <c r="J2768" s="76" t="str">
        <f aca="false">IF(A2768="","",IF(ISNA(MATCH(A2768,السندات!$A$5:$A$504,0)),"رقم سند غير موجود ✘",IF(AND(F2768&lt;&gt;"",G2768&lt;&gt;""),"اكتب مدين أو دائن فقط ✘",IF(AND(N(F2768)=0,N(G2768)=0),"بدون مبلغ ⚠",IF(B2768&gt;12,"يتجاوز 12 بنداً في الطباعة ⚠","")))))</f>
        <v/>
      </c>
    </row>
    <row r="2769" customFormat="false" ht="15" hidden="false" customHeight="false" outlineLevel="0" collapsed="false">
      <c r="A2769" s="58"/>
      <c r="B2769" s="68" t="str">
        <f aca="false">IF(A2769="","",COUNTIF(A$5:A2769,A2769))</f>
        <v/>
      </c>
      <c r="C2769" s="68" t="str">
        <f aca="false">IF(A2769="","",A2769&amp;"-"&amp;B2769)</f>
        <v/>
      </c>
      <c r="D2769" s="58"/>
      <c r="E2769" s="57"/>
      <c r="F2769" s="69"/>
      <c r="G2769" s="69"/>
      <c r="H2769" s="70" t="str">
        <f aca="false">IF(A2769="","",IFERROR(INDEX(السندات!$C$5:$C$504,MATCH(A2769,السندات!$A$5:$A$504,0)),""))</f>
        <v/>
      </c>
      <c r="I2769" s="71" t="str">
        <f aca="false">IF(A2769="","",IFERROR(INDEX(السندات!$D$5:$D$504,MATCH(A2769,السندات!$A$5:$A$504,0)),""))</f>
        <v/>
      </c>
      <c r="J2769" s="72" t="str">
        <f aca="false">IF(A2769="","",IF(ISNA(MATCH(A2769,السندات!$A$5:$A$504,0)),"رقم سند غير موجود ✘",IF(AND(F2769&lt;&gt;"",G2769&lt;&gt;""),"اكتب مدين أو دائن فقط ✘",IF(AND(N(F2769)=0,N(G2769)=0),"بدون مبلغ ⚠",IF(B2769&gt;12,"يتجاوز 12 بنداً في الطباعة ⚠","")))))</f>
        <v/>
      </c>
    </row>
    <row r="2770" customFormat="false" ht="15" hidden="false" customHeight="false" outlineLevel="0" collapsed="false">
      <c r="A2770" s="58"/>
      <c r="B2770" s="73" t="str">
        <f aca="false">IF(A2770="","",COUNTIF(A$5:A2770,A2770))</f>
        <v/>
      </c>
      <c r="C2770" s="73" t="str">
        <f aca="false">IF(A2770="","",A2770&amp;"-"&amp;B2770)</f>
        <v/>
      </c>
      <c r="D2770" s="58"/>
      <c r="E2770" s="57"/>
      <c r="F2770" s="69"/>
      <c r="G2770" s="69"/>
      <c r="H2770" s="74" t="str">
        <f aca="false">IF(A2770="","",IFERROR(INDEX(السندات!$C$5:$C$504,MATCH(A2770,السندات!$A$5:$A$504,0)),""))</f>
        <v/>
      </c>
      <c r="I2770" s="75" t="str">
        <f aca="false">IF(A2770="","",IFERROR(INDEX(السندات!$D$5:$D$504,MATCH(A2770,السندات!$A$5:$A$504,0)),""))</f>
        <v/>
      </c>
      <c r="J2770" s="76" t="str">
        <f aca="false">IF(A2770="","",IF(ISNA(MATCH(A2770,السندات!$A$5:$A$504,0)),"رقم سند غير موجود ✘",IF(AND(F2770&lt;&gt;"",G2770&lt;&gt;""),"اكتب مدين أو دائن فقط ✘",IF(AND(N(F2770)=0,N(G2770)=0),"بدون مبلغ ⚠",IF(B2770&gt;12,"يتجاوز 12 بنداً في الطباعة ⚠","")))))</f>
        <v/>
      </c>
    </row>
    <row r="2771" customFormat="false" ht="15" hidden="false" customHeight="false" outlineLevel="0" collapsed="false">
      <c r="A2771" s="58"/>
      <c r="B2771" s="68" t="str">
        <f aca="false">IF(A2771="","",COUNTIF(A$5:A2771,A2771))</f>
        <v/>
      </c>
      <c r="C2771" s="68" t="str">
        <f aca="false">IF(A2771="","",A2771&amp;"-"&amp;B2771)</f>
        <v/>
      </c>
      <c r="D2771" s="58"/>
      <c r="E2771" s="57"/>
      <c r="F2771" s="69"/>
      <c r="G2771" s="69"/>
      <c r="H2771" s="70" t="str">
        <f aca="false">IF(A2771="","",IFERROR(INDEX(السندات!$C$5:$C$504,MATCH(A2771,السندات!$A$5:$A$504,0)),""))</f>
        <v/>
      </c>
      <c r="I2771" s="71" t="str">
        <f aca="false">IF(A2771="","",IFERROR(INDEX(السندات!$D$5:$D$504,MATCH(A2771,السندات!$A$5:$A$504,0)),""))</f>
        <v/>
      </c>
      <c r="J2771" s="72" t="str">
        <f aca="false">IF(A2771="","",IF(ISNA(MATCH(A2771,السندات!$A$5:$A$504,0)),"رقم سند غير موجود ✘",IF(AND(F2771&lt;&gt;"",G2771&lt;&gt;""),"اكتب مدين أو دائن فقط ✘",IF(AND(N(F2771)=0,N(G2771)=0),"بدون مبلغ ⚠",IF(B2771&gt;12,"يتجاوز 12 بنداً في الطباعة ⚠","")))))</f>
        <v/>
      </c>
    </row>
    <row r="2772" customFormat="false" ht="15" hidden="false" customHeight="false" outlineLevel="0" collapsed="false">
      <c r="A2772" s="58"/>
      <c r="B2772" s="73" t="str">
        <f aca="false">IF(A2772="","",COUNTIF(A$5:A2772,A2772))</f>
        <v/>
      </c>
      <c r="C2772" s="73" t="str">
        <f aca="false">IF(A2772="","",A2772&amp;"-"&amp;B2772)</f>
        <v/>
      </c>
      <c r="D2772" s="58"/>
      <c r="E2772" s="57"/>
      <c r="F2772" s="69"/>
      <c r="G2772" s="69"/>
      <c r="H2772" s="74" t="str">
        <f aca="false">IF(A2772="","",IFERROR(INDEX(السندات!$C$5:$C$504,MATCH(A2772,السندات!$A$5:$A$504,0)),""))</f>
        <v/>
      </c>
      <c r="I2772" s="75" t="str">
        <f aca="false">IF(A2772="","",IFERROR(INDEX(السندات!$D$5:$D$504,MATCH(A2772,السندات!$A$5:$A$504,0)),""))</f>
        <v/>
      </c>
      <c r="J2772" s="76" t="str">
        <f aca="false">IF(A2772="","",IF(ISNA(MATCH(A2772,السندات!$A$5:$A$504,0)),"رقم سند غير موجود ✘",IF(AND(F2772&lt;&gt;"",G2772&lt;&gt;""),"اكتب مدين أو دائن فقط ✘",IF(AND(N(F2772)=0,N(G2772)=0),"بدون مبلغ ⚠",IF(B2772&gt;12,"يتجاوز 12 بنداً في الطباعة ⚠","")))))</f>
        <v/>
      </c>
    </row>
    <row r="2773" customFormat="false" ht="15" hidden="false" customHeight="false" outlineLevel="0" collapsed="false">
      <c r="A2773" s="58"/>
      <c r="B2773" s="68" t="str">
        <f aca="false">IF(A2773="","",COUNTIF(A$5:A2773,A2773))</f>
        <v/>
      </c>
      <c r="C2773" s="68" t="str">
        <f aca="false">IF(A2773="","",A2773&amp;"-"&amp;B2773)</f>
        <v/>
      </c>
      <c r="D2773" s="58"/>
      <c r="E2773" s="57"/>
      <c r="F2773" s="69"/>
      <c r="G2773" s="69"/>
      <c r="H2773" s="70" t="str">
        <f aca="false">IF(A2773="","",IFERROR(INDEX(السندات!$C$5:$C$504,MATCH(A2773,السندات!$A$5:$A$504,0)),""))</f>
        <v/>
      </c>
      <c r="I2773" s="71" t="str">
        <f aca="false">IF(A2773="","",IFERROR(INDEX(السندات!$D$5:$D$504,MATCH(A2773,السندات!$A$5:$A$504,0)),""))</f>
        <v/>
      </c>
      <c r="J2773" s="72" t="str">
        <f aca="false">IF(A2773="","",IF(ISNA(MATCH(A2773,السندات!$A$5:$A$504,0)),"رقم سند غير موجود ✘",IF(AND(F2773&lt;&gt;"",G2773&lt;&gt;""),"اكتب مدين أو دائن فقط ✘",IF(AND(N(F2773)=0,N(G2773)=0),"بدون مبلغ ⚠",IF(B2773&gt;12,"يتجاوز 12 بنداً في الطباعة ⚠","")))))</f>
        <v/>
      </c>
    </row>
    <row r="2774" customFormat="false" ht="15" hidden="false" customHeight="false" outlineLevel="0" collapsed="false">
      <c r="A2774" s="58"/>
      <c r="B2774" s="73" t="str">
        <f aca="false">IF(A2774="","",COUNTIF(A$5:A2774,A2774))</f>
        <v/>
      </c>
      <c r="C2774" s="73" t="str">
        <f aca="false">IF(A2774="","",A2774&amp;"-"&amp;B2774)</f>
        <v/>
      </c>
      <c r="D2774" s="58"/>
      <c r="E2774" s="57"/>
      <c r="F2774" s="69"/>
      <c r="G2774" s="69"/>
      <c r="H2774" s="74" t="str">
        <f aca="false">IF(A2774="","",IFERROR(INDEX(السندات!$C$5:$C$504,MATCH(A2774,السندات!$A$5:$A$504,0)),""))</f>
        <v/>
      </c>
      <c r="I2774" s="75" t="str">
        <f aca="false">IF(A2774="","",IFERROR(INDEX(السندات!$D$5:$D$504,MATCH(A2774,السندات!$A$5:$A$504,0)),""))</f>
        <v/>
      </c>
      <c r="J2774" s="76" t="str">
        <f aca="false">IF(A2774="","",IF(ISNA(MATCH(A2774,السندات!$A$5:$A$504,0)),"رقم سند غير موجود ✘",IF(AND(F2774&lt;&gt;"",G2774&lt;&gt;""),"اكتب مدين أو دائن فقط ✘",IF(AND(N(F2774)=0,N(G2774)=0),"بدون مبلغ ⚠",IF(B2774&gt;12,"يتجاوز 12 بنداً في الطباعة ⚠","")))))</f>
        <v/>
      </c>
    </row>
    <row r="2775" customFormat="false" ht="15" hidden="false" customHeight="false" outlineLevel="0" collapsed="false">
      <c r="A2775" s="58"/>
      <c r="B2775" s="68" t="str">
        <f aca="false">IF(A2775="","",COUNTIF(A$5:A2775,A2775))</f>
        <v/>
      </c>
      <c r="C2775" s="68" t="str">
        <f aca="false">IF(A2775="","",A2775&amp;"-"&amp;B2775)</f>
        <v/>
      </c>
      <c r="D2775" s="58"/>
      <c r="E2775" s="57"/>
      <c r="F2775" s="69"/>
      <c r="G2775" s="69"/>
      <c r="H2775" s="70" t="str">
        <f aca="false">IF(A2775="","",IFERROR(INDEX(السندات!$C$5:$C$504,MATCH(A2775,السندات!$A$5:$A$504,0)),""))</f>
        <v/>
      </c>
      <c r="I2775" s="71" t="str">
        <f aca="false">IF(A2775="","",IFERROR(INDEX(السندات!$D$5:$D$504,MATCH(A2775,السندات!$A$5:$A$504,0)),""))</f>
        <v/>
      </c>
      <c r="J2775" s="72" t="str">
        <f aca="false">IF(A2775="","",IF(ISNA(MATCH(A2775,السندات!$A$5:$A$504,0)),"رقم سند غير موجود ✘",IF(AND(F2775&lt;&gt;"",G2775&lt;&gt;""),"اكتب مدين أو دائن فقط ✘",IF(AND(N(F2775)=0,N(G2775)=0),"بدون مبلغ ⚠",IF(B2775&gt;12,"يتجاوز 12 بنداً في الطباعة ⚠","")))))</f>
        <v/>
      </c>
    </row>
    <row r="2776" customFormat="false" ht="15" hidden="false" customHeight="false" outlineLevel="0" collapsed="false">
      <c r="A2776" s="58"/>
      <c r="B2776" s="73" t="str">
        <f aca="false">IF(A2776="","",COUNTIF(A$5:A2776,A2776))</f>
        <v/>
      </c>
      <c r="C2776" s="73" t="str">
        <f aca="false">IF(A2776="","",A2776&amp;"-"&amp;B2776)</f>
        <v/>
      </c>
      <c r="D2776" s="58"/>
      <c r="E2776" s="57"/>
      <c r="F2776" s="69"/>
      <c r="G2776" s="69"/>
      <c r="H2776" s="74" t="str">
        <f aca="false">IF(A2776="","",IFERROR(INDEX(السندات!$C$5:$C$504,MATCH(A2776,السندات!$A$5:$A$504,0)),""))</f>
        <v/>
      </c>
      <c r="I2776" s="75" t="str">
        <f aca="false">IF(A2776="","",IFERROR(INDEX(السندات!$D$5:$D$504,MATCH(A2776,السندات!$A$5:$A$504,0)),""))</f>
        <v/>
      </c>
      <c r="J2776" s="76" t="str">
        <f aca="false">IF(A2776="","",IF(ISNA(MATCH(A2776,السندات!$A$5:$A$504,0)),"رقم سند غير موجود ✘",IF(AND(F2776&lt;&gt;"",G2776&lt;&gt;""),"اكتب مدين أو دائن فقط ✘",IF(AND(N(F2776)=0,N(G2776)=0),"بدون مبلغ ⚠",IF(B2776&gt;12,"يتجاوز 12 بنداً في الطباعة ⚠","")))))</f>
        <v/>
      </c>
    </row>
    <row r="2777" customFormat="false" ht="15" hidden="false" customHeight="false" outlineLevel="0" collapsed="false">
      <c r="A2777" s="58"/>
      <c r="B2777" s="68" t="str">
        <f aca="false">IF(A2777="","",COUNTIF(A$5:A2777,A2777))</f>
        <v/>
      </c>
      <c r="C2777" s="68" t="str">
        <f aca="false">IF(A2777="","",A2777&amp;"-"&amp;B2777)</f>
        <v/>
      </c>
      <c r="D2777" s="58"/>
      <c r="E2777" s="57"/>
      <c r="F2777" s="69"/>
      <c r="G2777" s="69"/>
      <c r="H2777" s="70" t="str">
        <f aca="false">IF(A2777="","",IFERROR(INDEX(السندات!$C$5:$C$504,MATCH(A2777,السندات!$A$5:$A$504,0)),""))</f>
        <v/>
      </c>
      <c r="I2777" s="71" t="str">
        <f aca="false">IF(A2777="","",IFERROR(INDEX(السندات!$D$5:$D$504,MATCH(A2777,السندات!$A$5:$A$504,0)),""))</f>
        <v/>
      </c>
      <c r="J2777" s="72" t="str">
        <f aca="false">IF(A2777="","",IF(ISNA(MATCH(A2777,السندات!$A$5:$A$504,0)),"رقم سند غير موجود ✘",IF(AND(F2777&lt;&gt;"",G2777&lt;&gt;""),"اكتب مدين أو دائن فقط ✘",IF(AND(N(F2777)=0,N(G2777)=0),"بدون مبلغ ⚠",IF(B2777&gt;12,"يتجاوز 12 بنداً في الطباعة ⚠","")))))</f>
        <v/>
      </c>
    </row>
    <row r="2778" customFormat="false" ht="15" hidden="false" customHeight="false" outlineLevel="0" collapsed="false">
      <c r="A2778" s="58"/>
      <c r="B2778" s="73" t="str">
        <f aca="false">IF(A2778="","",COUNTIF(A$5:A2778,A2778))</f>
        <v/>
      </c>
      <c r="C2778" s="73" t="str">
        <f aca="false">IF(A2778="","",A2778&amp;"-"&amp;B2778)</f>
        <v/>
      </c>
      <c r="D2778" s="58"/>
      <c r="E2778" s="57"/>
      <c r="F2778" s="69"/>
      <c r="G2778" s="69"/>
      <c r="H2778" s="74" t="str">
        <f aca="false">IF(A2778="","",IFERROR(INDEX(السندات!$C$5:$C$504,MATCH(A2778,السندات!$A$5:$A$504,0)),""))</f>
        <v/>
      </c>
      <c r="I2778" s="75" t="str">
        <f aca="false">IF(A2778="","",IFERROR(INDEX(السندات!$D$5:$D$504,MATCH(A2778,السندات!$A$5:$A$504,0)),""))</f>
        <v/>
      </c>
      <c r="J2778" s="76" t="str">
        <f aca="false">IF(A2778="","",IF(ISNA(MATCH(A2778,السندات!$A$5:$A$504,0)),"رقم سند غير موجود ✘",IF(AND(F2778&lt;&gt;"",G2778&lt;&gt;""),"اكتب مدين أو دائن فقط ✘",IF(AND(N(F2778)=0,N(G2778)=0),"بدون مبلغ ⚠",IF(B2778&gt;12,"يتجاوز 12 بنداً في الطباعة ⚠","")))))</f>
        <v/>
      </c>
    </row>
    <row r="2779" customFormat="false" ht="15" hidden="false" customHeight="false" outlineLevel="0" collapsed="false">
      <c r="A2779" s="58"/>
      <c r="B2779" s="68" t="str">
        <f aca="false">IF(A2779="","",COUNTIF(A$5:A2779,A2779))</f>
        <v/>
      </c>
      <c r="C2779" s="68" t="str">
        <f aca="false">IF(A2779="","",A2779&amp;"-"&amp;B2779)</f>
        <v/>
      </c>
      <c r="D2779" s="58"/>
      <c r="E2779" s="57"/>
      <c r="F2779" s="69"/>
      <c r="G2779" s="69"/>
      <c r="H2779" s="70" t="str">
        <f aca="false">IF(A2779="","",IFERROR(INDEX(السندات!$C$5:$C$504,MATCH(A2779,السندات!$A$5:$A$504,0)),""))</f>
        <v/>
      </c>
      <c r="I2779" s="71" t="str">
        <f aca="false">IF(A2779="","",IFERROR(INDEX(السندات!$D$5:$D$504,MATCH(A2779,السندات!$A$5:$A$504,0)),""))</f>
        <v/>
      </c>
      <c r="J2779" s="72" t="str">
        <f aca="false">IF(A2779="","",IF(ISNA(MATCH(A2779,السندات!$A$5:$A$504,0)),"رقم سند غير موجود ✘",IF(AND(F2779&lt;&gt;"",G2779&lt;&gt;""),"اكتب مدين أو دائن فقط ✘",IF(AND(N(F2779)=0,N(G2779)=0),"بدون مبلغ ⚠",IF(B2779&gt;12,"يتجاوز 12 بنداً في الطباعة ⚠","")))))</f>
        <v/>
      </c>
    </row>
    <row r="2780" customFormat="false" ht="15" hidden="false" customHeight="false" outlineLevel="0" collapsed="false">
      <c r="A2780" s="58"/>
      <c r="B2780" s="73" t="str">
        <f aca="false">IF(A2780="","",COUNTIF(A$5:A2780,A2780))</f>
        <v/>
      </c>
      <c r="C2780" s="73" t="str">
        <f aca="false">IF(A2780="","",A2780&amp;"-"&amp;B2780)</f>
        <v/>
      </c>
      <c r="D2780" s="58"/>
      <c r="E2780" s="57"/>
      <c r="F2780" s="69"/>
      <c r="G2780" s="69"/>
      <c r="H2780" s="74" t="str">
        <f aca="false">IF(A2780="","",IFERROR(INDEX(السندات!$C$5:$C$504,MATCH(A2780,السندات!$A$5:$A$504,0)),""))</f>
        <v/>
      </c>
      <c r="I2780" s="75" t="str">
        <f aca="false">IF(A2780="","",IFERROR(INDEX(السندات!$D$5:$D$504,MATCH(A2780,السندات!$A$5:$A$504,0)),""))</f>
        <v/>
      </c>
      <c r="J2780" s="76" t="str">
        <f aca="false">IF(A2780="","",IF(ISNA(MATCH(A2780,السندات!$A$5:$A$504,0)),"رقم سند غير موجود ✘",IF(AND(F2780&lt;&gt;"",G2780&lt;&gt;""),"اكتب مدين أو دائن فقط ✘",IF(AND(N(F2780)=0,N(G2780)=0),"بدون مبلغ ⚠",IF(B2780&gt;12,"يتجاوز 12 بنداً في الطباعة ⚠","")))))</f>
        <v/>
      </c>
    </row>
    <row r="2781" customFormat="false" ht="15" hidden="false" customHeight="false" outlineLevel="0" collapsed="false">
      <c r="A2781" s="58"/>
      <c r="B2781" s="68" t="str">
        <f aca="false">IF(A2781="","",COUNTIF(A$5:A2781,A2781))</f>
        <v/>
      </c>
      <c r="C2781" s="68" t="str">
        <f aca="false">IF(A2781="","",A2781&amp;"-"&amp;B2781)</f>
        <v/>
      </c>
      <c r="D2781" s="58"/>
      <c r="E2781" s="57"/>
      <c r="F2781" s="69"/>
      <c r="G2781" s="69"/>
      <c r="H2781" s="70" t="str">
        <f aca="false">IF(A2781="","",IFERROR(INDEX(السندات!$C$5:$C$504,MATCH(A2781,السندات!$A$5:$A$504,0)),""))</f>
        <v/>
      </c>
      <c r="I2781" s="71" t="str">
        <f aca="false">IF(A2781="","",IFERROR(INDEX(السندات!$D$5:$D$504,MATCH(A2781,السندات!$A$5:$A$504,0)),""))</f>
        <v/>
      </c>
      <c r="J2781" s="72" t="str">
        <f aca="false">IF(A2781="","",IF(ISNA(MATCH(A2781,السندات!$A$5:$A$504,0)),"رقم سند غير موجود ✘",IF(AND(F2781&lt;&gt;"",G2781&lt;&gt;""),"اكتب مدين أو دائن فقط ✘",IF(AND(N(F2781)=0,N(G2781)=0),"بدون مبلغ ⚠",IF(B2781&gt;12,"يتجاوز 12 بنداً في الطباعة ⚠","")))))</f>
        <v/>
      </c>
    </row>
    <row r="2782" customFormat="false" ht="15" hidden="false" customHeight="false" outlineLevel="0" collapsed="false">
      <c r="A2782" s="58"/>
      <c r="B2782" s="73" t="str">
        <f aca="false">IF(A2782="","",COUNTIF(A$5:A2782,A2782))</f>
        <v/>
      </c>
      <c r="C2782" s="73" t="str">
        <f aca="false">IF(A2782="","",A2782&amp;"-"&amp;B2782)</f>
        <v/>
      </c>
      <c r="D2782" s="58"/>
      <c r="E2782" s="57"/>
      <c r="F2782" s="69"/>
      <c r="G2782" s="69"/>
      <c r="H2782" s="74" t="str">
        <f aca="false">IF(A2782="","",IFERROR(INDEX(السندات!$C$5:$C$504,MATCH(A2782,السندات!$A$5:$A$504,0)),""))</f>
        <v/>
      </c>
      <c r="I2782" s="75" t="str">
        <f aca="false">IF(A2782="","",IFERROR(INDEX(السندات!$D$5:$D$504,MATCH(A2782,السندات!$A$5:$A$504,0)),""))</f>
        <v/>
      </c>
      <c r="J2782" s="76" t="str">
        <f aca="false">IF(A2782="","",IF(ISNA(MATCH(A2782,السندات!$A$5:$A$504,0)),"رقم سند غير موجود ✘",IF(AND(F2782&lt;&gt;"",G2782&lt;&gt;""),"اكتب مدين أو دائن فقط ✘",IF(AND(N(F2782)=0,N(G2782)=0),"بدون مبلغ ⚠",IF(B2782&gt;12,"يتجاوز 12 بنداً في الطباعة ⚠","")))))</f>
        <v/>
      </c>
    </row>
    <row r="2783" customFormat="false" ht="15" hidden="false" customHeight="false" outlineLevel="0" collapsed="false">
      <c r="A2783" s="58"/>
      <c r="B2783" s="68" t="str">
        <f aca="false">IF(A2783="","",COUNTIF(A$5:A2783,A2783))</f>
        <v/>
      </c>
      <c r="C2783" s="68" t="str">
        <f aca="false">IF(A2783="","",A2783&amp;"-"&amp;B2783)</f>
        <v/>
      </c>
      <c r="D2783" s="58"/>
      <c r="E2783" s="57"/>
      <c r="F2783" s="69"/>
      <c r="G2783" s="69"/>
      <c r="H2783" s="70" t="str">
        <f aca="false">IF(A2783="","",IFERROR(INDEX(السندات!$C$5:$C$504,MATCH(A2783,السندات!$A$5:$A$504,0)),""))</f>
        <v/>
      </c>
      <c r="I2783" s="71" t="str">
        <f aca="false">IF(A2783="","",IFERROR(INDEX(السندات!$D$5:$D$504,MATCH(A2783,السندات!$A$5:$A$504,0)),""))</f>
        <v/>
      </c>
      <c r="J2783" s="72" t="str">
        <f aca="false">IF(A2783="","",IF(ISNA(MATCH(A2783,السندات!$A$5:$A$504,0)),"رقم سند غير موجود ✘",IF(AND(F2783&lt;&gt;"",G2783&lt;&gt;""),"اكتب مدين أو دائن فقط ✘",IF(AND(N(F2783)=0,N(G2783)=0),"بدون مبلغ ⚠",IF(B2783&gt;12,"يتجاوز 12 بنداً في الطباعة ⚠","")))))</f>
        <v/>
      </c>
    </row>
    <row r="2784" customFormat="false" ht="15" hidden="false" customHeight="false" outlineLevel="0" collapsed="false">
      <c r="A2784" s="58"/>
      <c r="B2784" s="73" t="str">
        <f aca="false">IF(A2784="","",COUNTIF(A$5:A2784,A2784))</f>
        <v/>
      </c>
      <c r="C2784" s="73" t="str">
        <f aca="false">IF(A2784="","",A2784&amp;"-"&amp;B2784)</f>
        <v/>
      </c>
      <c r="D2784" s="58"/>
      <c r="E2784" s="57"/>
      <c r="F2784" s="69"/>
      <c r="G2784" s="69"/>
      <c r="H2784" s="74" t="str">
        <f aca="false">IF(A2784="","",IFERROR(INDEX(السندات!$C$5:$C$504,MATCH(A2784,السندات!$A$5:$A$504,0)),""))</f>
        <v/>
      </c>
      <c r="I2784" s="75" t="str">
        <f aca="false">IF(A2784="","",IFERROR(INDEX(السندات!$D$5:$D$504,MATCH(A2784,السندات!$A$5:$A$504,0)),""))</f>
        <v/>
      </c>
      <c r="J2784" s="76" t="str">
        <f aca="false">IF(A2784="","",IF(ISNA(MATCH(A2784,السندات!$A$5:$A$504,0)),"رقم سند غير موجود ✘",IF(AND(F2784&lt;&gt;"",G2784&lt;&gt;""),"اكتب مدين أو دائن فقط ✘",IF(AND(N(F2784)=0,N(G2784)=0),"بدون مبلغ ⚠",IF(B2784&gt;12,"يتجاوز 12 بنداً في الطباعة ⚠","")))))</f>
        <v/>
      </c>
    </row>
    <row r="2785" customFormat="false" ht="15" hidden="false" customHeight="false" outlineLevel="0" collapsed="false">
      <c r="A2785" s="58"/>
      <c r="B2785" s="68" t="str">
        <f aca="false">IF(A2785="","",COUNTIF(A$5:A2785,A2785))</f>
        <v/>
      </c>
      <c r="C2785" s="68" t="str">
        <f aca="false">IF(A2785="","",A2785&amp;"-"&amp;B2785)</f>
        <v/>
      </c>
      <c r="D2785" s="58"/>
      <c r="E2785" s="57"/>
      <c r="F2785" s="69"/>
      <c r="G2785" s="69"/>
      <c r="H2785" s="70" t="str">
        <f aca="false">IF(A2785="","",IFERROR(INDEX(السندات!$C$5:$C$504,MATCH(A2785,السندات!$A$5:$A$504,0)),""))</f>
        <v/>
      </c>
      <c r="I2785" s="71" t="str">
        <f aca="false">IF(A2785="","",IFERROR(INDEX(السندات!$D$5:$D$504,MATCH(A2785,السندات!$A$5:$A$504,0)),""))</f>
        <v/>
      </c>
      <c r="J2785" s="72" t="str">
        <f aca="false">IF(A2785="","",IF(ISNA(MATCH(A2785,السندات!$A$5:$A$504,0)),"رقم سند غير موجود ✘",IF(AND(F2785&lt;&gt;"",G2785&lt;&gt;""),"اكتب مدين أو دائن فقط ✘",IF(AND(N(F2785)=0,N(G2785)=0),"بدون مبلغ ⚠",IF(B2785&gt;12,"يتجاوز 12 بنداً في الطباعة ⚠","")))))</f>
        <v/>
      </c>
    </row>
    <row r="2786" customFormat="false" ht="15" hidden="false" customHeight="false" outlineLevel="0" collapsed="false">
      <c r="A2786" s="58"/>
      <c r="B2786" s="73" t="str">
        <f aca="false">IF(A2786="","",COUNTIF(A$5:A2786,A2786))</f>
        <v/>
      </c>
      <c r="C2786" s="73" t="str">
        <f aca="false">IF(A2786="","",A2786&amp;"-"&amp;B2786)</f>
        <v/>
      </c>
      <c r="D2786" s="58"/>
      <c r="E2786" s="57"/>
      <c r="F2786" s="69"/>
      <c r="G2786" s="69"/>
      <c r="H2786" s="74" t="str">
        <f aca="false">IF(A2786="","",IFERROR(INDEX(السندات!$C$5:$C$504,MATCH(A2786,السندات!$A$5:$A$504,0)),""))</f>
        <v/>
      </c>
      <c r="I2786" s="75" t="str">
        <f aca="false">IF(A2786="","",IFERROR(INDEX(السندات!$D$5:$D$504,MATCH(A2786,السندات!$A$5:$A$504,0)),""))</f>
        <v/>
      </c>
      <c r="J2786" s="76" t="str">
        <f aca="false">IF(A2786="","",IF(ISNA(MATCH(A2786,السندات!$A$5:$A$504,0)),"رقم سند غير موجود ✘",IF(AND(F2786&lt;&gt;"",G2786&lt;&gt;""),"اكتب مدين أو دائن فقط ✘",IF(AND(N(F2786)=0,N(G2786)=0),"بدون مبلغ ⚠",IF(B2786&gt;12,"يتجاوز 12 بنداً في الطباعة ⚠","")))))</f>
        <v/>
      </c>
    </row>
    <row r="2787" customFormat="false" ht="15" hidden="false" customHeight="false" outlineLevel="0" collapsed="false">
      <c r="A2787" s="58"/>
      <c r="B2787" s="68" t="str">
        <f aca="false">IF(A2787="","",COUNTIF(A$5:A2787,A2787))</f>
        <v/>
      </c>
      <c r="C2787" s="68" t="str">
        <f aca="false">IF(A2787="","",A2787&amp;"-"&amp;B2787)</f>
        <v/>
      </c>
      <c r="D2787" s="58"/>
      <c r="E2787" s="57"/>
      <c r="F2787" s="69"/>
      <c r="G2787" s="69"/>
      <c r="H2787" s="70" t="str">
        <f aca="false">IF(A2787="","",IFERROR(INDEX(السندات!$C$5:$C$504,MATCH(A2787,السندات!$A$5:$A$504,0)),""))</f>
        <v/>
      </c>
      <c r="I2787" s="71" t="str">
        <f aca="false">IF(A2787="","",IFERROR(INDEX(السندات!$D$5:$D$504,MATCH(A2787,السندات!$A$5:$A$504,0)),""))</f>
        <v/>
      </c>
      <c r="J2787" s="72" t="str">
        <f aca="false">IF(A2787="","",IF(ISNA(MATCH(A2787,السندات!$A$5:$A$504,0)),"رقم سند غير موجود ✘",IF(AND(F2787&lt;&gt;"",G2787&lt;&gt;""),"اكتب مدين أو دائن فقط ✘",IF(AND(N(F2787)=0,N(G2787)=0),"بدون مبلغ ⚠",IF(B2787&gt;12,"يتجاوز 12 بنداً في الطباعة ⚠","")))))</f>
        <v/>
      </c>
    </row>
    <row r="2788" customFormat="false" ht="15" hidden="false" customHeight="false" outlineLevel="0" collapsed="false">
      <c r="A2788" s="58"/>
      <c r="B2788" s="73" t="str">
        <f aca="false">IF(A2788="","",COUNTIF(A$5:A2788,A2788))</f>
        <v/>
      </c>
      <c r="C2788" s="73" t="str">
        <f aca="false">IF(A2788="","",A2788&amp;"-"&amp;B2788)</f>
        <v/>
      </c>
      <c r="D2788" s="58"/>
      <c r="E2788" s="57"/>
      <c r="F2788" s="69"/>
      <c r="G2788" s="69"/>
      <c r="H2788" s="74" t="str">
        <f aca="false">IF(A2788="","",IFERROR(INDEX(السندات!$C$5:$C$504,MATCH(A2788,السندات!$A$5:$A$504,0)),""))</f>
        <v/>
      </c>
      <c r="I2788" s="75" t="str">
        <f aca="false">IF(A2788="","",IFERROR(INDEX(السندات!$D$5:$D$504,MATCH(A2788,السندات!$A$5:$A$504,0)),""))</f>
        <v/>
      </c>
      <c r="J2788" s="76" t="str">
        <f aca="false">IF(A2788="","",IF(ISNA(MATCH(A2788,السندات!$A$5:$A$504,0)),"رقم سند غير موجود ✘",IF(AND(F2788&lt;&gt;"",G2788&lt;&gt;""),"اكتب مدين أو دائن فقط ✘",IF(AND(N(F2788)=0,N(G2788)=0),"بدون مبلغ ⚠",IF(B2788&gt;12,"يتجاوز 12 بنداً في الطباعة ⚠","")))))</f>
        <v/>
      </c>
    </row>
    <row r="2789" customFormat="false" ht="15" hidden="false" customHeight="false" outlineLevel="0" collapsed="false">
      <c r="A2789" s="58"/>
      <c r="B2789" s="68" t="str">
        <f aca="false">IF(A2789="","",COUNTIF(A$5:A2789,A2789))</f>
        <v/>
      </c>
      <c r="C2789" s="68" t="str">
        <f aca="false">IF(A2789="","",A2789&amp;"-"&amp;B2789)</f>
        <v/>
      </c>
      <c r="D2789" s="58"/>
      <c r="E2789" s="57"/>
      <c r="F2789" s="69"/>
      <c r="G2789" s="69"/>
      <c r="H2789" s="70" t="str">
        <f aca="false">IF(A2789="","",IFERROR(INDEX(السندات!$C$5:$C$504,MATCH(A2789,السندات!$A$5:$A$504,0)),""))</f>
        <v/>
      </c>
      <c r="I2789" s="71" t="str">
        <f aca="false">IF(A2789="","",IFERROR(INDEX(السندات!$D$5:$D$504,MATCH(A2789,السندات!$A$5:$A$504,0)),""))</f>
        <v/>
      </c>
      <c r="J2789" s="72" t="str">
        <f aca="false">IF(A2789="","",IF(ISNA(MATCH(A2789,السندات!$A$5:$A$504,0)),"رقم سند غير موجود ✘",IF(AND(F2789&lt;&gt;"",G2789&lt;&gt;""),"اكتب مدين أو دائن فقط ✘",IF(AND(N(F2789)=0,N(G2789)=0),"بدون مبلغ ⚠",IF(B2789&gt;12,"يتجاوز 12 بنداً في الطباعة ⚠","")))))</f>
        <v/>
      </c>
    </row>
    <row r="2790" customFormat="false" ht="15" hidden="false" customHeight="false" outlineLevel="0" collapsed="false">
      <c r="A2790" s="58"/>
      <c r="B2790" s="73" t="str">
        <f aca="false">IF(A2790="","",COUNTIF(A$5:A2790,A2790))</f>
        <v/>
      </c>
      <c r="C2790" s="73" t="str">
        <f aca="false">IF(A2790="","",A2790&amp;"-"&amp;B2790)</f>
        <v/>
      </c>
      <c r="D2790" s="58"/>
      <c r="E2790" s="57"/>
      <c r="F2790" s="69"/>
      <c r="G2790" s="69"/>
      <c r="H2790" s="74" t="str">
        <f aca="false">IF(A2790="","",IFERROR(INDEX(السندات!$C$5:$C$504,MATCH(A2790,السندات!$A$5:$A$504,0)),""))</f>
        <v/>
      </c>
      <c r="I2790" s="75" t="str">
        <f aca="false">IF(A2790="","",IFERROR(INDEX(السندات!$D$5:$D$504,MATCH(A2790,السندات!$A$5:$A$504,0)),""))</f>
        <v/>
      </c>
      <c r="J2790" s="76" t="str">
        <f aca="false">IF(A2790="","",IF(ISNA(MATCH(A2790,السندات!$A$5:$A$504,0)),"رقم سند غير موجود ✘",IF(AND(F2790&lt;&gt;"",G2790&lt;&gt;""),"اكتب مدين أو دائن فقط ✘",IF(AND(N(F2790)=0,N(G2790)=0),"بدون مبلغ ⚠",IF(B2790&gt;12,"يتجاوز 12 بنداً في الطباعة ⚠","")))))</f>
        <v/>
      </c>
    </row>
    <row r="2791" customFormat="false" ht="15" hidden="false" customHeight="false" outlineLevel="0" collapsed="false">
      <c r="A2791" s="58"/>
      <c r="B2791" s="68" t="str">
        <f aca="false">IF(A2791="","",COUNTIF(A$5:A2791,A2791))</f>
        <v/>
      </c>
      <c r="C2791" s="68" t="str">
        <f aca="false">IF(A2791="","",A2791&amp;"-"&amp;B2791)</f>
        <v/>
      </c>
      <c r="D2791" s="58"/>
      <c r="E2791" s="57"/>
      <c r="F2791" s="69"/>
      <c r="G2791" s="69"/>
      <c r="H2791" s="70" t="str">
        <f aca="false">IF(A2791="","",IFERROR(INDEX(السندات!$C$5:$C$504,MATCH(A2791,السندات!$A$5:$A$504,0)),""))</f>
        <v/>
      </c>
      <c r="I2791" s="71" t="str">
        <f aca="false">IF(A2791="","",IFERROR(INDEX(السندات!$D$5:$D$504,MATCH(A2791,السندات!$A$5:$A$504,0)),""))</f>
        <v/>
      </c>
      <c r="J2791" s="72" t="str">
        <f aca="false">IF(A2791="","",IF(ISNA(MATCH(A2791,السندات!$A$5:$A$504,0)),"رقم سند غير موجود ✘",IF(AND(F2791&lt;&gt;"",G2791&lt;&gt;""),"اكتب مدين أو دائن فقط ✘",IF(AND(N(F2791)=0,N(G2791)=0),"بدون مبلغ ⚠",IF(B2791&gt;12,"يتجاوز 12 بنداً في الطباعة ⚠","")))))</f>
        <v/>
      </c>
    </row>
    <row r="2792" customFormat="false" ht="15" hidden="false" customHeight="false" outlineLevel="0" collapsed="false">
      <c r="A2792" s="58"/>
      <c r="B2792" s="73" t="str">
        <f aca="false">IF(A2792="","",COUNTIF(A$5:A2792,A2792))</f>
        <v/>
      </c>
      <c r="C2792" s="73" t="str">
        <f aca="false">IF(A2792="","",A2792&amp;"-"&amp;B2792)</f>
        <v/>
      </c>
      <c r="D2792" s="58"/>
      <c r="E2792" s="57"/>
      <c r="F2792" s="69"/>
      <c r="G2792" s="69"/>
      <c r="H2792" s="74" t="str">
        <f aca="false">IF(A2792="","",IFERROR(INDEX(السندات!$C$5:$C$504,MATCH(A2792,السندات!$A$5:$A$504,0)),""))</f>
        <v/>
      </c>
      <c r="I2792" s="75" t="str">
        <f aca="false">IF(A2792="","",IFERROR(INDEX(السندات!$D$5:$D$504,MATCH(A2792,السندات!$A$5:$A$504,0)),""))</f>
        <v/>
      </c>
      <c r="J2792" s="76" t="str">
        <f aca="false">IF(A2792="","",IF(ISNA(MATCH(A2792,السندات!$A$5:$A$504,0)),"رقم سند غير موجود ✘",IF(AND(F2792&lt;&gt;"",G2792&lt;&gt;""),"اكتب مدين أو دائن فقط ✘",IF(AND(N(F2792)=0,N(G2792)=0),"بدون مبلغ ⚠",IF(B2792&gt;12,"يتجاوز 12 بنداً في الطباعة ⚠","")))))</f>
        <v/>
      </c>
    </row>
    <row r="2793" customFormat="false" ht="15" hidden="false" customHeight="false" outlineLevel="0" collapsed="false">
      <c r="A2793" s="58"/>
      <c r="B2793" s="68" t="str">
        <f aca="false">IF(A2793="","",COUNTIF(A$5:A2793,A2793))</f>
        <v/>
      </c>
      <c r="C2793" s="68" t="str">
        <f aca="false">IF(A2793="","",A2793&amp;"-"&amp;B2793)</f>
        <v/>
      </c>
      <c r="D2793" s="58"/>
      <c r="E2793" s="57"/>
      <c r="F2793" s="69"/>
      <c r="G2793" s="69"/>
      <c r="H2793" s="70" t="str">
        <f aca="false">IF(A2793="","",IFERROR(INDEX(السندات!$C$5:$C$504,MATCH(A2793,السندات!$A$5:$A$504,0)),""))</f>
        <v/>
      </c>
      <c r="I2793" s="71" t="str">
        <f aca="false">IF(A2793="","",IFERROR(INDEX(السندات!$D$5:$D$504,MATCH(A2793,السندات!$A$5:$A$504,0)),""))</f>
        <v/>
      </c>
      <c r="J2793" s="72" t="str">
        <f aca="false">IF(A2793="","",IF(ISNA(MATCH(A2793,السندات!$A$5:$A$504,0)),"رقم سند غير موجود ✘",IF(AND(F2793&lt;&gt;"",G2793&lt;&gt;""),"اكتب مدين أو دائن فقط ✘",IF(AND(N(F2793)=0,N(G2793)=0),"بدون مبلغ ⚠",IF(B2793&gt;12,"يتجاوز 12 بنداً في الطباعة ⚠","")))))</f>
        <v/>
      </c>
    </row>
    <row r="2794" customFormat="false" ht="15" hidden="false" customHeight="false" outlineLevel="0" collapsed="false">
      <c r="A2794" s="58"/>
      <c r="B2794" s="73" t="str">
        <f aca="false">IF(A2794="","",COUNTIF(A$5:A2794,A2794))</f>
        <v/>
      </c>
      <c r="C2794" s="73" t="str">
        <f aca="false">IF(A2794="","",A2794&amp;"-"&amp;B2794)</f>
        <v/>
      </c>
      <c r="D2794" s="58"/>
      <c r="E2794" s="57"/>
      <c r="F2794" s="69"/>
      <c r="G2794" s="69"/>
      <c r="H2794" s="74" t="str">
        <f aca="false">IF(A2794="","",IFERROR(INDEX(السندات!$C$5:$C$504,MATCH(A2794,السندات!$A$5:$A$504,0)),""))</f>
        <v/>
      </c>
      <c r="I2794" s="75" t="str">
        <f aca="false">IF(A2794="","",IFERROR(INDEX(السندات!$D$5:$D$504,MATCH(A2794,السندات!$A$5:$A$504,0)),""))</f>
        <v/>
      </c>
      <c r="J2794" s="76" t="str">
        <f aca="false">IF(A2794="","",IF(ISNA(MATCH(A2794,السندات!$A$5:$A$504,0)),"رقم سند غير موجود ✘",IF(AND(F2794&lt;&gt;"",G2794&lt;&gt;""),"اكتب مدين أو دائن فقط ✘",IF(AND(N(F2794)=0,N(G2794)=0),"بدون مبلغ ⚠",IF(B2794&gt;12,"يتجاوز 12 بنداً في الطباعة ⚠","")))))</f>
        <v/>
      </c>
    </row>
    <row r="2795" customFormat="false" ht="15" hidden="false" customHeight="false" outlineLevel="0" collapsed="false">
      <c r="A2795" s="58"/>
      <c r="B2795" s="68" t="str">
        <f aca="false">IF(A2795="","",COUNTIF(A$5:A2795,A2795))</f>
        <v/>
      </c>
      <c r="C2795" s="68" t="str">
        <f aca="false">IF(A2795="","",A2795&amp;"-"&amp;B2795)</f>
        <v/>
      </c>
      <c r="D2795" s="58"/>
      <c r="E2795" s="57"/>
      <c r="F2795" s="69"/>
      <c r="G2795" s="69"/>
      <c r="H2795" s="70" t="str">
        <f aca="false">IF(A2795="","",IFERROR(INDEX(السندات!$C$5:$C$504,MATCH(A2795,السندات!$A$5:$A$504,0)),""))</f>
        <v/>
      </c>
      <c r="I2795" s="71" t="str">
        <f aca="false">IF(A2795="","",IFERROR(INDEX(السندات!$D$5:$D$504,MATCH(A2795,السندات!$A$5:$A$504,0)),""))</f>
        <v/>
      </c>
      <c r="J2795" s="72" t="str">
        <f aca="false">IF(A2795="","",IF(ISNA(MATCH(A2795,السندات!$A$5:$A$504,0)),"رقم سند غير موجود ✘",IF(AND(F2795&lt;&gt;"",G2795&lt;&gt;""),"اكتب مدين أو دائن فقط ✘",IF(AND(N(F2795)=0,N(G2795)=0),"بدون مبلغ ⚠",IF(B2795&gt;12,"يتجاوز 12 بنداً في الطباعة ⚠","")))))</f>
        <v/>
      </c>
    </row>
    <row r="2796" customFormat="false" ht="15" hidden="false" customHeight="false" outlineLevel="0" collapsed="false">
      <c r="A2796" s="58"/>
      <c r="B2796" s="73" t="str">
        <f aca="false">IF(A2796="","",COUNTIF(A$5:A2796,A2796))</f>
        <v/>
      </c>
      <c r="C2796" s="73" t="str">
        <f aca="false">IF(A2796="","",A2796&amp;"-"&amp;B2796)</f>
        <v/>
      </c>
      <c r="D2796" s="58"/>
      <c r="E2796" s="57"/>
      <c r="F2796" s="69"/>
      <c r="G2796" s="69"/>
      <c r="H2796" s="74" t="str">
        <f aca="false">IF(A2796="","",IFERROR(INDEX(السندات!$C$5:$C$504,MATCH(A2796,السندات!$A$5:$A$504,0)),""))</f>
        <v/>
      </c>
      <c r="I2796" s="75" t="str">
        <f aca="false">IF(A2796="","",IFERROR(INDEX(السندات!$D$5:$D$504,MATCH(A2796,السندات!$A$5:$A$504,0)),""))</f>
        <v/>
      </c>
      <c r="J2796" s="76" t="str">
        <f aca="false">IF(A2796="","",IF(ISNA(MATCH(A2796,السندات!$A$5:$A$504,0)),"رقم سند غير موجود ✘",IF(AND(F2796&lt;&gt;"",G2796&lt;&gt;""),"اكتب مدين أو دائن فقط ✘",IF(AND(N(F2796)=0,N(G2796)=0),"بدون مبلغ ⚠",IF(B2796&gt;12,"يتجاوز 12 بنداً في الطباعة ⚠","")))))</f>
        <v/>
      </c>
    </row>
    <row r="2797" customFormat="false" ht="15" hidden="false" customHeight="false" outlineLevel="0" collapsed="false">
      <c r="A2797" s="58"/>
      <c r="B2797" s="68" t="str">
        <f aca="false">IF(A2797="","",COUNTIF(A$5:A2797,A2797))</f>
        <v/>
      </c>
      <c r="C2797" s="68" t="str">
        <f aca="false">IF(A2797="","",A2797&amp;"-"&amp;B2797)</f>
        <v/>
      </c>
      <c r="D2797" s="58"/>
      <c r="E2797" s="57"/>
      <c r="F2797" s="69"/>
      <c r="G2797" s="69"/>
      <c r="H2797" s="70" t="str">
        <f aca="false">IF(A2797="","",IFERROR(INDEX(السندات!$C$5:$C$504,MATCH(A2797,السندات!$A$5:$A$504,0)),""))</f>
        <v/>
      </c>
      <c r="I2797" s="71" t="str">
        <f aca="false">IF(A2797="","",IFERROR(INDEX(السندات!$D$5:$D$504,MATCH(A2797,السندات!$A$5:$A$504,0)),""))</f>
        <v/>
      </c>
      <c r="J2797" s="72" t="str">
        <f aca="false">IF(A2797="","",IF(ISNA(MATCH(A2797,السندات!$A$5:$A$504,0)),"رقم سند غير موجود ✘",IF(AND(F2797&lt;&gt;"",G2797&lt;&gt;""),"اكتب مدين أو دائن فقط ✘",IF(AND(N(F2797)=0,N(G2797)=0),"بدون مبلغ ⚠",IF(B2797&gt;12,"يتجاوز 12 بنداً في الطباعة ⚠","")))))</f>
        <v/>
      </c>
    </row>
    <row r="2798" customFormat="false" ht="15" hidden="false" customHeight="false" outlineLevel="0" collapsed="false">
      <c r="A2798" s="58"/>
      <c r="B2798" s="73" t="str">
        <f aca="false">IF(A2798="","",COUNTIF(A$5:A2798,A2798))</f>
        <v/>
      </c>
      <c r="C2798" s="73" t="str">
        <f aca="false">IF(A2798="","",A2798&amp;"-"&amp;B2798)</f>
        <v/>
      </c>
      <c r="D2798" s="58"/>
      <c r="E2798" s="57"/>
      <c r="F2798" s="69"/>
      <c r="G2798" s="69"/>
      <c r="H2798" s="74" t="str">
        <f aca="false">IF(A2798="","",IFERROR(INDEX(السندات!$C$5:$C$504,MATCH(A2798,السندات!$A$5:$A$504,0)),""))</f>
        <v/>
      </c>
      <c r="I2798" s="75" t="str">
        <f aca="false">IF(A2798="","",IFERROR(INDEX(السندات!$D$5:$D$504,MATCH(A2798,السندات!$A$5:$A$504,0)),""))</f>
        <v/>
      </c>
      <c r="J2798" s="76" t="str">
        <f aca="false">IF(A2798="","",IF(ISNA(MATCH(A2798,السندات!$A$5:$A$504,0)),"رقم سند غير موجود ✘",IF(AND(F2798&lt;&gt;"",G2798&lt;&gt;""),"اكتب مدين أو دائن فقط ✘",IF(AND(N(F2798)=0,N(G2798)=0),"بدون مبلغ ⚠",IF(B2798&gt;12,"يتجاوز 12 بنداً في الطباعة ⚠","")))))</f>
        <v/>
      </c>
    </row>
    <row r="2799" customFormat="false" ht="15" hidden="false" customHeight="false" outlineLevel="0" collapsed="false">
      <c r="A2799" s="58"/>
      <c r="B2799" s="68" t="str">
        <f aca="false">IF(A2799="","",COUNTIF(A$5:A2799,A2799))</f>
        <v/>
      </c>
      <c r="C2799" s="68" t="str">
        <f aca="false">IF(A2799="","",A2799&amp;"-"&amp;B2799)</f>
        <v/>
      </c>
      <c r="D2799" s="58"/>
      <c r="E2799" s="57"/>
      <c r="F2799" s="69"/>
      <c r="G2799" s="69"/>
      <c r="H2799" s="70" t="str">
        <f aca="false">IF(A2799="","",IFERROR(INDEX(السندات!$C$5:$C$504,MATCH(A2799,السندات!$A$5:$A$504,0)),""))</f>
        <v/>
      </c>
      <c r="I2799" s="71" t="str">
        <f aca="false">IF(A2799="","",IFERROR(INDEX(السندات!$D$5:$D$504,MATCH(A2799,السندات!$A$5:$A$504,0)),""))</f>
        <v/>
      </c>
      <c r="J2799" s="72" t="str">
        <f aca="false">IF(A2799="","",IF(ISNA(MATCH(A2799,السندات!$A$5:$A$504,0)),"رقم سند غير موجود ✘",IF(AND(F2799&lt;&gt;"",G2799&lt;&gt;""),"اكتب مدين أو دائن فقط ✘",IF(AND(N(F2799)=0,N(G2799)=0),"بدون مبلغ ⚠",IF(B2799&gt;12,"يتجاوز 12 بنداً في الطباعة ⚠","")))))</f>
        <v/>
      </c>
    </row>
    <row r="2800" customFormat="false" ht="15" hidden="false" customHeight="false" outlineLevel="0" collapsed="false">
      <c r="A2800" s="58"/>
      <c r="B2800" s="73" t="str">
        <f aca="false">IF(A2800="","",COUNTIF(A$5:A2800,A2800))</f>
        <v/>
      </c>
      <c r="C2800" s="73" t="str">
        <f aca="false">IF(A2800="","",A2800&amp;"-"&amp;B2800)</f>
        <v/>
      </c>
      <c r="D2800" s="58"/>
      <c r="E2800" s="57"/>
      <c r="F2800" s="69"/>
      <c r="G2800" s="69"/>
      <c r="H2800" s="74" t="str">
        <f aca="false">IF(A2800="","",IFERROR(INDEX(السندات!$C$5:$C$504,MATCH(A2800,السندات!$A$5:$A$504,0)),""))</f>
        <v/>
      </c>
      <c r="I2800" s="75" t="str">
        <f aca="false">IF(A2800="","",IFERROR(INDEX(السندات!$D$5:$D$504,MATCH(A2800,السندات!$A$5:$A$504,0)),""))</f>
        <v/>
      </c>
      <c r="J2800" s="76" t="str">
        <f aca="false">IF(A2800="","",IF(ISNA(MATCH(A2800,السندات!$A$5:$A$504,0)),"رقم سند غير موجود ✘",IF(AND(F2800&lt;&gt;"",G2800&lt;&gt;""),"اكتب مدين أو دائن فقط ✘",IF(AND(N(F2800)=0,N(G2800)=0),"بدون مبلغ ⚠",IF(B2800&gt;12,"يتجاوز 12 بنداً في الطباعة ⚠","")))))</f>
        <v/>
      </c>
    </row>
    <row r="2801" customFormat="false" ht="15" hidden="false" customHeight="false" outlineLevel="0" collapsed="false">
      <c r="A2801" s="58"/>
      <c r="B2801" s="68" t="str">
        <f aca="false">IF(A2801="","",COUNTIF(A$5:A2801,A2801))</f>
        <v/>
      </c>
      <c r="C2801" s="68" t="str">
        <f aca="false">IF(A2801="","",A2801&amp;"-"&amp;B2801)</f>
        <v/>
      </c>
      <c r="D2801" s="58"/>
      <c r="E2801" s="57"/>
      <c r="F2801" s="69"/>
      <c r="G2801" s="69"/>
      <c r="H2801" s="70" t="str">
        <f aca="false">IF(A2801="","",IFERROR(INDEX(السندات!$C$5:$C$504,MATCH(A2801,السندات!$A$5:$A$504,0)),""))</f>
        <v/>
      </c>
      <c r="I2801" s="71" t="str">
        <f aca="false">IF(A2801="","",IFERROR(INDEX(السندات!$D$5:$D$504,MATCH(A2801,السندات!$A$5:$A$504,0)),""))</f>
        <v/>
      </c>
      <c r="J2801" s="72" t="str">
        <f aca="false">IF(A2801="","",IF(ISNA(MATCH(A2801,السندات!$A$5:$A$504,0)),"رقم سند غير موجود ✘",IF(AND(F2801&lt;&gt;"",G2801&lt;&gt;""),"اكتب مدين أو دائن فقط ✘",IF(AND(N(F2801)=0,N(G2801)=0),"بدون مبلغ ⚠",IF(B2801&gt;12,"يتجاوز 12 بنداً في الطباعة ⚠","")))))</f>
        <v/>
      </c>
    </row>
    <row r="2802" customFormat="false" ht="15" hidden="false" customHeight="false" outlineLevel="0" collapsed="false">
      <c r="A2802" s="58"/>
      <c r="B2802" s="73" t="str">
        <f aca="false">IF(A2802="","",COUNTIF(A$5:A2802,A2802))</f>
        <v/>
      </c>
      <c r="C2802" s="73" t="str">
        <f aca="false">IF(A2802="","",A2802&amp;"-"&amp;B2802)</f>
        <v/>
      </c>
      <c r="D2802" s="58"/>
      <c r="E2802" s="57"/>
      <c r="F2802" s="69"/>
      <c r="G2802" s="69"/>
      <c r="H2802" s="74" t="str">
        <f aca="false">IF(A2802="","",IFERROR(INDEX(السندات!$C$5:$C$504,MATCH(A2802,السندات!$A$5:$A$504,0)),""))</f>
        <v/>
      </c>
      <c r="I2802" s="75" t="str">
        <f aca="false">IF(A2802="","",IFERROR(INDEX(السندات!$D$5:$D$504,MATCH(A2802,السندات!$A$5:$A$504,0)),""))</f>
        <v/>
      </c>
      <c r="J2802" s="76" t="str">
        <f aca="false">IF(A2802="","",IF(ISNA(MATCH(A2802,السندات!$A$5:$A$504,0)),"رقم سند غير موجود ✘",IF(AND(F2802&lt;&gt;"",G2802&lt;&gt;""),"اكتب مدين أو دائن فقط ✘",IF(AND(N(F2802)=0,N(G2802)=0),"بدون مبلغ ⚠",IF(B2802&gt;12,"يتجاوز 12 بنداً في الطباعة ⚠","")))))</f>
        <v/>
      </c>
    </row>
    <row r="2803" customFormat="false" ht="15" hidden="false" customHeight="false" outlineLevel="0" collapsed="false">
      <c r="A2803" s="58"/>
      <c r="B2803" s="68" t="str">
        <f aca="false">IF(A2803="","",COUNTIF(A$5:A2803,A2803))</f>
        <v/>
      </c>
      <c r="C2803" s="68" t="str">
        <f aca="false">IF(A2803="","",A2803&amp;"-"&amp;B2803)</f>
        <v/>
      </c>
      <c r="D2803" s="58"/>
      <c r="E2803" s="57"/>
      <c r="F2803" s="69"/>
      <c r="G2803" s="69"/>
      <c r="H2803" s="70" t="str">
        <f aca="false">IF(A2803="","",IFERROR(INDEX(السندات!$C$5:$C$504,MATCH(A2803,السندات!$A$5:$A$504,0)),""))</f>
        <v/>
      </c>
      <c r="I2803" s="71" t="str">
        <f aca="false">IF(A2803="","",IFERROR(INDEX(السندات!$D$5:$D$504,MATCH(A2803,السندات!$A$5:$A$504,0)),""))</f>
        <v/>
      </c>
      <c r="J2803" s="72" t="str">
        <f aca="false">IF(A2803="","",IF(ISNA(MATCH(A2803,السندات!$A$5:$A$504,0)),"رقم سند غير موجود ✘",IF(AND(F2803&lt;&gt;"",G2803&lt;&gt;""),"اكتب مدين أو دائن فقط ✘",IF(AND(N(F2803)=0,N(G2803)=0),"بدون مبلغ ⚠",IF(B2803&gt;12,"يتجاوز 12 بنداً في الطباعة ⚠","")))))</f>
        <v/>
      </c>
    </row>
    <row r="2804" customFormat="false" ht="15" hidden="false" customHeight="false" outlineLevel="0" collapsed="false">
      <c r="A2804" s="58"/>
      <c r="B2804" s="73" t="str">
        <f aca="false">IF(A2804="","",COUNTIF(A$5:A2804,A2804))</f>
        <v/>
      </c>
      <c r="C2804" s="73" t="str">
        <f aca="false">IF(A2804="","",A2804&amp;"-"&amp;B2804)</f>
        <v/>
      </c>
      <c r="D2804" s="58"/>
      <c r="E2804" s="57"/>
      <c r="F2804" s="69"/>
      <c r="G2804" s="69"/>
      <c r="H2804" s="74" t="str">
        <f aca="false">IF(A2804="","",IFERROR(INDEX(السندات!$C$5:$C$504,MATCH(A2804,السندات!$A$5:$A$504,0)),""))</f>
        <v/>
      </c>
      <c r="I2804" s="75" t="str">
        <f aca="false">IF(A2804="","",IFERROR(INDEX(السندات!$D$5:$D$504,MATCH(A2804,السندات!$A$5:$A$504,0)),""))</f>
        <v/>
      </c>
      <c r="J2804" s="76" t="str">
        <f aca="false">IF(A2804="","",IF(ISNA(MATCH(A2804,السندات!$A$5:$A$504,0)),"رقم سند غير موجود ✘",IF(AND(F2804&lt;&gt;"",G2804&lt;&gt;""),"اكتب مدين أو دائن فقط ✘",IF(AND(N(F2804)=0,N(G2804)=0),"بدون مبلغ ⚠",IF(B2804&gt;12,"يتجاوز 12 بنداً في الطباعة ⚠","")))))</f>
        <v/>
      </c>
    </row>
    <row r="2805" customFormat="false" ht="15" hidden="false" customHeight="false" outlineLevel="0" collapsed="false">
      <c r="A2805" s="58"/>
      <c r="B2805" s="68" t="str">
        <f aca="false">IF(A2805="","",COUNTIF(A$5:A2805,A2805))</f>
        <v/>
      </c>
      <c r="C2805" s="68" t="str">
        <f aca="false">IF(A2805="","",A2805&amp;"-"&amp;B2805)</f>
        <v/>
      </c>
      <c r="D2805" s="58"/>
      <c r="E2805" s="57"/>
      <c r="F2805" s="69"/>
      <c r="G2805" s="69"/>
      <c r="H2805" s="70" t="str">
        <f aca="false">IF(A2805="","",IFERROR(INDEX(السندات!$C$5:$C$504,MATCH(A2805,السندات!$A$5:$A$504,0)),""))</f>
        <v/>
      </c>
      <c r="I2805" s="71" t="str">
        <f aca="false">IF(A2805="","",IFERROR(INDEX(السندات!$D$5:$D$504,MATCH(A2805,السندات!$A$5:$A$504,0)),""))</f>
        <v/>
      </c>
      <c r="J2805" s="72" t="str">
        <f aca="false">IF(A2805="","",IF(ISNA(MATCH(A2805,السندات!$A$5:$A$504,0)),"رقم سند غير موجود ✘",IF(AND(F2805&lt;&gt;"",G2805&lt;&gt;""),"اكتب مدين أو دائن فقط ✘",IF(AND(N(F2805)=0,N(G2805)=0),"بدون مبلغ ⚠",IF(B2805&gt;12,"يتجاوز 12 بنداً في الطباعة ⚠","")))))</f>
        <v/>
      </c>
    </row>
    <row r="2806" customFormat="false" ht="15" hidden="false" customHeight="false" outlineLevel="0" collapsed="false">
      <c r="A2806" s="58"/>
      <c r="B2806" s="73" t="str">
        <f aca="false">IF(A2806="","",COUNTIF(A$5:A2806,A2806))</f>
        <v/>
      </c>
      <c r="C2806" s="73" t="str">
        <f aca="false">IF(A2806="","",A2806&amp;"-"&amp;B2806)</f>
        <v/>
      </c>
      <c r="D2806" s="58"/>
      <c r="E2806" s="57"/>
      <c r="F2806" s="69"/>
      <c r="G2806" s="69"/>
      <c r="H2806" s="74" t="str">
        <f aca="false">IF(A2806="","",IFERROR(INDEX(السندات!$C$5:$C$504,MATCH(A2806,السندات!$A$5:$A$504,0)),""))</f>
        <v/>
      </c>
      <c r="I2806" s="75" t="str">
        <f aca="false">IF(A2806="","",IFERROR(INDEX(السندات!$D$5:$D$504,MATCH(A2806,السندات!$A$5:$A$504,0)),""))</f>
        <v/>
      </c>
      <c r="J2806" s="76" t="str">
        <f aca="false">IF(A2806="","",IF(ISNA(MATCH(A2806,السندات!$A$5:$A$504,0)),"رقم سند غير موجود ✘",IF(AND(F2806&lt;&gt;"",G2806&lt;&gt;""),"اكتب مدين أو دائن فقط ✘",IF(AND(N(F2806)=0,N(G2806)=0),"بدون مبلغ ⚠",IF(B2806&gt;12,"يتجاوز 12 بنداً في الطباعة ⚠","")))))</f>
        <v/>
      </c>
    </row>
    <row r="2807" customFormat="false" ht="15" hidden="false" customHeight="false" outlineLevel="0" collapsed="false">
      <c r="A2807" s="58"/>
      <c r="B2807" s="68" t="str">
        <f aca="false">IF(A2807="","",COUNTIF(A$5:A2807,A2807))</f>
        <v/>
      </c>
      <c r="C2807" s="68" t="str">
        <f aca="false">IF(A2807="","",A2807&amp;"-"&amp;B2807)</f>
        <v/>
      </c>
      <c r="D2807" s="58"/>
      <c r="E2807" s="57"/>
      <c r="F2807" s="69"/>
      <c r="G2807" s="69"/>
      <c r="H2807" s="70" t="str">
        <f aca="false">IF(A2807="","",IFERROR(INDEX(السندات!$C$5:$C$504,MATCH(A2807,السندات!$A$5:$A$504,0)),""))</f>
        <v/>
      </c>
      <c r="I2807" s="71" t="str">
        <f aca="false">IF(A2807="","",IFERROR(INDEX(السندات!$D$5:$D$504,MATCH(A2807,السندات!$A$5:$A$504,0)),""))</f>
        <v/>
      </c>
      <c r="J2807" s="72" t="str">
        <f aca="false">IF(A2807="","",IF(ISNA(MATCH(A2807,السندات!$A$5:$A$504,0)),"رقم سند غير موجود ✘",IF(AND(F2807&lt;&gt;"",G2807&lt;&gt;""),"اكتب مدين أو دائن فقط ✘",IF(AND(N(F2807)=0,N(G2807)=0),"بدون مبلغ ⚠",IF(B2807&gt;12,"يتجاوز 12 بنداً في الطباعة ⚠","")))))</f>
        <v/>
      </c>
    </row>
    <row r="2808" customFormat="false" ht="15" hidden="false" customHeight="false" outlineLevel="0" collapsed="false">
      <c r="A2808" s="58"/>
      <c r="B2808" s="73" t="str">
        <f aca="false">IF(A2808="","",COUNTIF(A$5:A2808,A2808))</f>
        <v/>
      </c>
      <c r="C2808" s="73" t="str">
        <f aca="false">IF(A2808="","",A2808&amp;"-"&amp;B2808)</f>
        <v/>
      </c>
      <c r="D2808" s="58"/>
      <c r="E2808" s="57"/>
      <c r="F2808" s="69"/>
      <c r="G2808" s="69"/>
      <c r="H2808" s="74" t="str">
        <f aca="false">IF(A2808="","",IFERROR(INDEX(السندات!$C$5:$C$504,MATCH(A2808,السندات!$A$5:$A$504,0)),""))</f>
        <v/>
      </c>
      <c r="I2808" s="75" t="str">
        <f aca="false">IF(A2808="","",IFERROR(INDEX(السندات!$D$5:$D$504,MATCH(A2808,السندات!$A$5:$A$504,0)),""))</f>
        <v/>
      </c>
      <c r="J2808" s="76" t="str">
        <f aca="false">IF(A2808="","",IF(ISNA(MATCH(A2808,السندات!$A$5:$A$504,0)),"رقم سند غير موجود ✘",IF(AND(F2808&lt;&gt;"",G2808&lt;&gt;""),"اكتب مدين أو دائن فقط ✘",IF(AND(N(F2808)=0,N(G2808)=0),"بدون مبلغ ⚠",IF(B2808&gt;12,"يتجاوز 12 بنداً في الطباعة ⚠","")))))</f>
        <v/>
      </c>
    </row>
    <row r="2809" customFormat="false" ht="15" hidden="false" customHeight="false" outlineLevel="0" collapsed="false">
      <c r="A2809" s="58"/>
      <c r="B2809" s="68" t="str">
        <f aca="false">IF(A2809="","",COUNTIF(A$5:A2809,A2809))</f>
        <v/>
      </c>
      <c r="C2809" s="68" t="str">
        <f aca="false">IF(A2809="","",A2809&amp;"-"&amp;B2809)</f>
        <v/>
      </c>
      <c r="D2809" s="58"/>
      <c r="E2809" s="57"/>
      <c r="F2809" s="69"/>
      <c r="G2809" s="69"/>
      <c r="H2809" s="70" t="str">
        <f aca="false">IF(A2809="","",IFERROR(INDEX(السندات!$C$5:$C$504,MATCH(A2809,السندات!$A$5:$A$504,0)),""))</f>
        <v/>
      </c>
      <c r="I2809" s="71" t="str">
        <f aca="false">IF(A2809="","",IFERROR(INDEX(السندات!$D$5:$D$504,MATCH(A2809,السندات!$A$5:$A$504,0)),""))</f>
        <v/>
      </c>
      <c r="J2809" s="72" t="str">
        <f aca="false">IF(A2809="","",IF(ISNA(MATCH(A2809,السندات!$A$5:$A$504,0)),"رقم سند غير موجود ✘",IF(AND(F2809&lt;&gt;"",G2809&lt;&gt;""),"اكتب مدين أو دائن فقط ✘",IF(AND(N(F2809)=0,N(G2809)=0),"بدون مبلغ ⚠",IF(B2809&gt;12,"يتجاوز 12 بنداً في الطباعة ⚠","")))))</f>
        <v/>
      </c>
    </row>
    <row r="2810" customFormat="false" ht="15" hidden="false" customHeight="false" outlineLevel="0" collapsed="false">
      <c r="A2810" s="58"/>
      <c r="B2810" s="73" t="str">
        <f aca="false">IF(A2810="","",COUNTIF(A$5:A2810,A2810))</f>
        <v/>
      </c>
      <c r="C2810" s="73" t="str">
        <f aca="false">IF(A2810="","",A2810&amp;"-"&amp;B2810)</f>
        <v/>
      </c>
      <c r="D2810" s="58"/>
      <c r="E2810" s="57"/>
      <c r="F2810" s="69"/>
      <c r="G2810" s="69"/>
      <c r="H2810" s="74" t="str">
        <f aca="false">IF(A2810="","",IFERROR(INDEX(السندات!$C$5:$C$504,MATCH(A2810,السندات!$A$5:$A$504,0)),""))</f>
        <v/>
      </c>
      <c r="I2810" s="75" t="str">
        <f aca="false">IF(A2810="","",IFERROR(INDEX(السندات!$D$5:$D$504,MATCH(A2810,السندات!$A$5:$A$504,0)),""))</f>
        <v/>
      </c>
      <c r="J2810" s="76" t="str">
        <f aca="false">IF(A2810="","",IF(ISNA(MATCH(A2810,السندات!$A$5:$A$504,0)),"رقم سند غير موجود ✘",IF(AND(F2810&lt;&gt;"",G2810&lt;&gt;""),"اكتب مدين أو دائن فقط ✘",IF(AND(N(F2810)=0,N(G2810)=0),"بدون مبلغ ⚠",IF(B2810&gt;12,"يتجاوز 12 بنداً في الطباعة ⚠","")))))</f>
        <v/>
      </c>
    </row>
    <row r="2811" customFormat="false" ht="15" hidden="false" customHeight="false" outlineLevel="0" collapsed="false">
      <c r="A2811" s="58"/>
      <c r="B2811" s="68" t="str">
        <f aca="false">IF(A2811="","",COUNTIF(A$5:A2811,A2811))</f>
        <v/>
      </c>
      <c r="C2811" s="68" t="str">
        <f aca="false">IF(A2811="","",A2811&amp;"-"&amp;B2811)</f>
        <v/>
      </c>
      <c r="D2811" s="58"/>
      <c r="E2811" s="57"/>
      <c r="F2811" s="69"/>
      <c r="G2811" s="69"/>
      <c r="H2811" s="70" t="str">
        <f aca="false">IF(A2811="","",IFERROR(INDEX(السندات!$C$5:$C$504,MATCH(A2811,السندات!$A$5:$A$504,0)),""))</f>
        <v/>
      </c>
      <c r="I2811" s="71" t="str">
        <f aca="false">IF(A2811="","",IFERROR(INDEX(السندات!$D$5:$D$504,MATCH(A2811,السندات!$A$5:$A$504,0)),""))</f>
        <v/>
      </c>
      <c r="J2811" s="72" t="str">
        <f aca="false">IF(A2811="","",IF(ISNA(MATCH(A2811,السندات!$A$5:$A$504,0)),"رقم سند غير موجود ✘",IF(AND(F2811&lt;&gt;"",G2811&lt;&gt;""),"اكتب مدين أو دائن فقط ✘",IF(AND(N(F2811)=0,N(G2811)=0),"بدون مبلغ ⚠",IF(B2811&gt;12,"يتجاوز 12 بنداً في الطباعة ⚠","")))))</f>
        <v/>
      </c>
    </row>
    <row r="2812" customFormat="false" ht="15" hidden="false" customHeight="false" outlineLevel="0" collapsed="false">
      <c r="A2812" s="58"/>
      <c r="B2812" s="73" t="str">
        <f aca="false">IF(A2812="","",COUNTIF(A$5:A2812,A2812))</f>
        <v/>
      </c>
      <c r="C2812" s="73" t="str">
        <f aca="false">IF(A2812="","",A2812&amp;"-"&amp;B2812)</f>
        <v/>
      </c>
      <c r="D2812" s="58"/>
      <c r="E2812" s="57"/>
      <c r="F2812" s="69"/>
      <c r="G2812" s="69"/>
      <c r="H2812" s="74" t="str">
        <f aca="false">IF(A2812="","",IFERROR(INDEX(السندات!$C$5:$C$504,MATCH(A2812,السندات!$A$5:$A$504,0)),""))</f>
        <v/>
      </c>
      <c r="I2812" s="75" t="str">
        <f aca="false">IF(A2812="","",IFERROR(INDEX(السندات!$D$5:$D$504,MATCH(A2812,السندات!$A$5:$A$504,0)),""))</f>
        <v/>
      </c>
      <c r="J2812" s="76" t="str">
        <f aca="false">IF(A2812="","",IF(ISNA(MATCH(A2812,السندات!$A$5:$A$504,0)),"رقم سند غير موجود ✘",IF(AND(F2812&lt;&gt;"",G2812&lt;&gt;""),"اكتب مدين أو دائن فقط ✘",IF(AND(N(F2812)=0,N(G2812)=0),"بدون مبلغ ⚠",IF(B2812&gt;12,"يتجاوز 12 بنداً في الطباعة ⚠","")))))</f>
        <v/>
      </c>
    </row>
    <row r="2813" customFormat="false" ht="15" hidden="false" customHeight="false" outlineLevel="0" collapsed="false">
      <c r="A2813" s="58"/>
      <c r="B2813" s="68" t="str">
        <f aca="false">IF(A2813="","",COUNTIF(A$5:A2813,A2813))</f>
        <v/>
      </c>
      <c r="C2813" s="68" t="str">
        <f aca="false">IF(A2813="","",A2813&amp;"-"&amp;B2813)</f>
        <v/>
      </c>
      <c r="D2813" s="58"/>
      <c r="E2813" s="57"/>
      <c r="F2813" s="69"/>
      <c r="G2813" s="69"/>
      <c r="H2813" s="70" t="str">
        <f aca="false">IF(A2813="","",IFERROR(INDEX(السندات!$C$5:$C$504,MATCH(A2813,السندات!$A$5:$A$504,0)),""))</f>
        <v/>
      </c>
      <c r="I2813" s="71" t="str">
        <f aca="false">IF(A2813="","",IFERROR(INDEX(السندات!$D$5:$D$504,MATCH(A2813,السندات!$A$5:$A$504,0)),""))</f>
        <v/>
      </c>
      <c r="J2813" s="72" t="str">
        <f aca="false">IF(A2813="","",IF(ISNA(MATCH(A2813,السندات!$A$5:$A$504,0)),"رقم سند غير موجود ✘",IF(AND(F2813&lt;&gt;"",G2813&lt;&gt;""),"اكتب مدين أو دائن فقط ✘",IF(AND(N(F2813)=0,N(G2813)=0),"بدون مبلغ ⚠",IF(B2813&gt;12,"يتجاوز 12 بنداً في الطباعة ⚠","")))))</f>
        <v/>
      </c>
    </row>
    <row r="2814" customFormat="false" ht="15" hidden="false" customHeight="false" outlineLevel="0" collapsed="false">
      <c r="A2814" s="58"/>
      <c r="B2814" s="73" t="str">
        <f aca="false">IF(A2814="","",COUNTIF(A$5:A2814,A2814))</f>
        <v/>
      </c>
      <c r="C2814" s="73" t="str">
        <f aca="false">IF(A2814="","",A2814&amp;"-"&amp;B2814)</f>
        <v/>
      </c>
      <c r="D2814" s="58"/>
      <c r="E2814" s="57"/>
      <c r="F2814" s="69"/>
      <c r="G2814" s="69"/>
      <c r="H2814" s="74" t="str">
        <f aca="false">IF(A2814="","",IFERROR(INDEX(السندات!$C$5:$C$504,MATCH(A2814,السندات!$A$5:$A$504,0)),""))</f>
        <v/>
      </c>
      <c r="I2814" s="75" t="str">
        <f aca="false">IF(A2814="","",IFERROR(INDEX(السندات!$D$5:$D$504,MATCH(A2814,السندات!$A$5:$A$504,0)),""))</f>
        <v/>
      </c>
      <c r="J2814" s="76" t="str">
        <f aca="false">IF(A2814="","",IF(ISNA(MATCH(A2814,السندات!$A$5:$A$504,0)),"رقم سند غير موجود ✘",IF(AND(F2814&lt;&gt;"",G2814&lt;&gt;""),"اكتب مدين أو دائن فقط ✘",IF(AND(N(F2814)=0,N(G2814)=0),"بدون مبلغ ⚠",IF(B2814&gt;12,"يتجاوز 12 بنداً في الطباعة ⚠","")))))</f>
        <v/>
      </c>
    </row>
    <row r="2815" customFormat="false" ht="15" hidden="false" customHeight="false" outlineLevel="0" collapsed="false">
      <c r="A2815" s="58"/>
      <c r="B2815" s="68" t="str">
        <f aca="false">IF(A2815="","",COUNTIF(A$5:A2815,A2815))</f>
        <v/>
      </c>
      <c r="C2815" s="68" t="str">
        <f aca="false">IF(A2815="","",A2815&amp;"-"&amp;B2815)</f>
        <v/>
      </c>
      <c r="D2815" s="58"/>
      <c r="E2815" s="57"/>
      <c r="F2815" s="69"/>
      <c r="G2815" s="69"/>
      <c r="H2815" s="70" t="str">
        <f aca="false">IF(A2815="","",IFERROR(INDEX(السندات!$C$5:$C$504,MATCH(A2815,السندات!$A$5:$A$504,0)),""))</f>
        <v/>
      </c>
      <c r="I2815" s="71" t="str">
        <f aca="false">IF(A2815="","",IFERROR(INDEX(السندات!$D$5:$D$504,MATCH(A2815,السندات!$A$5:$A$504,0)),""))</f>
        <v/>
      </c>
      <c r="J2815" s="72" t="str">
        <f aca="false">IF(A2815="","",IF(ISNA(MATCH(A2815,السندات!$A$5:$A$504,0)),"رقم سند غير موجود ✘",IF(AND(F2815&lt;&gt;"",G2815&lt;&gt;""),"اكتب مدين أو دائن فقط ✘",IF(AND(N(F2815)=0,N(G2815)=0),"بدون مبلغ ⚠",IF(B2815&gt;12,"يتجاوز 12 بنداً في الطباعة ⚠","")))))</f>
        <v/>
      </c>
    </row>
    <row r="2816" customFormat="false" ht="15" hidden="false" customHeight="false" outlineLevel="0" collapsed="false">
      <c r="A2816" s="58"/>
      <c r="B2816" s="73" t="str">
        <f aca="false">IF(A2816="","",COUNTIF(A$5:A2816,A2816))</f>
        <v/>
      </c>
      <c r="C2816" s="73" t="str">
        <f aca="false">IF(A2816="","",A2816&amp;"-"&amp;B2816)</f>
        <v/>
      </c>
      <c r="D2816" s="58"/>
      <c r="E2816" s="57"/>
      <c r="F2816" s="69"/>
      <c r="G2816" s="69"/>
      <c r="H2816" s="74" t="str">
        <f aca="false">IF(A2816="","",IFERROR(INDEX(السندات!$C$5:$C$504,MATCH(A2816,السندات!$A$5:$A$504,0)),""))</f>
        <v/>
      </c>
      <c r="I2816" s="75" t="str">
        <f aca="false">IF(A2816="","",IFERROR(INDEX(السندات!$D$5:$D$504,MATCH(A2816,السندات!$A$5:$A$504,0)),""))</f>
        <v/>
      </c>
      <c r="J2816" s="76" t="str">
        <f aca="false">IF(A2816="","",IF(ISNA(MATCH(A2816,السندات!$A$5:$A$504,0)),"رقم سند غير موجود ✘",IF(AND(F2816&lt;&gt;"",G2816&lt;&gt;""),"اكتب مدين أو دائن فقط ✘",IF(AND(N(F2816)=0,N(G2816)=0),"بدون مبلغ ⚠",IF(B2816&gt;12,"يتجاوز 12 بنداً في الطباعة ⚠","")))))</f>
        <v/>
      </c>
    </row>
    <row r="2817" customFormat="false" ht="15" hidden="false" customHeight="false" outlineLevel="0" collapsed="false">
      <c r="A2817" s="58"/>
      <c r="B2817" s="68" t="str">
        <f aca="false">IF(A2817="","",COUNTIF(A$5:A2817,A2817))</f>
        <v/>
      </c>
      <c r="C2817" s="68" t="str">
        <f aca="false">IF(A2817="","",A2817&amp;"-"&amp;B2817)</f>
        <v/>
      </c>
      <c r="D2817" s="58"/>
      <c r="E2817" s="57"/>
      <c r="F2817" s="69"/>
      <c r="G2817" s="69"/>
      <c r="H2817" s="70" t="str">
        <f aca="false">IF(A2817="","",IFERROR(INDEX(السندات!$C$5:$C$504,MATCH(A2817,السندات!$A$5:$A$504,0)),""))</f>
        <v/>
      </c>
      <c r="I2817" s="71" t="str">
        <f aca="false">IF(A2817="","",IFERROR(INDEX(السندات!$D$5:$D$504,MATCH(A2817,السندات!$A$5:$A$504,0)),""))</f>
        <v/>
      </c>
      <c r="J2817" s="72" t="str">
        <f aca="false">IF(A2817="","",IF(ISNA(MATCH(A2817,السندات!$A$5:$A$504,0)),"رقم سند غير موجود ✘",IF(AND(F2817&lt;&gt;"",G2817&lt;&gt;""),"اكتب مدين أو دائن فقط ✘",IF(AND(N(F2817)=0,N(G2817)=0),"بدون مبلغ ⚠",IF(B2817&gt;12,"يتجاوز 12 بنداً في الطباعة ⚠","")))))</f>
        <v/>
      </c>
    </row>
    <row r="2818" customFormat="false" ht="15" hidden="false" customHeight="false" outlineLevel="0" collapsed="false">
      <c r="A2818" s="58"/>
      <c r="B2818" s="73" t="str">
        <f aca="false">IF(A2818="","",COUNTIF(A$5:A2818,A2818))</f>
        <v/>
      </c>
      <c r="C2818" s="73" t="str">
        <f aca="false">IF(A2818="","",A2818&amp;"-"&amp;B2818)</f>
        <v/>
      </c>
      <c r="D2818" s="58"/>
      <c r="E2818" s="57"/>
      <c r="F2818" s="69"/>
      <c r="G2818" s="69"/>
      <c r="H2818" s="74" t="str">
        <f aca="false">IF(A2818="","",IFERROR(INDEX(السندات!$C$5:$C$504,MATCH(A2818,السندات!$A$5:$A$504,0)),""))</f>
        <v/>
      </c>
      <c r="I2818" s="75" t="str">
        <f aca="false">IF(A2818="","",IFERROR(INDEX(السندات!$D$5:$D$504,MATCH(A2818,السندات!$A$5:$A$504,0)),""))</f>
        <v/>
      </c>
      <c r="J2818" s="76" t="str">
        <f aca="false">IF(A2818="","",IF(ISNA(MATCH(A2818,السندات!$A$5:$A$504,0)),"رقم سند غير موجود ✘",IF(AND(F2818&lt;&gt;"",G2818&lt;&gt;""),"اكتب مدين أو دائن فقط ✘",IF(AND(N(F2818)=0,N(G2818)=0),"بدون مبلغ ⚠",IF(B2818&gt;12,"يتجاوز 12 بنداً في الطباعة ⚠","")))))</f>
        <v/>
      </c>
    </row>
    <row r="2819" customFormat="false" ht="15" hidden="false" customHeight="false" outlineLevel="0" collapsed="false">
      <c r="A2819" s="58"/>
      <c r="B2819" s="68" t="str">
        <f aca="false">IF(A2819="","",COUNTIF(A$5:A2819,A2819))</f>
        <v/>
      </c>
      <c r="C2819" s="68" t="str">
        <f aca="false">IF(A2819="","",A2819&amp;"-"&amp;B2819)</f>
        <v/>
      </c>
      <c r="D2819" s="58"/>
      <c r="E2819" s="57"/>
      <c r="F2819" s="69"/>
      <c r="G2819" s="69"/>
      <c r="H2819" s="70" t="str">
        <f aca="false">IF(A2819="","",IFERROR(INDEX(السندات!$C$5:$C$504,MATCH(A2819,السندات!$A$5:$A$504,0)),""))</f>
        <v/>
      </c>
      <c r="I2819" s="71" t="str">
        <f aca="false">IF(A2819="","",IFERROR(INDEX(السندات!$D$5:$D$504,MATCH(A2819,السندات!$A$5:$A$504,0)),""))</f>
        <v/>
      </c>
      <c r="J2819" s="72" t="str">
        <f aca="false">IF(A2819="","",IF(ISNA(MATCH(A2819,السندات!$A$5:$A$504,0)),"رقم سند غير موجود ✘",IF(AND(F2819&lt;&gt;"",G2819&lt;&gt;""),"اكتب مدين أو دائن فقط ✘",IF(AND(N(F2819)=0,N(G2819)=0),"بدون مبلغ ⚠",IF(B2819&gt;12,"يتجاوز 12 بنداً في الطباعة ⚠","")))))</f>
        <v/>
      </c>
    </row>
    <row r="2820" customFormat="false" ht="15" hidden="false" customHeight="false" outlineLevel="0" collapsed="false">
      <c r="A2820" s="58"/>
      <c r="B2820" s="73" t="str">
        <f aca="false">IF(A2820="","",COUNTIF(A$5:A2820,A2820))</f>
        <v/>
      </c>
      <c r="C2820" s="73" t="str">
        <f aca="false">IF(A2820="","",A2820&amp;"-"&amp;B2820)</f>
        <v/>
      </c>
      <c r="D2820" s="58"/>
      <c r="E2820" s="57"/>
      <c r="F2820" s="69"/>
      <c r="G2820" s="69"/>
      <c r="H2820" s="74" t="str">
        <f aca="false">IF(A2820="","",IFERROR(INDEX(السندات!$C$5:$C$504,MATCH(A2820,السندات!$A$5:$A$504,0)),""))</f>
        <v/>
      </c>
      <c r="I2820" s="75" t="str">
        <f aca="false">IF(A2820="","",IFERROR(INDEX(السندات!$D$5:$D$504,MATCH(A2820,السندات!$A$5:$A$504,0)),""))</f>
        <v/>
      </c>
      <c r="J2820" s="76" t="str">
        <f aca="false">IF(A2820="","",IF(ISNA(MATCH(A2820,السندات!$A$5:$A$504,0)),"رقم سند غير موجود ✘",IF(AND(F2820&lt;&gt;"",G2820&lt;&gt;""),"اكتب مدين أو دائن فقط ✘",IF(AND(N(F2820)=0,N(G2820)=0),"بدون مبلغ ⚠",IF(B2820&gt;12,"يتجاوز 12 بنداً في الطباعة ⚠","")))))</f>
        <v/>
      </c>
    </row>
    <row r="2821" customFormat="false" ht="15" hidden="false" customHeight="false" outlineLevel="0" collapsed="false">
      <c r="A2821" s="58"/>
      <c r="B2821" s="68" t="str">
        <f aca="false">IF(A2821="","",COUNTIF(A$5:A2821,A2821))</f>
        <v/>
      </c>
      <c r="C2821" s="68" t="str">
        <f aca="false">IF(A2821="","",A2821&amp;"-"&amp;B2821)</f>
        <v/>
      </c>
      <c r="D2821" s="58"/>
      <c r="E2821" s="57"/>
      <c r="F2821" s="69"/>
      <c r="G2821" s="69"/>
      <c r="H2821" s="70" t="str">
        <f aca="false">IF(A2821="","",IFERROR(INDEX(السندات!$C$5:$C$504,MATCH(A2821,السندات!$A$5:$A$504,0)),""))</f>
        <v/>
      </c>
      <c r="I2821" s="71" t="str">
        <f aca="false">IF(A2821="","",IFERROR(INDEX(السندات!$D$5:$D$504,MATCH(A2821,السندات!$A$5:$A$504,0)),""))</f>
        <v/>
      </c>
      <c r="J2821" s="72" t="str">
        <f aca="false">IF(A2821="","",IF(ISNA(MATCH(A2821,السندات!$A$5:$A$504,0)),"رقم سند غير موجود ✘",IF(AND(F2821&lt;&gt;"",G2821&lt;&gt;""),"اكتب مدين أو دائن فقط ✘",IF(AND(N(F2821)=0,N(G2821)=0),"بدون مبلغ ⚠",IF(B2821&gt;12,"يتجاوز 12 بنداً في الطباعة ⚠","")))))</f>
        <v/>
      </c>
    </row>
    <row r="2822" customFormat="false" ht="15" hidden="false" customHeight="false" outlineLevel="0" collapsed="false">
      <c r="A2822" s="58"/>
      <c r="B2822" s="73" t="str">
        <f aca="false">IF(A2822="","",COUNTIF(A$5:A2822,A2822))</f>
        <v/>
      </c>
      <c r="C2822" s="73" t="str">
        <f aca="false">IF(A2822="","",A2822&amp;"-"&amp;B2822)</f>
        <v/>
      </c>
      <c r="D2822" s="58"/>
      <c r="E2822" s="57"/>
      <c r="F2822" s="69"/>
      <c r="G2822" s="69"/>
      <c r="H2822" s="74" t="str">
        <f aca="false">IF(A2822="","",IFERROR(INDEX(السندات!$C$5:$C$504,MATCH(A2822,السندات!$A$5:$A$504,0)),""))</f>
        <v/>
      </c>
      <c r="I2822" s="75" t="str">
        <f aca="false">IF(A2822="","",IFERROR(INDEX(السندات!$D$5:$D$504,MATCH(A2822,السندات!$A$5:$A$504,0)),""))</f>
        <v/>
      </c>
      <c r="J2822" s="76" t="str">
        <f aca="false">IF(A2822="","",IF(ISNA(MATCH(A2822,السندات!$A$5:$A$504,0)),"رقم سند غير موجود ✘",IF(AND(F2822&lt;&gt;"",G2822&lt;&gt;""),"اكتب مدين أو دائن فقط ✘",IF(AND(N(F2822)=0,N(G2822)=0),"بدون مبلغ ⚠",IF(B2822&gt;12,"يتجاوز 12 بنداً في الطباعة ⚠","")))))</f>
        <v/>
      </c>
    </row>
    <row r="2823" customFormat="false" ht="15" hidden="false" customHeight="false" outlineLevel="0" collapsed="false">
      <c r="A2823" s="58"/>
      <c r="B2823" s="68" t="str">
        <f aca="false">IF(A2823="","",COUNTIF(A$5:A2823,A2823))</f>
        <v/>
      </c>
      <c r="C2823" s="68" t="str">
        <f aca="false">IF(A2823="","",A2823&amp;"-"&amp;B2823)</f>
        <v/>
      </c>
      <c r="D2823" s="58"/>
      <c r="E2823" s="57"/>
      <c r="F2823" s="69"/>
      <c r="G2823" s="69"/>
      <c r="H2823" s="70" t="str">
        <f aca="false">IF(A2823="","",IFERROR(INDEX(السندات!$C$5:$C$504,MATCH(A2823,السندات!$A$5:$A$504,0)),""))</f>
        <v/>
      </c>
      <c r="I2823" s="71" t="str">
        <f aca="false">IF(A2823="","",IFERROR(INDEX(السندات!$D$5:$D$504,MATCH(A2823,السندات!$A$5:$A$504,0)),""))</f>
        <v/>
      </c>
      <c r="J2823" s="72" t="str">
        <f aca="false">IF(A2823="","",IF(ISNA(MATCH(A2823,السندات!$A$5:$A$504,0)),"رقم سند غير موجود ✘",IF(AND(F2823&lt;&gt;"",G2823&lt;&gt;""),"اكتب مدين أو دائن فقط ✘",IF(AND(N(F2823)=0,N(G2823)=0),"بدون مبلغ ⚠",IF(B2823&gt;12,"يتجاوز 12 بنداً في الطباعة ⚠","")))))</f>
        <v/>
      </c>
    </row>
    <row r="2824" customFormat="false" ht="15" hidden="false" customHeight="false" outlineLevel="0" collapsed="false">
      <c r="A2824" s="58"/>
      <c r="B2824" s="73" t="str">
        <f aca="false">IF(A2824="","",COUNTIF(A$5:A2824,A2824))</f>
        <v/>
      </c>
      <c r="C2824" s="73" t="str">
        <f aca="false">IF(A2824="","",A2824&amp;"-"&amp;B2824)</f>
        <v/>
      </c>
      <c r="D2824" s="58"/>
      <c r="E2824" s="57"/>
      <c r="F2824" s="69"/>
      <c r="G2824" s="69"/>
      <c r="H2824" s="74" t="str">
        <f aca="false">IF(A2824="","",IFERROR(INDEX(السندات!$C$5:$C$504,MATCH(A2824,السندات!$A$5:$A$504,0)),""))</f>
        <v/>
      </c>
      <c r="I2824" s="75" t="str">
        <f aca="false">IF(A2824="","",IFERROR(INDEX(السندات!$D$5:$D$504,MATCH(A2824,السندات!$A$5:$A$504,0)),""))</f>
        <v/>
      </c>
      <c r="J2824" s="76" t="str">
        <f aca="false">IF(A2824="","",IF(ISNA(MATCH(A2824,السندات!$A$5:$A$504,0)),"رقم سند غير موجود ✘",IF(AND(F2824&lt;&gt;"",G2824&lt;&gt;""),"اكتب مدين أو دائن فقط ✘",IF(AND(N(F2824)=0,N(G2824)=0),"بدون مبلغ ⚠",IF(B2824&gt;12,"يتجاوز 12 بنداً في الطباعة ⚠","")))))</f>
        <v/>
      </c>
    </row>
    <row r="2825" customFormat="false" ht="15" hidden="false" customHeight="false" outlineLevel="0" collapsed="false">
      <c r="A2825" s="58"/>
      <c r="B2825" s="68" t="str">
        <f aca="false">IF(A2825="","",COUNTIF(A$5:A2825,A2825))</f>
        <v/>
      </c>
      <c r="C2825" s="68" t="str">
        <f aca="false">IF(A2825="","",A2825&amp;"-"&amp;B2825)</f>
        <v/>
      </c>
      <c r="D2825" s="58"/>
      <c r="E2825" s="57"/>
      <c r="F2825" s="69"/>
      <c r="G2825" s="69"/>
      <c r="H2825" s="70" t="str">
        <f aca="false">IF(A2825="","",IFERROR(INDEX(السندات!$C$5:$C$504,MATCH(A2825,السندات!$A$5:$A$504,0)),""))</f>
        <v/>
      </c>
      <c r="I2825" s="71" t="str">
        <f aca="false">IF(A2825="","",IFERROR(INDEX(السندات!$D$5:$D$504,MATCH(A2825,السندات!$A$5:$A$504,0)),""))</f>
        <v/>
      </c>
      <c r="J2825" s="72" t="str">
        <f aca="false">IF(A2825="","",IF(ISNA(MATCH(A2825,السندات!$A$5:$A$504,0)),"رقم سند غير موجود ✘",IF(AND(F2825&lt;&gt;"",G2825&lt;&gt;""),"اكتب مدين أو دائن فقط ✘",IF(AND(N(F2825)=0,N(G2825)=0),"بدون مبلغ ⚠",IF(B2825&gt;12,"يتجاوز 12 بنداً في الطباعة ⚠","")))))</f>
        <v/>
      </c>
    </row>
    <row r="2826" customFormat="false" ht="15" hidden="false" customHeight="false" outlineLevel="0" collapsed="false">
      <c r="A2826" s="58"/>
      <c r="B2826" s="73" t="str">
        <f aca="false">IF(A2826="","",COUNTIF(A$5:A2826,A2826))</f>
        <v/>
      </c>
      <c r="C2826" s="73" t="str">
        <f aca="false">IF(A2826="","",A2826&amp;"-"&amp;B2826)</f>
        <v/>
      </c>
      <c r="D2826" s="58"/>
      <c r="E2826" s="57"/>
      <c r="F2826" s="69"/>
      <c r="G2826" s="69"/>
      <c r="H2826" s="74" t="str">
        <f aca="false">IF(A2826="","",IFERROR(INDEX(السندات!$C$5:$C$504,MATCH(A2826,السندات!$A$5:$A$504,0)),""))</f>
        <v/>
      </c>
      <c r="I2826" s="75" t="str">
        <f aca="false">IF(A2826="","",IFERROR(INDEX(السندات!$D$5:$D$504,MATCH(A2826,السندات!$A$5:$A$504,0)),""))</f>
        <v/>
      </c>
      <c r="J2826" s="76" t="str">
        <f aca="false">IF(A2826="","",IF(ISNA(MATCH(A2826,السندات!$A$5:$A$504,0)),"رقم سند غير موجود ✘",IF(AND(F2826&lt;&gt;"",G2826&lt;&gt;""),"اكتب مدين أو دائن فقط ✘",IF(AND(N(F2826)=0,N(G2826)=0),"بدون مبلغ ⚠",IF(B2826&gt;12,"يتجاوز 12 بنداً في الطباعة ⚠","")))))</f>
        <v/>
      </c>
    </row>
    <row r="2827" customFormat="false" ht="15" hidden="false" customHeight="false" outlineLevel="0" collapsed="false">
      <c r="A2827" s="58"/>
      <c r="B2827" s="68" t="str">
        <f aca="false">IF(A2827="","",COUNTIF(A$5:A2827,A2827))</f>
        <v/>
      </c>
      <c r="C2827" s="68" t="str">
        <f aca="false">IF(A2827="","",A2827&amp;"-"&amp;B2827)</f>
        <v/>
      </c>
      <c r="D2827" s="58"/>
      <c r="E2827" s="57"/>
      <c r="F2827" s="69"/>
      <c r="G2827" s="69"/>
      <c r="H2827" s="70" t="str">
        <f aca="false">IF(A2827="","",IFERROR(INDEX(السندات!$C$5:$C$504,MATCH(A2827,السندات!$A$5:$A$504,0)),""))</f>
        <v/>
      </c>
      <c r="I2827" s="71" t="str">
        <f aca="false">IF(A2827="","",IFERROR(INDEX(السندات!$D$5:$D$504,MATCH(A2827,السندات!$A$5:$A$504,0)),""))</f>
        <v/>
      </c>
      <c r="J2827" s="72" t="str">
        <f aca="false">IF(A2827="","",IF(ISNA(MATCH(A2827,السندات!$A$5:$A$504,0)),"رقم سند غير موجود ✘",IF(AND(F2827&lt;&gt;"",G2827&lt;&gt;""),"اكتب مدين أو دائن فقط ✘",IF(AND(N(F2827)=0,N(G2827)=0),"بدون مبلغ ⚠",IF(B2827&gt;12,"يتجاوز 12 بنداً في الطباعة ⚠","")))))</f>
        <v/>
      </c>
    </row>
    <row r="2828" customFormat="false" ht="15" hidden="false" customHeight="false" outlineLevel="0" collapsed="false">
      <c r="A2828" s="58"/>
      <c r="B2828" s="73" t="str">
        <f aca="false">IF(A2828="","",COUNTIF(A$5:A2828,A2828))</f>
        <v/>
      </c>
      <c r="C2828" s="73" t="str">
        <f aca="false">IF(A2828="","",A2828&amp;"-"&amp;B2828)</f>
        <v/>
      </c>
      <c r="D2828" s="58"/>
      <c r="E2828" s="57"/>
      <c r="F2828" s="69"/>
      <c r="G2828" s="69"/>
      <c r="H2828" s="74" t="str">
        <f aca="false">IF(A2828="","",IFERROR(INDEX(السندات!$C$5:$C$504,MATCH(A2828,السندات!$A$5:$A$504,0)),""))</f>
        <v/>
      </c>
      <c r="I2828" s="75" t="str">
        <f aca="false">IF(A2828="","",IFERROR(INDEX(السندات!$D$5:$D$504,MATCH(A2828,السندات!$A$5:$A$504,0)),""))</f>
        <v/>
      </c>
      <c r="J2828" s="76" t="str">
        <f aca="false">IF(A2828="","",IF(ISNA(MATCH(A2828,السندات!$A$5:$A$504,0)),"رقم سند غير موجود ✘",IF(AND(F2828&lt;&gt;"",G2828&lt;&gt;""),"اكتب مدين أو دائن فقط ✘",IF(AND(N(F2828)=0,N(G2828)=0),"بدون مبلغ ⚠",IF(B2828&gt;12,"يتجاوز 12 بنداً في الطباعة ⚠","")))))</f>
        <v/>
      </c>
    </row>
    <row r="2829" customFormat="false" ht="15" hidden="false" customHeight="false" outlineLevel="0" collapsed="false">
      <c r="A2829" s="58"/>
      <c r="B2829" s="68" t="str">
        <f aca="false">IF(A2829="","",COUNTIF(A$5:A2829,A2829))</f>
        <v/>
      </c>
      <c r="C2829" s="68" t="str">
        <f aca="false">IF(A2829="","",A2829&amp;"-"&amp;B2829)</f>
        <v/>
      </c>
      <c r="D2829" s="58"/>
      <c r="E2829" s="57"/>
      <c r="F2829" s="69"/>
      <c r="G2829" s="69"/>
      <c r="H2829" s="70" t="str">
        <f aca="false">IF(A2829="","",IFERROR(INDEX(السندات!$C$5:$C$504,MATCH(A2829,السندات!$A$5:$A$504,0)),""))</f>
        <v/>
      </c>
      <c r="I2829" s="71" t="str">
        <f aca="false">IF(A2829="","",IFERROR(INDEX(السندات!$D$5:$D$504,MATCH(A2829,السندات!$A$5:$A$504,0)),""))</f>
        <v/>
      </c>
      <c r="J2829" s="72" t="str">
        <f aca="false">IF(A2829="","",IF(ISNA(MATCH(A2829,السندات!$A$5:$A$504,0)),"رقم سند غير موجود ✘",IF(AND(F2829&lt;&gt;"",G2829&lt;&gt;""),"اكتب مدين أو دائن فقط ✘",IF(AND(N(F2829)=0,N(G2829)=0),"بدون مبلغ ⚠",IF(B2829&gt;12,"يتجاوز 12 بنداً في الطباعة ⚠","")))))</f>
        <v/>
      </c>
    </row>
    <row r="2830" customFormat="false" ht="15" hidden="false" customHeight="false" outlineLevel="0" collapsed="false">
      <c r="A2830" s="58"/>
      <c r="B2830" s="73" t="str">
        <f aca="false">IF(A2830="","",COUNTIF(A$5:A2830,A2830))</f>
        <v/>
      </c>
      <c r="C2830" s="73" t="str">
        <f aca="false">IF(A2830="","",A2830&amp;"-"&amp;B2830)</f>
        <v/>
      </c>
      <c r="D2830" s="58"/>
      <c r="E2830" s="57"/>
      <c r="F2830" s="69"/>
      <c r="G2830" s="69"/>
      <c r="H2830" s="74" t="str">
        <f aca="false">IF(A2830="","",IFERROR(INDEX(السندات!$C$5:$C$504,MATCH(A2830,السندات!$A$5:$A$504,0)),""))</f>
        <v/>
      </c>
      <c r="I2830" s="75" t="str">
        <f aca="false">IF(A2830="","",IFERROR(INDEX(السندات!$D$5:$D$504,MATCH(A2830,السندات!$A$5:$A$504,0)),""))</f>
        <v/>
      </c>
      <c r="J2830" s="76" t="str">
        <f aca="false">IF(A2830="","",IF(ISNA(MATCH(A2830,السندات!$A$5:$A$504,0)),"رقم سند غير موجود ✘",IF(AND(F2830&lt;&gt;"",G2830&lt;&gt;""),"اكتب مدين أو دائن فقط ✘",IF(AND(N(F2830)=0,N(G2830)=0),"بدون مبلغ ⚠",IF(B2830&gt;12,"يتجاوز 12 بنداً في الطباعة ⚠","")))))</f>
        <v/>
      </c>
    </row>
    <row r="2831" customFormat="false" ht="15" hidden="false" customHeight="false" outlineLevel="0" collapsed="false">
      <c r="A2831" s="58"/>
      <c r="B2831" s="68" t="str">
        <f aca="false">IF(A2831="","",COUNTIF(A$5:A2831,A2831))</f>
        <v/>
      </c>
      <c r="C2831" s="68" t="str">
        <f aca="false">IF(A2831="","",A2831&amp;"-"&amp;B2831)</f>
        <v/>
      </c>
      <c r="D2831" s="58"/>
      <c r="E2831" s="57"/>
      <c r="F2831" s="69"/>
      <c r="G2831" s="69"/>
      <c r="H2831" s="70" t="str">
        <f aca="false">IF(A2831="","",IFERROR(INDEX(السندات!$C$5:$C$504,MATCH(A2831,السندات!$A$5:$A$504,0)),""))</f>
        <v/>
      </c>
      <c r="I2831" s="71" t="str">
        <f aca="false">IF(A2831="","",IFERROR(INDEX(السندات!$D$5:$D$504,MATCH(A2831,السندات!$A$5:$A$504,0)),""))</f>
        <v/>
      </c>
      <c r="J2831" s="72" t="str">
        <f aca="false">IF(A2831="","",IF(ISNA(MATCH(A2831,السندات!$A$5:$A$504,0)),"رقم سند غير موجود ✘",IF(AND(F2831&lt;&gt;"",G2831&lt;&gt;""),"اكتب مدين أو دائن فقط ✘",IF(AND(N(F2831)=0,N(G2831)=0),"بدون مبلغ ⚠",IF(B2831&gt;12,"يتجاوز 12 بنداً في الطباعة ⚠","")))))</f>
        <v/>
      </c>
    </row>
    <row r="2832" customFormat="false" ht="15" hidden="false" customHeight="false" outlineLevel="0" collapsed="false">
      <c r="A2832" s="58"/>
      <c r="B2832" s="73" t="str">
        <f aca="false">IF(A2832="","",COUNTIF(A$5:A2832,A2832))</f>
        <v/>
      </c>
      <c r="C2832" s="73" t="str">
        <f aca="false">IF(A2832="","",A2832&amp;"-"&amp;B2832)</f>
        <v/>
      </c>
      <c r="D2832" s="58"/>
      <c r="E2832" s="57"/>
      <c r="F2832" s="69"/>
      <c r="G2832" s="69"/>
      <c r="H2832" s="74" t="str">
        <f aca="false">IF(A2832="","",IFERROR(INDEX(السندات!$C$5:$C$504,MATCH(A2832,السندات!$A$5:$A$504,0)),""))</f>
        <v/>
      </c>
      <c r="I2832" s="75" t="str">
        <f aca="false">IF(A2832="","",IFERROR(INDEX(السندات!$D$5:$D$504,MATCH(A2832,السندات!$A$5:$A$504,0)),""))</f>
        <v/>
      </c>
      <c r="J2832" s="76" t="str">
        <f aca="false">IF(A2832="","",IF(ISNA(MATCH(A2832,السندات!$A$5:$A$504,0)),"رقم سند غير موجود ✘",IF(AND(F2832&lt;&gt;"",G2832&lt;&gt;""),"اكتب مدين أو دائن فقط ✘",IF(AND(N(F2832)=0,N(G2832)=0),"بدون مبلغ ⚠",IF(B2832&gt;12,"يتجاوز 12 بنداً في الطباعة ⚠","")))))</f>
        <v/>
      </c>
    </row>
    <row r="2833" customFormat="false" ht="15" hidden="false" customHeight="false" outlineLevel="0" collapsed="false">
      <c r="A2833" s="58"/>
      <c r="B2833" s="68" t="str">
        <f aca="false">IF(A2833="","",COUNTIF(A$5:A2833,A2833))</f>
        <v/>
      </c>
      <c r="C2833" s="68" t="str">
        <f aca="false">IF(A2833="","",A2833&amp;"-"&amp;B2833)</f>
        <v/>
      </c>
      <c r="D2833" s="58"/>
      <c r="E2833" s="57"/>
      <c r="F2833" s="69"/>
      <c r="G2833" s="69"/>
      <c r="H2833" s="70" t="str">
        <f aca="false">IF(A2833="","",IFERROR(INDEX(السندات!$C$5:$C$504,MATCH(A2833,السندات!$A$5:$A$504,0)),""))</f>
        <v/>
      </c>
      <c r="I2833" s="71" t="str">
        <f aca="false">IF(A2833="","",IFERROR(INDEX(السندات!$D$5:$D$504,MATCH(A2833,السندات!$A$5:$A$504,0)),""))</f>
        <v/>
      </c>
      <c r="J2833" s="72" t="str">
        <f aca="false">IF(A2833="","",IF(ISNA(MATCH(A2833,السندات!$A$5:$A$504,0)),"رقم سند غير موجود ✘",IF(AND(F2833&lt;&gt;"",G2833&lt;&gt;""),"اكتب مدين أو دائن فقط ✘",IF(AND(N(F2833)=0,N(G2833)=0),"بدون مبلغ ⚠",IF(B2833&gt;12,"يتجاوز 12 بنداً في الطباعة ⚠","")))))</f>
        <v/>
      </c>
    </row>
    <row r="2834" customFormat="false" ht="15" hidden="false" customHeight="false" outlineLevel="0" collapsed="false">
      <c r="A2834" s="58"/>
      <c r="B2834" s="73" t="str">
        <f aca="false">IF(A2834="","",COUNTIF(A$5:A2834,A2834))</f>
        <v/>
      </c>
      <c r="C2834" s="73" t="str">
        <f aca="false">IF(A2834="","",A2834&amp;"-"&amp;B2834)</f>
        <v/>
      </c>
      <c r="D2834" s="58"/>
      <c r="E2834" s="57"/>
      <c r="F2834" s="69"/>
      <c r="G2834" s="69"/>
      <c r="H2834" s="74" t="str">
        <f aca="false">IF(A2834="","",IFERROR(INDEX(السندات!$C$5:$C$504,MATCH(A2834,السندات!$A$5:$A$504,0)),""))</f>
        <v/>
      </c>
      <c r="I2834" s="75" t="str">
        <f aca="false">IF(A2834="","",IFERROR(INDEX(السندات!$D$5:$D$504,MATCH(A2834,السندات!$A$5:$A$504,0)),""))</f>
        <v/>
      </c>
      <c r="J2834" s="76" t="str">
        <f aca="false">IF(A2834="","",IF(ISNA(MATCH(A2834,السندات!$A$5:$A$504,0)),"رقم سند غير موجود ✘",IF(AND(F2834&lt;&gt;"",G2834&lt;&gt;""),"اكتب مدين أو دائن فقط ✘",IF(AND(N(F2834)=0,N(G2834)=0),"بدون مبلغ ⚠",IF(B2834&gt;12,"يتجاوز 12 بنداً في الطباعة ⚠","")))))</f>
        <v/>
      </c>
    </row>
    <row r="2835" customFormat="false" ht="15" hidden="false" customHeight="false" outlineLevel="0" collapsed="false">
      <c r="A2835" s="58"/>
      <c r="B2835" s="68" t="str">
        <f aca="false">IF(A2835="","",COUNTIF(A$5:A2835,A2835))</f>
        <v/>
      </c>
      <c r="C2835" s="68" t="str">
        <f aca="false">IF(A2835="","",A2835&amp;"-"&amp;B2835)</f>
        <v/>
      </c>
      <c r="D2835" s="58"/>
      <c r="E2835" s="57"/>
      <c r="F2835" s="69"/>
      <c r="G2835" s="69"/>
      <c r="H2835" s="70" t="str">
        <f aca="false">IF(A2835="","",IFERROR(INDEX(السندات!$C$5:$C$504,MATCH(A2835,السندات!$A$5:$A$504,0)),""))</f>
        <v/>
      </c>
      <c r="I2835" s="71" t="str">
        <f aca="false">IF(A2835="","",IFERROR(INDEX(السندات!$D$5:$D$504,MATCH(A2835,السندات!$A$5:$A$504,0)),""))</f>
        <v/>
      </c>
      <c r="J2835" s="72" t="str">
        <f aca="false">IF(A2835="","",IF(ISNA(MATCH(A2835,السندات!$A$5:$A$504,0)),"رقم سند غير موجود ✘",IF(AND(F2835&lt;&gt;"",G2835&lt;&gt;""),"اكتب مدين أو دائن فقط ✘",IF(AND(N(F2835)=0,N(G2835)=0),"بدون مبلغ ⚠",IF(B2835&gt;12,"يتجاوز 12 بنداً في الطباعة ⚠","")))))</f>
        <v/>
      </c>
    </row>
    <row r="2836" customFormat="false" ht="15" hidden="false" customHeight="false" outlineLevel="0" collapsed="false">
      <c r="A2836" s="58"/>
      <c r="B2836" s="73" t="str">
        <f aca="false">IF(A2836="","",COUNTIF(A$5:A2836,A2836))</f>
        <v/>
      </c>
      <c r="C2836" s="73" t="str">
        <f aca="false">IF(A2836="","",A2836&amp;"-"&amp;B2836)</f>
        <v/>
      </c>
      <c r="D2836" s="58"/>
      <c r="E2836" s="57"/>
      <c r="F2836" s="69"/>
      <c r="G2836" s="69"/>
      <c r="H2836" s="74" t="str">
        <f aca="false">IF(A2836="","",IFERROR(INDEX(السندات!$C$5:$C$504,MATCH(A2836,السندات!$A$5:$A$504,0)),""))</f>
        <v/>
      </c>
      <c r="I2836" s="75" t="str">
        <f aca="false">IF(A2836="","",IFERROR(INDEX(السندات!$D$5:$D$504,MATCH(A2836,السندات!$A$5:$A$504,0)),""))</f>
        <v/>
      </c>
      <c r="J2836" s="76" t="str">
        <f aca="false">IF(A2836="","",IF(ISNA(MATCH(A2836,السندات!$A$5:$A$504,0)),"رقم سند غير موجود ✘",IF(AND(F2836&lt;&gt;"",G2836&lt;&gt;""),"اكتب مدين أو دائن فقط ✘",IF(AND(N(F2836)=0,N(G2836)=0),"بدون مبلغ ⚠",IF(B2836&gt;12,"يتجاوز 12 بنداً في الطباعة ⚠","")))))</f>
        <v/>
      </c>
    </row>
    <row r="2837" customFormat="false" ht="15" hidden="false" customHeight="false" outlineLevel="0" collapsed="false">
      <c r="A2837" s="58"/>
      <c r="B2837" s="68" t="str">
        <f aca="false">IF(A2837="","",COUNTIF(A$5:A2837,A2837))</f>
        <v/>
      </c>
      <c r="C2837" s="68" t="str">
        <f aca="false">IF(A2837="","",A2837&amp;"-"&amp;B2837)</f>
        <v/>
      </c>
      <c r="D2837" s="58"/>
      <c r="E2837" s="57"/>
      <c r="F2837" s="69"/>
      <c r="G2837" s="69"/>
      <c r="H2837" s="70" t="str">
        <f aca="false">IF(A2837="","",IFERROR(INDEX(السندات!$C$5:$C$504,MATCH(A2837,السندات!$A$5:$A$504,0)),""))</f>
        <v/>
      </c>
      <c r="I2837" s="71" t="str">
        <f aca="false">IF(A2837="","",IFERROR(INDEX(السندات!$D$5:$D$504,MATCH(A2837,السندات!$A$5:$A$504,0)),""))</f>
        <v/>
      </c>
      <c r="J2837" s="72" t="str">
        <f aca="false">IF(A2837="","",IF(ISNA(MATCH(A2837,السندات!$A$5:$A$504,0)),"رقم سند غير موجود ✘",IF(AND(F2837&lt;&gt;"",G2837&lt;&gt;""),"اكتب مدين أو دائن فقط ✘",IF(AND(N(F2837)=0,N(G2837)=0),"بدون مبلغ ⚠",IF(B2837&gt;12,"يتجاوز 12 بنداً في الطباعة ⚠","")))))</f>
        <v/>
      </c>
    </row>
    <row r="2838" customFormat="false" ht="15" hidden="false" customHeight="false" outlineLevel="0" collapsed="false">
      <c r="A2838" s="58"/>
      <c r="B2838" s="73" t="str">
        <f aca="false">IF(A2838="","",COUNTIF(A$5:A2838,A2838))</f>
        <v/>
      </c>
      <c r="C2838" s="73" t="str">
        <f aca="false">IF(A2838="","",A2838&amp;"-"&amp;B2838)</f>
        <v/>
      </c>
      <c r="D2838" s="58"/>
      <c r="E2838" s="57"/>
      <c r="F2838" s="69"/>
      <c r="G2838" s="69"/>
      <c r="H2838" s="74" t="str">
        <f aca="false">IF(A2838="","",IFERROR(INDEX(السندات!$C$5:$C$504,MATCH(A2838,السندات!$A$5:$A$504,0)),""))</f>
        <v/>
      </c>
      <c r="I2838" s="75" t="str">
        <f aca="false">IF(A2838="","",IFERROR(INDEX(السندات!$D$5:$D$504,MATCH(A2838,السندات!$A$5:$A$504,0)),""))</f>
        <v/>
      </c>
      <c r="J2838" s="76" t="str">
        <f aca="false">IF(A2838="","",IF(ISNA(MATCH(A2838,السندات!$A$5:$A$504,0)),"رقم سند غير موجود ✘",IF(AND(F2838&lt;&gt;"",G2838&lt;&gt;""),"اكتب مدين أو دائن فقط ✘",IF(AND(N(F2838)=0,N(G2838)=0),"بدون مبلغ ⚠",IF(B2838&gt;12,"يتجاوز 12 بنداً في الطباعة ⚠","")))))</f>
        <v/>
      </c>
    </row>
    <row r="2839" customFormat="false" ht="15" hidden="false" customHeight="false" outlineLevel="0" collapsed="false">
      <c r="A2839" s="58"/>
      <c r="B2839" s="68" t="str">
        <f aca="false">IF(A2839="","",COUNTIF(A$5:A2839,A2839))</f>
        <v/>
      </c>
      <c r="C2839" s="68" t="str">
        <f aca="false">IF(A2839="","",A2839&amp;"-"&amp;B2839)</f>
        <v/>
      </c>
      <c r="D2839" s="58"/>
      <c r="E2839" s="57"/>
      <c r="F2839" s="69"/>
      <c r="G2839" s="69"/>
      <c r="H2839" s="70" t="str">
        <f aca="false">IF(A2839="","",IFERROR(INDEX(السندات!$C$5:$C$504,MATCH(A2839,السندات!$A$5:$A$504,0)),""))</f>
        <v/>
      </c>
      <c r="I2839" s="71" t="str">
        <f aca="false">IF(A2839="","",IFERROR(INDEX(السندات!$D$5:$D$504,MATCH(A2839,السندات!$A$5:$A$504,0)),""))</f>
        <v/>
      </c>
      <c r="J2839" s="72" t="str">
        <f aca="false">IF(A2839="","",IF(ISNA(MATCH(A2839,السندات!$A$5:$A$504,0)),"رقم سند غير موجود ✘",IF(AND(F2839&lt;&gt;"",G2839&lt;&gt;""),"اكتب مدين أو دائن فقط ✘",IF(AND(N(F2839)=0,N(G2839)=0),"بدون مبلغ ⚠",IF(B2839&gt;12,"يتجاوز 12 بنداً في الطباعة ⚠","")))))</f>
        <v/>
      </c>
    </row>
    <row r="2840" customFormat="false" ht="15" hidden="false" customHeight="false" outlineLevel="0" collapsed="false">
      <c r="A2840" s="58"/>
      <c r="B2840" s="73" t="str">
        <f aca="false">IF(A2840="","",COUNTIF(A$5:A2840,A2840))</f>
        <v/>
      </c>
      <c r="C2840" s="73" t="str">
        <f aca="false">IF(A2840="","",A2840&amp;"-"&amp;B2840)</f>
        <v/>
      </c>
      <c r="D2840" s="58"/>
      <c r="E2840" s="57"/>
      <c r="F2840" s="69"/>
      <c r="G2840" s="69"/>
      <c r="H2840" s="74" t="str">
        <f aca="false">IF(A2840="","",IFERROR(INDEX(السندات!$C$5:$C$504,MATCH(A2840,السندات!$A$5:$A$504,0)),""))</f>
        <v/>
      </c>
      <c r="I2840" s="75" t="str">
        <f aca="false">IF(A2840="","",IFERROR(INDEX(السندات!$D$5:$D$504,MATCH(A2840,السندات!$A$5:$A$504,0)),""))</f>
        <v/>
      </c>
      <c r="J2840" s="76" t="str">
        <f aca="false">IF(A2840="","",IF(ISNA(MATCH(A2840,السندات!$A$5:$A$504,0)),"رقم سند غير موجود ✘",IF(AND(F2840&lt;&gt;"",G2840&lt;&gt;""),"اكتب مدين أو دائن فقط ✘",IF(AND(N(F2840)=0,N(G2840)=0),"بدون مبلغ ⚠",IF(B2840&gt;12,"يتجاوز 12 بنداً في الطباعة ⚠","")))))</f>
        <v/>
      </c>
    </row>
    <row r="2841" customFormat="false" ht="15" hidden="false" customHeight="false" outlineLevel="0" collapsed="false">
      <c r="A2841" s="58"/>
      <c r="B2841" s="68" t="str">
        <f aca="false">IF(A2841="","",COUNTIF(A$5:A2841,A2841))</f>
        <v/>
      </c>
      <c r="C2841" s="68" t="str">
        <f aca="false">IF(A2841="","",A2841&amp;"-"&amp;B2841)</f>
        <v/>
      </c>
      <c r="D2841" s="58"/>
      <c r="E2841" s="57"/>
      <c r="F2841" s="69"/>
      <c r="G2841" s="69"/>
      <c r="H2841" s="70" t="str">
        <f aca="false">IF(A2841="","",IFERROR(INDEX(السندات!$C$5:$C$504,MATCH(A2841,السندات!$A$5:$A$504,0)),""))</f>
        <v/>
      </c>
      <c r="I2841" s="71" t="str">
        <f aca="false">IF(A2841="","",IFERROR(INDEX(السندات!$D$5:$D$504,MATCH(A2841,السندات!$A$5:$A$504,0)),""))</f>
        <v/>
      </c>
      <c r="J2841" s="72" t="str">
        <f aca="false">IF(A2841="","",IF(ISNA(MATCH(A2841,السندات!$A$5:$A$504,0)),"رقم سند غير موجود ✘",IF(AND(F2841&lt;&gt;"",G2841&lt;&gt;""),"اكتب مدين أو دائن فقط ✘",IF(AND(N(F2841)=0,N(G2841)=0),"بدون مبلغ ⚠",IF(B2841&gt;12,"يتجاوز 12 بنداً في الطباعة ⚠","")))))</f>
        <v/>
      </c>
    </row>
    <row r="2842" customFormat="false" ht="15" hidden="false" customHeight="false" outlineLevel="0" collapsed="false">
      <c r="A2842" s="58"/>
      <c r="B2842" s="73" t="str">
        <f aca="false">IF(A2842="","",COUNTIF(A$5:A2842,A2842))</f>
        <v/>
      </c>
      <c r="C2842" s="73" t="str">
        <f aca="false">IF(A2842="","",A2842&amp;"-"&amp;B2842)</f>
        <v/>
      </c>
      <c r="D2842" s="58"/>
      <c r="E2842" s="57"/>
      <c r="F2842" s="69"/>
      <c r="G2842" s="69"/>
      <c r="H2842" s="74" t="str">
        <f aca="false">IF(A2842="","",IFERROR(INDEX(السندات!$C$5:$C$504,MATCH(A2842,السندات!$A$5:$A$504,0)),""))</f>
        <v/>
      </c>
      <c r="I2842" s="75" t="str">
        <f aca="false">IF(A2842="","",IFERROR(INDEX(السندات!$D$5:$D$504,MATCH(A2842,السندات!$A$5:$A$504,0)),""))</f>
        <v/>
      </c>
      <c r="J2842" s="76" t="str">
        <f aca="false">IF(A2842="","",IF(ISNA(MATCH(A2842,السندات!$A$5:$A$504,0)),"رقم سند غير موجود ✘",IF(AND(F2842&lt;&gt;"",G2842&lt;&gt;""),"اكتب مدين أو دائن فقط ✘",IF(AND(N(F2842)=0,N(G2842)=0),"بدون مبلغ ⚠",IF(B2842&gt;12,"يتجاوز 12 بنداً في الطباعة ⚠","")))))</f>
        <v/>
      </c>
    </row>
    <row r="2843" customFormat="false" ht="15" hidden="false" customHeight="false" outlineLevel="0" collapsed="false">
      <c r="A2843" s="58"/>
      <c r="B2843" s="68" t="str">
        <f aca="false">IF(A2843="","",COUNTIF(A$5:A2843,A2843))</f>
        <v/>
      </c>
      <c r="C2843" s="68" t="str">
        <f aca="false">IF(A2843="","",A2843&amp;"-"&amp;B2843)</f>
        <v/>
      </c>
      <c r="D2843" s="58"/>
      <c r="E2843" s="57"/>
      <c r="F2843" s="69"/>
      <c r="G2843" s="69"/>
      <c r="H2843" s="70" t="str">
        <f aca="false">IF(A2843="","",IFERROR(INDEX(السندات!$C$5:$C$504,MATCH(A2843,السندات!$A$5:$A$504,0)),""))</f>
        <v/>
      </c>
      <c r="I2843" s="71" t="str">
        <f aca="false">IF(A2843="","",IFERROR(INDEX(السندات!$D$5:$D$504,MATCH(A2843,السندات!$A$5:$A$504,0)),""))</f>
        <v/>
      </c>
      <c r="J2843" s="72" t="str">
        <f aca="false">IF(A2843="","",IF(ISNA(MATCH(A2843,السندات!$A$5:$A$504,0)),"رقم سند غير موجود ✘",IF(AND(F2843&lt;&gt;"",G2843&lt;&gt;""),"اكتب مدين أو دائن فقط ✘",IF(AND(N(F2843)=0,N(G2843)=0),"بدون مبلغ ⚠",IF(B2843&gt;12,"يتجاوز 12 بنداً في الطباعة ⚠","")))))</f>
        <v/>
      </c>
    </row>
    <row r="2844" customFormat="false" ht="15" hidden="false" customHeight="false" outlineLevel="0" collapsed="false">
      <c r="A2844" s="58"/>
      <c r="B2844" s="73" t="str">
        <f aca="false">IF(A2844="","",COUNTIF(A$5:A2844,A2844))</f>
        <v/>
      </c>
      <c r="C2844" s="73" t="str">
        <f aca="false">IF(A2844="","",A2844&amp;"-"&amp;B2844)</f>
        <v/>
      </c>
      <c r="D2844" s="58"/>
      <c r="E2844" s="57"/>
      <c r="F2844" s="69"/>
      <c r="G2844" s="69"/>
      <c r="H2844" s="74" t="str">
        <f aca="false">IF(A2844="","",IFERROR(INDEX(السندات!$C$5:$C$504,MATCH(A2844,السندات!$A$5:$A$504,0)),""))</f>
        <v/>
      </c>
      <c r="I2844" s="75" t="str">
        <f aca="false">IF(A2844="","",IFERROR(INDEX(السندات!$D$5:$D$504,MATCH(A2844,السندات!$A$5:$A$504,0)),""))</f>
        <v/>
      </c>
      <c r="J2844" s="76" t="str">
        <f aca="false">IF(A2844="","",IF(ISNA(MATCH(A2844,السندات!$A$5:$A$504,0)),"رقم سند غير موجود ✘",IF(AND(F2844&lt;&gt;"",G2844&lt;&gt;""),"اكتب مدين أو دائن فقط ✘",IF(AND(N(F2844)=0,N(G2844)=0),"بدون مبلغ ⚠",IF(B2844&gt;12,"يتجاوز 12 بنداً في الطباعة ⚠","")))))</f>
        <v/>
      </c>
    </row>
    <row r="2845" customFormat="false" ht="15" hidden="false" customHeight="false" outlineLevel="0" collapsed="false">
      <c r="A2845" s="58"/>
      <c r="B2845" s="68" t="str">
        <f aca="false">IF(A2845="","",COUNTIF(A$5:A2845,A2845))</f>
        <v/>
      </c>
      <c r="C2845" s="68" t="str">
        <f aca="false">IF(A2845="","",A2845&amp;"-"&amp;B2845)</f>
        <v/>
      </c>
      <c r="D2845" s="58"/>
      <c r="E2845" s="57"/>
      <c r="F2845" s="69"/>
      <c r="G2845" s="69"/>
      <c r="H2845" s="70" t="str">
        <f aca="false">IF(A2845="","",IFERROR(INDEX(السندات!$C$5:$C$504,MATCH(A2845,السندات!$A$5:$A$504,0)),""))</f>
        <v/>
      </c>
      <c r="I2845" s="71" t="str">
        <f aca="false">IF(A2845="","",IFERROR(INDEX(السندات!$D$5:$D$504,MATCH(A2845,السندات!$A$5:$A$504,0)),""))</f>
        <v/>
      </c>
      <c r="J2845" s="72" t="str">
        <f aca="false">IF(A2845="","",IF(ISNA(MATCH(A2845,السندات!$A$5:$A$504,0)),"رقم سند غير موجود ✘",IF(AND(F2845&lt;&gt;"",G2845&lt;&gt;""),"اكتب مدين أو دائن فقط ✘",IF(AND(N(F2845)=0,N(G2845)=0),"بدون مبلغ ⚠",IF(B2845&gt;12,"يتجاوز 12 بنداً في الطباعة ⚠","")))))</f>
        <v/>
      </c>
    </row>
    <row r="2846" customFormat="false" ht="15" hidden="false" customHeight="false" outlineLevel="0" collapsed="false">
      <c r="A2846" s="58"/>
      <c r="B2846" s="73" t="str">
        <f aca="false">IF(A2846="","",COUNTIF(A$5:A2846,A2846))</f>
        <v/>
      </c>
      <c r="C2846" s="73" t="str">
        <f aca="false">IF(A2846="","",A2846&amp;"-"&amp;B2846)</f>
        <v/>
      </c>
      <c r="D2846" s="58"/>
      <c r="E2846" s="57"/>
      <c r="F2846" s="69"/>
      <c r="G2846" s="69"/>
      <c r="H2846" s="74" t="str">
        <f aca="false">IF(A2846="","",IFERROR(INDEX(السندات!$C$5:$C$504,MATCH(A2846,السندات!$A$5:$A$504,0)),""))</f>
        <v/>
      </c>
      <c r="I2846" s="75" t="str">
        <f aca="false">IF(A2846="","",IFERROR(INDEX(السندات!$D$5:$D$504,MATCH(A2846,السندات!$A$5:$A$504,0)),""))</f>
        <v/>
      </c>
      <c r="J2846" s="76" t="str">
        <f aca="false">IF(A2846="","",IF(ISNA(MATCH(A2846,السندات!$A$5:$A$504,0)),"رقم سند غير موجود ✘",IF(AND(F2846&lt;&gt;"",G2846&lt;&gt;""),"اكتب مدين أو دائن فقط ✘",IF(AND(N(F2846)=0,N(G2846)=0),"بدون مبلغ ⚠",IF(B2846&gt;12,"يتجاوز 12 بنداً في الطباعة ⚠","")))))</f>
        <v/>
      </c>
    </row>
    <row r="2847" customFormat="false" ht="15" hidden="false" customHeight="false" outlineLevel="0" collapsed="false">
      <c r="A2847" s="58"/>
      <c r="B2847" s="68" t="str">
        <f aca="false">IF(A2847="","",COUNTIF(A$5:A2847,A2847))</f>
        <v/>
      </c>
      <c r="C2847" s="68" t="str">
        <f aca="false">IF(A2847="","",A2847&amp;"-"&amp;B2847)</f>
        <v/>
      </c>
      <c r="D2847" s="58"/>
      <c r="E2847" s="57"/>
      <c r="F2847" s="69"/>
      <c r="G2847" s="69"/>
      <c r="H2847" s="70" t="str">
        <f aca="false">IF(A2847="","",IFERROR(INDEX(السندات!$C$5:$C$504,MATCH(A2847,السندات!$A$5:$A$504,0)),""))</f>
        <v/>
      </c>
      <c r="I2847" s="71" t="str">
        <f aca="false">IF(A2847="","",IFERROR(INDEX(السندات!$D$5:$D$504,MATCH(A2847,السندات!$A$5:$A$504,0)),""))</f>
        <v/>
      </c>
      <c r="J2847" s="72" t="str">
        <f aca="false">IF(A2847="","",IF(ISNA(MATCH(A2847,السندات!$A$5:$A$504,0)),"رقم سند غير موجود ✘",IF(AND(F2847&lt;&gt;"",G2847&lt;&gt;""),"اكتب مدين أو دائن فقط ✘",IF(AND(N(F2847)=0,N(G2847)=0),"بدون مبلغ ⚠",IF(B2847&gt;12,"يتجاوز 12 بنداً في الطباعة ⚠","")))))</f>
        <v/>
      </c>
    </row>
    <row r="2848" customFormat="false" ht="15" hidden="false" customHeight="false" outlineLevel="0" collapsed="false">
      <c r="A2848" s="58"/>
      <c r="B2848" s="73" t="str">
        <f aca="false">IF(A2848="","",COUNTIF(A$5:A2848,A2848))</f>
        <v/>
      </c>
      <c r="C2848" s="73" t="str">
        <f aca="false">IF(A2848="","",A2848&amp;"-"&amp;B2848)</f>
        <v/>
      </c>
      <c r="D2848" s="58"/>
      <c r="E2848" s="57"/>
      <c r="F2848" s="69"/>
      <c r="G2848" s="69"/>
      <c r="H2848" s="74" t="str">
        <f aca="false">IF(A2848="","",IFERROR(INDEX(السندات!$C$5:$C$504,MATCH(A2848,السندات!$A$5:$A$504,0)),""))</f>
        <v/>
      </c>
      <c r="I2848" s="75" t="str">
        <f aca="false">IF(A2848="","",IFERROR(INDEX(السندات!$D$5:$D$504,MATCH(A2848,السندات!$A$5:$A$504,0)),""))</f>
        <v/>
      </c>
      <c r="J2848" s="76" t="str">
        <f aca="false">IF(A2848="","",IF(ISNA(MATCH(A2848,السندات!$A$5:$A$504,0)),"رقم سند غير موجود ✘",IF(AND(F2848&lt;&gt;"",G2848&lt;&gt;""),"اكتب مدين أو دائن فقط ✘",IF(AND(N(F2848)=0,N(G2848)=0),"بدون مبلغ ⚠",IF(B2848&gt;12,"يتجاوز 12 بنداً في الطباعة ⚠","")))))</f>
        <v/>
      </c>
    </row>
    <row r="2849" customFormat="false" ht="15" hidden="false" customHeight="false" outlineLevel="0" collapsed="false">
      <c r="A2849" s="58"/>
      <c r="B2849" s="68" t="str">
        <f aca="false">IF(A2849="","",COUNTIF(A$5:A2849,A2849))</f>
        <v/>
      </c>
      <c r="C2849" s="68" t="str">
        <f aca="false">IF(A2849="","",A2849&amp;"-"&amp;B2849)</f>
        <v/>
      </c>
      <c r="D2849" s="58"/>
      <c r="E2849" s="57"/>
      <c r="F2849" s="69"/>
      <c r="G2849" s="69"/>
      <c r="H2849" s="70" t="str">
        <f aca="false">IF(A2849="","",IFERROR(INDEX(السندات!$C$5:$C$504,MATCH(A2849,السندات!$A$5:$A$504,0)),""))</f>
        <v/>
      </c>
      <c r="I2849" s="71" t="str">
        <f aca="false">IF(A2849="","",IFERROR(INDEX(السندات!$D$5:$D$504,MATCH(A2849,السندات!$A$5:$A$504,0)),""))</f>
        <v/>
      </c>
      <c r="J2849" s="72" t="str">
        <f aca="false">IF(A2849="","",IF(ISNA(MATCH(A2849,السندات!$A$5:$A$504,0)),"رقم سند غير موجود ✘",IF(AND(F2849&lt;&gt;"",G2849&lt;&gt;""),"اكتب مدين أو دائن فقط ✘",IF(AND(N(F2849)=0,N(G2849)=0),"بدون مبلغ ⚠",IF(B2849&gt;12,"يتجاوز 12 بنداً في الطباعة ⚠","")))))</f>
        <v/>
      </c>
    </row>
    <row r="2850" customFormat="false" ht="15" hidden="false" customHeight="false" outlineLevel="0" collapsed="false">
      <c r="A2850" s="58"/>
      <c r="B2850" s="73" t="str">
        <f aca="false">IF(A2850="","",COUNTIF(A$5:A2850,A2850))</f>
        <v/>
      </c>
      <c r="C2850" s="73" t="str">
        <f aca="false">IF(A2850="","",A2850&amp;"-"&amp;B2850)</f>
        <v/>
      </c>
      <c r="D2850" s="58"/>
      <c r="E2850" s="57"/>
      <c r="F2850" s="69"/>
      <c r="G2850" s="69"/>
      <c r="H2850" s="74" t="str">
        <f aca="false">IF(A2850="","",IFERROR(INDEX(السندات!$C$5:$C$504,MATCH(A2850,السندات!$A$5:$A$504,0)),""))</f>
        <v/>
      </c>
      <c r="I2850" s="75" t="str">
        <f aca="false">IF(A2850="","",IFERROR(INDEX(السندات!$D$5:$D$504,MATCH(A2850,السندات!$A$5:$A$504,0)),""))</f>
        <v/>
      </c>
      <c r="J2850" s="76" t="str">
        <f aca="false">IF(A2850="","",IF(ISNA(MATCH(A2850,السندات!$A$5:$A$504,0)),"رقم سند غير موجود ✘",IF(AND(F2850&lt;&gt;"",G2850&lt;&gt;""),"اكتب مدين أو دائن فقط ✘",IF(AND(N(F2850)=0,N(G2850)=0),"بدون مبلغ ⚠",IF(B2850&gt;12,"يتجاوز 12 بنداً في الطباعة ⚠","")))))</f>
        <v/>
      </c>
    </row>
    <row r="2851" customFormat="false" ht="15" hidden="false" customHeight="false" outlineLevel="0" collapsed="false">
      <c r="A2851" s="58"/>
      <c r="B2851" s="68" t="str">
        <f aca="false">IF(A2851="","",COUNTIF(A$5:A2851,A2851))</f>
        <v/>
      </c>
      <c r="C2851" s="68" t="str">
        <f aca="false">IF(A2851="","",A2851&amp;"-"&amp;B2851)</f>
        <v/>
      </c>
      <c r="D2851" s="58"/>
      <c r="E2851" s="57"/>
      <c r="F2851" s="69"/>
      <c r="G2851" s="69"/>
      <c r="H2851" s="70" t="str">
        <f aca="false">IF(A2851="","",IFERROR(INDEX(السندات!$C$5:$C$504,MATCH(A2851,السندات!$A$5:$A$504,0)),""))</f>
        <v/>
      </c>
      <c r="I2851" s="71" t="str">
        <f aca="false">IF(A2851="","",IFERROR(INDEX(السندات!$D$5:$D$504,MATCH(A2851,السندات!$A$5:$A$504,0)),""))</f>
        <v/>
      </c>
      <c r="J2851" s="72" t="str">
        <f aca="false">IF(A2851="","",IF(ISNA(MATCH(A2851,السندات!$A$5:$A$504,0)),"رقم سند غير موجود ✘",IF(AND(F2851&lt;&gt;"",G2851&lt;&gt;""),"اكتب مدين أو دائن فقط ✘",IF(AND(N(F2851)=0,N(G2851)=0),"بدون مبلغ ⚠",IF(B2851&gt;12,"يتجاوز 12 بنداً في الطباعة ⚠","")))))</f>
        <v/>
      </c>
    </row>
    <row r="2852" customFormat="false" ht="15" hidden="false" customHeight="false" outlineLevel="0" collapsed="false">
      <c r="A2852" s="58"/>
      <c r="B2852" s="73" t="str">
        <f aca="false">IF(A2852="","",COUNTIF(A$5:A2852,A2852))</f>
        <v/>
      </c>
      <c r="C2852" s="73" t="str">
        <f aca="false">IF(A2852="","",A2852&amp;"-"&amp;B2852)</f>
        <v/>
      </c>
      <c r="D2852" s="58"/>
      <c r="E2852" s="57"/>
      <c r="F2852" s="69"/>
      <c r="G2852" s="69"/>
      <c r="H2852" s="74" t="str">
        <f aca="false">IF(A2852="","",IFERROR(INDEX(السندات!$C$5:$C$504,MATCH(A2852,السندات!$A$5:$A$504,0)),""))</f>
        <v/>
      </c>
      <c r="I2852" s="75" t="str">
        <f aca="false">IF(A2852="","",IFERROR(INDEX(السندات!$D$5:$D$504,MATCH(A2852,السندات!$A$5:$A$504,0)),""))</f>
        <v/>
      </c>
      <c r="J2852" s="76" t="str">
        <f aca="false">IF(A2852="","",IF(ISNA(MATCH(A2852,السندات!$A$5:$A$504,0)),"رقم سند غير موجود ✘",IF(AND(F2852&lt;&gt;"",G2852&lt;&gt;""),"اكتب مدين أو دائن فقط ✘",IF(AND(N(F2852)=0,N(G2852)=0),"بدون مبلغ ⚠",IF(B2852&gt;12,"يتجاوز 12 بنداً في الطباعة ⚠","")))))</f>
        <v/>
      </c>
    </row>
    <row r="2853" customFormat="false" ht="15" hidden="false" customHeight="false" outlineLevel="0" collapsed="false">
      <c r="A2853" s="58"/>
      <c r="B2853" s="68" t="str">
        <f aca="false">IF(A2853="","",COUNTIF(A$5:A2853,A2853))</f>
        <v/>
      </c>
      <c r="C2853" s="68" t="str">
        <f aca="false">IF(A2853="","",A2853&amp;"-"&amp;B2853)</f>
        <v/>
      </c>
      <c r="D2853" s="58"/>
      <c r="E2853" s="57"/>
      <c r="F2853" s="69"/>
      <c r="G2853" s="69"/>
      <c r="H2853" s="70" t="str">
        <f aca="false">IF(A2853="","",IFERROR(INDEX(السندات!$C$5:$C$504,MATCH(A2853,السندات!$A$5:$A$504,0)),""))</f>
        <v/>
      </c>
      <c r="I2853" s="71" t="str">
        <f aca="false">IF(A2853="","",IFERROR(INDEX(السندات!$D$5:$D$504,MATCH(A2853,السندات!$A$5:$A$504,0)),""))</f>
        <v/>
      </c>
      <c r="J2853" s="72" t="str">
        <f aca="false">IF(A2853="","",IF(ISNA(MATCH(A2853,السندات!$A$5:$A$504,0)),"رقم سند غير موجود ✘",IF(AND(F2853&lt;&gt;"",G2853&lt;&gt;""),"اكتب مدين أو دائن فقط ✘",IF(AND(N(F2853)=0,N(G2853)=0),"بدون مبلغ ⚠",IF(B2853&gt;12,"يتجاوز 12 بنداً في الطباعة ⚠","")))))</f>
        <v/>
      </c>
    </row>
    <row r="2854" customFormat="false" ht="15" hidden="false" customHeight="false" outlineLevel="0" collapsed="false">
      <c r="A2854" s="58"/>
      <c r="B2854" s="73" t="str">
        <f aca="false">IF(A2854="","",COUNTIF(A$5:A2854,A2854))</f>
        <v/>
      </c>
      <c r="C2854" s="73" t="str">
        <f aca="false">IF(A2854="","",A2854&amp;"-"&amp;B2854)</f>
        <v/>
      </c>
      <c r="D2854" s="58"/>
      <c r="E2854" s="57"/>
      <c r="F2854" s="69"/>
      <c r="G2854" s="69"/>
      <c r="H2854" s="74" t="str">
        <f aca="false">IF(A2854="","",IFERROR(INDEX(السندات!$C$5:$C$504,MATCH(A2854,السندات!$A$5:$A$504,0)),""))</f>
        <v/>
      </c>
      <c r="I2854" s="75" t="str">
        <f aca="false">IF(A2854="","",IFERROR(INDEX(السندات!$D$5:$D$504,MATCH(A2854,السندات!$A$5:$A$504,0)),""))</f>
        <v/>
      </c>
      <c r="J2854" s="76" t="str">
        <f aca="false">IF(A2854="","",IF(ISNA(MATCH(A2854,السندات!$A$5:$A$504,0)),"رقم سند غير موجود ✘",IF(AND(F2854&lt;&gt;"",G2854&lt;&gt;""),"اكتب مدين أو دائن فقط ✘",IF(AND(N(F2854)=0,N(G2854)=0),"بدون مبلغ ⚠",IF(B2854&gt;12,"يتجاوز 12 بنداً في الطباعة ⚠","")))))</f>
        <v/>
      </c>
    </row>
    <row r="2855" customFormat="false" ht="15" hidden="false" customHeight="false" outlineLevel="0" collapsed="false">
      <c r="A2855" s="58"/>
      <c r="B2855" s="68" t="str">
        <f aca="false">IF(A2855="","",COUNTIF(A$5:A2855,A2855))</f>
        <v/>
      </c>
      <c r="C2855" s="68" t="str">
        <f aca="false">IF(A2855="","",A2855&amp;"-"&amp;B2855)</f>
        <v/>
      </c>
      <c r="D2855" s="58"/>
      <c r="E2855" s="57"/>
      <c r="F2855" s="69"/>
      <c r="G2855" s="69"/>
      <c r="H2855" s="70" t="str">
        <f aca="false">IF(A2855="","",IFERROR(INDEX(السندات!$C$5:$C$504,MATCH(A2855,السندات!$A$5:$A$504,0)),""))</f>
        <v/>
      </c>
      <c r="I2855" s="71" t="str">
        <f aca="false">IF(A2855="","",IFERROR(INDEX(السندات!$D$5:$D$504,MATCH(A2855,السندات!$A$5:$A$504,0)),""))</f>
        <v/>
      </c>
      <c r="J2855" s="72" t="str">
        <f aca="false">IF(A2855="","",IF(ISNA(MATCH(A2855,السندات!$A$5:$A$504,0)),"رقم سند غير موجود ✘",IF(AND(F2855&lt;&gt;"",G2855&lt;&gt;""),"اكتب مدين أو دائن فقط ✘",IF(AND(N(F2855)=0,N(G2855)=0),"بدون مبلغ ⚠",IF(B2855&gt;12,"يتجاوز 12 بنداً في الطباعة ⚠","")))))</f>
        <v/>
      </c>
    </row>
    <row r="2856" customFormat="false" ht="15" hidden="false" customHeight="false" outlineLevel="0" collapsed="false">
      <c r="A2856" s="58"/>
      <c r="B2856" s="73" t="str">
        <f aca="false">IF(A2856="","",COUNTIF(A$5:A2856,A2856))</f>
        <v/>
      </c>
      <c r="C2856" s="73" t="str">
        <f aca="false">IF(A2856="","",A2856&amp;"-"&amp;B2856)</f>
        <v/>
      </c>
      <c r="D2856" s="58"/>
      <c r="E2856" s="57"/>
      <c r="F2856" s="69"/>
      <c r="G2856" s="69"/>
      <c r="H2856" s="74" t="str">
        <f aca="false">IF(A2856="","",IFERROR(INDEX(السندات!$C$5:$C$504,MATCH(A2856,السندات!$A$5:$A$504,0)),""))</f>
        <v/>
      </c>
      <c r="I2856" s="75" t="str">
        <f aca="false">IF(A2856="","",IFERROR(INDEX(السندات!$D$5:$D$504,MATCH(A2856,السندات!$A$5:$A$504,0)),""))</f>
        <v/>
      </c>
      <c r="J2856" s="76" t="str">
        <f aca="false">IF(A2856="","",IF(ISNA(MATCH(A2856,السندات!$A$5:$A$504,0)),"رقم سند غير موجود ✘",IF(AND(F2856&lt;&gt;"",G2856&lt;&gt;""),"اكتب مدين أو دائن فقط ✘",IF(AND(N(F2856)=0,N(G2856)=0),"بدون مبلغ ⚠",IF(B2856&gt;12,"يتجاوز 12 بنداً في الطباعة ⚠","")))))</f>
        <v/>
      </c>
    </row>
    <row r="2857" customFormat="false" ht="15" hidden="false" customHeight="false" outlineLevel="0" collapsed="false">
      <c r="A2857" s="58"/>
      <c r="B2857" s="68" t="str">
        <f aca="false">IF(A2857="","",COUNTIF(A$5:A2857,A2857))</f>
        <v/>
      </c>
      <c r="C2857" s="68" t="str">
        <f aca="false">IF(A2857="","",A2857&amp;"-"&amp;B2857)</f>
        <v/>
      </c>
      <c r="D2857" s="58"/>
      <c r="E2857" s="57"/>
      <c r="F2857" s="69"/>
      <c r="G2857" s="69"/>
      <c r="H2857" s="70" t="str">
        <f aca="false">IF(A2857="","",IFERROR(INDEX(السندات!$C$5:$C$504,MATCH(A2857,السندات!$A$5:$A$504,0)),""))</f>
        <v/>
      </c>
      <c r="I2857" s="71" t="str">
        <f aca="false">IF(A2857="","",IFERROR(INDEX(السندات!$D$5:$D$504,MATCH(A2857,السندات!$A$5:$A$504,0)),""))</f>
        <v/>
      </c>
      <c r="J2857" s="72" t="str">
        <f aca="false">IF(A2857="","",IF(ISNA(MATCH(A2857,السندات!$A$5:$A$504,0)),"رقم سند غير موجود ✘",IF(AND(F2857&lt;&gt;"",G2857&lt;&gt;""),"اكتب مدين أو دائن فقط ✘",IF(AND(N(F2857)=0,N(G2857)=0),"بدون مبلغ ⚠",IF(B2857&gt;12,"يتجاوز 12 بنداً في الطباعة ⚠","")))))</f>
        <v/>
      </c>
    </row>
    <row r="2858" customFormat="false" ht="15" hidden="false" customHeight="false" outlineLevel="0" collapsed="false">
      <c r="A2858" s="58"/>
      <c r="B2858" s="73" t="str">
        <f aca="false">IF(A2858="","",COUNTIF(A$5:A2858,A2858))</f>
        <v/>
      </c>
      <c r="C2858" s="73" t="str">
        <f aca="false">IF(A2858="","",A2858&amp;"-"&amp;B2858)</f>
        <v/>
      </c>
      <c r="D2858" s="58"/>
      <c r="E2858" s="57"/>
      <c r="F2858" s="69"/>
      <c r="G2858" s="69"/>
      <c r="H2858" s="74" t="str">
        <f aca="false">IF(A2858="","",IFERROR(INDEX(السندات!$C$5:$C$504,MATCH(A2858,السندات!$A$5:$A$504,0)),""))</f>
        <v/>
      </c>
      <c r="I2858" s="75" t="str">
        <f aca="false">IF(A2858="","",IFERROR(INDEX(السندات!$D$5:$D$504,MATCH(A2858,السندات!$A$5:$A$504,0)),""))</f>
        <v/>
      </c>
      <c r="J2858" s="76" t="str">
        <f aca="false">IF(A2858="","",IF(ISNA(MATCH(A2858,السندات!$A$5:$A$504,0)),"رقم سند غير موجود ✘",IF(AND(F2858&lt;&gt;"",G2858&lt;&gt;""),"اكتب مدين أو دائن فقط ✘",IF(AND(N(F2858)=0,N(G2858)=0),"بدون مبلغ ⚠",IF(B2858&gt;12,"يتجاوز 12 بنداً في الطباعة ⚠","")))))</f>
        <v/>
      </c>
    </row>
    <row r="2859" customFormat="false" ht="15" hidden="false" customHeight="false" outlineLevel="0" collapsed="false">
      <c r="A2859" s="58"/>
      <c r="B2859" s="68" t="str">
        <f aca="false">IF(A2859="","",COUNTIF(A$5:A2859,A2859))</f>
        <v/>
      </c>
      <c r="C2859" s="68" t="str">
        <f aca="false">IF(A2859="","",A2859&amp;"-"&amp;B2859)</f>
        <v/>
      </c>
      <c r="D2859" s="58"/>
      <c r="E2859" s="57"/>
      <c r="F2859" s="69"/>
      <c r="G2859" s="69"/>
      <c r="H2859" s="70" t="str">
        <f aca="false">IF(A2859="","",IFERROR(INDEX(السندات!$C$5:$C$504,MATCH(A2859,السندات!$A$5:$A$504,0)),""))</f>
        <v/>
      </c>
      <c r="I2859" s="71" t="str">
        <f aca="false">IF(A2859="","",IFERROR(INDEX(السندات!$D$5:$D$504,MATCH(A2859,السندات!$A$5:$A$504,0)),""))</f>
        <v/>
      </c>
      <c r="J2859" s="72" t="str">
        <f aca="false">IF(A2859="","",IF(ISNA(MATCH(A2859,السندات!$A$5:$A$504,0)),"رقم سند غير موجود ✘",IF(AND(F2859&lt;&gt;"",G2859&lt;&gt;""),"اكتب مدين أو دائن فقط ✘",IF(AND(N(F2859)=0,N(G2859)=0),"بدون مبلغ ⚠",IF(B2859&gt;12,"يتجاوز 12 بنداً في الطباعة ⚠","")))))</f>
        <v/>
      </c>
    </row>
    <row r="2860" customFormat="false" ht="15" hidden="false" customHeight="false" outlineLevel="0" collapsed="false">
      <c r="A2860" s="58"/>
      <c r="B2860" s="73" t="str">
        <f aca="false">IF(A2860="","",COUNTIF(A$5:A2860,A2860))</f>
        <v/>
      </c>
      <c r="C2860" s="73" t="str">
        <f aca="false">IF(A2860="","",A2860&amp;"-"&amp;B2860)</f>
        <v/>
      </c>
      <c r="D2860" s="58"/>
      <c r="E2860" s="57"/>
      <c r="F2860" s="69"/>
      <c r="G2860" s="69"/>
      <c r="H2860" s="74" t="str">
        <f aca="false">IF(A2860="","",IFERROR(INDEX(السندات!$C$5:$C$504,MATCH(A2860,السندات!$A$5:$A$504,0)),""))</f>
        <v/>
      </c>
      <c r="I2860" s="75" t="str">
        <f aca="false">IF(A2860="","",IFERROR(INDEX(السندات!$D$5:$D$504,MATCH(A2860,السندات!$A$5:$A$504,0)),""))</f>
        <v/>
      </c>
      <c r="J2860" s="76" t="str">
        <f aca="false">IF(A2860="","",IF(ISNA(MATCH(A2860,السندات!$A$5:$A$504,0)),"رقم سند غير موجود ✘",IF(AND(F2860&lt;&gt;"",G2860&lt;&gt;""),"اكتب مدين أو دائن فقط ✘",IF(AND(N(F2860)=0,N(G2860)=0),"بدون مبلغ ⚠",IF(B2860&gt;12,"يتجاوز 12 بنداً في الطباعة ⚠","")))))</f>
        <v/>
      </c>
    </row>
    <row r="2861" customFormat="false" ht="15" hidden="false" customHeight="false" outlineLevel="0" collapsed="false">
      <c r="A2861" s="58"/>
      <c r="B2861" s="68" t="str">
        <f aca="false">IF(A2861="","",COUNTIF(A$5:A2861,A2861))</f>
        <v/>
      </c>
      <c r="C2861" s="68" t="str">
        <f aca="false">IF(A2861="","",A2861&amp;"-"&amp;B2861)</f>
        <v/>
      </c>
      <c r="D2861" s="58"/>
      <c r="E2861" s="57"/>
      <c r="F2861" s="69"/>
      <c r="G2861" s="69"/>
      <c r="H2861" s="70" t="str">
        <f aca="false">IF(A2861="","",IFERROR(INDEX(السندات!$C$5:$C$504,MATCH(A2861,السندات!$A$5:$A$504,0)),""))</f>
        <v/>
      </c>
      <c r="I2861" s="71" t="str">
        <f aca="false">IF(A2861="","",IFERROR(INDEX(السندات!$D$5:$D$504,MATCH(A2861,السندات!$A$5:$A$504,0)),""))</f>
        <v/>
      </c>
      <c r="J2861" s="72" t="str">
        <f aca="false">IF(A2861="","",IF(ISNA(MATCH(A2861,السندات!$A$5:$A$504,0)),"رقم سند غير موجود ✘",IF(AND(F2861&lt;&gt;"",G2861&lt;&gt;""),"اكتب مدين أو دائن فقط ✘",IF(AND(N(F2861)=0,N(G2861)=0),"بدون مبلغ ⚠",IF(B2861&gt;12,"يتجاوز 12 بنداً في الطباعة ⚠","")))))</f>
        <v/>
      </c>
    </row>
    <row r="2862" customFormat="false" ht="15" hidden="false" customHeight="false" outlineLevel="0" collapsed="false">
      <c r="A2862" s="58"/>
      <c r="B2862" s="73" t="str">
        <f aca="false">IF(A2862="","",COUNTIF(A$5:A2862,A2862))</f>
        <v/>
      </c>
      <c r="C2862" s="73" t="str">
        <f aca="false">IF(A2862="","",A2862&amp;"-"&amp;B2862)</f>
        <v/>
      </c>
      <c r="D2862" s="58"/>
      <c r="E2862" s="57"/>
      <c r="F2862" s="69"/>
      <c r="G2862" s="69"/>
      <c r="H2862" s="74" t="str">
        <f aca="false">IF(A2862="","",IFERROR(INDEX(السندات!$C$5:$C$504,MATCH(A2862,السندات!$A$5:$A$504,0)),""))</f>
        <v/>
      </c>
      <c r="I2862" s="75" t="str">
        <f aca="false">IF(A2862="","",IFERROR(INDEX(السندات!$D$5:$D$504,MATCH(A2862,السندات!$A$5:$A$504,0)),""))</f>
        <v/>
      </c>
      <c r="J2862" s="76" t="str">
        <f aca="false">IF(A2862="","",IF(ISNA(MATCH(A2862,السندات!$A$5:$A$504,0)),"رقم سند غير موجود ✘",IF(AND(F2862&lt;&gt;"",G2862&lt;&gt;""),"اكتب مدين أو دائن فقط ✘",IF(AND(N(F2862)=0,N(G2862)=0),"بدون مبلغ ⚠",IF(B2862&gt;12,"يتجاوز 12 بنداً في الطباعة ⚠","")))))</f>
        <v/>
      </c>
    </row>
    <row r="2863" customFormat="false" ht="15" hidden="false" customHeight="false" outlineLevel="0" collapsed="false">
      <c r="A2863" s="58"/>
      <c r="B2863" s="68" t="str">
        <f aca="false">IF(A2863="","",COUNTIF(A$5:A2863,A2863))</f>
        <v/>
      </c>
      <c r="C2863" s="68" t="str">
        <f aca="false">IF(A2863="","",A2863&amp;"-"&amp;B2863)</f>
        <v/>
      </c>
      <c r="D2863" s="58"/>
      <c r="E2863" s="57"/>
      <c r="F2863" s="69"/>
      <c r="G2863" s="69"/>
      <c r="H2863" s="70" t="str">
        <f aca="false">IF(A2863="","",IFERROR(INDEX(السندات!$C$5:$C$504,MATCH(A2863,السندات!$A$5:$A$504,0)),""))</f>
        <v/>
      </c>
      <c r="I2863" s="71" t="str">
        <f aca="false">IF(A2863="","",IFERROR(INDEX(السندات!$D$5:$D$504,MATCH(A2863,السندات!$A$5:$A$504,0)),""))</f>
        <v/>
      </c>
      <c r="J2863" s="72" t="str">
        <f aca="false">IF(A2863="","",IF(ISNA(MATCH(A2863,السندات!$A$5:$A$504,0)),"رقم سند غير موجود ✘",IF(AND(F2863&lt;&gt;"",G2863&lt;&gt;""),"اكتب مدين أو دائن فقط ✘",IF(AND(N(F2863)=0,N(G2863)=0),"بدون مبلغ ⚠",IF(B2863&gt;12,"يتجاوز 12 بنداً في الطباعة ⚠","")))))</f>
        <v/>
      </c>
    </row>
    <row r="2864" customFormat="false" ht="15" hidden="false" customHeight="false" outlineLevel="0" collapsed="false">
      <c r="A2864" s="58"/>
      <c r="B2864" s="73" t="str">
        <f aca="false">IF(A2864="","",COUNTIF(A$5:A2864,A2864))</f>
        <v/>
      </c>
      <c r="C2864" s="73" t="str">
        <f aca="false">IF(A2864="","",A2864&amp;"-"&amp;B2864)</f>
        <v/>
      </c>
      <c r="D2864" s="58"/>
      <c r="E2864" s="57"/>
      <c r="F2864" s="69"/>
      <c r="G2864" s="69"/>
      <c r="H2864" s="74" t="str">
        <f aca="false">IF(A2864="","",IFERROR(INDEX(السندات!$C$5:$C$504,MATCH(A2864,السندات!$A$5:$A$504,0)),""))</f>
        <v/>
      </c>
      <c r="I2864" s="75" t="str">
        <f aca="false">IF(A2864="","",IFERROR(INDEX(السندات!$D$5:$D$504,MATCH(A2864,السندات!$A$5:$A$504,0)),""))</f>
        <v/>
      </c>
      <c r="J2864" s="76" t="str">
        <f aca="false">IF(A2864="","",IF(ISNA(MATCH(A2864,السندات!$A$5:$A$504,0)),"رقم سند غير موجود ✘",IF(AND(F2864&lt;&gt;"",G2864&lt;&gt;""),"اكتب مدين أو دائن فقط ✘",IF(AND(N(F2864)=0,N(G2864)=0),"بدون مبلغ ⚠",IF(B2864&gt;12,"يتجاوز 12 بنداً في الطباعة ⚠","")))))</f>
        <v/>
      </c>
    </row>
    <row r="2865" customFormat="false" ht="15" hidden="false" customHeight="false" outlineLevel="0" collapsed="false">
      <c r="A2865" s="58"/>
      <c r="B2865" s="68" t="str">
        <f aca="false">IF(A2865="","",COUNTIF(A$5:A2865,A2865))</f>
        <v/>
      </c>
      <c r="C2865" s="68" t="str">
        <f aca="false">IF(A2865="","",A2865&amp;"-"&amp;B2865)</f>
        <v/>
      </c>
      <c r="D2865" s="58"/>
      <c r="E2865" s="57"/>
      <c r="F2865" s="69"/>
      <c r="G2865" s="69"/>
      <c r="H2865" s="70" t="str">
        <f aca="false">IF(A2865="","",IFERROR(INDEX(السندات!$C$5:$C$504,MATCH(A2865,السندات!$A$5:$A$504,0)),""))</f>
        <v/>
      </c>
      <c r="I2865" s="71" t="str">
        <f aca="false">IF(A2865="","",IFERROR(INDEX(السندات!$D$5:$D$504,MATCH(A2865,السندات!$A$5:$A$504,0)),""))</f>
        <v/>
      </c>
      <c r="J2865" s="72" t="str">
        <f aca="false">IF(A2865="","",IF(ISNA(MATCH(A2865,السندات!$A$5:$A$504,0)),"رقم سند غير موجود ✘",IF(AND(F2865&lt;&gt;"",G2865&lt;&gt;""),"اكتب مدين أو دائن فقط ✘",IF(AND(N(F2865)=0,N(G2865)=0),"بدون مبلغ ⚠",IF(B2865&gt;12,"يتجاوز 12 بنداً في الطباعة ⚠","")))))</f>
        <v/>
      </c>
    </row>
    <row r="2866" customFormat="false" ht="15" hidden="false" customHeight="false" outlineLevel="0" collapsed="false">
      <c r="A2866" s="58"/>
      <c r="B2866" s="73" t="str">
        <f aca="false">IF(A2866="","",COUNTIF(A$5:A2866,A2866))</f>
        <v/>
      </c>
      <c r="C2866" s="73" t="str">
        <f aca="false">IF(A2866="","",A2866&amp;"-"&amp;B2866)</f>
        <v/>
      </c>
      <c r="D2866" s="58"/>
      <c r="E2866" s="57"/>
      <c r="F2866" s="69"/>
      <c r="G2866" s="69"/>
      <c r="H2866" s="74" t="str">
        <f aca="false">IF(A2866="","",IFERROR(INDEX(السندات!$C$5:$C$504,MATCH(A2866,السندات!$A$5:$A$504,0)),""))</f>
        <v/>
      </c>
      <c r="I2866" s="75" t="str">
        <f aca="false">IF(A2866="","",IFERROR(INDEX(السندات!$D$5:$D$504,MATCH(A2866,السندات!$A$5:$A$504,0)),""))</f>
        <v/>
      </c>
      <c r="J2866" s="76" t="str">
        <f aca="false">IF(A2866="","",IF(ISNA(MATCH(A2866,السندات!$A$5:$A$504,0)),"رقم سند غير موجود ✘",IF(AND(F2866&lt;&gt;"",G2866&lt;&gt;""),"اكتب مدين أو دائن فقط ✘",IF(AND(N(F2866)=0,N(G2866)=0),"بدون مبلغ ⚠",IF(B2866&gt;12,"يتجاوز 12 بنداً في الطباعة ⚠","")))))</f>
        <v/>
      </c>
    </row>
    <row r="2867" customFormat="false" ht="15" hidden="false" customHeight="false" outlineLevel="0" collapsed="false">
      <c r="A2867" s="58"/>
      <c r="B2867" s="68" t="str">
        <f aca="false">IF(A2867="","",COUNTIF(A$5:A2867,A2867))</f>
        <v/>
      </c>
      <c r="C2867" s="68" t="str">
        <f aca="false">IF(A2867="","",A2867&amp;"-"&amp;B2867)</f>
        <v/>
      </c>
      <c r="D2867" s="58"/>
      <c r="E2867" s="57"/>
      <c r="F2867" s="69"/>
      <c r="G2867" s="69"/>
      <c r="H2867" s="70" t="str">
        <f aca="false">IF(A2867="","",IFERROR(INDEX(السندات!$C$5:$C$504,MATCH(A2867,السندات!$A$5:$A$504,0)),""))</f>
        <v/>
      </c>
      <c r="I2867" s="71" t="str">
        <f aca="false">IF(A2867="","",IFERROR(INDEX(السندات!$D$5:$D$504,MATCH(A2867,السندات!$A$5:$A$504,0)),""))</f>
        <v/>
      </c>
      <c r="J2867" s="72" t="str">
        <f aca="false">IF(A2867="","",IF(ISNA(MATCH(A2867,السندات!$A$5:$A$504,0)),"رقم سند غير موجود ✘",IF(AND(F2867&lt;&gt;"",G2867&lt;&gt;""),"اكتب مدين أو دائن فقط ✘",IF(AND(N(F2867)=0,N(G2867)=0),"بدون مبلغ ⚠",IF(B2867&gt;12,"يتجاوز 12 بنداً في الطباعة ⚠","")))))</f>
        <v/>
      </c>
    </row>
    <row r="2868" customFormat="false" ht="15" hidden="false" customHeight="false" outlineLevel="0" collapsed="false">
      <c r="A2868" s="58"/>
      <c r="B2868" s="73" t="str">
        <f aca="false">IF(A2868="","",COUNTIF(A$5:A2868,A2868))</f>
        <v/>
      </c>
      <c r="C2868" s="73" t="str">
        <f aca="false">IF(A2868="","",A2868&amp;"-"&amp;B2868)</f>
        <v/>
      </c>
      <c r="D2868" s="58"/>
      <c r="E2868" s="57"/>
      <c r="F2868" s="69"/>
      <c r="G2868" s="69"/>
      <c r="H2868" s="74" t="str">
        <f aca="false">IF(A2868="","",IFERROR(INDEX(السندات!$C$5:$C$504,MATCH(A2868,السندات!$A$5:$A$504,0)),""))</f>
        <v/>
      </c>
      <c r="I2868" s="75" t="str">
        <f aca="false">IF(A2868="","",IFERROR(INDEX(السندات!$D$5:$D$504,MATCH(A2868,السندات!$A$5:$A$504,0)),""))</f>
        <v/>
      </c>
      <c r="J2868" s="76" t="str">
        <f aca="false">IF(A2868="","",IF(ISNA(MATCH(A2868,السندات!$A$5:$A$504,0)),"رقم سند غير موجود ✘",IF(AND(F2868&lt;&gt;"",G2868&lt;&gt;""),"اكتب مدين أو دائن فقط ✘",IF(AND(N(F2868)=0,N(G2868)=0),"بدون مبلغ ⚠",IF(B2868&gt;12,"يتجاوز 12 بنداً في الطباعة ⚠","")))))</f>
        <v/>
      </c>
    </row>
    <row r="2869" customFormat="false" ht="15" hidden="false" customHeight="false" outlineLevel="0" collapsed="false">
      <c r="A2869" s="58"/>
      <c r="B2869" s="68" t="str">
        <f aca="false">IF(A2869="","",COUNTIF(A$5:A2869,A2869))</f>
        <v/>
      </c>
      <c r="C2869" s="68" t="str">
        <f aca="false">IF(A2869="","",A2869&amp;"-"&amp;B2869)</f>
        <v/>
      </c>
      <c r="D2869" s="58"/>
      <c r="E2869" s="57"/>
      <c r="F2869" s="69"/>
      <c r="G2869" s="69"/>
      <c r="H2869" s="70" t="str">
        <f aca="false">IF(A2869="","",IFERROR(INDEX(السندات!$C$5:$C$504,MATCH(A2869,السندات!$A$5:$A$504,0)),""))</f>
        <v/>
      </c>
      <c r="I2869" s="71" t="str">
        <f aca="false">IF(A2869="","",IFERROR(INDEX(السندات!$D$5:$D$504,MATCH(A2869,السندات!$A$5:$A$504,0)),""))</f>
        <v/>
      </c>
      <c r="J2869" s="72" t="str">
        <f aca="false">IF(A2869="","",IF(ISNA(MATCH(A2869,السندات!$A$5:$A$504,0)),"رقم سند غير موجود ✘",IF(AND(F2869&lt;&gt;"",G2869&lt;&gt;""),"اكتب مدين أو دائن فقط ✘",IF(AND(N(F2869)=0,N(G2869)=0),"بدون مبلغ ⚠",IF(B2869&gt;12,"يتجاوز 12 بنداً في الطباعة ⚠","")))))</f>
        <v/>
      </c>
    </row>
    <row r="2870" customFormat="false" ht="15" hidden="false" customHeight="false" outlineLevel="0" collapsed="false">
      <c r="A2870" s="58"/>
      <c r="B2870" s="73" t="str">
        <f aca="false">IF(A2870="","",COUNTIF(A$5:A2870,A2870))</f>
        <v/>
      </c>
      <c r="C2870" s="73" t="str">
        <f aca="false">IF(A2870="","",A2870&amp;"-"&amp;B2870)</f>
        <v/>
      </c>
      <c r="D2870" s="58"/>
      <c r="E2870" s="57"/>
      <c r="F2870" s="69"/>
      <c r="G2870" s="69"/>
      <c r="H2870" s="74" t="str">
        <f aca="false">IF(A2870="","",IFERROR(INDEX(السندات!$C$5:$C$504,MATCH(A2870,السندات!$A$5:$A$504,0)),""))</f>
        <v/>
      </c>
      <c r="I2870" s="75" t="str">
        <f aca="false">IF(A2870="","",IFERROR(INDEX(السندات!$D$5:$D$504,MATCH(A2870,السندات!$A$5:$A$504,0)),""))</f>
        <v/>
      </c>
      <c r="J2870" s="76" t="str">
        <f aca="false">IF(A2870="","",IF(ISNA(MATCH(A2870,السندات!$A$5:$A$504,0)),"رقم سند غير موجود ✘",IF(AND(F2870&lt;&gt;"",G2870&lt;&gt;""),"اكتب مدين أو دائن فقط ✘",IF(AND(N(F2870)=0,N(G2870)=0),"بدون مبلغ ⚠",IF(B2870&gt;12,"يتجاوز 12 بنداً في الطباعة ⚠","")))))</f>
        <v/>
      </c>
    </row>
    <row r="2871" customFormat="false" ht="15" hidden="false" customHeight="false" outlineLevel="0" collapsed="false">
      <c r="A2871" s="58"/>
      <c r="B2871" s="68" t="str">
        <f aca="false">IF(A2871="","",COUNTIF(A$5:A2871,A2871))</f>
        <v/>
      </c>
      <c r="C2871" s="68" t="str">
        <f aca="false">IF(A2871="","",A2871&amp;"-"&amp;B2871)</f>
        <v/>
      </c>
      <c r="D2871" s="58"/>
      <c r="E2871" s="57"/>
      <c r="F2871" s="69"/>
      <c r="G2871" s="69"/>
      <c r="H2871" s="70" t="str">
        <f aca="false">IF(A2871="","",IFERROR(INDEX(السندات!$C$5:$C$504,MATCH(A2871,السندات!$A$5:$A$504,0)),""))</f>
        <v/>
      </c>
      <c r="I2871" s="71" t="str">
        <f aca="false">IF(A2871="","",IFERROR(INDEX(السندات!$D$5:$D$504,MATCH(A2871,السندات!$A$5:$A$504,0)),""))</f>
        <v/>
      </c>
      <c r="J2871" s="72" t="str">
        <f aca="false">IF(A2871="","",IF(ISNA(MATCH(A2871,السندات!$A$5:$A$504,0)),"رقم سند غير موجود ✘",IF(AND(F2871&lt;&gt;"",G2871&lt;&gt;""),"اكتب مدين أو دائن فقط ✘",IF(AND(N(F2871)=0,N(G2871)=0),"بدون مبلغ ⚠",IF(B2871&gt;12,"يتجاوز 12 بنداً في الطباعة ⚠","")))))</f>
        <v/>
      </c>
    </row>
    <row r="2872" customFormat="false" ht="15" hidden="false" customHeight="false" outlineLevel="0" collapsed="false">
      <c r="A2872" s="58"/>
      <c r="B2872" s="73" t="str">
        <f aca="false">IF(A2872="","",COUNTIF(A$5:A2872,A2872))</f>
        <v/>
      </c>
      <c r="C2872" s="73" t="str">
        <f aca="false">IF(A2872="","",A2872&amp;"-"&amp;B2872)</f>
        <v/>
      </c>
      <c r="D2872" s="58"/>
      <c r="E2872" s="57"/>
      <c r="F2872" s="69"/>
      <c r="G2872" s="69"/>
      <c r="H2872" s="74" t="str">
        <f aca="false">IF(A2872="","",IFERROR(INDEX(السندات!$C$5:$C$504,MATCH(A2872,السندات!$A$5:$A$504,0)),""))</f>
        <v/>
      </c>
      <c r="I2872" s="75" t="str">
        <f aca="false">IF(A2872="","",IFERROR(INDEX(السندات!$D$5:$D$504,MATCH(A2872,السندات!$A$5:$A$504,0)),""))</f>
        <v/>
      </c>
      <c r="J2872" s="76" t="str">
        <f aca="false">IF(A2872="","",IF(ISNA(MATCH(A2872,السندات!$A$5:$A$504,0)),"رقم سند غير موجود ✘",IF(AND(F2872&lt;&gt;"",G2872&lt;&gt;""),"اكتب مدين أو دائن فقط ✘",IF(AND(N(F2872)=0,N(G2872)=0),"بدون مبلغ ⚠",IF(B2872&gt;12,"يتجاوز 12 بنداً في الطباعة ⚠","")))))</f>
        <v/>
      </c>
    </row>
    <row r="2873" customFormat="false" ht="15" hidden="false" customHeight="false" outlineLevel="0" collapsed="false">
      <c r="A2873" s="58"/>
      <c r="B2873" s="68" t="str">
        <f aca="false">IF(A2873="","",COUNTIF(A$5:A2873,A2873))</f>
        <v/>
      </c>
      <c r="C2873" s="68" t="str">
        <f aca="false">IF(A2873="","",A2873&amp;"-"&amp;B2873)</f>
        <v/>
      </c>
      <c r="D2873" s="58"/>
      <c r="E2873" s="57"/>
      <c r="F2873" s="69"/>
      <c r="G2873" s="69"/>
      <c r="H2873" s="70" t="str">
        <f aca="false">IF(A2873="","",IFERROR(INDEX(السندات!$C$5:$C$504,MATCH(A2873,السندات!$A$5:$A$504,0)),""))</f>
        <v/>
      </c>
      <c r="I2873" s="71" t="str">
        <f aca="false">IF(A2873="","",IFERROR(INDEX(السندات!$D$5:$D$504,MATCH(A2873,السندات!$A$5:$A$504,0)),""))</f>
        <v/>
      </c>
      <c r="J2873" s="72" t="str">
        <f aca="false">IF(A2873="","",IF(ISNA(MATCH(A2873,السندات!$A$5:$A$504,0)),"رقم سند غير موجود ✘",IF(AND(F2873&lt;&gt;"",G2873&lt;&gt;""),"اكتب مدين أو دائن فقط ✘",IF(AND(N(F2873)=0,N(G2873)=0),"بدون مبلغ ⚠",IF(B2873&gt;12,"يتجاوز 12 بنداً في الطباعة ⚠","")))))</f>
        <v/>
      </c>
    </row>
    <row r="2874" customFormat="false" ht="15" hidden="false" customHeight="false" outlineLevel="0" collapsed="false">
      <c r="A2874" s="58"/>
      <c r="B2874" s="73" t="str">
        <f aca="false">IF(A2874="","",COUNTIF(A$5:A2874,A2874))</f>
        <v/>
      </c>
      <c r="C2874" s="73" t="str">
        <f aca="false">IF(A2874="","",A2874&amp;"-"&amp;B2874)</f>
        <v/>
      </c>
      <c r="D2874" s="58"/>
      <c r="E2874" s="57"/>
      <c r="F2874" s="69"/>
      <c r="G2874" s="69"/>
      <c r="H2874" s="74" t="str">
        <f aca="false">IF(A2874="","",IFERROR(INDEX(السندات!$C$5:$C$504,MATCH(A2874,السندات!$A$5:$A$504,0)),""))</f>
        <v/>
      </c>
      <c r="I2874" s="75" t="str">
        <f aca="false">IF(A2874="","",IFERROR(INDEX(السندات!$D$5:$D$504,MATCH(A2874,السندات!$A$5:$A$504,0)),""))</f>
        <v/>
      </c>
      <c r="J2874" s="76" t="str">
        <f aca="false">IF(A2874="","",IF(ISNA(MATCH(A2874,السندات!$A$5:$A$504,0)),"رقم سند غير موجود ✘",IF(AND(F2874&lt;&gt;"",G2874&lt;&gt;""),"اكتب مدين أو دائن فقط ✘",IF(AND(N(F2874)=0,N(G2874)=0),"بدون مبلغ ⚠",IF(B2874&gt;12,"يتجاوز 12 بنداً في الطباعة ⚠","")))))</f>
        <v/>
      </c>
    </row>
    <row r="2875" customFormat="false" ht="15" hidden="false" customHeight="false" outlineLevel="0" collapsed="false">
      <c r="A2875" s="58"/>
      <c r="B2875" s="68" t="str">
        <f aca="false">IF(A2875="","",COUNTIF(A$5:A2875,A2875))</f>
        <v/>
      </c>
      <c r="C2875" s="68" t="str">
        <f aca="false">IF(A2875="","",A2875&amp;"-"&amp;B2875)</f>
        <v/>
      </c>
      <c r="D2875" s="58"/>
      <c r="E2875" s="57"/>
      <c r="F2875" s="69"/>
      <c r="G2875" s="69"/>
      <c r="H2875" s="70" t="str">
        <f aca="false">IF(A2875="","",IFERROR(INDEX(السندات!$C$5:$C$504,MATCH(A2875,السندات!$A$5:$A$504,0)),""))</f>
        <v/>
      </c>
      <c r="I2875" s="71" t="str">
        <f aca="false">IF(A2875="","",IFERROR(INDEX(السندات!$D$5:$D$504,MATCH(A2875,السندات!$A$5:$A$504,0)),""))</f>
        <v/>
      </c>
      <c r="J2875" s="72" t="str">
        <f aca="false">IF(A2875="","",IF(ISNA(MATCH(A2875,السندات!$A$5:$A$504,0)),"رقم سند غير موجود ✘",IF(AND(F2875&lt;&gt;"",G2875&lt;&gt;""),"اكتب مدين أو دائن فقط ✘",IF(AND(N(F2875)=0,N(G2875)=0),"بدون مبلغ ⚠",IF(B2875&gt;12,"يتجاوز 12 بنداً في الطباعة ⚠","")))))</f>
        <v/>
      </c>
    </row>
    <row r="2876" customFormat="false" ht="15" hidden="false" customHeight="false" outlineLevel="0" collapsed="false">
      <c r="A2876" s="58"/>
      <c r="B2876" s="73" t="str">
        <f aca="false">IF(A2876="","",COUNTIF(A$5:A2876,A2876))</f>
        <v/>
      </c>
      <c r="C2876" s="73" t="str">
        <f aca="false">IF(A2876="","",A2876&amp;"-"&amp;B2876)</f>
        <v/>
      </c>
      <c r="D2876" s="58"/>
      <c r="E2876" s="57"/>
      <c r="F2876" s="69"/>
      <c r="G2876" s="69"/>
      <c r="H2876" s="74" t="str">
        <f aca="false">IF(A2876="","",IFERROR(INDEX(السندات!$C$5:$C$504,MATCH(A2876,السندات!$A$5:$A$504,0)),""))</f>
        <v/>
      </c>
      <c r="I2876" s="75" t="str">
        <f aca="false">IF(A2876="","",IFERROR(INDEX(السندات!$D$5:$D$504,MATCH(A2876,السندات!$A$5:$A$504,0)),""))</f>
        <v/>
      </c>
      <c r="J2876" s="76" t="str">
        <f aca="false">IF(A2876="","",IF(ISNA(MATCH(A2876,السندات!$A$5:$A$504,0)),"رقم سند غير موجود ✘",IF(AND(F2876&lt;&gt;"",G2876&lt;&gt;""),"اكتب مدين أو دائن فقط ✘",IF(AND(N(F2876)=0,N(G2876)=0),"بدون مبلغ ⚠",IF(B2876&gt;12,"يتجاوز 12 بنداً في الطباعة ⚠","")))))</f>
        <v/>
      </c>
    </row>
    <row r="2877" customFormat="false" ht="15" hidden="false" customHeight="false" outlineLevel="0" collapsed="false">
      <c r="A2877" s="58"/>
      <c r="B2877" s="68" t="str">
        <f aca="false">IF(A2877="","",COUNTIF(A$5:A2877,A2877))</f>
        <v/>
      </c>
      <c r="C2877" s="68" t="str">
        <f aca="false">IF(A2877="","",A2877&amp;"-"&amp;B2877)</f>
        <v/>
      </c>
      <c r="D2877" s="58"/>
      <c r="E2877" s="57"/>
      <c r="F2877" s="69"/>
      <c r="G2877" s="69"/>
      <c r="H2877" s="70" t="str">
        <f aca="false">IF(A2877="","",IFERROR(INDEX(السندات!$C$5:$C$504,MATCH(A2877,السندات!$A$5:$A$504,0)),""))</f>
        <v/>
      </c>
      <c r="I2877" s="71" t="str">
        <f aca="false">IF(A2877="","",IFERROR(INDEX(السندات!$D$5:$D$504,MATCH(A2877,السندات!$A$5:$A$504,0)),""))</f>
        <v/>
      </c>
      <c r="J2877" s="72" t="str">
        <f aca="false">IF(A2877="","",IF(ISNA(MATCH(A2877,السندات!$A$5:$A$504,0)),"رقم سند غير موجود ✘",IF(AND(F2877&lt;&gt;"",G2877&lt;&gt;""),"اكتب مدين أو دائن فقط ✘",IF(AND(N(F2877)=0,N(G2877)=0),"بدون مبلغ ⚠",IF(B2877&gt;12,"يتجاوز 12 بنداً في الطباعة ⚠","")))))</f>
        <v/>
      </c>
    </row>
    <row r="2878" customFormat="false" ht="15" hidden="false" customHeight="false" outlineLevel="0" collapsed="false">
      <c r="A2878" s="58"/>
      <c r="B2878" s="73" t="str">
        <f aca="false">IF(A2878="","",COUNTIF(A$5:A2878,A2878))</f>
        <v/>
      </c>
      <c r="C2878" s="73" t="str">
        <f aca="false">IF(A2878="","",A2878&amp;"-"&amp;B2878)</f>
        <v/>
      </c>
      <c r="D2878" s="58"/>
      <c r="E2878" s="57"/>
      <c r="F2878" s="69"/>
      <c r="G2878" s="69"/>
      <c r="H2878" s="74" t="str">
        <f aca="false">IF(A2878="","",IFERROR(INDEX(السندات!$C$5:$C$504,MATCH(A2878,السندات!$A$5:$A$504,0)),""))</f>
        <v/>
      </c>
      <c r="I2878" s="75" t="str">
        <f aca="false">IF(A2878="","",IFERROR(INDEX(السندات!$D$5:$D$504,MATCH(A2878,السندات!$A$5:$A$504,0)),""))</f>
        <v/>
      </c>
      <c r="J2878" s="76" t="str">
        <f aca="false">IF(A2878="","",IF(ISNA(MATCH(A2878,السندات!$A$5:$A$504,0)),"رقم سند غير موجود ✘",IF(AND(F2878&lt;&gt;"",G2878&lt;&gt;""),"اكتب مدين أو دائن فقط ✘",IF(AND(N(F2878)=0,N(G2878)=0),"بدون مبلغ ⚠",IF(B2878&gt;12,"يتجاوز 12 بنداً في الطباعة ⚠","")))))</f>
        <v/>
      </c>
    </row>
    <row r="2879" customFormat="false" ht="15" hidden="false" customHeight="false" outlineLevel="0" collapsed="false">
      <c r="A2879" s="58"/>
      <c r="B2879" s="68" t="str">
        <f aca="false">IF(A2879="","",COUNTIF(A$5:A2879,A2879))</f>
        <v/>
      </c>
      <c r="C2879" s="68" t="str">
        <f aca="false">IF(A2879="","",A2879&amp;"-"&amp;B2879)</f>
        <v/>
      </c>
      <c r="D2879" s="58"/>
      <c r="E2879" s="57"/>
      <c r="F2879" s="69"/>
      <c r="G2879" s="69"/>
      <c r="H2879" s="70" t="str">
        <f aca="false">IF(A2879="","",IFERROR(INDEX(السندات!$C$5:$C$504,MATCH(A2879,السندات!$A$5:$A$504,0)),""))</f>
        <v/>
      </c>
      <c r="I2879" s="71" t="str">
        <f aca="false">IF(A2879="","",IFERROR(INDEX(السندات!$D$5:$D$504,MATCH(A2879,السندات!$A$5:$A$504,0)),""))</f>
        <v/>
      </c>
      <c r="J2879" s="72" t="str">
        <f aca="false">IF(A2879="","",IF(ISNA(MATCH(A2879,السندات!$A$5:$A$504,0)),"رقم سند غير موجود ✘",IF(AND(F2879&lt;&gt;"",G2879&lt;&gt;""),"اكتب مدين أو دائن فقط ✘",IF(AND(N(F2879)=0,N(G2879)=0),"بدون مبلغ ⚠",IF(B2879&gt;12,"يتجاوز 12 بنداً في الطباعة ⚠","")))))</f>
        <v/>
      </c>
    </row>
    <row r="2880" customFormat="false" ht="15" hidden="false" customHeight="false" outlineLevel="0" collapsed="false">
      <c r="A2880" s="58"/>
      <c r="B2880" s="73" t="str">
        <f aca="false">IF(A2880="","",COUNTIF(A$5:A2880,A2880))</f>
        <v/>
      </c>
      <c r="C2880" s="73" t="str">
        <f aca="false">IF(A2880="","",A2880&amp;"-"&amp;B2880)</f>
        <v/>
      </c>
      <c r="D2880" s="58"/>
      <c r="E2880" s="57"/>
      <c r="F2880" s="69"/>
      <c r="G2880" s="69"/>
      <c r="H2880" s="74" t="str">
        <f aca="false">IF(A2880="","",IFERROR(INDEX(السندات!$C$5:$C$504,MATCH(A2880,السندات!$A$5:$A$504,0)),""))</f>
        <v/>
      </c>
      <c r="I2880" s="75" t="str">
        <f aca="false">IF(A2880="","",IFERROR(INDEX(السندات!$D$5:$D$504,MATCH(A2880,السندات!$A$5:$A$504,0)),""))</f>
        <v/>
      </c>
      <c r="J2880" s="76" t="str">
        <f aca="false">IF(A2880="","",IF(ISNA(MATCH(A2880,السندات!$A$5:$A$504,0)),"رقم سند غير موجود ✘",IF(AND(F2880&lt;&gt;"",G2880&lt;&gt;""),"اكتب مدين أو دائن فقط ✘",IF(AND(N(F2880)=0,N(G2880)=0),"بدون مبلغ ⚠",IF(B2880&gt;12,"يتجاوز 12 بنداً في الطباعة ⚠","")))))</f>
        <v/>
      </c>
    </row>
    <row r="2881" customFormat="false" ht="15" hidden="false" customHeight="false" outlineLevel="0" collapsed="false">
      <c r="A2881" s="58"/>
      <c r="B2881" s="68" t="str">
        <f aca="false">IF(A2881="","",COUNTIF(A$5:A2881,A2881))</f>
        <v/>
      </c>
      <c r="C2881" s="68" t="str">
        <f aca="false">IF(A2881="","",A2881&amp;"-"&amp;B2881)</f>
        <v/>
      </c>
      <c r="D2881" s="58"/>
      <c r="E2881" s="57"/>
      <c r="F2881" s="69"/>
      <c r="G2881" s="69"/>
      <c r="H2881" s="70" t="str">
        <f aca="false">IF(A2881="","",IFERROR(INDEX(السندات!$C$5:$C$504,MATCH(A2881,السندات!$A$5:$A$504,0)),""))</f>
        <v/>
      </c>
      <c r="I2881" s="71" t="str">
        <f aca="false">IF(A2881="","",IFERROR(INDEX(السندات!$D$5:$D$504,MATCH(A2881,السندات!$A$5:$A$504,0)),""))</f>
        <v/>
      </c>
      <c r="J2881" s="72" t="str">
        <f aca="false">IF(A2881="","",IF(ISNA(MATCH(A2881,السندات!$A$5:$A$504,0)),"رقم سند غير موجود ✘",IF(AND(F2881&lt;&gt;"",G2881&lt;&gt;""),"اكتب مدين أو دائن فقط ✘",IF(AND(N(F2881)=0,N(G2881)=0),"بدون مبلغ ⚠",IF(B2881&gt;12,"يتجاوز 12 بنداً في الطباعة ⚠","")))))</f>
        <v/>
      </c>
    </row>
    <row r="2882" customFormat="false" ht="15" hidden="false" customHeight="false" outlineLevel="0" collapsed="false">
      <c r="A2882" s="58"/>
      <c r="B2882" s="73" t="str">
        <f aca="false">IF(A2882="","",COUNTIF(A$5:A2882,A2882))</f>
        <v/>
      </c>
      <c r="C2882" s="73" t="str">
        <f aca="false">IF(A2882="","",A2882&amp;"-"&amp;B2882)</f>
        <v/>
      </c>
      <c r="D2882" s="58"/>
      <c r="E2882" s="57"/>
      <c r="F2882" s="69"/>
      <c r="G2882" s="69"/>
      <c r="H2882" s="74" t="str">
        <f aca="false">IF(A2882="","",IFERROR(INDEX(السندات!$C$5:$C$504,MATCH(A2882,السندات!$A$5:$A$504,0)),""))</f>
        <v/>
      </c>
      <c r="I2882" s="75" t="str">
        <f aca="false">IF(A2882="","",IFERROR(INDEX(السندات!$D$5:$D$504,MATCH(A2882,السندات!$A$5:$A$504,0)),""))</f>
        <v/>
      </c>
      <c r="J2882" s="76" t="str">
        <f aca="false">IF(A2882="","",IF(ISNA(MATCH(A2882,السندات!$A$5:$A$504,0)),"رقم سند غير موجود ✘",IF(AND(F2882&lt;&gt;"",G2882&lt;&gt;""),"اكتب مدين أو دائن فقط ✘",IF(AND(N(F2882)=0,N(G2882)=0),"بدون مبلغ ⚠",IF(B2882&gt;12,"يتجاوز 12 بنداً في الطباعة ⚠","")))))</f>
        <v/>
      </c>
    </row>
    <row r="2883" customFormat="false" ht="15" hidden="false" customHeight="false" outlineLevel="0" collapsed="false">
      <c r="A2883" s="58"/>
      <c r="B2883" s="68" t="str">
        <f aca="false">IF(A2883="","",COUNTIF(A$5:A2883,A2883))</f>
        <v/>
      </c>
      <c r="C2883" s="68" t="str">
        <f aca="false">IF(A2883="","",A2883&amp;"-"&amp;B2883)</f>
        <v/>
      </c>
      <c r="D2883" s="58"/>
      <c r="E2883" s="57"/>
      <c r="F2883" s="69"/>
      <c r="G2883" s="69"/>
      <c r="H2883" s="70" t="str">
        <f aca="false">IF(A2883="","",IFERROR(INDEX(السندات!$C$5:$C$504,MATCH(A2883,السندات!$A$5:$A$504,0)),""))</f>
        <v/>
      </c>
      <c r="I2883" s="71" t="str">
        <f aca="false">IF(A2883="","",IFERROR(INDEX(السندات!$D$5:$D$504,MATCH(A2883,السندات!$A$5:$A$504,0)),""))</f>
        <v/>
      </c>
      <c r="J2883" s="72" t="str">
        <f aca="false">IF(A2883="","",IF(ISNA(MATCH(A2883,السندات!$A$5:$A$504,0)),"رقم سند غير موجود ✘",IF(AND(F2883&lt;&gt;"",G2883&lt;&gt;""),"اكتب مدين أو دائن فقط ✘",IF(AND(N(F2883)=0,N(G2883)=0),"بدون مبلغ ⚠",IF(B2883&gt;12,"يتجاوز 12 بنداً في الطباعة ⚠","")))))</f>
        <v/>
      </c>
    </row>
    <row r="2884" customFormat="false" ht="15" hidden="false" customHeight="false" outlineLevel="0" collapsed="false">
      <c r="A2884" s="58"/>
      <c r="B2884" s="73" t="str">
        <f aca="false">IF(A2884="","",COUNTIF(A$5:A2884,A2884))</f>
        <v/>
      </c>
      <c r="C2884" s="73" t="str">
        <f aca="false">IF(A2884="","",A2884&amp;"-"&amp;B2884)</f>
        <v/>
      </c>
      <c r="D2884" s="58"/>
      <c r="E2884" s="57"/>
      <c r="F2884" s="69"/>
      <c r="G2884" s="69"/>
      <c r="H2884" s="74" t="str">
        <f aca="false">IF(A2884="","",IFERROR(INDEX(السندات!$C$5:$C$504,MATCH(A2884,السندات!$A$5:$A$504,0)),""))</f>
        <v/>
      </c>
      <c r="I2884" s="75" t="str">
        <f aca="false">IF(A2884="","",IFERROR(INDEX(السندات!$D$5:$D$504,MATCH(A2884,السندات!$A$5:$A$504,0)),""))</f>
        <v/>
      </c>
      <c r="J2884" s="76" t="str">
        <f aca="false">IF(A2884="","",IF(ISNA(MATCH(A2884,السندات!$A$5:$A$504,0)),"رقم سند غير موجود ✘",IF(AND(F2884&lt;&gt;"",G2884&lt;&gt;""),"اكتب مدين أو دائن فقط ✘",IF(AND(N(F2884)=0,N(G2884)=0),"بدون مبلغ ⚠",IF(B2884&gt;12,"يتجاوز 12 بنداً في الطباعة ⚠","")))))</f>
        <v/>
      </c>
    </row>
    <row r="2885" customFormat="false" ht="15" hidden="false" customHeight="false" outlineLevel="0" collapsed="false">
      <c r="A2885" s="58"/>
      <c r="B2885" s="68" t="str">
        <f aca="false">IF(A2885="","",COUNTIF(A$5:A2885,A2885))</f>
        <v/>
      </c>
      <c r="C2885" s="68" t="str">
        <f aca="false">IF(A2885="","",A2885&amp;"-"&amp;B2885)</f>
        <v/>
      </c>
      <c r="D2885" s="58"/>
      <c r="E2885" s="57"/>
      <c r="F2885" s="69"/>
      <c r="G2885" s="69"/>
      <c r="H2885" s="70" t="str">
        <f aca="false">IF(A2885="","",IFERROR(INDEX(السندات!$C$5:$C$504,MATCH(A2885,السندات!$A$5:$A$504,0)),""))</f>
        <v/>
      </c>
      <c r="I2885" s="71" t="str">
        <f aca="false">IF(A2885="","",IFERROR(INDEX(السندات!$D$5:$D$504,MATCH(A2885,السندات!$A$5:$A$504,0)),""))</f>
        <v/>
      </c>
      <c r="J2885" s="72" t="str">
        <f aca="false">IF(A2885="","",IF(ISNA(MATCH(A2885,السندات!$A$5:$A$504,0)),"رقم سند غير موجود ✘",IF(AND(F2885&lt;&gt;"",G2885&lt;&gt;""),"اكتب مدين أو دائن فقط ✘",IF(AND(N(F2885)=0,N(G2885)=0),"بدون مبلغ ⚠",IF(B2885&gt;12,"يتجاوز 12 بنداً في الطباعة ⚠","")))))</f>
        <v/>
      </c>
    </row>
    <row r="2886" customFormat="false" ht="15" hidden="false" customHeight="false" outlineLevel="0" collapsed="false">
      <c r="A2886" s="58"/>
      <c r="B2886" s="73" t="str">
        <f aca="false">IF(A2886="","",COUNTIF(A$5:A2886,A2886))</f>
        <v/>
      </c>
      <c r="C2886" s="73" t="str">
        <f aca="false">IF(A2886="","",A2886&amp;"-"&amp;B2886)</f>
        <v/>
      </c>
      <c r="D2886" s="58"/>
      <c r="E2886" s="57"/>
      <c r="F2886" s="69"/>
      <c r="G2886" s="69"/>
      <c r="H2886" s="74" t="str">
        <f aca="false">IF(A2886="","",IFERROR(INDEX(السندات!$C$5:$C$504,MATCH(A2886,السندات!$A$5:$A$504,0)),""))</f>
        <v/>
      </c>
      <c r="I2886" s="75" t="str">
        <f aca="false">IF(A2886="","",IFERROR(INDEX(السندات!$D$5:$D$504,MATCH(A2886,السندات!$A$5:$A$504,0)),""))</f>
        <v/>
      </c>
      <c r="J2886" s="76" t="str">
        <f aca="false">IF(A2886="","",IF(ISNA(MATCH(A2886,السندات!$A$5:$A$504,0)),"رقم سند غير موجود ✘",IF(AND(F2886&lt;&gt;"",G2886&lt;&gt;""),"اكتب مدين أو دائن فقط ✘",IF(AND(N(F2886)=0,N(G2886)=0),"بدون مبلغ ⚠",IF(B2886&gt;12,"يتجاوز 12 بنداً في الطباعة ⚠","")))))</f>
        <v/>
      </c>
    </row>
    <row r="2887" customFormat="false" ht="15" hidden="false" customHeight="false" outlineLevel="0" collapsed="false">
      <c r="A2887" s="58"/>
      <c r="B2887" s="68" t="str">
        <f aca="false">IF(A2887="","",COUNTIF(A$5:A2887,A2887))</f>
        <v/>
      </c>
      <c r="C2887" s="68" t="str">
        <f aca="false">IF(A2887="","",A2887&amp;"-"&amp;B2887)</f>
        <v/>
      </c>
      <c r="D2887" s="58"/>
      <c r="E2887" s="57"/>
      <c r="F2887" s="69"/>
      <c r="G2887" s="69"/>
      <c r="H2887" s="70" t="str">
        <f aca="false">IF(A2887="","",IFERROR(INDEX(السندات!$C$5:$C$504,MATCH(A2887,السندات!$A$5:$A$504,0)),""))</f>
        <v/>
      </c>
      <c r="I2887" s="71" t="str">
        <f aca="false">IF(A2887="","",IFERROR(INDEX(السندات!$D$5:$D$504,MATCH(A2887,السندات!$A$5:$A$504,0)),""))</f>
        <v/>
      </c>
      <c r="J2887" s="72" t="str">
        <f aca="false">IF(A2887="","",IF(ISNA(MATCH(A2887,السندات!$A$5:$A$504,0)),"رقم سند غير موجود ✘",IF(AND(F2887&lt;&gt;"",G2887&lt;&gt;""),"اكتب مدين أو دائن فقط ✘",IF(AND(N(F2887)=0,N(G2887)=0),"بدون مبلغ ⚠",IF(B2887&gt;12,"يتجاوز 12 بنداً في الطباعة ⚠","")))))</f>
        <v/>
      </c>
    </row>
    <row r="2888" customFormat="false" ht="15" hidden="false" customHeight="false" outlineLevel="0" collapsed="false">
      <c r="A2888" s="58"/>
      <c r="B2888" s="73" t="str">
        <f aca="false">IF(A2888="","",COUNTIF(A$5:A2888,A2888))</f>
        <v/>
      </c>
      <c r="C2888" s="73" t="str">
        <f aca="false">IF(A2888="","",A2888&amp;"-"&amp;B2888)</f>
        <v/>
      </c>
      <c r="D2888" s="58"/>
      <c r="E2888" s="57"/>
      <c r="F2888" s="69"/>
      <c r="G2888" s="69"/>
      <c r="H2888" s="74" t="str">
        <f aca="false">IF(A2888="","",IFERROR(INDEX(السندات!$C$5:$C$504,MATCH(A2888,السندات!$A$5:$A$504,0)),""))</f>
        <v/>
      </c>
      <c r="I2888" s="75" t="str">
        <f aca="false">IF(A2888="","",IFERROR(INDEX(السندات!$D$5:$D$504,MATCH(A2888,السندات!$A$5:$A$504,0)),""))</f>
        <v/>
      </c>
      <c r="J2888" s="76" t="str">
        <f aca="false">IF(A2888="","",IF(ISNA(MATCH(A2888,السندات!$A$5:$A$504,0)),"رقم سند غير موجود ✘",IF(AND(F2888&lt;&gt;"",G2888&lt;&gt;""),"اكتب مدين أو دائن فقط ✘",IF(AND(N(F2888)=0,N(G2888)=0),"بدون مبلغ ⚠",IF(B2888&gt;12,"يتجاوز 12 بنداً في الطباعة ⚠","")))))</f>
        <v/>
      </c>
    </row>
    <row r="2889" customFormat="false" ht="15" hidden="false" customHeight="false" outlineLevel="0" collapsed="false">
      <c r="A2889" s="58"/>
      <c r="B2889" s="68" t="str">
        <f aca="false">IF(A2889="","",COUNTIF(A$5:A2889,A2889))</f>
        <v/>
      </c>
      <c r="C2889" s="68" t="str">
        <f aca="false">IF(A2889="","",A2889&amp;"-"&amp;B2889)</f>
        <v/>
      </c>
      <c r="D2889" s="58"/>
      <c r="E2889" s="57"/>
      <c r="F2889" s="69"/>
      <c r="G2889" s="69"/>
      <c r="H2889" s="70" t="str">
        <f aca="false">IF(A2889="","",IFERROR(INDEX(السندات!$C$5:$C$504,MATCH(A2889,السندات!$A$5:$A$504,0)),""))</f>
        <v/>
      </c>
      <c r="I2889" s="71" t="str">
        <f aca="false">IF(A2889="","",IFERROR(INDEX(السندات!$D$5:$D$504,MATCH(A2889,السندات!$A$5:$A$504,0)),""))</f>
        <v/>
      </c>
      <c r="J2889" s="72" t="str">
        <f aca="false">IF(A2889="","",IF(ISNA(MATCH(A2889,السندات!$A$5:$A$504,0)),"رقم سند غير موجود ✘",IF(AND(F2889&lt;&gt;"",G2889&lt;&gt;""),"اكتب مدين أو دائن فقط ✘",IF(AND(N(F2889)=0,N(G2889)=0),"بدون مبلغ ⚠",IF(B2889&gt;12,"يتجاوز 12 بنداً في الطباعة ⚠","")))))</f>
        <v/>
      </c>
    </row>
    <row r="2890" customFormat="false" ht="15" hidden="false" customHeight="false" outlineLevel="0" collapsed="false">
      <c r="A2890" s="58"/>
      <c r="B2890" s="73" t="str">
        <f aca="false">IF(A2890="","",COUNTIF(A$5:A2890,A2890))</f>
        <v/>
      </c>
      <c r="C2890" s="73" t="str">
        <f aca="false">IF(A2890="","",A2890&amp;"-"&amp;B2890)</f>
        <v/>
      </c>
      <c r="D2890" s="58"/>
      <c r="E2890" s="57"/>
      <c r="F2890" s="69"/>
      <c r="G2890" s="69"/>
      <c r="H2890" s="74" t="str">
        <f aca="false">IF(A2890="","",IFERROR(INDEX(السندات!$C$5:$C$504,MATCH(A2890,السندات!$A$5:$A$504,0)),""))</f>
        <v/>
      </c>
      <c r="I2890" s="75" t="str">
        <f aca="false">IF(A2890="","",IFERROR(INDEX(السندات!$D$5:$D$504,MATCH(A2890,السندات!$A$5:$A$504,0)),""))</f>
        <v/>
      </c>
      <c r="J2890" s="76" t="str">
        <f aca="false">IF(A2890="","",IF(ISNA(MATCH(A2890,السندات!$A$5:$A$504,0)),"رقم سند غير موجود ✘",IF(AND(F2890&lt;&gt;"",G2890&lt;&gt;""),"اكتب مدين أو دائن فقط ✘",IF(AND(N(F2890)=0,N(G2890)=0),"بدون مبلغ ⚠",IF(B2890&gt;12,"يتجاوز 12 بنداً في الطباعة ⚠","")))))</f>
        <v/>
      </c>
    </row>
    <row r="2891" customFormat="false" ht="15" hidden="false" customHeight="false" outlineLevel="0" collapsed="false">
      <c r="A2891" s="58"/>
      <c r="B2891" s="68" t="str">
        <f aca="false">IF(A2891="","",COUNTIF(A$5:A2891,A2891))</f>
        <v/>
      </c>
      <c r="C2891" s="68" t="str">
        <f aca="false">IF(A2891="","",A2891&amp;"-"&amp;B2891)</f>
        <v/>
      </c>
      <c r="D2891" s="58"/>
      <c r="E2891" s="57"/>
      <c r="F2891" s="69"/>
      <c r="G2891" s="69"/>
      <c r="H2891" s="70" t="str">
        <f aca="false">IF(A2891="","",IFERROR(INDEX(السندات!$C$5:$C$504,MATCH(A2891,السندات!$A$5:$A$504,0)),""))</f>
        <v/>
      </c>
      <c r="I2891" s="71" t="str">
        <f aca="false">IF(A2891="","",IFERROR(INDEX(السندات!$D$5:$D$504,MATCH(A2891,السندات!$A$5:$A$504,0)),""))</f>
        <v/>
      </c>
      <c r="J2891" s="72" t="str">
        <f aca="false">IF(A2891="","",IF(ISNA(MATCH(A2891,السندات!$A$5:$A$504,0)),"رقم سند غير موجود ✘",IF(AND(F2891&lt;&gt;"",G2891&lt;&gt;""),"اكتب مدين أو دائن فقط ✘",IF(AND(N(F2891)=0,N(G2891)=0),"بدون مبلغ ⚠",IF(B2891&gt;12,"يتجاوز 12 بنداً في الطباعة ⚠","")))))</f>
        <v/>
      </c>
    </row>
    <row r="2892" customFormat="false" ht="15" hidden="false" customHeight="false" outlineLevel="0" collapsed="false">
      <c r="A2892" s="58"/>
      <c r="B2892" s="73" t="str">
        <f aca="false">IF(A2892="","",COUNTIF(A$5:A2892,A2892))</f>
        <v/>
      </c>
      <c r="C2892" s="73" t="str">
        <f aca="false">IF(A2892="","",A2892&amp;"-"&amp;B2892)</f>
        <v/>
      </c>
      <c r="D2892" s="58"/>
      <c r="E2892" s="57"/>
      <c r="F2892" s="69"/>
      <c r="G2892" s="69"/>
      <c r="H2892" s="74" t="str">
        <f aca="false">IF(A2892="","",IFERROR(INDEX(السندات!$C$5:$C$504,MATCH(A2892,السندات!$A$5:$A$504,0)),""))</f>
        <v/>
      </c>
      <c r="I2892" s="75" t="str">
        <f aca="false">IF(A2892="","",IFERROR(INDEX(السندات!$D$5:$D$504,MATCH(A2892,السندات!$A$5:$A$504,0)),""))</f>
        <v/>
      </c>
      <c r="J2892" s="76" t="str">
        <f aca="false">IF(A2892="","",IF(ISNA(MATCH(A2892,السندات!$A$5:$A$504,0)),"رقم سند غير موجود ✘",IF(AND(F2892&lt;&gt;"",G2892&lt;&gt;""),"اكتب مدين أو دائن فقط ✘",IF(AND(N(F2892)=0,N(G2892)=0),"بدون مبلغ ⚠",IF(B2892&gt;12,"يتجاوز 12 بنداً في الطباعة ⚠","")))))</f>
        <v/>
      </c>
    </row>
    <row r="2893" customFormat="false" ht="15" hidden="false" customHeight="false" outlineLevel="0" collapsed="false">
      <c r="A2893" s="58"/>
      <c r="B2893" s="68" t="str">
        <f aca="false">IF(A2893="","",COUNTIF(A$5:A2893,A2893))</f>
        <v/>
      </c>
      <c r="C2893" s="68" t="str">
        <f aca="false">IF(A2893="","",A2893&amp;"-"&amp;B2893)</f>
        <v/>
      </c>
      <c r="D2893" s="58"/>
      <c r="E2893" s="57"/>
      <c r="F2893" s="69"/>
      <c r="G2893" s="69"/>
      <c r="H2893" s="70" t="str">
        <f aca="false">IF(A2893="","",IFERROR(INDEX(السندات!$C$5:$C$504,MATCH(A2893,السندات!$A$5:$A$504,0)),""))</f>
        <v/>
      </c>
      <c r="I2893" s="71" t="str">
        <f aca="false">IF(A2893="","",IFERROR(INDEX(السندات!$D$5:$D$504,MATCH(A2893,السندات!$A$5:$A$504,0)),""))</f>
        <v/>
      </c>
      <c r="J2893" s="72" t="str">
        <f aca="false">IF(A2893="","",IF(ISNA(MATCH(A2893,السندات!$A$5:$A$504,0)),"رقم سند غير موجود ✘",IF(AND(F2893&lt;&gt;"",G2893&lt;&gt;""),"اكتب مدين أو دائن فقط ✘",IF(AND(N(F2893)=0,N(G2893)=0),"بدون مبلغ ⚠",IF(B2893&gt;12,"يتجاوز 12 بنداً في الطباعة ⚠","")))))</f>
        <v/>
      </c>
    </row>
    <row r="2894" customFormat="false" ht="15" hidden="false" customHeight="false" outlineLevel="0" collapsed="false">
      <c r="A2894" s="58"/>
      <c r="B2894" s="73" t="str">
        <f aca="false">IF(A2894="","",COUNTIF(A$5:A2894,A2894))</f>
        <v/>
      </c>
      <c r="C2894" s="73" t="str">
        <f aca="false">IF(A2894="","",A2894&amp;"-"&amp;B2894)</f>
        <v/>
      </c>
      <c r="D2894" s="58"/>
      <c r="E2894" s="57"/>
      <c r="F2894" s="69"/>
      <c r="G2894" s="69"/>
      <c r="H2894" s="74" t="str">
        <f aca="false">IF(A2894="","",IFERROR(INDEX(السندات!$C$5:$C$504,MATCH(A2894,السندات!$A$5:$A$504,0)),""))</f>
        <v/>
      </c>
      <c r="I2894" s="75" t="str">
        <f aca="false">IF(A2894="","",IFERROR(INDEX(السندات!$D$5:$D$504,MATCH(A2894,السندات!$A$5:$A$504,0)),""))</f>
        <v/>
      </c>
      <c r="J2894" s="76" t="str">
        <f aca="false">IF(A2894="","",IF(ISNA(MATCH(A2894,السندات!$A$5:$A$504,0)),"رقم سند غير موجود ✘",IF(AND(F2894&lt;&gt;"",G2894&lt;&gt;""),"اكتب مدين أو دائن فقط ✘",IF(AND(N(F2894)=0,N(G2894)=0),"بدون مبلغ ⚠",IF(B2894&gt;12,"يتجاوز 12 بنداً في الطباعة ⚠","")))))</f>
        <v/>
      </c>
    </row>
    <row r="2895" customFormat="false" ht="15" hidden="false" customHeight="false" outlineLevel="0" collapsed="false">
      <c r="A2895" s="58"/>
      <c r="B2895" s="68" t="str">
        <f aca="false">IF(A2895="","",COUNTIF(A$5:A2895,A2895))</f>
        <v/>
      </c>
      <c r="C2895" s="68" t="str">
        <f aca="false">IF(A2895="","",A2895&amp;"-"&amp;B2895)</f>
        <v/>
      </c>
      <c r="D2895" s="58"/>
      <c r="E2895" s="57"/>
      <c r="F2895" s="69"/>
      <c r="G2895" s="69"/>
      <c r="H2895" s="70" t="str">
        <f aca="false">IF(A2895="","",IFERROR(INDEX(السندات!$C$5:$C$504,MATCH(A2895,السندات!$A$5:$A$504,0)),""))</f>
        <v/>
      </c>
      <c r="I2895" s="71" t="str">
        <f aca="false">IF(A2895="","",IFERROR(INDEX(السندات!$D$5:$D$504,MATCH(A2895,السندات!$A$5:$A$504,0)),""))</f>
        <v/>
      </c>
      <c r="J2895" s="72" t="str">
        <f aca="false">IF(A2895="","",IF(ISNA(MATCH(A2895,السندات!$A$5:$A$504,0)),"رقم سند غير موجود ✘",IF(AND(F2895&lt;&gt;"",G2895&lt;&gt;""),"اكتب مدين أو دائن فقط ✘",IF(AND(N(F2895)=0,N(G2895)=0),"بدون مبلغ ⚠",IF(B2895&gt;12,"يتجاوز 12 بنداً في الطباعة ⚠","")))))</f>
        <v/>
      </c>
    </row>
    <row r="2896" customFormat="false" ht="15" hidden="false" customHeight="false" outlineLevel="0" collapsed="false">
      <c r="A2896" s="58"/>
      <c r="B2896" s="73" t="str">
        <f aca="false">IF(A2896="","",COUNTIF(A$5:A2896,A2896))</f>
        <v/>
      </c>
      <c r="C2896" s="73" t="str">
        <f aca="false">IF(A2896="","",A2896&amp;"-"&amp;B2896)</f>
        <v/>
      </c>
      <c r="D2896" s="58"/>
      <c r="E2896" s="57"/>
      <c r="F2896" s="69"/>
      <c r="G2896" s="69"/>
      <c r="H2896" s="74" t="str">
        <f aca="false">IF(A2896="","",IFERROR(INDEX(السندات!$C$5:$C$504,MATCH(A2896,السندات!$A$5:$A$504,0)),""))</f>
        <v/>
      </c>
      <c r="I2896" s="75" t="str">
        <f aca="false">IF(A2896="","",IFERROR(INDEX(السندات!$D$5:$D$504,MATCH(A2896,السندات!$A$5:$A$504,0)),""))</f>
        <v/>
      </c>
      <c r="J2896" s="76" t="str">
        <f aca="false">IF(A2896="","",IF(ISNA(MATCH(A2896,السندات!$A$5:$A$504,0)),"رقم سند غير موجود ✘",IF(AND(F2896&lt;&gt;"",G2896&lt;&gt;""),"اكتب مدين أو دائن فقط ✘",IF(AND(N(F2896)=0,N(G2896)=0),"بدون مبلغ ⚠",IF(B2896&gt;12,"يتجاوز 12 بنداً في الطباعة ⚠","")))))</f>
        <v/>
      </c>
    </row>
    <row r="2897" customFormat="false" ht="15" hidden="false" customHeight="false" outlineLevel="0" collapsed="false">
      <c r="A2897" s="58"/>
      <c r="B2897" s="68" t="str">
        <f aca="false">IF(A2897="","",COUNTIF(A$5:A2897,A2897))</f>
        <v/>
      </c>
      <c r="C2897" s="68" t="str">
        <f aca="false">IF(A2897="","",A2897&amp;"-"&amp;B2897)</f>
        <v/>
      </c>
      <c r="D2897" s="58"/>
      <c r="E2897" s="57"/>
      <c r="F2897" s="69"/>
      <c r="G2897" s="69"/>
      <c r="H2897" s="70" t="str">
        <f aca="false">IF(A2897="","",IFERROR(INDEX(السندات!$C$5:$C$504,MATCH(A2897,السندات!$A$5:$A$504,0)),""))</f>
        <v/>
      </c>
      <c r="I2897" s="71" t="str">
        <f aca="false">IF(A2897="","",IFERROR(INDEX(السندات!$D$5:$D$504,MATCH(A2897,السندات!$A$5:$A$504,0)),""))</f>
        <v/>
      </c>
      <c r="J2897" s="72" t="str">
        <f aca="false">IF(A2897="","",IF(ISNA(MATCH(A2897,السندات!$A$5:$A$504,0)),"رقم سند غير موجود ✘",IF(AND(F2897&lt;&gt;"",G2897&lt;&gt;""),"اكتب مدين أو دائن فقط ✘",IF(AND(N(F2897)=0,N(G2897)=0),"بدون مبلغ ⚠",IF(B2897&gt;12,"يتجاوز 12 بنداً في الطباعة ⚠","")))))</f>
        <v/>
      </c>
    </row>
    <row r="2898" customFormat="false" ht="15" hidden="false" customHeight="false" outlineLevel="0" collapsed="false">
      <c r="A2898" s="58"/>
      <c r="B2898" s="73" t="str">
        <f aca="false">IF(A2898="","",COUNTIF(A$5:A2898,A2898))</f>
        <v/>
      </c>
      <c r="C2898" s="73" t="str">
        <f aca="false">IF(A2898="","",A2898&amp;"-"&amp;B2898)</f>
        <v/>
      </c>
      <c r="D2898" s="58"/>
      <c r="E2898" s="57"/>
      <c r="F2898" s="69"/>
      <c r="G2898" s="69"/>
      <c r="H2898" s="74" t="str">
        <f aca="false">IF(A2898="","",IFERROR(INDEX(السندات!$C$5:$C$504,MATCH(A2898,السندات!$A$5:$A$504,0)),""))</f>
        <v/>
      </c>
      <c r="I2898" s="75" t="str">
        <f aca="false">IF(A2898="","",IFERROR(INDEX(السندات!$D$5:$D$504,MATCH(A2898,السندات!$A$5:$A$504,0)),""))</f>
        <v/>
      </c>
      <c r="J2898" s="76" t="str">
        <f aca="false">IF(A2898="","",IF(ISNA(MATCH(A2898,السندات!$A$5:$A$504,0)),"رقم سند غير موجود ✘",IF(AND(F2898&lt;&gt;"",G2898&lt;&gt;""),"اكتب مدين أو دائن فقط ✘",IF(AND(N(F2898)=0,N(G2898)=0),"بدون مبلغ ⚠",IF(B2898&gt;12,"يتجاوز 12 بنداً في الطباعة ⚠","")))))</f>
        <v/>
      </c>
    </row>
    <row r="2899" customFormat="false" ht="15" hidden="false" customHeight="false" outlineLevel="0" collapsed="false">
      <c r="A2899" s="58"/>
      <c r="B2899" s="68" t="str">
        <f aca="false">IF(A2899="","",COUNTIF(A$5:A2899,A2899))</f>
        <v/>
      </c>
      <c r="C2899" s="68" t="str">
        <f aca="false">IF(A2899="","",A2899&amp;"-"&amp;B2899)</f>
        <v/>
      </c>
      <c r="D2899" s="58"/>
      <c r="E2899" s="57"/>
      <c r="F2899" s="69"/>
      <c r="G2899" s="69"/>
      <c r="H2899" s="70" t="str">
        <f aca="false">IF(A2899="","",IFERROR(INDEX(السندات!$C$5:$C$504,MATCH(A2899,السندات!$A$5:$A$504,0)),""))</f>
        <v/>
      </c>
      <c r="I2899" s="71" t="str">
        <f aca="false">IF(A2899="","",IFERROR(INDEX(السندات!$D$5:$D$504,MATCH(A2899,السندات!$A$5:$A$504,0)),""))</f>
        <v/>
      </c>
      <c r="J2899" s="72" t="str">
        <f aca="false">IF(A2899="","",IF(ISNA(MATCH(A2899,السندات!$A$5:$A$504,0)),"رقم سند غير موجود ✘",IF(AND(F2899&lt;&gt;"",G2899&lt;&gt;""),"اكتب مدين أو دائن فقط ✘",IF(AND(N(F2899)=0,N(G2899)=0),"بدون مبلغ ⚠",IF(B2899&gt;12,"يتجاوز 12 بنداً في الطباعة ⚠","")))))</f>
        <v/>
      </c>
    </row>
    <row r="2900" customFormat="false" ht="15" hidden="false" customHeight="false" outlineLevel="0" collapsed="false">
      <c r="A2900" s="58"/>
      <c r="B2900" s="73" t="str">
        <f aca="false">IF(A2900="","",COUNTIF(A$5:A2900,A2900))</f>
        <v/>
      </c>
      <c r="C2900" s="73" t="str">
        <f aca="false">IF(A2900="","",A2900&amp;"-"&amp;B2900)</f>
        <v/>
      </c>
      <c r="D2900" s="58"/>
      <c r="E2900" s="57"/>
      <c r="F2900" s="69"/>
      <c r="G2900" s="69"/>
      <c r="H2900" s="74" t="str">
        <f aca="false">IF(A2900="","",IFERROR(INDEX(السندات!$C$5:$C$504,MATCH(A2900,السندات!$A$5:$A$504,0)),""))</f>
        <v/>
      </c>
      <c r="I2900" s="75" t="str">
        <f aca="false">IF(A2900="","",IFERROR(INDEX(السندات!$D$5:$D$504,MATCH(A2900,السندات!$A$5:$A$504,0)),""))</f>
        <v/>
      </c>
      <c r="J2900" s="76" t="str">
        <f aca="false">IF(A2900="","",IF(ISNA(MATCH(A2900,السندات!$A$5:$A$504,0)),"رقم سند غير موجود ✘",IF(AND(F2900&lt;&gt;"",G2900&lt;&gt;""),"اكتب مدين أو دائن فقط ✘",IF(AND(N(F2900)=0,N(G2900)=0),"بدون مبلغ ⚠",IF(B2900&gt;12,"يتجاوز 12 بنداً في الطباعة ⚠","")))))</f>
        <v/>
      </c>
    </row>
    <row r="2901" customFormat="false" ht="15" hidden="false" customHeight="false" outlineLevel="0" collapsed="false">
      <c r="A2901" s="58"/>
      <c r="B2901" s="68" t="str">
        <f aca="false">IF(A2901="","",COUNTIF(A$5:A2901,A2901))</f>
        <v/>
      </c>
      <c r="C2901" s="68" t="str">
        <f aca="false">IF(A2901="","",A2901&amp;"-"&amp;B2901)</f>
        <v/>
      </c>
      <c r="D2901" s="58"/>
      <c r="E2901" s="57"/>
      <c r="F2901" s="69"/>
      <c r="G2901" s="69"/>
      <c r="H2901" s="70" t="str">
        <f aca="false">IF(A2901="","",IFERROR(INDEX(السندات!$C$5:$C$504,MATCH(A2901,السندات!$A$5:$A$504,0)),""))</f>
        <v/>
      </c>
      <c r="I2901" s="71" t="str">
        <f aca="false">IF(A2901="","",IFERROR(INDEX(السندات!$D$5:$D$504,MATCH(A2901,السندات!$A$5:$A$504,0)),""))</f>
        <v/>
      </c>
      <c r="J2901" s="72" t="str">
        <f aca="false">IF(A2901="","",IF(ISNA(MATCH(A2901,السندات!$A$5:$A$504,0)),"رقم سند غير موجود ✘",IF(AND(F2901&lt;&gt;"",G2901&lt;&gt;""),"اكتب مدين أو دائن فقط ✘",IF(AND(N(F2901)=0,N(G2901)=0),"بدون مبلغ ⚠",IF(B2901&gt;12,"يتجاوز 12 بنداً في الطباعة ⚠","")))))</f>
        <v/>
      </c>
    </row>
    <row r="2902" customFormat="false" ht="15" hidden="false" customHeight="false" outlineLevel="0" collapsed="false">
      <c r="A2902" s="58"/>
      <c r="B2902" s="73" t="str">
        <f aca="false">IF(A2902="","",COUNTIF(A$5:A2902,A2902))</f>
        <v/>
      </c>
      <c r="C2902" s="73" t="str">
        <f aca="false">IF(A2902="","",A2902&amp;"-"&amp;B2902)</f>
        <v/>
      </c>
      <c r="D2902" s="58"/>
      <c r="E2902" s="57"/>
      <c r="F2902" s="69"/>
      <c r="G2902" s="69"/>
      <c r="H2902" s="74" t="str">
        <f aca="false">IF(A2902="","",IFERROR(INDEX(السندات!$C$5:$C$504,MATCH(A2902,السندات!$A$5:$A$504,0)),""))</f>
        <v/>
      </c>
      <c r="I2902" s="75" t="str">
        <f aca="false">IF(A2902="","",IFERROR(INDEX(السندات!$D$5:$D$504,MATCH(A2902,السندات!$A$5:$A$504,0)),""))</f>
        <v/>
      </c>
      <c r="J2902" s="76" t="str">
        <f aca="false">IF(A2902="","",IF(ISNA(MATCH(A2902,السندات!$A$5:$A$504,0)),"رقم سند غير موجود ✘",IF(AND(F2902&lt;&gt;"",G2902&lt;&gt;""),"اكتب مدين أو دائن فقط ✘",IF(AND(N(F2902)=0,N(G2902)=0),"بدون مبلغ ⚠",IF(B2902&gt;12,"يتجاوز 12 بنداً في الطباعة ⚠","")))))</f>
        <v/>
      </c>
    </row>
    <row r="2903" customFormat="false" ht="15" hidden="false" customHeight="false" outlineLevel="0" collapsed="false">
      <c r="A2903" s="58"/>
      <c r="B2903" s="68" t="str">
        <f aca="false">IF(A2903="","",COUNTIF(A$5:A2903,A2903))</f>
        <v/>
      </c>
      <c r="C2903" s="68" t="str">
        <f aca="false">IF(A2903="","",A2903&amp;"-"&amp;B2903)</f>
        <v/>
      </c>
      <c r="D2903" s="58"/>
      <c r="E2903" s="57"/>
      <c r="F2903" s="69"/>
      <c r="G2903" s="69"/>
      <c r="H2903" s="70" t="str">
        <f aca="false">IF(A2903="","",IFERROR(INDEX(السندات!$C$5:$C$504,MATCH(A2903,السندات!$A$5:$A$504,0)),""))</f>
        <v/>
      </c>
      <c r="I2903" s="71" t="str">
        <f aca="false">IF(A2903="","",IFERROR(INDEX(السندات!$D$5:$D$504,MATCH(A2903,السندات!$A$5:$A$504,0)),""))</f>
        <v/>
      </c>
      <c r="J2903" s="72" t="str">
        <f aca="false">IF(A2903="","",IF(ISNA(MATCH(A2903,السندات!$A$5:$A$504,0)),"رقم سند غير موجود ✘",IF(AND(F2903&lt;&gt;"",G2903&lt;&gt;""),"اكتب مدين أو دائن فقط ✘",IF(AND(N(F2903)=0,N(G2903)=0),"بدون مبلغ ⚠",IF(B2903&gt;12,"يتجاوز 12 بنداً في الطباعة ⚠","")))))</f>
        <v/>
      </c>
    </row>
    <row r="2904" customFormat="false" ht="15" hidden="false" customHeight="false" outlineLevel="0" collapsed="false">
      <c r="A2904" s="58"/>
      <c r="B2904" s="73" t="str">
        <f aca="false">IF(A2904="","",COUNTIF(A$5:A2904,A2904))</f>
        <v/>
      </c>
      <c r="C2904" s="73" t="str">
        <f aca="false">IF(A2904="","",A2904&amp;"-"&amp;B2904)</f>
        <v/>
      </c>
      <c r="D2904" s="58"/>
      <c r="E2904" s="57"/>
      <c r="F2904" s="69"/>
      <c r="G2904" s="69"/>
      <c r="H2904" s="74" t="str">
        <f aca="false">IF(A2904="","",IFERROR(INDEX(السندات!$C$5:$C$504,MATCH(A2904,السندات!$A$5:$A$504,0)),""))</f>
        <v/>
      </c>
      <c r="I2904" s="75" t="str">
        <f aca="false">IF(A2904="","",IFERROR(INDEX(السندات!$D$5:$D$504,MATCH(A2904,السندات!$A$5:$A$504,0)),""))</f>
        <v/>
      </c>
      <c r="J2904" s="76" t="str">
        <f aca="false">IF(A2904="","",IF(ISNA(MATCH(A2904,السندات!$A$5:$A$504,0)),"رقم سند غير موجود ✘",IF(AND(F2904&lt;&gt;"",G2904&lt;&gt;""),"اكتب مدين أو دائن فقط ✘",IF(AND(N(F2904)=0,N(G2904)=0),"بدون مبلغ ⚠",IF(B2904&gt;12,"يتجاوز 12 بنداً في الطباعة ⚠","")))))</f>
        <v/>
      </c>
    </row>
    <row r="2905" customFormat="false" ht="15" hidden="false" customHeight="false" outlineLevel="0" collapsed="false">
      <c r="A2905" s="58"/>
      <c r="B2905" s="68" t="str">
        <f aca="false">IF(A2905="","",COUNTIF(A$5:A2905,A2905))</f>
        <v/>
      </c>
      <c r="C2905" s="68" t="str">
        <f aca="false">IF(A2905="","",A2905&amp;"-"&amp;B2905)</f>
        <v/>
      </c>
      <c r="D2905" s="58"/>
      <c r="E2905" s="57"/>
      <c r="F2905" s="69"/>
      <c r="G2905" s="69"/>
      <c r="H2905" s="70" t="str">
        <f aca="false">IF(A2905="","",IFERROR(INDEX(السندات!$C$5:$C$504,MATCH(A2905,السندات!$A$5:$A$504,0)),""))</f>
        <v/>
      </c>
      <c r="I2905" s="71" t="str">
        <f aca="false">IF(A2905="","",IFERROR(INDEX(السندات!$D$5:$D$504,MATCH(A2905,السندات!$A$5:$A$504,0)),""))</f>
        <v/>
      </c>
      <c r="J2905" s="72" t="str">
        <f aca="false">IF(A2905="","",IF(ISNA(MATCH(A2905,السندات!$A$5:$A$504,0)),"رقم سند غير موجود ✘",IF(AND(F2905&lt;&gt;"",G2905&lt;&gt;""),"اكتب مدين أو دائن فقط ✘",IF(AND(N(F2905)=0,N(G2905)=0),"بدون مبلغ ⚠",IF(B2905&gt;12,"يتجاوز 12 بنداً في الطباعة ⚠","")))))</f>
        <v/>
      </c>
    </row>
    <row r="2906" customFormat="false" ht="15" hidden="false" customHeight="false" outlineLevel="0" collapsed="false">
      <c r="A2906" s="58"/>
      <c r="B2906" s="73" t="str">
        <f aca="false">IF(A2906="","",COUNTIF(A$5:A2906,A2906))</f>
        <v/>
      </c>
      <c r="C2906" s="73" t="str">
        <f aca="false">IF(A2906="","",A2906&amp;"-"&amp;B2906)</f>
        <v/>
      </c>
      <c r="D2906" s="58"/>
      <c r="E2906" s="57"/>
      <c r="F2906" s="69"/>
      <c r="G2906" s="69"/>
      <c r="H2906" s="74" t="str">
        <f aca="false">IF(A2906="","",IFERROR(INDEX(السندات!$C$5:$C$504,MATCH(A2906,السندات!$A$5:$A$504,0)),""))</f>
        <v/>
      </c>
      <c r="I2906" s="75" t="str">
        <f aca="false">IF(A2906="","",IFERROR(INDEX(السندات!$D$5:$D$504,MATCH(A2906,السندات!$A$5:$A$504,0)),""))</f>
        <v/>
      </c>
      <c r="J2906" s="76" t="str">
        <f aca="false">IF(A2906="","",IF(ISNA(MATCH(A2906,السندات!$A$5:$A$504,0)),"رقم سند غير موجود ✘",IF(AND(F2906&lt;&gt;"",G2906&lt;&gt;""),"اكتب مدين أو دائن فقط ✘",IF(AND(N(F2906)=0,N(G2906)=0),"بدون مبلغ ⚠",IF(B2906&gt;12,"يتجاوز 12 بنداً في الطباعة ⚠","")))))</f>
        <v/>
      </c>
    </row>
    <row r="2907" customFormat="false" ht="15" hidden="false" customHeight="false" outlineLevel="0" collapsed="false">
      <c r="A2907" s="58"/>
      <c r="B2907" s="68" t="str">
        <f aca="false">IF(A2907="","",COUNTIF(A$5:A2907,A2907))</f>
        <v/>
      </c>
      <c r="C2907" s="68" t="str">
        <f aca="false">IF(A2907="","",A2907&amp;"-"&amp;B2907)</f>
        <v/>
      </c>
      <c r="D2907" s="58"/>
      <c r="E2907" s="57"/>
      <c r="F2907" s="69"/>
      <c r="G2907" s="69"/>
      <c r="H2907" s="70" t="str">
        <f aca="false">IF(A2907="","",IFERROR(INDEX(السندات!$C$5:$C$504,MATCH(A2907,السندات!$A$5:$A$504,0)),""))</f>
        <v/>
      </c>
      <c r="I2907" s="71" t="str">
        <f aca="false">IF(A2907="","",IFERROR(INDEX(السندات!$D$5:$D$504,MATCH(A2907,السندات!$A$5:$A$504,0)),""))</f>
        <v/>
      </c>
      <c r="J2907" s="72" t="str">
        <f aca="false">IF(A2907="","",IF(ISNA(MATCH(A2907,السندات!$A$5:$A$504,0)),"رقم سند غير موجود ✘",IF(AND(F2907&lt;&gt;"",G2907&lt;&gt;""),"اكتب مدين أو دائن فقط ✘",IF(AND(N(F2907)=0,N(G2907)=0),"بدون مبلغ ⚠",IF(B2907&gt;12,"يتجاوز 12 بنداً في الطباعة ⚠","")))))</f>
        <v/>
      </c>
    </row>
    <row r="2908" customFormat="false" ht="15" hidden="false" customHeight="false" outlineLevel="0" collapsed="false">
      <c r="A2908" s="58"/>
      <c r="B2908" s="73" t="str">
        <f aca="false">IF(A2908="","",COUNTIF(A$5:A2908,A2908))</f>
        <v/>
      </c>
      <c r="C2908" s="73" t="str">
        <f aca="false">IF(A2908="","",A2908&amp;"-"&amp;B2908)</f>
        <v/>
      </c>
      <c r="D2908" s="58"/>
      <c r="E2908" s="57"/>
      <c r="F2908" s="69"/>
      <c r="G2908" s="69"/>
      <c r="H2908" s="74" t="str">
        <f aca="false">IF(A2908="","",IFERROR(INDEX(السندات!$C$5:$C$504,MATCH(A2908,السندات!$A$5:$A$504,0)),""))</f>
        <v/>
      </c>
      <c r="I2908" s="75" t="str">
        <f aca="false">IF(A2908="","",IFERROR(INDEX(السندات!$D$5:$D$504,MATCH(A2908,السندات!$A$5:$A$504,0)),""))</f>
        <v/>
      </c>
      <c r="J2908" s="76" t="str">
        <f aca="false">IF(A2908="","",IF(ISNA(MATCH(A2908,السندات!$A$5:$A$504,0)),"رقم سند غير موجود ✘",IF(AND(F2908&lt;&gt;"",G2908&lt;&gt;""),"اكتب مدين أو دائن فقط ✘",IF(AND(N(F2908)=0,N(G2908)=0),"بدون مبلغ ⚠",IF(B2908&gt;12,"يتجاوز 12 بنداً في الطباعة ⚠","")))))</f>
        <v/>
      </c>
    </row>
    <row r="2909" customFormat="false" ht="15" hidden="false" customHeight="false" outlineLevel="0" collapsed="false">
      <c r="A2909" s="58"/>
      <c r="B2909" s="68" t="str">
        <f aca="false">IF(A2909="","",COUNTIF(A$5:A2909,A2909))</f>
        <v/>
      </c>
      <c r="C2909" s="68" t="str">
        <f aca="false">IF(A2909="","",A2909&amp;"-"&amp;B2909)</f>
        <v/>
      </c>
      <c r="D2909" s="58"/>
      <c r="E2909" s="57"/>
      <c r="F2909" s="69"/>
      <c r="G2909" s="69"/>
      <c r="H2909" s="70" t="str">
        <f aca="false">IF(A2909="","",IFERROR(INDEX(السندات!$C$5:$C$504,MATCH(A2909,السندات!$A$5:$A$504,0)),""))</f>
        <v/>
      </c>
      <c r="I2909" s="71" t="str">
        <f aca="false">IF(A2909="","",IFERROR(INDEX(السندات!$D$5:$D$504,MATCH(A2909,السندات!$A$5:$A$504,0)),""))</f>
        <v/>
      </c>
      <c r="J2909" s="72" t="str">
        <f aca="false">IF(A2909="","",IF(ISNA(MATCH(A2909,السندات!$A$5:$A$504,0)),"رقم سند غير موجود ✘",IF(AND(F2909&lt;&gt;"",G2909&lt;&gt;""),"اكتب مدين أو دائن فقط ✘",IF(AND(N(F2909)=0,N(G2909)=0),"بدون مبلغ ⚠",IF(B2909&gt;12,"يتجاوز 12 بنداً في الطباعة ⚠","")))))</f>
        <v/>
      </c>
    </row>
    <row r="2910" customFormat="false" ht="15" hidden="false" customHeight="false" outlineLevel="0" collapsed="false">
      <c r="A2910" s="58"/>
      <c r="B2910" s="73" t="str">
        <f aca="false">IF(A2910="","",COUNTIF(A$5:A2910,A2910))</f>
        <v/>
      </c>
      <c r="C2910" s="73" t="str">
        <f aca="false">IF(A2910="","",A2910&amp;"-"&amp;B2910)</f>
        <v/>
      </c>
      <c r="D2910" s="58"/>
      <c r="E2910" s="57"/>
      <c r="F2910" s="69"/>
      <c r="G2910" s="69"/>
      <c r="H2910" s="74" t="str">
        <f aca="false">IF(A2910="","",IFERROR(INDEX(السندات!$C$5:$C$504,MATCH(A2910,السندات!$A$5:$A$504,0)),""))</f>
        <v/>
      </c>
      <c r="I2910" s="75" t="str">
        <f aca="false">IF(A2910="","",IFERROR(INDEX(السندات!$D$5:$D$504,MATCH(A2910,السندات!$A$5:$A$504,0)),""))</f>
        <v/>
      </c>
      <c r="J2910" s="76" t="str">
        <f aca="false">IF(A2910="","",IF(ISNA(MATCH(A2910,السندات!$A$5:$A$504,0)),"رقم سند غير موجود ✘",IF(AND(F2910&lt;&gt;"",G2910&lt;&gt;""),"اكتب مدين أو دائن فقط ✘",IF(AND(N(F2910)=0,N(G2910)=0),"بدون مبلغ ⚠",IF(B2910&gt;12,"يتجاوز 12 بنداً في الطباعة ⚠","")))))</f>
        <v/>
      </c>
    </row>
    <row r="2911" customFormat="false" ht="15" hidden="false" customHeight="false" outlineLevel="0" collapsed="false">
      <c r="A2911" s="58"/>
      <c r="B2911" s="68" t="str">
        <f aca="false">IF(A2911="","",COUNTIF(A$5:A2911,A2911))</f>
        <v/>
      </c>
      <c r="C2911" s="68" t="str">
        <f aca="false">IF(A2911="","",A2911&amp;"-"&amp;B2911)</f>
        <v/>
      </c>
      <c r="D2911" s="58"/>
      <c r="E2911" s="57"/>
      <c r="F2911" s="69"/>
      <c r="G2911" s="69"/>
      <c r="H2911" s="70" t="str">
        <f aca="false">IF(A2911="","",IFERROR(INDEX(السندات!$C$5:$C$504,MATCH(A2911,السندات!$A$5:$A$504,0)),""))</f>
        <v/>
      </c>
      <c r="I2911" s="71" t="str">
        <f aca="false">IF(A2911="","",IFERROR(INDEX(السندات!$D$5:$D$504,MATCH(A2911,السندات!$A$5:$A$504,0)),""))</f>
        <v/>
      </c>
      <c r="J2911" s="72" t="str">
        <f aca="false">IF(A2911="","",IF(ISNA(MATCH(A2911,السندات!$A$5:$A$504,0)),"رقم سند غير موجود ✘",IF(AND(F2911&lt;&gt;"",G2911&lt;&gt;""),"اكتب مدين أو دائن فقط ✘",IF(AND(N(F2911)=0,N(G2911)=0),"بدون مبلغ ⚠",IF(B2911&gt;12,"يتجاوز 12 بنداً في الطباعة ⚠","")))))</f>
        <v/>
      </c>
    </row>
    <row r="2912" customFormat="false" ht="15" hidden="false" customHeight="false" outlineLevel="0" collapsed="false">
      <c r="A2912" s="58"/>
      <c r="B2912" s="73" t="str">
        <f aca="false">IF(A2912="","",COUNTIF(A$5:A2912,A2912))</f>
        <v/>
      </c>
      <c r="C2912" s="73" t="str">
        <f aca="false">IF(A2912="","",A2912&amp;"-"&amp;B2912)</f>
        <v/>
      </c>
      <c r="D2912" s="58"/>
      <c r="E2912" s="57"/>
      <c r="F2912" s="69"/>
      <c r="G2912" s="69"/>
      <c r="H2912" s="74" t="str">
        <f aca="false">IF(A2912="","",IFERROR(INDEX(السندات!$C$5:$C$504,MATCH(A2912,السندات!$A$5:$A$504,0)),""))</f>
        <v/>
      </c>
      <c r="I2912" s="75" t="str">
        <f aca="false">IF(A2912="","",IFERROR(INDEX(السندات!$D$5:$D$504,MATCH(A2912,السندات!$A$5:$A$504,0)),""))</f>
        <v/>
      </c>
      <c r="J2912" s="76" t="str">
        <f aca="false">IF(A2912="","",IF(ISNA(MATCH(A2912,السندات!$A$5:$A$504,0)),"رقم سند غير موجود ✘",IF(AND(F2912&lt;&gt;"",G2912&lt;&gt;""),"اكتب مدين أو دائن فقط ✘",IF(AND(N(F2912)=0,N(G2912)=0),"بدون مبلغ ⚠",IF(B2912&gt;12,"يتجاوز 12 بنداً في الطباعة ⚠","")))))</f>
        <v/>
      </c>
    </row>
    <row r="2913" customFormat="false" ht="15" hidden="false" customHeight="false" outlineLevel="0" collapsed="false">
      <c r="A2913" s="58"/>
      <c r="B2913" s="68" t="str">
        <f aca="false">IF(A2913="","",COUNTIF(A$5:A2913,A2913))</f>
        <v/>
      </c>
      <c r="C2913" s="68" t="str">
        <f aca="false">IF(A2913="","",A2913&amp;"-"&amp;B2913)</f>
        <v/>
      </c>
      <c r="D2913" s="58"/>
      <c r="E2913" s="57"/>
      <c r="F2913" s="69"/>
      <c r="G2913" s="69"/>
      <c r="H2913" s="70" t="str">
        <f aca="false">IF(A2913="","",IFERROR(INDEX(السندات!$C$5:$C$504,MATCH(A2913,السندات!$A$5:$A$504,0)),""))</f>
        <v/>
      </c>
      <c r="I2913" s="71" t="str">
        <f aca="false">IF(A2913="","",IFERROR(INDEX(السندات!$D$5:$D$504,MATCH(A2913,السندات!$A$5:$A$504,0)),""))</f>
        <v/>
      </c>
      <c r="J2913" s="72" t="str">
        <f aca="false">IF(A2913="","",IF(ISNA(MATCH(A2913,السندات!$A$5:$A$504,0)),"رقم سند غير موجود ✘",IF(AND(F2913&lt;&gt;"",G2913&lt;&gt;""),"اكتب مدين أو دائن فقط ✘",IF(AND(N(F2913)=0,N(G2913)=0),"بدون مبلغ ⚠",IF(B2913&gt;12,"يتجاوز 12 بنداً في الطباعة ⚠","")))))</f>
        <v/>
      </c>
    </row>
    <row r="2914" customFormat="false" ht="15" hidden="false" customHeight="false" outlineLevel="0" collapsed="false">
      <c r="A2914" s="58"/>
      <c r="B2914" s="73" t="str">
        <f aca="false">IF(A2914="","",COUNTIF(A$5:A2914,A2914))</f>
        <v/>
      </c>
      <c r="C2914" s="73" t="str">
        <f aca="false">IF(A2914="","",A2914&amp;"-"&amp;B2914)</f>
        <v/>
      </c>
      <c r="D2914" s="58"/>
      <c r="E2914" s="57"/>
      <c r="F2914" s="69"/>
      <c r="G2914" s="69"/>
      <c r="H2914" s="74" t="str">
        <f aca="false">IF(A2914="","",IFERROR(INDEX(السندات!$C$5:$C$504,MATCH(A2914,السندات!$A$5:$A$504,0)),""))</f>
        <v/>
      </c>
      <c r="I2914" s="75" t="str">
        <f aca="false">IF(A2914="","",IFERROR(INDEX(السندات!$D$5:$D$504,MATCH(A2914,السندات!$A$5:$A$504,0)),""))</f>
        <v/>
      </c>
      <c r="J2914" s="76" t="str">
        <f aca="false">IF(A2914="","",IF(ISNA(MATCH(A2914,السندات!$A$5:$A$504,0)),"رقم سند غير موجود ✘",IF(AND(F2914&lt;&gt;"",G2914&lt;&gt;""),"اكتب مدين أو دائن فقط ✘",IF(AND(N(F2914)=0,N(G2914)=0),"بدون مبلغ ⚠",IF(B2914&gt;12,"يتجاوز 12 بنداً في الطباعة ⚠","")))))</f>
        <v/>
      </c>
    </row>
    <row r="2915" customFormat="false" ht="15" hidden="false" customHeight="false" outlineLevel="0" collapsed="false">
      <c r="A2915" s="58"/>
      <c r="B2915" s="68" t="str">
        <f aca="false">IF(A2915="","",COUNTIF(A$5:A2915,A2915))</f>
        <v/>
      </c>
      <c r="C2915" s="68" t="str">
        <f aca="false">IF(A2915="","",A2915&amp;"-"&amp;B2915)</f>
        <v/>
      </c>
      <c r="D2915" s="58"/>
      <c r="E2915" s="57"/>
      <c r="F2915" s="69"/>
      <c r="G2915" s="69"/>
      <c r="H2915" s="70" t="str">
        <f aca="false">IF(A2915="","",IFERROR(INDEX(السندات!$C$5:$C$504,MATCH(A2915,السندات!$A$5:$A$504,0)),""))</f>
        <v/>
      </c>
      <c r="I2915" s="71" t="str">
        <f aca="false">IF(A2915="","",IFERROR(INDEX(السندات!$D$5:$D$504,MATCH(A2915,السندات!$A$5:$A$504,0)),""))</f>
        <v/>
      </c>
      <c r="J2915" s="72" t="str">
        <f aca="false">IF(A2915="","",IF(ISNA(MATCH(A2915,السندات!$A$5:$A$504,0)),"رقم سند غير موجود ✘",IF(AND(F2915&lt;&gt;"",G2915&lt;&gt;""),"اكتب مدين أو دائن فقط ✘",IF(AND(N(F2915)=0,N(G2915)=0),"بدون مبلغ ⚠",IF(B2915&gt;12,"يتجاوز 12 بنداً في الطباعة ⚠","")))))</f>
        <v/>
      </c>
    </row>
    <row r="2916" customFormat="false" ht="15" hidden="false" customHeight="false" outlineLevel="0" collapsed="false">
      <c r="A2916" s="58"/>
      <c r="B2916" s="73" t="str">
        <f aca="false">IF(A2916="","",COUNTIF(A$5:A2916,A2916))</f>
        <v/>
      </c>
      <c r="C2916" s="73" t="str">
        <f aca="false">IF(A2916="","",A2916&amp;"-"&amp;B2916)</f>
        <v/>
      </c>
      <c r="D2916" s="58"/>
      <c r="E2916" s="57"/>
      <c r="F2916" s="69"/>
      <c r="G2916" s="69"/>
      <c r="H2916" s="74" t="str">
        <f aca="false">IF(A2916="","",IFERROR(INDEX(السندات!$C$5:$C$504,MATCH(A2916,السندات!$A$5:$A$504,0)),""))</f>
        <v/>
      </c>
      <c r="I2916" s="75" t="str">
        <f aca="false">IF(A2916="","",IFERROR(INDEX(السندات!$D$5:$D$504,MATCH(A2916,السندات!$A$5:$A$504,0)),""))</f>
        <v/>
      </c>
      <c r="J2916" s="76" t="str">
        <f aca="false">IF(A2916="","",IF(ISNA(MATCH(A2916,السندات!$A$5:$A$504,0)),"رقم سند غير موجود ✘",IF(AND(F2916&lt;&gt;"",G2916&lt;&gt;""),"اكتب مدين أو دائن فقط ✘",IF(AND(N(F2916)=0,N(G2916)=0),"بدون مبلغ ⚠",IF(B2916&gt;12,"يتجاوز 12 بنداً في الطباعة ⚠","")))))</f>
        <v/>
      </c>
    </row>
    <row r="2917" customFormat="false" ht="15" hidden="false" customHeight="false" outlineLevel="0" collapsed="false">
      <c r="A2917" s="58"/>
      <c r="B2917" s="68" t="str">
        <f aca="false">IF(A2917="","",COUNTIF(A$5:A2917,A2917))</f>
        <v/>
      </c>
      <c r="C2917" s="68" t="str">
        <f aca="false">IF(A2917="","",A2917&amp;"-"&amp;B2917)</f>
        <v/>
      </c>
      <c r="D2917" s="58"/>
      <c r="E2917" s="57"/>
      <c r="F2917" s="69"/>
      <c r="G2917" s="69"/>
      <c r="H2917" s="70" t="str">
        <f aca="false">IF(A2917="","",IFERROR(INDEX(السندات!$C$5:$C$504,MATCH(A2917,السندات!$A$5:$A$504,0)),""))</f>
        <v/>
      </c>
      <c r="I2917" s="71" t="str">
        <f aca="false">IF(A2917="","",IFERROR(INDEX(السندات!$D$5:$D$504,MATCH(A2917,السندات!$A$5:$A$504,0)),""))</f>
        <v/>
      </c>
      <c r="J2917" s="72" t="str">
        <f aca="false">IF(A2917="","",IF(ISNA(MATCH(A2917,السندات!$A$5:$A$504,0)),"رقم سند غير موجود ✘",IF(AND(F2917&lt;&gt;"",G2917&lt;&gt;""),"اكتب مدين أو دائن فقط ✘",IF(AND(N(F2917)=0,N(G2917)=0),"بدون مبلغ ⚠",IF(B2917&gt;12,"يتجاوز 12 بنداً في الطباعة ⚠","")))))</f>
        <v/>
      </c>
    </row>
    <row r="2918" customFormat="false" ht="15" hidden="false" customHeight="false" outlineLevel="0" collapsed="false">
      <c r="A2918" s="58"/>
      <c r="B2918" s="73" t="str">
        <f aca="false">IF(A2918="","",COUNTIF(A$5:A2918,A2918))</f>
        <v/>
      </c>
      <c r="C2918" s="73" t="str">
        <f aca="false">IF(A2918="","",A2918&amp;"-"&amp;B2918)</f>
        <v/>
      </c>
      <c r="D2918" s="58"/>
      <c r="E2918" s="57"/>
      <c r="F2918" s="69"/>
      <c r="G2918" s="69"/>
      <c r="H2918" s="74" t="str">
        <f aca="false">IF(A2918="","",IFERROR(INDEX(السندات!$C$5:$C$504,MATCH(A2918,السندات!$A$5:$A$504,0)),""))</f>
        <v/>
      </c>
      <c r="I2918" s="75" t="str">
        <f aca="false">IF(A2918="","",IFERROR(INDEX(السندات!$D$5:$D$504,MATCH(A2918,السندات!$A$5:$A$504,0)),""))</f>
        <v/>
      </c>
      <c r="J2918" s="76" t="str">
        <f aca="false">IF(A2918="","",IF(ISNA(MATCH(A2918,السندات!$A$5:$A$504,0)),"رقم سند غير موجود ✘",IF(AND(F2918&lt;&gt;"",G2918&lt;&gt;""),"اكتب مدين أو دائن فقط ✘",IF(AND(N(F2918)=0,N(G2918)=0),"بدون مبلغ ⚠",IF(B2918&gt;12,"يتجاوز 12 بنداً في الطباعة ⚠","")))))</f>
        <v/>
      </c>
    </row>
    <row r="2919" customFormat="false" ht="15" hidden="false" customHeight="false" outlineLevel="0" collapsed="false">
      <c r="A2919" s="58"/>
      <c r="B2919" s="68" t="str">
        <f aca="false">IF(A2919="","",COUNTIF(A$5:A2919,A2919))</f>
        <v/>
      </c>
      <c r="C2919" s="68" t="str">
        <f aca="false">IF(A2919="","",A2919&amp;"-"&amp;B2919)</f>
        <v/>
      </c>
      <c r="D2919" s="58"/>
      <c r="E2919" s="57"/>
      <c r="F2919" s="69"/>
      <c r="G2919" s="69"/>
      <c r="H2919" s="70" t="str">
        <f aca="false">IF(A2919="","",IFERROR(INDEX(السندات!$C$5:$C$504,MATCH(A2919,السندات!$A$5:$A$504,0)),""))</f>
        <v/>
      </c>
      <c r="I2919" s="71" t="str">
        <f aca="false">IF(A2919="","",IFERROR(INDEX(السندات!$D$5:$D$504,MATCH(A2919,السندات!$A$5:$A$504,0)),""))</f>
        <v/>
      </c>
      <c r="J2919" s="72" t="str">
        <f aca="false">IF(A2919="","",IF(ISNA(MATCH(A2919,السندات!$A$5:$A$504,0)),"رقم سند غير موجود ✘",IF(AND(F2919&lt;&gt;"",G2919&lt;&gt;""),"اكتب مدين أو دائن فقط ✘",IF(AND(N(F2919)=0,N(G2919)=0),"بدون مبلغ ⚠",IF(B2919&gt;12,"يتجاوز 12 بنداً في الطباعة ⚠","")))))</f>
        <v/>
      </c>
    </row>
    <row r="2920" customFormat="false" ht="15" hidden="false" customHeight="false" outlineLevel="0" collapsed="false">
      <c r="A2920" s="58"/>
      <c r="B2920" s="73" t="str">
        <f aca="false">IF(A2920="","",COUNTIF(A$5:A2920,A2920))</f>
        <v/>
      </c>
      <c r="C2920" s="73" t="str">
        <f aca="false">IF(A2920="","",A2920&amp;"-"&amp;B2920)</f>
        <v/>
      </c>
      <c r="D2920" s="58"/>
      <c r="E2920" s="57"/>
      <c r="F2920" s="69"/>
      <c r="G2920" s="69"/>
      <c r="H2920" s="74" t="str">
        <f aca="false">IF(A2920="","",IFERROR(INDEX(السندات!$C$5:$C$504,MATCH(A2920,السندات!$A$5:$A$504,0)),""))</f>
        <v/>
      </c>
      <c r="I2920" s="75" t="str">
        <f aca="false">IF(A2920="","",IFERROR(INDEX(السندات!$D$5:$D$504,MATCH(A2920,السندات!$A$5:$A$504,0)),""))</f>
        <v/>
      </c>
      <c r="J2920" s="76" t="str">
        <f aca="false">IF(A2920="","",IF(ISNA(MATCH(A2920,السندات!$A$5:$A$504,0)),"رقم سند غير موجود ✘",IF(AND(F2920&lt;&gt;"",G2920&lt;&gt;""),"اكتب مدين أو دائن فقط ✘",IF(AND(N(F2920)=0,N(G2920)=0),"بدون مبلغ ⚠",IF(B2920&gt;12,"يتجاوز 12 بنداً في الطباعة ⚠","")))))</f>
        <v/>
      </c>
    </row>
    <row r="2921" customFormat="false" ht="15" hidden="false" customHeight="false" outlineLevel="0" collapsed="false">
      <c r="A2921" s="58"/>
      <c r="B2921" s="68" t="str">
        <f aca="false">IF(A2921="","",COUNTIF(A$5:A2921,A2921))</f>
        <v/>
      </c>
      <c r="C2921" s="68" t="str">
        <f aca="false">IF(A2921="","",A2921&amp;"-"&amp;B2921)</f>
        <v/>
      </c>
      <c r="D2921" s="58"/>
      <c r="E2921" s="57"/>
      <c r="F2921" s="69"/>
      <c r="G2921" s="69"/>
      <c r="H2921" s="70" t="str">
        <f aca="false">IF(A2921="","",IFERROR(INDEX(السندات!$C$5:$C$504,MATCH(A2921,السندات!$A$5:$A$504,0)),""))</f>
        <v/>
      </c>
      <c r="I2921" s="71" t="str">
        <f aca="false">IF(A2921="","",IFERROR(INDEX(السندات!$D$5:$D$504,MATCH(A2921,السندات!$A$5:$A$504,0)),""))</f>
        <v/>
      </c>
      <c r="J2921" s="72" t="str">
        <f aca="false">IF(A2921="","",IF(ISNA(MATCH(A2921,السندات!$A$5:$A$504,0)),"رقم سند غير موجود ✘",IF(AND(F2921&lt;&gt;"",G2921&lt;&gt;""),"اكتب مدين أو دائن فقط ✘",IF(AND(N(F2921)=0,N(G2921)=0),"بدون مبلغ ⚠",IF(B2921&gt;12,"يتجاوز 12 بنداً في الطباعة ⚠","")))))</f>
        <v/>
      </c>
    </row>
    <row r="2922" customFormat="false" ht="15" hidden="false" customHeight="false" outlineLevel="0" collapsed="false">
      <c r="A2922" s="58"/>
      <c r="B2922" s="73" t="str">
        <f aca="false">IF(A2922="","",COUNTIF(A$5:A2922,A2922))</f>
        <v/>
      </c>
      <c r="C2922" s="73" t="str">
        <f aca="false">IF(A2922="","",A2922&amp;"-"&amp;B2922)</f>
        <v/>
      </c>
      <c r="D2922" s="58"/>
      <c r="E2922" s="57"/>
      <c r="F2922" s="69"/>
      <c r="G2922" s="69"/>
      <c r="H2922" s="74" t="str">
        <f aca="false">IF(A2922="","",IFERROR(INDEX(السندات!$C$5:$C$504,MATCH(A2922,السندات!$A$5:$A$504,0)),""))</f>
        <v/>
      </c>
      <c r="I2922" s="75" t="str">
        <f aca="false">IF(A2922="","",IFERROR(INDEX(السندات!$D$5:$D$504,MATCH(A2922,السندات!$A$5:$A$504,0)),""))</f>
        <v/>
      </c>
      <c r="J2922" s="76" t="str">
        <f aca="false">IF(A2922="","",IF(ISNA(MATCH(A2922,السندات!$A$5:$A$504,0)),"رقم سند غير موجود ✘",IF(AND(F2922&lt;&gt;"",G2922&lt;&gt;""),"اكتب مدين أو دائن فقط ✘",IF(AND(N(F2922)=0,N(G2922)=0),"بدون مبلغ ⚠",IF(B2922&gt;12,"يتجاوز 12 بنداً في الطباعة ⚠","")))))</f>
        <v/>
      </c>
    </row>
    <row r="2923" customFormat="false" ht="15" hidden="false" customHeight="false" outlineLevel="0" collapsed="false">
      <c r="A2923" s="58"/>
      <c r="B2923" s="68" t="str">
        <f aca="false">IF(A2923="","",COUNTIF(A$5:A2923,A2923))</f>
        <v/>
      </c>
      <c r="C2923" s="68" t="str">
        <f aca="false">IF(A2923="","",A2923&amp;"-"&amp;B2923)</f>
        <v/>
      </c>
      <c r="D2923" s="58"/>
      <c r="E2923" s="57"/>
      <c r="F2923" s="69"/>
      <c r="G2923" s="69"/>
      <c r="H2923" s="70" t="str">
        <f aca="false">IF(A2923="","",IFERROR(INDEX(السندات!$C$5:$C$504,MATCH(A2923,السندات!$A$5:$A$504,0)),""))</f>
        <v/>
      </c>
      <c r="I2923" s="71" t="str">
        <f aca="false">IF(A2923="","",IFERROR(INDEX(السندات!$D$5:$D$504,MATCH(A2923,السندات!$A$5:$A$504,0)),""))</f>
        <v/>
      </c>
      <c r="J2923" s="72" t="str">
        <f aca="false">IF(A2923="","",IF(ISNA(MATCH(A2923,السندات!$A$5:$A$504,0)),"رقم سند غير موجود ✘",IF(AND(F2923&lt;&gt;"",G2923&lt;&gt;""),"اكتب مدين أو دائن فقط ✘",IF(AND(N(F2923)=0,N(G2923)=0),"بدون مبلغ ⚠",IF(B2923&gt;12,"يتجاوز 12 بنداً في الطباعة ⚠","")))))</f>
        <v/>
      </c>
    </row>
    <row r="2924" customFormat="false" ht="15" hidden="false" customHeight="false" outlineLevel="0" collapsed="false">
      <c r="A2924" s="58"/>
      <c r="B2924" s="73" t="str">
        <f aca="false">IF(A2924="","",COUNTIF(A$5:A2924,A2924))</f>
        <v/>
      </c>
      <c r="C2924" s="73" t="str">
        <f aca="false">IF(A2924="","",A2924&amp;"-"&amp;B2924)</f>
        <v/>
      </c>
      <c r="D2924" s="58"/>
      <c r="E2924" s="57"/>
      <c r="F2924" s="69"/>
      <c r="G2924" s="69"/>
      <c r="H2924" s="74" t="str">
        <f aca="false">IF(A2924="","",IFERROR(INDEX(السندات!$C$5:$C$504,MATCH(A2924,السندات!$A$5:$A$504,0)),""))</f>
        <v/>
      </c>
      <c r="I2924" s="75" t="str">
        <f aca="false">IF(A2924="","",IFERROR(INDEX(السندات!$D$5:$D$504,MATCH(A2924,السندات!$A$5:$A$504,0)),""))</f>
        <v/>
      </c>
      <c r="J2924" s="76" t="str">
        <f aca="false">IF(A2924="","",IF(ISNA(MATCH(A2924,السندات!$A$5:$A$504,0)),"رقم سند غير موجود ✘",IF(AND(F2924&lt;&gt;"",G2924&lt;&gt;""),"اكتب مدين أو دائن فقط ✘",IF(AND(N(F2924)=0,N(G2924)=0),"بدون مبلغ ⚠",IF(B2924&gt;12,"يتجاوز 12 بنداً في الطباعة ⚠","")))))</f>
        <v/>
      </c>
    </row>
    <row r="2925" customFormat="false" ht="15" hidden="false" customHeight="false" outlineLevel="0" collapsed="false">
      <c r="A2925" s="58"/>
      <c r="B2925" s="68" t="str">
        <f aca="false">IF(A2925="","",COUNTIF(A$5:A2925,A2925))</f>
        <v/>
      </c>
      <c r="C2925" s="68" t="str">
        <f aca="false">IF(A2925="","",A2925&amp;"-"&amp;B2925)</f>
        <v/>
      </c>
      <c r="D2925" s="58"/>
      <c r="E2925" s="57"/>
      <c r="F2925" s="69"/>
      <c r="G2925" s="69"/>
      <c r="H2925" s="70" t="str">
        <f aca="false">IF(A2925="","",IFERROR(INDEX(السندات!$C$5:$C$504,MATCH(A2925,السندات!$A$5:$A$504,0)),""))</f>
        <v/>
      </c>
      <c r="I2925" s="71" t="str">
        <f aca="false">IF(A2925="","",IFERROR(INDEX(السندات!$D$5:$D$504,MATCH(A2925,السندات!$A$5:$A$504,0)),""))</f>
        <v/>
      </c>
      <c r="J2925" s="72" t="str">
        <f aca="false">IF(A2925="","",IF(ISNA(MATCH(A2925,السندات!$A$5:$A$504,0)),"رقم سند غير موجود ✘",IF(AND(F2925&lt;&gt;"",G2925&lt;&gt;""),"اكتب مدين أو دائن فقط ✘",IF(AND(N(F2925)=0,N(G2925)=0),"بدون مبلغ ⚠",IF(B2925&gt;12,"يتجاوز 12 بنداً في الطباعة ⚠","")))))</f>
        <v/>
      </c>
    </row>
    <row r="2926" customFormat="false" ht="15" hidden="false" customHeight="false" outlineLevel="0" collapsed="false">
      <c r="A2926" s="58"/>
      <c r="B2926" s="73" t="str">
        <f aca="false">IF(A2926="","",COUNTIF(A$5:A2926,A2926))</f>
        <v/>
      </c>
      <c r="C2926" s="73" t="str">
        <f aca="false">IF(A2926="","",A2926&amp;"-"&amp;B2926)</f>
        <v/>
      </c>
      <c r="D2926" s="58"/>
      <c r="E2926" s="57"/>
      <c r="F2926" s="69"/>
      <c r="G2926" s="69"/>
      <c r="H2926" s="74" t="str">
        <f aca="false">IF(A2926="","",IFERROR(INDEX(السندات!$C$5:$C$504,MATCH(A2926,السندات!$A$5:$A$504,0)),""))</f>
        <v/>
      </c>
      <c r="I2926" s="75" t="str">
        <f aca="false">IF(A2926="","",IFERROR(INDEX(السندات!$D$5:$D$504,MATCH(A2926,السندات!$A$5:$A$504,0)),""))</f>
        <v/>
      </c>
      <c r="J2926" s="76" t="str">
        <f aca="false">IF(A2926="","",IF(ISNA(MATCH(A2926,السندات!$A$5:$A$504,0)),"رقم سند غير موجود ✘",IF(AND(F2926&lt;&gt;"",G2926&lt;&gt;""),"اكتب مدين أو دائن فقط ✘",IF(AND(N(F2926)=0,N(G2926)=0),"بدون مبلغ ⚠",IF(B2926&gt;12,"يتجاوز 12 بنداً في الطباعة ⚠","")))))</f>
        <v/>
      </c>
    </row>
    <row r="2927" customFormat="false" ht="15" hidden="false" customHeight="false" outlineLevel="0" collapsed="false">
      <c r="A2927" s="58"/>
      <c r="B2927" s="68" t="str">
        <f aca="false">IF(A2927="","",COUNTIF(A$5:A2927,A2927))</f>
        <v/>
      </c>
      <c r="C2927" s="68" t="str">
        <f aca="false">IF(A2927="","",A2927&amp;"-"&amp;B2927)</f>
        <v/>
      </c>
      <c r="D2927" s="58"/>
      <c r="E2927" s="57"/>
      <c r="F2927" s="69"/>
      <c r="G2927" s="69"/>
      <c r="H2927" s="70" t="str">
        <f aca="false">IF(A2927="","",IFERROR(INDEX(السندات!$C$5:$C$504,MATCH(A2927,السندات!$A$5:$A$504,0)),""))</f>
        <v/>
      </c>
      <c r="I2927" s="71" t="str">
        <f aca="false">IF(A2927="","",IFERROR(INDEX(السندات!$D$5:$D$504,MATCH(A2927,السندات!$A$5:$A$504,0)),""))</f>
        <v/>
      </c>
      <c r="J2927" s="72" t="str">
        <f aca="false">IF(A2927="","",IF(ISNA(MATCH(A2927,السندات!$A$5:$A$504,0)),"رقم سند غير موجود ✘",IF(AND(F2927&lt;&gt;"",G2927&lt;&gt;""),"اكتب مدين أو دائن فقط ✘",IF(AND(N(F2927)=0,N(G2927)=0),"بدون مبلغ ⚠",IF(B2927&gt;12,"يتجاوز 12 بنداً في الطباعة ⚠","")))))</f>
        <v/>
      </c>
    </row>
    <row r="2928" customFormat="false" ht="15" hidden="false" customHeight="false" outlineLevel="0" collapsed="false">
      <c r="A2928" s="58"/>
      <c r="B2928" s="73" t="str">
        <f aca="false">IF(A2928="","",COUNTIF(A$5:A2928,A2928))</f>
        <v/>
      </c>
      <c r="C2928" s="73" t="str">
        <f aca="false">IF(A2928="","",A2928&amp;"-"&amp;B2928)</f>
        <v/>
      </c>
      <c r="D2928" s="58"/>
      <c r="E2928" s="57"/>
      <c r="F2928" s="69"/>
      <c r="G2928" s="69"/>
      <c r="H2928" s="74" t="str">
        <f aca="false">IF(A2928="","",IFERROR(INDEX(السندات!$C$5:$C$504,MATCH(A2928,السندات!$A$5:$A$504,0)),""))</f>
        <v/>
      </c>
      <c r="I2928" s="75" t="str">
        <f aca="false">IF(A2928="","",IFERROR(INDEX(السندات!$D$5:$D$504,MATCH(A2928,السندات!$A$5:$A$504,0)),""))</f>
        <v/>
      </c>
      <c r="J2928" s="76" t="str">
        <f aca="false">IF(A2928="","",IF(ISNA(MATCH(A2928,السندات!$A$5:$A$504,0)),"رقم سند غير موجود ✘",IF(AND(F2928&lt;&gt;"",G2928&lt;&gt;""),"اكتب مدين أو دائن فقط ✘",IF(AND(N(F2928)=0,N(G2928)=0),"بدون مبلغ ⚠",IF(B2928&gt;12,"يتجاوز 12 بنداً في الطباعة ⚠","")))))</f>
        <v/>
      </c>
    </row>
    <row r="2929" customFormat="false" ht="15" hidden="false" customHeight="false" outlineLevel="0" collapsed="false">
      <c r="A2929" s="58"/>
      <c r="B2929" s="68" t="str">
        <f aca="false">IF(A2929="","",COUNTIF(A$5:A2929,A2929))</f>
        <v/>
      </c>
      <c r="C2929" s="68" t="str">
        <f aca="false">IF(A2929="","",A2929&amp;"-"&amp;B2929)</f>
        <v/>
      </c>
      <c r="D2929" s="58"/>
      <c r="E2929" s="57"/>
      <c r="F2929" s="69"/>
      <c r="G2929" s="69"/>
      <c r="H2929" s="70" t="str">
        <f aca="false">IF(A2929="","",IFERROR(INDEX(السندات!$C$5:$C$504,MATCH(A2929,السندات!$A$5:$A$504,0)),""))</f>
        <v/>
      </c>
      <c r="I2929" s="71" t="str">
        <f aca="false">IF(A2929="","",IFERROR(INDEX(السندات!$D$5:$D$504,MATCH(A2929,السندات!$A$5:$A$504,0)),""))</f>
        <v/>
      </c>
      <c r="J2929" s="72" t="str">
        <f aca="false">IF(A2929="","",IF(ISNA(MATCH(A2929,السندات!$A$5:$A$504,0)),"رقم سند غير موجود ✘",IF(AND(F2929&lt;&gt;"",G2929&lt;&gt;""),"اكتب مدين أو دائن فقط ✘",IF(AND(N(F2929)=0,N(G2929)=0),"بدون مبلغ ⚠",IF(B2929&gt;12,"يتجاوز 12 بنداً في الطباعة ⚠","")))))</f>
        <v/>
      </c>
    </row>
    <row r="2930" customFormat="false" ht="15" hidden="false" customHeight="false" outlineLevel="0" collapsed="false">
      <c r="A2930" s="58"/>
      <c r="B2930" s="73" t="str">
        <f aca="false">IF(A2930="","",COUNTIF(A$5:A2930,A2930))</f>
        <v/>
      </c>
      <c r="C2930" s="73" t="str">
        <f aca="false">IF(A2930="","",A2930&amp;"-"&amp;B2930)</f>
        <v/>
      </c>
      <c r="D2930" s="58"/>
      <c r="E2930" s="57"/>
      <c r="F2930" s="69"/>
      <c r="G2930" s="69"/>
      <c r="H2930" s="74" t="str">
        <f aca="false">IF(A2930="","",IFERROR(INDEX(السندات!$C$5:$C$504,MATCH(A2930,السندات!$A$5:$A$504,0)),""))</f>
        <v/>
      </c>
      <c r="I2930" s="75" t="str">
        <f aca="false">IF(A2930="","",IFERROR(INDEX(السندات!$D$5:$D$504,MATCH(A2930,السندات!$A$5:$A$504,0)),""))</f>
        <v/>
      </c>
      <c r="J2930" s="76" t="str">
        <f aca="false">IF(A2930="","",IF(ISNA(MATCH(A2930,السندات!$A$5:$A$504,0)),"رقم سند غير موجود ✘",IF(AND(F2930&lt;&gt;"",G2930&lt;&gt;""),"اكتب مدين أو دائن فقط ✘",IF(AND(N(F2930)=0,N(G2930)=0),"بدون مبلغ ⚠",IF(B2930&gt;12,"يتجاوز 12 بنداً في الطباعة ⚠","")))))</f>
        <v/>
      </c>
    </row>
    <row r="2931" customFormat="false" ht="15" hidden="false" customHeight="false" outlineLevel="0" collapsed="false">
      <c r="A2931" s="58"/>
      <c r="B2931" s="68" t="str">
        <f aca="false">IF(A2931="","",COUNTIF(A$5:A2931,A2931))</f>
        <v/>
      </c>
      <c r="C2931" s="68" t="str">
        <f aca="false">IF(A2931="","",A2931&amp;"-"&amp;B2931)</f>
        <v/>
      </c>
      <c r="D2931" s="58"/>
      <c r="E2931" s="57"/>
      <c r="F2931" s="69"/>
      <c r="G2931" s="69"/>
      <c r="H2931" s="70" t="str">
        <f aca="false">IF(A2931="","",IFERROR(INDEX(السندات!$C$5:$C$504,MATCH(A2931,السندات!$A$5:$A$504,0)),""))</f>
        <v/>
      </c>
      <c r="I2931" s="71" t="str">
        <f aca="false">IF(A2931="","",IFERROR(INDEX(السندات!$D$5:$D$504,MATCH(A2931,السندات!$A$5:$A$504,0)),""))</f>
        <v/>
      </c>
      <c r="J2931" s="72" t="str">
        <f aca="false">IF(A2931="","",IF(ISNA(MATCH(A2931,السندات!$A$5:$A$504,0)),"رقم سند غير موجود ✘",IF(AND(F2931&lt;&gt;"",G2931&lt;&gt;""),"اكتب مدين أو دائن فقط ✘",IF(AND(N(F2931)=0,N(G2931)=0),"بدون مبلغ ⚠",IF(B2931&gt;12,"يتجاوز 12 بنداً في الطباعة ⚠","")))))</f>
        <v/>
      </c>
    </row>
    <row r="2932" customFormat="false" ht="15" hidden="false" customHeight="false" outlineLevel="0" collapsed="false">
      <c r="A2932" s="58"/>
      <c r="B2932" s="73" t="str">
        <f aca="false">IF(A2932="","",COUNTIF(A$5:A2932,A2932))</f>
        <v/>
      </c>
      <c r="C2932" s="73" t="str">
        <f aca="false">IF(A2932="","",A2932&amp;"-"&amp;B2932)</f>
        <v/>
      </c>
      <c r="D2932" s="58"/>
      <c r="E2932" s="57"/>
      <c r="F2932" s="69"/>
      <c r="G2932" s="69"/>
      <c r="H2932" s="74" t="str">
        <f aca="false">IF(A2932="","",IFERROR(INDEX(السندات!$C$5:$C$504,MATCH(A2932,السندات!$A$5:$A$504,0)),""))</f>
        <v/>
      </c>
      <c r="I2932" s="75" t="str">
        <f aca="false">IF(A2932="","",IFERROR(INDEX(السندات!$D$5:$D$504,MATCH(A2932,السندات!$A$5:$A$504,0)),""))</f>
        <v/>
      </c>
      <c r="J2932" s="76" t="str">
        <f aca="false">IF(A2932="","",IF(ISNA(MATCH(A2932,السندات!$A$5:$A$504,0)),"رقم سند غير موجود ✘",IF(AND(F2932&lt;&gt;"",G2932&lt;&gt;""),"اكتب مدين أو دائن فقط ✘",IF(AND(N(F2932)=0,N(G2932)=0),"بدون مبلغ ⚠",IF(B2932&gt;12,"يتجاوز 12 بنداً في الطباعة ⚠","")))))</f>
        <v/>
      </c>
    </row>
    <row r="2933" customFormat="false" ht="15" hidden="false" customHeight="false" outlineLevel="0" collapsed="false">
      <c r="A2933" s="58"/>
      <c r="B2933" s="68" t="str">
        <f aca="false">IF(A2933="","",COUNTIF(A$5:A2933,A2933))</f>
        <v/>
      </c>
      <c r="C2933" s="68" t="str">
        <f aca="false">IF(A2933="","",A2933&amp;"-"&amp;B2933)</f>
        <v/>
      </c>
      <c r="D2933" s="58"/>
      <c r="E2933" s="57"/>
      <c r="F2933" s="69"/>
      <c r="G2933" s="69"/>
      <c r="H2933" s="70" t="str">
        <f aca="false">IF(A2933="","",IFERROR(INDEX(السندات!$C$5:$C$504,MATCH(A2933,السندات!$A$5:$A$504,0)),""))</f>
        <v/>
      </c>
      <c r="I2933" s="71" t="str">
        <f aca="false">IF(A2933="","",IFERROR(INDEX(السندات!$D$5:$D$504,MATCH(A2933,السندات!$A$5:$A$504,0)),""))</f>
        <v/>
      </c>
      <c r="J2933" s="72" t="str">
        <f aca="false">IF(A2933="","",IF(ISNA(MATCH(A2933,السندات!$A$5:$A$504,0)),"رقم سند غير موجود ✘",IF(AND(F2933&lt;&gt;"",G2933&lt;&gt;""),"اكتب مدين أو دائن فقط ✘",IF(AND(N(F2933)=0,N(G2933)=0),"بدون مبلغ ⚠",IF(B2933&gt;12,"يتجاوز 12 بنداً في الطباعة ⚠","")))))</f>
        <v/>
      </c>
    </row>
    <row r="2934" customFormat="false" ht="15" hidden="false" customHeight="false" outlineLevel="0" collapsed="false">
      <c r="A2934" s="58"/>
      <c r="B2934" s="73" t="str">
        <f aca="false">IF(A2934="","",COUNTIF(A$5:A2934,A2934))</f>
        <v/>
      </c>
      <c r="C2934" s="73" t="str">
        <f aca="false">IF(A2934="","",A2934&amp;"-"&amp;B2934)</f>
        <v/>
      </c>
      <c r="D2934" s="58"/>
      <c r="E2934" s="57"/>
      <c r="F2934" s="69"/>
      <c r="G2934" s="69"/>
      <c r="H2934" s="74" t="str">
        <f aca="false">IF(A2934="","",IFERROR(INDEX(السندات!$C$5:$C$504,MATCH(A2934,السندات!$A$5:$A$504,0)),""))</f>
        <v/>
      </c>
      <c r="I2934" s="75" t="str">
        <f aca="false">IF(A2934="","",IFERROR(INDEX(السندات!$D$5:$D$504,MATCH(A2934,السندات!$A$5:$A$504,0)),""))</f>
        <v/>
      </c>
      <c r="J2934" s="76" t="str">
        <f aca="false">IF(A2934="","",IF(ISNA(MATCH(A2934,السندات!$A$5:$A$504,0)),"رقم سند غير موجود ✘",IF(AND(F2934&lt;&gt;"",G2934&lt;&gt;""),"اكتب مدين أو دائن فقط ✘",IF(AND(N(F2934)=0,N(G2934)=0),"بدون مبلغ ⚠",IF(B2934&gt;12,"يتجاوز 12 بنداً في الطباعة ⚠","")))))</f>
        <v/>
      </c>
    </row>
    <row r="2935" customFormat="false" ht="15" hidden="false" customHeight="false" outlineLevel="0" collapsed="false">
      <c r="A2935" s="58"/>
      <c r="B2935" s="68" t="str">
        <f aca="false">IF(A2935="","",COUNTIF(A$5:A2935,A2935))</f>
        <v/>
      </c>
      <c r="C2935" s="68" t="str">
        <f aca="false">IF(A2935="","",A2935&amp;"-"&amp;B2935)</f>
        <v/>
      </c>
      <c r="D2935" s="58"/>
      <c r="E2935" s="57"/>
      <c r="F2935" s="69"/>
      <c r="G2935" s="69"/>
      <c r="H2935" s="70" t="str">
        <f aca="false">IF(A2935="","",IFERROR(INDEX(السندات!$C$5:$C$504,MATCH(A2935,السندات!$A$5:$A$504,0)),""))</f>
        <v/>
      </c>
      <c r="I2935" s="71" t="str">
        <f aca="false">IF(A2935="","",IFERROR(INDEX(السندات!$D$5:$D$504,MATCH(A2935,السندات!$A$5:$A$504,0)),""))</f>
        <v/>
      </c>
      <c r="J2935" s="72" t="str">
        <f aca="false">IF(A2935="","",IF(ISNA(MATCH(A2935,السندات!$A$5:$A$504,0)),"رقم سند غير موجود ✘",IF(AND(F2935&lt;&gt;"",G2935&lt;&gt;""),"اكتب مدين أو دائن فقط ✘",IF(AND(N(F2935)=0,N(G2935)=0),"بدون مبلغ ⚠",IF(B2935&gt;12,"يتجاوز 12 بنداً في الطباعة ⚠","")))))</f>
        <v/>
      </c>
    </row>
    <row r="2936" customFormat="false" ht="15" hidden="false" customHeight="false" outlineLevel="0" collapsed="false">
      <c r="A2936" s="58"/>
      <c r="B2936" s="73" t="str">
        <f aca="false">IF(A2936="","",COUNTIF(A$5:A2936,A2936))</f>
        <v/>
      </c>
      <c r="C2936" s="73" t="str">
        <f aca="false">IF(A2936="","",A2936&amp;"-"&amp;B2936)</f>
        <v/>
      </c>
      <c r="D2936" s="58"/>
      <c r="E2936" s="57"/>
      <c r="F2936" s="69"/>
      <c r="G2936" s="69"/>
      <c r="H2936" s="74" t="str">
        <f aca="false">IF(A2936="","",IFERROR(INDEX(السندات!$C$5:$C$504,MATCH(A2936,السندات!$A$5:$A$504,0)),""))</f>
        <v/>
      </c>
      <c r="I2936" s="75" t="str">
        <f aca="false">IF(A2936="","",IFERROR(INDEX(السندات!$D$5:$D$504,MATCH(A2936,السندات!$A$5:$A$504,0)),""))</f>
        <v/>
      </c>
      <c r="J2936" s="76" t="str">
        <f aca="false">IF(A2936="","",IF(ISNA(MATCH(A2936,السندات!$A$5:$A$504,0)),"رقم سند غير موجود ✘",IF(AND(F2936&lt;&gt;"",G2936&lt;&gt;""),"اكتب مدين أو دائن فقط ✘",IF(AND(N(F2936)=0,N(G2936)=0),"بدون مبلغ ⚠",IF(B2936&gt;12,"يتجاوز 12 بنداً في الطباعة ⚠","")))))</f>
        <v/>
      </c>
    </row>
    <row r="2937" customFormat="false" ht="15" hidden="false" customHeight="false" outlineLevel="0" collapsed="false">
      <c r="A2937" s="58"/>
      <c r="B2937" s="68" t="str">
        <f aca="false">IF(A2937="","",COUNTIF(A$5:A2937,A2937))</f>
        <v/>
      </c>
      <c r="C2937" s="68" t="str">
        <f aca="false">IF(A2937="","",A2937&amp;"-"&amp;B2937)</f>
        <v/>
      </c>
      <c r="D2937" s="58"/>
      <c r="E2937" s="57"/>
      <c r="F2937" s="69"/>
      <c r="G2937" s="69"/>
      <c r="H2937" s="70" t="str">
        <f aca="false">IF(A2937="","",IFERROR(INDEX(السندات!$C$5:$C$504,MATCH(A2937,السندات!$A$5:$A$504,0)),""))</f>
        <v/>
      </c>
      <c r="I2937" s="71" t="str">
        <f aca="false">IF(A2937="","",IFERROR(INDEX(السندات!$D$5:$D$504,MATCH(A2937,السندات!$A$5:$A$504,0)),""))</f>
        <v/>
      </c>
      <c r="J2937" s="72" t="str">
        <f aca="false">IF(A2937="","",IF(ISNA(MATCH(A2937,السندات!$A$5:$A$504,0)),"رقم سند غير موجود ✘",IF(AND(F2937&lt;&gt;"",G2937&lt;&gt;""),"اكتب مدين أو دائن فقط ✘",IF(AND(N(F2937)=0,N(G2937)=0),"بدون مبلغ ⚠",IF(B2937&gt;12,"يتجاوز 12 بنداً في الطباعة ⚠","")))))</f>
        <v/>
      </c>
    </row>
    <row r="2938" customFormat="false" ht="15" hidden="false" customHeight="false" outlineLevel="0" collapsed="false">
      <c r="A2938" s="58"/>
      <c r="B2938" s="73" t="str">
        <f aca="false">IF(A2938="","",COUNTIF(A$5:A2938,A2938))</f>
        <v/>
      </c>
      <c r="C2938" s="73" t="str">
        <f aca="false">IF(A2938="","",A2938&amp;"-"&amp;B2938)</f>
        <v/>
      </c>
      <c r="D2938" s="58"/>
      <c r="E2938" s="57"/>
      <c r="F2938" s="69"/>
      <c r="G2938" s="69"/>
      <c r="H2938" s="74" t="str">
        <f aca="false">IF(A2938="","",IFERROR(INDEX(السندات!$C$5:$C$504,MATCH(A2938,السندات!$A$5:$A$504,0)),""))</f>
        <v/>
      </c>
      <c r="I2938" s="75" t="str">
        <f aca="false">IF(A2938="","",IFERROR(INDEX(السندات!$D$5:$D$504,MATCH(A2938,السندات!$A$5:$A$504,0)),""))</f>
        <v/>
      </c>
      <c r="J2938" s="76" t="str">
        <f aca="false">IF(A2938="","",IF(ISNA(MATCH(A2938,السندات!$A$5:$A$504,0)),"رقم سند غير موجود ✘",IF(AND(F2938&lt;&gt;"",G2938&lt;&gt;""),"اكتب مدين أو دائن فقط ✘",IF(AND(N(F2938)=0,N(G2938)=0),"بدون مبلغ ⚠",IF(B2938&gt;12,"يتجاوز 12 بنداً في الطباعة ⚠","")))))</f>
        <v/>
      </c>
    </row>
    <row r="2939" customFormat="false" ht="15" hidden="false" customHeight="false" outlineLevel="0" collapsed="false">
      <c r="A2939" s="58"/>
      <c r="B2939" s="68" t="str">
        <f aca="false">IF(A2939="","",COUNTIF(A$5:A2939,A2939))</f>
        <v/>
      </c>
      <c r="C2939" s="68" t="str">
        <f aca="false">IF(A2939="","",A2939&amp;"-"&amp;B2939)</f>
        <v/>
      </c>
      <c r="D2939" s="58"/>
      <c r="E2939" s="57"/>
      <c r="F2939" s="69"/>
      <c r="G2939" s="69"/>
      <c r="H2939" s="70" t="str">
        <f aca="false">IF(A2939="","",IFERROR(INDEX(السندات!$C$5:$C$504,MATCH(A2939,السندات!$A$5:$A$504,0)),""))</f>
        <v/>
      </c>
      <c r="I2939" s="71" t="str">
        <f aca="false">IF(A2939="","",IFERROR(INDEX(السندات!$D$5:$D$504,MATCH(A2939,السندات!$A$5:$A$504,0)),""))</f>
        <v/>
      </c>
      <c r="J2939" s="72" t="str">
        <f aca="false">IF(A2939="","",IF(ISNA(MATCH(A2939,السندات!$A$5:$A$504,0)),"رقم سند غير موجود ✘",IF(AND(F2939&lt;&gt;"",G2939&lt;&gt;""),"اكتب مدين أو دائن فقط ✘",IF(AND(N(F2939)=0,N(G2939)=0),"بدون مبلغ ⚠",IF(B2939&gt;12,"يتجاوز 12 بنداً في الطباعة ⚠","")))))</f>
        <v/>
      </c>
    </row>
    <row r="2940" customFormat="false" ht="15" hidden="false" customHeight="false" outlineLevel="0" collapsed="false">
      <c r="A2940" s="58"/>
      <c r="B2940" s="73" t="str">
        <f aca="false">IF(A2940="","",COUNTIF(A$5:A2940,A2940))</f>
        <v/>
      </c>
      <c r="C2940" s="73" t="str">
        <f aca="false">IF(A2940="","",A2940&amp;"-"&amp;B2940)</f>
        <v/>
      </c>
      <c r="D2940" s="58"/>
      <c r="E2940" s="57"/>
      <c r="F2940" s="69"/>
      <c r="G2940" s="69"/>
      <c r="H2940" s="74" t="str">
        <f aca="false">IF(A2940="","",IFERROR(INDEX(السندات!$C$5:$C$504,MATCH(A2940,السندات!$A$5:$A$504,0)),""))</f>
        <v/>
      </c>
      <c r="I2940" s="75" t="str">
        <f aca="false">IF(A2940="","",IFERROR(INDEX(السندات!$D$5:$D$504,MATCH(A2940,السندات!$A$5:$A$504,0)),""))</f>
        <v/>
      </c>
      <c r="J2940" s="76" t="str">
        <f aca="false">IF(A2940="","",IF(ISNA(MATCH(A2940,السندات!$A$5:$A$504,0)),"رقم سند غير موجود ✘",IF(AND(F2940&lt;&gt;"",G2940&lt;&gt;""),"اكتب مدين أو دائن فقط ✘",IF(AND(N(F2940)=0,N(G2940)=0),"بدون مبلغ ⚠",IF(B2940&gt;12,"يتجاوز 12 بنداً في الطباعة ⚠","")))))</f>
        <v/>
      </c>
    </row>
    <row r="2941" customFormat="false" ht="15" hidden="false" customHeight="false" outlineLevel="0" collapsed="false">
      <c r="A2941" s="58"/>
      <c r="B2941" s="68" t="str">
        <f aca="false">IF(A2941="","",COUNTIF(A$5:A2941,A2941))</f>
        <v/>
      </c>
      <c r="C2941" s="68" t="str">
        <f aca="false">IF(A2941="","",A2941&amp;"-"&amp;B2941)</f>
        <v/>
      </c>
      <c r="D2941" s="58"/>
      <c r="E2941" s="57"/>
      <c r="F2941" s="69"/>
      <c r="G2941" s="69"/>
      <c r="H2941" s="70" t="str">
        <f aca="false">IF(A2941="","",IFERROR(INDEX(السندات!$C$5:$C$504,MATCH(A2941,السندات!$A$5:$A$504,0)),""))</f>
        <v/>
      </c>
      <c r="I2941" s="71" t="str">
        <f aca="false">IF(A2941="","",IFERROR(INDEX(السندات!$D$5:$D$504,MATCH(A2941,السندات!$A$5:$A$504,0)),""))</f>
        <v/>
      </c>
      <c r="J2941" s="72" t="str">
        <f aca="false">IF(A2941="","",IF(ISNA(MATCH(A2941,السندات!$A$5:$A$504,0)),"رقم سند غير موجود ✘",IF(AND(F2941&lt;&gt;"",G2941&lt;&gt;""),"اكتب مدين أو دائن فقط ✘",IF(AND(N(F2941)=0,N(G2941)=0),"بدون مبلغ ⚠",IF(B2941&gt;12,"يتجاوز 12 بنداً في الطباعة ⚠","")))))</f>
        <v/>
      </c>
    </row>
    <row r="2942" customFormat="false" ht="15" hidden="false" customHeight="false" outlineLevel="0" collapsed="false">
      <c r="A2942" s="58"/>
      <c r="B2942" s="73" t="str">
        <f aca="false">IF(A2942="","",COUNTIF(A$5:A2942,A2942))</f>
        <v/>
      </c>
      <c r="C2942" s="73" t="str">
        <f aca="false">IF(A2942="","",A2942&amp;"-"&amp;B2942)</f>
        <v/>
      </c>
      <c r="D2942" s="58"/>
      <c r="E2942" s="57"/>
      <c r="F2942" s="69"/>
      <c r="G2942" s="69"/>
      <c r="H2942" s="74" t="str">
        <f aca="false">IF(A2942="","",IFERROR(INDEX(السندات!$C$5:$C$504,MATCH(A2942,السندات!$A$5:$A$504,0)),""))</f>
        <v/>
      </c>
      <c r="I2942" s="75" t="str">
        <f aca="false">IF(A2942="","",IFERROR(INDEX(السندات!$D$5:$D$504,MATCH(A2942,السندات!$A$5:$A$504,0)),""))</f>
        <v/>
      </c>
      <c r="J2942" s="76" t="str">
        <f aca="false">IF(A2942="","",IF(ISNA(MATCH(A2942,السندات!$A$5:$A$504,0)),"رقم سند غير موجود ✘",IF(AND(F2942&lt;&gt;"",G2942&lt;&gt;""),"اكتب مدين أو دائن فقط ✘",IF(AND(N(F2942)=0,N(G2942)=0),"بدون مبلغ ⚠",IF(B2942&gt;12,"يتجاوز 12 بنداً في الطباعة ⚠","")))))</f>
        <v/>
      </c>
    </row>
    <row r="2943" customFormat="false" ht="15" hidden="false" customHeight="false" outlineLevel="0" collapsed="false">
      <c r="A2943" s="58"/>
      <c r="B2943" s="68" t="str">
        <f aca="false">IF(A2943="","",COUNTIF(A$5:A2943,A2943))</f>
        <v/>
      </c>
      <c r="C2943" s="68" t="str">
        <f aca="false">IF(A2943="","",A2943&amp;"-"&amp;B2943)</f>
        <v/>
      </c>
      <c r="D2943" s="58"/>
      <c r="E2943" s="57"/>
      <c r="F2943" s="69"/>
      <c r="G2943" s="69"/>
      <c r="H2943" s="70" t="str">
        <f aca="false">IF(A2943="","",IFERROR(INDEX(السندات!$C$5:$C$504,MATCH(A2943,السندات!$A$5:$A$504,0)),""))</f>
        <v/>
      </c>
      <c r="I2943" s="71" t="str">
        <f aca="false">IF(A2943="","",IFERROR(INDEX(السندات!$D$5:$D$504,MATCH(A2943,السندات!$A$5:$A$504,0)),""))</f>
        <v/>
      </c>
      <c r="J2943" s="72" t="str">
        <f aca="false">IF(A2943="","",IF(ISNA(MATCH(A2943,السندات!$A$5:$A$504,0)),"رقم سند غير موجود ✘",IF(AND(F2943&lt;&gt;"",G2943&lt;&gt;""),"اكتب مدين أو دائن فقط ✘",IF(AND(N(F2943)=0,N(G2943)=0),"بدون مبلغ ⚠",IF(B2943&gt;12,"يتجاوز 12 بنداً في الطباعة ⚠","")))))</f>
        <v/>
      </c>
    </row>
    <row r="2944" customFormat="false" ht="15" hidden="false" customHeight="false" outlineLevel="0" collapsed="false">
      <c r="A2944" s="58"/>
      <c r="B2944" s="73" t="str">
        <f aca="false">IF(A2944="","",COUNTIF(A$5:A2944,A2944))</f>
        <v/>
      </c>
      <c r="C2944" s="73" t="str">
        <f aca="false">IF(A2944="","",A2944&amp;"-"&amp;B2944)</f>
        <v/>
      </c>
      <c r="D2944" s="58"/>
      <c r="E2944" s="57"/>
      <c r="F2944" s="69"/>
      <c r="G2944" s="69"/>
      <c r="H2944" s="74" t="str">
        <f aca="false">IF(A2944="","",IFERROR(INDEX(السندات!$C$5:$C$504,MATCH(A2944,السندات!$A$5:$A$504,0)),""))</f>
        <v/>
      </c>
      <c r="I2944" s="75" t="str">
        <f aca="false">IF(A2944="","",IFERROR(INDEX(السندات!$D$5:$D$504,MATCH(A2944,السندات!$A$5:$A$504,0)),""))</f>
        <v/>
      </c>
      <c r="J2944" s="76" t="str">
        <f aca="false">IF(A2944="","",IF(ISNA(MATCH(A2944,السندات!$A$5:$A$504,0)),"رقم سند غير موجود ✘",IF(AND(F2944&lt;&gt;"",G2944&lt;&gt;""),"اكتب مدين أو دائن فقط ✘",IF(AND(N(F2944)=0,N(G2944)=0),"بدون مبلغ ⚠",IF(B2944&gt;12,"يتجاوز 12 بنداً في الطباعة ⚠","")))))</f>
        <v/>
      </c>
    </row>
    <row r="2945" customFormat="false" ht="15" hidden="false" customHeight="false" outlineLevel="0" collapsed="false">
      <c r="A2945" s="58"/>
      <c r="B2945" s="68" t="str">
        <f aca="false">IF(A2945="","",COUNTIF(A$5:A2945,A2945))</f>
        <v/>
      </c>
      <c r="C2945" s="68" t="str">
        <f aca="false">IF(A2945="","",A2945&amp;"-"&amp;B2945)</f>
        <v/>
      </c>
      <c r="D2945" s="58"/>
      <c r="E2945" s="57"/>
      <c r="F2945" s="69"/>
      <c r="G2945" s="69"/>
      <c r="H2945" s="70" t="str">
        <f aca="false">IF(A2945="","",IFERROR(INDEX(السندات!$C$5:$C$504,MATCH(A2945,السندات!$A$5:$A$504,0)),""))</f>
        <v/>
      </c>
      <c r="I2945" s="71" t="str">
        <f aca="false">IF(A2945="","",IFERROR(INDEX(السندات!$D$5:$D$504,MATCH(A2945,السندات!$A$5:$A$504,0)),""))</f>
        <v/>
      </c>
      <c r="J2945" s="72" t="str">
        <f aca="false">IF(A2945="","",IF(ISNA(MATCH(A2945,السندات!$A$5:$A$504,0)),"رقم سند غير موجود ✘",IF(AND(F2945&lt;&gt;"",G2945&lt;&gt;""),"اكتب مدين أو دائن فقط ✘",IF(AND(N(F2945)=0,N(G2945)=0),"بدون مبلغ ⚠",IF(B2945&gt;12,"يتجاوز 12 بنداً في الطباعة ⚠","")))))</f>
        <v/>
      </c>
    </row>
    <row r="2946" customFormat="false" ht="15" hidden="false" customHeight="false" outlineLevel="0" collapsed="false">
      <c r="A2946" s="58"/>
      <c r="B2946" s="73" t="str">
        <f aca="false">IF(A2946="","",COUNTIF(A$5:A2946,A2946))</f>
        <v/>
      </c>
      <c r="C2946" s="73" t="str">
        <f aca="false">IF(A2946="","",A2946&amp;"-"&amp;B2946)</f>
        <v/>
      </c>
      <c r="D2946" s="58"/>
      <c r="E2946" s="57"/>
      <c r="F2946" s="69"/>
      <c r="G2946" s="69"/>
      <c r="H2946" s="74" t="str">
        <f aca="false">IF(A2946="","",IFERROR(INDEX(السندات!$C$5:$C$504,MATCH(A2946,السندات!$A$5:$A$504,0)),""))</f>
        <v/>
      </c>
      <c r="I2946" s="75" t="str">
        <f aca="false">IF(A2946="","",IFERROR(INDEX(السندات!$D$5:$D$504,MATCH(A2946,السندات!$A$5:$A$504,0)),""))</f>
        <v/>
      </c>
      <c r="J2946" s="76" t="str">
        <f aca="false">IF(A2946="","",IF(ISNA(MATCH(A2946,السندات!$A$5:$A$504,0)),"رقم سند غير موجود ✘",IF(AND(F2946&lt;&gt;"",G2946&lt;&gt;""),"اكتب مدين أو دائن فقط ✘",IF(AND(N(F2946)=0,N(G2946)=0),"بدون مبلغ ⚠",IF(B2946&gt;12,"يتجاوز 12 بنداً في الطباعة ⚠","")))))</f>
        <v/>
      </c>
    </row>
    <row r="2947" customFormat="false" ht="15" hidden="false" customHeight="false" outlineLevel="0" collapsed="false">
      <c r="A2947" s="58"/>
      <c r="B2947" s="68" t="str">
        <f aca="false">IF(A2947="","",COUNTIF(A$5:A2947,A2947))</f>
        <v/>
      </c>
      <c r="C2947" s="68" t="str">
        <f aca="false">IF(A2947="","",A2947&amp;"-"&amp;B2947)</f>
        <v/>
      </c>
      <c r="D2947" s="58"/>
      <c r="E2947" s="57"/>
      <c r="F2947" s="69"/>
      <c r="G2947" s="69"/>
      <c r="H2947" s="70" t="str">
        <f aca="false">IF(A2947="","",IFERROR(INDEX(السندات!$C$5:$C$504,MATCH(A2947,السندات!$A$5:$A$504,0)),""))</f>
        <v/>
      </c>
      <c r="I2947" s="71" t="str">
        <f aca="false">IF(A2947="","",IFERROR(INDEX(السندات!$D$5:$D$504,MATCH(A2947,السندات!$A$5:$A$504,0)),""))</f>
        <v/>
      </c>
      <c r="J2947" s="72" t="str">
        <f aca="false">IF(A2947="","",IF(ISNA(MATCH(A2947,السندات!$A$5:$A$504,0)),"رقم سند غير موجود ✘",IF(AND(F2947&lt;&gt;"",G2947&lt;&gt;""),"اكتب مدين أو دائن فقط ✘",IF(AND(N(F2947)=0,N(G2947)=0),"بدون مبلغ ⚠",IF(B2947&gt;12,"يتجاوز 12 بنداً في الطباعة ⚠","")))))</f>
        <v/>
      </c>
    </row>
    <row r="2948" customFormat="false" ht="15" hidden="false" customHeight="false" outlineLevel="0" collapsed="false">
      <c r="A2948" s="58"/>
      <c r="B2948" s="73" t="str">
        <f aca="false">IF(A2948="","",COUNTIF(A$5:A2948,A2948))</f>
        <v/>
      </c>
      <c r="C2948" s="73" t="str">
        <f aca="false">IF(A2948="","",A2948&amp;"-"&amp;B2948)</f>
        <v/>
      </c>
      <c r="D2948" s="58"/>
      <c r="E2948" s="57"/>
      <c r="F2948" s="69"/>
      <c r="G2948" s="69"/>
      <c r="H2948" s="74" t="str">
        <f aca="false">IF(A2948="","",IFERROR(INDEX(السندات!$C$5:$C$504,MATCH(A2948,السندات!$A$5:$A$504,0)),""))</f>
        <v/>
      </c>
      <c r="I2948" s="75" t="str">
        <f aca="false">IF(A2948="","",IFERROR(INDEX(السندات!$D$5:$D$504,MATCH(A2948,السندات!$A$5:$A$504,0)),""))</f>
        <v/>
      </c>
      <c r="J2948" s="76" t="str">
        <f aca="false">IF(A2948="","",IF(ISNA(MATCH(A2948,السندات!$A$5:$A$504,0)),"رقم سند غير موجود ✘",IF(AND(F2948&lt;&gt;"",G2948&lt;&gt;""),"اكتب مدين أو دائن فقط ✘",IF(AND(N(F2948)=0,N(G2948)=0),"بدون مبلغ ⚠",IF(B2948&gt;12,"يتجاوز 12 بنداً في الطباعة ⚠","")))))</f>
        <v/>
      </c>
    </row>
    <row r="2949" customFormat="false" ht="15" hidden="false" customHeight="false" outlineLevel="0" collapsed="false">
      <c r="A2949" s="58"/>
      <c r="B2949" s="68" t="str">
        <f aca="false">IF(A2949="","",COUNTIF(A$5:A2949,A2949))</f>
        <v/>
      </c>
      <c r="C2949" s="68" t="str">
        <f aca="false">IF(A2949="","",A2949&amp;"-"&amp;B2949)</f>
        <v/>
      </c>
      <c r="D2949" s="58"/>
      <c r="E2949" s="57"/>
      <c r="F2949" s="69"/>
      <c r="G2949" s="69"/>
      <c r="H2949" s="70" t="str">
        <f aca="false">IF(A2949="","",IFERROR(INDEX(السندات!$C$5:$C$504,MATCH(A2949,السندات!$A$5:$A$504,0)),""))</f>
        <v/>
      </c>
      <c r="I2949" s="71" t="str">
        <f aca="false">IF(A2949="","",IFERROR(INDEX(السندات!$D$5:$D$504,MATCH(A2949,السندات!$A$5:$A$504,0)),""))</f>
        <v/>
      </c>
      <c r="J2949" s="72" t="str">
        <f aca="false">IF(A2949="","",IF(ISNA(MATCH(A2949,السندات!$A$5:$A$504,0)),"رقم سند غير موجود ✘",IF(AND(F2949&lt;&gt;"",G2949&lt;&gt;""),"اكتب مدين أو دائن فقط ✘",IF(AND(N(F2949)=0,N(G2949)=0),"بدون مبلغ ⚠",IF(B2949&gt;12,"يتجاوز 12 بنداً في الطباعة ⚠","")))))</f>
        <v/>
      </c>
    </row>
    <row r="2950" customFormat="false" ht="15" hidden="false" customHeight="false" outlineLevel="0" collapsed="false">
      <c r="A2950" s="58"/>
      <c r="B2950" s="73" t="str">
        <f aca="false">IF(A2950="","",COUNTIF(A$5:A2950,A2950))</f>
        <v/>
      </c>
      <c r="C2950" s="73" t="str">
        <f aca="false">IF(A2950="","",A2950&amp;"-"&amp;B2950)</f>
        <v/>
      </c>
      <c r="D2950" s="58"/>
      <c r="E2950" s="57"/>
      <c r="F2950" s="69"/>
      <c r="G2950" s="69"/>
      <c r="H2950" s="74" t="str">
        <f aca="false">IF(A2950="","",IFERROR(INDEX(السندات!$C$5:$C$504,MATCH(A2950,السندات!$A$5:$A$504,0)),""))</f>
        <v/>
      </c>
      <c r="I2950" s="75" t="str">
        <f aca="false">IF(A2950="","",IFERROR(INDEX(السندات!$D$5:$D$504,MATCH(A2950,السندات!$A$5:$A$504,0)),""))</f>
        <v/>
      </c>
      <c r="J2950" s="76" t="str">
        <f aca="false">IF(A2950="","",IF(ISNA(MATCH(A2950,السندات!$A$5:$A$504,0)),"رقم سند غير موجود ✘",IF(AND(F2950&lt;&gt;"",G2950&lt;&gt;""),"اكتب مدين أو دائن فقط ✘",IF(AND(N(F2950)=0,N(G2950)=0),"بدون مبلغ ⚠",IF(B2950&gt;12,"يتجاوز 12 بنداً في الطباعة ⚠","")))))</f>
        <v/>
      </c>
    </row>
    <row r="2951" customFormat="false" ht="15" hidden="false" customHeight="false" outlineLevel="0" collapsed="false">
      <c r="A2951" s="58"/>
      <c r="B2951" s="68" t="str">
        <f aca="false">IF(A2951="","",COUNTIF(A$5:A2951,A2951))</f>
        <v/>
      </c>
      <c r="C2951" s="68" t="str">
        <f aca="false">IF(A2951="","",A2951&amp;"-"&amp;B2951)</f>
        <v/>
      </c>
      <c r="D2951" s="58"/>
      <c r="E2951" s="57"/>
      <c r="F2951" s="69"/>
      <c r="G2951" s="69"/>
      <c r="H2951" s="70" t="str">
        <f aca="false">IF(A2951="","",IFERROR(INDEX(السندات!$C$5:$C$504,MATCH(A2951,السندات!$A$5:$A$504,0)),""))</f>
        <v/>
      </c>
      <c r="I2951" s="71" t="str">
        <f aca="false">IF(A2951="","",IFERROR(INDEX(السندات!$D$5:$D$504,MATCH(A2951,السندات!$A$5:$A$504,0)),""))</f>
        <v/>
      </c>
      <c r="J2951" s="72" t="str">
        <f aca="false">IF(A2951="","",IF(ISNA(MATCH(A2951,السندات!$A$5:$A$504,0)),"رقم سند غير موجود ✘",IF(AND(F2951&lt;&gt;"",G2951&lt;&gt;""),"اكتب مدين أو دائن فقط ✘",IF(AND(N(F2951)=0,N(G2951)=0),"بدون مبلغ ⚠",IF(B2951&gt;12,"يتجاوز 12 بنداً في الطباعة ⚠","")))))</f>
        <v/>
      </c>
    </row>
    <row r="2952" customFormat="false" ht="15" hidden="false" customHeight="false" outlineLevel="0" collapsed="false">
      <c r="A2952" s="58"/>
      <c r="B2952" s="73" t="str">
        <f aca="false">IF(A2952="","",COUNTIF(A$5:A2952,A2952))</f>
        <v/>
      </c>
      <c r="C2952" s="73" t="str">
        <f aca="false">IF(A2952="","",A2952&amp;"-"&amp;B2952)</f>
        <v/>
      </c>
      <c r="D2952" s="58"/>
      <c r="E2952" s="57"/>
      <c r="F2952" s="69"/>
      <c r="G2952" s="69"/>
      <c r="H2952" s="74" t="str">
        <f aca="false">IF(A2952="","",IFERROR(INDEX(السندات!$C$5:$C$504,MATCH(A2952,السندات!$A$5:$A$504,0)),""))</f>
        <v/>
      </c>
      <c r="I2952" s="75" t="str">
        <f aca="false">IF(A2952="","",IFERROR(INDEX(السندات!$D$5:$D$504,MATCH(A2952,السندات!$A$5:$A$504,0)),""))</f>
        <v/>
      </c>
      <c r="J2952" s="76" t="str">
        <f aca="false">IF(A2952="","",IF(ISNA(MATCH(A2952,السندات!$A$5:$A$504,0)),"رقم سند غير موجود ✘",IF(AND(F2952&lt;&gt;"",G2952&lt;&gt;""),"اكتب مدين أو دائن فقط ✘",IF(AND(N(F2952)=0,N(G2952)=0),"بدون مبلغ ⚠",IF(B2952&gt;12,"يتجاوز 12 بنداً في الطباعة ⚠","")))))</f>
        <v/>
      </c>
    </row>
    <row r="2953" customFormat="false" ht="15" hidden="false" customHeight="false" outlineLevel="0" collapsed="false">
      <c r="A2953" s="58"/>
      <c r="B2953" s="68" t="str">
        <f aca="false">IF(A2953="","",COUNTIF(A$5:A2953,A2953))</f>
        <v/>
      </c>
      <c r="C2953" s="68" t="str">
        <f aca="false">IF(A2953="","",A2953&amp;"-"&amp;B2953)</f>
        <v/>
      </c>
      <c r="D2953" s="58"/>
      <c r="E2953" s="57"/>
      <c r="F2953" s="69"/>
      <c r="G2953" s="69"/>
      <c r="H2953" s="70" t="str">
        <f aca="false">IF(A2953="","",IFERROR(INDEX(السندات!$C$5:$C$504,MATCH(A2953,السندات!$A$5:$A$504,0)),""))</f>
        <v/>
      </c>
      <c r="I2953" s="71" t="str">
        <f aca="false">IF(A2953="","",IFERROR(INDEX(السندات!$D$5:$D$504,MATCH(A2953,السندات!$A$5:$A$504,0)),""))</f>
        <v/>
      </c>
      <c r="J2953" s="72" t="str">
        <f aca="false">IF(A2953="","",IF(ISNA(MATCH(A2953,السندات!$A$5:$A$504,0)),"رقم سند غير موجود ✘",IF(AND(F2953&lt;&gt;"",G2953&lt;&gt;""),"اكتب مدين أو دائن فقط ✘",IF(AND(N(F2953)=0,N(G2953)=0),"بدون مبلغ ⚠",IF(B2953&gt;12,"يتجاوز 12 بنداً في الطباعة ⚠","")))))</f>
        <v/>
      </c>
    </row>
    <row r="2954" customFormat="false" ht="15" hidden="false" customHeight="false" outlineLevel="0" collapsed="false">
      <c r="A2954" s="58"/>
      <c r="B2954" s="73" t="str">
        <f aca="false">IF(A2954="","",COUNTIF(A$5:A2954,A2954))</f>
        <v/>
      </c>
      <c r="C2954" s="73" t="str">
        <f aca="false">IF(A2954="","",A2954&amp;"-"&amp;B2954)</f>
        <v/>
      </c>
      <c r="D2954" s="58"/>
      <c r="E2954" s="57"/>
      <c r="F2954" s="69"/>
      <c r="G2954" s="69"/>
      <c r="H2954" s="74" t="str">
        <f aca="false">IF(A2954="","",IFERROR(INDEX(السندات!$C$5:$C$504,MATCH(A2954,السندات!$A$5:$A$504,0)),""))</f>
        <v/>
      </c>
      <c r="I2954" s="75" t="str">
        <f aca="false">IF(A2954="","",IFERROR(INDEX(السندات!$D$5:$D$504,MATCH(A2954,السندات!$A$5:$A$504,0)),""))</f>
        <v/>
      </c>
      <c r="J2954" s="76" t="str">
        <f aca="false">IF(A2954="","",IF(ISNA(MATCH(A2954,السندات!$A$5:$A$504,0)),"رقم سند غير موجود ✘",IF(AND(F2954&lt;&gt;"",G2954&lt;&gt;""),"اكتب مدين أو دائن فقط ✘",IF(AND(N(F2954)=0,N(G2954)=0),"بدون مبلغ ⚠",IF(B2954&gt;12,"يتجاوز 12 بنداً في الطباعة ⚠","")))))</f>
        <v/>
      </c>
    </row>
    <row r="2955" customFormat="false" ht="15" hidden="false" customHeight="false" outlineLevel="0" collapsed="false">
      <c r="A2955" s="58"/>
      <c r="B2955" s="68" t="str">
        <f aca="false">IF(A2955="","",COUNTIF(A$5:A2955,A2955))</f>
        <v/>
      </c>
      <c r="C2955" s="68" t="str">
        <f aca="false">IF(A2955="","",A2955&amp;"-"&amp;B2955)</f>
        <v/>
      </c>
      <c r="D2955" s="58"/>
      <c r="E2955" s="57"/>
      <c r="F2955" s="69"/>
      <c r="G2955" s="69"/>
      <c r="H2955" s="70" t="str">
        <f aca="false">IF(A2955="","",IFERROR(INDEX(السندات!$C$5:$C$504,MATCH(A2955,السندات!$A$5:$A$504,0)),""))</f>
        <v/>
      </c>
      <c r="I2955" s="71" t="str">
        <f aca="false">IF(A2955="","",IFERROR(INDEX(السندات!$D$5:$D$504,MATCH(A2955,السندات!$A$5:$A$504,0)),""))</f>
        <v/>
      </c>
      <c r="J2955" s="72" t="str">
        <f aca="false">IF(A2955="","",IF(ISNA(MATCH(A2955,السندات!$A$5:$A$504,0)),"رقم سند غير موجود ✘",IF(AND(F2955&lt;&gt;"",G2955&lt;&gt;""),"اكتب مدين أو دائن فقط ✘",IF(AND(N(F2955)=0,N(G2955)=0),"بدون مبلغ ⚠",IF(B2955&gt;12,"يتجاوز 12 بنداً في الطباعة ⚠","")))))</f>
        <v/>
      </c>
    </row>
    <row r="2956" customFormat="false" ht="15" hidden="false" customHeight="false" outlineLevel="0" collapsed="false">
      <c r="A2956" s="58"/>
      <c r="B2956" s="73" t="str">
        <f aca="false">IF(A2956="","",COUNTIF(A$5:A2956,A2956))</f>
        <v/>
      </c>
      <c r="C2956" s="73" t="str">
        <f aca="false">IF(A2956="","",A2956&amp;"-"&amp;B2956)</f>
        <v/>
      </c>
      <c r="D2956" s="58"/>
      <c r="E2956" s="57"/>
      <c r="F2956" s="69"/>
      <c r="G2956" s="69"/>
      <c r="H2956" s="74" t="str">
        <f aca="false">IF(A2956="","",IFERROR(INDEX(السندات!$C$5:$C$504,MATCH(A2956,السندات!$A$5:$A$504,0)),""))</f>
        <v/>
      </c>
      <c r="I2956" s="75" t="str">
        <f aca="false">IF(A2956="","",IFERROR(INDEX(السندات!$D$5:$D$504,MATCH(A2956,السندات!$A$5:$A$504,0)),""))</f>
        <v/>
      </c>
      <c r="J2956" s="76" t="str">
        <f aca="false">IF(A2956="","",IF(ISNA(MATCH(A2956,السندات!$A$5:$A$504,0)),"رقم سند غير موجود ✘",IF(AND(F2956&lt;&gt;"",G2956&lt;&gt;""),"اكتب مدين أو دائن فقط ✘",IF(AND(N(F2956)=0,N(G2956)=0),"بدون مبلغ ⚠",IF(B2956&gt;12,"يتجاوز 12 بنداً في الطباعة ⚠","")))))</f>
        <v/>
      </c>
    </row>
    <row r="2957" customFormat="false" ht="15" hidden="false" customHeight="false" outlineLevel="0" collapsed="false">
      <c r="A2957" s="58"/>
      <c r="B2957" s="68" t="str">
        <f aca="false">IF(A2957="","",COUNTIF(A$5:A2957,A2957))</f>
        <v/>
      </c>
      <c r="C2957" s="68" t="str">
        <f aca="false">IF(A2957="","",A2957&amp;"-"&amp;B2957)</f>
        <v/>
      </c>
      <c r="D2957" s="58"/>
      <c r="E2957" s="57"/>
      <c r="F2957" s="69"/>
      <c r="G2957" s="69"/>
      <c r="H2957" s="70" t="str">
        <f aca="false">IF(A2957="","",IFERROR(INDEX(السندات!$C$5:$C$504,MATCH(A2957,السندات!$A$5:$A$504,0)),""))</f>
        <v/>
      </c>
      <c r="I2957" s="71" t="str">
        <f aca="false">IF(A2957="","",IFERROR(INDEX(السندات!$D$5:$D$504,MATCH(A2957,السندات!$A$5:$A$504,0)),""))</f>
        <v/>
      </c>
      <c r="J2957" s="72" t="str">
        <f aca="false">IF(A2957="","",IF(ISNA(MATCH(A2957,السندات!$A$5:$A$504,0)),"رقم سند غير موجود ✘",IF(AND(F2957&lt;&gt;"",G2957&lt;&gt;""),"اكتب مدين أو دائن فقط ✘",IF(AND(N(F2957)=0,N(G2957)=0),"بدون مبلغ ⚠",IF(B2957&gt;12,"يتجاوز 12 بنداً في الطباعة ⚠","")))))</f>
        <v/>
      </c>
    </row>
    <row r="2958" customFormat="false" ht="15" hidden="false" customHeight="false" outlineLevel="0" collapsed="false">
      <c r="A2958" s="58"/>
      <c r="B2958" s="73" t="str">
        <f aca="false">IF(A2958="","",COUNTIF(A$5:A2958,A2958))</f>
        <v/>
      </c>
      <c r="C2958" s="73" t="str">
        <f aca="false">IF(A2958="","",A2958&amp;"-"&amp;B2958)</f>
        <v/>
      </c>
      <c r="D2958" s="58"/>
      <c r="E2958" s="57"/>
      <c r="F2958" s="69"/>
      <c r="G2958" s="69"/>
      <c r="H2958" s="74" t="str">
        <f aca="false">IF(A2958="","",IFERROR(INDEX(السندات!$C$5:$C$504,MATCH(A2958,السندات!$A$5:$A$504,0)),""))</f>
        <v/>
      </c>
      <c r="I2958" s="75" t="str">
        <f aca="false">IF(A2958="","",IFERROR(INDEX(السندات!$D$5:$D$504,MATCH(A2958,السندات!$A$5:$A$504,0)),""))</f>
        <v/>
      </c>
      <c r="J2958" s="76" t="str">
        <f aca="false">IF(A2958="","",IF(ISNA(MATCH(A2958,السندات!$A$5:$A$504,0)),"رقم سند غير موجود ✘",IF(AND(F2958&lt;&gt;"",G2958&lt;&gt;""),"اكتب مدين أو دائن فقط ✘",IF(AND(N(F2958)=0,N(G2958)=0),"بدون مبلغ ⚠",IF(B2958&gt;12,"يتجاوز 12 بنداً في الطباعة ⚠","")))))</f>
        <v/>
      </c>
    </row>
    <row r="2959" customFormat="false" ht="15" hidden="false" customHeight="false" outlineLevel="0" collapsed="false">
      <c r="A2959" s="58"/>
      <c r="B2959" s="68" t="str">
        <f aca="false">IF(A2959="","",COUNTIF(A$5:A2959,A2959))</f>
        <v/>
      </c>
      <c r="C2959" s="68" t="str">
        <f aca="false">IF(A2959="","",A2959&amp;"-"&amp;B2959)</f>
        <v/>
      </c>
      <c r="D2959" s="58"/>
      <c r="E2959" s="57"/>
      <c r="F2959" s="69"/>
      <c r="G2959" s="69"/>
      <c r="H2959" s="70" t="str">
        <f aca="false">IF(A2959="","",IFERROR(INDEX(السندات!$C$5:$C$504,MATCH(A2959,السندات!$A$5:$A$504,0)),""))</f>
        <v/>
      </c>
      <c r="I2959" s="71" t="str">
        <f aca="false">IF(A2959="","",IFERROR(INDEX(السندات!$D$5:$D$504,MATCH(A2959,السندات!$A$5:$A$504,0)),""))</f>
        <v/>
      </c>
      <c r="J2959" s="72" t="str">
        <f aca="false">IF(A2959="","",IF(ISNA(MATCH(A2959,السندات!$A$5:$A$504,0)),"رقم سند غير موجود ✘",IF(AND(F2959&lt;&gt;"",G2959&lt;&gt;""),"اكتب مدين أو دائن فقط ✘",IF(AND(N(F2959)=0,N(G2959)=0),"بدون مبلغ ⚠",IF(B2959&gt;12,"يتجاوز 12 بنداً في الطباعة ⚠","")))))</f>
        <v/>
      </c>
    </row>
    <row r="2960" customFormat="false" ht="15" hidden="false" customHeight="false" outlineLevel="0" collapsed="false">
      <c r="A2960" s="58"/>
      <c r="B2960" s="73" t="str">
        <f aca="false">IF(A2960="","",COUNTIF(A$5:A2960,A2960))</f>
        <v/>
      </c>
      <c r="C2960" s="73" t="str">
        <f aca="false">IF(A2960="","",A2960&amp;"-"&amp;B2960)</f>
        <v/>
      </c>
      <c r="D2960" s="58"/>
      <c r="E2960" s="57"/>
      <c r="F2960" s="69"/>
      <c r="G2960" s="69"/>
      <c r="H2960" s="74" t="str">
        <f aca="false">IF(A2960="","",IFERROR(INDEX(السندات!$C$5:$C$504,MATCH(A2960,السندات!$A$5:$A$504,0)),""))</f>
        <v/>
      </c>
      <c r="I2960" s="75" t="str">
        <f aca="false">IF(A2960="","",IFERROR(INDEX(السندات!$D$5:$D$504,MATCH(A2960,السندات!$A$5:$A$504,0)),""))</f>
        <v/>
      </c>
      <c r="J2960" s="76" t="str">
        <f aca="false">IF(A2960="","",IF(ISNA(MATCH(A2960,السندات!$A$5:$A$504,0)),"رقم سند غير موجود ✘",IF(AND(F2960&lt;&gt;"",G2960&lt;&gt;""),"اكتب مدين أو دائن فقط ✘",IF(AND(N(F2960)=0,N(G2960)=0),"بدون مبلغ ⚠",IF(B2960&gt;12,"يتجاوز 12 بنداً في الطباعة ⚠","")))))</f>
        <v/>
      </c>
    </row>
    <row r="2961" customFormat="false" ht="15" hidden="false" customHeight="false" outlineLevel="0" collapsed="false">
      <c r="A2961" s="58"/>
      <c r="B2961" s="68" t="str">
        <f aca="false">IF(A2961="","",COUNTIF(A$5:A2961,A2961))</f>
        <v/>
      </c>
      <c r="C2961" s="68" t="str">
        <f aca="false">IF(A2961="","",A2961&amp;"-"&amp;B2961)</f>
        <v/>
      </c>
      <c r="D2961" s="58"/>
      <c r="E2961" s="57"/>
      <c r="F2961" s="69"/>
      <c r="G2961" s="69"/>
      <c r="H2961" s="70" t="str">
        <f aca="false">IF(A2961="","",IFERROR(INDEX(السندات!$C$5:$C$504,MATCH(A2961,السندات!$A$5:$A$504,0)),""))</f>
        <v/>
      </c>
      <c r="I2961" s="71" t="str">
        <f aca="false">IF(A2961="","",IFERROR(INDEX(السندات!$D$5:$D$504,MATCH(A2961,السندات!$A$5:$A$504,0)),""))</f>
        <v/>
      </c>
      <c r="J2961" s="72" t="str">
        <f aca="false">IF(A2961="","",IF(ISNA(MATCH(A2961,السندات!$A$5:$A$504,0)),"رقم سند غير موجود ✘",IF(AND(F2961&lt;&gt;"",G2961&lt;&gt;""),"اكتب مدين أو دائن فقط ✘",IF(AND(N(F2961)=0,N(G2961)=0),"بدون مبلغ ⚠",IF(B2961&gt;12,"يتجاوز 12 بنداً في الطباعة ⚠","")))))</f>
        <v/>
      </c>
    </row>
    <row r="2962" customFormat="false" ht="15" hidden="false" customHeight="false" outlineLevel="0" collapsed="false">
      <c r="A2962" s="58"/>
      <c r="B2962" s="73" t="str">
        <f aca="false">IF(A2962="","",COUNTIF(A$5:A2962,A2962))</f>
        <v/>
      </c>
      <c r="C2962" s="73" t="str">
        <f aca="false">IF(A2962="","",A2962&amp;"-"&amp;B2962)</f>
        <v/>
      </c>
      <c r="D2962" s="58"/>
      <c r="E2962" s="57"/>
      <c r="F2962" s="69"/>
      <c r="G2962" s="69"/>
      <c r="H2962" s="74" t="str">
        <f aca="false">IF(A2962="","",IFERROR(INDEX(السندات!$C$5:$C$504,MATCH(A2962,السندات!$A$5:$A$504,0)),""))</f>
        <v/>
      </c>
      <c r="I2962" s="75" t="str">
        <f aca="false">IF(A2962="","",IFERROR(INDEX(السندات!$D$5:$D$504,MATCH(A2962,السندات!$A$5:$A$504,0)),""))</f>
        <v/>
      </c>
      <c r="J2962" s="76" t="str">
        <f aca="false">IF(A2962="","",IF(ISNA(MATCH(A2962,السندات!$A$5:$A$504,0)),"رقم سند غير موجود ✘",IF(AND(F2962&lt;&gt;"",G2962&lt;&gt;""),"اكتب مدين أو دائن فقط ✘",IF(AND(N(F2962)=0,N(G2962)=0),"بدون مبلغ ⚠",IF(B2962&gt;12,"يتجاوز 12 بنداً في الطباعة ⚠","")))))</f>
        <v/>
      </c>
    </row>
    <row r="2963" customFormat="false" ht="15" hidden="false" customHeight="false" outlineLevel="0" collapsed="false">
      <c r="A2963" s="58"/>
      <c r="B2963" s="68" t="str">
        <f aca="false">IF(A2963="","",COUNTIF(A$5:A2963,A2963))</f>
        <v/>
      </c>
      <c r="C2963" s="68" t="str">
        <f aca="false">IF(A2963="","",A2963&amp;"-"&amp;B2963)</f>
        <v/>
      </c>
      <c r="D2963" s="58"/>
      <c r="E2963" s="57"/>
      <c r="F2963" s="69"/>
      <c r="G2963" s="69"/>
      <c r="H2963" s="70" t="str">
        <f aca="false">IF(A2963="","",IFERROR(INDEX(السندات!$C$5:$C$504,MATCH(A2963,السندات!$A$5:$A$504,0)),""))</f>
        <v/>
      </c>
      <c r="I2963" s="71" t="str">
        <f aca="false">IF(A2963="","",IFERROR(INDEX(السندات!$D$5:$D$504,MATCH(A2963,السندات!$A$5:$A$504,0)),""))</f>
        <v/>
      </c>
      <c r="J2963" s="72" t="str">
        <f aca="false">IF(A2963="","",IF(ISNA(MATCH(A2963,السندات!$A$5:$A$504,0)),"رقم سند غير موجود ✘",IF(AND(F2963&lt;&gt;"",G2963&lt;&gt;""),"اكتب مدين أو دائن فقط ✘",IF(AND(N(F2963)=0,N(G2963)=0),"بدون مبلغ ⚠",IF(B2963&gt;12,"يتجاوز 12 بنداً في الطباعة ⚠","")))))</f>
        <v/>
      </c>
    </row>
    <row r="2964" customFormat="false" ht="15" hidden="false" customHeight="false" outlineLevel="0" collapsed="false">
      <c r="A2964" s="58"/>
      <c r="B2964" s="73" t="str">
        <f aca="false">IF(A2964="","",COUNTIF(A$5:A2964,A2964))</f>
        <v/>
      </c>
      <c r="C2964" s="73" t="str">
        <f aca="false">IF(A2964="","",A2964&amp;"-"&amp;B2964)</f>
        <v/>
      </c>
      <c r="D2964" s="58"/>
      <c r="E2964" s="57"/>
      <c r="F2964" s="69"/>
      <c r="G2964" s="69"/>
      <c r="H2964" s="74" t="str">
        <f aca="false">IF(A2964="","",IFERROR(INDEX(السندات!$C$5:$C$504,MATCH(A2964,السندات!$A$5:$A$504,0)),""))</f>
        <v/>
      </c>
      <c r="I2964" s="75" t="str">
        <f aca="false">IF(A2964="","",IFERROR(INDEX(السندات!$D$5:$D$504,MATCH(A2964,السندات!$A$5:$A$504,0)),""))</f>
        <v/>
      </c>
      <c r="J2964" s="76" t="str">
        <f aca="false">IF(A2964="","",IF(ISNA(MATCH(A2964,السندات!$A$5:$A$504,0)),"رقم سند غير موجود ✘",IF(AND(F2964&lt;&gt;"",G2964&lt;&gt;""),"اكتب مدين أو دائن فقط ✘",IF(AND(N(F2964)=0,N(G2964)=0),"بدون مبلغ ⚠",IF(B2964&gt;12,"يتجاوز 12 بنداً في الطباعة ⚠","")))))</f>
        <v/>
      </c>
    </row>
    <row r="2965" customFormat="false" ht="15" hidden="false" customHeight="false" outlineLevel="0" collapsed="false">
      <c r="A2965" s="58"/>
      <c r="B2965" s="68" t="str">
        <f aca="false">IF(A2965="","",COUNTIF(A$5:A2965,A2965))</f>
        <v/>
      </c>
      <c r="C2965" s="68" t="str">
        <f aca="false">IF(A2965="","",A2965&amp;"-"&amp;B2965)</f>
        <v/>
      </c>
      <c r="D2965" s="58"/>
      <c r="E2965" s="57"/>
      <c r="F2965" s="69"/>
      <c r="G2965" s="69"/>
      <c r="H2965" s="70" t="str">
        <f aca="false">IF(A2965="","",IFERROR(INDEX(السندات!$C$5:$C$504,MATCH(A2965,السندات!$A$5:$A$504,0)),""))</f>
        <v/>
      </c>
      <c r="I2965" s="71" t="str">
        <f aca="false">IF(A2965="","",IFERROR(INDEX(السندات!$D$5:$D$504,MATCH(A2965,السندات!$A$5:$A$504,0)),""))</f>
        <v/>
      </c>
      <c r="J2965" s="72" t="str">
        <f aca="false">IF(A2965="","",IF(ISNA(MATCH(A2965,السندات!$A$5:$A$504,0)),"رقم سند غير موجود ✘",IF(AND(F2965&lt;&gt;"",G2965&lt;&gt;""),"اكتب مدين أو دائن فقط ✘",IF(AND(N(F2965)=0,N(G2965)=0),"بدون مبلغ ⚠",IF(B2965&gt;12,"يتجاوز 12 بنداً في الطباعة ⚠","")))))</f>
        <v/>
      </c>
    </row>
    <row r="2966" customFormat="false" ht="15" hidden="false" customHeight="false" outlineLevel="0" collapsed="false">
      <c r="A2966" s="58"/>
      <c r="B2966" s="73" t="str">
        <f aca="false">IF(A2966="","",COUNTIF(A$5:A2966,A2966))</f>
        <v/>
      </c>
      <c r="C2966" s="73" t="str">
        <f aca="false">IF(A2966="","",A2966&amp;"-"&amp;B2966)</f>
        <v/>
      </c>
      <c r="D2966" s="58"/>
      <c r="E2966" s="57"/>
      <c r="F2966" s="69"/>
      <c r="G2966" s="69"/>
      <c r="H2966" s="74" t="str">
        <f aca="false">IF(A2966="","",IFERROR(INDEX(السندات!$C$5:$C$504,MATCH(A2966,السندات!$A$5:$A$504,0)),""))</f>
        <v/>
      </c>
      <c r="I2966" s="75" t="str">
        <f aca="false">IF(A2966="","",IFERROR(INDEX(السندات!$D$5:$D$504,MATCH(A2966,السندات!$A$5:$A$504,0)),""))</f>
        <v/>
      </c>
      <c r="J2966" s="76" t="str">
        <f aca="false">IF(A2966="","",IF(ISNA(MATCH(A2966,السندات!$A$5:$A$504,0)),"رقم سند غير موجود ✘",IF(AND(F2966&lt;&gt;"",G2966&lt;&gt;""),"اكتب مدين أو دائن فقط ✘",IF(AND(N(F2966)=0,N(G2966)=0),"بدون مبلغ ⚠",IF(B2966&gt;12,"يتجاوز 12 بنداً في الطباعة ⚠","")))))</f>
        <v/>
      </c>
    </row>
    <row r="2967" customFormat="false" ht="15" hidden="false" customHeight="false" outlineLevel="0" collapsed="false">
      <c r="A2967" s="58"/>
      <c r="B2967" s="68" t="str">
        <f aca="false">IF(A2967="","",COUNTIF(A$5:A2967,A2967))</f>
        <v/>
      </c>
      <c r="C2967" s="68" t="str">
        <f aca="false">IF(A2967="","",A2967&amp;"-"&amp;B2967)</f>
        <v/>
      </c>
      <c r="D2967" s="58"/>
      <c r="E2967" s="57"/>
      <c r="F2967" s="69"/>
      <c r="G2967" s="69"/>
      <c r="H2967" s="70" t="str">
        <f aca="false">IF(A2967="","",IFERROR(INDEX(السندات!$C$5:$C$504,MATCH(A2967,السندات!$A$5:$A$504,0)),""))</f>
        <v/>
      </c>
      <c r="I2967" s="71" t="str">
        <f aca="false">IF(A2967="","",IFERROR(INDEX(السندات!$D$5:$D$504,MATCH(A2967,السندات!$A$5:$A$504,0)),""))</f>
        <v/>
      </c>
      <c r="J2967" s="72" t="str">
        <f aca="false">IF(A2967="","",IF(ISNA(MATCH(A2967,السندات!$A$5:$A$504,0)),"رقم سند غير موجود ✘",IF(AND(F2967&lt;&gt;"",G2967&lt;&gt;""),"اكتب مدين أو دائن فقط ✘",IF(AND(N(F2967)=0,N(G2967)=0),"بدون مبلغ ⚠",IF(B2967&gt;12,"يتجاوز 12 بنداً في الطباعة ⚠","")))))</f>
        <v/>
      </c>
    </row>
    <row r="2968" customFormat="false" ht="15" hidden="false" customHeight="false" outlineLevel="0" collapsed="false">
      <c r="A2968" s="58"/>
      <c r="B2968" s="73" t="str">
        <f aca="false">IF(A2968="","",COUNTIF(A$5:A2968,A2968))</f>
        <v/>
      </c>
      <c r="C2968" s="73" t="str">
        <f aca="false">IF(A2968="","",A2968&amp;"-"&amp;B2968)</f>
        <v/>
      </c>
      <c r="D2968" s="58"/>
      <c r="E2968" s="57"/>
      <c r="F2968" s="69"/>
      <c r="G2968" s="69"/>
      <c r="H2968" s="74" t="str">
        <f aca="false">IF(A2968="","",IFERROR(INDEX(السندات!$C$5:$C$504,MATCH(A2968,السندات!$A$5:$A$504,0)),""))</f>
        <v/>
      </c>
      <c r="I2968" s="75" t="str">
        <f aca="false">IF(A2968="","",IFERROR(INDEX(السندات!$D$5:$D$504,MATCH(A2968,السندات!$A$5:$A$504,0)),""))</f>
        <v/>
      </c>
      <c r="J2968" s="76" t="str">
        <f aca="false">IF(A2968="","",IF(ISNA(MATCH(A2968,السندات!$A$5:$A$504,0)),"رقم سند غير موجود ✘",IF(AND(F2968&lt;&gt;"",G2968&lt;&gt;""),"اكتب مدين أو دائن فقط ✘",IF(AND(N(F2968)=0,N(G2968)=0),"بدون مبلغ ⚠",IF(B2968&gt;12,"يتجاوز 12 بنداً في الطباعة ⚠","")))))</f>
        <v/>
      </c>
    </row>
    <row r="2969" customFormat="false" ht="15" hidden="false" customHeight="false" outlineLevel="0" collapsed="false">
      <c r="A2969" s="58"/>
      <c r="B2969" s="68" t="str">
        <f aca="false">IF(A2969="","",COUNTIF(A$5:A2969,A2969))</f>
        <v/>
      </c>
      <c r="C2969" s="68" t="str">
        <f aca="false">IF(A2969="","",A2969&amp;"-"&amp;B2969)</f>
        <v/>
      </c>
      <c r="D2969" s="58"/>
      <c r="E2969" s="57"/>
      <c r="F2969" s="69"/>
      <c r="G2969" s="69"/>
      <c r="H2969" s="70" t="str">
        <f aca="false">IF(A2969="","",IFERROR(INDEX(السندات!$C$5:$C$504,MATCH(A2969,السندات!$A$5:$A$504,0)),""))</f>
        <v/>
      </c>
      <c r="I2969" s="71" t="str">
        <f aca="false">IF(A2969="","",IFERROR(INDEX(السندات!$D$5:$D$504,MATCH(A2969,السندات!$A$5:$A$504,0)),""))</f>
        <v/>
      </c>
      <c r="J2969" s="72" t="str">
        <f aca="false">IF(A2969="","",IF(ISNA(MATCH(A2969,السندات!$A$5:$A$504,0)),"رقم سند غير موجود ✘",IF(AND(F2969&lt;&gt;"",G2969&lt;&gt;""),"اكتب مدين أو دائن فقط ✘",IF(AND(N(F2969)=0,N(G2969)=0),"بدون مبلغ ⚠",IF(B2969&gt;12,"يتجاوز 12 بنداً في الطباعة ⚠","")))))</f>
        <v/>
      </c>
    </row>
    <row r="2970" customFormat="false" ht="15" hidden="false" customHeight="false" outlineLevel="0" collapsed="false">
      <c r="A2970" s="58"/>
      <c r="B2970" s="73" t="str">
        <f aca="false">IF(A2970="","",COUNTIF(A$5:A2970,A2970))</f>
        <v/>
      </c>
      <c r="C2970" s="73" t="str">
        <f aca="false">IF(A2970="","",A2970&amp;"-"&amp;B2970)</f>
        <v/>
      </c>
      <c r="D2970" s="58"/>
      <c r="E2970" s="57"/>
      <c r="F2970" s="69"/>
      <c r="G2970" s="69"/>
      <c r="H2970" s="74" t="str">
        <f aca="false">IF(A2970="","",IFERROR(INDEX(السندات!$C$5:$C$504,MATCH(A2970,السندات!$A$5:$A$504,0)),""))</f>
        <v/>
      </c>
      <c r="I2970" s="75" t="str">
        <f aca="false">IF(A2970="","",IFERROR(INDEX(السندات!$D$5:$D$504,MATCH(A2970,السندات!$A$5:$A$504,0)),""))</f>
        <v/>
      </c>
      <c r="J2970" s="76" t="str">
        <f aca="false">IF(A2970="","",IF(ISNA(MATCH(A2970,السندات!$A$5:$A$504,0)),"رقم سند غير موجود ✘",IF(AND(F2970&lt;&gt;"",G2970&lt;&gt;""),"اكتب مدين أو دائن فقط ✘",IF(AND(N(F2970)=0,N(G2970)=0),"بدون مبلغ ⚠",IF(B2970&gt;12,"يتجاوز 12 بنداً في الطباعة ⚠","")))))</f>
        <v/>
      </c>
    </row>
    <row r="2971" customFormat="false" ht="15" hidden="false" customHeight="false" outlineLevel="0" collapsed="false">
      <c r="A2971" s="58"/>
      <c r="B2971" s="68" t="str">
        <f aca="false">IF(A2971="","",COUNTIF(A$5:A2971,A2971))</f>
        <v/>
      </c>
      <c r="C2971" s="68" t="str">
        <f aca="false">IF(A2971="","",A2971&amp;"-"&amp;B2971)</f>
        <v/>
      </c>
      <c r="D2971" s="58"/>
      <c r="E2971" s="57"/>
      <c r="F2971" s="69"/>
      <c r="G2971" s="69"/>
      <c r="H2971" s="70" t="str">
        <f aca="false">IF(A2971="","",IFERROR(INDEX(السندات!$C$5:$C$504,MATCH(A2971,السندات!$A$5:$A$504,0)),""))</f>
        <v/>
      </c>
      <c r="I2971" s="71" t="str">
        <f aca="false">IF(A2971="","",IFERROR(INDEX(السندات!$D$5:$D$504,MATCH(A2971,السندات!$A$5:$A$504,0)),""))</f>
        <v/>
      </c>
      <c r="J2971" s="72" t="str">
        <f aca="false">IF(A2971="","",IF(ISNA(MATCH(A2971,السندات!$A$5:$A$504,0)),"رقم سند غير موجود ✘",IF(AND(F2971&lt;&gt;"",G2971&lt;&gt;""),"اكتب مدين أو دائن فقط ✘",IF(AND(N(F2971)=0,N(G2971)=0),"بدون مبلغ ⚠",IF(B2971&gt;12,"يتجاوز 12 بنداً في الطباعة ⚠","")))))</f>
        <v/>
      </c>
    </row>
    <row r="2972" customFormat="false" ht="15" hidden="false" customHeight="false" outlineLevel="0" collapsed="false">
      <c r="A2972" s="58"/>
      <c r="B2972" s="73" t="str">
        <f aca="false">IF(A2972="","",COUNTIF(A$5:A2972,A2972))</f>
        <v/>
      </c>
      <c r="C2972" s="73" t="str">
        <f aca="false">IF(A2972="","",A2972&amp;"-"&amp;B2972)</f>
        <v/>
      </c>
      <c r="D2972" s="58"/>
      <c r="E2972" s="57"/>
      <c r="F2972" s="69"/>
      <c r="G2972" s="69"/>
      <c r="H2972" s="74" t="str">
        <f aca="false">IF(A2972="","",IFERROR(INDEX(السندات!$C$5:$C$504,MATCH(A2972,السندات!$A$5:$A$504,0)),""))</f>
        <v/>
      </c>
      <c r="I2972" s="75" t="str">
        <f aca="false">IF(A2972="","",IFERROR(INDEX(السندات!$D$5:$D$504,MATCH(A2972,السندات!$A$5:$A$504,0)),""))</f>
        <v/>
      </c>
      <c r="J2972" s="76" t="str">
        <f aca="false">IF(A2972="","",IF(ISNA(MATCH(A2972,السندات!$A$5:$A$504,0)),"رقم سند غير موجود ✘",IF(AND(F2972&lt;&gt;"",G2972&lt;&gt;""),"اكتب مدين أو دائن فقط ✘",IF(AND(N(F2972)=0,N(G2972)=0),"بدون مبلغ ⚠",IF(B2972&gt;12,"يتجاوز 12 بنداً في الطباعة ⚠","")))))</f>
        <v/>
      </c>
    </row>
    <row r="2973" customFormat="false" ht="15" hidden="false" customHeight="false" outlineLevel="0" collapsed="false">
      <c r="A2973" s="58"/>
      <c r="B2973" s="68" t="str">
        <f aca="false">IF(A2973="","",COUNTIF(A$5:A2973,A2973))</f>
        <v/>
      </c>
      <c r="C2973" s="68" t="str">
        <f aca="false">IF(A2973="","",A2973&amp;"-"&amp;B2973)</f>
        <v/>
      </c>
      <c r="D2973" s="58"/>
      <c r="E2973" s="57"/>
      <c r="F2973" s="69"/>
      <c r="G2973" s="69"/>
      <c r="H2973" s="70" t="str">
        <f aca="false">IF(A2973="","",IFERROR(INDEX(السندات!$C$5:$C$504,MATCH(A2973,السندات!$A$5:$A$504,0)),""))</f>
        <v/>
      </c>
      <c r="I2973" s="71" t="str">
        <f aca="false">IF(A2973="","",IFERROR(INDEX(السندات!$D$5:$D$504,MATCH(A2973,السندات!$A$5:$A$504,0)),""))</f>
        <v/>
      </c>
      <c r="J2973" s="72" t="str">
        <f aca="false">IF(A2973="","",IF(ISNA(MATCH(A2973,السندات!$A$5:$A$504,0)),"رقم سند غير موجود ✘",IF(AND(F2973&lt;&gt;"",G2973&lt;&gt;""),"اكتب مدين أو دائن فقط ✘",IF(AND(N(F2973)=0,N(G2973)=0),"بدون مبلغ ⚠",IF(B2973&gt;12,"يتجاوز 12 بنداً في الطباعة ⚠","")))))</f>
        <v/>
      </c>
    </row>
    <row r="2974" customFormat="false" ht="15" hidden="false" customHeight="false" outlineLevel="0" collapsed="false">
      <c r="A2974" s="58"/>
      <c r="B2974" s="73" t="str">
        <f aca="false">IF(A2974="","",COUNTIF(A$5:A2974,A2974))</f>
        <v/>
      </c>
      <c r="C2974" s="73" t="str">
        <f aca="false">IF(A2974="","",A2974&amp;"-"&amp;B2974)</f>
        <v/>
      </c>
      <c r="D2974" s="58"/>
      <c r="E2974" s="57"/>
      <c r="F2974" s="69"/>
      <c r="G2974" s="69"/>
      <c r="H2974" s="74" t="str">
        <f aca="false">IF(A2974="","",IFERROR(INDEX(السندات!$C$5:$C$504,MATCH(A2974,السندات!$A$5:$A$504,0)),""))</f>
        <v/>
      </c>
      <c r="I2974" s="75" t="str">
        <f aca="false">IF(A2974="","",IFERROR(INDEX(السندات!$D$5:$D$504,MATCH(A2974,السندات!$A$5:$A$504,0)),""))</f>
        <v/>
      </c>
      <c r="J2974" s="76" t="str">
        <f aca="false">IF(A2974="","",IF(ISNA(MATCH(A2974,السندات!$A$5:$A$504,0)),"رقم سند غير موجود ✘",IF(AND(F2974&lt;&gt;"",G2974&lt;&gt;""),"اكتب مدين أو دائن فقط ✘",IF(AND(N(F2974)=0,N(G2974)=0),"بدون مبلغ ⚠",IF(B2974&gt;12,"يتجاوز 12 بنداً في الطباعة ⚠","")))))</f>
        <v/>
      </c>
    </row>
    <row r="2975" customFormat="false" ht="15" hidden="false" customHeight="false" outlineLevel="0" collapsed="false">
      <c r="A2975" s="58"/>
      <c r="B2975" s="68" t="str">
        <f aca="false">IF(A2975="","",COUNTIF(A$5:A2975,A2975))</f>
        <v/>
      </c>
      <c r="C2975" s="68" t="str">
        <f aca="false">IF(A2975="","",A2975&amp;"-"&amp;B2975)</f>
        <v/>
      </c>
      <c r="D2975" s="58"/>
      <c r="E2975" s="57"/>
      <c r="F2975" s="69"/>
      <c r="G2975" s="69"/>
      <c r="H2975" s="70" t="str">
        <f aca="false">IF(A2975="","",IFERROR(INDEX(السندات!$C$5:$C$504,MATCH(A2975,السندات!$A$5:$A$504,0)),""))</f>
        <v/>
      </c>
      <c r="I2975" s="71" t="str">
        <f aca="false">IF(A2975="","",IFERROR(INDEX(السندات!$D$5:$D$504,MATCH(A2975,السندات!$A$5:$A$504,0)),""))</f>
        <v/>
      </c>
      <c r="J2975" s="72" t="str">
        <f aca="false">IF(A2975="","",IF(ISNA(MATCH(A2975,السندات!$A$5:$A$504,0)),"رقم سند غير موجود ✘",IF(AND(F2975&lt;&gt;"",G2975&lt;&gt;""),"اكتب مدين أو دائن فقط ✘",IF(AND(N(F2975)=0,N(G2975)=0),"بدون مبلغ ⚠",IF(B2975&gt;12,"يتجاوز 12 بنداً في الطباعة ⚠","")))))</f>
        <v/>
      </c>
    </row>
    <row r="2976" customFormat="false" ht="15" hidden="false" customHeight="false" outlineLevel="0" collapsed="false">
      <c r="A2976" s="58"/>
      <c r="B2976" s="73" t="str">
        <f aca="false">IF(A2976="","",COUNTIF(A$5:A2976,A2976))</f>
        <v/>
      </c>
      <c r="C2976" s="73" t="str">
        <f aca="false">IF(A2976="","",A2976&amp;"-"&amp;B2976)</f>
        <v/>
      </c>
      <c r="D2976" s="58"/>
      <c r="E2976" s="57"/>
      <c r="F2976" s="69"/>
      <c r="G2976" s="69"/>
      <c r="H2976" s="74" t="str">
        <f aca="false">IF(A2976="","",IFERROR(INDEX(السندات!$C$5:$C$504,MATCH(A2976,السندات!$A$5:$A$504,0)),""))</f>
        <v/>
      </c>
      <c r="I2976" s="75" t="str">
        <f aca="false">IF(A2976="","",IFERROR(INDEX(السندات!$D$5:$D$504,MATCH(A2976,السندات!$A$5:$A$504,0)),""))</f>
        <v/>
      </c>
      <c r="J2976" s="76" t="str">
        <f aca="false">IF(A2976="","",IF(ISNA(MATCH(A2976,السندات!$A$5:$A$504,0)),"رقم سند غير موجود ✘",IF(AND(F2976&lt;&gt;"",G2976&lt;&gt;""),"اكتب مدين أو دائن فقط ✘",IF(AND(N(F2976)=0,N(G2976)=0),"بدون مبلغ ⚠",IF(B2976&gt;12,"يتجاوز 12 بنداً في الطباعة ⚠","")))))</f>
        <v/>
      </c>
    </row>
    <row r="2977" customFormat="false" ht="15" hidden="false" customHeight="false" outlineLevel="0" collapsed="false">
      <c r="A2977" s="58"/>
      <c r="B2977" s="68" t="str">
        <f aca="false">IF(A2977="","",COUNTIF(A$5:A2977,A2977))</f>
        <v/>
      </c>
      <c r="C2977" s="68" t="str">
        <f aca="false">IF(A2977="","",A2977&amp;"-"&amp;B2977)</f>
        <v/>
      </c>
      <c r="D2977" s="58"/>
      <c r="E2977" s="57"/>
      <c r="F2977" s="69"/>
      <c r="G2977" s="69"/>
      <c r="H2977" s="70" t="str">
        <f aca="false">IF(A2977="","",IFERROR(INDEX(السندات!$C$5:$C$504,MATCH(A2977,السندات!$A$5:$A$504,0)),""))</f>
        <v/>
      </c>
      <c r="I2977" s="71" t="str">
        <f aca="false">IF(A2977="","",IFERROR(INDEX(السندات!$D$5:$D$504,MATCH(A2977,السندات!$A$5:$A$504,0)),""))</f>
        <v/>
      </c>
      <c r="J2977" s="72" t="str">
        <f aca="false">IF(A2977="","",IF(ISNA(MATCH(A2977,السندات!$A$5:$A$504,0)),"رقم سند غير موجود ✘",IF(AND(F2977&lt;&gt;"",G2977&lt;&gt;""),"اكتب مدين أو دائن فقط ✘",IF(AND(N(F2977)=0,N(G2977)=0),"بدون مبلغ ⚠",IF(B2977&gt;12,"يتجاوز 12 بنداً في الطباعة ⚠","")))))</f>
        <v/>
      </c>
    </row>
    <row r="2978" customFormat="false" ht="15" hidden="false" customHeight="false" outlineLevel="0" collapsed="false">
      <c r="A2978" s="58"/>
      <c r="B2978" s="73" t="str">
        <f aca="false">IF(A2978="","",COUNTIF(A$5:A2978,A2978))</f>
        <v/>
      </c>
      <c r="C2978" s="73" t="str">
        <f aca="false">IF(A2978="","",A2978&amp;"-"&amp;B2978)</f>
        <v/>
      </c>
      <c r="D2978" s="58"/>
      <c r="E2978" s="57"/>
      <c r="F2978" s="69"/>
      <c r="G2978" s="69"/>
      <c r="H2978" s="74" t="str">
        <f aca="false">IF(A2978="","",IFERROR(INDEX(السندات!$C$5:$C$504,MATCH(A2978,السندات!$A$5:$A$504,0)),""))</f>
        <v/>
      </c>
      <c r="I2978" s="75" t="str">
        <f aca="false">IF(A2978="","",IFERROR(INDEX(السندات!$D$5:$D$504,MATCH(A2978,السندات!$A$5:$A$504,0)),""))</f>
        <v/>
      </c>
      <c r="J2978" s="76" t="str">
        <f aca="false">IF(A2978="","",IF(ISNA(MATCH(A2978,السندات!$A$5:$A$504,0)),"رقم سند غير موجود ✘",IF(AND(F2978&lt;&gt;"",G2978&lt;&gt;""),"اكتب مدين أو دائن فقط ✘",IF(AND(N(F2978)=0,N(G2978)=0),"بدون مبلغ ⚠",IF(B2978&gt;12,"يتجاوز 12 بنداً في الطباعة ⚠","")))))</f>
        <v/>
      </c>
    </row>
    <row r="2979" customFormat="false" ht="15" hidden="false" customHeight="false" outlineLevel="0" collapsed="false">
      <c r="A2979" s="58"/>
      <c r="B2979" s="68" t="str">
        <f aca="false">IF(A2979="","",COUNTIF(A$5:A2979,A2979))</f>
        <v/>
      </c>
      <c r="C2979" s="68" t="str">
        <f aca="false">IF(A2979="","",A2979&amp;"-"&amp;B2979)</f>
        <v/>
      </c>
      <c r="D2979" s="58"/>
      <c r="E2979" s="57"/>
      <c r="F2979" s="69"/>
      <c r="G2979" s="69"/>
      <c r="H2979" s="70" t="str">
        <f aca="false">IF(A2979="","",IFERROR(INDEX(السندات!$C$5:$C$504,MATCH(A2979,السندات!$A$5:$A$504,0)),""))</f>
        <v/>
      </c>
      <c r="I2979" s="71" t="str">
        <f aca="false">IF(A2979="","",IFERROR(INDEX(السندات!$D$5:$D$504,MATCH(A2979,السندات!$A$5:$A$504,0)),""))</f>
        <v/>
      </c>
      <c r="J2979" s="72" t="str">
        <f aca="false">IF(A2979="","",IF(ISNA(MATCH(A2979,السندات!$A$5:$A$504,0)),"رقم سند غير موجود ✘",IF(AND(F2979&lt;&gt;"",G2979&lt;&gt;""),"اكتب مدين أو دائن فقط ✘",IF(AND(N(F2979)=0,N(G2979)=0),"بدون مبلغ ⚠",IF(B2979&gt;12,"يتجاوز 12 بنداً في الطباعة ⚠","")))))</f>
        <v/>
      </c>
    </row>
    <row r="2980" customFormat="false" ht="15" hidden="false" customHeight="false" outlineLevel="0" collapsed="false">
      <c r="A2980" s="58"/>
      <c r="B2980" s="73" t="str">
        <f aca="false">IF(A2980="","",COUNTIF(A$5:A2980,A2980))</f>
        <v/>
      </c>
      <c r="C2980" s="73" t="str">
        <f aca="false">IF(A2980="","",A2980&amp;"-"&amp;B2980)</f>
        <v/>
      </c>
      <c r="D2980" s="58"/>
      <c r="E2980" s="57"/>
      <c r="F2980" s="69"/>
      <c r="G2980" s="69"/>
      <c r="H2980" s="74" t="str">
        <f aca="false">IF(A2980="","",IFERROR(INDEX(السندات!$C$5:$C$504,MATCH(A2980,السندات!$A$5:$A$504,0)),""))</f>
        <v/>
      </c>
      <c r="I2980" s="75" t="str">
        <f aca="false">IF(A2980="","",IFERROR(INDEX(السندات!$D$5:$D$504,MATCH(A2980,السندات!$A$5:$A$504,0)),""))</f>
        <v/>
      </c>
      <c r="J2980" s="76" t="str">
        <f aca="false">IF(A2980="","",IF(ISNA(MATCH(A2980,السندات!$A$5:$A$504,0)),"رقم سند غير موجود ✘",IF(AND(F2980&lt;&gt;"",G2980&lt;&gt;""),"اكتب مدين أو دائن فقط ✘",IF(AND(N(F2980)=0,N(G2980)=0),"بدون مبلغ ⚠",IF(B2980&gt;12,"يتجاوز 12 بنداً في الطباعة ⚠","")))))</f>
        <v/>
      </c>
    </row>
    <row r="2981" customFormat="false" ht="15" hidden="false" customHeight="false" outlineLevel="0" collapsed="false">
      <c r="A2981" s="58"/>
      <c r="B2981" s="68" t="str">
        <f aca="false">IF(A2981="","",COUNTIF(A$5:A2981,A2981))</f>
        <v/>
      </c>
      <c r="C2981" s="68" t="str">
        <f aca="false">IF(A2981="","",A2981&amp;"-"&amp;B2981)</f>
        <v/>
      </c>
      <c r="D2981" s="58"/>
      <c r="E2981" s="57"/>
      <c r="F2981" s="69"/>
      <c r="G2981" s="69"/>
      <c r="H2981" s="70" t="str">
        <f aca="false">IF(A2981="","",IFERROR(INDEX(السندات!$C$5:$C$504,MATCH(A2981,السندات!$A$5:$A$504,0)),""))</f>
        <v/>
      </c>
      <c r="I2981" s="71" t="str">
        <f aca="false">IF(A2981="","",IFERROR(INDEX(السندات!$D$5:$D$504,MATCH(A2981,السندات!$A$5:$A$504,0)),""))</f>
        <v/>
      </c>
      <c r="J2981" s="72" t="str">
        <f aca="false">IF(A2981="","",IF(ISNA(MATCH(A2981,السندات!$A$5:$A$504,0)),"رقم سند غير موجود ✘",IF(AND(F2981&lt;&gt;"",G2981&lt;&gt;""),"اكتب مدين أو دائن فقط ✘",IF(AND(N(F2981)=0,N(G2981)=0),"بدون مبلغ ⚠",IF(B2981&gt;12,"يتجاوز 12 بنداً في الطباعة ⚠","")))))</f>
        <v/>
      </c>
    </row>
    <row r="2982" customFormat="false" ht="15" hidden="false" customHeight="false" outlineLevel="0" collapsed="false">
      <c r="A2982" s="58"/>
      <c r="B2982" s="73" t="str">
        <f aca="false">IF(A2982="","",COUNTIF(A$5:A2982,A2982))</f>
        <v/>
      </c>
      <c r="C2982" s="73" t="str">
        <f aca="false">IF(A2982="","",A2982&amp;"-"&amp;B2982)</f>
        <v/>
      </c>
      <c r="D2982" s="58"/>
      <c r="E2982" s="57"/>
      <c r="F2982" s="69"/>
      <c r="G2982" s="69"/>
      <c r="H2982" s="74" t="str">
        <f aca="false">IF(A2982="","",IFERROR(INDEX(السندات!$C$5:$C$504,MATCH(A2982,السندات!$A$5:$A$504,0)),""))</f>
        <v/>
      </c>
      <c r="I2982" s="75" t="str">
        <f aca="false">IF(A2982="","",IFERROR(INDEX(السندات!$D$5:$D$504,MATCH(A2982,السندات!$A$5:$A$504,0)),""))</f>
        <v/>
      </c>
      <c r="J2982" s="76" t="str">
        <f aca="false">IF(A2982="","",IF(ISNA(MATCH(A2982,السندات!$A$5:$A$504,0)),"رقم سند غير موجود ✘",IF(AND(F2982&lt;&gt;"",G2982&lt;&gt;""),"اكتب مدين أو دائن فقط ✘",IF(AND(N(F2982)=0,N(G2982)=0),"بدون مبلغ ⚠",IF(B2982&gt;12,"يتجاوز 12 بنداً في الطباعة ⚠","")))))</f>
        <v/>
      </c>
    </row>
    <row r="2983" customFormat="false" ht="15" hidden="false" customHeight="false" outlineLevel="0" collapsed="false">
      <c r="A2983" s="58"/>
      <c r="B2983" s="68" t="str">
        <f aca="false">IF(A2983="","",COUNTIF(A$5:A2983,A2983))</f>
        <v/>
      </c>
      <c r="C2983" s="68" t="str">
        <f aca="false">IF(A2983="","",A2983&amp;"-"&amp;B2983)</f>
        <v/>
      </c>
      <c r="D2983" s="58"/>
      <c r="E2983" s="57"/>
      <c r="F2983" s="69"/>
      <c r="G2983" s="69"/>
      <c r="H2983" s="70" t="str">
        <f aca="false">IF(A2983="","",IFERROR(INDEX(السندات!$C$5:$C$504,MATCH(A2983,السندات!$A$5:$A$504,0)),""))</f>
        <v/>
      </c>
      <c r="I2983" s="71" t="str">
        <f aca="false">IF(A2983="","",IFERROR(INDEX(السندات!$D$5:$D$504,MATCH(A2983,السندات!$A$5:$A$504,0)),""))</f>
        <v/>
      </c>
      <c r="J2983" s="72" t="str">
        <f aca="false">IF(A2983="","",IF(ISNA(MATCH(A2983,السندات!$A$5:$A$504,0)),"رقم سند غير موجود ✘",IF(AND(F2983&lt;&gt;"",G2983&lt;&gt;""),"اكتب مدين أو دائن فقط ✘",IF(AND(N(F2983)=0,N(G2983)=0),"بدون مبلغ ⚠",IF(B2983&gt;12,"يتجاوز 12 بنداً في الطباعة ⚠","")))))</f>
        <v/>
      </c>
    </row>
    <row r="2984" customFormat="false" ht="15" hidden="false" customHeight="false" outlineLevel="0" collapsed="false">
      <c r="A2984" s="58"/>
      <c r="B2984" s="73" t="str">
        <f aca="false">IF(A2984="","",COUNTIF(A$5:A2984,A2984))</f>
        <v/>
      </c>
      <c r="C2984" s="73" t="str">
        <f aca="false">IF(A2984="","",A2984&amp;"-"&amp;B2984)</f>
        <v/>
      </c>
      <c r="D2984" s="58"/>
      <c r="E2984" s="57"/>
      <c r="F2984" s="69"/>
      <c r="G2984" s="69"/>
      <c r="H2984" s="74" t="str">
        <f aca="false">IF(A2984="","",IFERROR(INDEX(السندات!$C$5:$C$504,MATCH(A2984,السندات!$A$5:$A$504,0)),""))</f>
        <v/>
      </c>
      <c r="I2984" s="75" t="str">
        <f aca="false">IF(A2984="","",IFERROR(INDEX(السندات!$D$5:$D$504,MATCH(A2984,السندات!$A$5:$A$504,0)),""))</f>
        <v/>
      </c>
      <c r="J2984" s="76" t="str">
        <f aca="false">IF(A2984="","",IF(ISNA(MATCH(A2984,السندات!$A$5:$A$504,0)),"رقم سند غير موجود ✘",IF(AND(F2984&lt;&gt;"",G2984&lt;&gt;""),"اكتب مدين أو دائن فقط ✘",IF(AND(N(F2984)=0,N(G2984)=0),"بدون مبلغ ⚠",IF(B2984&gt;12,"يتجاوز 12 بنداً في الطباعة ⚠","")))))</f>
        <v/>
      </c>
    </row>
    <row r="2985" customFormat="false" ht="15" hidden="false" customHeight="false" outlineLevel="0" collapsed="false">
      <c r="A2985" s="58"/>
      <c r="B2985" s="68" t="str">
        <f aca="false">IF(A2985="","",COUNTIF(A$5:A2985,A2985))</f>
        <v/>
      </c>
      <c r="C2985" s="68" t="str">
        <f aca="false">IF(A2985="","",A2985&amp;"-"&amp;B2985)</f>
        <v/>
      </c>
      <c r="D2985" s="58"/>
      <c r="E2985" s="57"/>
      <c r="F2985" s="69"/>
      <c r="G2985" s="69"/>
      <c r="H2985" s="70" t="str">
        <f aca="false">IF(A2985="","",IFERROR(INDEX(السندات!$C$5:$C$504,MATCH(A2985,السندات!$A$5:$A$504,0)),""))</f>
        <v/>
      </c>
      <c r="I2985" s="71" t="str">
        <f aca="false">IF(A2985="","",IFERROR(INDEX(السندات!$D$5:$D$504,MATCH(A2985,السندات!$A$5:$A$504,0)),""))</f>
        <v/>
      </c>
      <c r="J2985" s="72" t="str">
        <f aca="false">IF(A2985="","",IF(ISNA(MATCH(A2985,السندات!$A$5:$A$504,0)),"رقم سند غير موجود ✘",IF(AND(F2985&lt;&gt;"",G2985&lt;&gt;""),"اكتب مدين أو دائن فقط ✘",IF(AND(N(F2985)=0,N(G2985)=0),"بدون مبلغ ⚠",IF(B2985&gt;12,"يتجاوز 12 بنداً في الطباعة ⚠","")))))</f>
        <v/>
      </c>
    </row>
    <row r="2986" customFormat="false" ht="15" hidden="false" customHeight="false" outlineLevel="0" collapsed="false">
      <c r="A2986" s="58"/>
      <c r="B2986" s="73" t="str">
        <f aca="false">IF(A2986="","",COUNTIF(A$5:A2986,A2986))</f>
        <v/>
      </c>
      <c r="C2986" s="73" t="str">
        <f aca="false">IF(A2986="","",A2986&amp;"-"&amp;B2986)</f>
        <v/>
      </c>
      <c r="D2986" s="58"/>
      <c r="E2986" s="57"/>
      <c r="F2986" s="69"/>
      <c r="G2986" s="69"/>
      <c r="H2986" s="74" t="str">
        <f aca="false">IF(A2986="","",IFERROR(INDEX(السندات!$C$5:$C$504,MATCH(A2986,السندات!$A$5:$A$504,0)),""))</f>
        <v/>
      </c>
      <c r="I2986" s="75" t="str">
        <f aca="false">IF(A2986="","",IFERROR(INDEX(السندات!$D$5:$D$504,MATCH(A2986,السندات!$A$5:$A$504,0)),""))</f>
        <v/>
      </c>
      <c r="J2986" s="76" t="str">
        <f aca="false">IF(A2986="","",IF(ISNA(MATCH(A2986,السندات!$A$5:$A$504,0)),"رقم سند غير موجود ✘",IF(AND(F2986&lt;&gt;"",G2986&lt;&gt;""),"اكتب مدين أو دائن فقط ✘",IF(AND(N(F2986)=0,N(G2986)=0),"بدون مبلغ ⚠",IF(B2986&gt;12,"يتجاوز 12 بنداً في الطباعة ⚠","")))))</f>
        <v/>
      </c>
    </row>
    <row r="2987" customFormat="false" ht="15" hidden="false" customHeight="false" outlineLevel="0" collapsed="false">
      <c r="A2987" s="58"/>
      <c r="B2987" s="68" t="str">
        <f aca="false">IF(A2987="","",COUNTIF(A$5:A2987,A2987))</f>
        <v/>
      </c>
      <c r="C2987" s="68" t="str">
        <f aca="false">IF(A2987="","",A2987&amp;"-"&amp;B2987)</f>
        <v/>
      </c>
      <c r="D2987" s="58"/>
      <c r="E2987" s="57"/>
      <c r="F2987" s="69"/>
      <c r="G2987" s="69"/>
      <c r="H2987" s="70" t="str">
        <f aca="false">IF(A2987="","",IFERROR(INDEX(السندات!$C$5:$C$504,MATCH(A2987,السندات!$A$5:$A$504,0)),""))</f>
        <v/>
      </c>
      <c r="I2987" s="71" t="str">
        <f aca="false">IF(A2987="","",IFERROR(INDEX(السندات!$D$5:$D$504,MATCH(A2987,السندات!$A$5:$A$504,0)),""))</f>
        <v/>
      </c>
      <c r="J2987" s="72" t="str">
        <f aca="false">IF(A2987="","",IF(ISNA(MATCH(A2987,السندات!$A$5:$A$504,0)),"رقم سند غير موجود ✘",IF(AND(F2987&lt;&gt;"",G2987&lt;&gt;""),"اكتب مدين أو دائن فقط ✘",IF(AND(N(F2987)=0,N(G2987)=0),"بدون مبلغ ⚠",IF(B2987&gt;12,"يتجاوز 12 بنداً في الطباعة ⚠","")))))</f>
        <v/>
      </c>
    </row>
    <row r="2988" customFormat="false" ht="15" hidden="false" customHeight="false" outlineLevel="0" collapsed="false">
      <c r="A2988" s="58"/>
      <c r="B2988" s="73" t="str">
        <f aca="false">IF(A2988="","",COUNTIF(A$5:A2988,A2988))</f>
        <v/>
      </c>
      <c r="C2988" s="73" t="str">
        <f aca="false">IF(A2988="","",A2988&amp;"-"&amp;B2988)</f>
        <v/>
      </c>
      <c r="D2988" s="58"/>
      <c r="E2988" s="57"/>
      <c r="F2988" s="69"/>
      <c r="G2988" s="69"/>
      <c r="H2988" s="74" t="str">
        <f aca="false">IF(A2988="","",IFERROR(INDEX(السندات!$C$5:$C$504,MATCH(A2988,السندات!$A$5:$A$504,0)),""))</f>
        <v/>
      </c>
      <c r="I2988" s="75" t="str">
        <f aca="false">IF(A2988="","",IFERROR(INDEX(السندات!$D$5:$D$504,MATCH(A2988,السندات!$A$5:$A$504,0)),""))</f>
        <v/>
      </c>
      <c r="J2988" s="76" t="str">
        <f aca="false">IF(A2988="","",IF(ISNA(MATCH(A2988,السندات!$A$5:$A$504,0)),"رقم سند غير موجود ✘",IF(AND(F2988&lt;&gt;"",G2988&lt;&gt;""),"اكتب مدين أو دائن فقط ✘",IF(AND(N(F2988)=0,N(G2988)=0),"بدون مبلغ ⚠",IF(B2988&gt;12,"يتجاوز 12 بنداً في الطباعة ⚠","")))))</f>
        <v/>
      </c>
    </row>
    <row r="2989" customFormat="false" ht="15" hidden="false" customHeight="false" outlineLevel="0" collapsed="false">
      <c r="A2989" s="58"/>
      <c r="B2989" s="68" t="str">
        <f aca="false">IF(A2989="","",COUNTIF(A$5:A2989,A2989))</f>
        <v/>
      </c>
      <c r="C2989" s="68" t="str">
        <f aca="false">IF(A2989="","",A2989&amp;"-"&amp;B2989)</f>
        <v/>
      </c>
      <c r="D2989" s="58"/>
      <c r="E2989" s="57"/>
      <c r="F2989" s="69"/>
      <c r="G2989" s="69"/>
      <c r="H2989" s="70" t="str">
        <f aca="false">IF(A2989="","",IFERROR(INDEX(السندات!$C$5:$C$504,MATCH(A2989,السندات!$A$5:$A$504,0)),""))</f>
        <v/>
      </c>
      <c r="I2989" s="71" t="str">
        <f aca="false">IF(A2989="","",IFERROR(INDEX(السندات!$D$5:$D$504,MATCH(A2989,السندات!$A$5:$A$504,0)),""))</f>
        <v/>
      </c>
      <c r="J2989" s="72" t="str">
        <f aca="false">IF(A2989="","",IF(ISNA(MATCH(A2989,السندات!$A$5:$A$504,0)),"رقم سند غير موجود ✘",IF(AND(F2989&lt;&gt;"",G2989&lt;&gt;""),"اكتب مدين أو دائن فقط ✘",IF(AND(N(F2989)=0,N(G2989)=0),"بدون مبلغ ⚠",IF(B2989&gt;12,"يتجاوز 12 بنداً في الطباعة ⚠","")))))</f>
        <v/>
      </c>
    </row>
    <row r="2990" customFormat="false" ht="15" hidden="false" customHeight="false" outlineLevel="0" collapsed="false">
      <c r="A2990" s="58"/>
      <c r="B2990" s="73" t="str">
        <f aca="false">IF(A2990="","",COUNTIF(A$5:A2990,A2990))</f>
        <v/>
      </c>
      <c r="C2990" s="73" t="str">
        <f aca="false">IF(A2990="","",A2990&amp;"-"&amp;B2990)</f>
        <v/>
      </c>
      <c r="D2990" s="58"/>
      <c r="E2990" s="57"/>
      <c r="F2990" s="69"/>
      <c r="G2990" s="69"/>
      <c r="H2990" s="74" t="str">
        <f aca="false">IF(A2990="","",IFERROR(INDEX(السندات!$C$5:$C$504,MATCH(A2990,السندات!$A$5:$A$504,0)),""))</f>
        <v/>
      </c>
      <c r="I2990" s="75" t="str">
        <f aca="false">IF(A2990="","",IFERROR(INDEX(السندات!$D$5:$D$504,MATCH(A2990,السندات!$A$5:$A$504,0)),""))</f>
        <v/>
      </c>
      <c r="J2990" s="76" t="str">
        <f aca="false">IF(A2990="","",IF(ISNA(MATCH(A2990,السندات!$A$5:$A$504,0)),"رقم سند غير موجود ✘",IF(AND(F2990&lt;&gt;"",G2990&lt;&gt;""),"اكتب مدين أو دائن فقط ✘",IF(AND(N(F2990)=0,N(G2990)=0),"بدون مبلغ ⚠",IF(B2990&gt;12,"يتجاوز 12 بنداً في الطباعة ⚠","")))))</f>
        <v/>
      </c>
    </row>
    <row r="2991" customFormat="false" ht="15" hidden="false" customHeight="false" outlineLevel="0" collapsed="false">
      <c r="A2991" s="58"/>
      <c r="B2991" s="68" t="str">
        <f aca="false">IF(A2991="","",COUNTIF(A$5:A2991,A2991))</f>
        <v/>
      </c>
      <c r="C2991" s="68" t="str">
        <f aca="false">IF(A2991="","",A2991&amp;"-"&amp;B2991)</f>
        <v/>
      </c>
      <c r="D2991" s="58"/>
      <c r="E2991" s="57"/>
      <c r="F2991" s="69"/>
      <c r="G2991" s="69"/>
      <c r="H2991" s="70" t="str">
        <f aca="false">IF(A2991="","",IFERROR(INDEX(السندات!$C$5:$C$504,MATCH(A2991,السندات!$A$5:$A$504,0)),""))</f>
        <v/>
      </c>
      <c r="I2991" s="71" t="str">
        <f aca="false">IF(A2991="","",IFERROR(INDEX(السندات!$D$5:$D$504,MATCH(A2991,السندات!$A$5:$A$504,0)),""))</f>
        <v/>
      </c>
      <c r="J2991" s="72" t="str">
        <f aca="false">IF(A2991="","",IF(ISNA(MATCH(A2991,السندات!$A$5:$A$504,0)),"رقم سند غير موجود ✘",IF(AND(F2991&lt;&gt;"",G2991&lt;&gt;""),"اكتب مدين أو دائن فقط ✘",IF(AND(N(F2991)=0,N(G2991)=0),"بدون مبلغ ⚠",IF(B2991&gt;12,"يتجاوز 12 بنداً في الطباعة ⚠","")))))</f>
        <v/>
      </c>
    </row>
    <row r="2992" customFormat="false" ht="15" hidden="false" customHeight="false" outlineLevel="0" collapsed="false">
      <c r="A2992" s="58"/>
      <c r="B2992" s="73" t="str">
        <f aca="false">IF(A2992="","",COUNTIF(A$5:A2992,A2992))</f>
        <v/>
      </c>
      <c r="C2992" s="73" t="str">
        <f aca="false">IF(A2992="","",A2992&amp;"-"&amp;B2992)</f>
        <v/>
      </c>
      <c r="D2992" s="58"/>
      <c r="E2992" s="57"/>
      <c r="F2992" s="69"/>
      <c r="G2992" s="69"/>
      <c r="H2992" s="74" t="str">
        <f aca="false">IF(A2992="","",IFERROR(INDEX(السندات!$C$5:$C$504,MATCH(A2992,السندات!$A$5:$A$504,0)),""))</f>
        <v/>
      </c>
      <c r="I2992" s="75" t="str">
        <f aca="false">IF(A2992="","",IFERROR(INDEX(السندات!$D$5:$D$504,MATCH(A2992,السندات!$A$5:$A$504,0)),""))</f>
        <v/>
      </c>
      <c r="J2992" s="76" t="str">
        <f aca="false">IF(A2992="","",IF(ISNA(MATCH(A2992,السندات!$A$5:$A$504,0)),"رقم سند غير موجود ✘",IF(AND(F2992&lt;&gt;"",G2992&lt;&gt;""),"اكتب مدين أو دائن فقط ✘",IF(AND(N(F2992)=0,N(G2992)=0),"بدون مبلغ ⚠",IF(B2992&gt;12,"يتجاوز 12 بنداً في الطباعة ⚠","")))))</f>
        <v/>
      </c>
    </row>
    <row r="2993" customFormat="false" ht="15" hidden="false" customHeight="false" outlineLevel="0" collapsed="false">
      <c r="A2993" s="58"/>
      <c r="B2993" s="68" t="str">
        <f aca="false">IF(A2993="","",COUNTIF(A$5:A2993,A2993))</f>
        <v/>
      </c>
      <c r="C2993" s="68" t="str">
        <f aca="false">IF(A2993="","",A2993&amp;"-"&amp;B2993)</f>
        <v/>
      </c>
      <c r="D2993" s="58"/>
      <c r="E2993" s="57"/>
      <c r="F2993" s="69"/>
      <c r="G2993" s="69"/>
      <c r="H2993" s="70" t="str">
        <f aca="false">IF(A2993="","",IFERROR(INDEX(السندات!$C$5:$C$504,MATCH(A2993,السندات!$A$5:$A$504,0)),""))</f>
        <v/>
      </c>
      <c r="I2993" s="71" t="str">
        <f aca="false">IF(A2993="","",IFERROR(INDEX(السندات!$D$5:$D$504,MATCH(A2993,السندات!$A$5:$A$504,0)),""))</f>
        <v/>
      </c>
      <c r="J2993" s="72" t="str">
        <f aca="false">IF(A2993="","",IF(ISNA(MATCH(A2993,السندات!$A$5:$A$504,0)),"رقم سند غير موجود ✘",IF(AND(F2993&lt;&gt;"",G2993&lt;&gt;""),"اكتب مدين أو دائن فقط ✘",IF(AND(N(F2993)=0,N(G2993)=0),"بدون مبلغ ⚠",IF(B2993&gt;12,"يتجاوز 12 بنداً في الطباعة ⚠","")))))</f>
        <v/>
      </c>
    </row>
    <row r="2994" customFormat="false" ht="15" hidden="false" customHeight="false" outlineLevel="0" collapsed="false">
      <c r="A2994" s="58"/>
      <c r="B2994" s="73" t="str">
        <f aca="false">IF(A2994="","",COUNTIF(A$5:A2994,A2994))</f>
        <v/>
      </c>
      <c r="C2994" s="73" t="str">
        <f aca="false">IF(A2994="","",A2994&amp;"-"&amp;B2994)</f>
        <v/>
      </c>
      <c r="D2994" s="58"/>
      <c r="E2994" s="57"/>
      <c r="F2994" s="69"/>
      <c r="G2994" s="69"/>
      <c r="H2994" s="74" t="str">
        <f aca="false">IF(A2994="","",IFERROR(INDEX(السندات!$C$5:$C$504,MATCH(A2994,السندات!$A$5:$A$504,0)),""))</f>
        <v/>
      </c>
      <c r="I2994" s="75" t="str">
        <f aca="false">IF(A2994="","",IFERROR(INDEX(السندات!$D$5:$D$504,MATCH(A2994,السندات!$A$5:$A$504,0)),""))</f>
        <v/>
      </c>
      <c r="J2994" s="76" t="str">
        <f aca="false">IF(A2994="","",IF(ISNA(MATCH(A2994,السندات!$A$5:$A$504,0)),"رقم سند غير موجود ✘",IF(AND(F2994&lt;&gt;"",G2994&lt;&gt;""),"اكتب مدين أو دائن فقط ✘",IF(AND(N(F2994)=0,N(G2994)=0),"بدون مبلغ ⚠",IF(B2994&gt;12,"يتجاوز 12 بنداً في الطباعة ⚠","")))))</f>
        <v/>
      </c>
    </row>
    <row r="2995" customFormat="false" ht="15" hidden="false" customHeight="false" outlineLevel="0" collapsed="false">
      <c r="A2995" s="58"/>
      <c r="B2995" s="68" t="str">
        <f aca="false">IF(A2995="","",COUNTIF(A$5:A2995,A2995))</f>
        <v/>
      </c>
      <c r="C2995" s="68" t="str">
        <f aca="false">IF(A2995="","",A2995&amp;"-"&amp;B2995)</f>
        <v/>
      </c>
      <c r="D2995" s="58"/>
      <c r="E2995" s="57"/>
      <c r="F2995" s="69"/>
      <c r="G2995" s="69"/>
      <c r="H2995" s="70" t="str">
        <f aca="false">IF(A2995="","",IFERROR(INDEX(السندات!$C$5:$C$504,MATCH(A2995,السندات!$A$5:$A$504,0)),""))</f>
        <v/>
      </c>
      <c r="I2995" s="71" t="str">
        <f aca="false">IF(A2995="","",IFERROR(INDEX(السندات!$D$5:$D$504,MATCH(A2995,السندات!$A$5:$A$504,0)),""))</f>
        <v/>
      </c>
      <c r="J2995" s="72" t="str">
        <f aca="false">IF(A2995="","",IF(ISNA(MATCH(A2995,السندات!$A$5:$A$504,0)),"رقم سند غير موجود ✘",IF(AND(F2995&lt;&gt;"",G2995&lt;&gt;""),"اكتب مدين أو دائن فقط ✘",IF(AND(N(F2995)=0,N(G2995)=0),"بدون مبلغ ⚠",IF(B2995&gt;12,"يتجاوز 12 بنداً في الطباعة ⚠","")))))</f>
        <v/>
      </c>
    </row>
    <row r="2996" customFormat="false" ht="15" hidden="false" customHeight="false" outlineLevel="0" collapsed="false">
      <c r="A2996" s="58"/>
      <c r="B2996" s="73" t="str">
        <f aca="false">IF(A2996="","",COUNTIF(A$5:A2996,A2996))</f>
        <v/>
      </c>
      <c r="C2996" s="73" t="str">
        <f aca="false">IF(A2996="","",A2996&amp;"-"&amp;B2996)</f>
        <v/>
      </c>
      <c r="D2996" s="58"/>
      <c r="E2996" s="57"/>
      <c r="F2996" s="69"/>
      <c r="G2996" s="69"/>
      <c r="H2996" s="74" t="str">
        <f aca="false">IF(A2996="","",IFERROR(INDEX(السندات!$C$5:$C$504,MATCH(A2996,السندات!$A$5:$A$504,0)),""))</f>
        <v/>
      </c>
      <c r="I2996" s="75" t="str">
        <f aca="false">IF(A2996="","",IFERROR(INDEX(السندات!$D$5:$D$504,MATCH(A2996,السندات!$A$5:$A$504,0)),""))</f>
        <v/>
      </c>
      <c r="J2996" s="76" t="str">
        <f aca="false">IF(A2996="","",IF(ISNA(MATCH(A2996,السندات!$A$5:$A$504,0)),"رقم سند غير موجود ✘",IF(AND(F2996&lt;&gt;"",G2996&lt;&gt;""),"اكتب مدين أو دائن فقط ✘",IF(AND(N(F2996)=0,N(G2996)=0),"بدون مبلغ ⚠",IF(B2996&gt;12,"يتجاوز 12 بنداً في الطباعة ⚠","")))))</f>
        <v/>
      </c>
    </row>
    <row r="2997" customFormat="false" ht="15" hidden="false" customHeight="false" outlineLevel="0" collapsed="false">
      <c r="A2997" s="58"/>
      <c r="B2997" s="68" t="str">
        <f aca="false">IF(A2997="","",COUNTIF(A$5:A2997,A2997))</f>
        <v/>
      </c>
      <c r="C2997" s="68" t="str">
        <f aca="false">IF(A2997="","",A2997&amp;"-"&amp;B2997)</f>
        <v/>
      </c>
      <c r="D2997" s="58"/>
      <c r="E2997" s="57"/>
      <c r="F2997" s="69"/>
      <c r="G2997" s="69"/>
      <c r="H2997" s="70" t="str">
        <f aca="false">IF(A2997="","",IFERROR(INDEX(السندات!$C$5:$C$504,MATCH(A2997,السندات!$A$5:$A$504,0)),""))</f>
        <v/>
      </c>
      <c r="I2997" s="71" t="str">
        <f aca="false">IF(A2997="","",IFERROR(INDEX(السندات!$D$5:$D$504,MATCH(A2997,السندات!$A$5:$A$504,0)),""))</f>
        <v/>
      </c>
      <c r="J2997" s="72" t="str">
        <f aca="false">IF(A2997="","",IF(ISNA(MATCH(A2997,السندات!$A$5:$A$504,0)),"رقم سند غير موجود ✘",IF(AND(F2997&lt;&gt;"",G2997&lt;&gt;""),"اكتب مدين أو دائن فقط ✘",IF(AND(N(F2997)=0,N(G2997)=0),"بدون مبلغ ⚠",IF(B2997&gt;12,"يتجاوز 12 بنداً في الطباعة ⚠","")))))</f>
        <v/>
      </c>
    </row>
    <row r="2998" customFormat="false" ht="15" hidden="false" customHeight="false" outlineLevel="0" collapsed="false">
      <c r="A2998" s="58"/>
      <c r="B2998" s="73" t="str">
        <f aca="false">IF(A2998="","",COUNTIF(A$5:A2998,A2998))</f>
        <v/>
      </c>
      <c r="C2998" s="73" t="str">
        <f aca="false">IF(A2998="","",A2998&amp;"-"&amp;B2998)</f>
        <v/>
      </c>
      <c r="D2998" s="58"/>
      <c r="E2998" s="57"/>
      <c r="F2998" s="69"/>
      <c r="G2998" s="69"/>
      <c r="H2998" s="74" t="str">
        <f aca="false">IF(A2998="","",IFERROR(INDEX(السندات!$C$5:$C$504,MATCH(A2998,السندات!$A$5:$A$504,0)),""))</f>
        <v/>
      </c>
      <c r="I2998" s="75" t="str">
        <f aca="false">IF(A2998="","",IFERROR(INDEX(السندات!$D$5:$D$504,MATCH(A2998,السندات!$A$5:$A$504,0)),""))</f>
        <v/>
      </c>
      <c r="J2998" s="76" t="str">
        <f aca="false">IF(A2998="","",IF(ISNA(MATCH(A2998,السندات!$A$5:$A$504,0)),"رقم سند غير موجود ✘",IF(AND(F2998&lt;&gt;"",G2998&lt;&gt;""),"اكتب مدين أو دائن فقط ✘",IF(AND(N(F2998)=0,N(G2998)=0),"بدون مبلغ ⚠",IF(B2998&gt;12,"يتجاوز 12 بنداً في الطباعة ⚠","")))))</f>
        <v/>
      </c>
    </row>
    <row r="2999" customFormat="false" ht="15" hidden="false" customHeight="false" outlineLevel="0" collapsed="false">
      <c r="A2999" s="58"/>
      <c r="B2999" s="68" t="str">
        <f aca="false">IF(A2999="","",COUNTIF(A$5:A2999,A2999))</f>
        <v/>
      </c>
      <c r="C2999" s="68" t="str">
        <f aca="false">IF(A2999="","",A2999&amp;"-"&amp;B2999)</f>
        <v/>
      </c>
      <c r="D2999" s="58"/>
      <c r="E2999" s="57"/>
      <c r="F2999" s="69"/>
      <c r="G2999" s="69"/>
      <c r="H2999" s="70" t="str">
        <f aca="false">IF(A2999="","",IFERROR(INDEX(السندات!$C$5:$C$504,MATCH(A2999,السندات!$A$5:$A$504,0)),""))</f>
        <v/>
      </c>
      <c r="I2999" s="71" t="str">
        <f aca="false">IF(A2999="","",IFERROR(INDEX(السندات!$D$5:$D$504,MATCH(A2999,السندات!$A$5:$A$504,0)),""))</f>
        <v/>
      </c>
      <c r="J2999" s="72" t="str">
        <f aca="false">IF(A2999="","",IF(ISNA(MATCH(A2999,السندات!$A$5:$A$504,0)),"رقم سند غير موجود ✘",IF(AND(F2999&lt;&gt;"",G2999&lt;&gt;""),"اكتب مدين أو دائن فقط ✘",IF(AND(N(F2999)=0,N(G2999)=0),"بدون مبلغ ⚠",IF(B2999&gt;12,"يتجاوز 12 بنداً في الطباعة ⚠","")))))</f>
        <v/>
      </c>
    </row>
    <row r="3000" customFormat="false" ht="15" hidden="false" customHeight="false" outlineLevel="0" collapsed="false">
      <c r="A3000" s="58"/>
      <c r="B3000" s="73" t="str">
        <f aca="false">IF(A3000="","",COUNTIF(A$5:A3000,A3000))</f>
        <v/>
      </c>
      <c r="C3000" s="73" t="str">
        <f aca="false">IF(A3000="","",A3000&amp;"-"&amp;B3000)</f>
        <v/>
      </c>
      <c r="D3000" s="58"/>
      <c r="E3000" s="57"/>
      <c r="F3000" s="69"/>
      <c r="G3000" s="69"/>
      <c r="H3000" s="74" t="str">
        <f aca="false">IF(A3000="","",IFERROR(INDEX(السندات!$C$5:$C$504,MATCH(A3000,السندات!$A$5:$A$504,0)),""))</f>
        <v/>
      </c>
      <c r="I3000" s="75" t="str">
        <f aca="false">IF(A3000="","",IFERROR(INDEX(السندات!$D$5:$D$504,MATCH(A3000,السندات!$A$5:$A$504,0)),""))</f>
        <v/>
      </c>
      <c r="J3000" s="76" t="str">
        <f aca="false">IF(A3000="","",IF(ISNA(MATCH(A3000,السندات!$A$5:$A$504,0)),"رقم سند غير موجود ✘",IF(AND(F3000&lt;&gt;"",G3000&lt;&gt;""),"اكتب مدين أو دائن فقط ✘",IF(AND(N(F3000)=0,N(G3000)=0),"بدون مبلغ ⚠",IF(B3000&gt;12,"يتجاوز 12 بنداً في الطباعة ⚠","")))))</f>
        <v/>
      </c>
    </row>
    <row r="3001" customFormat="false" ht="15" hidden="false" customHeight="false" outlineLevel="0" collapsed="false">
      <c r="A3001" s="58"/>
      <c r="B3001" s="68" t="str">
        <f aca="false">IF(A3001="","",COUNTIF(A$5:A3001,A3001))</f>
        <v/>
      </c>
      <c r="C3001" s="68" t="str">
        <f aca="false">IF(A3001="","",A3001&amp;"-"&amp;B3001)</f>
        <v/>
      </c>
      <c r="D3001" s="58"/>
      <c r="E3001" s="57"/>
      <c r="F3001" s="69"/>
      <c r="G3001" s="69"/>
      <c r="H3001" s="70" t="str">
        <f aca="false">IF(A3001="","",IFERROR(INDEX(السندات!$C$5:$C$504,MATCH(A3001,السندات!$A$5:$A$504,0)),""))</f>
        <v/>
      </c>
      <c r="I3001" s="71" t="str">
        <f aca="false">IF(A3001="","",IFERROR(INDEX(السندات!$D$5:$D$504,MATCH(A3001,السندات!$A$5:$A$504,0)),""))</f>
        <v/>
      </c>
      <c r="J3001" s="72" t="str">
        <f aca="false">IF(A3001="","",IF(ISNA(MATCH(A3001,السندات!$A$5:$A$504,0)),"رقم سند غير موجود ✘",IF(AND(F3001&lt;&gt;"",G3001&lt;&gt;""),"اكتب مدين أو دائن فقط ✘",IF(AND(N(F3001)=0,N(G3001)=0),"بدون مبلغ ⚠",IF(B3001&gt;12,"يتجاوز 12 بنداً في الطباعة ⚠","")))))</f>
        <v/>
      </c>
    </row>
    <row r="3002" customFormat="false" ht="15" hidden="false" customHeight="false" outlineLevel="0" collapsed="false">
      <c r="A3002" s="58"/>
      <c r="B3002" s="73" t="str">
        <f aca="false">IF(A3002="","",COUNTIF(A$5:A3002,A3002))</f>
        <v/>
      </c>
      <c r="C3002" s="73" t="str">
        <f aca="false">IF(A3002="","",A3002&amp;"-"&amp;B3002)</f>
        <v/>
      </c>
      <c r="D3002" s="58"/>
      <c r="E3002" s="57"/>
      <c r="F3002" s="69"/>
      <c r="G3002" s="69"/>
      <c r="H3002" s="74" t="str">
        <f aca="false">IF(A3002="","",IFERROR(INDEX(السندات!$C$5:$C$504,MATCH(A3002,السندات!$A$5:$A$504,0)),""))</f>
        <v/>
      </c>
      <c r="I3002" s="75" t="str">
        <f aca="false">IF(A3002="","",IFERROR(INDEX(السندات!$D$5:$D$504,MATCH(A3002,السندات!$A$5:$A$504,0)),""))</f>
        <v/>
      </c>
      <c r="J3002" s="76" t="str">
        <f aca="false">IF(A3002="","",IF(ISNA(MATCH(A3002,السندات!$A$5:$A$504,0)),"رقم سند غير موجود ✘",IF(AND(F3002&lt;&gt;"",G3002&lt;&gt;""),"اكتب مدين أو دائن فقط ✘",IF(AND(N(F3002)=0,N(G3002)=0),"بدون مبلغ ⚠",IF(B3002&gt;12,"يتجاوز 12 بنداً في الطباعة ⚠","")))))</f>
        <v/>
      </c>
    </row>
    <row r="3003" customFormat="false" ht="15" hidden="false" customHeight="false" outlineLevel="0" collapsed="false">
      <c r="A3003" s="58"/>
      <c r="B3003" s="68" t="str">
        <f aca="false">IF(A3003="","",COUNTIF(A$5:A3003,A3003))</f>
        <v/>
      </c>
      <c r="C3003" s="68" t="str">
        <f aca="false">IF(A3003="","",A3003&amp;"-"&amp;B3003)</f>
        <v/>
      </c>
      <c r="D3003" s="58"/>
      <c r="E3003" s="57"/>
      <c r="F3003" s="69"/>
      <c r="G3003" s="69"/>
      <c r="H3003" s="70" t="str">
        <f aca="false">IF(A3003="","",IFERROR(INDEX(السندات!$C$5:$C$504,MATCH(A3003,السندات!$A$5:$A$504,0)),""))</f>
        <v/>
      </c>
      <c r="I3003" s="71" t="str">
        <f aca="false">IF(A3003="","",IFERROR(INDEX(السندات!$D$5:$D$504,MATCH(A3003,السندات!$A$5:$A$504,0)),""))</f>
        <v/>
      </c>
      <c r="J3003" s="72" t="str">
        <f aca="false">IF(A3003="","",IF(ISNA(MATCH(A3003,السندات!$A$5:$A$504,0)),"رقم سند غير موجود ✘",IF(AND(F3003&lt;&gt;"",G3003&lt;&gt;""),"اكتب مدين أو دائن فقط ✘",IF(AND(N(F3003)=0,N(G3003)=0),"بدون مبلغ ⚠",IF(B3003&gt;12,"يتجاوز 12 بنداً في الطباعة ⚠","")))))</f>
        <v/>
      </c>
    </row>
    <row r="3004" customFormat="false" ht="15" hidden="false" customHeight="false" outlineLevel="0" collapsed="false">
      <c r="A3004" s="58"/>
      <c r="B3004" s="73" t="str">
        <f aca="false">IF(A3004="","",COUNTIF(A$5:A3004,A3004))</f>
        <v/>
      </c>
      <c r="C3004" s="73" t="str">
        <f aca="false">IF(A3004="","",A3004&amp;"-"&amp;B3004)</f>
        <v/>
      </c>
      <c r="D3004" s="58"/>
      <c r="E3004" s="57"/>
      <c r="F3004" s="69"/>
      <c r="G3004" s="69"/>
      <c r="H3004" s="74" t="str">
        <f aca="false">IF(A3004="","",IFERROR(INDEX(السندات!$C$5:$C$504,MATCH(A3004,السندات!$A$5:$A$504,0)),""))</f>
        <v/>
      </c>
      <c r="I3004" s="75" t="str">
        <f aca="false">IF(A3004="","",IFERROR(INDEX(السندات!$D$5:$D$504,MATCH(A3004,السندات!$A$5:$A$504,0)),""))</f>
        <v/>
      </c>
      <c r="J3004" s="76" t="str">
        <f aca="false">IF(A3004="","",IF(ISNA(MATCH(A3004,السندات!$A$5:$A$504,0)),"رقم سند غير موجود ✘",IF(AND(F3004&lt;&gt;"",G3004&lt;&gt;""),"اكتب مدين أو دائن فقط ✘",IF(AND(N(F3004)=0,N(G3004)=0),"بدون مبلغ ⚠",IF(B3004&gt;12,"يتجاوز 12 بنداً في الطباعة ⚠","")))))</f>
        <v/>
      </c>
    </row>
  </sheetData>
  <autoFilter ref="A4:J3004"/>
  <mergeCells count="4">
    <mergeCell ref="A1:J1"/>
    <mergeCell ref="A2:J2"/>
    <mergeCell ref="A3:B3"/>
    <mergeCell ref="E3:I3"/>
  </mergeCells>
  <dataValidations count="4">
    <dataValidation allowBlank="true" error="اختر قيمة من القائمة المنسدلة (أو أضفها في ورقة الإعدادات)." errorStyle="stop" errorTitle="قيمة غير موجودة في القائمة" operator="between" prompt="اختر رقم السند من السجل" promptTitle="تلميح" showDropDown="false" showErrorMessage="true" showInputMessage="true" sqref="A5:A3004" type="list">
      <formula1>V_NOS</formula1>
      <formula2>0</formula2>
    </dataValidation>
    <dataValidation allowBlank="true" error="اختر قيمة من القائمة المنسدلة (أو أضفها في ورقة الإعدادات)." errorStyle="stop" errorTitle="قيمة غير موجودة في القائمة" operator="between" prompt="اختر الفرع" promptTitle="تلميح" showDropDown="false" showErrorMessage="true" showInputMessage="true" sqref="D5:D3004" type="list">
      <formula1>BRANCHES</formula1>
      <formula2>0</formula2>
    </dataValidation>
    <dataValidation allowBlank="true" error="اختر قيمة من القائمة المنسدلة (أو أضفها في ورقة الإعدادات)." errorStyle="warning" errorTitle="قيمة غير موجودة في القائمة" operator="between" prompt="اختر من القائمة أو اكتب بياناً حراً" promptTitle="تلميح" showDropDown="false" showErrorMessage="true" showInputMessage="true" sqref="E5:E3004" type="list">
      <formula1>ACCOUNTS</formula1>
      <formula2>0</formula2>
    </dataValidation>
    <dataValidation allowBlank="true" error="المبلغ يجب أن يكون رقماً موجباً" errorStyle="stop" errorTitle="مبلغ غير صحيح" operator="greaterThanOrEqual" showDropDown="false" showErrorMessage="true" showInputMessage="false" sqref="F5:G3004" type="decimal">
      <formula1>0</formula1>
      <formula2>0</formula2>
    </dataValidation>
  </dataValidations>
  <hyperlinks>
    <hyperlink ref="A3" location="'السندات'!A1" display="🧾 السجل"/>
    <hyperlink ref="D3" location="'طباعة السند'!C8" display="🖨 طباعة السند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true"/>
  </sheetPr>
  <dimension ref="B1:L21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8" min="6" style="0" width="16"/>
    <col collapsed="false" customWidth="true" hidden="false" outlineLevel="0" max="9" min="9" style="0" width="3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33.75" hidden="false" customHeight="true" outlineLevel="0" collapsed="false">
      <c r="B1" s="49" t="s">
        <v>88</v>
      </c>
      <c r="C1" s="49"/>
      <c r="D1" s="49"/>
      <c r="E1" s="49"/>
      <c r="F1" s="49"/>
      <c r="G1" s="49"/>
      <c r="H1" s="49"/>
      <c r="I1" s="49"/>
      <c r="J1" s="49"/>
      <c r="K1" s="49"/>
      <c r="L1" s="49"/>
    </row>
    <row r="2" customFormat="false" ht="19.5" hidden="false" customHeight="true" outlineLevel="0" collapsed="false">
      <c r="B2" s="50" t="s">
        <v>89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customFormat="false" ht="15" hidden="false" customHeight="false" outlineLevel="0" collapsed="false">
      <c r="B3" s="52" t="s">
        <v>38</v>
      </c>
      <c r="C3" s="24" t="s">
        <v>71</v>
      </c>
      <c r="D3" s="52" t="s">
        <v>90</v>
      </c>
      <c r="J3" s="77" t="s">
        <v>91</v>
      </c>
      <c r="K3" s="78" t="n">
        <v>2026</v>
      </c>
    </row>
    <row r="5" customFormat="false" ht="15" hidden="false" customHeight="false" outlineLevel="0" collapsed="false">
      <c r="B5" s="79" t="s">
        <v>92</v>
      </c>
      <c r="C5" s="79"/>
      <c r="D5" s="80" t="s">
        <v>93</v>
      </c>
      <c r="E5" s="80"/>
      <c r="F5" s="80"/>
      <c r="G5" s="81" t="s">
        <v>94</v>
      </c>
      <c r="H5" s="81"/>
      <c r="J5" s="82" t="s">
        <v>95</v>
      </c>
      <c r="K5" s="83" t="s">
        <v>96</v>
      </c>
      <c r="L5" s="83"/>
    </row>
    <row r="6" customFormat="false" ht="31.5" hidden="false" customHeight="true" outlineLevel="0" collapsed="false">
      <c r="B6" s="84" t="n">
        <f aca="false">COUNT(السندات!$A$5:$A$504)</f>
        <v>3</v>
      </c>
      <c r="C6" s="84"/>
      <c r="D6" s="85" t="n">
        <f aca="false">SUM(السندات!$J$5:$J$504)</f>
        <v>45330.5</v>
      </c>
      <c r="E6" s="85"/>
      <c r="F6" s="85"/>
      <c r="G6" s="86" t="n">
        <f aca="false">IFERROR(AVERAGE(السندات!$J$5:$J$504),0)</f>
        <v>15110.1666666667</v>
      </c>
      <c r="H6" s="86"/>
      <c r="J6" s="87" t="n">
        <f aca="false">MAX(السندات!$J$5:$J$504)</f>
        <v>37500.5</v>
      </c>
      <c r="K6" s="88" t="n">
        <f aca="false">COUNTIF(السندات!$N$5:$N$504,"*✘*")</f>
        <v>0</v>
      </c>
      <c r="L6" s="88"/>
    </row>
    <row r="8" customFormat="false" ht="31.5" hidden="false" customHeight="true" outlineLevel="0" collapsed="false">
      <c r="B8" s="67" t="s">
        <v>27</v>
      </c>
      <c r="C8" s="67" t="s">
        <v>24</v>
      </c>
      <c r="D8" s="67" t="s">
        <v>25</v>
      </c>
      <c r="F8" s="53" t="s">
        <v>97</v>
      </c>
      <c r="G8" s="53" t="s">
        <v>92</v>
      </c>
      <c r="H8" s="53" t="s">
        <v>98</v>
      </c>
      <c r="J8" s="89" t="s">
        <v>43</v>
      </c>
      <c r="K8" s="89" t="s">
        <v>98</v>
      </c>
      <c r="L8" s="89" t="s">
        <v>99</v>
      </c>
    </row>
    <row r="9" customFormat="false" ht="15" hidden="false" customHeight="false" outlineLevel="0" collapsed="false">
      <c r="B9" s="90" t="str">
        <f aca="false">IFERROR(INDEX(الإعدادات!$E$5:$E$44,1)&amp;"","")</f>
        <v>مكة</v>
      </c>
      <c r="C9" s="91" t="n">
        <f aca="false">IF(B9="","",SUMIFS('بنود السندات'!$F$5:$F$3004,'بنود السندات'!$D$5:$D$3004,B9))</f>
        <v>28000</v>
      </c>
      <c r="D9" s="91" t="n">
        <f aca="false">IF(B9="","",SUMIFS('بنود السندات'!$G$5:$G$3004,'بنود السندات'!$D$5:$D$3004,B9))</f>
        <v>40500.5</v>
      </c>
      <c r="F9" s="92" t="s">
        <v>100</v>
      </c>
      <c r="G9" s="93" t="n">
        <f aca="false">COUNTIFS(السندات!$C$5:$C$504,"&gt;="&amp;DATE($K$3,1,1),السندات!$C$5:$C$504,"&lt;"&amp;DATE($K$3,2,1))</f>
        <v>0</v>
      </c>
      <c r="H9" s="91" t="n">
        <f aca="false">SUMIFS(السندات!$J$5:$J$504,السندات!$C$5:$C$504,"&gt;="&amp;DATE($K$3,1,1),السندات!$C$5:$C$504,"&lt;"&amp;DATE($K$3,2,1))</f>
        <v>0</v>
      </c>
      <c r="J9" s="92" t="str">
        <f aca="false">INDEX(الإعدادات!$I$5:$I$7,1)</f>
        <v>نقدي</v>
      </c>
      <c r="K9" s="91" t="n">
        <f aca="false">SUMIFS(السندات!$J$5:$J$504,السندات!$E$5:$E$504,J9)</f>
        <v>3000</v>
      </c>
      <c r="L9" s="94" t="n">
        <f aca="false">COUNTIFS(السندات!$E$5:$E$504,J9,السندات!$A$5:$A$504,"&gt;0")</f>
        <v>1</v>
      </c>
    </row>
    <row r="10" customFormat="false" ht="15" hidden="false" customHeight="false" outlineLevel="0" collapsed="false">
      <c r="B10" s="90" t="str">
        <f aca="false">IFERROR(INDEX(الإعدادات!$E$5:$E$44,2)&amp;"","")</f>
        <v>الرياض</v>
      </c>
      <c r="C10" s="91" t="n">
        <f aca="false">IF(B10="","",SUMIFS('بنود السندات'!$F$5:$F$3004,'بنود السندات'!$D$5:$D$3004,B10))</f>
        <v>4830</v>
      </c>
      <c r="D10" s="91" t="n">
        <f aca="false">IF(B10="","",SUMIFS('بنود السندات'!$G$5:$G$3004,'بنود السندات'!$D$5:$D$3004,B10))</f>
        <v>4830</v>
      </c>
      <c r="F10" s="92" t="s">
        <v>101</v>
      </c>
      <c r="G10" s="93" t="n">
        <f aca="false">COUNTIFS(السندات!$C$5:$C$504,"&gt;="&amp;DATE($K$3,2,1),السندات!$C$5:$C$504,"&lt;"&amp;DATE($K$3,3,1))</f>
        <v>0</v>
      </c>
      <c r="H10" s="91" t="n">
        <f aca="false">SUMIFS(السندات!$J$5:$J$504,السندات!$C$5:$C$504,"&gt;="&amp;DATE($K$3,2,1),السندات!$C$5:$C$504,"&lt;"&amp;DATE($K$3,3,1))</f>
        <v>0</v>
      </c>
      <c r="J10" s="92" t="str">
        <f aca="false">INDEX(الإعدادات!$I$5:$I$7,2)</f>
        <v>شيك</v>
      </c>
      <c r="K10" s="91" t="n">
        <f aca="false">SUMIFS(السندات!$J$5:$J$504,السندات!$E$5:$E$504,J10)</f>
        <v>37500.5</v>
      </c>
      <c r="L10" s="94" t="n">
        <f aca="false">COUNTIFS(السندات!$E$5:$E$504,J10,السندات!$A$5:$A$504,"&gt;0")</f>
        <v>1</v>
      </c>
    </row>
    <row r="11" customFormat="false" ht="15" hidden="false" customHeight="false" outlineLevel="0" collapsed="false">
      <c r="B11" s="90" t="str">
        <f aca="false">IFERROR(INDEX(الإعدادات!$E$5:$E$44,3)&amp;"","")</f>
        <v>جدة</v>
      </c>
      <c r="C11" s="91" t="n">
        <f aca="false">IF(B11="","",SUMIFS('بنود السندات'!$F$5:$F$3004,'بنود السندات'!$D$5:$D$3004,B11))</f>
        <v>12500.5</v>
      </c>
      <c r="D11" s="91" t="n">
        <f aca="false">IF(B11="","",SUMIFS('بنود السندات'!$G$5:$G$3004,'بنود السندات'!$D$5:$D$3004,B11))</f>
        <v>0</v>
      </c>
      <c r="F11" s="92" t="s">
        <v>102</v>
      </c>
      <c r="G11" s="93" t="n">
        <f aca="false">COUNTIFS(السندات!$C$5:$C$504,"&gt;="&amp;DATE($K$3,3,1),السندات!$C$5:$C$504,"&lt;"&amp;DATE($K$3,4,1))</f>
        <v>0</v>
      </c>
      <c r="H11" s="91" t="n">
        <f aca="false">SUMIFS(السندات!$J$5:$J$504,السندات!$C$5:$C$504,"&gt;="&amp;DATE($K$3,3,1),السندات!$C$5:$C$504,"&lt;"&amp;DATE($K$3,4,1))</f>
        <v>0</v>
      </c>
      <c r="J11" s="92" t="str">
        <f aca="false">INDEX(الإعدادات!$I$5:$I$7,3)</f>
        <v>تحويل بنكي</v>
      </c>
      <c r="K11" s="91" t="n">
        <f aca="false">SUMIFS(السندات!$J$5:$J$504,السندات!$E$5:$E$504,J11)</f>
        <v>4830</v>
      </c>
      <c r="L11" s="94" t="n">
        <f aca="false">COUNTIFS(السندات!$E$5:$E$504,J11,السندات!$A$5:$A$504,"&gt;0")</f>
        <v>1</v>
      </c>
    </row>
    <row r="12" customFormat="false" ht="15" hidden="false" customHeight="false" outlineLevel="0" collapsed="false">
      <c r="B12" s="90" t="str">
        <f aca="false">IFERROR(INDEX(الإعدادات!$E$5:$E$44,4)&amp;"","")</f>
        <v>المدينة المنورة</v>
      </c>
      <c r="C12" s="91" t="n">
        <f aca="false">IF(B12="","",SUMIFS('بنود السندات'!$F$5:$F$3004,'بنود السندات'!$D$5:$D$3004,B12))</f>
        <v>0</v>
      </c>
      <c r="D12" s="91" t="n">
        <f aca="false">IF(B12="","",SUMIFS('بنود السندات'!$G$5:$G$3004,'بنود السندات'!$D$5:$D$3004,B12))</f>
        <v>0</v>
      </c>
      <c r="F12" s="92" t="s">
        <v>103</v>
      </c>
      <c r="G12" s="93" t="n">
        <f aca="false">COUNTIFS(السندات!$C$5:$C$504,"&gt;="&amp;DATE($K$3,4,1),السندات!$C$5:$C$504,"&lt;"&amp;DATE($K$3,5,1))</f>
        <v>0</v>
      </c>
      <c r="H12" s="91" t="n">
        <f aca="false">SUMIFS(السندات!$J$5:$J$504,السندات!$C$5:$C$504,"&gt;="&amp;DATE($K$3,4,1),السندات!$C$5:$C$504,"&lt;"&amp;DATE($K$3,5,1))</f>
        <v>0</v>
      </c>
    </row>
    <row r="13" customFormat="false" ht="15" hidden="false" customHeight="false" outlineLevel="0" collapsed="false">
      <c r="B13" s="90" t="str">
        <f aca="false">IFERROR(INDEX(الإعدادات!$E$5:$E$44,5)&amp;"","")</f>
        <v>الدمام</v>
      </c>
      <c r="C13" s="91" t="n">
        <f aca="false">IF(B13="","",SUMIFS('بنود السندات'!$F$5:$F$3004,'بنود السندات'!$D$5:$D$3004,B13))</f>
        <v>0</v>
      </c>
      <c r="D13" s="91" t="n">
        <f aca="false">IF(B13="","",SUMIFS('بنود السندات'!$G$5:$G$3004,'بنود السندات'!$D$5:$D$3004,B13))</f>
        <v>0</v>
      </c>
      <c r="F13" s="92" t="s">
        <v>104</v>
      </c>
      <c r="G13" s="93" t="n">
        <f aca="false">COUNTIFS(السندات!$C$5:$C$504,"&gt;="&amp;DATE($K$3,5,1),السندات!$C$5:$C$504,"&lt;"&amp;DATE($K$3,6,1))</f>
        <v>0</v>
      </c>
      <c r="H13" s="91" t="n">
        <f aca="false">SUMIFS(السندات!$J$5:$J$504,السندات!$C$5:$C$504,"&gt;="&amp;DATE($K$3,5,1),السندات!$C$5:$C$504,"&lt;"&amp;DATE($K$3,6,1))</f>
        <v>0</v>
      </c>
    </row>
    <row r="14" customFormat="false" ht="15" hidden="false" customHeight="false" outlineLevel="0" collapsed="false">
      <c r="B14" s="90" t="str">
        <f aca="false">IFERROR(INDEX(الإعدادات!$E$5:$E$44,6)&amp;"","")</f>
        <v>الطائف</v>
      </c>
      <c r="C14" s="91" t="n">
        <f aca="false">IF(B14="","",SUMIFS('بنود السندات'!$F$5:$F$3004,'بنود السندات'!$D$5:$D$3004,B14))</f>
        <v>0</v>
      </c>
      <c r="D14" s="91" t="n">
        <f aca="false">IF(B14="","",SUMIFS('بنود السندات'!$G$5:$G$3004,'بنود السندات'!$D$5:$D$3004,B14))</f>
        <v>0</v>
      </c>
      <c r="F14" s="92" t="s">
        <v>105</v>
      </c>
      <c r="G14" s="93" t="n">
        <f aca="false">COUNTIFS(السندات!$C$5:$C$504,"&gt;="&amp;DATE($K$3,6,1),السندات!$C$5:$C$504,"&lt;"&amp;DATE($K$3,7,1))</f>
        <v>0</v>
      </c>
      <c r="H14" s="91" t="n">
        <f aca="false">SUMIFS(السندات!$J$5:$J$504,السندات!$C$5:$C$504,"&gt;="&amp;DATE($K$3,6,1),السندات!$C$5:$C$504,"&lt;"&amp;DATE($K$3,7,1))</f>
        <v>0</v>
      </c>
    </row>
    <row r="15" customFormat="false" ht="15" hidden="false" customHeight="false" outlineLevel="0" collapsed="false">
      <c r="B15" s="90" t="str">
        <f aca="false">IFERROR(INDEX(الإعدادات!$E$5:$E$44,7)&amp;"","")</f>
        <v/>
      </c>
      <c r="C15" s="91" t="str">
        <f aca="false">IF(B15="","",SUMIFS('بنود السندات'!$F$5:$F$3004,'بنود السندات'!$D$5:$D$3004,B15))</f>
        <v/>
      </c>
      <c r="D15" s="91" t="str">
        <f aca="false">IF(B15="","",SUMIFS('بنود السندات'!$G$5:$G$3004,'بنود السندات'!$D$5:$D$3004,B15))</f>
        <v/>
      </c>
      <c r="F15" s="92" t="s">
        <v>106</v>
      </c>
      <c r="G15" s="93" t="n">
        <f aca="false">COUNTIFS(السندات!$C$5:$C$504,"&gt;="&amp;DATE($K$3,7,1),السندات!$C$5:$C$504,"&lt;"&amp;DATE($K$3,8,1))</f>
        <v>0</v>
      </c>
      <c r="H15" s="91" t="n">
        <f aca="false">SUMIFS(السندات!$J$5:$J$504,السندات!$C$5:$C$504,"&gt;="&amp;DATE($K$3,7,1),السندات!$C$5:$C$504,"&lt;"&amp;DATE($K$3,8,1))</f>
        <v>0</v>
      </c>
    </row>
    <row r="16" customFormat="false" ht="15" hidden="false" customHeight="false" outlineLevel="0" collapsed="false">
      <c r="B16" s="90" t="str">
        <f aca="false">IFERROR(INDEX(الإعدادات!$E$5:$E$44,8)&amp;"","")</f>
        <v/>
      </c>
      <c r="C16" s="91" t="str">
        <f aca="false">IF(B16="","",SUMIFS('بنود السندات'!$F$5:$F$3004,'بنود السندات'!$D$5:$D$3004,B16))</f>
        <v/>
      </c>
      <c r="D16" s="91" t="str">
        <f aca="false">IF(B16="","",SUMIFS('بنود السندات'!$G$5:$G$3004,'بنود السندات'!$D$5:$D$3004,B16))</f>
        <v/>
      </c>
      <c r="F16" s="92" t="s">
        <v>107</v>
      </c>
      <c r="G16" s="93" t="n">
        <f aca="false">COUNTIFS(السندات!$C$5:$C$504,"&gt;="&amp;DATE($K$3,8,1),السندات!$C$5:$C$504,"&lt;"&amp;DATE($K$3,9,1))</f>
        <v>2</v>
      </c>
      <c r="H16" s="91" t="n">
        <f aca="false">SUMIFS(السندات!$J$5:$J$504,السندات!$C$5:$C$504,"&gt;="&amp;DATE($K$3,8,1),السندات!$C$5:$C$504,"&lt;"&amp;DATE($K$3,9,1))</f>
        <v>40500.5</v>
      </c>
    </row>
    <row r="17" customFormat="false" ht="15" hidden="false" customHeight="false" outlineLevel="0" collapsed="false">
      <c r="B17" s="90" t="str">
        <f aca="false">IFERROR(INDEX(الإعدادات!$E$5:$E$44,9)&amp;"","")</f>
        <v/>
      </c>
      <c r="C17" s="91" t="str">
        <f aca="false">IF(B17="","",SUMIFS('بنود السندات'!$F$5:$F$3004,'بنود السندات'!$D$5:$D$3004,B17))</f>
        <v/>
      </c>
      <c r="D17" s="91" t="str">
        <f aca="false">IF(B17="","",SUMIFS('بنود السندات'!$G$5:$G$3004,'بنود السندات'!$D$5:$D$3004,B17))</f>
        <v/>
      </c>
      <c r="F17" s="92" t="s">
        <v>108</v>
      </c>
      <c r="G17" s="93" t="n">
        <f aca="false">COUNTIFS(السندات!$C$5:$C$504,"&gt;="&amp;DATE($K$3,9,1),السندات!$C$5:$C$504,"&lt;"&amp;DATE($K$3,10,1))</f>
        <v>1</v>
      </c>
      <c r="H17" s="91" t="n">
        <f aca="false">SUMIFS(السندات!$J$5:$J$504,السندات!$C$5:$C$504,"&gt;="&amp;DATE($K$3,9,1),السندات!$C$5:$C$504,"&lt;"&amp;DATE($K$3,10,1))</f>
        <v>4830</v>
      </c>
    </row>
    <row r="18" customFormat="false" ht="15" hidden="false" customHeight="false" outlineLevel="0" collapsed="false">
      <c r="B18" s="90" t="str">
        <f aca="false">IFERROR(INDEX(الإعدادات!$E$5:$E$44,10)&amp;"","")</f>
        <v/>
      </c>
      <c r="C18" s="91" t="str">
        <f aca="false">IF(B18="","",SUMIFS('بنود السندات'!$F$5:$F$3004,'بنود السندات'!$D$5:$D$3004,B18))</f>
        <v/>
      </c>
      <c r="D18" s="91" t="str">
        <f aca="false">IF(B18="","",SUMIFS('بنود السندات'!$G$5:$G$3004,'بنود السندات'!$D$5:$D$3004,B18))</f>
        <v/>
      </c>
      <c r="F18" s="92" t="s">
        <v>109</v>
      </c>
      <c r="G18" s="93" t="n">
        <f aca="false">COUNTIFS(السندات!$C$5:$C$504,"&gt;="&amp;DATE($K$3,10,1),السندات!$C$5:$C$504,"&lt;"&amp;DATE($K$3,11,1))</f>
        <v>0</v>
      </c>
      <c r="H18" s="91" t="n">
        <f aca="false">SUMIFS(السندات!$J$5:$J$504,السندات!$C$5:$C$504,"&gt;="&amp;DATE($K$3,10,1),السندات!$C$5:$C$504,"&lt;"&amp;DATE($K$3,11,1))</f>
        <v>0</v>
      </c>
    </row>
    <row r="19" customFormat="false" ht="15" hidden="false" customHeight="false" outlineLevel="0" collapsed="false">
      <c r="B19" s="95" t="s">
        <v>110</v>
      </c>
      <c r="C19" s="96" t="n">
        <f aca="false">SUM(C9:C18)</f>
        <v>45330.5</v>
      </c>
      <c r="D19" s="96" t="n">
        <f aca="false">SUM(D9:D18)</f>
        <v>45330.5</v>
      </c>
      <c r="F19" s="92" t="s">
        <v>111</v>
      </c>
      <c r="G19" s="93" t="n">
        <f aca="false">COUNTIFS(السندات!$C$5:$C$504,"&gt;="&amp;DATE($K$3,11,1),السندات!$C$5:$C$504,"&lt;"&amp;DATE($K$3,12,1))</f>
        <v>0</v>
      </c>
      <c r="H19" s="91" t="n">
        <f aca="false">SUMIFS(السندات!$J$5:$J$504,السندات!$C$5:$C$504,"&gt;="&amp;DATE($K$3,11,1),السندات!$C$5:$C$504,"&lt;"&amp;DATE($K$3,12,1))</f>
        <v>0</v>
      </c>
    </row>
    <row r="20" customFormat="false" ht="15" hidden="false" customHeight="false" outlineLevel="0" collapsed="false">
      <c r="F20" s="92" t="s">
        <v>112</v>
      </c>
      <c r="G20" s="93" t="n">
        <f aca="false">COUNTIFS(السندات!$C$5:$C$504,"&gt;="&amp;DATE($K$3,12,1),السندات!$C$5:$C$504,"&lt;"&amp;DATE($K$3,13,1))</f>
        <v>0</v>
      </c>
      <c r="H20" s="91" t="n">
        <f aca="false">SUMIFS(السندات!$J$5:$J$504,السندات!$C$5:$C$504,"&gt;="&amp;DATE($K$3,12,1),السندات!$C$5:$C$504,"&lt;"&amp;DATE($K$3,13,1))</f>
        <v>0</v>
      </c>
    </row>
    <row r="21" customFormat="false" ht="15" hidden="false" customHeight="false" outlineLevel="0" collapsed="false">
      <c r="F21" s="95" t="s">
        <v>110</v>
      </c>
      <c r="G21" s="97" t="n">
        <f aca="false">SUM(G9:G20)</f>
        <v>3</v>
      </c>
      <c r="H21" s="96" t="n">
        <f aca="false">SUM(H9:H20)</f>
        <v>45330.5</v>
      </c>
    </row>
  </sheetData>
  <mergeCells count="10">
    <mergeCell ref="B1:L1"/>
    <mergeCell ref="B2:L2"/>
    <mergeCell ref="B5:C5"/>
    <mergeCell ref="D5:F5"/>
    <mergeCell ref="G5:H5"/>
    <mergeCell ref="K5:L5"/>
    <mergeCell ref="B6:C6"/>
    <mergeCell ref="D6:F6"/>
    <mergeCell ref="G6:H6"/>
    <mergeCell ref="K6:L6"/>
  </mergeCells>
  <hyperlinks>
    <hyperlink ref="B3" location="'طباعة السند'!C8" display="🖨 طباعة السند"/>
    <hyperlink ref="C3" location="'السندات'!A1" display="🧾 السجل"/>
    <hyperlink ref="D3" location="'بنود السندات'!A1" display="📋 البنود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6B00"/>
    <pageSetUpPr fitToPage="true"/>
  </sheetPr>
  <dimension ref="B1:K44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8" min="8" style="0" width="3"/>
    <col collapsed="false" customWidth="true" hidden="false" outlineLevel="0" max="9" min="9" style="0" width="22"/>
    <col collapsed="false" customWidth="true" hidden="false" outlineLevel="0" max="10" min="10" style="0" width="3"/>
    <col collapsed="false" customWidth="true" hidden="false" outlineLevel="0" max="11" min="11" style="0" width="60"/>
  </cols>
  <sheetData>
    <row r="1" customFormat="false" ht="33.75" hidden="false" customHeight="true" outlineLevel="0" collapsed="false">
      <c r="B1" s="49" t="s">
        <v>113</v>
      </c>
      <c r="C1" s="49"/>
      <c r="D1" s="49"/>
      <c r="E1" s="49"/>
      <c r="F1" s="49"/>
      <c r="G1" s="49"/>
      <c r="H1" s="49"/>
      <c r="I1" s="49"/>
      <c r="J1" s="49"/>
      <c r="K1" s="49"/>
    </row>
    <row r="2" customFormat="false" ht="19.5" hidden="false" customHeight="true" outlineLevel="0" collapsed="false">
      <c r="B2" s="50" t="s">
        <v>114</v>
      </c>
      <c r="C2" s="50"/>
      <c r="D2" s="50"/>
      <c r="E2" s="50"/>
      <c r="F2" s="50"/>
      <c r="G2" s="50"/>
      <c r="H2" s="50"/>
      <c r="I2" s="50"/>
      <c r="J2" s="50"/>
      <c r="K2" s="50"/>
    </row>
    <row r="4" customFormat="false" ht="15" hidden="false" customHeight="false" outlineLevel="0" collapsed="false">
      <c r="B4" s="95" t="s">
        <v>115</v>
      </c>
      <c r="C4" s="95" t="s">
        <v>116</v>
      </c>
      <c r="E4" s="98" t="s">
        <v>117</v>
      </c>
      <c r="G4" s="98" t="s">
        <v>118</v>
      </c>
      <c r="I4" s="98" t="s">
        <v>119</v>
      </c>
    </row>
    <row r="5" customFormat="false" ht="15" hidden="false" customHeight="false" outlineLevel="0" collapsed="false">
      <c r="B5" s="5" t="s">
        <v>120</v>
      </c>
      <c r="C5" s="99" t="s">
        <v>121</v>
      </c>
      <c r="E5" s="99" t="s">
        <v>78</v>
      </c>
      <c r="G5" s="99" t="s">
        <v>80</v>
      </c>
      <c r="I5" s="100" t="s">
        <v>54</v>
      </c>
    </row>
    <row r="6" customFormat="false" ht="15" hidden="false" customHeight="false" outlineLevel="0" collapsed="false">
      <c r="B6" s="5" t="s">
        <v>122</v>
      </c>
      <c r="C6" s="99" t="s">
        <v>123</v>
      </c>
      <c r="E6" s="99" t="s">
        <v>84</v>
      </c>
      <c r="G6" s="99" t="s">
        <v>124</v>
      </c>
      <c r="I6" s="100" t="s">
        <v>58</v>
      </c>
    </row>
    <row r="7" customFormat="false" ht="15" hidden="false" customHeight="false" outlineLevel="0" collapsed="false">
      <c r="B7" s="5" t="s">
        <v>125</v>
      </c>
      <c r="C7" s="99" t="s">
        <v>126</v>
      </c>
      <c r="E7" s="99" t="s">
        <v>82</v>
      </c>
      <c r="G7" s="99" t="s">
        <v>83</v>
      </c>
      <c r="I7" s="100" t="s">
        <v>64</v>
      </c>
    </row>
    <row r="8" customFormat="false" ht="15" hidden="false" customHeight="false" outlineLevel="0" collapsed="false">
      <c r="B8" s="5" t="s">
        <v>127</v>
      </c>
      <c r="C8" s="99" t="s">
        <v>128</v>
      </c>
      <c r="E8" s="99" t="s">
        <v>129</v>
      </c>
      <c r="G8" s="99" t="s">
        <v>87</v>
      </c>
    </row>
    <row r="9" customFormat="false" ht="19.4" hidden="false" customHeight="false" outlineLevel="0" collapsed="false">
      <c r="B9" s="5" t="s">
        <v>130</v>
      </c>
      <c r="C9" s="99" t="s">
        <v>131</v>
      </c>
      <c r="E9" s="99" t="s">
        <v>132</v>
      </c>
      <c r="G9" s="99" t="s">
        <v>133</v>
      </c>
      <c r="I9" s="101" t="s">
        <v>134</v>
      </c>
    </row>
    <row r="10" customFormat="false" ht="15" hidden="false" customHeight="false" outlineLevel="0" collapsed="false">
      <c r="B10" s="5" t="s">
        <v>135</v>
      </c>
      <c r="C10" s="99" t="s">
        <v>136</v>
      </c>
      <c r="E10" s="99" t="s">
        <v>137</v>
      </c>
      <c r="G10" s="99" t="s">
        <v>138</v>
      </c>
    </row>
    <row r="11" customFormat="false" ht="15" hidden="false" customHeight="false" outlineLevel="0" collapsed="false">
      <c r="B11" s="5" t="s">
        <v>139</v>
      </c>
      <c r="C11" s="99" t="s">
        <v>140</v>
      </c>
      <c r="E11" s="99"/>
      <c r="G11" s="99" t="s">
        <v>141</v>
      </c>
    </row>
    <row r="12" customFormat="false" ht="15" hidden="false" customHeight="false" outlineLevel="0" collapsed="false">
      <c r="B12" s="5" t="s">
        <v>142</v>
      </c>
      <c r="C12" s="99" t="s">
        <v>143</v>
      </c>
      <c r="E12" s="99"/>
      <c r="G12" s="99" t="s">
        <v>81</v>
      </c>
    </row>
    <row r="13" customFormat="false" ht="15" hidden="false" customHeight="false" outlineLevel="0" collapsed="false">
      <c r="B13" s="5" t="s">
        <v>144</v>
      </c>
      <c r="C13" s="99" t="s">
        <v>145</v>
      </c>
      <c r="E13" s="99"/>
      <c r="G13" s="99" t="s">
        <v>146</v>
      </c>
    </row>
    <row r="14" customFormat="false" ht="15" hidden="false" customHeight="false" outlineLevel="0" collapsed="false">
      <c r="B14" s="5" t="s">
        <v>147</v>
      </c>
      <c r="C14" s="102" t="n">
        <v>1001</v>
      </c>
      <c r="E14" s="99"/>
      <c r="G14" s="99" t="s">
        <v>148</v>
      </c>
    </row>
    <row r="15" customFormat="false" ht="15" hidden="false" customHeight="false" outlineLevel="0" collapsed="false">
      <c r="B15" s="5" t="s">
        <v>32</v>
      </c>
      <c r="C15" s="99" t="s">
        <v>149</v>
      </c>
      <c r="E15" s="99"/>
      <c r="G15" s="99" t="s">
        <v>150</v>
      </c>
    </row>
    <row r="16" customFormat="false" ht="15" hidden="false" customHeight="false" outlineLevel="0" collapsed="false">
      <c r="B16" s="5" t="s">
        <v>33</v>
      </c>
      <c r="C16" s="99"/>
      <c r="E16" s="99"/>
      <c r="G16" s="99" t="s">
        <v>85</v>
      </c>
    </row>
    <row r="17" customFormat="false" ht="15" hidden="false" customHeight="false" outlineLevel="0" collapsed="false">
      <c r="B17" s="5" t="s">
        <v>34</v>
      </c>
      <c r="C17" s="99" t="s">
        <v>53</v>
      </c>
      <c r="E17" s="99"/>
      <c r="G17" s="99" t="s">
        <v>86</v>
      </c>
    </row>
    <row r="18" customFormat="false" ht="15" hidden="false" customHeight="false" outlineLevel="0" collapsed="false">
      <c r="E18" s="99"/>
      <c r="G18" s="99" t="s">
        <v>151</v>
      </c>
    </row>
    <row r="19" customFormat="false" ht="15" hidden="false" customHeight="false" outlineLevel="0" collapsed="false">
      <c r="E19" s="99"/>
      <c r="G19" s="99"/>
    </row>
    <row r="20" customFormat="false" ht="15" hidden="false" customHeight="false" outlineLevel="0" collapsed="false">
      <c r="E20" s="99"/>
      <c r="G20" s="99"/>
    </row>
    <row r="21" customFormat="false" ht="15" hidden="false" customHeight="false" outlineLevel="0" collapsed="false">
      <c r="B21" s="103" t="s">
        <v>152</v>
      </c>
      <c r="C21" s="103"/>
      <c r="E21" s="99"/>
      <c r="G21" s="99"/>
    </row>
    <row r="22" customFormat="false" ht="42" hidden="false" customHeight="true" outlineLevel="0" collapsed="false">
      <c r="B22" s="104" t="s">
        <v>153</v>
      </c>
      <c r="C22" s="105" t="s">
        <v>154</v>
      </c>
      <c r="E22" s="99"/>
      <c r="G22" s="99"/>
    </row>
    <row r="23" customFormat="false" ht="42" hidden="false" customHeight="true" outlineLevel="0" collapsed="false">
      <c r="B23" s="104" t="s">
        <v>155</v>
      </c>
      <c r="C23" s="105" t="s">
        <v>156</v>
      </c>
      <c r="E23" s="99"/>
      <c r="G23" s="99"/>
    </row>
    <row r="24" customFormat="false" ht="42" hidden="false" customHeight="true" outlineLevel="0" collapsed="false">
      <c r="B24" s="104" t="s">
        <v>157</v>
      </c>
      <c r="C24" s="105" t="s">
        <v>158</v>
      </c>
      <c r="E24" s="99"/>
      <c r="G24" s="99"/>
    </row>
    <row r="25" customFormat="false" ht="42" hidden="false" customHeight="true" outlineLevel="0" collapsed="false">
      <c r="B25" s="104" t="s">
        <v>159</v>
      </c>
      <c r="C25" s="105" t="s">
        <v>160</v>
      </c>
      <c r="E25" s="99"/>
      <c r="G25" s="99"/>
    </row>
    <row r="26" customFormat="false" ht="42" hidden="false" customHeight="true" outlineLevel="0" collapsed="false">
      <c r="B26" s="104" t="s">
        <v>161</v>
      </c>
      <c r="C26" s="105" t="s">
        <v>162</v>
      </c>
      <c r="E26" s="99"/>
      <c r="G26" s="99"/>
    </row>
    <row r="27" customFormat="false" ht="42" hidden="false" customHeight="true" outlineLevel="0" collapsed="false">
      <c r="B27" s="104" t="s">
        <v>163</v>
      </c>
      <c r="C27" s="105" t="s">
        <v>164</v>
      </c>
      <c r="E27" s="99"/>
      <c r="G27" s="99"/>
    </row>
    <row r="28" customFormat="false" ht="42" hidden="false" customHeight="true" outlineLevel="0" collapsed="false">
      <c r="B28" s="104" t="s">
        <v>163</v>
      </c>
      <c r="C28" s="105" t="s">
        <v>165</v>
      </c>
      <c r="E28" s="99"/>
      <c r="G28" s="99"/>
    </row>
    <row r="29" customFormat="false" ht="42" hidden="false" customHeight="true" outlineLevel="0" collapsed="false">
      <c r="B29" s="104" t="s">
        <v>163</v>
      </c>
      <c r="C29" s="105" t="s">
        <v>166</v>
      </c>
      <c r="E29" s="99"/>
      <c r="G29" s="99"/>
    </row>
    <row r="30" customFormat="false" ht="15" hidden="false" customHeight="false" outlineLevel="0" collapsed="false">
      <c r="E30" s="99"/>
      <c r="G30" s="99"/>
    </row>
    <row r="31" customFormat="false" ht="15" hidden="false" customHeight="false" outlineLevel="0" collapsed="false">
      <c r="E31" s="99"/>
      <c r="G31" s="99"/>
    </row>
    <row r="32" customFormat="false" ht="15" hidden="false" customHeight="false" outlineLevel="0" collapsed="false">
      <c r="E32" s="99"/>
      <c r="G32" s="99"/>
    </row>
    <row r="33" customFormat="false" ht="15" hidden="false" customHeight="false" outlineLevel="0" collapsed="false">
      <c r="E33" s="99"/>
      <c r="G33" s="99"/>
    </row>
    <row r="34" customFormat="false" ht="15" hidden="false" customHeight="false" outlineLevel="0" collapsed="false">
      <c r="E34" s="99"/>
      <c r="G34" s="99"/>
    </row>
    <row r="35" customFormat="false" ht="15" hidden="false" customHeight="false" outlineLevel="0" collapsed="false">
      <c r="E35" s="99"/>
      <c r="G35" s="99"/>
    </row>
    <row r="36" customFormat="false" ht="15" hidden="false" customHeight="false" outlineLevel="0" collapsed="false">
      <c r="E36" s="99"/>
      <c r="G36" s="99"/>
    </row>
    <row r="37" customFormat="false" ht="15" hidden="false" customHeight="false" outlineLevel="0" collapsed="false">
      <c r="E37" s="99"/>
      <c r="G37" s="99"/>
    </row>
    <row r="38" customFormat="false" ht="15" hidden="false" customHeight="false" outlineLevel="0" collapsed="false">
      <c r="E38" s="99"/>
      <c r="G38" s="99"/>
    </row>
    <row r="39" customFormat="false" ht="15" hidden="false" customHeight="false" outlineLevel="0" collapsed="false">
      <c r="E39" s="99"/>
      <c r="G39" s="99"/>
    </row>
    <row r="40" customFormat="false" ht="15" hidden="false" customHeight="false" outlineLevel="0" collapsed="false">
      <c r="E40" s="99"/>
      <c r="G40" s="99"/>
    </row>
    <row r="41" customFormat="false" ht="15" hidden="false" customHeight="false" outlineLevel="0" collapsed="false">
      <c r="E41" s="99"/>
      <c r="G41" s="99"/>
    </row>
    <row r="42" customFormat="false" ht="15" hidden="false" customHeight="false" outlineLevel="0" collapsed="false">
      <c r="E42" s="99"/>
      <c r="G42" s="99"/>
    </row>
    <row r="43" customFormat="false" ht="15" hidden="false" customHeight="false" outlineLevel="0" collapsed="false">
      <c r="E43" s="99"/>
      <c r="G43" s="99"/>
    </row>
    <row r="44" customFormat="false" ht="15" hidden="false" customHeight="false" outlineLevel="0" collapsed="false">
      <c r="E44" s="99"/>
      <c r="G44" s="99"/>
    </row>
  </sheetData>
  <mergeCells count="3">
    <mergeCell ref="B1:K1"/>
    <mergeCell ref="B2:K2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4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06" t="s">
        <v>167</v>
      </c>
      <c r="B1" s="106" t="s">
        <v>168</v>
      </c>
      <c r="C1" s="106" t="s">
        <v>169</v>
      </c>
      <c r="D1" s="106" t="s">
        <v>170</v>
      </c>
      <c r="E1" s="106" t="s">
        <v>171</v>
      </c>
    </row>
    <row r="2" customFormat="false" ht="15" hidden="false" customHeight="false" outlineLevel="0" collapsed="false">
      <c r="A2" s="0" t="n">
        <v>0</v>
      </c>
    </row>
    <row r="3" customFormat="false" ht="15" hidden="false" customHeight="false" outlineLevel="0" collapsed="false">
      <c r="A3" s="0" t="n">
        <v>1</v>
      </c>
      <c r="B3" s="0" t="s">
        <v>172</v>
      </c>
      <c r="C3" s="0" t="s">
        <v>173</v>
      </c>
      <c r="D3" s="0" t="s">
        <v>174</v>
      </c>
      <c r="E3" s="0" t="s">
        <v>175</v>
      </c>
    </row>
    <row r="4" customFormat="false" ht="15" hidden="false" customHeight="false" outlineLevel="0" collapsed="false">
      <c r="A4" s="0" t="n">
        <v>2</v>
      </c>
      <c r="B4" s="0" t="s">
        <v>176</v>
      </c>
      <c r="C4" s="0" t="s">
        <v>177</v>
      </c>
      <c r="D4" s="0" t="s">
        <v>178</v>
      </c>
      <c r="E4" s="0" t="s">
        <v>179</v>
      </c>
    </row>
    <row r="5" customFormat="false" ht="15" hidden="false" customHeight="false" outlineLevel="0" collapsed="false">
      <c r="A5" s="0" t="n">
        <v>3</v>
      </c>
      <c r="B5" s="0" t="s">
        <v>180</v>
      </c>
      <c r="C5" s="0" t="s">
        <v>181</v>
      </c>
      <c r="D5" s="0" t="s">
        <v>182</v>
      </c>
      <c r="E5" s="0" t="s">
        <v>183</v>
      </c>
    </row>
    <row r="6" customFormat="false" ht="15" hidden="false" customHeight="false" outlineLevel="0" collapsed="false">
      <c r="A6" s="0" t="n">
        <v>4</v>
      </c>
      <c r="B6" s="0" t="s">
        <v>184</v>
      </c>
      <c r="C6" s="0" t="s">
        <v>185</v>
      </c>
      <c r="D6" s="0" t="s">
        <v>186</v>
      </c>
      <c r="E6" s="0" t="s">
        <v>187</v>
      </c>
    </row>
    <row r="7" customFormat="false" ht="15" hidden="false" customHeight="false" outlineLevel="0" collapsed="false">
      <c r="A7" s="0" t="n">
        <v>5</v>
      </c>
      <c r="B7" s="0" t="s">
        <v>188</v>
      </c>
      <c r="C7" s="0" t="s">
        <v>189</v>
      </c>
      <c r="D7" s="0" t="s">
        <v>190</v>
      </c>
      <c r="E7" s="0" t="s">
        <v>191</v>
      </c>
    </row>
    <row r="8" customFormat="false" ht="15" hidden="false" customHeight="false" outlineLevel="0" collapsed="false">
      <c r="A8" s="0" t="n">
        <v>6</v>
      </c>
      <c r="B8" s="0" t="s">
        <v>192</v>
      </c>
      <c r="C8" s="0" t="s">
        <v>193</v>
      </c>
      <c r="D8" s="0" t="s">
        <v>194</v>
      </c>
      <c r="E8" s="0" t="s">
        <v>195</v>
      </c>
    </row>
    <row r="9" customFormat="false" ht="15" hidden="false" customHeight="false" outlineLevel="0" collapsed="false">
      <c r="A9" s="0" t="n">
        <v>7</v>
      </c>
      <c r="B9" s="0" t="s">
        <v>196</v>
      </c>
      <c r="C9" s="0" t="s">
        <v>197</v>
      </c>
      <c r="D9" s="0" t="s">
        <v>198</v>
      </c>
      <c r="E9" s="0" t="s">
        <v>199</v>
      </c>
    </row>
    <row r="10" customFormat="false" ht="15" hidden="false" customHeight="false" outlineLevel="0" collapsed="false">
      <c r="A10" s="0" t="n">
        <v>8</v>
      </c>
      <c r="B10" s="0" t="s">
        <v>200</v>
      </c>
      <c r="C10" s="0" t="s">
        <v>201</v>
      </c>
      <c r="D10" s="0" t="s">
        <v>202</v>
      </c>
      <c r="E10" s="0" t="s">
        <v>203</v>
      </c>
    </row>
    <row r="11" customFormat="false" ht="15" hidden="false" customHeight="false" outlineLevel="0" collapsed="false">
      <c r="A11" s="0" t="n">
        <v>9</v>
      </c>
      <c r="B11" s="0" t="s">
        <v>204</v>
      </c>
      <c r="C11" s="0" t="s">
        <v>205</v>
      </c>
      <c r="D11" s="0" t="s">
        <v>206</v>
      </c>
      <c r="E11" s="0" t="s">
        <v>207</v>
      </c>
    </row>
    <row r="12" customFormat="false" ht="15" hidden="false" customHeight="false" outlineLevel="0" collapsed="false">
      <c r="A12" s="0" t="n">
        <v>10</v>
      </c>
      <c r="B12" s="0" t="s">
        <v>208</v>
      </c>
      <c r="C12" s="0" t="s">
        <v>209</v>
      </c>
      <c r="D12" s="0" t="s">
        <v>210</v>
      </c>
      <c r="E12" s="0" t="s">
        <v>211</v>
      </c>
    </row>
    <row r="13" customFormat="false" ht="15" hidden="false" customHeight="false" outlineLevel="0" collapsed="false">
      <c r="A13" s="0" t="n">
        <v>11</v>
      </c>
      <c r="B13" s="0" t="s">
        <v>212</v>
      </c>
      <c r="C13" s="0" t="s">
        <v>213</v>
      </c>
      <c r="D13" s="0" t="s">
        <v>214</v>
      </c>
      <c r="E13" s="0" t="s">
        <v>215</v>
      </c>
    </row>
    <row r="14" customFormat="false" ht="15" hidden="false" customHeight="false" outlineLevel="0" collapsed="false">
      <c r="A14" s="0" t="n">
        <v>12</v>
      </c>
      <c r="B14" s="0" t="s">
        <v>216</v>
      </c>
      <c r="C14" s="0" t="s">
        <v>217</v>
      </c>
      <c r="D14" s="0" t="s">
        <v>218</v>
      </c>
      <c r="E14" s="0" t="s">
        <v>219</v>
      </c>
    </row>
    <row r="15" customFormat="false" ht="15" hidden="false" customHeight="false" outlineLevel="0" collapsed="false">
      <c r="A15" s="0" t="n">
        <v>13</v>
      </c>
      <c r="B15" s="0" t="s">
        <v>220</v>
      </c>
      <c r="C15" s="0" t="s">
        <v>221</v>
      </c>
      <c r="D15" s="0" t="s">
        <v>222</v>
      </c>
      <c r="E15" s="0" t="s">
        <v>223</v>
      </c>
    </row>
    <row r="16" customFormat="false" ht="15" hidden="false" customHeight="false" outlineLevel="0" collapsed="false">
      <c r="A16" s="0" t="n">
        <v>14</v>
      </c>
      <c r="B16" s="0" t="s">
        <v>224</v>
      </c>
      <c r="C16" s="0" t="s">
        <v>225</v>
      </c>
      <c r="D16" s="0" t="s">
        <v>226</v>
      </c>
      <c r="E16" s="0" t="s">
        <v>227</v>
      </c>
    </row>
    <row r="17" customFormat="false" ht="15" hidden="false" customHeight="false" outlineLevel="0" collapsed="false">
      <c r="A17" s="0" t="n">
        <v>15</v>
      </c>
      <c r="B17" s="0" t="s">
        <v>228</v>
      </c>
      <c r="C17" s="0" t="s">
        <v>229</v>
      </c>
      <c r="D17" s="0" t="s">
        <v>230</v>
      </c>
      <c r="E17" s="0" t="s">
        <v>231</v>
      </c>
    </row>
    <row r="18" customFormat="false" ht="15" hidden="false" customHeight="false" outlineLevel="0" collapsed="false">
      <c r="A18" s="0" t="n">
        <v>16</v>
      </c>
      <c r="B18" s="0" t="s">
        <v>232</v>
      </c>
      <c r="C18" s="0" t="s">
        <v>233</v>
      </c>
      <c r="D18" s="0" t="s">
        <v>234</v>
      </c>
      <c r="E18" s="0" t="s">
        <v>235</v>
      </c>
    </row>
    <row r="19" customFormat="false" ht="15" hidden="false" customHeight="false" outlineLevel="0" collapsed="false">
      <c r="A19" s="0" t="n">
        <v>17</v>
      </c>
      <c r="B19" s="0" t="s">
        <v>236</v>
      </c>
      <c r="C19" s="0" t="s">
        <v>237</v>
      </c>
      <c r="D19" s="0" t="s">
        <v>238</v>
      </c>
      <c r="E19" s="0" t="s">
        <v>239</v>
      </c>
    </row>
    <row r="20" customFormat="false" ht="15" hidden="false" customHeight="false" outlineLevel="0" collapsed="false">
      <c r="A20" s="0" t="n">
        <v>18</v>
      </c>
      <c r="B20" s="0" t="s">
        <v>240</v>
      </c>
      <c r="C20" s="0" t="s">
        <v>241</v>
      </c>
      <c r="D20" s="0" t="s">
        <v>242</v>
      </c>
      <c r="E20" s="0" t="s">
        <v>243</v>
      </c>
    </row>
    <row r="21" customFormat="false" ht="15" hidden="false" customHeight="false" outlineLevel="0" collapsed="false">
      <c r="A21" s="0" t="n">
        <v>19</v>
      </c>
      <c r="B21" s="0" t="s">
        <v>244</v>
      </c>
      <c r="C21" s="0" t="s">
        <v>245</v>
      </c>
      <c r="D21" s="0" t="s">
        <v>246</v>
      </c>
      <c r="E21" s="0" t="s">
        <v>247</v>
      </c>
    </row>
    <row r="22" customFormat="false" ht="15" hidden="false" customHeight="false" outlineLevel="0" collapsed="false">
      <c r="A22" s="0" t="n">
        <v>20</v>
      </c>
      <c r="B22" s="0" t="s">
        <v>248</v>
      </c>
      <c r="C22" s="0" t="s">
        <v>249</v>
      </c>
      <c r="D22" s="0" t="s">
        <v>250</v>
      </c>
      <c r="E22" s="0" t="s">
        <v>251</v>
      </c>
    </row>
    <row r="23" customFormat="false" ht="15" hidden="false" customHeight="false" outlineLevel="0" collapsed="false">
      <c r="A23" s="0" t="n">
        <v>21</v>
      </c>
      <c r="B23" s="0" t="s">
        <v>252</v>
      </c>
      <c r="C23" s="0" t="s">
        <v>253</v>
      </c>
      <c r="D23" s="0" t="s">
        <v>254</v>
      </c>
      <c r="E23" s="0" t="s">
        <v>255</v>
      </c>
    </row>
    <row r="24" customFormat="false" ht="15" hidden="false" customHeight="false" outlineLevel="0" collapsed="false">
      <c r="A24" s="0" t="n">
        <v>22</v>
      </c>
      <c r="B24" s="0" t="s">
        <v>256</v>
      </c>
      <c r="C24" s="0" t="s">
        <v>257</v>
      </c>
      <c r="D24" s="0" t="s">
        <v>258</v>
      </c>
      <c r="E24" s="0" t="s">
        <v>259</v>
      </c>
    </row>
    <row r="25" customFormat="false" ht="15" hidden="false" customHeight="false" outlineLevel="0" collapsed="false">
      <c r="A25" s="0" t="n">
        <v>23</v>
      </c>
      <c r="B25" s="0" t="s">
        <v>260</v>
      </c>
      <c r="C25" s="0" t="s">
        <v>261</v>
      </c>
      <c r="D25" s="0" t="s">
        <v>262</v>
      </c>
      <c r="E25" s="0" t="s">
        <v>263</v>
      </c>
    </row>
    <row r="26" customFormat="false" ht="15" hidden="false" customHeight="false" outlineLevel="0" collapsed="false">
      <c r="A26" s="0" t="n">
        <v>24</v>
      </c>
      <c r="B26" s="0" t="s">
        <v>264</v>
      </c>
      <c r="C26" s="0" t="s">
        <v>265</v>
      </c>
      <c r="D26" s="0" t="s">
        <v>266</v>
      </c>
      <c r="E26" s="0" t="s">
        <v>267</v>
      </c>
    </row>
    <row r="27" customFormat="false" ht="15" hidden="false" customHeight="false" outlineLevel="0" collapsed="false">
      <c r="A27" s="0" t="n">
        <v>25</v>
      </c>
      <c r="B27" s="0" t="s">
        <v>268</v>
      </c>
      <c r="C27" s="0" t="s">
        <v>269</v>
      </c>
      <c r="D27" s="0" t="s">
        <v>270</v>
      </c>
      <c r="E27" s="0" t="s">
        <v>271</v>
      </c>
    </row>
    <row r="28" customFormat="false" ht="15" hidden="false" customHeight="false" outlineLevel="0" collapsed="false">
      <c r="A28" s="0" t="n">
        <v>26</v>
      </c>
      <c r="B28" s="0" t="s">
        <v>272</v>
      </c>
      <c r="C28" s="0" t="s">
        <v>273</v>
      </c>
      <c r="D28" s="0" t="s">
        <v>274</v>
      </c>
      <c r="E28" s="0" t="s">
        <v>275</v>
      </c>
    </row>
    <row r="29" customFormat="false" ht="15" hidden="false" customHeight="false" outlineLevel="0" collapsed="false">
      <c r="A29" s="0" t="n">
        <v>27</v>
      </c>
      <c r="B29" s="0" t="s">
        <v>276</v>
      </c>
      <c r="C29" s="0" t="s">
        <v>277</v>
      </c>
      <c r="D29" s="0" t="s">
        <v>278</v>
      </c>
      <c r="E29" s="0" t="s">
        <v>279</v>
      </c>
    </row>
    <row r="30" customFormat="false" ht="15" hidden="false" customHeight="false" outlineLevel="0" collapsed="false">
      <c r="A30" s="0" t="n">
        <v>28</v>
      </c>
      <c r="B30" s="0" t="s">
        <v>280</v>
      </c>
      <c r="C30" s="0" t="s">
        <v>281</v>
      </c>
      <c r="D30" s="0" t="s">
        <v>282</v>
      </c>
      <c r="E30" s="0" t="s">
        <v>283</v>
      </c>
    </row>
    <row r="31" customFormat="false" ht="15" hidden="false" customHeight="false" outlineLevel="0" collapsed="false">
      <c r="A31" s="0" t="n">
        <v>29</v>
      </c>
      <c r="B31" s="0" t="s">
        <v>284</v>
      </c>
      <c r="C31" s="0" t="s">
        <v>285</v>
      </c>
      <c r="D31" s="0" t="s">
        <v>286</v>
      </c>
      <c r="E31" s="0" t="s">
        <v>287</v>
      </c>
    </row>
    <row r="32" customFormat="false" ht="15" hidden="false" customHeight="false" outlineLevel="0" collapsed="false">
      <c r="A32" s="0" t="n">
        <v>30</v>
      </c>
      <c r="B32" s="0" t="s">
        <v>288</v>
      </c>
      <c r="C32" s="0" t="s">
        <v>289</v>
      </c>
      <c r="D32" s="0" t="s">
        <v>290</v>
      </c>
      <c r="E32" s="0" t="s">
        <v>291</v>
      </c>
    </row>
    <row r="33" customFormat="false" ht="15" hidden="false" customHeight="false" outlineLevel="0" collapsed="false">
      <c r="A33" s="0" t="n">
        <v>31</v>
      </c>
      <c r="B33" s="0" t="s">
        <v>292</v>
      </c>
      <c r="C33" s="0" t="s">
        <v>293</v>
      </c>
      <c r="D33" s="0" t="s">
        <v>294</v>
      </c>
      <c r="E33" s="0" t="s">
        <v>295</v>
      </c>
    </row>
    <row r="34" customFormat="false" ht="15" hidden="false" customHeight="false" outlineLevel="0" collapsed="false">
      <c r="A34" s="0" t="n">
        <v>32</v>
      </c>
      <c r="B34" s="0" t="s">
        <v>296</v>
      </c>
      <c r="C34" s="0" t="s">
        <v>297</v>
      </c>
      <c r="D34" s="0" t="s">
        <v>298</v>
      </c>
      <c r="E34" s="0" t="s">
        <v>299</v>
      </c>
    </row>
    <row r="35" customFormat="false" ht="15" hidden="false" customHeight="false" outlineLevel="0" collapsed="false">
      <c r="A35" s="0" t="n">
        <v>33</v>
      </c>
      <c r="B35" s="0" t="s">
        <v>300</v>
      </c>
      <c r="C35" s="0" t="s">
        <v>301</v>
      </c>
      <c r="D35" s="0" t="s">
        <v>302</v>
      </c>
      <c r="E35" s="0" t="s">
        <v>303</v>
      </c>
    </row>
    <row r="36" customFormat="false" ht="15" hidden="false" customHeight="false" outlineLevel="0" collapsed="false">
      <c r="A36" s="0" t="n">
        <v>34</v>
      </c>
      <c r="B36" s="0" t="s">
        <v>304</v>
      </c>
      <c r="C36" s="0" t="s">
        <v>305</v>
      </c>
      <c r="D36" s="0" t="s">
        <v>306</v>
      </c>
      <c r="E36" s="0" t="s">
        <v>307</v>
      </c>
    </row>
    <row r="37" customFormat="false" ht="15" hidden="false" customHeight="false" outlineLevel="0" collapsed="false">
      <c r="A37" s="0" t="n">
        <v>35</v>
      </c>
      <c r="B37" s="0" t="s">
        <v>308</v>
      </c>
      <c r="C37" s="0" t="s">
        <v>309</v>
      </c>
      <c r="D37" s="0" t="s">
        <v>310</v>
      </c>
      <c r="E37" s="0" t="s">
        <v>311</v>
      </c>
    </row>
    <row r="38" customFormat="false" ht="15" hidden="false" customHeight="false" outlineLevel="0" collapsed="false">
      <c r="A38" s="0" t="n">
        <v>36</v>
      </c>
      <c r="B38" s="0" t="s">
        <v>312</v>
      </c>
      <c r="C38" s="0" t="s">
        <v>313</v>
      </c>
      <c r="D38" s="0" t="s">
        <v>314</v>
      </c>
      <c r="E38" s="0" t="s">
        <v>315</v>
      </c>
    </row>
    <row r="39" customFormat="false" ht="15" hidden="false" customHeight="false" outlineLevel="0" collapsed="false">
      <c r="A39" s="0" t="n">
        <v>37</v>
      </c>
      <c r="B39" s="0" t="s">
        <v>316</v>
      </c>
      <c r="C39" s="0" t="s">
        <v>317</v>
      </c>
      <c r="D39" s="0" t="s">
        <v>318</v>
      </c>
      <c r="E39" s="0" t="s">
        <v>319</v>
      </c>
    </row>
    <row r="40" customFormat="false" ht="15" hidden="false" customHeight="false" outlineLevel="0" collapsed="false">
      <c r="A40" s="0" t="n">
        <v>38</v>
      </c>
      <c r="B40" s="0" t="s">
        <v>320</v>
      </c>
      <c r="C40" s="0" t="s">
        <v>321</v>
      </c>
      <c r="D40" s="0" t="s">
        <v>322</v>
      </c>
      <c r="E40" s="0" t="s">
        <v>323</v>
      </c>
    </row>
    <row r="41" customFormat="false" ht="15" hidden="false" customHeight="false" outlineLevel="0" collapsed="false">
      <c r="A41" s="0" t="n">
        <v>39</v>
      </c>
      <c r="B41" s="0" t="s">
        <v>324</v>
      </c>
      <c r="C41" s="0" t="s">
        <v>325</v>
      </c>
      <c r="D41" s="0" t="s">
        <v>326</v>
      </c>
      <c r="E41" s="0" t="s">
        <v>327</v>
      </c>
    </row>
    <row r="42" customFormat="false" ht="15" hidden="false" customHeight="false" outlineLevel="0" collapsed="false">
      <c r="A42" s="0" t="n">
        <v>40</v>
      </c>
      <c r="B42" s="0" t="s">
        <v>328</v>
      </c>
      <c r="C42" s="0" t="s">
        <v>329</v>
      </c>
      <c r="D42" s="0" t="s">
        <v>330</v>
      </c>
      <c r="E42" s="0" t="s">
        <v>331</v>
      </c>
    </row>
    <row r="43" customFormat="false" ht="15" hidden="false" customHeight="false" outlineLevel="0" collapsed="false">
      <c r="A43" s="0" t="n">
        <v>41</v>
      </c>
      <c r="B43" s="0" t="s">
        <v>332</v>
      </c>
      <c r="C43" s="0" t="s">
        <v>333</v>
      </c>
      <c r="D43" s="0" t="s">
        <v>334</v>
      </c>
      <c r="E43" s="0" t="s">
        <v>335</v>
      </c>
    </row>
    <row r="44" customFormat="false" ht="15" hidden="false" customHeight="false" outlineLevel="0" collapsed="false">
      <c r="A44" s="0" t="n">
        <v>42</v>
      </c>
      <c r="B44" s="0" t="s">
        <v>336</v>
      </c>
      <c r="C44" s="0" t="s">
        <v>337</v>
      </c>
      <c r="D44" s="0" t="s">
        <v>338</v>
      </c>
      <c r="E44" s="0" t="s">
        <v>339</v>
      </c>
    </row>
    <row r="45" customFormat="false" ht="15" hidden="false" customHeight="false" outlineLevel="0" collapsed="false">
      <c r="A45" s="0" t="n">
        <v>43</v>
      </c>
      <c r="B45" s="0" t="s">
        <v>340</v>
      </c>
      <c r="C45" s="0" t="s">
        <v>341</v>
      </c>
      <c r="D45" s="0" t="s">
        <v>342</v>
      </c>
      <c r="E45" s="0" t="s">
        <v>343</v>
      </c>
    </row>
    <row r="46" customFormat="false" ht="15" hidden="false" customHeight="false" outlineLevel="0" collapsed="false">
      <c r="A46" s="0" t="n">
        <v>44</v>
      </c>
      <c r="B46" s="0" t="s">
        <v>344</v>
      </c>
      <c r="C46" s="0" t="s">
        <v>345</v>
      </c>
      <c r="D46" s="0" t="s">
        <v>346</v>
      </c>
      <c r="E46" s="0" t="s">
        <v>347</v>
      </c>
    </row>
    <row r="47" customFormat="false" ht="15" hidden="false" customHeight="false" outlineLevel="0" collapsed="false">
      <c r="A47" s="0" t="n">
        <v>45</v>
      </c>
      <c r="B47" s="0" t="s">
        <v>348</v>
      </c>
      <c r="C47" s="0" t="s">
        <v>349</v>
      </c>
      <c r="D47" s="0" t="s">
        <v>350</v>
      </c>
      <c r="E47" s="0" t="s">
        <v>351</v>
      </c>
    </row>
    <row r="48" customFormat="false" ht="15" hidden="false" customHeight="false" outlineLevel="0" collapsed="false">
      <c r="A48" s="0" t="n">
        <v>46</v>
      </c>
      <c r="B48" s="0" t="s">
        <v>352</v>
      </c>
      <c r="C48" s="0" t="s">
        <v>353</v>
      </c>
      <c r="D48" s="0" t="s">
        <v>354</v>
      </c>
      <c r="E48" s="0" t="s">
        <v>355</v>
      </c>
    </row>
    <row r="49" customFormat="false" ht="15" hidden="false" customHeight="false" outlineLevel="0" collapsed="false">
      <c r="A49" s="0" t="n">
        <v>47</v>
      </c>
      <c r="B49" s="0" t="s">
        <v>356</v>
      </c>
      <c r="C49" s="0" t="s">
        <v>357</v>
      </c>
      <c r="D49" s="0" t="s">
        <v>358</v>
      </c>
      <c r="E49" s="0" t="s">
        <v>359</v>
      </c>
    </row>
    <row r="50" customFormat="false" ht="15" hidden="false" customHeight="false" outlineLevel="0" collapsed="false">
      <c r="A50" s="0" t="n">
        <v>48</v>
      </c>
      <c r="B50" s="0" t="s">
        <v>360</v>
      </c>
      <c r="C50" s="0" t="s">
        <v>361</v>
      </c>
      <c r="D50" s="0" t="s">
        <v>362</v>
      </c>
      <c r="E50" s="0" t="s">
        <v>363</v>
      </c>
    </row>
    <row r="51" customFormat="false" ht="15" hidden="false" customHeight="false" outlineLevel="0" collapsed="false">
      <c r="A51" s="0" t="n">
        <v>49</v>
      </c>
      <c r="B51" s="0" t="s">
        <v>364</v>
      </c>
      <c r="C51" s="0" t="s">
        <v>365</v>
      </c>
      <c r="D51" s="0" t="s">
        <v>366</v>
      </c>
      <c r="E51" s="0" t="s">
        <v>367</v>
      </c>
    </row>
    <row r="52" customFormat="false" ht="15" hidden="false" customHeight="false" outlineLevel="0" collapsed="false">
      <c r="A52" s="0" t="n">
        <v>50</v>
      </c>
      <c r="B52" s="0" t="s">
        <v>368</v>
      </c>
      <c r="C52" s="0" t="s">
        <v>369</v>
      </c>
      <c r="D52" s="0" t="s">
        <v>370</v>
      </c>
      <c r="E52" s="0" t="s">
        <v>371</v>
      </c>
    </row>
    <row r="53" customFormat="false" ht="15" hidden="false" customHeight="false" outlineLevel="0" collapsed="false">
      <c r="A53" s="0" t="n">
        <v>51</v>
      </c>
      <c r="B53" s="0" t="s">
        <v>372</v>
      </c>
      <c r="C53" s="0" t="s">
        <v>373</v>
      </c>
      <c r="D53" s="0" t="s">
        <v>374</v>
      </c>
      <c r="E53" s="0" t="s">
        <v>375</v>
      </c>
    </row>
    <row r="54" customFormat="false" ht="15" hidden="false" customHeight="false" outlineLevel="0" collapsed="false">
      <c r="A54" s="0" t="n">
        <v>52</v>
      </c>
      <c r="B54" s="0" t="s">
        <v>376</v>
      </c>
      <c r="C54" s="0" t="s">
        <v>377</v>
      </c>
      <c r="D54" s="0" t="s">
        <v>378</v>
      </c>
      <c r="E54" s="0" t="s">
        <v>379</v>
      </c>
    </row>
    <row r="55" customFormat="false" ht="15" hidden="false" customHeight="false" outlineLevel="0" collapsed="false">
      <c r="A55" s="0" t="n">
        <v>53</v>
      </c>
      <c r="B55" s="0" t="s">
        <v>380</v>
      </c>
      <c r="C55" s="0" t="s">
        <v>381</v>
      </c>
      <c r="D55" s="0" t="s">
        <v>382</v>
      </c>
      <c r="E55" s="0" t="s">
        <v>383</v>
      </c>
    </row>
    <row r="56" customFormat="false" ht="15" hidden="false" customHeight="false" outlineLevel="0" collapsed="false">
      <c r="A56" s="0" t="n">
        <v>54</v>
      </c>
      <c r="B56" s="0" t="s">
        <v>384</v>
      </c>
      <c r="C56" s="0" t="s">
        <v>385</v>
      </c>
      <c r="D56" s="0" t="s">
        <v>386</v>
      </c>
      <c r="E56" s="0" t="s">
        <v>387</v>
      </c>
    </row>
    <row r="57" customFormat="false" ht="15" hidden="false" customHeight="false" outlineLevel="0" collapsed="false">
      <c r="A57" s="0" t="n">
        <v>55</v>
      </c>
      <c r="B57" s="0" t="s">
        <v>388</v>
      </c>
      <c r="C57" s="0" t="s">
        <v>389</v>
      </c>
      <c r="D57" s="0" t="s">
        <v>390</v>
      </c>
      <c r="E57" s="0" t="s">
        <v>391</v>
      </c>
    </row>
    <row r="58" customFormat="false" ht="15" hidden="false" customHeight="false" outlineLevel="0" collapsed="false">
      <c r="A58" s="0" t="n">
        <v>56</v>
      </c>
      <c r="B58" s="0" t="s">
        <v>392</v>
      </c>
      <c r="C58" s="0" t="s">
        <v>393</v>
      </c>
      <c r="D58" s="0" t="s">
        <v>394</v>
      </c>
      <c r="E58" s="0" t="s">
        <v>395</v>
      </c>
    </row>
    <row r="59" customFormat="false" ht="15" hidden="false" customHeight="false" outlineLevel="0" collapsed="false">
      <c r="A59" s="0" t="n">
        <v>57</v>
      </c>
      <c r="B59" s="0" t="s">
        <v>396</v>
      </c>
      <c r="C59" s="0" t="s">
        <v>397</v>
      </c>
      <c r="D59" s="0" t="s">
        <v>398</v>
      </c>
      <c r="E59" s="0" t="s">
        <v>399</v>
      </c>
    </row>
    <row r="60" customFormat="false" ht="15" hidden="false" customHeight="false" outlineLevel="0" collapsed="false">
      <c r="A60" s="0" t="n">
        <v>58</v>
      </c>
      <c r="B60" s="0" t="s">
        <v>400</v>
      </c>
      <c r="C60" s="0" t="s">
        <v>401</v>
      </c>
      <c r="D60" s="0" t="s">
        <v>402</v>
      </c>
      <c r="E60" s="0" t="s">
        <v>403</v>
      </c>
    </row>
    <row r="61" customFormat="false" ht="15" hidden="false" customHeight="false" outlineLevel="0" collapsed="false">
      <c r="A61" s="0" t="n">
        <v>59</v>
      </c>
      <c r="B61" s="0" t="s">
        <v>404</v>
      </c>
      <c r="C61" s="0" t="s">
        <v>405</v>
      </c>
      <c r="D61" s="0" t="s">
        <v>406</v>
      </c>
      <c r="E61" s="0" t="s">
        <v>407</v>
      </c>
    </row>
    <row r="62" customFormat="false" ht="15" hidden="false" customHeight="false" outlineLevel="0" collapsed="false">
      <c r="A62" s="0" t="n">
        <v>60</v>
      </c>
      <c r="B62" s="0" t="s">
        <v>408</v>
      </c>
      <c r="C62" s="0" t="s">
        <v>409</v>
      </c>
      <c r="D62" s="0" t="s">
        <v>410</v>
      </c>
      <c r="E62" s="0" t="s">
        <v>411</v>
      </c>
    </row>
    <row r="63" customFormat="false" ht="15" hidden="false" customHeight="false" outlineLevel="0" collapsed="false">
      <c r="A63" s="0" t="n">
        <v>61</v>
      </c>
      <c r="B63" s="0" t="s">
        <v>412</v>
      </c>
      <c r="C63" s="0" t="s">
        <v>413</v>
      </c>
      <c r="D63" s="0" t="s">
        <v>414</v>
      </c>
      <c r="E63" s="0" t="s">
        <v>415</v>
      </c>
    </row>
    <row r="64" customFormat="false" ht="15" hidden="false" customHeight="false" outlineLevel="0" collapsed="false">
      <c r="A64" s="0" t="n">
        <v>62</v>
      </c>
      <c r="B64" s="0" t="s">
        <v>416</v>
      </c>
      <c r="C64" s="0" t="s">
        <v>417</v>
      </c>
      <c r="D64" s="0" t="s">
        <v>418</v>
      </c>
      <c r="E64" s="0" t="s">
        <v>419</v>
      </c>
    </row>
    <row r="65" customFormat="false" ht="15" hidden="false" customHeight="false" outlineLevel="0" collapsed="false">
      <c r="A65" s="0" t="n">
        <v>63</v>
      </c>
      <c r="B65" s="0" t="s">
        <v>420</v>
      </c>
      <c r="C65" s="0" t="s">
        <v>421</v>
      </c>
      <c r="D65" s="0" t="s">
        <v>422</v>
      </c>
      <c r="E65" s="0" t="s">
        <v>423</v>
      </c>
    </row>
    <row r="66" customFormat="false" ht="15" hidden="false" customHeight="false" outlineLevel="0" collapsed="false">
      <c r="A66" s="0" t="n">
        <v>64</v>
      </c>
      <c r="B66" s="0" t="s">
        <v>424</v>
      </c>
      <c r="C66" s="0" t="s">
        <v>425</v>
      </c>
      <c r="D66" s="0" t="s">
        <v>426</v>
      </c>
      <c r="E66" s="0" t="s">
        <v>427</v>
      </c>
    </row>
    <row r="67" customFormat="false" ht="15" hidden="false" customHeight="false" outlineLevel="0" collapsed="false">
      <c r="A67" s="0" t="n">
        <v>65</v>
      </c>
      <c r="B67" s="0" t="s">
        <v>428</v>
      </c>
      <c r="C67" s="0" t="s">
        <v>429</v>
      </c>
      <c r="D67" s="0" t="s">
        <v>430</v>
      </c>
      <c r="E67" s="0" t="s">
        <v>431</v>
      </c>
    </row>
    <row r="68" customFormat="false" ht="15" hidden="false" customHeight="false" outlineLevel="0" collapsed="false">
      <c r="A68" s="0" t="n">
        <v>66</v>
      </c>
      <c r="B68" s="0" t="s">
        <v>432</v>
      </c>
      <c r="C68" s="0" t="s">
        <v>433</v>
      </c>
      <c r="D68" s="0" t="s">
        <v>434</v>
      </c>
      <c r="E68" s="0" t="s">
        <v>435</v>
      </c>
    </row>
    <row r="69" customFormat="false" ht="15" hidden="false" customHeight="false" outlineLevel="0" collapsed="false">
      <c r="A69" s="0" t="n">
        <v>67</v>
      </c>
      <c r="B69" s="0" t="s">
        <v>436</v>
      </c>
      <c r="C69" s="0" t="s">
        <v>437</v>
      </c>
      <c r="D69" s="0" t="s">
        <v>438</v>
      </c>
      <c r="E69" s="0" t="s">
        <v>439</v>
      </c>
    </row>
    <row r="70" customFormat="false" ht="15" hidden="false" customHeight="false" outlineLevel="0" collapsed="false">
      <c r="A70" s="0" t="n">
        <v>68</v>
      </c>
      <c r="B70" s="0" t="s">
        <v>440</v>
      </c>
      <c r="C70" s="0" t="s">
        <v>441</v>
      </c>
      <c r="D70" s="0" t="s">
        <v>442</v>
      </c>
      <c r="E70" s="0" t="s">
        <v>443</v>
      </c>
    </row>
    <row r="71" customFormat="false" ht="15" hidden="false" customHeight="false" outlineLevel="0" collapsed="false">
      <c r="A71" s="0" t="n">
        <v>69</v>
      </c>
      <c r="B71" s="0" t="s">
        <v>444</v>
      </c>
      <c r="C71" s="0" t="s">
        <v>445</v>
      </c>
      <c r="D71" s="0" t="s">
        <v>446</v>
      </c>
      <c r="E71" s="0" t="s">
        <v>447</v>
      </c>
    </row>
    <row r="72" customFormat="false" ht="15" hidden="false" customHeight="false" outlineLevel="0" collapsed="false">
      <c r="A72" s="0" t="n">
        <v>70</v>
      </c>
      <c r="B72" s="0" t="s">
        <v>448</v>
      </c>
      <c r="C72" s="0" t="s">
        <v>449</v>
      </c>
      <c r="D72" s="0" t="s">
        <v>450</v>
      </c>
      <c r="E72" s="0" t="s">
        <v>451</v>
      </c>
    </row>
    <row r="73" customFormat="false" ht="15" hidden="false" customHeight="false" outlineLevel="0" collapsed="false">
      <c r="A73" s="0" t="n">
        <v>71</v>
      </c>
      <c r="B73" s="0" t="s">
        <v>452</v>
      </c>
      <c r="C73" s="0" t="s">
        <v>453</v>
      </c>
      <c r="D73" s="0" t="s">
        <v>454</v>
      </c>
      <c r="E73" s="0" t="s">
        <v>455</v>
      </c>
    </row>
    <row r="74" customFormat="false" ht="15" hidden="false" customHeight="false" outlineLevel="0" collapsed="false">
      <c r="A74" s="0" t="n">
        <v>72</v>
      </c>
      <c r="B74" s="0" t="s">
        <v>456</v>
      </c>
      <c r="C74" s="0" t="s">
        <v>457</v>
      </c>
      <c r="D74" s="0" t="s">
        <v>458</v>
      </c>
      <c r="E74" s="0" t="s">
        <v>459</v>
      </c>
    </row>
    <row r="75" customFormat="false" ht="15" hidden="false" customHeight="false" outlineLevel="0" collapsed="false">
      <c r="A75" s="0" t="n">
        <v>73</v>
      </c>
      <c r="B75" s="0" t="s">
        <v>460</v>
      </c>
      <c r="C75" s="0" t="s">
        <v>461</v>
      </c>
      <c r="D75" s="0" t="s">
        <v>462</v>
      </c>
      <c r="E75" s="0" t="s">
        <v>463</v>
      </c>
    </row>
    <row r="76" customFormat="false" ht="15" hidden="false" customHeight="false" outlineLevel="0" collapsed="false">
      <c r="A76" s="0" t="n">
        <v>74</v>
      </c>
      <c r="B76" s="0" t="s">
        <v>464</v>
      </c>
      <c r="C76" s="0" t="s">
        <v>465</v>
      </c>
      <c r="D76" s="0" t="s">
        <v>466</v>
      </c>
      <c r="E76" s="0" t="s">
        <v>467</v>
      </c>
    </row>
    <row r="77" customFormat="false" ht="15" hidden="false" customHeight="false" outlineLevel="0" collapsed="false">
      <c r="A77" s="0" t="n">
        <v>75</v>
      </c>
      <c r="B77" s="0" t="s">
        <v>468</v>
      </c>
      <c r="C77" s="0" t="s">
        <v>469</v>
      </c>
      <c r="D77" s="0" t="s">
        <v>470</v>
      </c>
      <c r="E77" s="0" t="s">
        <v>471</v>
      </c>
    </row>
    <row r="78" customFormat="false" ht="15" hidden="false" customHeight="false" outlineLevel="0" collapsed="false">
      <c r="A78" s="0" t="n">
        <v>76</v>
      </c>
      <c r="B78" s="0" t="s">
        <v>472</v>
      </c>
      <c r="C78" s="0" t="s">
        <v>473</v>
      </c>
      <c r="D78" s="0" t="s">
        <v>474</v>
      </c>
      <c r="E78" s="0" t="s">
        <v>475</v>
      </c>
    </row>
    <row r="79" customFormat="false" ht="15" hidden="false" customHeight="false" outlineLevel="0" collapsed="false">
      <c r="A79" s="0" t="n">
        <v>77</v>
      </c>
      <c r="B79" s="0" t="s">
        <v>476</v>
      </c>
      <c r="C79" s="0" t="s">
        <v>477</v>
      </c>
      <c r="D79" s="0" t="s">
        <v>478</v>
      </c>
      <c r="E79" s="0" t="s">
        <v>479</v>
      </c>
    </row>
    <row r="80" customFormat="false" ht="15" hidden="false" customHeight="false" outlineLevel="0" collapsed="false">
      <c r="A80" s="0" t="n">
        <v>78</v>
      </c>
      <c r="B80" s="0" t="s">
        <v>480</v>
      </c>
      <c r="C80" s="0" t="s">
        <v>481</v>
      </c>
      <c r="D80" s="0" t="s">
        <v>482</v>
      </c>
      <c r="E80" s="0" t="s">
        <v>483</v>
      </c>
    </row>
    <row r="81" customFormat="false" ht="15" hidden="false" customHeight="false" outlineLevel="0" collapsed="false">
      <c r="A81" s="0" t="n">
        <v>79</v>
      </c>
      <c r="B81" s="0" t="s">
        <v>484</v>
      </c>
      <c r="C81" s="0" t="s">
        <v>485</v>
      </c>
      <c r="D81" s="0" t="s">
        <v>486</v>
      </c>
      <c r="E81" s="0" t="s">
        <v>487</v>
      </c>
    </row>
    <row r="82" customFormat="false" ht="15" hidden="false" customHeight="false" outlineLevel="0" collapsed="false">
      <c r="A82" s="0" t="n">
        <v>80</v>
      </c>
      <c r="B82" s="0" t="s">
        <v>488</v>
      </c>
      <c r="C82" s="0" t="s">
        <v>489</v>
      </c>
      <c r="D82" s="0" t="s">
        <v>490</v>
      </c>
      <c r="E82" s="0" t="s">
        <v>491</v>
      </c>
    </row>
    <row r="83" customFormat="false" ht="15" hidden="false" customHeight="false" outlineLevel="0" collapsed="false">
      <c r="A83" s="0" t="n">
        <v>81</v>
      </c>
      <c r="B83" s="0" t="s">
        <v>492</v>
      </c>
      <c r="C83" s="0" t="s">
        <v>493</v>
      </c>
      <c r="D83" s="0" t="s">
        <v>494</v>
      </c>
      <c r="E83" s="0" t="s">
        <v>495</v>
      </c>
    </row>
    <row r="84" customFormat="false" ht="15" hidden="false" customHeight="false" outlineLevel="0" collapsed="false">
      <c r="A84" s="0" t="n">
        <v>82</v>
      </c>
      <c r="B84" s="0" t="s">
        <v>496</v>
      </c>
      <c r="C84" s="0" t="s">
        <v>497</v>
      </c>
      <c r="D84" s="0" t="s">
        <v>498</v>
      </c>
      <c r="E84" s="0" t="s">
        <v>499</v>
      </c>
    </row>
    <row r="85" customFormat="false" ht="15" hidden="false" customHeight="false" outlineLevel="0" collapsed="false">
      <c r="A85" s="0" t="n">
        <v>83</v>
      </c>
      <c r="B85" s="0" t="s">
        <v>500</v>
      </c>
      <c r="C85" s="0" t="s">
        <v>501</v>
      </c>
      <c r="D85" s="0" t="s">
        <v>502</v>
      </c>
      <c r="E85" s="0" t="s">
        <v>503</v>
      </c>
    </row>
    <row r="86" customFormat="false" ht="15" hidden="false" customHeight="false" outlineLevel="0" collapsed="false">
      <c r="A86" s="0" t="n">
        <v>84</v>
      </c>
      <c r="B86" s="0" t="s">
        <v>504</v>
      </c>
      <c r="C86" s="0" t="s">
        <v>505</v>
      </c>
      <c r="D86" s="0" t="s">
        <v>506</v>
      </c>
      <c r="E86" s="0" t="s">
        <v>507</v>
      </c>
    </row>
    <row r="87" customFormat="false" ht="15" hidden="false" customHeight="false" outlineLevel="0" collapsed="false">
      <c r="A87" s="0" t="n">
        <v>85</v>
      </c>
      <c r="B87" s="0" t="s">
        <v>508</v>
      </c>
      <c r="C87" s="0" t="s">
        <v>509</v>
      </c>
      <c r="D87" s="0" t="s">
        <v>510</v>
      </c>
      <c r="E87" s="0" t="s">
        <v>511</v>
      </c>
    </row>
    <row r="88" customFormat="false" ht="15" hidden="false" customHeight="false" outlineLevel="0" collapsed="false">
      <c r="A88" s="0" t="n">
        <v>86</v>
      </c>
      <c r="B88" s="0" t="s">
        <v>512</v>
      </c>
      <c r="C88" s="0" t="s">
        <v>513</v>
      </c>
      <c r="D88" s="0" t="s">
        <v>514</v>
      </c>
      <c r="E88" s="0" t="s">
        <v>515</v>
      </c>
    </row>
    <row r="89" customFormat="false" ht="15" hidden="false" customHeight="false" outlineLevel="0" collapsed="false">
      <c r="A89" s="0" t="n">
        <v>87</v>
      </c>
      <c r="B89" s="0" t="s">
        <v>516</v>
      </c>
      <c r="C89" s="0" t="s">
        <v>517</v>
      </c>
      <c r="D89" s="0" t="s">
        <v>518</v>
      </c>
      <c r="E89" s="0" t="s">
        <v>519</v>
      </c>
    </row>
    <row r="90" customFormat="false" ht="15" hidden="false" customHeight="false" outlineLevel="0" collapsed="false">
      <c r="A90" s="0" t="n">
        <v>88</v>
      </c>
      <c r="B90" s="0" t="s">
        <v>520</v>
      </c>
      <c r="C90" s="0" t="s">
        <v>521</v>
      </c>
      <c r="D90" s="0" t="s">
        <v>522</v>
      </c>
      <c r="E90" s="0" t="s">
        <v>523</v>
      </c>
    </row>
    <row r="91" customFormat="false" ht="15" hidden="false" customHeight="false" outlineLevel="0" collapsed="false">
      <c r="A91" s="0" t="n">
        <v>89</v>
      </c>
      <c r="B91" s="0" t="s">
        <v>524</v>
      </c>
      <c r="C91" s="0" t="s">
        <v>525</v>
      </c>
      <c r="D91" s="0" t="s">
        <v>526</v>
      </c>
      <c r="E91" s="0" t="s">
        <v>527</v>
      </c>
    </row>
    <row r="92" customFormat="false" ht="15" hidden="false" customHeight="false" outlineLevel="0" collapsed="false">
      <c r="A92" s="0" t="n">
        <v>90</v>
      </c>
      <c r="B92" s="0" t="s">
        <v>528</v>
      </c>
      <c r="C92" s="0" t="s">
        <v>529</v>
      </c>
      <c r="D92" s="0" t="s">
        <v>530</v>
      </c>
      <c r="E92" s="0" t="s">
        <v>531</v>
      </c>
    </row>
    <row r="93" customFormat="false" ht="15" hidden="false" customHeight="false" outlineLevel="0" collapsed="false">
      <c r="A93" s="0" t="n">
        <v>91</v>
      </c>
      <c r="B93" s="0" t="s">
        <v>532</v>
      </c>
      <c r="C93" s="0" t="s">
        <v>533</v>
      </c>
      <c r="D93" s="0" t="s">
        <v>534</v>
      </c>
      <c r="E93" s="0" t="s">
        <v>535</v>
      </c>
    </row>
    <row r="94" customFormat="false" ht="15" hidden="false" customHeight="false" outlineLevel="0" collapsed="false">
      <c r="A94" s="0" t="n">
        <v>92</v>
      </c>
      <c r="B94" s="0" t="s">
        <v>536</v>
      </c>
      <c r="C94" s="0" t="s">
        <v>537</v>
      </c>
      <c r="D94" s="0" t="s">
        <v>538</v>
      </c>
      <c r="E94" s="0" t="s">
        <v>539</v>
      </c>
    </row>
    <row r="95" customFormat="false" ht="15" hidden="false" customHeight="false" outlineLevel="0" collapsed="false">
      <c r="A95" s="0" t="n">
        <v>93</v>
      </c>
      <c r="B95" s="0" t="s">
        <v>540</v>
      </c>
      <c r="C95" s="0" t="s">
        <v>541</v>
      </c>
      <c r="D95" s="0" t="s">
        <v>542</v>
      </c>
      <c r="E95" s="0" t="s">
        <v>543</v>
      </c>
    </row>
    <row r="96" customFormat="false" ht="15" hidden="false" customHeight="false" outlineLevel="0" collapsed="false">
      <c r="A96" s="0" t="n">
        <v>94</v>
      </c>
      <c r="B96" s="0" t="s">
        <v>544</v>
      </c>
      <c r="C96" s="0" t="s">
        <v>545</v>
      </c>
      <c r="D96" s="0" t="s">
        <v>546</v>
      </c>
      <c r="E96" s="0" t="s">
        <v>547</v>
      </c>
    </row>
    <row r="97" customFormat="false" ht="15" hidden="false" customHeight="false" outlineLevel="0" collapsed="false">
      <c r="A97" s="0" t="n">
        <v>95</v>
      </c>
      <c r="B97" s="0" t="s">
        <v>548</v>
      </c>
      <c r="C97" s="0" t="s">
        <v>549</v>
      </c>
      <c r="D97" s="0" t="s">
        <v>550</v>
      </c>
      <c r="E97" s="0" t="s">
        <v>551</v>
      </c>
    </row>
    <row r="98" customFormat="false" ht="15" hidden="false" customHeight="false" outlineLevel="0" collapsed="false">
      <c r="A98" s="0" t="n">
        <v>96</v>
      </c>
      <c r="B98" s="0" t="s">
        <v>552</v>
      </c>
      <c r="C98" s="0" t="s">
        <v>553</v>
      </c>
      <c r="D98" s="0" t="s">
        <v>554</v>
      </c>
      <c r="E98" s="0" t="s">
        <v>555</v>
      </c>
    </row>
    <row r="99" customFormat="false" ht="15" hidden="false" customHeight="false" outlineLevel="0" collapsed="false">
      <c r="A99" s="0" t="n">
        <v>97</v>
      </c>
      <c r="B99" s="0" t="s">
        <v>556</v>
      </c>
      <c r="C99" s="0" t="s">
        <v>557</v>
      </c>
      <c r="D99" s="0" t="s">
        <v>558</v>
      </c>
      <c r="E99" s="0" t="s">
        <v>559</v>
      </c>
    </row>
    <row r="100" customFormat="false" ht="15" hidden="false" customHeight="false" outlineLevel="0" collapsed="false">
      <c r="A100" s="0" t="n">
        <v>98</v>
      </c>
      <c r="B100" s="0" t="s">
        <v>560</v>
      </c>
      <c r="C100" s="0" t="s">
        <v>561</v>
      </c>
      <c r="D100" s="0" t="s">
        <v>562</v>
      </c>
      <c r="E100" s="0" t="s">
        <v>563</v>
      </c>
    </row>
    <row r="101" customFormat="false" ht="15" hidden="false" customHeight="false" outlineLevel="0" collapsed="false">
      <c r="A101" s="0" t="n">
        <v>99</v>
      </c>
      <c r="B101" s="0" t="s">
        <v>564</v>
      </c>
      <c r="C101" s="0" t="s">
        <v>565</v>
      </c>
      <c r="D101" s="0" t="s">
        <v>566</v>
      </c>
      <c r="E101" s="0" t="s">
        <v>567</v>
      </c>
    </row>
    <row r="102" customFormat="false" ht="15" hidden="false" customHeight="false" outlineLevel="0" collapsed="false">
      <c r="A102" s="0" t="n">
        <v>100</v>
      </c>
      <c r="B102" s="0" t="s">
        <v>568</v>
      </c>
      <c r="C102" s="0" t="s">
        <v>569</v>
      </c>
      <c r="D102" s="0" t="s">
        <v>570</v>
      </c>
      <c r="E102" s="0" t="s">
        <v>571</v>
      </c>
    </row>
    <row r="103" customFormat="false" ht="15" hidden="false" customHeight="false" outlineLevel="0" collapsed="false">
      <c r="A103" s="0" t="n">
        <v>101</v>
      </c>
      <c r="B103" s="0" t="s">
        <v>572</v>
      </c>
      <c r="C103" s="0" t="s">
        <v>573</v>
      </c>
      <c r="D103" s="0" t="s">
        <v>574</v>
      </c>
      <c r="E103" s="0" t="s">
        <v>575</v>
      </c>
    </row>
    <row r="104" customFormat="false" ht="15" hidden="false" customHeight="false" outlineLevel="0" collapsed="false">
      <c r="A104" s="0" t="n">
        <v>102</v>
      </c>
      <c r="B104" s="0" t="s">
        <v>576</v>
      </c>
      <c r="C104" s="0" t="s">
        <v>577</v>
      </c>
      <c r="D104" s="0" t="s">
        <v>578</v>
      </c>
      <c r="E104" s="0" t="s">
        <v>579</v>
      </c>
    </row>
    <row r="105" customFormat="false" ht="15" hidden="false" customHeight="false" outlineLevel="0" collapsed="false">
      <c r="A105" s="0" t="n">
        <v>103</v>
      </c>
      <c r="B105" s="0" t="s">
        <v>580</v>
      </c>
      <c r="C105" s="0" t="s">
        <v>581</v>
      </c>
      <c r="D105" s="0" t="s">
        <v>582</v>
      </c>
      <c r="E105" s="0" t="s">
        <v>583</v>
      </c>
    </row>
    <row r="106" customFormat="false" ht="15" hidden="false" customHeight="false" outlineLevel="0" collapsed="false">
      <c r="A106" s="0" t="n">
        <v>104</v>
      </c>
      <c r="B106" s="0" t="s">
        <v>584</v>
      </c>
      <c r="C106" s="0" t="s">
        <v>585</v>
      </c>
      <c r="D106" s="0" t="s">
        <v>586</v>
      </c>
      <c r="E106" s="0" t="s">
        <v>587</v>
      </c>
    </row>
    <row r="107" customFormat="false" ht="15" hidden="false" customHeight="false" outlineLevel="0" collapsed="false">
      <c r="A107" s="0" t="n">
        <v>105</v>
      </c>
      <c r="B107" s="0" t="s">
        <v>588</v>
      </c>
      <c r="C107" s="0" t="s">
        <v>589</v>
      </c>
      <c r="D107" s="0" t="s">
        <v>590</v>
      </c>
      <c r="E107" s="0" t="s">
        <v>591</v>
      </c>
    </row>
    <row r="108" customFormat="false" ht="15" hidden="false" customHeight="false" outlineLevel="0" collapsed="false">
      <c r="A108" s="0" t="n">
        <v>106</v>
      </c>
      <c r="B108" s="0" t="s">
        <v>592</v>
      </c>
      <c r="C108" s="0" t="s">
        <v>593</v>
      </c>
      <c r="D108" s="0" t="s">
        <v>594</v>
      </c>
      <c r="E108" s="0" t="s">
        <v>595</v>
      </c>
    </row>
    <row r="109" customFormat="false" ht="15" hidden="false" customHeight="false" outlineLevel="0" collapsed="false">
      <c r="A109" s="0" t="n">
        <v>107</v>
      </c>
      <c r="B109" s="0" t="s">
        <v>596</v>
      </c>
      <c r="C109" s="0" t="s">
        <v>597</v>
      </c>
      <c r="D109" s="0" t="s">
        <v>598</v>
      </c>
      <c r="E109" s="0" t="s">
        <v>599</v>
      </c>
    </row>
    <row r="110" customFormat="false" ht="15" hidden="false" customHeight="false" outlineLevel="0" collapsed="false">
      <c r="A110" s="0" t="n">
        <v>108</v>
      </c>
      <c r="B110" s="0" t="s">
        <v>600</v>
      </c>
      <c r="C110" s="0" t="s">
        <v>601</v>
      </c>
      <c r="D110" s="0" t="s">
        <v>602</v>
      </c>
      <c r="E110" s="0" t="s">
        <v>603</v>
      </c>
    </row>
    <row r="111" customFormat="false" ht="15" hidden="false" customHeight="false" outlineLevel="0" collapsed="false">
      <c r="A111" s="0" t="n">
        <v>109</v>
      </c>
      <c r="B111" s="0" t="s">
        <v>604</v>
      </c>
      <c r="C111" s="0" t="s">
        <v>605</v>
      </c>
      <c r="D111" s="0" t="s">
        <v>606</v>
      </c>
      <c r="E111" s="0" t="s">
        <v>607</v>
      </c>
    </row>
    <row r="112" customFormat="false" ht="15" hidden="false" customHeight="false" outlineLevel="0" collapsed="false">
      <c r="A112" s="0" t="n">
        <v>110</v>
      </c>
      <c r="B112" s="0" t="s">
        <v>608</v>
      </c>
      <c r="C112" s="0" t="s">
        <v>609</v>
      </c>
      <c r="D112" s="0" t="s">
        <v>610</v>
      </c>
      <c r="E112" s="0" t="s">
        <v>611</v>
      </c>
    </row>
    <row r="113" customFormat="false" ht="15" hidden="false" customHeight="false" outlineLevel="0" collapsed="false">
      <c r="A113" s="0" t="n">
        <v>111</v>
      </c>
      <c r="B113" s="0" t="s">
        <v>612</v>
      </c>
      <c r="C113" s="0" t="s">
        <v>613</v>
      </c>
      <c r="D113" s="0" t="s">
        <v>614</v>
      </c>
      <c r="E113" s="0" t="s">
        <v>615</v>
      </c>
    </row>
    <row r="114" customFormat="false" ht="15" hidden="false" customHeight="false" outlineLevel="0" collapsed="false">
      <c r="A114" s="0" t="n">
        <v>112</v>
      </c>
      <c r="B114" s="0" t="s">
        <v>616</v>
      </c>
      <c r="C114" s="0" t="s">
        <v>617</v>
      </c>
      <c r="D114" s="0" t="s">
        <v>618</v>
      </c>
      <c r="E114" s="0" t="s">
        <v>619</v>
      </c>
    </row>
    <row r="115" customFormat="false" ht="15" hidden="false" customHeight="false" outlineLevel="0" collapsed="false">
      <c r="A115" s="0" t="n">
        <v>113</v>
      </c>
      <c r="B115" s="0" t="s">
        <v>620</v>
      </c>
      <c r="C115" s="0" t="s">
        <v>621</v>
      </c>
      <c r="D115" s="0" t="s">
        <v>622</v>
      </c>
      <c r="E115" s="0" t="s">
        <v>623</v>
      </c>
    </row>
    <row r="116" customFormat="false" ht="15" hidden="false" customHeight="false" outlineLevel="0" collapsed="false">
      <c r="A116" s="0" t="n">
        <v>114</v>
      </c>
      <c r="B116" s="0" t="s">
        <v>624</v>
      </c>
      <c r="C116" s="0" t="s">
        <v>625</v>
      </c>
      <c r="D116" s="0" t="s">
        <v>626</v>
      </c>
      <c r="E116" s="0" t="s">
        <v>627</v>
      </c>
    </row>
    <row r="117" customFormat="false" ht="15" hidden="false" customHeight="false" outlineLevel="0" collapsed="false">
      <c r="A117" s="0" t="n">
        <v>115</v>
      </c>
      <c r="B117" s="0" t="s">
        <v>628</v>
      </c>
      <c r="C117" s="0" t="s">
        <v>629</v>
      </c>
      <c r="D117" s="0" t="s">
        <v>630</v>
      </c>
      <c r="E117" s="0" t="s">
        <v>631</v>
      </c>
    </row>
    <row r="118" customFormat="false" ht="15" hidden="false" customHeight="false" outlineLevel="0" collapsed="false">
      <c r="A118" s="0" t="n">
        <v>116</v>
      </c>
      <c r="B118" s="0" t="s">
        <v>632</v>
      </c>
      <c r="C118" s="0" t="s">
        <v>633</v>
      </c>
      <c r="D118" s="0" t="s">
        <v>634</v>
      </c>
      <c r="E118" s="0" t="s">
        <v>635</v>
      </c>
    </row>
    <row r="119" customFormat="false" ht="15" hidden="false" customHeight="false" outlineLevel="0" collapsed="false">
      <c r="A119" s="0" t="n">
        <v>117</v>
      </c>
      <c r="B119" s="0" t="s">
        <v>636</v>
      </c>
      <c r="C119" s="0" t="s">
        <v>637</v>
      </c>
      <c r="D119" s="0" t="s">
        <v>638</v>
      </c>
      <c r="E119" s="0" t="s">
        <v>639</v>
      </c>
    </row>
    <row r="120" customFormat="false" ht="15" hidden="false" customHeight="false" outlineLevel="0" collapsed="false">
      <c r="A120" s="0" t="n">
        <v>118</v>
      </c>
      <c r="B120" s="0" t="s">
        <v>640</v>
      </c>
      <c r="C120" s="0" t="s">
        <v>641</v>
      </c>
      <c r="D120" s="0" t="s">
        <v>642</v>
      </c>
      <c r="E120" s="0" t="s">
        <v>643</v>
      </c>
    </row>
    <row r="121" customFormat="false" ht="15" hidden="false" customHeight="false" outlineLevel="0" collapsed="false">
      <c r="A121" s="0" t="n">
        <v>119</v>
      </c>
      <c r="B121" s="0" t="s">
        <v>644</v>
      </c>
      <c r="C121" s="0" t="s">
        <v>645</v>
      </c>
      <c r="D121" s="0" t="s">
        <v>646</v>
      </c>
      <c r="E121" s="0" t="s">
        <v>647</v>
      </c>
    </row>
    <row r="122" customFormat="false" ht="15" hidden="false" customHeight="false" outlineLevel="0" collapsed="false">
      <c r="A122" s="0" t="n">
        <v>120</v>
      </c>
      <c r="B122" s="0" t="s">
        <v>648</v>
      </c>
      <c r="C122" s="0" t="s">
        <v>649</v>
      </c>
      <c r="D122" s="0" t="s">
        <v>650</v>
      </c>
      <c r="E122" s="0" t="s">
        <v>651</v>
      </c>
    </row>
    <row r="123" customFormat="false" ht="15" hidden="false" customHeight="false" outlineLevel="0" collapsed="false">
      <c r="A123" s="0" t="n">
        <v>121</v>
      </c>
      <c r="B123" s="0" t="s">
        <v>652</v>
      </c>
      <c r="C123" s="0" t="s">
        <v>653</v>
      </c>
      <c r="D123" s="0" t="s">
        <v>654</v>
      </c>
      <c r="E123" s="0" t="s">
        <v>655</v>
      </c>
    </row>
    <row r="124" customFormat="false" ht="15" hidden="false" customHeight="false" outlineLevel="0" collapsed="false">
      <c r="A124" s="0" t="n">
        <v>122</v>
      </c>
      <c r="B124" s="0" t="s">
        <v>656</v>
      </c>
      <c r="C124" s="0" t="s">
        <v>657</v>
      </c>
      <c r="D124" s="0" t="s">
        <v>658</v>
      </c>
      <c r="E124" s="0" t="s">
        <v>659</v>
      </c>
    </row>
    <row r="125" customFormat="false" ht="15" hidden="false" customHeight="false" outlineLevel="0" collapsed="false">
      <c r="A125" s="0" t="n">
        <v>123</v>
      </c>
      <c r="B125" s="0" t="s">
        <v>660</v>
      </c>
      <c r="C125" s="0" t="s">
        <v>661</v>
      </c>
      <c r="D125" s="0" t="s">
        <v>662</v>
      </c>
      <c r="E125" s="0" t="s">
        <v>663</v>
      </c>
    </row>
    <row r="126" customFormat="false" ht="15" hidden="false" customHeight="false" outlineLevel="0" collapsed="false">
      <c r="A126" s="0" t="n">
        <v>124</v>
      </c>
      <c r="B126" s="0" t="s">
        <v>664</v>
      </c>
      <c r="C126" s="0" t="s">
        <v>665</v>
      </c>
      <c r="D126" s="0" t="s">
        <v>666</v>
      </c>
      <c r="E126" s="0" t="s">
        <v>667</v>
      </c>
    </row>
    <row r="127" customFormat="false" ht="15" hidden="false" customHeight="false" outlineLevel="0" collapsed="false">
      <c r="A127" s="0" t="n">
        <v>125</v>
      </c>
      <c r="B127" s="0" t="s">
        <v>668</v>
      </c>
      <c r="C127" s="0" t="s">
        <v>669</v>
      </c>
      <c r="D127" s="0" t="s">
        <v>670</v>
      </c>
      <c r="E127" s="0" t="s">
        <v>671</v>
      </c>
    </row>
    <row r="128" customFormat="false" ht="15" hidden="false" customHeight="false" outlineLevel="0" collapsed="false">
      <c r="A128" s="0" t="n">
        <v>126</v>
      </c>
      <c r="B128" s="0" t="s">
        <v>672</v>
      </c>
      <c r="C128" s="0" t="s">
        <v>673</v>
      </c>
      <c r="D128" s="0" t="s">
        <v>674</v>
      </c>
      <c r="E128" s="0" t="s">
        <v>675</v>
      </c>
    </row>
    <row r="129" customFormat="false" ht="15" hidden="false" customHeight="false" outlineLevel="0" collapsed="false">
      <c r="A129" s="0" t="n">
        <v>127</v>
      </c>
      <c r="B129" s="0" t="s">
        <v>676</v>
      </c>
      <c r="C129" s="0" t="s">
        <v>677</v>
      </c>
      <c r="D129" s="0" t="s">
        <v>678</v>
      </c>
      <c r="E129" s="0" t="s">
        <v>679</v>
      </c>
    </row>
    <row r="130" customFormat="false" ht="15" hidden="false" customHeight="false" outlineLevel="0" collapsed="false">
      <c r="A130" s="0" t="n">
        <v>128</v>
      </c>
      <c r="B130" s="0" t="s">
        <v>680</v>
      </c>
      <c r="C130" s="0" t="s">
        <v>681</v>
      </c>
      <c r="D130" s="0" t="s">
        <v>682</v>
      </c>
      <c r="E130" s="0" t="s">
        <v>683</v>
      </c>
    </row>
    <row r="131" customFormat="false" ht="15" hidden="false" customHeight="false" outlineLevel="0" collapsed="false">
      <c r="A131" s="0" t="n">
        <v>129</v>
      </c>
      <c r="B131" s="0" t="s">
        <v>684</v>
      </c>
      <c r="C131" s="0" t="s">
        <v>685</v>
      </c>
      <c r="D131" s="0" t="s">
        <v>686</v>
      </c>
      <c r="E131" s="0" t="s">
        <v>687</v>
      </c>
    </row>
    <row r="132" customFormat="false" ht="15" hidden="false" customHeight="false" outlineLevel="0" collapsed="false">
      <c r="A132" s="0" t="n">
        <v>130</v>
      </c>
      <c r="B132" s="0" t="s">
        <v>688</v>
      </c>
      <c r="C132" s="0" t="s">
        <v>689</v>
      </c>
      <c r="D132" s="0" t="s">
        <v>690</v>
      </c>
      <c r="E132" s="0" t="s">
        <v>691</v>
      </c>
    </row>
    <row r="133" customFormat="false" ht="15" hidden="false" customHeight="false" outlineLevel="0" collapsed="false">
      <c r="A133" s="0" t="n">
        <v>131</v>
      </c>
      <c r="B133" s="0" t="s">
        <v>692</v>
      </c>
      <c r="C133" s="0" t="s">
        <v>693</v>
      </c>
      <c r="D133" s="0" t="s">
        <v>694</v>
      </c>
      <c r="E133" s="0" t="s">
        <v>695</v>
      </c>
    </row>
    <row r="134" customFormat="false" ht="15" hidden="false" customHeight="false" outlineLevel="0" collapsed="false">
      <c r="A134" s="0" t="n">
        <v>132</v>
      </c>
      <c r="B134" s="0" t="s">
        <v>696</v>
      </c>
      <c r="C134" s="0" t="s">
        <v>697</v>
      </c>
      <c r="D134" s="0" t="s">
        <v>698</v>
      </c>
      <c r="E134" s="0" t="s">
        <v>699</v>
      </c>
    </row>
    <row r="135" customFormat="false" ht="15" hidden="false" customHeight="false" outlineLevel="0" collapsed="false">
      <c r="A135" s="0" t="n">
        <v>133</v>
      </c>
      <c r="B135" s="0" t="s">
        <v>700</v>
      </c>
      <c r="C135" s="0" t="s">
        <v>701</v>
      </c>
      <c r="D135" s="0" t="s">
        <v>702</v>
      </c>
      <c r="E135" s="0" t="s">
        <v>703</v>
      </c>
    </row>
    <row r="136" customFormat="false" ht="15" hidden="false" customHeight="false" outlineLevel="0" collapsed="false">
      <c r="A136" s="0" t="n">
        <v>134</v>
      </c>
      <c r="B136" s="0" t="s">
        <v>704</v>
      </c>
      <c r="C136" s="0" t="s">
        <v>705</v>
      </c>
      <c r="D136" s="0" t="s">
        <v>706</v>
      </c>
      <c r="E136" s="0" t="s">
        <v>707</v>
      </c>
    </row>
    <row r="137" customFormat="false" ht="15" hidden="false" customHeight="false" outlineLevel="0" collapsed="false">
      <c r="A137" s="0" t="n">
        <v>135</v>
      </c>
      <c r="B137" s="0" t="s">
        <v>708</v>
      </c>
      <c r="C137" s="0" t="s">
        <v>709</v>
      </c>
      <c r="D137" s="0" t="s">
        <v>710</v>
      </c>
      <c r="E137" s="0" t="s">
        <v>711</v>
      </c>
    </row>
    <row r="138" customFormat="false" ht="15" hidden="false" customHeight="false" outlineLevel="0" collapsed="false">
      <c r="A138" s="0" t="n">
        <v>136</v>
      </c>
      <c r="B138" s="0" t="s">
        <v>712</v>
      </c>
      <c r="C138" s="0" t="s">
        <v>713</v>
      </c>
      <c r="D138" s="0" t="s">
        <v>714</v>
      </c>
      <c r="E138" s="0" t="s">
        <v>715</v>
      </c>
    </row>
    <row r="139" customFormat="false" ht="15" hidden="false" customHeight="false" outlineLevel="0" collapsed="false">
      <c r="A139" s="0" t="n">
        <v>137</v>
      </c>
      <c r="B139" s="0" t="s">
        <v>716</v>
      </c>
      <c r="C139" s="0" t="s">
        <v>717</v>
      </c>
      <c r="D139" s="0" t="s">
        <v>718</v>
      </c>
      <c r="E139" s="0" t="s">
        <v>719</v>
      </c>
    </row>
    <row r="140" customFormat="false" ht="15" hidden="false" customHeight="false" outlineLevel="0" collapsed="false">
      <c r="A140" s="0" t="n">
        <v>138</v>
      </c>
      <c r="B140" s="0" t="s">
        <v>720</v>
      </c>
      <c r="C140" s="0" t="s">
        <v>721</v>
      </c>
      <c r="D140" s="0" t="s">
        <v>722</v>
      </c>
      <c r="E140" s="0" t="s">
        <v>723</v>
      </c>
    </row>
    <row r="141" customFormat="false" ht="15" hidden="false" customHeight="false" outlineLevel="0" collapsed="false">
      <c r="A141" s="0" t="n">
        <v>139</v>
      </c>
      <c r="B141" s="0" t="s">
        <v>724</v>
      </c>
      <c r="C141" s="0" t="s">
        <v>725</v>
      </c>
      <c r="D141" s="0" t="s">
        <v>726</v>
      </c>
      <c r="E141" s="0" t="s">
        <v>727</v>
      </c>
    </row>
    <row r="142" customFormat="false" ht="15" hidden="false" customHeight="false" outlineLevel="0" collapsed="false">
      <c r="A142" s="0" t="n">
        <v>140</v>
      </c>
      <c r="B142" s="0" t="s">
        <v>728</v>
      </c>
      <c r="C142" s="0" t="s">
        <v>729</v>
      </c>
      <c r="D142" s="0" t="s">
        <v>730</v>
      </c>
      <c r="E142" s="0" t="s">
        <v>731</v>
      </c>
    </row>
    <row r="143" customFormat="false" ht="15" hidden="false" customHeight="false" outlineLevel="0" collapsed="false">
      <c r="A143" s="0" t="n">
        <v>141</v>
      </c>
      <c r="B143" s="0" t="s">
        <v>732</v>
      </c>
      <c r="C143" s="0" t="s">
        <v>733</v>
      </c>
      <c r="D143" s="0" t="s">
        <v>734</v>
      </c>
      <c r="E143" s="0" t="s">
        <v>735</v>
      </c>
    </row>
    <row r="144" customFormat="false" ht="15" hidden="false" customHeight="false" outlineLevel="0" collapsed="false">
      <c r="A144" s="0" t="n">
        <v>142</v>
      </c>
      <c r="B144" s="0" t="s">
        <v>736</v>
      </c>
      <c r="C144" s="0" t="s">
        <v>737</v>
      </c>
      <c r="D144" s="0" t="s">
        <v>738</v>
      </c>
      <c r="E144" s="0" t="s">
        <v>739</v>
      </c>
    </row>
    <row r="145" customFormat="false" ht="15" hidden="false" customHeight="false" outlineLevel="0" collapsed="false">
      <c r="A145" s="0" t="n">
        <v>143</v>
      </c>
      <c r="B145" s="0" t="s">
        <v>740</v>
      </c>
      <c r="C145" s="0" t="s">
        <v>741</v>
      </c>
      <c r="D145" s="0" t="s">
        <v>742</v>
      </c>
      <c r="E145" s="0" t="s">
        <v>743</v>
      </c>
    </row>
    <row r="146" customFormat="false" ht="15" hidden="false" customHeight="false" outlineLevel="0" collapsed="false">
      <c r="A146" s="0" t="n">
        <v>144</v>
      </c>
      <c r="B146" s="0" t="s">
        <v>744</v>
      </c>
      <c r="C146" s="0" t="s">
        <v>745</v>
      </c>
      <c r="D146" s="0" t="s">
        <v>746</v>
      </c>
      <c r="E146" s="0" t="s">
        <v>747</v>
      </c>
    </row>
    <row r="147" customFormat="false" ht="15" hidden="false" customHeight="false" outlineLevel="0" collapsed="false">
      <c r="A147" s="0" t="n">
        <v>145</v>
      </c>
      <c r="B147" s="0" t="s">
        <v>748</v>
      </c>
      <c r="C147" s="0" t="s">
        <v>749</v>
      </c>
      <c r="D147" s="0" t="s">
        <v>750</v>
      </c>
      <c r="E147" s="0" t="s">
        <v>751</v>
      </c>
    </row>
    <row r="148" customFormat="false" ht="15" hidden="false" customHeight="false" outlineLevel="0" collapsed="false">
      <c r="A148" s="0" t="n">
        <v>146</v>
      </c>
      <c r="B148" s="0" t="s">
        <v>752</v>
      </c>
      <c r="C148" s="0" t="s">
        <v>753</v>
      </c>
      <c r="D148" s="0" t="s">
        <v>754</v>
      </c>
      <c r="E148" s="0" t="s">
        <v>755</v>
      </c>
    </row>
    <row r="149" customFormat="false" ht="15" hidden="false" customHeight="false" outlineLevel="0" collapsed="false">
      <c r="A149" s="0" t="n">
        <v>147</v>
      </c>
      <c r="B149" s="0" t="s">
        <v>756</v>
      </c>
      <c r="C149" s="0" t="s">
        <v>757</v>
      </c>
      <c r="D149" s="0" t="s">
        <v>758</v>
      </c>
      <c r="E149" s="0" t="s">
        <v>759</v>
      </c>
    </row>
    <row r="150" customFormat="false" ht="15" hidden="false" customHeight="false" outlineLevel="0" collapsed="false">
      <c r="A150" s="0" t="n">
        <v>148</v>
      </c>
      <c r="B150" s="0" t="s">
        <v>760</v>
      </c>
      <c r="C150" s="0" t="s">
        <v>761</v>
      </c>
      <c r="D150" s="0" t="s">
        <v>762</v>
      </c>
      <c r="E150" s="0" t="s">
        <v>763</v>
      </c>
    </row>
    <row r="151" customFormat="false" ht="15" hidden="false" customHeight="false" outlineLevel="0" collapsed="false">
      <c r="A151" s="0" t="n">
        <v>149</v>
      </c>
      <c r="B151" s="0" t="s">
        <v>764</v>
      </c>
      <c r="C151" s="0" t="s">
        <v>765</v>
      </c>
      <c r="D151" s="0" t="s">
        <v>766</v>
      </c>
      <c r="E151" s="0" t="s">
        <v>767</v>
      </c>
    </row>
    <row r="152" customFormat="false" ht="15" hidden="false" customHeight="false" outlineLevel="0" collapsed="false">
      <c r="A152" s="0" t="n">
        <v>150</v>
      </c>
      <c r="B152" s="0" t="s">
        <v>768</v>
      </c>
      <c r="C152" s="0" t="s">
        <v>769</v>
      </c>
      <c r="D152" s="0" t="s">
        <v>770</v>
      </c>
      <c r="E152" s="0" t="s">
        <v>771</v>
      </c>
    </row>
    <row r="153" customFormat="false" ht="15" hidden="false" customHeight="false" outlineLevel="0" collapsed="false">
      <c r="A153" s="0" t="n">
        <v>151</v>
      </c>
      <c r="B153" s="0" t="s">
        <v>772</v>
      </c>
      <c r="C153" s="0" t="s">
        <v>773</v>
      </c>
      <c r="D153" s="0" t="s">
        <v>774</v>
      </c>
      <c r="E153" s="0" t="s">
        <v>775</v>
      </c>
    </row>
    <row r="154" customFormat="false" ht="15" hidden="false" customHeight="false" outlineLevel="0" collapsed="false">
      <c r="A154" s="0" t="n">
        <v>152</v>
      </c>
      <c r="B154" s="0" t="s">
        <v>776</v>
      </c>
      <c r="C154" s="0" t="s">
        <v>777</v>
      </c>
      <c r="D154" s="0" t="s">
        <v>778</v>
      </c>
      <c r="E154" s="0" t="s">
        <v>779</v>
      </c>
    </row>
    <row r="155" customFormat="false" ht="15" hidden="false" customHeight="false" outlineLevel="0" collapsed="false">
      <c r="A155" s="0" t="n">
        <v>153</v>
      </c>
      <c r="B155" s="0" t="s">
        <v>780</v>
      </c>
      <c r="C155" s="0" t="s">
        <v>781</v>
      </c>
      <c r="D155" s="0" t="s">
        <v>782</v>
      </c>
      <c r="E155" s="0" t="s">
        <v>783</v>
      </c>
    </row>
    <row r="156" customFormat="false" ht="15" hidden="false" customHeight="false" outlineLevel="0" collapsed="false">
      <c r="A156" s="0" t="n">
        <v>154</v>
      </c>
      <c r="B156" s="0" t="s">
        <v>784</v>
      </c>
      <c r="C156" s="0" t="s">
        <v>785</v>
      </c>
      <c r="D156" s="0" t="s">
        <v>786</v>
      </c>
      <c r="E156" s="0" t="s">
        <v>787</v>
      </c>
    </row>
    <row r="157" customFormat="false" ht="15" hidden="false" customHeight="false" outlineLevel="0" collapsed="false">
      <c r="A157" s="0" t="n">
        <v>155</v>
      </c>
      <c r="B157" s="0" t="s">
        <v>788</v>
      </c>
      <c r="C157" s="0" t="s">
        <v>789</v>
      </c>
      <c r="D157" s="0" t="s">
        <v>790</v>
      </c>
      <c r="E157" s="0" t="s">
        <v>791</v>
      </c>
    </row>
    <row r="158" customFormat="false" ht="15" hidden="false" customHeight="false" outlineLevel="0" collapsed="false">
      <c r="A158" s="0" t="n">
        <v>156</v>
      </c>
      <c r="B158" s="0" t="s">
        <v>792</v>
      </c>
      <c r="C158" s="0" t="s">
        <v>793</v>
      </c>
      <c r="D158" s="0" t="s">
        <v>794</v>
      </c>
      <c r="E158" s="0" t="s">
        <v>795</v>
      </c>
    </row>
    <row r="159" customFormat="false" ht="15" hidden="false" customHeight="false" outlineLevel="0" collapsed="false">
      <c r="A159" s="0" t="n">
        <v>157</v>
      </c>
      <c r="B159" s="0" t="s">
        <v>796</v>
      </c>
      <c r="C159" s="0" t="s">
        <v>797</v>
      </c>
      <c r="D159" s="0" t="s">
        <v>798</v>
      </c>
      <c r="E159" s="0" t="s">
        <v>799</v>
      </c>
    </row>
    <row r="160" customFormat="false" ht="15" hidden="false" customHeight="false" outlineLevel="0" collapsed="false">
      <c r="A160" s="0" t="n">
        <v>158</v>
      </c>
      <c r="B160" s="0" t="s">
        <v>800</v>
      </c>
      <c r="C160" s="0" t="s">
        <v>801</v>
      </c>
      <c r="D160" s="0" t="s">
        <v>802</v>
      </c>
      <c r="E160" s="0" t="s">
        <v>803</v>
      </c>
    </row>
    <row r="161" customFormat="false" ht="15" hidden="false" customHeight="false" outlineLevel="0" collapsed="false">
      <c r="A161" s="0" t="n">
        <v>159</v>
      </c>
      <c r="B161" s="0" t="s">
        <v>804</v>
      </c>
      <c r="C161" s="0" t="s">
        <v>805</v>
      </c>
      <c r="D161" s="0" t="s">
        <v>806</v>
      </c>
      <c r="E161" s="0" t="s">
        <v>807</v>
      </c>
    </row>
    <row r="162" customFormat="false" ht="15" hidden="false" customHeight="false" outlineLevel="0" collapsed="false">
      <c r="A162" s="0" t="n">
        <v>160</v>
      </c>
      <c r="B162" s="0" t="s">
        <v>808</v>
      </c>
      <c r="C162" s="0" t="s">
        <v>809</v>
      </c>
      <c r="D162" s="0" t="s">
        <v>810</v>
      </c>
      <c r="E162" s="0" t="s">
        <v>811</v>
      </c>
    </row>
    <row r="163" customFormat="false" ht="15" hidden="false" customHeight="false" outlineLevel="0" collapsed="false">
      <c r="A163" s="0" t="n">
        <v>161</v>
      </c>
      <c r="B163" s="0" t="s">
        <v>812</v>
      </c>
      <c r="C163" s="0" t="s">
        <v>813</v>
      </c>
      <c r="D163" s="0" t="s">
        <v>814</v>
      </c>
      <c r="E163" s="0" t="s">
        <v>815</v>
      </c>
    </row>
    <row r="164" customFormat="false" ht="15" hidden="false" customHeight="false" outlineLevel="0" collapsed="false">
      <c r="A164" s="0" t="n">
        <v>162</v>
      </c>
      <c r="B164" s="0" t="s">
        <v>816</v>
      </c>
      <c r="C164" s="0" t="s">
        <v>817</v>
      </c>
      <c r="D164" s="0" t="s">
        <v>818</v>
      </c>
      <c r="E164" s="0" t="s">
        <v>819</v>
      </c>
    </row>
    <row r="165" customFormat="false" ht="15" hidden="false" customHeight="false" outlineLevel="0" collapsed="false">
      <c r="A165" s="0" t="n">
        <v>163</v>
      </c>
      <c r="B165" s="0" t="s">
        <v>820</v>
      </c>
      <c r="C165" s="0" t="s">
        <v>821</v>
      </c>
      <c r="D165" s="0" t="s">
        <v>822</v>
      </c>
      <c r="E165" s="0" t="s">
        <v>823</v>
      </c>
    </row>
    <row r="166" customFormat="false" ht="15" hidden="false" customHeight="false" outlineLevel="0" collapsed="false">
      <c r="A166" s="0" t="n">
        <v>164</v>
      </c>
      <c r="B166" s="0" t="s">
        <v>824</v>
      </c>
      <c r="C166" s="0" t="s">
        <v>825</v>
      </c>
      <c r="D166" s="0" t="s">
        <v>826</v>
      </c>
      <c r="E166" s="0" t="s">
        <v>827</v>
      </c>
    </row>
    <row r="167" customFormat="false" ht="15" hidden="false" customHeight="false" outlineLevel="0" collapsed="false">
      <c r="A167" s="0" t="n">
        <v>165</v>
      </c>
      <c r="B167" s="0" t="s">
        <v>828</v>
      </c>
      <c r="C167" s="0" t="s">
        <v>829</v>
      </c>
      <c r="D167" s="0" t="s">
        <v>830</v>
      </c>
      <c r="E167" s="0" t="s">
        <v>831</v>
      </c>
    </row>
    <row r="168" customFormat="false" ht="15" hidden="false" customHeight="false" outlineLevel="0" collapsed="false">
      <c r="A168" s="0" t="n">
        <v>166</v>
      </c>
      <c r="B168" s="0" t="s">
        <v>832</v>
      </c>
      <c r="C168" s="0" t="s">
        <v>833</v>
      </c>
      <c r="D168" s="0" t="s">
        <v>834</v>
      </c>
      <c r="E168" s="0" t="s">
        <v>835</v>
      </c>
    </row>
    <row r="169" customFormat="false" ht="15" hidden="false" customHeight="false" outlineLevel="0" collapsed="false">
      <c r="A169" s="0" t="n">
        <v>167</v>
      </c>
      <c r="B169" s="0" t="s">
        <v>836</v>
      </c>
      <c r="C169" s="0" t="s">
        <v>837</v>
      </c>
      <c r="D169" s="0" t="s">
        <v>838</v>
      </c>
      <c r="E169" s="0" t="s">
        <v>839</v>
      </c>
    </row>
    <row r="170" customFormat="false" ht="15" hidden="false" customHeight="false" outlineLevel="0" collapsed="false">
      <c r="A170" s="0" t="n">
        <v>168</v>
      </c>
      <c r="B170" s="0" t="s">
        <v>840</v>
      </c>
      <c r="C170" s="0" t="s">
        <v>841</v>
      </c>
      <c r="D170" s="0" t="s">
        <v>842</v>
      </c>
      <c r="E170" s="0" t="s">
        <v>843</v>
      </c>
    </row>
    <row r="171" customFormat="false" ht="15" hidden="false" customHeight="false" outlineLevel="0" collapsed="false">
      <c r="A171" s="0" t="n">
        <v>169</v>
      </c>
      <c r="B171" s="0" t="s">
        <v>844</v>
      </c>
      <c r="C171" s="0" t="s">
        <v>845</v>
      </c>
      <c r="D171" s="0" t="s">
        <v>846</v>
      </c>
      <c r="E171" s="0" t="s">
        <v>847</v>
      </c>
    </row>
    <row r="172" customFormat="false" ht="15" hidden="false" customHeight="false" outlineLevel="0" collapsed="false">
      <c r="A172" s="0" t="n">
        <v>170</v>
      </c>
      <c r="B172" s="0" t="s">
        <v>848</v>
      </c>
      <c r="C172" s="0" t="s">
        <v>849</v>
      </c>
      <c r="D172" s="0" t="s">
        <v>850</v>
      </c>
      <c r="E172" s="0" t="s">
        <v>851</v>
      </c>
    </row>
    <row r="173" customFormat="false" ht="15" hidden="false" customHeight="false" outlineLevel="0" collapsed="false">
      <c r="A173" s="0" t="n">
        <v>171</v>
      </c>
      <c r="B173" s="0" t="s">
        <v>852</v>
      </c>
      <c r="C173" s="0" t="s">
        <v>853</v>
      </c>
      <c r="D173" s="0" t="s">
        <v>854</v>
      </c>
      <c r="E173" s="0" t="s">
        <v>855</v>
      </c>
    </row>
    <row r="174" customFormat="false" ht="15" hidden="false" customHeight="false" outlineLevel="0" collapsed="false">
      <c r="A174" s="0" t="n">
        <v>172</v>
      </c>
      <c r="B174" s="0" t="s">
        <v>856</v>
      </c>
      <c r="C174" s="0" t="s">
        <v>857</v>
      </c>
      <c r="D174" s="0" t="s">
        <v>858</v>
      </c>
      <c r="E174" s="0" t="s">
        <v>859</v>
      </c>
    </row>
    <row r="175" customFormat="false" ht="15" hidden="false" customHeight="false" outlineLevel="0" collapsed="false">
      <c r="A175" s="0" t="n">
        <v>173</v>
      </c>
      <c r="B175" s="0" t="s">
        <v>860</v>
      </c>
      <c r="C175" s="0" t="s">
        <v>861</v>
      </c>
      <c r="D175" s="0" t="s">
        <v>862</v>
      </c>
      <c r="E175" s="0" t="s">
        <v>863</v>
      </c>
    </row>
    <row r="176" customFormat="false" ht="15" hidden="false" customHeight="false" outlineLevel="0" collapsed="false">
      <c r="A176" s="0" t="n">
        <v>174</v>
      </c>
      <c r="B176" s="0" t="s">
        <v>864</v>
      </c>
      <c r="C176" s="0" t="s">
        <v>865</v>
      </c>
      <c r="D176" s="0" t="s">
        <v>866</v>
      </c>
      <c r="E176" s="0" t="s">
        <v>867</v>
      </c>
    </row>
    <row r="177" customFormat="false" ht="15" hidden="false" customHeight="false" outlineLevel="0" collapsed="false">
      <c r="A177" s="0" t="n">
        <v>175</v>
      </c>
      <c r="B177" s="0" t="s">
        <v>868</v>
      </c>
      <c r="C177" s="0" t="s">
        <v>869</v>
      </c>
      <c r="D177" s="0" t="s">
        <v>870</v>
      </c>
      <c r="E177" s="0" t="s">
        <v>871</v>
      </c>
    </row>
    <row r="178" customFormat="false" ht="15" hidden="false" customHeight="false" outlineLevel="0" collapsed="false">
      <c r="A178" s="0" t="n">
        <v>176</v>
      </c>
      <c r="B178" s="0" t="s">
        <v>872</v>
      </c>
      <c r="C178" s="0" t="s">
        <v>873</v>
      </c>
      <c r="D178" s="0" t="s">
        <v>874</v>
      </c>
      <c r="E178" s="0" t="s">
        <v>875</v>
      </c>
    </row>
    <row r="179" customFormat="false" ht="15" hidden="false" customHeight="false" outlineLevel="0" collapsed="false">
      <c r="A179" s="0" t="n">
        <v>177</v>
      </c>
      <c r="B179" s="0" t="s">
        <v>876</v>
      </c>
      <c r="C179" s="0" t="s">
        <v>877</v>
      </c>
      <c r="D179" s="0" t="s">
        <v>878</v>
      </c>
      <c r="E179" s="0" t="s">
        <v>879</v>
      </c>
    </row>
    <row r="180" customFormat="false" ht="15" hidden="false" customHeight="false" outlineLevel="0" collapsed="false">
      <c r="A180" s="0" t="n">
        <v>178</v>
      </c>
      <c r="B180" s="0" t="s">
        <v>880</v>
      </c>
      <c r="C180" s="0" t="s">
        <v>881</v>
      </c>
      <c r="D180" s="0" t="s">
        <v>882</v>
      </c>
      <c r="E180" s="0" t="s">
        <v>883</v>
      </c>
    </row>
    <row r="181" customFormat="false" ht="15" hidden="false" customHeight="false" outlineLevel="0" collapsed="false">
      <c r="A181" s="0" t="n">
        <v>179</v>
      </c>
      <c r="B181" s="0" t="s">
        <v>884</v>
      </c>
      <c r="C181" s="0" t="s">
        <v>885</v>
      </c>
      <c r="D181" s="0" t="s">
        <v>886</v>
      </c>
      <c r="E181" s="0" t="s">
        <v>887</v>
      </c>
    </row>
    <row r="182" customFormat="false" ht="15" hidden="false" customHeight="false" outlineLevel="0" collapsed="false">
      <c r="A182" s="0" t="n">
        <v>180</v>
      </c>
      <c r="B182" s="0" t="s">
        <v>888</v>
      </c>
      <c r="C182" s="0" t="s">
        <v>889</v>
      </c>
      <c r="D182" s="0" t="s">
        <v>890</v>
      </c>
      <c r="E182" s="0" t="s">
        <v>891</v>
      </c>
    </row>
    <row r="183" customFormat="false" ht="15" hidden="false" customHeight="false" outlineLevel="0" collapsed="false">
      <c r="A183" s="0" t="n">
        <v>181</v>
      </c>
      <c r="B183" s="0" t="s">
        <v>892</v>
      </c>
      <c r="C183" s="0" t="s">
        <v>893</v>
      </c>
      <c r="D183" s="0" t="s">
        <v>894</v>
      </c>
      <c r="E183" s="0" t="s">
        <v>895</v>
      </c>
    </row>
    <row r="184" customFormat="false" ht="15" hidden="false" customHeight="false" outlineLevel="0" collapsed="false">
      <c r="A184" s="0" t="n">
        <v>182</v>
      </c>
      <c r="B184" s="0" t="s">
        <v>896</v>
      </c>
      <c r="C184" s="0" t="s">
        <v>897</v>
      </c>
      <c r="D184" s="0" t="s">
        <v>898</v>
      </c>
      <c r="E184" s="0" t="s">
        <v>899</v>
      </c>
    </row>
    <row r="185" customFormat="false" ht="15" hidden="false" customHeight="false" outlineLevel="0" collapsed="false">
      <c r="A185" s="0" t="n">
        <v>183</v>
      </c>
      <c r="B185" s="0" t="s">
        <v>900</v>
      </c>
      <c r="C185" s="0" t="s">
        <v>901</v>
      </c>
      <c r="D185" s="0" t="s">
        <v>902</v>
      </c>
      <c r="E185" s="0" t="s">
        <v>903</v>
      </c>
    </row>
    <row r="186" customFormat="false" ht="15" hidden="false" customHeight="false" outlineLevel="0" collapsed="false">
      <c r="A186" s="0" t="n">
        <v>184</v>
      </c>
      <c r="B186" s="0" t="s">
        <v>904</v>
      </c>
      <c r="C186" s="0" t="s">
        <v>905</v>
      </c>
      <c r="D186" s="0" t="s">
        <v>906</v>
      </c>
      <c r="E186" s="0" t="s">
        <v>907</v>
      </c>
    </row>
    <row r="187" customFormat="false" ht="15" hidden="false" customHeight="false" outlineLevel="0" collapsed="false">
      <c r="A187" s="0" t="n">
        <v>185</v>
      </c>
      <c r="B187" s="0" t="s">
        <v>908</v>
      </c>
      <c r="C187" s="0" t="s">
        <v>909</v>
      </c>
      <c r="D187" s="0" t="s">
        <v>910</v>
      </c>
      <c r="E187" s="0" t="s">
        <v>911</v>
      </c>
    </row>
    <row r="188" customFormat="false" ht="15" hidden="false" customHeight="false" outlineLevel="0" collapsed="false">
      <c r="A188" s="0" t="n">
        <v>186</v>
      </c>
      <c r="B188" s="0" t="s">
        <v>912</v>
      </c>
      <c r="C188" s="0" t="s">
        <v>913</v>
      </c>
      <c r="D188" s="0" t="s">
        <v>914</v>
      </c>
      <c r="E188" s="0" t="s">
        <v>915</v>
      </c>
    </row>
    <row r="189" customFormat="false" ht="15" hidden="false" customHeight="false" outlineLevel="0" collapsed="false">
      <c r="A189" s="0" t="n">
        <v>187</v>
      </c>
      <c r="B189" s="0" t="s">
        <v>916</v>
      </c>
      <c r="C189" s="0" t="s">
        <v>917</v>
      </c>
      <c r="D189" s="0" t="s">
        <v>918</v>
      </c>
      <c r="E189" s="0" t="s">
        <v>919</v>
      </c>
    </row>
    <row r="190" customFormat="false" ht="15" hidden="false" customHeight="false" outlineLevel="0" collapsed="false">
      <c r="A190" s="0" t="n">
        <v>188</v>
      </c>
      <c r="B190" s="0" t="s">
        <v>920</v>
      </c>
      <c r="C190" s="0" t="s">
        <v>921</v>
      </c>
      <c r="D190" s="0" t="s">
        <v>922</v>
      </c>
      <c r="E190" s="0" t="s">
        <v>923</v>
      </c>
    </row>
    <row r="191" customFormat="false" ht="15" hidden="false" customHeight="false" outlineLevel="0" collapsed="false">
      <c r="A191" s="0" t="n">
        <v>189</v>
      </c>
      <c r="B191" s="0" t="s">
        <v>924</v>
      </c>
      <c r="C191" s="0" t="s">
        <v>925</v>
      </c>
      <c r="D191" s="0" t="s">
        <v>926</v>
      </c>
      <c r="E191" s="0" t="s">
        <v>927</v>
      </c>
    </row>
    <row r="192" customFormat="false" ht="15" hidden="false" customHeight="false" outlineLevel="0" collapsed="false">
      <c r="A192" s="0" t="n">
        <v>190</v>
      </c>
      <c r="B192" s="0" t="s">
        <v>928</v>
      </c>
      <c r="C192" s="0" t="s">
        <v>929</v>
      </c>
      <c r="D192" s="0" t="s">
        <v>930</v>
      </c>
      <c r="E192" s="0" t="s">
        <v>931</v>
      </c>
    </row>
    <row r="193" customFormat="false" ht="15" hidden="false" customHeight="false" outlineLevel="0" collapsed="false">
      <c r="A193" s="0" t="n">
        <v>191</v>
      </c>
      <c r="B193" s="0" t="s">
        <v>932</v>
      </c>
      <c r="C193" s="0" t="s">
        <v>933</v>
      </c>
      <c r="D193" s="0" t="s">
        <v>934</v>
      </c>
      <c r="E193" s="0" t="s">
        <v>935</v>
      </c>
    </row>
    <row r="194" customFormat="false" ht="15" hidden="false" customHeight="false" outlineLevel="0" collapsed="false">
      <c r="A194" s="0" t="n">
        <v>192</v>
      </c>
      <c r="B194" s="0" t="s">
        <v>936</v>
      </c>
      <c r="C194" s="0" t="s">
        <v>937</v>
      </c>
      <c r="D194" s="0" t="s">
        <v>938</v>
      </c>
      <c r="E194" s="0" t="s">
        <v>939</v>
      </c>
    </row>
    <row r="195" customFormat="false" ht="15" hidden="false" customHeight="false" outlineLevel="0" collapsed="false">
      <c r="A195" s="0" t="n">
        <v>193</v>
      </c>
      <c r="B195" s="0" t="s">
        <v>940</v>
      </c>
      <c r="C195" s="0" t="s">
        <v>941</v>
      </c>
      <c r="D195" s="0" t="s">
        <v>942</v>
      </c>
      <c r="E195" s="0" t="s">
        <v>943</v>
      </c>
    </row>
    <row r="196" customFormat="false" ht="15" hidden="false" customHeight="false" outlineLevel="0" collapsed="false">
      <c r="A196" s="0" t="n">
        <v>194</v>
      </c>
      <c r="B196" s="0" t="s">
        <v>944</v>
      </c>
      <c r="C196" s="0" t="s">
        <v>945</v>
      </c>
      <c r="D196" s="0" t="s">
        <v>946</v>
      </c>
      <c r="E196" s="0" t="s">
        <v>947</v>
      </c>
    </row>
    <row r="197" customFormat="false" ht="15" hidden="false" customHeight="false" outlineLevel="0" collapsed="false">
      <c r="A197" s="0" t="n">
        <v>195</v>
      </c>
      <c r="B197" s="0" t="s">
        <v>948</v>
      </c>
      <c r="C197" s="0" t="s">
        <v>949</v>
      </c>
      <c r="D197" s="0" t="s">
        <v>950</v>
      </c>
      <c r="E197" s="0" t="s">
        <v>951</v>
      </c>
    </row>
    <row r="198" customFormat="false" ht="15" hidden="false" customHeight="false" outlineLevel="0" collapsed="false">
      <c r="A198" s="0" t="n">
        <v>196</v>
      </c>
      <c r="B198" s="0" t="s">
        <v>952</v>
      </c>
      <c r="C198" s="0" t="s">
        <v>953</v>
      </c>
      <c r="D198" s="0" t="s">
        <v>954</v>
      </c>
      <c r="E198" s="0" t="s">
        <v>955</v>
      </c>
    </row>
    <row r="199" customFormat="false" ht="15" hidden="false" customHeight="false" outlineLevel="0" collapsed="false">
      <c r="A199" s="0" t="n">
        <v>197</v>
      </c>
      <c r="B199" s="0" t="s">
        <v>956</v>
      </c>
      <c r="C199" s="0" t="s">
        <v>957</v>
      </c>
      <c r="D199" s="0" t="s">
        <v>958</v>
      </c>
      <c r="E199" s="0" t="s">
        <v>959</v>
      </c>
    </row>
    <row r="200" customFormat="false" ht="15" hidden="false" customHeight="false" outlineLevel="0" collapsed="false">
      <c r="A200" s="0" t="n">
        <v>198</v>
      </c>
      <c r="B200" s="0" t="s">
        <v>960</v>
      </c>
      <c r="C200" s="0" t="s">
        <v>961</v>
      </c>
      <c r="D200" s="0" t="s">
        <v>962</v>
      </c>
      <c r="E200" s="0" t="s">
        <v>963</v>
      </c>
    </row>
    <row r="201" customFormat="false" ht="15" hidden="false" customHeight="false" outlineLevel="0" collapsed="false">
      <c r="A201" s="0" t="n">
        <v>199</v>
      </c>
      <c r="B201" s="0" t="s">
        <v>964</v>
      </c>
      <c r="C201" s="0" t="s">
        <v>965</v>
      </c>
      <c r="D201" s="0" t="s">
        <v>966</v>
      </c>
      <c r="E201" s="0" t="s">
        <v>967</v>
      </c>
    </row>
    <row r="202" customFormat="false" ht="15" hidden="false" customHeight="false" outlineLevel="0" collapsed="false">
      <c r="A202" s="0" t="n">
        <v>200</v>
      </c>
      <c r="B202" s="0" t="s">
        <v>968</v>
      </c>
      <c r="C202" s="0" t="s">
        <v>969</v>
      </c>
      <c r="D202" s="0" t="s">
        <v>970</v>
      </c>
      <c r="E202" s="0" t="s">
        <v>971</v>
      </c>
    </row>
    <row r="203" customFormat="false" ht="15" hidden="false" customHeight="false" outlineLevel="0" collapsed="false">
      <c r="A203" s="0" t="n">
        <v>201</v>
      </c>
      <c r="B203" s="0" t="s">
        <v>972</v>
      </c>
      <c r="C203" s="0" t="s">
        <v>973</v>
      </c>
      <c r="D203" s="0" t="s">
        <v>974</v>
      </c>
      <c r="E203" s="0" t="s">
        <v>975</v>
      </c>
    </row>
    <row r="204" customFormat="false" ht="15" hidden="false" customHeight="false" outlineLevel="0" collapsed="false">
      <c r="A204" s="0" t="n">
        <v>202</v>
      </c>
      <c r="B204" s="0" t="s">
        <v>976</v>
      </c>
      <c r="C204" s="0" t="s">
        <v>977</v>
      </c>
      <c r="D204" s="0" t="s">
        <v>978</v>
      </c>
      <c r="E204" s="0" t="s">
        <v>979</v>
      </c>
    </row>
    <row r="205" customFormat="false" ht="15" hidden="false" customHeight="false" outlineLevel="0" collapsed="false">
      <c r="A205" s="0" t="n">
        <v>203</v>
      </c>
      <c r="B205" s="0" t="s">
        <v>980</v>
      </c>
      <c r="C205" s="0" t="s">
        <v>981</v>
      </c>
      <c r="D205" s="0" t="s">
        <v>982</v>
      </c>
      <c r="E205" s="0" t="s">
        <v>983</v>
      </c>
    </row>
    <row r="206" customFormat="false" ht="15" hidden="false" customHeight="false" outlineLevel="0" collapsed="false">
      <c r="A206" s="0" t="n">
        <v>204</v>
      </c>
      <c r="B206" s="0" t="s">
        <v>984</v>
      </c>
      <c r="C206" s="0" t="s">
        <v>985</v>
      </c>
      <c r="D206" s="0" t="s">
        <v>986</v>
      </c>
      <c r="E206" s="0" t="s">
        <v>987</v>
      </c>
    </row>
    <row r="207" customFormat="false" ht="15" hidden="false" customHeight="false" outlineLevel="0" collapsed="false">
      <c r="A207" s="0" t="n">
        <v>205</v>
      </c>
      <c r="B207" s="0" t="s">
        <v>988</v>
      </c>
      <c r="C207" s="0" t="s">
        <v>989</v>
      </c>
      <c r="D207" s="0" t="s">
        <v>990</v>
      </c>
      <c r="E207" s="0" t="s">
        <v>991</v>
      </c>
    </row>
    <row r="208" customFormat="false" ht="15" hidden="false" customHeight="false" outlineLevel="0" collapsed="false">
      <c r="A208" s="0" t="n">
        <v>206</v>
      </c>
      <c r="B208" s="0" t="s">
        <v>992</v>
      </c>
      <c r="C208" s="0" t="s">
        <v>993</v>
      </c>
      <c r="D208" s="0" t="s">
        <v>994</v>
      </c>
      <c r="E208" s="0" t="s">
        <v>995</v>
      </c>
    </row>
    <row r="209" customFormat="false" ht="15" hidden="false" customHeight="false" outlineLevel="0" collapsed="false">
      <c r="A209" s="0" t="n">
        <v>207</v>
      </c>
      <c r="B209" s="0" t="s">
        <v>996</v>
      </c>
      <c r="C209" s="0" t="s">
        <v>997</v>
      </c>
      <c r="D209" s="0" t="s">
        <v>998</v>
      </c>
      <c r="E209" s="0" t="s">
        <v>999</v>
      </c>
    </row>
    <row r="210" customFormat="false" ht="15" hidden="false" customHeight="false" outlineLevel="0" collapsed="false">
      <c r="A210" s="0" t="n">
        <v>208</v>
      </c>
      <c r="B210" s="0" t="s">
        <v>1000</v>
      </c>
      <c r="C210" s="0" t="s">
        <v>1001</v>
      </c>
      <c r="D210" s="0" t="s">
        <v>1002</v>
      </c>
      <c r="E210" s="0" t="s">
        <v>1003</v>
      </c>
    </row>
    <row r="211" customFormat="false" ht="15" hidden="false" customHeight="false" outlineLevel="0" collapsed="false">
      <c r="A211" s="0" t="n">
        <v>209</v>
      </c>
      <c r="B211" s="0" t="s">
        <v>1004</v>
      </c>
      <c r="C211" s="0" t="s">
        <v>1005</v>
      </c>
      <c r="D211" s="0" t="s">
        <v>1006</v>
      </c>
      <c r="E211" s="0" t="s">
        <v>1007</v>
      </c>
    </row>
    <row r="212" customFormat="false" ht="15" hidden="false" customHeight="false" outlineLevel="0" collapsed="false">
      <c r="A212" s="0" t="n">
        <v>210</v>
      </c>
      <c r="B212" s="0" t="s">
        <v>1008</v>
      </c>
      <c r="C212" s="0" t="s">
        <v>1009</v>
      </c>
      <c r="D212" s="0" t="s">
        <v>1010</v>
      </c>
      <c r="E212" s="0" t="s">
        <v>1011</v>
      </c>
    </row>
    <row r="213" customFormat="false" ht="15" hidden="false" customHeight="false" outlineLevel="0" collapsed="false">
      <c r="A213" s="0" t="n">
        <v>211</v>
      </c>
      <c r="B213" s="0" t="s">
        <v>1012</v>
      </c>
      <c r="C213" s="0" t="s">
        <v>1013</v>
      </c>
      <c r="D213" s="0" t="s">
        <v>1014</v>
      </c>
      <c r="E213" s="0" t="s">
        <v>1015</v>
      </c>
    </row>
    <row r="214" customFormat="false" ht="15" hidden="false" customHeight="false" outlineLevel="0" collapsed="false">
      <c r="A214" s="0" t="n">
        <v>212</v>
      </c>
      <c r="B214" s="0" t="s">
        <v>1016</v>
      </c>
      <c r="C214" s="0" t="s">
        <v>1017</v>
      </c>
      <c r="D214" s="0" t="s">
        <v>1018</v>
      </c>
      <c r="E214" s="0" t="s">
        <v>1019</v>
      </c>
    </row>
    <row r="215" customFormat="false" ht="15" hidden="false" customHeight="false" outlineLevel="0" collapsed="false">
      <c r="A215" s="0" t="n">
        <v>213</v>
      </c>
      <c r="B215" s="0" t="s">
        <v>1020</v>
      </c>
      <c r="C215" s="0" t="s">
        <v>1021</v>
      </c>
      <c r="D215" s="0" t="s">
        <v>1022</v>
      </c>
      <c r="E215" s="0" t="s">
        <v>1023</v>
      </c>
    </row>
    <row r="216" customFormat="false" ht="15" hidden="false" customHeight="false" outlineLevel="0" collapsed="false">
      <c r="A216" s="0" t="n">
        <v>214</v>
      </c>
      <c r="B216" s="0" t="s">
        <v>1024</v>
      </c>
      <c r="C216" s="0" t="s">
        <v>1025</v>
      </c>
      <c r="D216" s="0" t="s">
        <v>1026</v>
      </c>
      <c r="E216" s="0" t="s">
        <v>1027</v>
      </c>
    </row>
    <row r="217" customFormat="false" ht="15" hidden="false" customHeight="false" outlineLevel="0" collapsed="false">
      <c r="A217" s="0" t="n">
        <v>215</v>
      </c>
      <c r="B217" s="0" t="s">
        <v>1028</v>
      </c>
      <c r="C217" s="0" t="s">
        <v>1029</v>
      </c>
      <c r="D217" s="0" t="s">
        <v>1030</v>
      </c>
      <c r="E217" s="0" t="s">
        <v>1031</v>
      </c>
    </row>
    <row r="218" customFormat="false" ht="15" hidden="false" customHeight="false" outlineLevel="0" collapsed="false">
      <c r="A218" s="0" t="n">
        <v>216</v>
      </c>
      <c r="B218" s="0" t="s">
        <v>1032</v>
      </c>
      <c r="C218" s="0" t="s">
        <v>1033</v>
      </c>
      <c r="D218" s="0" t="s">
        <v>1034</v>
      </c>
      <c r="E218" s="0" t="s">
        <v>1035</v>
      </c>
    </row>
    <row r="219" customFormat="false" ht="15" hidden="false" customHeight="false" outlineLevel="0" collapsed="false">
      <c r="A219" s="0" t="n">
        <v>217</v>
      </c>
      <c r="B219" s="0" t="s">
        <v>1036</v>
      </c>
      <c r="C219" s="0" t="s">
        <v>1037</v>
      </c>
      <c r="D219" s="0" t="s">
        <v>1038</v>
      </c>
      <c r="E219" s="0" t="s">
        <v>1039</v>
      </c>
    </row>
    <row r="220" customFormat="false" ht="15" hidden="false" customHeight="false" outlineLevel="0" collapsed="false">
      <c r="A220" s="0" t="n">
        <v>218</v>
      </c>
      <c r="B220" s="0" t="s">
        <v>1040</v>
      </c>
      <c r="C220" s="0" t="s">
        <v>1041</v>
      </c>
      <c r="D220" s="0" t="s">
        <v>1042</v>
      </c>
      <c r="E220" s="0" t="s">
        <v>1043</v>
      </c>
    </row>
    <row r="221" customFormat="false" ht="15" hidden="false" customHeight="false" outlineLevel="0" collapsed="false">
      <c r="A221" s="0" t="n">
        <v>219</v>
      </c>
      <c r="B221" s="0" t="s">
        <v>1044</v>
      </c>
      <c r="C221" s="0" t="s">
        <v>1045</v>
      </c>
      <c r="D221" s="0" t="s">
        <v>1046</v>
      </c>
      <c r="E221" s="0" t="s">
        <v>1047</v>
      </c>
    </row>
    <row r="222" customFormat="false" ht="15" hidden="false" customHeight="false" outlineLevel="0" collapsed="false">
      <c r="A222" s="0" t="n">
        <v>220</v>
      </c>
      <c r="B222" s="0" t="s">
        <v>1048</v>
      </c>
      <c r="C222" s="0" t="s">
        <v>1049</v>
      </c>
      <c r="D222" s="0" t="s">
        <v>1050</v>
      </c>
      <c r="E222" s="0" t="s">
        <v>1051</v>
      </c>
    </row>
    <row r="223" customFormat="false" ht="15" hidden="false" customHeight="false" outlineLevel="0" collapsed="false">
      <c r="A223" s="0" t="n">
        <v>221</v>
      </c>
      <c r="B223" s="0" t="s">
        <v>1052</v>
      </c>
      <c r="C223" s="0" t="s">
        <v>1053</v>
      </c>
      <c r="D223" s="0" t="s">
        <v>1054</v>
      </c>
      <c r="E223" s="0" t="s">
        <v>1055</v>
      </c>
    </row>
    <row r="224" customFormat="false" ht="15" hidden="false" customHeight="false" outlineLevel="0" collapsed="false">
      <c r="A224" s="0" t="n">
        <v>222</v>
      </c>
      <c r="B224" s="0" t="s">
        <v>1056</v>
      </c>
      <c r="C224" s="0" t="s">
        <v>1057</v>
      </c>
      <c r="D224" s="0" t="s">
        <v>1058</v>
      </c>
      <c r="E224" s="0" t="s">
        <v>1059</v>
      </c>
    </row>
    <row r="225" customFormat="false" ht="15" hidden="false" customHeight="false" outlineLevel="0" collapsed="false">
      <c r="A225" s="0" t="n">
        <v>223</v>
      </c>
      <c r="B225" s="0" t="s">
        <v>1060</v>
      </c>
      <c r="C225" s="0" t="s">
        <v>1061</v>
      </c>
      <c r="D225" s="0" t="s">
        <v>1062</v>
      </c>
      <c r="E225" s="0" t="s">
        <v>1063</v>
      </c>
    </row>
    <row r="226" customFormat="false" ht="15" hidden="false" customHeight="false" outlineLevel="0" collapsed="false">
      <c r="A226" s="0" t="n">
        <v>224</v>
      </c>
      <c r="B226" s="0" t="s">
        <v>1064</v>
      </c>
      <c r="C226" s="0" t="s">
        <v>1065</v>
      </c>
      <c r="D226" s="0" t="s">
        <v>1066</v>
      </c>
      <c r="E226" s="0" t="s">
        <v>1067</v>
      </c>
    </row>
    <row r="227" customFormat="false" ht="15" hidden="false" customHeight="false" outlineLevel="0" collapsed="false">
      <c r="A227" s="0" t="n">
        <v>225</v>
      </c>
      <c r="B227" s="0" t="s">
        <v>1068</v>
      </c>
      <c r="C227" s="0" t="s">
        <v>1069</v>
      </c>
      <c r="D227" s="0" t="s">
        <v>1070</v>
      </c>
      <c r="E227" s="0" t="s">
        <v>1071</v>
      </c>
    </row>
    <row r="228" customFormat="false" ht="15" hidden="false" customHeight="false" outlineLevel="0" collapsed="false">
      <c r="A228" s="0" t="n">
        <v>226</v>
      </c>
      <c r="B228" s="0" t="s">
        <v>1072</v>
      </c>
      <c r="C228" s="0" t="s">
        <v>1073</v>
      </c>
      <c r="D228" s="0" t="s">
        <v>1074</v>
      </c>
      <c r="E228" s="0" t="s">
        <v>1075</v>
      </c>
    </row>
    <row r="229" customFormat="false" ht="15" hidden="false" customHeight="false" outlineLevel="0" collapsed="false">
      <c r="A229" s="0" t="n">
        <v>227</v>
      </c>
      <c r="B229" s="0" t="s">
        <v>1076</v>
      </c>
      <c r="C229" s="0" t="s">
        <v>1077</v>
      </c>
      <c r="D229" s="0" t="s">
        <v>1078</v>
      </c>
      <c r="E229" s="0" t="s">
        <v>1079</v>
      </c>
    </row>
    <row r="230" customFormat="false" ht="15" hidden="false" customHeight="false" outlineLevel="0" collapsed="false">
      <c r="A230" s="0" t="n">
        <v>228</v>
      </c>
      <c r="B230" s="0" t="s">
        <v>1080</v>
      </c>
      <c r="C230" s="0" t="s">
        <v>1081</v>
      </c>
      <c r="D230" s="0" t="s">
        <v>1082</v>
      </c>
      <c r="E230" s="0" t="s">
        <v>1083</v>
      </c>
    </row>
    <row r="231" customFormat="false" ht="15" hidden="false" customHeight="false" outlineLevel="0" collapsed="false">
      <c r="A231" s="0" t="n">
        <v>229</v>
      </c>
      <c r="B231" s="0" t="s">
        <v>1084</v>
      </c>
      <c r="C231" s="0" t="s">
        <v>1085</v>
      </c>
      <c r="D231" s="0" t="s">
        <v>1086</v>
      </c>
      <c r="E231" s="0" t="s">
        <v>1087</v>
      </c>
    </row>
    <row r="232" customFormat="false" ht="15" hidden="false" customHeight="false" outlineLevel="0" collapsed="false">
      <c r="A232" s="0" t="n">
        <v>230</v>
      </c>
      <c r="B232" s="0" t="s">
        <v>1088</v>
      </c>
      <c r="C232" s="0" t="s">
        <v>1089</v>
      </c>
      <c r="D232" s="0" t="s">
        <v>1090</v>
      </c>
      <c r="E232" s="0" t="s">
        <v>1091</v>
      </c>
    </row>
    <row r="233" customFormat="false" ht="15" hidden="false" customHeight="false" outlineLevel="0" collapsed="false">
      <c r="A233" s="0" t="n">
        <v>231</v>
      </c>
      <c r="B233" s="0" t="s">
        <v>1092</v>
      </c>
      <c r="C233" s="0" t="s">
        <v>1093</v>
      </c>
      <c r="D233" s="0" t="s">
        <v>1094</v>
      </c>
      <c r="E233" s="0" t="s">
        <v>1095</v>
      </c>
    </row>
    <row r="234" customFormat="false" ht="15" hidden="false" customHeight="false" outlineLevel="0" collapsed="false">
      <c r="A234" s="0" t="n">
        <v>232</v>
      </c>
      <c r="B234" s="0" t="s">
        <v>1096</v>
      </c>
      <c r="C234" s="0" t="s">
        <v>1097</v>
      </c>
      <c r="D234" s="0" t="s">
        <v>1098</v>
      </c>
      <c r="E234" s="0" t="s">
        <v>1099</v>
      </c>
    </row>
    <row r="235" customFormat="false" ht="15" hidden="false" customHeight="false" outlineLevel="0" collapsed="false">
      <c r="A235" s="0" t="n">
        <v>233</v>
      </c>
      <c r="B235" s="0" t="s">
        <v>1100</v>
      </c>
      <c r="C235" s="0" t="s">
        <v>1101</v>
      </c>
      <c r="D235" s="0" t="s">
        <v>1102</v>
      </c>
      <c r="E235" s="0" t="s">
        <v>1103</v>
      </c>
    </row>
    <row r="236" customFormat="false" ht="15" hidden="false" customHeight="false" outlineLevel="0" collapsed="false">
      <c r="A236" s="0" t="n">
        <v>234</v>
      </c>
      <c r="B236" s="0" t="s">
        <v>1104</v>
      </c>
      <c r="C236" s="0" t="s">
        <v>1105</v>
      </c>
      <c r="D236" s="0" t="s">
        <v>1106</v>
      </c>
      <c r="E236" s="0" t="s">
        <v>1107</v>
      </c>
    </row>
    <row r="237" customFormat="false" ht="15" hidden="false" customHeight="false" outlineLevel="0" collapsed="false">
      <c r="A237" s="0" t="n">
        <v>235</v>
      </c>
      <c r="B237" s="0" t="s">
        <v>1108</v>
      </c>
      <c r="C237" s="0" t="s">
        <v>1109</v>
      </c>
      <c r="D237" s="0" t="s">
        <v>1110</v>
      </c>
      <c r="E237" s="0" t="s">
        <v>1111</v>
      </c>
    </row>
    <row r="238" customFormat="false" ht="15" hidden="false" customHeight="false" outlineLevel="0" collapsed="false">
      <c r="A238" s="0" t="n">
        <v>236</v>
      </c>
      <c r="B238" s="0" t="s">
        <v>1112</v>
      </c>
      <c r="C238" s="0" t="s">
        <v>1113</v>
      </c>
      <c r="D238" s="0" t="s">
        <v>1114</v>
      </c>
      <c r="E238" s="0" t="s">
        <v>1115</v>
      </c>
    </row>
    <row r="239" customFormat="false" ht="15" hidden="false" customHeight="false" outlineLevel="0" collapsed="false">
      <c r="A239" s="0" t="n">
        <v>237</v>
      </c>
      <c r="B239" s="0" t="s">
        <v>1116</v>
      </c>
      <c r="C239" s="0" t="s">
        <v>1117</v>
      </c>
      <c r="D239" s="0" t="s">
        <v>1118</v>
      </c>
      <c r="E239" s="0" t="s">
        <v>1119</v>
      </c>
    </row>
    <row r="240" customFormat="false" ht="15" hidden="false" customHeight="false" outlineLevel="0" collapsed="false">
      <c r="A240" s="0" t="n">
        <v>238</v>
      </c>
      <c r="B240" s="0" t="s">
        <v>1120</v>
      </c>
      <c r="C240" s="0" t="s">
        <v>1121</v>
      </c>
      <c r="D240" s="0" t="s">
        <v>1122</v>
      </c>
      <c r="E240" s="0" t="s">
        <v>1123</v>
      </c>
    </row>
    <row r="241" customFormat="false" ht="15" hidden="false" customHeight="false" outlineLevel="0" collapsed="false">
      <c r="A241" s="0" t="n">
        <v>239</v>
      </c>
      <c r="B241" s="0" t="s">
        <v>1124</v>
      </c>
      <c r="C241" s="0" t="s">
        <v>1125</v>
      </c>
      <c r="D241" s="0" t="s">
        <v>1126</v>
      </c>
      <c r="E241" s="0" t="s">
        <v>1127</v>
      </c>
    </row>
    <row r="242" customFormat="false" ht="15" hidden="false" customHeight="false" outlineLevel="0" collapsed="false">
      <c r="A242" s="0" t="n">
        <v>240</v>
      </c>
      <c r="B242" s="0" t="s">
        <v>1128</v>
      </c>
      <c r="C242" s="0" t="s">
        <v>1129</v>
      </c>
      <c r="D242" s="0" t="s">
        <v>1130</v>
      </c>
      <c r="E242" s="0" t="s">
        <v>1131</v>
      </c>
    </row>
    <row r="243" customFormat="false" ht="15" hidden="false" customHeight="false" outlineLevel="0" collapsed="false">
      <c r="A243" s="0" t="n">
        <v>241</v>
      </c>
      <c r="B243" s="0" t="s">
        <v>1132</v>
      </c>
      <c r="C243" s="0" t="s">
        <v>1133</v>
      </c>
      <c r="D243" s="0" t="s">
        <v>1134</v>
      </c>
      <c r="E243" s="0" t="s">
        <v>1135</v>
      </c>
    </row>
    <row r="244" customFormat="false" ht="15" hidden="false" customHeight="false" outlineLevel="0" collapsed="false">
      <c r="A244" s="0" t="n">
        <v>242</v>
      </c>
      <c r="B244" s="0" t="s">
        <v>1136</v>
      </c>
      <c r="C244" s="0" t="s">
        <v>1137</v>
      </c>
      <c r="D244" s="0" t="s">
        <v>1138</v>
      </c>
      <c r="E244" s="0" t="s">
        <v>1139</v>
      </c>
    </row>
    <row r="245" customFormat="false" ht="15" hidden="false" customHeight="false" outlineLevel="0" collapsed="false">
      <c r="A245" s="0" t="n">
        <v>243</v>
      </c>
      <c r="B245" s="0" t="s">
        <v>1140</v>
      </c>
      <c r="C245" s="0" t="s">
        <v>1141</v>
      </c>
      <c r="D245" s="0" t="s">
        <v>1142</v>
      </c>
      <c r="E245" s="0" t="s">
        <v>1143</v>
      </c>
    </row>
    <row r="246" customFormat="false" ht="15" hidden="false" customHeight="false" outlineLevel="0" collapsed="false">
      <c r="A246" s="0" t="n">
        <v>244</v>
      </c>
      <c r="B246" s="0" t="s">
        <v>1144</v>
      </c>
      <c r="C246" s="0" t="s">
        <v>1145</v>
      </c>
      <c r="D246" s="0" t="s">
        <v>1146</v>
      </c>
      <c r="E246" s="0" t="s">
        <v>1147</v>
      </c>
    </row>
    <row r="247" customFormat="false" ht="15" hidden="false" customHeight="false" outlineLevel="0" collapsed="false">
      <c r="A247" s="0" t="n">
        <v>245</v>
      </c>
      <c r="B247" s="0" t="s">
        <v>1148</v>
      </c>
      <c r="C247" s="0" t="s">
        <v>1149</v>
      </c>
      <c r="D247" s="0" t="s">
        <v>1150</v>
      </c>
      <c r="E247" s="0" t="s">
        <v>1151</v>
      </c>
    </row>
    <row r="248" customFormat="false" ht="15" hidden="false" customHeight="false" outlineLevel="0" collapsed="false">
      <c r="A248" s="0" t="n">
        <v>246</v>
      </c>
      <c r="B248" s="0" t="s">
        <v>1152</v>
      </c>
      <c r="C248" s="0" t="s">
        <v>1153</v>
      </c>
      <c r="D248" s="0" t="s">
        <v>1154</v>
      </c>
      <c r="E248" s="0" t="s">
        <v>1155</v>
      </c>
    </row>
    <row r="249" customFormat="false" ht="15" hidden="false" customHeight="false" outlineLevel="0" collapsed="false">
      <c r="A249" s="0" t="n">
        <v>247</v>
      </c>
      <c r="B249" s="0" t="s">
        <v>1156</v>
      </c>
      <c r="C249" s="0" t="s">
        <v>1157</v>
      </c>
      <c r="D249" s="0" t="s">
        <v>1158</v>
      </c>
      <c r="E249" s="0" t="s">
        <v>1159</v>
      </c>
    </row>
    <row r="250" customFormat="false" ht="15" hidden="false" customHeight="false" outlineLevel="0" collapsed="false">
      <c r="A250" s="0" t="n">
        <v>248</v>
      </c>
      <c r="B250" s="0" t="s">
        <v>1160</v>
      </c>
      <c r="C250" s="0" t="s">
        <v>1161</v>
      </c>
      <c r="D250" s="0" t="s">
        <v>1162</v>
      </c>
      <c r="E250" s="0" t="s">
        <v>1163</v>
      </c>
    </row>
    <row r="251" customFormat="false" ht="15" hidden="false" customHeight="false" outlineLevel="0" collapsed="false">
      <c r="A251" s="0" t="n">
        <v>249</v>
      </c>
      <c r="B251" s="0" t="s">
        <v>1164</v>
      </c>
      <c r="C251" s="0" t="s">
        <v>1165</v>
      </c>
      <c r="D251" s="0" t="s">
        <v>1166</v>
      </c>
      <c r="E251" s="0" t="s">
        <v>1167</v>
      </c>
    </row>
    <row r="252" customFormat="false" ht="15" hidden="false" customHeight="false" outlineLevel="0" collapsed="false">
      <c r="A252" s="0" t="n">
        <v>250</v>
      </c>
      <c r="B252" s="0" t="s">
        <v>1168</v>
      </c>
      <c r="C252" s="0" t="s">
        <v>1169</v>
      </c>
      <c r="D252" s="0" t="s">
        <v>1170</v>
      </c>
      <c r="E252" s="0" t="s">
        <v>1171</v>
      </c>
    </row>
    <row r="253" customFormat="false" ht="15" hidden="false" customHeight="false" outlineLevel="0" collapsed="false">
      <c r="A253" s="0" t="n">
        <v>251</v>
      </c>
      <c r="B253" s="0" t="s">
        <v>1172</v>
      </c>
      <c r="C253" s="0" t="s">
        <v>1173</v>
      </c>
      <c r="D253" s="0" t="s">
        <v>1174</v>
      </c>
      <c r="E253" s="0" t="s">
        <v>1175</v>
      </c>
    </row>
    <row r="254" customFormat="false" ht="15" hidden="false" customHeight="false" outlineLevel="0" collapsed="false">
      <c r="A254" s="0" t="n">
        <v>252</v>
      </c>
      <c r="B254" s="0" t="s">
        <v>1176</v>
      </c>
      <c r="C254" s="0" t="s">
        <v>1177</v>
      </c>
      <c r="D254" s="0" t="s">
        <v>1178</v>
      </c>
      <c r="E254" s="0" t="s">
        <v>1179</v>
      </c>
    </row>
    <row r="255" customFormat="false" ht="15" hidden="false" customHeight="false" outlineLevel="0" collapsed="false">
      <c r="A255" s="0" t="n">
        <v>253</v>
      </c>
      <c r="B255" s="0" t="s">
        <v>1180</v>
      </c>
      <c r="C255" s="0" t="s">
        <v>1181</v>
      </c>
      <c r="D255" s="0" t="s">
        <v>1182</v>
      </c>
      <c r="E255" s="0" t="s">
        <v>1183</v>
      </c>
    </row>
    <row r="256" customFormat="false" ht="15" hidden="false" customHeight="false" outlineLevel="0" collapsed="false">
      <c r="A256" s="0" t="n">
        <v>254</v>
      </c>
      <c r="B256" s="0" t="s">
        <v>1184</v>
      </c>
      <c r="C256" s="0" t="s">
        <v>1185</v>
      </c>
      <c r="D256" s="0" t="s">
        <v>1186</v>
      </c>
      <c r="E256" s="0" t="s">
        <v>1187</v>
      </c>
    </row>
    <row r="257" customFormat="false" ht="15" hidden="false" customHeight="false" outlineLevel="0" collapsed="false">
      <c r="A257" s="0" t="n">
        <v>255</v>
      </c>
      <c r="B257" s="0" t="s">
        <v>1188</v>
      </c>
      <c r="C257" s="0" t="s">
        <v>1189</v>
      </c>
      <c r="D257" s="0" t="s">
        <v>1190</v>
      </c>
      <c r="E257" s="0" t="s">
        <v>1191</v>
      </c>
    </row>
    <row r="258" customFormat="false" ht="15" hidden="false" customHeight="false" outlineLevel="0" collapsed="false">
      <c r="A258" s="0" t="n">
        <v>256</v>
      </c>
      <c r="B258" s="0" t="s">
        <v>1192</v>
      </c>
      <c r="C258" s="0" t="s">
        <v>1193</v>
      </c>
      <c r="D258" s="0" t="s">
        <v>1194</v>
      </c>
      <c r="E258" s="0" t="s">
        <v>1195</v>
      </c>
    </row>
    <row r="259" customFormat="false" ht="15" hidden="false" customHeight="false" outlineLevel="0" collapsed="false">
      <c r="A259" s="0" t="n">
        <v>257</v>
      </c>
      <c r="B259" s="0" t="s">
        <v>1196</v>
      </c>
      <c r="C259" s="0" t="s">
        <v>1197</v>
      </c>
      <c r="D259" s="0" t="s">
        <v>1198</v>
      </c>
      <c r="E259" s="0" t="s">
        <v>1199</v>
      </c>
    </row>
    <row r="260" customFormat="false" ht="15" hidden="false" customHeight="false" outlineLevel="0" collapsed="false">
      <c r="A260" s="0" t="n">
        <v>258</v>
      </c>
      <c r="B260" s="0" t="s">
        <v>1200</v>
      </c>
      <c r="C260" s="0" t="s">
        <v>1201</v>
      </c>
      <c r="D260" s="0" t="s">
        <v>1202</v>
      </c>
      <c r="E260" s="0" t="s">
        <v>1203</v>
      </c>
    </row>
    <row r="261" customFormat="false" ht="15" hidden="false" customHeight="false" outlineLevel="0" collapsed="false">
      <c r="A261" s="0" t="n">
        <v>259</v>
      </c>
      <c r="B261" s="0" t="s">
        <v>1204</v>
      </c>
      <c r="C261" s="0" t="s">
        <v>1205</v>
      </c>
      <c r="D261" s="0" t="s">
        <v>1206</v>
      </c>
      <c r="E261" s="0" t="s">
        <v>1207</v>
      </c>
    </row>
    <row r="262" customFormat="false" ht="15" hidden="false" customHeight="false" outlineLevel="0" collapsed="false">
      <c r="A262" s="0" t="n">
        <v>260</v>
      </c>
      <c r="B262" s="0" t="s">
        <v>1208</v>
      </c>
      <c r="C262" s="0" t="s">
        <v>1209</v>
      </c>
      <c r="D262" s="0" t="s">
        <v>1210</v>
      </c>
      <c r="E262" s="0" t="s">
        <v>1211</v>
      </c>
    </row>
    <row r="263" customFormat="false" ht="15" hidden="false" customHeight="false" outlineLevel="0" collapsed="false">
      <c r="A263" s="0" t="n">
        <v>261</v>
      </c>
      <c r="B263" s="0" t="s">
        <v>1212</v>
      </c>
      <c r="C263" s="0" t="s">
        <v>1213</v>
      </c>
      <c r="D263" s="0" t="s">
        <v>1214</v>
      </c>
      <c r="E263" s="0" t="s">
        <v>1215</v>
      </c>
    </row>
    <row r="264" customFormat="false" ht="15" hidden="false" customHeight="false" outlineLevel="0" collapsed="false">
      <c r="A264" s="0" t="n">
        <v>262</v>
      </c>
      <c r="B264" s="0" t="s">
        <v>1216</v>
      </c>
      <c r="C264" s="0" t="s">
        <v>1217</v>
      </c>
      <c r="D264" s="0" t="s">
        <v>1218</v>
      </c>
      <c r="E264" s="0" t="s">
        <v>1219</v>
      </c>
    </row>
    <row r="265" customFormat="false" ht="15" hidden="false" customHeight="false" outlineLevel="0" collapsed="false">
      <c r="A265" s="0" t="n">
        <v>263</v>
      </c>
      <c r="B265" s="0" t="s">
        <v>1220</v>
      </c>
      <c r="C265" s="0" t="s">
        <v>1221</v>
      </c>
      <c r="D265" s="0" t="s">
        <v>1222</v>
      </c>
      <c r="E265" s="0" t="s">
        <v>1223</v>
      </c>
    </row>
    <row r="266" customFormat="false" ht="15" hidden="false" customHeight="false" outlineLevel="0" collapsed="false">
      <c r="A266" s="0" t="n">
        <v>264</v>
      </c>
      <c r="B266" s="0" t="s">
        <v>1224</v>
      </c>
      <c r="C266" s="0" t="s">
        <v>1225</v>
      </c>
      <c r="D266" s="0" t="s">
        <v>1226</v>
      </c>
      <c r="E266" s="0" t="s">
        <v>1227</v>
      </c>
    </row>
    <row r="267" customFormat="false" ht="15" hidden="false" customHeight="false" outlineLevel="0" collapsed="false">
      <c r="A267" s="0" t="n">
        <v>265</v>
      </c>
      <c r="B267" s="0" t="s">
        <v>1228</v>
      </c>
      <c r="C267" s="0" t="s">
        <v>1229</v>
      </c>
      <c r="D267" s="0" t="s">
        <v>1230</v>
      </c>
      <c r="E267" s="0" t="s">
        <v>1231</v>
      </c>
    </row>
    <row r="268" customFormat="false" ht="15" hidden="false" customHeight="false" outlineLevel="0" collapsed="false">
      <c r="A268" s="0" t="n">
        <v>266</v>
      </c>
      <c r="B268" s="0" t="s">
        <v>1232</v>
      </c>
      <c r="C268" s="0" t="s">
        <v>1233</v>
      </c>
      <c r="D268" s="0" t="s">
        <v>1234</v>
      </c>
      <c r="E268" s="0" t="s">
        <v>1235</v>
      </c>
    </row>
    <row r="269" customFormat="false" ht="15" hidden="false" customHeight="false" outlineLevel="0" collapsed="false">
      <c r="A269" s="0" t="n">
        <v>267</v>
      </c>
      <c r="B269" s="0" t="s">
        <v>1236</v>
      </c>
      <c r="C269" s="0" t="s">
        <v>1237</v>
      </c>
      <c r="D269" s="0" t="s">
        <v>1238</v>
      </c>
      <c r="E269" s="0" t="s">
        <v>1239</v>
      </c>
    </row>
    <row r="270" customFormat="false" ht="15" hidden="false" customHeight="false" outlineLevel="0" collapsed="false">
      <c r="A270" s="0" t="n">
        <v>268</v>
      </c>
      <c r="B270" s="0" t="s">
        <v>1240</v>
      </c>
      <c r="C270" s="0" t="s">
        <v>1241</v>
      </c>
      <c r="D270" s="0" t="s">
        <v>1242</v>
      </c>
      <c r="E270" s="0" t="s">
        <v>1243</v>
      </c>
    </row>
    <row r="271" customFormat="false" ht="15" hidden="false" customHeight="false" outlineLevel="0" collapsed="false">
      <c r="A271" s="0" t="n">
        <v>269</v>
      </c>
      <c r="B271" s="0" t="s">
        <v>1244</v>
      </c>
      <c r="C271" s="0" t="s">
        <v>1245</v>
      </c>
      <c r="D271" s="0" t="s">
        <v>1246</v>
      </c>
      <c r="E271" s="0" t="s">
        <v>1247</v>
      </c>
    </row>
    <row r="272" customFormat="false" ht="15" hidden="false" customHeight="false" outlineLevel="0" collapsed="false">
      <c r="A272" s="0" t="n">
        <v>270</v>
      </c>
      <c r="B272" s="0" t="s">
        <v>1248</v>
      </c>
      <c r="C272" s="0" t="s">
        <v>1249</v>
      </c>
      <c r="D272" s="0" t="s">
        <v>1250</v>
      </c>
      <c r="E272" s="0" t="s">
        <v>1251</v>
      </c>
    </row>
    <row r="273" customFormat="false" ht="15" hidden="false" customHeight="false" outlineLevel="0" collapsed="false">
      <c r="A273" s="0" t="n">
        <v>271</v>
      </c>
      <c r="B273" s="0" t="s">
        <v>1252</v>
      </c>
      <c r="C273" s="0" t="s">
        <v>1253</v>
      </c>
      <c r="D273" s="0" t="s">
        <v>1254</v>
      </c>
      <c r="E273" s="0" t="s">
        <v>1255</v>
      </c>
    </row>
    <row r="274" customFormat="false" ht="15" hidden="false" customHeight="false" outlineLevel="0" collapsed="false">
      <c r="A274" s="0" t="n">
        <v>272</v>
      </c>
      <c r="B274" s="0" t="s">
        <v>1256</v>
      </c>
      <c r="C274" s="0" t="s">
        <v>1257</v>
      </c>
      <c r="D274" s="0" t="s">
        <v>1258</v>
      </c>
      <c r="E274" s="0" t="s">
        <v>1259</v>
      </c>
    </row>
    <row r="275" customFormat="false" ht="15" hidden="false" customHeight="false" outlineLevel="0" collapsed="false">
      <c r="A275" s="0" t="n">
        <v>273</v>
      </c>
      <c r="B275" s="0" t="s">
        <v>1260</v>
      </c>
      <c r="C275" s="0" t="s">
        <v>1261</v>
      </c>
      <c r="D275" s="0" t="s">
        <v>1262</v>
      </c>
      <c r="E275" s="0" t="s">
        <v>1263</v>
      </c>
    </row>
    <row r="276" customFormat="false" ht="15" hidden="false" customHeight="false" outlineLevel="0" collapsed="false">
      <c r="A276" s="0" t="n">
        <v>274</v>
      </c>
      <c r="B276" s="0" t="s">
        <v>1264</v>
      </c>
      <c r="C276" s="0" t="s">
        <v>1265</v>
      </c>
      <c r="D276" s="0" t="s">
        <v>1266</v>
      </c>
      <c r="E276" s="0" t="s">
        <v>1267</v>
      </c>
    </row>
    <row r="277" customFormat="false" ht="15" hidden="false" customHeight="false" outlineLevel="0" collapsed="false">
      <c r="A277" s="0" t="n">
        <v>275</v>
      </c>
      <c r="B277" s="0" t="s">
        <v>1268</v>
      </c>
      <c r="C277" s="0" t="s">
        <v>1269</v>
      </c>
      <c r="D277" s="0" t="s">
        <v>1270</v>
      </c>
      <c r="E277" s="0" t="s">
        <v>1271</v>
      </c>
    </row>
    <row r="278" customFormat="false" ht="15" hidden="false" customHeight="false" outlineLevel="0" collapsed="false">
      <c r="A278" s="0" t="n">
        <v>276</v>
      </c>
      <c r="B278" s="0" t="s">
        <v>1272</v>
      </c>
      <c r="C278" s="0" t="s">
        <v>1273</v>
      </c>
      <c r="D278" s="0" t="s">
        <v>1274</v>
      </c>
      <c r="E278" s="0" t="s">
        <v>1275</v>
      </c>
    </row>
    <row r="279" customFormat="false" ht="15" hidden="false" customHeight="false" outlineLevel="0" collapsed="false">
      <c r="A279" s="0" t="n">
        <v>277</v>
      </c>
      <c r="B279" s="0" t="s">
        <v>1276</v>
      </c>
      <c r="C279" s="0" t="s">
        <v>1277</v>
      </c>
      <c r="D279" s="0" t="s">
        <v>1278</v>
      </c>
      <c r="E279" s="0" t="s">
        <v>1279</v>
      </c>
    </row>
    <row r="280" customFormat="false" ht="15" hidden="false" customHeight="false" outlineLevel="0" collapsed="false">
      <c r="A280" s="0" t="n">
        <v>278</v>
      </c>
      <c r="B280" s="0" t="s">
        <v>1280</v>
      </c>
      <c r="C280" s="0" t="s">
        <v>1281</v>
      </c>
      <c r="D280" s="0" t="s">
        <v>1282</v>
      </c>
      <c r="E280" s="0" t="s">
        <v>1283</v>
      </c>
    </row>
    <row r="281" customFormat="false" ht="15" hidden="false" customHeight="false" outlineLevel="0" collapsed="false">
      <c r="A281" s="0" t="n">
        <v>279</v>
      </c>
      <c r="B281" s="0" t="s">
        <v>1284</v>
      </c>
      <c r="C281" s="0" t="s">
        <v>1285</v>
      </c>
      <c r="D281" s="0" t="s">
        <v>1286</v>
      </c>
      <c r="E281" s="0" t="s">
        <v>1287</v>
      </c>
    </row>
    <row r="282" customFormat="false" ht="15" hidden="false" customHeight="false" outlineLevel="0" collapsed="false">
      <c r="A282" s="0" t="n">
        <v>280</v>
      </c>
      <c r="B282" s="0" t="s">
        <v>1288</v>
      </c>
      <c r="C282" s="0" t="s">
        <v>1289</v>
      </c>
      <c r="D282" s="0" t="s">
        <v>1290</v>
      </c>
      <c r="E282" s="0" t="s">
        <v>1291</v>
      </c>
    </row>
    <row r="283" customFormat="false" ht="15" hidden="false" customHeight="false" outlineLevel="0" collapsed="false">
      <c r="A283" s="0" t="n">
        <v>281</v>
      </c>
      <c r="B283" s="0" t="s">
        <v>1292</v>
      </c>
      <c r="C283" s="0" t="s">
        <v>1293</v>
      </c>
      <c r="D283" s="0" t="s">
        <v>1294</v>
      </c>
      <c r="E283" s="0" t="s">
        <v>1295</v>
      </c>
    </row>
    <row r="284" customFormat="false" ht="15" hidden="false" customHeight="false" outlineLevel="0" collapsed="false">
      <c r="A284" s="0" t="n">
        <v>282</v>
      </c>
      <c r="B284" s="0" t="s">
        <v>1296</v>
      </c>
      <c r="C284" s="0" t="s">
        <v>1297</v>
      </c>
      <c r="D284" s="0" t="s">
        <v>1298</v>
      </c>
      <c r="E284" s="0" t="s">
        <v>1299</v>
      </c>
    </row>
    <row r="285" customFormat="false" ht="15" hidden="false" customHeight="false" outlineLevel="0" collapsed="false">
      <c r="A285" s="0" t="n">
        <v>283</v>
      </c>
      <c r="B285" s="0" t="s">
        <v>1300</v>
      </c>
      <c r="C285" s="0" t="s">
        <v>1301</v>
      </c>
      <c r="D285" s="0" t="s">
        <v>1302</v>
      </c>
      <c r="E285" s="0" t="s">
        <v>1303</v>
      </c>
    </row>
    <row r="286" customFormat="false" ht="15" hidden="false" customHeight="false" outlineLevel="0" collapsed="false">
      <c r="A286" s="0" t="n">
        <v>284</v>
      </c>
      <c r="B286" s="0" t="s">
        <v>1304</v>
      </c>
      <c r="C286" s="0" t="s">
        <v>1305</v>
      </c>
      <c r="D286" s="0" t="s">
        <v>1306</v>
      </c>
      <c r="E286" s="0" t="s">
        <v>1307</v>
      </c>
    </row>
    <row r="287" customFormat="false" ht="15" hidden="false" customHeight="false" outlineLevel="0" collapsed="false">
      <c r="A287" s="0" t="n">
        <v>285</v>
      </c>
      <c r="B287" s="0" t="s">
        <v>1308</v>
      </c>
      <c r="C287" s="0" t="s">
        <v>1309</v>
      </c>
      <c r="D287" s="0" t="s">
        <v>1310</v>
      </c>
      <c r="E287" s="0" t="s">
        <v>1311</v>
      </c>
    </row>
    <row r="288" customFormat="false" ht="15" hidden="false" customHeight="false" outlineLevel="0" collapsed="false">
      <c r="A288" s="0" t="n">
        <v>286</v>
      </c>
      <c r="B288" s="0" t="s">
        <v>1312</v>
      </c>
      <c r="C288" s="0" t="s">
        <v>1313</v>
      </c>
      <c r="D288" s="0" t="s">
        <v>1314</v>
      </c>
      <c r="E288" s="0" t="s">
        <v>1315</v>
      </c>
    </row>
    <row r="289" customFormat="false" ht="15" hidden="false" customHeight="false" outlineLevel="0" collapsed="false">
      <c r="A289" s="0" t="n">
        <v>287</v>
      </c>
      <c r="B289" s="0" t="s">
        <v>1316</v>
      </c>
      <c r="C289" s="0" t="s">
        <v>1317</v>
      </c>
      <c r="D289" s="0" t="s">
        <v>1318</v>
      </c>
      <c r="E289" s="0" t="s">
        <v>1319</v>
      </c>
    </row>
    <row r="290" customFormat="false" ht="15" hidden="false" customHeight="false" outlineLevel="0" collapsed="false">
      <c r="A290" s="0" t="n">
        <v>288</v>
      </c>
      <c r="B290" s="0" t="s">
        <v>1320</v>
      </c>
      <c r="C290" s="0" t="s">
        <v>1321</v>
      </c>
      <c r="D290" s="0" t="s">
        <v>1322</v>
      </c>
      <c r="E290" s="0" t="s">
        <v>1323</v>
      </c>
    </row>
    <row r="291" customFormat="false" ht="15" hidden="false" customHeight="false" outlineLevel="0" collapsed="false">
      <c r="A291" s="0" t="n">
        <v>289</v>
      </c>
      <c r="B291" s="0" t="s">
        <v>1324</v>
      </c>
      <c r="C291" s="0" t="s">
        <v>1325</v>
      </c>
      <c r="D291" s="0" t="s">
        <v>1326</v>
      </c>
      <c r="E291" s="0" t="s">
        <v>1327</v>
      </c>
    </row>
    <row r="292" customFormat="false" ht="15" hidden="false" customHeight="false" outlineLevel="0" collapsed="false">
      <c r="A292" s="0" t="n">
        <v>290</v>
      </c>
      <c r="B292" s="0" t="s">
        <v>1328</v>
      </c>
      <c r="C292" s="0" t="s">
        <v>1329</v>
      </c>
      <c r="D292" s="0" t="s">
        <v>1330</v>
      </c>
      <c r="E292" s="0" t="s">
        <v>1331</v>
      </c>
    </row>
    <row r="293" customFormat="false" ht="15" hidden="false" customHeight="false" outlineLevel="0" collapsed="false">
      <c r="A293" s="0" t="n">
        <v>291</v>
      </c>
      <c r="B293" s="0" t="s">
        <v>1332</v>
      </c>
      <c r="C293" s="0" t="s">
        <v>1333</v>
      </c>
      <c r="D293" s="0" t="s">
        <v>1334</v>
      </c>
      <c r="E293" s="0" t="s">
        <v>1335</v>
      </c>
    </row>
    <row r="294" customFormat="false" ht="15" hidden="false" customHeight="false" outlineLevel="0" collapsed="false">
      <c r="A294" s="0" t="n">
        <v>292</v>
      </c>
      <c r="B294" s="0" t="s">
        <v>1336</v>
      </c>
      <c r="C294" s="0" t="s">
        <v>1337</v>
      </c>
      <c r="D294" s="0" t="s">
        <v>1338</v>
      </c>
      <c r="E294" s="0" t="s">
        <v>1339</v>
      </c>
    </row>
    <row r="295" customFormat="false" ht="15" hidden="false" customHeight="false" outlineLevel="0" collapsed="false">
      <c r="A295" s="0" t="n">
        <v>293</v>
      </c>
      <c r="B295" s="0" t="s">
        <v>1340</v>
      </c>
      <c r="C295" s="0" t="s">
        <v>1341</v>
      </c>
      <c r="D295" s="0" t="s">
        <v>1342</v>
      </c>
      <c r="E295" s="0" t="s">
        <v>1343</v>
      </c>
    </row>
    <row r="296" customFormat="false" ht="15" hidden="false" customHeight="false" outlineLevel="0" collapsed="false">
      <c r="A296" s="0" t="n">
        <v>294</v>
      </c>
      <c r="B296" s="0" t="s">
        <v>1344</v>
      </c>
      <c r="C296" s="0" t="s">
        <v>1345</v>
      </c>
      <c r="D296" s="0" t="s">
        <v>1346</v>
      </c>
      <c r="E296" s="0" t="s">
        <v>1347</v>
      </c>
    </row>
    <row r="297" customFormat="false" ht="15" hidden="false" customHeight="false" outlineLevel="0" collapsed="false">
      <c r="A297" s="0" t="n">
        <v>295</v>
      </c>
      <c r="B297" s="0" t="s">
        <v>1348</v>
      </c>
      <c r="C297" s="0" t="s">
        <v>1349</v>
      </c>
      <c r="D297" s="0" t="s">
        <v>1350</v>
      </c>
      <c r="E297" s="0" t="s">
        <v>1351</v>
      </c>
    </row>
    <row r="298" customFormat="false" ht="15" hidden="false" customHeight="false" outlineLevel="0" collapsed="false">
      <c r="A298" s="0" t="n">
        <v>296</v>
      </c>
      <c r="B298" s="0" t="s">
        <v>1352</v>
      </c>
      <c r="C298" s="0" t="s">
        <v>1353</v>
      </c>
      <c r="D298" s="0" t="s">
        <v>1354</v>
      </c>
      <c r="E298" s="0" t="s">
        <v>1355</v>
      </c>
    </row>
    <row r="299" customFormat="false" ht="15" hidden="false" customHeight="false" outlineLevel="0" collapsed="false">
      <c r="A299" s="0" t="n">
        <v>297</v>
      </c>
      <c r="B299" s="0" t="s">
        <v>1356</v>
      </c>
      <c r="C299" s="0" t="s">
        <v>1357</v>
      </c>
      <c r="D299" s="0" t="s">
        <v>1358</v>
      </c>
      <c r="E299" s="0" t="s">
        <v>1359</v>
      </c>
    </row>
    <row r="300" customFormat="false" ht="15" hidden="false" customHeight="false" outlineLevel="0" collapsed="false">
      <c r="A300" s="0" t="n">
        <v>298</v>
      </c>
      <c r="B300" s="0" t="s">
        <v>1360</v>
      </c>
      <c r="C300" s="0" t="s">
        <v>1361</v>
      </c>
      <c r="D300" s="0" t="s">
        <v>1362</v>
      </c>
      <c r="E300" s="0" t="s">
        <v>1363</v>
      </c>
    </row>
    <row r="301" customFormat="false" ht="15" hidden="false" customHeight="false" outlineLevel="0" collapsed="false">
      <c r="A301" s="0" t="n">
        <v>299</v>
      </c>
      <c r="B301" s="0" t="s">
        <v>1364</v>
      </c>
      <c r="C301" s="0" t="s">
        <v>1365</v>
      </c>
      <c r="D301" s="0" t="s">
        <v>1366</v>
      </c>
      <c r="E301" s="0" t="s">
        <v>1367</v>
      </c>
    </row>
    <row r="302" customFormat="false" ht="15" hidden="false" customHeight="false" outlineLevel="0" collapsed="false">
      <c r="A302" s="0" t="n">
        <v>300</v>
      </c>
      <c r="B302" s="0" t="s">
        <v>1368</v>
      </c>
      <c r="C302" s="0" t="s">
        <v>1369</v>
      </c>
      <c r="D302" s="0" t="s">
        <v>1370</v>
      </c>
      <c r="E302" s="0" t="s">
        <v>1371</v>
      </c>
    </row>
    <row r="303" customFormat="false" ht="15" hidden="false" customHeight="false" outlineLevel="0" collapsed="false">
      <c r="A303" s="0" t="n">
        <v>301</v>
      </c>
      <c r="B303" s="0" t="s">
        <v>1372</v>
      </c>
      <c r="C303" s="0" t="s">
        <v>1373</v>
      </c>
      <c r="D303" s="0" t="s">
        <v>1374</v>
      </c>
      <c r="E303" s="0" t="s">
        <v>1375</v>
      </c>
    </row>
    <row r="304" customFormat="false" ht="15" hidden="false" customHeight="false" outlineLevel="0" collapsed="false">
      <c r="A304" s="0" t="n">
        <v>302</v>
      </c>
      <c r="B304" s="0" t="s">
        <v>1376</v>
      </c>
      <c r="C304" s="0" t="s">
        <v>1377</v>
      </c>
      <c r="D304" s="0" t="s">
        <v>1378</v>
      </c>
      <c r="E304" s="0" t="s">
        <v>1379</v>
      </c>
    </row>
    <row r="305" customFormat="false" ht="15" hidden="false" customHeight="false" outlineLevel="0" collapsed="false">
      <c r="A305" s="0" t="n">
        <v>303</v>
      </c>
      <c r="B305" s="0" t="s">
        <v>1380</v>
      </c>
      <c r="C305" s="0" t="s">
        <v>1381</v>
      </c>
      <c r="D305" s="0" t="s">
        <v>1382</v>
      </c>
      <c r="E305" s="0" t="s">
        <v>1383</v>
      </c>
    </row>
    <row r="306" customFormat="false" ht="15" hidden="false" customHeight="false" outlineLevel="0" collapsed="false">
      <c r="A306" s="0" t="n">
        <v>304</v>
      </c>
      <c r="B306" s="0" t="s">
        <v>1384</v>
      </c>
      <c r="C306" s="0" t="s">
        <v>1385</v>
      </c>
      <c r="D306" s="0" t="s">
        <v>1386</v>
      </c>
      <c r="E306" s="0" t="s">
        <v>1387</v>
      </c>
    </row>
    <row r="307" customFormat="false" ht="15" hidden="false" customHeight="false" outlineLevel="0" collapsed="false">
      <c r="A307" s="0" t="n">
        <v>305</v>
      </c>
      <c r="B307" s="0" t="s">
        <v>1388</v>
      </c>
      <c r="C307" s="0" t="s">
        <v>1389</v>
      </c>
      <c r="D307" s="0" t="s">
        <v>1390</v>
      </c>
      <c r="E307" s="0" t="s">
        <v>1391</v>
      </c>
    </row>
    <row r="308" customFormat="false" ht="15" hidden="false" customHeight="false" outlineLevel="0" collapsed="false">
      <c r="A308" s="0" t="n">
        <v>306</v>
      </c>
      <c r="B308" s="0" t="s">
        <v>1392</v>
      </c>
      <c r="C308" s="0" t="s">
        <v>1393</v>
      </c>
      <c r="D308" s="0" t="s">
        <v>1394</v>
      </c>
      <c r="E308" s="0" t="s">
        <v>1395</v>
      </c>
    </row>
    <row r="309" customFormat="false" ht="15" hidden="false" customHeight="false" outlineLevel="0" collapsed="false">
      <c r="A309" s="0" t="n">
        <v>307</v>
      </c>
      <c r="B309" s="0" t="s">
        <v>1396</v>
      </c>
      <c r="C309" s="0" t="s">
        <v>1397</v>
      </c>
      <c r="D309" s="0" t="s">
        <v>1398</v>
      </c>
      <c r="E309" s="0" t="s">
        <v>1399</v>
      </c>
    </row>
    <row r="310" customFormat="false" ht="15" hidden="false" customHeight="false" outlineLevel="0" collapsed="false">
      <c r="A310" s="0" t="n">
        <v>308</v>
      </c>
      <c r="B310" s="0" t="s">
        <v>1400</v>
      </c>
      <c r="C310" s="0" t="s">
        <v>1401</v>
      </c>
      <c r="D310" s="0" t="s">
        <v>1402</v>
      </c>
      <c r="E310" s="0" t="s">
        <v>1403</v>
      </c>
    </row>
    <row r="311" customFormat="false" ht="15" hidden="false" customHeight="false" outlineLevel="0" collapsed="false">
      <c r="A311" s="0" t="n">
        <v>309</v>
      </c>
      <c r="B311" s="0" t="s">
        <v>1404</v>
      </c>
      <c r="C311" s="0" t="s">
        <v>1405</v>
      </c>
      <c r="D311" s="0" t="s">
        <v>1406</v>
      </c>
      <c r="E311" s="0" t="s">
        <v>1407</v>
      </c>
    </row>
    <row r="312" customFormat="false" ht="15" hidden="false" customHeight="false" outlineLevel="0" collapsed="false">
      <c r="A312" s="0" t="n">
        <v>310</v>
      </c>
      <c r="B312" s="0" t="s">
        <v>1408</v>
      </c>
      <c r="C312" s="0" t="s">
        <v>1409</v>
      </c>
      <c r="D312" s="0" t="s">
        <v>1410</v>
      </c>
      <c r="E312" s="0" t="s">
        <v>1411</v>
      </c>
    </row>
    <row r="313" customFormat="false" ht="15" hidden="false" customHeight="false" outlineLevel="0" collapsed="false">
      <c r="A313" s="0" t="n">
        <v>311</v>
      </c>
      <c r="B313" s="0" t="s">
        <v>1412</v>
      </c>
      <c r="C313" s="0" t="s">
        <v>1413</v>
      </c>
      <c r="D313" s="0" t="s">
        <v>1414</v>
      </c>
      <c r="E313" s="0" t="s">
        <v>1415</v>
      </c>
    </row>
    <row r="314" customFormat="false" ht="15" hidden="false" customHeight="false" outlineLevel="0" collapsed="false">
      <c r="A314" s="0" t="n">
        <v>312</v>
      </c>
      <c r="B314" s="0" t="s">
        <v>1416</v>
      </c>
      <c r="C314" s="0" t="s">
        <v>1417</v>
      </c>
      <c r="D314" s="0" t="s">
        <v>1418</v>
      </c>
      <c r="E314" s="0" t="s">
        <v>1419</v>
      </c>
    </row>
    <row r="315" customFormat="false" ht="15" hidden="false" customHeight="false" outlineLevel="0" collapsed="false">
      <c r="A315" s="0" t="n">
        <v>313</v>
      </c>
      <c r="B315" s="0" t="s">
        <v>1420</v>
      </c>
      <c r="C315" s="0" t="s">
        <v>1421</v>
      </c>
      <c r="D315" s="0" t="s">
        <v>1422</v>
      </c>
      <c r="E315" s="0" t="s">
        <v>1423</v>
      </c>
    </row>
    <row r="316" customFormat="false" ht="15" hidden="false" customHeight="false" outlineLevel="0" collapsed="false">
      <c r="A316" s="0" t="n">
        <v>314</v>
      </c>
      <c r="B316" s="0" t="s">
        <v>1424</v>
      </c>
      <c r="C316" s="0" t="s">
        <v>1425</v>
      </c>
      <c r="D316" s="0" t="s">
        <v>1426</v>
      </c>
      <c r="E316" s="0" t="s">
        <v>1427</v>
      </c>
    </row>
    <row r="317" customFormat="false" ht="15" hidden="false" customHeight="false" outlineLevel="0" collapsed="false">
      <c r="A317" s="0" t="n">
        <v>315</v>
      </c>
      <c r="B317" s="0" t="s">
        <v>1428</v>
      </c>
      <c r="C317" s="0" t="s">
        <v>1429</v>
      </c>
      <c r="D317" s="0" t="s">
        <v>1430</v>
      </c>
      <c r="E317" s="0" t="s">
        <v>1431</v>
      </c>
    </row>
    <row r="318" customFormat="false" ht="15" hidden="false" customHeight="false" outlineLevel="0" collapsed="false">
      <c r="A318" s="0" t="n">
        <v>316</v>
      </c>
      <c r="B318" s="0" t="s">
        <v>1432</v>
      </c>
      <c r="C318" s="0" t="s">
        <v>1433</v>
      </c>
      <c r="D318" s="0" t="s">
        <v>1434</v>
      </c>
      <c r="E318" s="0" t="s">
        <v>1435</v>
      </c>
    </row>
    <row r="319" customFormat="false" ht="15" hidden="false" customHeight="false" outlineLevel="0" collapsed="false">
      <c r="A319" s="0" t="n">
        <v>317</v>
      </c>
      <c r="B319" s="0" t="s">
        <v>1436</v>
      </c>
      <c r="C319" s="0" t="s">
        <v>1437</v>
      </c>
      <c r="D319" s="0" t="s">
        <v>1438</v>
      </c>
      <c r="E319" s="0" t="s">
        <v>1439</v>
      </c>
    </row>
    <row r="320" customFormat="false" ht="15" hidden="false" customHeight="false" outlineLevel="0" collapsed="false">
      <c r="A320" s="0" t="n">
        <v>318</v>
      </c>
      <c r="B320" s="0" t="s">
        <v>1440</v>
      </c>
      <c r="C320" s="0" t="s">
        <v>1441</v>
      </c>
      <c r="D320" s="0" t="s">
        <v>1442</v>
      </c>
      <c r="E320" s="0" t="s">
        <v>1443</v>
      </c>
    </row>
    <row r="321" customFormat="false" ht="15" hidden="false" customHeight="false" outlineLevel="0" collapsed="false">
      <c r="A321" s="0" t="n">
        <v>319</v>
      </c>
      <c r="B321" s="0" t="s">
        <v>1444</v>
      </c>
      <c r="C321" s="0" t="s">
        <v>1445</v>
      </c>
      <c r="D321" s="0" t="s">
        <v>1446</v>
      </c>
      <c r="E321" s="0" t="s">
        <v>1447</v>
      </c>
    </row>
    <row r="322" customFormat="false" ht="15" hidden="false" customHeight="false" outlineLevel="0" collapsed="false">
      <c r="A322" s="0" t="n">
        <v>320</v>
      </c>
      <c r="B322" s="0" t="s">
        <v>1448</v>
      </c>
      <c r="C322" s="0" t="s">
        <v>1449</v>
      </c>
      <c r="D322" s="0" t="s">
        <v>1450</v>
      </c>
      <c r="E322" s="0" t="s">
        <v>1451</v>
      </c>
    </row>
    <row r="323" customFormat="false" ht="15" hidden="false" customHeight="false" outlineLevel="0" collapsed="false">
      <c r="A323" s="0" t="n">
        <v>321</v>
      </c>
      <c r="B323" s="0" t="s">
        <v>1452</v>
      </c>
      <c r="C323" s="0" t="s">
        <v>1453</v>
      </c>
      <c r="D323" s="0" t="s">
        <v>1454</v>
      </c>
      <c r="E323" s="0" t="s">
        <v>1455</v>
      </c>
    </row>
    <row r="324" customFormat="false" ht="15" hidden="false" customHeight="false" outlineLevel="0" collapsed="false">
      <c r="A324" s="0" t="n">
        <v>322</v>
      </c>
      <c r="B324" s="0" t="s">
        <v>1456</v>
      </c>
      <c r="C324" s="0" t="s">
        <v>1457</v>
      </c>
      <c r="D324" s="0" t="s">
        <v>1458</v>
      </c>
      <c r="E324" s="0" t="s">
        <v>1459</v>
      </c>
    </row>
    <row r="325" customFormat="false" ht="15" hidden="false" customHeight="false" outlineLevel="0" collapsed="false">
      <c r="A325" s="0" t="n">
        <v>323</v>
      </c>
      <c r="B325" s="0" t="s">
        <v>1460</v>
      </c>
      <c r="C325" s="0" t="s">
        <v>1461</v>
      </c>
      <c r="D325" s="0" t="s">
        <v>1462</v>
      </c>
      <c r="E325" s="0" t="s">
        <v>1463</v>
      </c>
    </row>
    <row r="326" customFormat="false" ht="15" hidden="false" customHeight="false" outlineLevel="0" collapsed="false">
      <c r="A326" s="0" t="n">
        <v>324</v>
      </c>
      <c r="B326" s="0" t="s">
        <v>1464</v>
      </c>
      <c r="C326" s="0" t="s">
        <v>1465</v>
      </c>
      <c r="D326" s="0" t="s">
        <v>1466</v>
      </c>
      <c r="E326" s="0" t="s">
        <v>1467</v>
      </c>
    </row>
    <row r="327" customFormat="false" ht="15" hidden="false" customHeight="false" outlineLevel="0" collapsed="false">
      <c r="A327" s="0" t="n">
        <v>325</v>
      </c>
      <c r="B327" s="0" t="s">
        <v>1468</v>
      </c>
      <c r="C327" s="0" t="s">
        <v>1469</v>
      </c>
      <c r="D327" s="0" t="s">
        <v>1470</v>
      </c>
      <c r="E327" s="0" t="s">
        <v>1471</v>
      </c>
    </row>
    <row r="328" customFormat="false" ht="15" hidden="false" customHeight="false" outlineLevel="0" collapsed="false">
      <c r="A328" s="0" t="n">
        <v>326</v>
      </c>
      <c r="B328" s="0" t="s">
        <v>1472</v>
      </c>
      <c r="C328" s="0" t="s">
        <v>1473</v>
      </c>
      <c r="D328" s="0" t="s">
        <v>1474</v>
      </c>
      <c r="E328" s="0" t="s">
        <v>1475</v>
      </c>
    </row>
    <row r="329" customFormat="false" ht="15" hidden="false" customHeight="false" outlineLevel="0" collapsed="false">
      <c r="A329" s="0" t="n">
        <v>327</v>
      </c>
      <c r="B329" s="0" t="s">
        <v>1476</v>
      </c>
      <c r="C329" s="0" t="s">
        <v>1477</v>
      </c>
      <c r="D329" s="0" t="s">
        <v>1478</v>
      </c>
      <c r="E329" s="0" t="s">
        <v>1479</v>
      </c>
    </row>
    <row r="330" customFormat="false" ht="15" hidden="false" customHeight="false" outlineLevel="0" collapsed="false">
      <c r="A330" s="0" t="n">
        <v>328</v>
      </c>
      <c r="B330" s="0" t="s">
        <v>1480</v>
      </c>
      <c r="C330" s="0" t="s">
        <v>1481</v>
      </c>
      <c r="D330" s="0" t="s">
        <v>1482</v>
      </c>
      <c r="E330" s="0" t="s">
        <v>1483</v>
      </c>
    </row>
    <row r="331" customFormat="false" ht="15" hidden="false" customHeight="false" outlineLevel="0" collapsed="false">
      <c r="A331" s="0" t="n">
        <v>329</v>
      </c>
      <c r="B331" s="0" t="s">
        <v>1484</v>
      </c>
      <c r="C331" s="0" t="s">
        <v>1485</v>
      </c>
      <c r="D331" s="0" t="s">
        <v>1486</v>
      </c>
      <c r="E331" s="0" t="s">
        <v>1487</v>
      </c>
    </row>
    <row r="332" customFormat="false" ht="15" hidden="false" customHeight="false" outlineLevel="0" collapsed="false">
      <c r="A332" s="0" t="n">
        <v>330</v>
      </c>
      <c r="B332" s="0" t="s">
        <v>1488</v>
      </c>
      <c r="C332" s="0" t="s">
        <v>1489</v>
      </c>
      <c r="D332" s="0" t="s">
        <v>1490</v>
      </c>
      <c r="E332" s="0" t="s">
        <v>1491</v>
      </c>
    </row>
    <row r="333" customFormat="false" ht="15" hidden="false" customHeight="false" outlineLevel="0" collapsed="false">
      <c r="A333" s="0" t="n">
        <v>331</v>
      </c>
      <c r="B333" s="0" t="s">
        <v>1492</v>
      </c>
      <c r="C333" s="0" t="s">
        <v>1493</v>
      </c>
      <c r="D333" s="0" t="s">
        <v>1494</v>
      </c>
      <c r="E333" s="0" t="s">
        <v>1495</v>
      </c>
    </row>
    <row r="334" customFormat="false" ht="15" hidden="false" customHeight="false" outlineLevel="0" collapsed="false">
      <c r="A334" s="0" t="n">
        <v>332</v>
      </c>
      <c r="B334" s="0" t="s">
        <v>1496</v>
      </c>
      <c r="C334" s="0" t="s">
        <v>1497</v>
      </c>
      <c r="D334" s="0" t="s">
        <v>1498</v>
      </c>
      <c r="E334" s="0" t="s">
        <v>1499</v>
      </c>
    </row>
    <row r="335" customFormat="false" ht="15" hidden="false" customHeight="false" outlineLevel="0" collapsed="false">
      <c r="A335" s="0" t="n">
        <v>333</v>
      </c>
      <c r="B335" s="0" t="s">
        <v>1500</v>
      </c>
      <c r="C335" s="0" t="s">
        <v>1501</v>
      </c>
      <c r="D335" s="0" t="s">
        <v>1502</v>
      </c>
      <c r="E335" s="0" t="s">
        <v>1503</v>
      </c>
    </row>
    <row r="336" customFormat="false" ht="15" hidden="false" customHeight="false" outlineLevel="0" collapsed="false">
      <c r="A336" s="0" t="n">
        <v>334</v>
      </c>
      <c r="B336" s="0" t="s">
        <v>1504</v>
      </c>
      <c r="C336" s="0" t="s">
        <v>1505</v>
      </c>
      <c r="D336" s="0" t="s">
        <v>1506</v>
      </c>
      <c r="E336" s="0" t="s">
        <v>1507</v>
      </c>
    </row>
    <row r="337" customFormat="false" ht="15" hidden="false" customHeight="false" outlineLevel="0" collapsed="false">
      <c r="A337" s="0" t="n">
        <v>335</v>
      </c>
      <c r="B337" s="0" t="s">
        <v>1508</v>
      </c>
      <c r="C337" s="0" t="s">
        <v>1509</v>
      </c>
      <c r="D337" s="0" t="s">
        <v>1510</v>
      </c>
      <c r="E337" s="0" t="s">
        <v>1511</v>
      </c>
    </row>
    <row r="338" customFormat="false" ht="15" hidden="false" customHeight="false" outlineLevel="0" collapsed="false">
      <c r="A338" s="0" t="n">
        <v>336</v>
      </c>
      <c r="B338" s="0" t="s">
        <v>1512</v>
      </c>
      <c r="C338" s="0" t="s">
        <v>1513</v>
      </c>
      <c r="D338" s="0" t="s">
        <v>1514</v>
      </c>
      <c r="E338" s="0" t="s">
        <v>1515</v>
      </c>
    </row>
    <row r="339" customFormat="false" ht="15" hidden="false" customHeight="false" outlineLevel="0" collapsed="false">
      <c r="A339" s="0" t="n">
        <v>337</v>
      </c>
      <c r="B339" s="0" t="s">
        <v>1516</v>
      </c>
      <c r="C339" s="0" t="s">
        <v>1517</v>
      </c>
      <c r="D339" s="0" t="s">
        <v>1518</v>
      </c>
      <c r="E339" s="0" t="s">
        <v>1519</v>
      </c>
    </row>
    <row r="340" customFormat="false" ht="15" hidden="false" customHeight="false" outlineLevel="0" collapsed="false">
      <c r="A340" s="0" t="n">
        <v>338</v>
      </c>
      <c r="B340" s="0" t="s">
        <v>1520</v>
      </c>
      <c r="C340" s="0" t="s">
        <v>1521</v>
      </c>
      <c r="D340" s="0" t="s">
        <v>1522</v>
      </c>
      <c r="E340" s="0" t="s">
        <v>1523</v>
      </c>
    </row>
    <row r="341" customFormat="false" ht="15" hidden="false" customHeight="false" outlineLevel="0" collapsed="false">
      <c r="A341" s="0" t="n">
        <v>339</v>
      </c>
      <c r="B341" s="0" t="s">
        <v>1524</v>
      </c>
      <c r="C341" s="0" t="s">
        <v>1525</v>
      </c>
      <c r="D341" s="0" t="s">
        <v>1526</v>
      </c>
      <c r="E341" s="0" t="s">
        <v>1527</v>
      </c>
    </row>
    <row r="342" customFormat="false" ht="15" hidden="false" customHeight="false" outlineLevel="0" collapsed="false">
      <c r="A342" s="0" t="n">
        <v>340</v>
      </c>
      <c r="B342" s="0" t="s">
        <v>1528</v>
      </c>
      <c r="C342" s="0" t="s">
        <v>1529</v>
      </c>
      <c r="D342" s="0" t="s">
        <v>1530</v>
      </c>
      <c r="E342" s="0" t="s">
        <v>1531</v>
      </c>
    </row>
    <row r="343" customFormat="false" ht="15" hidden="false" customHeight="false" outlineLevel="0" collapsed="false">
      <c r="A343" s="0" t="n">
        <v>341</v>
      </c>
      <c r="B343" s="0" t="s">
        <v>1532</v>
      </c>
      <c r="C343" s="0" t="s">
        <v>1533</v>
      </c>
      <c r="D343" s="0" t="s">
        <v>1534</v>
      </c>
      <c r="E343" s="0" t="s">
        <v>1535</v>
      </c>
    </row>
    <row r="344" customFormat="false" ht="15" hidden="false" customHeight="false" outlineLevel="0" collapsed="false">
      <c r="A344" s="0" t="n">
        <v>342</v>
      </c>
      <c r="B344" s="0" t="s">
        <v>1536</v>
      </c>
      <c r="C344" s="0" t="s">
        <v>1537</v>
      </c>
      <c r="D344" s="0" t="s">
        <v>1538</v>
      </c>
      <c r="E344" s="0" t="s">
        <v>1539</v>
      </c>
    </row>
    <row r="345" customFormat="false" ht="15" hidden="false" customHeight="false" outlineLevel="0" collapsed="false">
      <c r="A345" s="0" t="n">
        <v>343</v>
      </c>
      <c r="B345" s="0" t="s">
        <v>1540</v>
      </c>
      <c r="C345" s="0" t="s">
        <v>1541</v>
      </c>
      <c r="D345" s="0" t="s">
        <v>1542</v>
      </c>
      <c r="E345" s="0" t="s">
        <v>1543</v>
      </c>
    </row>
    <row r="346" customFormat="false" ht="15" hidden="false" customHeight="false" outlineLevel="0" collapsed="false">
      <c r="A346" s="0" t="n">
        <v>344</v>
      </c>
      <c r="B346" s="0" t="s">
        <v>1544</v>
      </c>
      <c r="C346" s="0" t="s">
        <v>1545</v>
      </c>
      <c r="D346" s="0" t="s">
        <v>1546</v>
      </c>
      <c r="E346" s="0" t="s">
        <v>1547</v>
      </c>
    </row>
    <row r="347" customFormat="false" ht="15" hidden="false" customHeight="false" outlineLevel="0" collapsed="false">
      <c r="A347" s="0" t="n">
        <v>345</v>
      </c>
      <c r="B347" s="0" t="s">
        <v>1548</v>
      </c>
      <c r="C347" s="0" t="s">
        <v>1549</v>
      </c>
      <c r="D347" s="0" t="s">
        <v>1550</v>
      </c>
      <c r="E347" s="0" t="s">
        <v>1551</v>
      </c>
    </row>
    <row r="348" customFormat="false" ht="15" hidden="false" customHeight="false" outlineLevel="0" collapsed="false">
      <c r="A348" s="0" t="n">
        <v>346</v>
      </c>
      <c r="B348" s="0" t="s">
        <v>1552</v>
      </c>
      <c r="C348" s="0" t="s">
        <v>1553</v>
      </c>
      <c r="D348" s="0" t="s">
        <v>1554</v>
      </c>
      <c r="E348" s="0" t="s">
        <v>1555</v>
      </c>
    </row>
    <row r="349" customFormat="false" ht="15" hidden="false" customHeight="false" outlineLevel="0" collapsed="false">
      <c r="A349" s="0" t="n">
        <v>347</v>
      </c>
      <c r="B349" s="0" t="s">
        <v>1556</v>
      </c>
      <c r="C349" s="0" t="s">
        <v>1557</v>
      </c>
      <c r="D349" s="0" t="s">
        <v>1558</v>
      </c>
      <c r="E349" s="0" t="s">
        <v>1559</v>
      </c>
    </row>
    <row r="350" customFormat="false" ht="15" hidden="false" customHeight="false" outlineLevel="0" collapsed="false">
      <c r="A350" s="0" t="n">
        <v>348</v>
      </c>
      <c r="B350" s="0" t="s">
        <v>1560</v>
      </c>
      <c r="C350" s="0" t="s">
        <v>1561</v>
      </c>
      <c r="D350" s="0" t="s">
        <v>1562</v>
      </c>
      <c r="E350" s="0" t="s">
        <v>1563</v>
      </c>
    </row>
    <row r="351" customFormat="false" ht="15" hidden="false" customHeight="false" outlineLevel="0" collapsed="false">
      <c r="A351" s="0" t="n">
        <v>349</v>
      </c>
      <c r="B351" s="0" t="s">
        <v>1564</v>
      </c>
      <c r="C351" s="0" t="s">
        <v>1565</v>
      </c>
      <c r="D351" s="0" t="s">
        <v>1566</v>
      </c>
      <c r="E351" s="0" t="s">
        <v>1567</v>
      </c>
    </row>
    <row r="352" customFormat="false" ht="15" hidden="false" customHeight="false" outlineLevel="0" collapsed="false">
      <c r="A352" s="0" t="n">
        <v>350</v>
      </c>
      <c r="B352" s="0" t="s">
        <v>1568</v>
      </c>
      <c r="C352" s="0" t="s">
        <v>1569</v>
      </c>
      <c r="D352" s="0" t="s">
        <v>1570</v>
      </c>
      <c r="E352" s="0" t="s">
        <v>1571</v>
      </c>
    </row>
    <row r="353" customFormat="false" ht="15" hidden="false" customHeight="false" outlineLevel="0" collapsed="false">
      <c r="A353" s="0" t="n">
        <v>351</v>
      </c>
      <c r="B353" s="0" t="s">
        <v>1572</v>
      </c>
      <c r="C353" s="0" t="s">
        <v>1573</v>
      </c>
      <c r="D353" s="0" t="s">
        <v>1574</v>
      </c>
      <c r="E353" s="0" t="s">
        <v>1575</v>
      </c>
    </row>
    <row r="354" customFormat="false" ht="15" hidden="false" customHeight="false" outlineLevel="0" collapsed="false">
      <c r="A354" s="0" t="n">
        <v>352</v>
      </c>
      <c r="B354" s="0" t="s">
        <v>1576</v>
      </c>
      <c r="C354" s="0" t="s">
        <v>1577</v>
      </c>
      <c r="D354" s="0" t="s">
        <v>1578</v>
      </c>
      <c r="E354" s="0" t="s">
        <v>1579</v>
      </c>
    </row>
    <row r="355" customFormat="false" ht="15" hidden="false" customHeight="false" outlineLevel="0" collapsed="false">
      <c r="A355" s="0" t="n">
        <v>353</v>
      </c>
      <c r="B355" s="0" t="s">
        <v>1580</v>
      </c>
      <c r="C355" s="0" t="s">
        <v>1581</v>
      </c>
      <c r="D355" s="0" t="s">
        <v>1582</v>
      </c>
      <c r="E355" s="0" t="s">
        <v>1583</v>
      </c>
    </row>
    <row r="356" customFormat="false" ht="15" hidden="false" customHeight="false" outlineLevel="0" collapsed="false">
      <c r="A356" s="0" t="n">
        <v>354</v>
      </c>
      <c r="B356" s="0" t="s">
        <v>1584</v>
      </c>
      <c r="C356" s="0" t="s">
        <v>1585</v>
      </c>
      <c r="D356" s="0" t="s">
        <v>1586</v>
      </c>
      <c r="E356" s="0" t="s">
        <v>1587</v>
      </c>
    </row>
    <row r="357" customFormat="false" ht="15" hidden="false" customHeight="false" outlineLevel="0" collapsed="false">
      <c r="A357" s="0" t="n">
        <v>355</v>
      </c>
      <c r="B357" s="0" t="s">
        <v>1588</v>
      </c>
      <c r="C357" s="0" t="s">
        <v>1589</v>
      </c>
      <c r="D357" s="0" t="s">
        <v>1590</v>
      </c>
      <c r="E357" s="0" t="s">
        <v>1591</v>
      </c>
    </row>
    <row r="358" customFormat="false" ht="15" hidden="false" customHeight="false" outlineLevel="0" collapsed="false">
      <c r="A358" s="0" t="n">
        <v>356</v>
      </c>
      <c r="B358" s="0" t="s">
        <v>1592</v>
      </c>
      <c r="C358" s="0" t="s">
        <v>1593</v>
      </c>
      <c r="D358" s="0" t="s">
        <v>1594</v>
      </c>
      <c r="E358" s="0" t="s">
        <v>1595</v>
      </c>
    </row>
    <row r="359" customFormat="false" ht="15" hidden="false" customHeight="false" outlineLevel="0" collapsed="false">
      <c r="A359" s="0" t="n">
        <v>357</v>
      </c>
      <c r="B359" s="0" t="s">
        <v>1596</v>
      </c>
      <c r="C359" s="0" t="s">
        <v>1597</v>
      </c>
      <c r="D359" s="0" t="s">
        <v>1598</v>
      </c>
      <c r="E359" s="0" t="s">
        <v>1599</v>
      </c>
    </row>
    <row r="360" customFormat="false" ht="15" hidden="false" customHeight="false" outlineLevel="0" collapsed="false">
      <c r="A360" s="0" t="n">
        <v>358</v>
      </c>
      <c r="B360" s="0" t="s">
        <v>1600</v>
      </c>
      <c r="C360" s="0" t="s">
        <v>1601</v>
      </c>
      <c r="D360" s="0" t="s">
        <v>1602</v>
      </c>
      <c r="E360" s="0" t="s">
        <v>1603</v>
      </c>
    </row>
    <row r="361" customFormat="false" ht="15" hidden="false" customHeight="false" outlineLevel="0" collapsed="false">
      <c r="A361" s="0" t="n">
        <v>359</v>
      </c>
      <c r="B361" s="0" t="s">
        <v>1604</v>
      </c>
      <c r="C361" s="0" t="s">
        <v>1605</v>
      </c>
      <c r="D361" s="0" t="s">
        <v>1606</v>
      </c>
      <c r="E361" s="0" t="s">
        <v>1607</v>
      </c>
    </row>
    <row r="362" customFormat="false" ht="15" hidden="false" customHeight="false" outlineLevel="0" collapsed="false">
      <c r="A362" s="0" t="n">
        <v>360</v>
      </c>
      <c r="B362" s="0" t="s">
        <v>1608</v>
      </c>
      <c r="C362" s="0" t="s">
        <v>1609</v>
      </c>
      <c r="D362" s="0" t="s">
        <v>1610</v>
      </c>
      <c r="E362" s="0" t="s">
        <v>1611</v>
      </c>
    </row>
    <row r="363" customFormat="false" ht="15" hidden="false" customHeight="false" outlineLevel="0" collapsed="false">
      <c r="A363" s="0" t="n">
        <v>361</v>
      </c>
      <c r="B363" s="0" t="s">
        <v>1612</v>
      </c>
      <c r="C363" s="0" t="s">
        <v>1613</v>
      </c>
      <c r="D363" s="0" t="s">
        <v>1614</v>
      </c>
      <c r="E363" s="0" t="s">
        <v>1615</v>
      </c>
    </row>
    <row r="364" customFormat="false" ht="15" hidden="false" customHeight="false" outlineLevel="0" collapsed="false">
      <c r="A364" s="0" t="n">
        <v>362</v>
      </c>
      <c r="B364" s="0" t="s">
        <v>1616</v>
      </c>
      <c r="C364" s="0" t="s">
        <v>1617</v>
      </c>
      <c r="D364" s="0" t="s">
        <v>1618</v>
      </c>
      <c r="E364" s="0" t="s">
        <v>1619</v>
      </c>
    </row>
    <row r="365" customFormat="false" ht="15" hidden="false" customHeight="false" outlineLevel="0" collapsed="false">
      <c r="A365" s="0" t="n">
        <v>363</v>
      </c>
      <c r="B365" s="0" t="s">
        <v>1620</v>
      </c>
      <c r="C365" s="0" t="s">
        <v>1621</v>
      </c>
      <c r="D365" s="0" t="s">
        <v>1622</v>
      </c>
      <c r="E365" s="0" t="s">
        <v>1623</v>
      </c>
    </row>
    <row r="366" customFormat="false" ht="15" hidden="false" customHeight="false" outlineLevel="0" collapsed="false">
      <c r="A366" s="0" t="n">
        <v>364</v>
      </c>
      <c r="B366" s="0" t="s">
        <v>1624</v>
      </c>
      <c r="C366" s="0" t="s">
        <v>1625</v>
      </c>
      <c r="D366" s="0" t="s">
        <v>1626</v>
      </c>
      <c r="E366" s="0" t="s">
        <v>1627</v>
      </c>
    </row>
    <row r="367" customFormat="false" ht="15" hidden="false" customHeight="false" outlineLevel="0" collapsed="false">
      <c r="A367" s="0" t="n">
        <v>365</v>
      </c>
      <c r="B367" s="0" t="s">
        <v>1628</v>
      </c>
      <c r="C367" s="0" t="s">
        <v>1629</v>
      </c>
      <c r="D367" s="0" t="s">
        <v>1630</v>
      </c>
      <c r="E367" s="0" t="s">
        <v>1631</v>
      </c>
    </row>
    <row r="368" customFormat="false" ht="15" hidden="false" customHeight="false" outlineLevel="0" collapsed="false">
      <c r="A368" s="0" t="n">
        <v>366</v>
      </c>
      <c r="B368" s="0" t="s">
        <v>1632</v>
      </c>
      <c r="C368" s="0" t="s">
        <v>1633</v>
      </c>
      <c r="D368" s="0" t="s">
        <v>1634</v>
      </c>
      <c r="E368" s="0" t="s">
        <v>1635</v>
      </c>
    </row>
    <row r="369" customFormat="false" ht="15" hidden="false" customHeight="false" outlineLevel="0" collapsed="false">
      <c r="A369" s="0" t="n">
        <v>367</v>
      </c>
      <c r="B369" s="0" t="s">
        <v>1636</v>
      </c>
      <c r="C369" s="0" t="s">
        <v>1637</v>
      </c>
      <c r="D369" s="0" t="s">
        <v>1638</v>
      </c>
      <c r="E369" s="0" t="s">
        <v>1639</v>
      </c>
    </row>
    <row r="370" customFormat="false" ht="15" hidden="false" customHeight="false" outlineLevel="0" collapsed="false">
      <c r="A370" s="0" t="n">
        <v>368</v>
      </c>
      <c r="B370" s="0" t="s">
        <v>1640</v>
      </c>
      <c r="C370" s="0" t="s">
        <v>1641</v>
      </c>
      <c r="D370" s="0" t="s">
        <v>1642</v>
      </c>
      <c r="E370" s="0" t="s">
        <v>1643</v>
      </c>
    </row>
    <row r="371" customFormat="false" ht="15" hidden="false" customHeight="false" outlineLevel="0" collapsed="false">
      <c r="A371" s="0" t="n">
        <v>369</v>
      </c>
      <c r="B371" s="0" t="s">
        <v>1644</v>
      </c>
      <c r="C371" s="0" t="s">
        <v>1645</v>
      </c>
      <c r="D371" s="0" t="s">
        <v>1646</v>
      </c>
      <c r="E371" s="0" t="s">
        <v>1647</v>
      </c>
    </row>
    <row r="372" customFormat="false" ht="15" hidden="false" customHeight="false" outlineLevel="0" collapsed="false">
      <c r="A372" s="0" t="n">
        <v>370</v>
      </c>
      <c r="B372" s="0" t="s">
        <v>1648</v>
      </c>
      <c r="C372" s="0" t="s">
        <v>1649</v>
      </c>
      <c r="D372" s="0" t="s">
        <v>1650</v>
      </c>
      <c r="E372" s="0" t="s">
        <v>1651</v>
      </c>
    </row>
    <row r="373" customFormat="false" ht="15" hidden="false" customHeight="false" outlineLevel="0" collapsed="false">
      <c r="A373" s="0" t="n">
        <v>371</v>
      </c>
      <c r="B373" s="0" t="s">
        <v>1652</v>
      </c>
      <c r="C373" s="0" t="s">
        <v>1653</v>
      </c>
      <c r="D373" s="0" t="s">
        <v>1654</v>
      </c>
      <c r="E373" s="0" t="s">
        <v>1655</v>
      </c>
    </row>
    <row r="374" customFormat="false" ht="15" hidden="false" customHeight="false" outlineLevel="0" collapsed="false">
      <c r="A374" s="0" t="n">
        <v>372</v>
      </c>
      <c r="B374" s="0" t="s">
        <v>1656</v>
      </c>
      <c r="C374" s="0" t="s">
        <v>1657</v>
      </c>
      <c r="D374" s="0" t="s">
        <v>1658</v>
      </c>
      <c r="E374" s="0" t="s">
        <v>1659</v>
      </c>
    </row>
    <row r="375" customFormat="false" ht="15" hidden="false" customHeight="false" outlineLevel="0" collapsed="false">
      <c r="A375" s="0" t="n">
        <v>373</v>
      </c>
      <c r="B375" s="0" t="s">
        <v>1660</v>
      </c>
      <c r="C375" s="0" t="s">
        <v>1661</v>
      </c>
      <c r="D375" s="0" t="s">
        <v>1662</v>
      </c>
      <c r="E375" s="0" t="s">
        <v>1663</v>
      </c>
    </row>
    <row r="376" customFormat="false" ht="15" hidden="false" customHeight="false" outlineLevel="0" collapsed="false">
      <c r="A376" s="0" t="n">
        <v>374</v>
      </c>
      <c r="B376" s="0" t="s">
        <v>1664</v>
      </c>
      <c r="C376" s="0" t="s">
        <v>1665</v>
      </c>
      <c r="D376" s="0" t="s">
        <v>1666</v>
      </c>
      <c r="E376" s="0" t="s">
        <v>1667</v>
      </c>
    </row>
    <row r="377" customFormat="false" ht="15" hidden="false" customHeight="false" outlineLevel="0" collapsed="false">
      <c r="A377" s="0" t="n">
        <v>375</v>
      </c>
      <c r="B377" s="0" t="s">
        <v>1668</v>
      </c>
      <c r="C377" s="0" t="s">
        <v>1669</v>
      </c>
      <c r="D377" s="0" t="s">
        <v>1670</v>
      </c>
      <c r="E377" s="0" t="s">
        <v>1671</v>
      </c>
    </row>
    <row r="378" customFormat="false" ht="15" hidden="false" customHeight="false" outlineLevel="0" collapsed="false">
      <c r="A378" s="0" t="n">
        <v>376</v>
      </c>
      <c r="B378" s="0" t="s">
        <v>1672</v>
      </c>
      <c r="C378" s="0" t="s">
        <v>1673</v>
      </c>
      <c r="D378" s="0" t="s">
        <v>1674</v>
      </c>
      <c r="E378" s="0" t="s">
        <v>1675</v>
      </c>
    </row>
    <row r="379" customFormat="false" ht="15" hidden="false" customHeight="false" outlineLevel="0" collapsed="false">
      <c r="A379" s="0" t="n">
        <v>377</v>
      </c>
      <c r="B379" s="0" t="s">
        <v>1676</v>
      </c>
      <c r="C379" s="0" t="s">
        <v>1677</v>
      </c>
      <c r="D379" s="0" t="s">
        <v>1678</v>
      </c>
      <c r="E379" s="0" t="s">
        <v>1679</v>
      </c>
    </row>
    <row r="380" customFormat="false" ht="15" hidden="false" customHeight="false" outlineLevel="0" collapsed="false">
      <c r="A380" s="0" t="n">
        <v>378</v>
      </c>
      <c r="B380" s="0" t="s">
        <v>1680</v>
      </c>
      <c r="C380" s="0" t="s">
        <v>1681</v>
      </c>
      <c r="D380" s="0" t="s">
        <v>1682</v>
      </c>
      <c r="E380" s="0" t="s">
        <v>1683</v>
      </c>
    </row>
    <row r="381" customFormat="false" ht="15" hidden="false" customHeight="false" outlineLevel="0" collapsed="false">
      <c r="A381" s="0" t="n">
        <v>379</v>
      </c>
      <c r="B381" s="0" t="s">
        <v>1684</v>
      </c>
      <c r="C381" s="0" t="s">
        <v>1685</v>
      </c>
      <c r="D381" s="0" t="s">
        <v>1686</v>
      </c>
      <c r="E381" s="0" t="s">
        <v>1687</v>
      </c>
    </row>
    <row r="382" customFormat="false" ht="15" hidden="false" customHeight="false" outlineLevel="0" collapsed="false">
      <c r="A382" s="0" t="n">
        <v>380</v>
      </c>
      <c r="B382" s="0" t="s">
        <v>1688</v>
      </c>
      <c r="C382" s="0" t="s">
        <v>1689</v>
      </c>
      <c r="D382" s="0" t="s">
        <v>1690</v>
      </c>
      <c r="E382" s="0" t="s">
        <v>1691</v>
      </c>
    </row>
    <row r="383" customFormat="false" ht="15" hidden="false" customHeight="false" outlineLevel="0" collapsed="false">
      <c r="A383" s="0" t="n">
        <v>381</v>
      </c>
      <c r="B383" s="0" t="s">
        <v>1692</v>
      </c>
      <c r="C383" s="0" t="s">
        <v>1693</v>
      </c>
      <c r="D383" s="0" t="s">
        <v>1694</v>
      </c>
      <c r="E383" s="0" t="s">
        <v>1695</v>
      </c>
    </row>
    <row r="384" customFormat="false" ht="15" hidden="false" customHeight="false" outlineLevel="0" collapsed="false">
      <c r="A384" s="0" t="n">
        <v>382</v>
      </c>
      <c r="B384" s="0" t="s">
        <v>1696</v>
      </c>
      <c r="C384" s="0" t="s">
        <v>1697</v>
      </c>
      <c r="D384" s="0" t="s">
        <v>1698</v>
      </c>
      <c r="E384" s="0" t="s">
        <v>1699</v>
      </c>
    </row>
    <row r="385" customFormat="false" ht="15" hidden="false" customHeight="false" outlineLevel="0" collapsed="false">
      <c r="A385" s="0" t="n">
        <v>383</v>
      </c>
      <c r="B385" s="0" t="s">
        <v>1700</v>
      </c>
      <c r="C385" s="0" t="s">
        <v>1701</v>
      </c>
      <c r="D385" s="0" t="s">
        <v>1702</v>
      </c>
      <c r="E385" s="0" t="s">
        <v>1703</v>
      </c>
    </row>
    <row r="386" customFormat="false" ht="15" hidden="false" customHeight="false" outlineLevel="0" collapsed="false">
      <c r="A386" s="0" t="n">
        <v>384</v>
      </c>
      <c r="B386" s="0" t="s">
        <v>1704</v>
      </c>
      <c r="C386" s="0" t="s">
        <v>1705</v>
      </c>
      <c r="D386" s="0" t="s">
        <v>1706</v>
      </c>
      <c r="E386" s="0" t="s">
        <v>1707</v>
      </c>
    </row>
    <row r="387" customFormat="false" ht="15" hidden="false" customHeight="false" outlineLevel="0" collapsed="false">
      <c r="A387" s="0" t="n">
        <v>385</v>
      </c>
      <c r="B387" s="0" t="s">
        <v>1708</v>
      </c>
      <c r="C387" s="0" t="s">
        <v>1709</v>
      </c>
      <c r="D387" s="0" t="s">
        <v>1710</v>
      </c>
      <c r="E387" s="0" t="s">
        <v>1711</v>
      </c>
    </row>
    <row r="388" customFormat="false" ht="15" hidden="false" customHeight="false" outlineLevel="0" collapsed="false">
      <c r="A388" s="0" t="n">
        <v>386</v>
      </c>
      <c r="B388" s="0" t="s">
        <v>1712</v>
      </c>
      <c r="C388" s="0" t="s">
        <v>1713</v>
      </c>
      <c r="D388" s="0" t="s">
        <v>1714</v>
      </c>
      <c r="E388" s="0" t="s">
        <v>1715</v>
      </c>
    </row>
    <row r="389" customFormat="false" ht="15" hidden="false" customHeight="false" outlineLevel="0" collapsed="false">
      <c r="A389" s="0" t="n">
        <v>387</v>
      </c>
      <c r="B389" s="0" t="s">
        <v>1716</v>
      </c>
      <c r="C389" s="0" t="s">
        <v>1717</v>
      </c>
      <c r="D389" s="0" t="s">
        <v>1718</v>
      </c>
      <c r="E389" s="0" t="s">
        <v>1719</v>
      </c>
    </row>
    <row r="390" customFormat="false" ht="15" hidden="false" customHeight="false" outlineLevel="0" collapsed="false">
      <c r="A390" s="0" t="n">
        <v>388</v>
      </c>
      <c r="B390" s="0" t="s">
        <v>1720</v>
      </c>
      <c r="C390" s="0" t="s">
        <v>1721</v>
      </c>
      <c r="D390" s="0" t="s">
        <v>1722</v>
      </c>
      <c r="E390" s="0" t="s">
        <v>1723</v>
      </c>
    </row>
    <row r="391" customFormat="false" ht="15" hidden="false" customHeight="false" outlineLevel="0" collapsed="false">
      <c r="A391" s="0" t="n">
        <v>389</v>
      </c>
      <c r="B391" s="0" t="s">
        <v>1724</v>
      </c>
      <c r="C391" s="0" t="s">
        <v>1725</v>
      </c>
      <c r="D391" s="0" t="s">
        <v>1726</v>
      </c>
      <c r="E391" s="0" t="s">
        <v>1727</v>
      </c>
    </row>
    <row r="392" customFormat="false" ht="15" hidden="false" customHeight="false" outlineLevel="0" collapsed="false">
      <c r="A392" s="0" t="n">
        <v>390</v>
      </c>
      <c r="B392" s="0" t="s">
        <v>1728</v>
      </c>
      <c r="C392" s="0" t="s">
        <v>1729</v>
      </c>
      <c r="D392" s="0" t="s">
        <v>1730</v>
      </c>
      <c r="E392" s="0" t="s">
        <v>1731</v>
      </c>
    </row>
    <row r="393" customFormat="false" ht="15" hidden="false" customHeight="false" outlineLevel="0" collapsed="false">
      <c r="A393" s="0" t="n">
        <v>391</v>
      </c>
      <c r="B393" s="0" t="s">
        <v>1732</v>
      </c>
      <c r="C393" s="0" t="s">
        <v>1733</v>
      </c>
      <c r="D393" s="0" t="s">
        <v>1734</v>
      </c>
      <c r="E393" s="0" t="s">
        <v>1735</v>
      </c>
    </row>
    <row r="394" customFormat="false" ht="15" hidden="false" customHeight="false" outlineLevel="0" collapsed="false">
      <c r="A394" s="0" t="n">
        <v>392</v>
      </c>
      <c r="B394" s="0" t="s">
        <v>1736</v>
      </c>
      <c r="C394" s="0" t="s">
        <v>1737</v>
      </c>
      <c r="D394" s="0" t="s">
        <v>1738</v>
      </c>
      <c r="E394" s="0" t="s">
        <v>1739</v>
      </c>
    </row>
    <row r="395" customFormat="false" ht="15" hidden="false" customHeight="false" outlineLevel="0" collapsed="false">
      <c r="A395" s="0" t="n">
        <v>393</v>
      </c>
      <c r="B395" s="0" t="s">
        <v>1740</v>
      </c>
      <c r="C395" s="0" t="s">
        <v>1741</v>
      </c>
      <c r="D395" s="0" t="s">
        <v>1742</v>
      </c>
      <c r="E395" s="0" t="s">
        <v>1743</v>
      </c>
    </row>
    <row r="396" customFormat="false" ht="15" hidden="false" customHeight="false" outlineLevel="0" collapsed="false">
      <c r="A396" s="0" t="n">
        <v>394</v>
      </c>
      <c r="B396" s="0" t="s">
        <v>1744</v>
      </c>
      <c r="C396" s="0" t="s">
        <v>1745</v>
      </c>
      <c r="D396" s="0" t="s">
        <v>1746</v>
      </c>
      <c r="E396" s="0" t="s">
        <v>1747</v>
      </c>
    </row>
    <row r="397" customFormat="false" ht="15" hidden="false" customHeight="false" outlineLevel="0" collapsed="false">
      <c r="A397" s="0" t="n">
        <v>395</v>
      </c>
      <c r="B397" s="0" t="s">
        <v>1748</v>
      </c>
      <c r="C397" s="0" t="s">
        <v>1749</v>
      </c>
      <c r="D397" s="0" t="s">
        <v>1750</v>
      </c>
      <c r="E397" s="0" t="s">
        <v>1751</v>
      </c>
    </row>
    <row r="398" customFormat="false" ht="15" hidden="false" customHeight="false" outlineLevel="0" collapsed="false">
      <c r="A398" s="0" t="n">
        <v>396</v>
      </c>
      <c r="B398" s="0" t="s">
        <v>1752</v>
      </c>
      <c r="C398" s="0" t="s">
        <v>1753</v>
      </c>
      <c r="D398" s="0" t="s">
        <v>1754</v>
      </c>
      <c r="E398" s="0" t="s">
        <v>1755</v>
      </c>
    </row>
    <row r="399" customFormat="false" ht="15" hidden="false" customHeight="false" outlineLevel="0" collapsed="false">
      <c r="A399" s="0" t="n">
        <v>397</v>
      </c>
      <c r="B399" s="0" t="s">
        <v>1756</v>
      </c>
      <c r="C399" s="0" t="s">
        <v>1757</v>
      </c>
      <c r="D399" s="0" t="s">
        <v>1758</v>
      </c>
      <c r="E399" s="0" t="s">
        <v>1759</v>
      </c>
    </row>
    <row r="400" customFormat="false" ht="15" hidden="false" customHeight="false" outlineLevel="0" collapsed="false">
      <c r="A400" s="0" t="n">
        <v>398</v>
      </c>
      <c r="B400" s="0" t="s">
        <v>1760</v>
      </c>
      <c r="C400" s="0" t="s">
        <v>1761</v>
      </c>
      <c r="D400" s="0" t="s">
        <v>1762</v>
      </c>
      <c r="E400" s="0" t="s">
        <v>1763</v>
      </c>
    </row>
    <row r="401" customFormat="false" ht="15" hidden="false" customHeight="false" outlineLevel="0" collapsed="false">
      <c r="A401" s="0" t="n">
        <v>399</v>
      </c>
      <c r="B401" s="0" t="s">
        <v>1764</v>
      </c>
      <c r="C401" s="0" t="s">
        <v>1765</v>
      </c>
      <c r="D401" s="0" t="s">
        <v>1766</v>
      </c>
      <c r="E401" s="0" t="s">
        <v>1767</v>
      </c>
    </row>
    <row r="402" customFormat="false" ht="15" hidden="false" customHeight="false" outlineLevel="0" collapsed="false">
      <c r="A402" s="0" t="n">
        <v>400</v>
      </c>
      <c r="B402" s="0" t="s">
        <v>1768</v>
      </c>
      <c r="C402" s="0" t="s">
        <v>1769</v>
      </c>
      <c r="D402" s="0" t="s">
        <v>1770</v>
      </c>
      <c r="E402" s="0" t="s">
        <v>1771</v>
      </c>
    </row>
    <row r="403" customFormat="false" ht="15" hidden="false" customHeight="false" outlineLevel="0" collapsed="false">
      <c r="A403" s="0" t="n">
        <v>401</v>
      </c>
      <c r="B403" s="0" t="s">
        <v>1772</v>
      </c>
      <c r="C403" s="0" t="s">
        <v>1773</v>
      </c>
      <c r="D403" s="0" t="s">
        <v>1774</v>
      </c>
      <c r="E403" s="0" t="s">
        <v>1775</v>
      </c>
    </row>
    <row r="404" customFormat="false" ht="15" hidden="false" customHeight="false" outlineLevel="0" collapsed="false">
      <c r="A404" s="0" t="n">
        <v>402</v>
      </c>
      <c r="B404" s="0" t="s">
        <v>1776</v>
      </c>
      <c r="C404" s="0" t="s">
        <v>1777</v>
      </c>
      <c r="D404" s="0" t="s">
        <v>1778</v>
      </c>
      <c r="E404" s="0" t="s">
        <v>1779</v>
      </c>
    </row>
    <row r="405" customFormat="false" ht="15" hidden="false" customHeight="false" outlineLevel="0" collapsed="false">
      <c r="A405" s="0" t="n">
        <v>403</v>
      </c>
      <c r="B405" s="0" t="s">
        <v>1780</v>
      </c>
      <c r="C405" s="0" t="s">
        <v>1781</v>
      </c>
      <c r="D405" s="0" t="s">
        <v>1782</v>
      </c>
      <c r="E405" s="0" t="s">
        <v>1783</v>
      </c>
    </row>
    <row r="406" customFormat="false" ht="15" hidden="false" customHeight="false" outlineLevel="0" collapsed="false">
      <c r="A406" s="0" t="n">
        <v>404</v>
      </c>
      <c r="B406" s="0" t="s">
        <v>1784</v>
      </c>
      <c r="C406" s="0" t="s">
        <v>1785</v>
      </c>
      <c r="D406" s="0" t="s">
        <v>1786</v>
      </c>
      <c r="E406" s="0" t="s">
        <v>1787</v>
      </c>
    </row>
    <row r="407" customFormat="false" ht="15" hidden="false" customHeight="false" outlineLevel="0" collapsed="false">
      <c r="A407" s="0" t="n">
        <v>405</v>
      </c>
      <c r="B407" s="0" t="s">
        <v>1788</v>
      </c>
      <c r="C407" s="0" t="s">
        <v>1789</v>
      </c>
      <c r="D407" s="0" t="s">
        <v>1790</v>
      </c>
      <c r="E407" s="0" t="s">
        <v>1791</v>
      </c>
    </row>
    <row r="408" customFormat="false" ht="15" hidden="false" customHeight="false" outlineLevel="0" collapsed="false">
      <c r="A408" s="0" t="n">
        <v>406</v>
      </c>
      <c r="B408" s="0" t="s">
        <v>1792</v>
      </c>
      <c r="C408" s="0" t="s">
        <v>1793</v>
      </c>
      <c r="D408" s="0" t="s">
        <v>1794</v>
      </c>
      <c r="E408" s="0" t="s">
        <v>1795</v>
      </c>
    </row>
    <row r="409" customFormat="false" ht="15" hidden="false" customHeight="false" outlineLevel="0" collapsed="false">
      <c r="A409" s="0" t="n">
        <v>407</v>
      </c>
      <c r="B409" s="0" t="s">
        <v>1796</v>
      </c>
      <c r="C409" s="0" t="s">
        <v>1797</v>
      </c>
      <c r="D409" s="0" t="s">
        <v>1798</v>
      </c>
      <c r="E409" s="0" t="s">
        <v>1799</v>
      </c>
    </row>
    <row r="410" customFormat="false" ht="15" hidden="false" customHeight="false" outlineLevel="0" collapsed="false">
      <c r="A410" s="0" t="n">
        <v>408</v>
      </c>
      <c r="B410" s="0" t="s">
        <v>1800</v>
      </c>
      <c r="C410" s="0" t="s">
        <v>1801</v>
      </c>
      <c r="D410" s="0" t="s">
        <v>1802</v>
      </c>
      <c r="E410" s="0" t="s">
        <v>1803</v>
      </c>
    </row>
    <row r="411" customFormat="false" ht="15" hidden="false" customHeight="false" outlineLevel="0" collapsed="false">
      <c r="A411" s="0" t="n">
        <v>409</v>
      </c>
      <c r="B411" s="0" t="s">
        <v>1804</v>
      </c>
      <c r="C411" s="0" t="s">
        <v>1805</v>
      </c>
      <c r="D411" s="0" t="s">
        <v>1806</v>
      </c>
      <c r="E411" s="0" t="s">
        <v>1807</v>
      </c>
    </row>
    <row r="412" customFormat="false" ht="15" hidden="false" customHeight="false" outlineLevel="0" collapsed="false">
      <c r="A412" s="0" t="n">
        <v>410</v>
      </c>
      <c r="B412" s="0" t="s">
        <v>1808</v>
      </c>
      <c r="C412" s="0" t="s">
        <v>1809</v>
      </c>
      <c r="D412" s="0" t="s">
        <v>1810</v>
      </c>
      <c r="E412" s="0" t="s">
        <v>1811</v>
      </c>
    </row>
    <row r="413" customFormat="false" ht="15" hidden="false" customHeight="false" outlineLevel="0" collapsed="false">
      <c r="A413" s="0" t="n">
        <v>411</v>
      </c>
      <c r="B413" s="0" t="s">
        <v>1812</v>
      </c>
      <c r="C413" s="0" t="s">
        <v>1813</v>
      </c>
      <c r="D413" s="0" t="s">
        <v>1814</v>
      </c>
      <c r="E413" s="0" t="s">
        <v>1815</v>
      </c>
    </row>
    <row r="414" customFormat="false" ht="15" hidden="false" customHeight="false" outlineLevel="0" collapsed="false">
      <c r="A414" s="0" t="n">
        <v>412</v>
      </c>
      <c r="B414" s="0" t="s">
        <v>1816</v>
      </c>
      <c r="C414" s="0" t="s">
        <v>1817</v>
      </c>
      <c r="D414" s="0" t="s">
        <v>1818</v>
      </c>
      <c r="E414" s="0" t="s">
        <v>1819</v>
      </c>
    </row>
    <row r="415" customFormat="false" ht="15" hidden="false" customHeight="false" outlineLevel="0" collapsed="false">
      <c r="A415" s="0" t="n">
        <v>413</v>
      </c>
      <c r="B415" s="0" t="s">
        <v>1820</v>
      </c>
      <c r="C415" s="0" t="s">
        <v>1821</v>
      </c>
      <c r="D415" s="0" t="s">
        <v>1822</v>
      </c>
      <c r="E415" s="0" t="s">
        <v>1823</v>
      </c>
    </row>
    <row r="416" customFormat="false" ht="15" hidden="false" customHeight="false" outlineLevel="0" collapsed="false">
      <c r="A416" s="0" t="n">
        <v>414</v>
      </c>
      <c r="B416" s="0" t="s">
        <v>1824</v>
      </c>
      <c r="C416" s="0" t="s">
        <v>1825</v>
      </c>
      <c r="D416" s="0" t="s">
        <v>1826</v>
      </c>
      <c r="E416" s="0" t="s">
        <v>1827</v>
      </c>
    </row>
    <row r="417" customFormat="false" ht="15" hidden="false" customHeight="false" outlineLevel="0" collapsed="false">
      <c r="A417" s="0" t="n">
        <v>415</v>
      </c>
      <c r="B417" s="0" t="s">
        <v>1828</v>
      </c>
      <c r="C417" s="0" t="s">
        <v>1829</v>
      </c>
      <c r="D417" s="0" t="s">
        <v>1830</v>
      </c>
      <c r="E417" s="0" t="s">
        <v>1831</v>
      </c>
    </row>
    <row r="418" customFormat="false" ht="15" hidden="false" customHeight="false" outlineLevel="0" collapsed="false">
      <c r="A418" s="0" t="n">
        <v>416</v>
      </c>
      <c r="B418" s="0" t="s">
        <v>1832</v>
      </c>
      <c r="C418" s="0" t="s">
        <v>1833</v>
      </c>
      <c r="D418" s="0" t="s">
        <v>1834</v>
      </c>
      <c r="E418" s="0" t="s">
        <v>1835</v>
      </c>
    </row>
    <row r="419" customFormat="false" ht="15" hidden="false" customHeight="false" outlineLevel="0" collapsed="false">
      <c r="A419" s="0" t="n">
        <v>417</v>
      </c>
      <c r="B419" s="0" t="s">
        <v>1836</v>
      </c>
      <c r="C419" s="0" t="s">
        <v>1837</v>
      </c>
      <c r="D419" s="0" t="s">
        <v>1838</v>
      </c>
      <c r="E419" s="0" t="s">
        <v>1839</v>
      </c>
    </row>
    <row r="420" customFormat="false" ht="15" hidden="false" customHeight="false" outlineLevel="0" collapsed="false">
      <c r="A420" s="0" t="n">
        <v>418</v>
      </c>
      <c r="B420" s="0" t="s">
        <v>1840</v>
      </c>
      <c r="C420" s="0" t="s">
        <v>1841</v>
      </c>
      <c r="D420" s="0" t="s">
        <v>1842</v>
      </c>
      <c r="E420" s="0" t="s">
        <v>1843</v>
      </c>
    </row>
    <row r="421" customFormat="false" ht="15" hidden="false" customHeight="false" outlineLevel="0" collapsed="false">
      <c r="A421" s="0" t="n">
        <v>419</v>
      </c>
      <c r="B421" s="0" t="s">
        <v>1844</v>
      </c>
      <c r="C421" s="0" t="s">
        <v>1845</v>
      </c>
      <c r="D421" s="0" t="s">
        <v>1846</v>
      </c>
      <c r="E421" s="0" t="s">
        <v>1847</v>
      </c>
    </row>
    <row r="422" customFormat="false" ht="15" hidden="false" customHeight="false" outlineLevel="0" collapsed="false">
      <c r="A422" s="0" t="n">
        <v>420</v>
      </c>
      <c r="B422" s="0" t="s">
        <v>1848</v>
      </c>
      <c r="C422" s="0" t="s">
        <v>1849</v>
      </c>
      <c r="D422" s="0" t="s">
        <v>1850</v>
      </c>
      <c r="E422" s="0" t="s">
        <v>1851</v>
      </c>
    </row>
    <row r="423" customFormat="false" ht="15" hidden="false" customHeight="false" outlineLevel="0" collapsed="false">
      <c r="A423" s="0" t="n">
        <v>421</v>
      </c>
      <c r="B423" s="0" t="s">
        <v>1852</v>
      </c>
      <c r="C423" s="0" t="s">
        <v>1853</v>
      </c>
      <c r="D423" s="0" t="s">
        <v>1854</v>
      </c>
      <c r="E423" s="0" t="s">
        <v>1855</v>
      </c>
    </row>
    <row r="424" customFormat="false" ht="15" hidden="false" customHeight="false" outlineLevel="0" collapsed="false">
      <c r="A424" s="0" t="n">
        <v>422</v>
      </c>
      <c r="B424" s="0" t="s">
        <v>1856</v>
      </c>
      <c r="C424" s="0" t="s">
        <v>1857</v>
      </c>
      <c r="D424" s="0" t="s">
        <v>1858</v>
      </c>
      <c r="E424" s="0" t="s">
        <v>1859</v>
      </c>
    </row>
    <row r="425" customFormat="false" ht="15" hidden="false" customHeight="false" outlineLevel="0" collapsed="false">
      <c r="A425" s="0" t="n">
        <v>423</v>
      </c>
      <c r="B425" s="0" t="s">
        <v>1860</v>
      </c>
      <c r="C425" s="0" t="s">
        <v>1861</v>
      </c>
      <c r="D425" s="0" t="s">
        <v>1862</v>
      </c>
      <c r="E425" s="0" t="s">
        <v>1863</v>
      </c>
    </row>
    <row r="426" customFormat="false" ht="15" hidden="false" customHeight="false" outlineLevel="0" collapsed="false">
      <c r="A426" s="0" t="n">
        <v>424</v>
      </c>
      <c r="B426" s="0" t="s">
        <v>1864</v>
      </c>
      <c r="C426" s="0" t="s">
        <v>1865</v>
      </c>
      <c r="D426" s="0" t="s">
        <v>1866</v>
      </c>
      <c r="E426" s="0" t="s">
        <v>1867</v>
      </c>
    </row>
    <row r="427" customFormat="false" ht="15" hidden="false" customHeight="false" outlineLevel="0" collapsed="false">
      <c r="A427" s="0" t="n">
        <v>425</v>
      </c>
      <c r="B427" s="0" t="s">
        <v>1868</v>
      </c>
      <c r="C427" s="0" t="s">
        <v>1869</v>
      </c>
      <c r="D427" s="0" t="s">
        <v>1870</v>
      </c>
      <c r="E427" s="0" t="s">
        <v>1871</v>
      </c>
    </row>
    <row r="428" customFormat="false" ht="15" hidden="false" customHeight="false" outlineLevel="0" collapsed="false">
      <c r="A428" s="0" t="n">
        <v>426</v>
      </c>
      <c r="B428" s="0" t="s">
        <v>1872</v>
      </c>
      <c r="C428" s="0" t="s">
        <v>1873</v>
      </c>
      <c r="D428" s="0" t="s">
        <v>1874</v>
      </c>
      <c r="E428" s="0" t="s">
        <v>1875</v>
      </c>
    </row>
    <row r="429" customFormat="false" ht="15" hidden="false" customHeight="false" outlineLevel="0" collapsed="false">
      <c r="A429" s="0" t="n">
        <v>427</v>
      </c>
      <c r="B429" s="0" t="s">
        <v>1876</v>
      </c>
      <c r="C429" s="0" t="s">
        <v>1877</v>
      </c>
      <c r="D429" s="0" t="s">
        <v>1878</v>
      </c>
      <c r="E429" s="0" t="s">
        <v>1879</v>
      </c>
    </row>
    <row r="430" customFormat="false" ht="15" hidden="false" customHeight="false" outlineLevel="0" collapsed="false">
      <c r="A430" s="0" t="n">
        <v>428</v>
      </c>
      <c r="B430" s="0" t="s">
        <v>1880</v>
      </c>
      <c r="C430" s="0" t="s">
        <v>1881</v>
      </c>
      <c r="D430" s="0" t="s">
        <v>1882</v>
      </c>
      <c r="E430" s="0" t="s">
        <v>1883</v>
      </c>
    </row>
    <row r="431" customFormat="false" ht="15" hidden="false" customHeight="false" outlineLevel="0" collapsed="false">
      <c r="A431" s="0" t="n">
        <v>429</v>
      </c>
      <c r="B431" s="0" t="s">
        <v>1884</v>
      </c>
      <c r="C431" s="0" t="s">
        <v>1885</v>
      </c>
      <c r="D431" s="0" t="s">
        <v>1886</v>
      </c>
      <c r="E431" s="0" t="s">
        <v>1887</v>
      </c>
    </row>
    <row r="432" customFormat="false" ht="15" hidden="false" customHeight="false" outlineLevel="0" collapsed="false">
      <c r="A432" s="0" t="n">
        <v>430</v>
      </c>
      <c r="B432" s="0" t="s">
        <v>1888</v>
      </c>
      <c r="C432" s="0" t="s">
        <v>1889</v>
      </c>
      <c r="D432" s="0" t="s">
        <v>1890</v>
      </c>
      <c r="E432" s="0" t="s">
        <v>1891</v>
      </c>
    </row>
    <row r="433" customFormat="false" ht="15" hidden="false" customHeight="false" outlineLevel="0" collapsed="false">
      <c r="A433" s="0" t="n">
        <v>431</v>
      </c>
      <c r="B433" s="0" t="s">
        <v>1892</v>
      </c>
      <c r="C433" s="0" t="s">
        <v>1893</v>
      </c>
      <c r="D433" s="0" t="s">
        <v>1894</v>
      </c>
      <c r="E433" s="0" t="s">
        <v>1895</v>
      </c>
    </row>
    <row r="434" customFormat="false" ht="15" hidden="false" customHeight="false" outlineLevel="0" collapsed="false">
      <c r="A434" s="0" t="n">
        <v>432</v>
      </c>
      <c r="B434" s="0" t="s">
        <v>1896</v>
      </c>
      <c r="C434" s="0" t="s">
        <v>1897</v>
      </c>
      <c r="D434" s="0" t="s">
        <v>1898</v>
      </c>
      <c r="E434" s="0" t="s">
        <v>1899</v>
      </c>
    </row>
    <row r="435" customFormat="false" ht="15" hidden="false" customHeight="false" outlineLevel="0" collapsed="false">
      <c r="A435" s="0" t="n">
        <v>433</v>
      </c>
      <c r="B435" s="0" t="s">
        <v>1900</v>
      </c>
      <c r="C435" s="0" t="s">
        <v>1901</v>
      </c>
      <c r="D435" s="0" t="s">
        <v>1902</v>
      </c>
      <c r="E435" s="0" t="s">
        <v>1903</v>
      </c>
    </row>
    <row r="436" customFormat="false" ht="15" hidden="false" customHeight="false" outlineLevel="0" collapsed="false">
      <c r="A436" s="0" t="n">
        <v>434</v>
      </c>
      <c r="B436" s="0" t="s">
        <v>1904</v>
      </c>
      <c r="C436" s="0" t="s">
        <v>1905</v>
      </c>
      <c r="D436" s="0" t="s">
        <v>1906</v>
      </c>
      <c r="E436" s="0" t="s">
        <v>1907</v>
      </c>
    </row>
    <row r="437" customFormat="false" ht="15" hidden="false" customHeight="false" outlineLevel="0" collapsed="false">
      <c r="A437" s="0" t="n">
        <v>435</v>
      </c>
      <c r="B437" s="0" t="s">
        <v>1908</v>
      </c>
      <c r="C437" s="0" t="s">
        <v>1909</v>
      </c>
      <c r="D437" s="0" t="s">
        <v>1910</v>
      </c>
      <c r="E437" s="0" t="s">
        <v>1911</v>
      </c>
    </row>
    <row r="438" customFormat="false" ht="15" hidden="false" customHeight="false" outlineLevel="0" collapsed="false">
      <c r="A438" s="0" t="n">
        <v>436</v>
      </c>
      <c r="B438" s="0" t="s">
        <v>1912</v>
      </c>
      <c r="C438" s="0" t="s">
        <v>1913</v>
      </c>
      <c r="D438" s="0" t="s">
        <v>1914</v>
      </c>
      <c r="E438" s="0" t="s">
        <v>1915</v>
      </c>
    </row>
    <row r="439" customFormat="false" ht="15" hidden="false" customHeight="false" outlineLevel="0" collapsed="false">
      <c r="A439" s="0" t="n">
        <v>437</v>
      </c>
      <c r="B439" s="0" t="s">
        <v>1916</v>
      </c>
      <c r="C439" s="0" t="s">
        <v>1917</v>
      </c>
      <c r="D439" s="0" t="s">
        <v>1918</v>
      </c>
      <c r="E439" s="0" t="s">
        <v>1919</v>
      </c>
    </row>
    <row r="440" customFormat="false" ht="15" hidden="false" customHeight="false" outlineLevel="0" collapsed="false">
      <c r="A440" s="0" t="n">
        <v>438</v>
      </c>
      <c r="B440" s="0" t="s">
        <v>1920</v>
      </c>
      <c r="C440" s="0" t="s">
        <v>1921</v>
      </c>
      <c r="D440" s="0" t="s">
        <v>1922</v>
      </c>
      <c r="E440" s="0" t="s">
        <v>1923</v>
      </c>
    </row>
    <row r="441" customFormat="false" ht="15" hidden="false" customHeight="false" outlineLevel="0" collapsed="false">
      <c r="A441" s="0" t="n">
        <v>439</v>
      </c>
      <c r="B441" s="0" t="s">
        <v>1924</v>
      </c>
      <c r="C441" s="0" t="s">
        <v>1925</v>
      </c>
      <c r="D441" s="0" t="s">
        <v>1926</v>
      </c>
      <c r="E441" s="0" t="s">
        <v>1927</v>
      </c>
    </row>
    <row r="442" customFormat="false" ht="15" hidden="false" customHeight="false" outlineLevel="0" collapsed="false">
      <c r="A442" s="0" t="n">
        <v>440</v>
      </c>
      <c r="B442" s="0" t="s">
        <v>1928</v>
      </c>
      <c r="C442" s="0" t="s">
        <v>1929</v>
      </c>
      <c r="D442" s="0" t="s">
        <v>1930</v>
      </c>
      <c r="E442" s="0" t="s">
        <v>1931</v>
      </c>
    </row>
    <row r="443" customFormat="false" ht="15" hidden="false" customHeight="false" outlineLevel="0" collapsed="false">
      <c r="A443" s="0" t="n">
        <v>441</v>
      </c>
      <c r="B443" s="0" t="s">
        <v>1932</v>
      </c>
      <c r="C443" s="0" t="s">
        <v>1933</v>
      </c>
      <c r="D443" s="0" t="s">
        <v>1934</v>
      </c>
      <c r="E443" s="0" t="s">
        <v>1935</v>
      </c>
    </row>
    <row r="444" customFormat="false" ht="15" hidden="false" customHeight="false" outlineLevel="0" collapsed="false">
      <c r="A444" s="0" t="n">
        <v>442</v>
      </c>
      <c r="B444" s="0" t="s">
        <v>1936</v>
      </c>
      <c r="C444" s="0" t="s">
        <v>1937</v>
      </c>
      <c r="D444" s="0" t="s">
        <v>1938</v>
      </c>
      <c r="E444" s="0" t="s">
        <v>1939</v>
      </c>
    </row>
    <row r="445" customFormat="false" ht="15" hidden="false" customHeight="false" outlineLevel="0" collapsed="false">
      <c r="A445" s="0" t="n">
        <v>443</v>
      </c>
      <c r="B445" s="0" t="s">
        <v>1940</v>
      </c>
      <c r="C445" s="0" t="s">
        <v>1941</v>
      </c>
      <c r="D445" s="0" t="s">
        <v>1942</v>
      </c>
      <c r="E445" s="0" t="s">
        <v>1943</v>
      </c>
    </row>
    <row r="446" customFormat="false" ht="15" hidden="false" customHeight="false" outlineLevel="0" collapsed="false">
      <c r="A446" s="0" t="n">
        <v>444</v>
      </c>
      <c r="B446" s="0" t="s">
        <v>1944</v>
      </c>
      <c r="C446" s="0" t="s">
        <v>1945</v>
      </c>
      <c r="D446" s="0" t="s">
        <v>1946</v>
      </c>
      <c r="E446" s="0" t="s">
        <v>1947</v>
      </c>
    </row>
    <row r="447" customFormat="false" ht="15" hidden="false" customHeight="false" outlineLevel="0" collapsed="false">
      <c r="A447" s="0" t="n">
        <v>445</v>
      </c>
      <c r="B447" s="0" t="s">
        <v>1948</v>
      </c>
      <c r="C447" s="0" t="s">
        <v>1949</v>
      </c>
      <c r="D447" s="0" t="s">
        <v>1950</v>
      </c>
      <c r="E447" s="0" t="s">
        <v>1951</v>
      </c>
    </row>
    <row r="448" customFormat="false" ht="15" hidden="false" customHeight="false" outlineLevel="0" collapsed="false">
      <c r="A448" s="0" t="n">
        <v>446</v>
      </c>
      <c r="B448" s="0" t="s">
        <v>1952</v>
      </c>
      <c r="C448" s="0" t="s">
        <v>1953</v>
      </c>
      <c r="D448" s="0" t="s">
        <v>1954</v>
      </c>
      <c r="E448" s="0" t="s">
        <v>1955</v>
      </c>
    </row>
    <row r="449" customFormat="false" ht="15" hidden="false" customHeight="false" outlineLevel="0" collapsed="false">
      <c r="A449" s="0" t="n">
        <v>447</v>
      </c>
      <c r="B449" s="0" t="s">
        <v>1956</v>
      </c>
      <c r="C449" s="0" t="s">
        <v>1957</v>
      </c>
      <c r="D449" s="0" t="s">
        <v>1958</v>
      </c>
      <c r="E449" s="0" t="s">
        <v>1959</v>
      </c>
    </row>
    <row r="450" customFormat="false" ht="15" hidden="false" customHeight="false" outlineLevel="0" collapsed="false">
      <c r="A450" s="0" t="n">
        <v>448</v>
      </c>
      <c r="B450" s="0" t="s">
        <v>1960</v>
      </c>
      <c r="C450" s="0" t="s">
        <v>1961</v>
      </c>
      <c r="D450" s="0" t="s">
        <v>1962</v>
      </c>
      <c r="E450" s="0" t="s">
        <v>1963</v>
      </c>
    </row>
    <row r="451" customFormat="false" ht="15" hidden="false" customHeight="false" outlineLevel="0" collapsed="false">
      <c r="A451" s="0" t="n">
        <v>449</v>
      </c>
      <c r="B451" s="0" t="s">
        <v>1964</v>
      </c>
      <c r="C451" s="0" t="s">
        <v>1965</v>
      </c>
      <c r="D451" s="0" t="s">
        <v>1966</v>
      </c>
      <c r="E451" s="0" t="s">
        <v>1967</v>
      </c>
    </row>
    <row r="452" customFormat="false" ht="15" hidden="false" customHeight="false" outlineLevel="0" collapsed="false">
      <c r="A452" s="0" t="n">
        <v>450</v>
      </c>
      <c r="B452" s="0" t="s">
        <v>1968</v>
      </c>
      <c r="C452" s="0" t="s">
        <v>1969</v>
      </c>
      <c r="D452" s="0" t="s">
        <v>1970</v>
      </c>
      <c r="E452" s="0" t="s">
        <v>1971</v>
      </c>
    </row>
    <row r="453" customFormat="false" ht="15" hidden="false" customHeight="false" outlineLevel="0" collapsed="false">
      <c r="A453" s="0" t="n">
        <v>451</v>
      </c>
      <c r="B453" s="0" t="s">
        <v>1972</v>
      </c>
      <c r="C453" s="0" t="s">
        <v>1973</v>
      </c>
      <c r="D453" s="0" t="s">
        <v>1974</v>
      </c>
      <c r="E453" s="0" t="s">
        <v>1975</v>
      </c>
    </row>
    <row r="454" customFormat="false" ht="15" hidden="false" customHeight="false" outlineLevel="0" collapsed="false">
      <c r="A454" s="0" t="n">
        <v>452</v>
      </c>
      <c r="B454" s="0" t="s">
        <v>1976</v>
      </c>
      <c r="C454" s="0" t="s">
        <v>1977</v>
      </c>
      <c r="D454" s="0" t="s">
        <v>1978</v>
      </c>
      <c r="E454" s="0" t="s">
        <v>1979</v>
      </c>
    </row>
    <row r="455" customFormat="false" ht="15" hidden="false" customHeight="false" outlineLevel="0" collapsed="false">
      <c r="A455" s="0" t="n">
        <v>453</v>
      </c>
      <c r="B455" s="0" t="s">
        <v>1980</v>
      </c>
      <c r="C455" s="0" t="s">
        <v>1981</v>
      </c>
      <c r="D455" s="0" t="s">
        <v>1982</v>
      </c>
      <c r="E455" s="0" t="s">
        <v>1983</v>
      </c>
    </row>
    <row r="456" customFormat="false" ht="15" hidden="false" customHeight="false" outlineLevel="0" collapsed="false">
      <c r="A456" s="0" t="n">
        <v>454</v>
      </c>
      <c r="B456" s="0" t="s">
        <v>1984</v>
      </c>
      <c r="C456" s="0" t="s">
        <v>1985</v>
      </c>
      <c r="D456" s="0" t="s">
        <v>1986</v>
      </c>
      <c r="E456" s="0" t="s">
        <v>1987</v>
      </c>
    </row>
    <row r="457" customFormat="false" ht="15" hidden="false" customHeight="false" outlineLevel="0" collapsed="false">
      <c r="A457" s="0" t="n">
        <v>455</v>
      </c>
      <c r="B457" s="0" t="s">
        <v>1988</v>
      </c>
      <c r="C457" s="0" t="s">
        <v>1989</v>
      </c>
      <c r="D457" s="0" t="s">
        <v>1990</v>
      </c>
      <c r="E457" s="0" t="s">
        <v>1991</v>
      </c>
    </row>
    <row r="458" customFormat="false" ht="15" hidden="false" customHeight="false" outlineLevel="0" collapsed="false">
      <c r="A458" s="0" t="n">
        <v>456</v>
      </c>
      <c r="B458" s="0" t="s">
        <v>1992</v>
      </c>
      <c r="C458" s="0" t="s">
        <v>1993</v>
      </c>
      <c r="D458" s="0" t="s">
        <v>1994</v>
      </c>
      <c r="E458" s="0" t="s">
        <v>1995</v>
      </c>
    </row>
    <row r="459" customFormat="false" ht="15" hidden="false" customHeight="false" outlineLevel="0" collapsed="false">
      <c r="A459" s="0" t="n">
        <v>457</v>
      </c>
      <c r="B459" s="0" t="s">
        <v>1996</v>
      </c>
      <c r="C459" s="0" t="s">
        <v>1997</v>
      </c>
      <c r="D459" s="0" t="s">
        <v>1998</v>
      </c>
      <c r="E459" s="0" t="s">
        <v>1999</v>
      </c>
    </row>
    <row r="460" customFormat="false" ht="15" hidden="false" customHeight="false" outlineLevel="0" collapsed="false">
      <c r="A460" s="0" t="n">
        <v>458</v>
      </c>
      <c r="B460" s="0" t="s">
        <v>2000</v>
      </c>
      <c r="C460" s="0" t="s">
        <v>2001</v>
      </c>
      <c r="D460" s="0" t="s">
        <v>2002</v>
      </c>
      <c r="E460" s="0" t="s">
        <v>2003</v>
      </c>
    </row>
    <row r="461" customFormat="false" ht="15" hidden="false" customHeight="false" outlineLevel="0" collapsed="false">
      <c r="A461" s="0" t="n">
        <v>459</v>
      </c>
      <c r="B461" s="0" t="s">
        <v>2004</v>
      </c>
      <c r="C461" s="0" t="s">
        <v>2005</v>
      </c>
      <c r="D461" s="0" t="s">
        <v>2006</v>
      </c>
      <c r="E461" s="0" t="s">
        <v>2007</v>
      </c>
    </row>
    <row r="462" customFormat="false" ht="15" hidden="false" customHeight="false" outlineLevel="0" collapsed="false">
      <c r="A462" s="0" t="n">
        <v>460</v>
      </c>
      <c r="B462" s="0" t="s">
        <v>2008</v>
      </c>
      <c r="C462" s="0" t="s">
        <v>2009</v>
      </c>
      <c r="D462" s="0" t="s">
        <v>2010</v>
      </c>
      <c r="E462" s="0" t="s">
        <v>2011</v>
      </c>
    </row>
    <row r="463" customFormat="false" ht="15" hidden="false" customHeight="false" outlineLevel="0" collapsed="false">
      <c r="A463" s="0" t="n">
        <v>461</v>
      </c>
      <c r="B463" s="0" t="s">
        <v>2012</v>
      </c>
      <c r="C463" s="0" t="s">
        <v>2013</v>
      </c>
      <c r="D463" s="0" t="s">
        <v>2014</v>
      </c>
      <c r="E463" s="0" t="s">
        <v>2015</v>
      </c>
    </row>
    <row r="464" customFormat="false" ht="15" hidden="false" customHeight="false" outlineLevel="0" collapsed="false">
      <c r="A464" s="0" t="n">
        <v>462</v>
      </c>
      <c r="B464" s="0" t="s">
        <v>2016</v>
      </c>
      <c r="C464" s="0" t="s">
        <v>2017</v>
      </c>
      <c r="D464" s="0" t="s">
        <v>2018</v>
      </c>
      <c r="E464" s="0" t="s">
        <v>2019</v>
      </c>
    </row>
    <row r="465" customFormat="false" ht="15" hidden="false" customHeight="false" outlineLevel="0" collapsed="false">
      <c r="A465" s="0" t="n">
        <v>463</v>
      </c>
      <c r="B465" s="0" t="s">
        <v>2020</v>
      </c>
      <c r="C465" s="0" t="s">
        <v>2021</v>
      </c>
      <c r="D465" s="0" t="s">
        <v>2022</v>
      </c>
      <c r="E465" s="0" t="s">
        <v>2023</v>
      </c>
    </row>
    <row r="466" customFormat="false" ht="15" hidden="false" customHeight="false" outlineLevel="0" collapsed="false">
      <c r="A466" s="0" t="n">
        <v>464</v>
      </c>
      <c r="B466" s="0" t="s">
        <v>2024</v>
      </c>
      <c r="C466" s="0" t="s">
        <v>2025</v>
      </c>
      <c r="D466" s="0" t="s">
        <v>2026</v>
      </c>
      <c r="E466" s="0" t="s">
        <v>2027</v>
      </c>
    </row>
    <row r="467" customFormat="false" ht="15" hidden="false" customHeight="false" outlineLevel="0" collapsed="false">
      <c r="A467" s="0" t="n">
        <v>465</v>
      </c>
      <c r="B467" s="0" t="s">
        <v>2028</v>
      </c>
      <c r="C467" s="0" t="s">
        <v>2029</v>
      </c>
      <c r="D467" s="0" t="s">
        <v>2030</v>
      </c>
      <c r="E467" s="0" t="s">
        <v>2031</v>
      </c>
    </row>
    <row r="468" customFormat="false" ht="15" hidden="false" customHeight="false" outlineLevel="0" collapsed="false">
      <c r="A468" s="0" t="n">
        <v>466</v>
      </c>
      <c r="B468" s="0" t="s">
        <v>2032</v>
      </c>
      <c r="C468" s="0" t="s">
        <v>2033</v>
      </c>
      <c r="D468" s="0" t="s">
        <v>2034</v>
      </c>
      <c r="E468" s="0" t="s">
        <v>2035</v>
      </c>
    </row>
    <row r="469" customFormat="false" ht="15" hidden="false" customHeight="false" outlineLevel="0" collapsed="false">
      <c r="A469" s="0" t="n">
        <v>467</v>
      </c>
      <c r="B469" s="0" t="s">
        <v>2036</v>
      </c>
      <c r="C469" s="0" t="s">
        <v>2037</v>
      </c>
      <c r="D469" s="0" t="s">
        <v>2038</v>
      </c>
      <c r="E469" s="0" t="s">
        <v>2039</v>
      </c>
    </row>
    <row r="470" customFormat="false" ht="15" hidden="false" customHeight="false" outlineLevel="0" collapsed="false">
      <c r="A470" s="0" t="n">
        <v>468</v>
      </c>
      <c r="B470" s="0" t="s">
        <v>2040</v>
      </c>
      <c r="C470" s="0" t="s">
        <v>2041</v>
      </c>
      <c r="D470" s="0" t="s">
        <v>2042</v>
      </c>
      <c r="E470" s="0" t="s">
        <v>2043</v>
      </c>
    </row>
    <row r="471" customFormat="false" ht="15" hidden="false" customHeight="false" outlineLevel="0" collapsed="false">
      <c r="A471" s="0" t="n">
        <v>469</v>
      </c>
      <c r="B471" s="0" t="s">
        <v>2044</v>
      </c>
      <c r="C471" s="0" t="s">
        <v>2045</v>
      </c>
      <c r="D471" s="0" t="s">
        <v>2046</v>
      </c>
      <c r="E471" s="0" t="s">
        <v>2047</v>
      </c>
    </row>
    <row r="472" customFormat="false" ht="15" hidden="false" customHeight="false" outlineLevel="0" collapsed="false">
      <c r="A472" s="0" t="n">
        <v>470</v>
      </c>
      <c r="B472" s="0" t="s">
        <v>2048</v>
      </c>
      <c r="C472" s="0" t="s">
        <v>2049</v>
      </c>
      <c r="D472" s="0" t="s">
        <v>2050</v>
      </c>
      <c r="E472" s="0" t="s">
        <v>2051</v>
      </c>
    </row>
    <row r="473" customFormat="false" ht="15" hidden="false" customHeight="false" outlineLevel="0" collapsed="false">
      <c r="A473" s="0" t="n">
        <v>471</v>
      </c>
      <c r="B473" s="0" t="s">
        <v>2052</v>
      </c>
      <c r="C473" s="0" t="s">
        <v>2053</v>
      </c>
      <c r="D473" s="0" t="s">
        <v>2054</v>
      </c>
      <c r="E473" s="0" t="s">
        <v>2055</v>
      </c>
    </row>
    <row r="474" customFormat="false" ht="15" hidden="false" customHeight="false" outlineLevel="0" collapsed="false">
      <c r="A474" s="0" t="n">
        <v>472</v>
      </c>
      <c r="B474" s="0" t="s">
        <v>2056</v>
      </c>
      <c r="C474" s="0" t="s">
        <v>2057</v>
      </c>
      <c r="D474" s="0" t="s">
        <v>2058</v>
      </c>
      <c r="E474" s="0" t="s">
        <v>2059</v>
      </c>
    </row>
    <row r="475" customFormat="false" ht="15" hidden="false" customHeight="false" outlineLevel="0" collapsed="false">
      <c r="A475" s="0" t="n">
        <v>473</v>
      </c>
      <c r="B475" s="0" t="s">
        <v>2060</v>
      </c>
      <c r="C475" s="0" t="s">
        <v>2061</v>
      </c>
      <c r="D475" s="0" t="s">
        <v>2062</v>
      </c>
      <c r="E475" s="0" t="s">
        <v>2063</v>
      </c>
    </row>
    <row r="476" customFormat="false" ht="15" hidden="false" customHeight="false" outlineLevel="0" collapsed="false">
      <c r="A476" s="0" t="n">
        <v>474</v>
      </c>
      <c r="B476" s="0" t="s">
        <v>2064</v>
      </c>
      <c r="C476" s="0" t="s">
        <v>2065</v>
      </c>
      <c r="D476" s="0" t="s">
        <v>2066</v>
      </c>
      <c r="E476" s="0" t="s">
        <v>2067</v>
      </c>
    </row>
    <row r="477" customFormat="false" ht="15" hidden="false" customHeight="false" outlineLevel="0" collapsed="false">
      <c r="A477" s="0" t="n">
        <v>475</v>
      </c>
      <c r="B477" s="0" t="s">
        <v>2068</v>
      </c>
      <c r="C477" s="0" t="s">
        <v>2069</v>
      </c>
      <c r="D477" s="0" t="s">
        <v>2070</v>
      </c>
      <c r="E477" s="0" t="s">
        <v>2071</v>
      </c>
    </row>
    <row r="478" customFormat="false" ht="15" hidden="false" customHeight="false" outlineLevel="0" collapsed="false">
      <c r="A478" s="0" t="n">
        <v>476</v>
      </c>
      <c r="B478" s="0" t="s">
        <v>2072</v>
      </c>
      <c r="C478" s="0" t="s">
        <v>2073</v>
      </c>
      <c r="D478" s="0" t="s">
        <v>2074</v>
      </c>
      <c r="E478" s="0" t="s">
        <v>2075</v>
      </c>
    </row>
    <row r="479" customFormat="false" ht="15" hidden="false" customHeight="false" outlineLevel="0" collapsed="false">
      <c r="A479" s="0" t="n">
        <v>477</v>
      </c>
      <c r="B479" s="0" t="s">
        <v>2076</v>
      </c>
      <c r="C479" s="0" t="s">
        <v>2077</v>
      </c>
      <c r="D479" s="0" t="s">
        <v>2078</v>
      </c>
      <c r="E479" s="0" t="s">
        <v>2079</v>
      </c>
    </row>
    <row r="480" customFormat="false" ht="15" hidden="false" customHeight="false" outlineLevel="0" collapsed="false">
      <c r="A480" s="0" t="n">
        <v>478</v>
      </c>
      <c r="B480" s="0" t="s">
        <v>2080</v>
      </c>
      <c r="C480" s="0" t="s">
        <v>2081</v>
      </c>
      <c r="D480" s="0" t="s">
        <v>2082</v>
      </c>
      <c r="E480" s="0" t="s">
        <v>2083</v>
      </c>
    </row>
    <row r="481" customFormat="false" ht="15" hidden="false" customHeight="false" outlineLevel="0" collapsed="false">
      <c r="A481" s="0" t="n">
        <v>479</v>
      </c>
      <c r="B481" s="0" t="s">
        <v>2084</v>
      </c>
      <c r="C481" s="0" t="s">
        <v>2085</v>
      </c>
      <c r="D481" s="0" t="s">
        <v>2086</v>
      </c>
      <c r="E481" s="0" t="s">
        <v>2087</v>
      </c>
    </row>
    <row r="482" customFormat="false" ht="15" hidden="false" customHeight="false" outlineLevel="0" collapsed="false">
      <c r="A482" s="0" t="n">
        <v>480</v>
      </c>
      <c r="B482" s="0" t="s">
        <v>2088</v>
      </c>
      <c r="C482" s="0" t="s">
        <v>2089</v>
      </c>
      <c r="D482" s="0" t="s">
        <v>2090</v>
      </c>
      <c r="E482" s="0" t="s">
        <v>2091</v>
      </c>
    </row>
    <row r="483" customFormat="false" ht="15" hidden="false" customHeight="false" outlineLevel="0" collapsed="false">
      <c r="A483" s="0" t="n">
        <v>481</v>
      </c>
      <c r="B483" s="0" t="s">
        <v>2092</v>
      </c>
      <c r="C483" s="0" t="s">
        <v>2093</v>
      </c>
      <c r="D483" s="0" t="s">
        <v>2094</v>
      </c>
      <c r="E483" s="0" t="s">
        <v>2095</v>
      </c>
    </row>
    <row r="484" customFormat="false" ht="15" hidden="false" customHeight="false" outlineLevel="0" collapsed="false">
      <c r="A484" s="0" t="n">
        <v>482</v>
      </c>
      <c r="B484" s="0" t="s">
        <v>2096</v>
      </c>
      <c r="C484" s="0" t="s">
        <v>2097</v>
      </c>
      <c r="D484" s="0" t="s">
        <v>2098</v>
      </c>
      <c r="E484" s="0" t="s">
        <v>2099</v>
      </c>
    </row>
    <row r="485" customFormat="false" ht="15" hidden="false" customHeight="false" outlineLevel="0" collapsed="false">
      <c r="A485" s="0" t="n">
        <v>483</v>
      </c>
      <c r="B485" s="0" t="s">
        <v>2100</v>
      </c>
      <c r="C485" s="0" t="s">
        <v>2101</v>
      </c>
      <c r="D485" s="0" t="s">
        <v>2102</v>
      </c>
      <c r="E485" s="0" t="s">
        <v>2103</v>
      </c>
    </row>
    <row r="486" customFormat="false" ht="15" hidden="false" customHeight="false" outlineLevel="0" collapsed="false">
      <c r="A486" s="0" t="n">
        <v>484</v>
      </c>
      <c r="B486" s="0" t="s">
        <v>2104</v>
      </c>
      <c r="C486" s="0" t="s">
        <v>2105</v>
      </c>
      <c r="D486" s="0" t="s">
        <v>2106</v>
      </c>
      <c r="E486" s="0" t="s">
        <v>2107</v>
      </c>
    </row>
    <row r="487" customFormat="false" ht="15" hidden="false" customHeight="false" outlineLevel="0" collapsed="false">
      <c r="A487" s="0" t="n">
        <v>485</v>
      </c>
      <c r="B487" s="0" t="s">
        <v>2108</v>
      </c>
      <c r="C487" s="0" t="s">
        <v>2109</v>
      </c>
      <c r="D487" s="0" t="s">
        <v>2110</v>
      </c>
      <c r="E487" s="0" t="s">
        <v>2111</v>
      </c>
    </row>
    <row r="488" customFormat="false" ht="15" hidden="false" customHeight="false" outlineLevel="0" collapsed="false">
      <c r="A488" s="0" t="n">
        <v>486</v>
      </c>
      <c r="B488" s="0" t="s">
        <v>2112</v>
      </c>
      <c r="C488" s="0" t="s">
        <v>2113</v>
      </c>
      <c r="D488" s="0" t="s">
        <v>2114</v>
      </c>
      <c r="E488" s="0" t="s">
        <v>2115</v>
      </c>
    </row>
    <row r="489" customFormat="false" ht="15" hidden="false" customHeight="false" outlineLevel="0" collapsed="false">
      <c r="A489" s="0" t="n">
        <v>487</v>
      </c>
      <c r="B489" s="0" t="s">
        <v>2116</v>
      </c>
      <c r="C489" s="0" t="s">
        <v>2117</v>
      </c>
      <c r="D489" s="0" t="s">
        <v>2118</v>
      </c>
      <c r="E489" s="0" t="s">
        <v>2119</v>
      </c>
    </row>
    <row r="490" customFormat="false" ht="15" hidden="false" customHeight="false" outlineLevel="0" collapsed="false">
      <c r="A490" s="0" t="n">
        <v>488</v>
      </c>
      <c r="B490" s="0" t="s">
        <v>2120</v>
      </c>
      <c r="C490" s="0" t="s">
        <v>2121</v>
      </c>
      <c r="D490" s="0" t="s">
        <v>2122</v>
      </c>
      <c r="E490" s="0" t="s">
        <v>2123</v>
      </c>
    </row>
    <row r="491" customFormat="false" ht="15" hidden="false" customHeight="false" outlineLevel="0" collapsed="false">
      <c r="A491" s="0" t="n">
        <v>489</v>
      </c>
      <c r="B491" s="0" t="s">
        <v>2124</v>
      </c>
      <c r="C491" s="0" t="s">
        <v>2125</v>
      </c>
      <c r="D491" s="0" t="s">
        <v>2126</v>
      </c>
      <c r="E491" s="0" t="s">
        <v>2127</v>
      </c>
    </row>
    <row r="492" customFormat="false" ht="15" hidden="false" customHeight="false" outlineLevel="0" collapsed="false">
      <c r="A492" s="0" t="n">
        <v>490</v>
      </c>
      <c r="B492" s="0" t="s">
        <v>2128</v>
      </c>
      <c r="C492" s="0" t="s">
        <v>2129</v>
      </c>
      <c r="D492" s="0" t="s">
        <v>2130</v>
      </c>
      <c r="E492" s="0" t="s">
        <v>2131</v>
      </c>
    </row>
    <row r="493" customFormat="false" ht="15" hidden="false" customHeight="false" outlineLevel="0" collapsed="false">
      <c r="A493" s="0" t="n">
        <v>491</v>
      </c>
      <c r="B493" s="0" t="s">
        <v>2132</v>
      </c>
      <c r="C493" s="0" t="s">
        <v>2133</v>
      </c>
      <c r="D493" s="0" t="s">
        <v>2134</v>
      </c>
      <c r="E493" s="0" t="s">
        <v>2135</v>
      </c>
    </row>
    <row r="494" customFormat="false" ht="15" hidden="false" customHeight="false" outlineLevel="0" collapsed="false">
      <c r="A494" s="0" t="n">
        <v>492</v>
      </c>
      <c r="B494" s="0" t="s">
        <v>2136</v>
      </c>
      <c r="C494" s="0" t="s">
        <v>2137</v>
      </c>
      <c r="D494" s="0" t="s">
        <v>2138</v>
      </c>
      <c r="E494" s="0" t="s">
        <v>2139</v>
      </c>
    </row>
    <row r="495" customFormat="false" ht="15" hidden="false" customHeight="false" outlineLevel="0" collapsed="false">
      <c r="A495" s="0" t="n">
        <v>493</v>
      </c>
      <c r="B495" s="0" t="s">
        <v>2140</v>
      </c>
      <c r="C495" s="0" t="s">
        <v>2141</v>
      </c>
      <c r="D495" s="0" t="s">
        <v>2142</v>
      </c>
      <c r="E495" s="0" t="s">
        <v>2143</v>
      </c>
    </row>
    <row r="496" customFormat="false" ht="15" hidden="false" customHeight="false" outlineLevel="0" collapsed="false">
      <c r="A496" s="0" t="n">
        <v>494</v>
      </c>
      <c r="B496" s="0" t="s">
        <v>2144</v>
      </c>
      <c r="C496" s="0" t="s">
        <v>2145</v>
      </c>
      <c r="D496" s="0" t="s">
        <v>2146</v>
      </c>
      <c r="E496" s="0" t="s">
        <v>2147</v>
      </c>
    </row>
    <row r="497" customFormat="false" ht="15" hidden="false" customHeight="false" outlineLevel="0" collapsed="false">
      <c r="A497" s="0" t="n">
        <v>495</v>
      </c>
      <c r="B497" s="0" t="s">
        <v>2148</v>
      </c>
      <c r="C497" s="0" t="s">
        <v>2149</v>
      </c>
      <c r="D497" s="0" t="s">
        <v>2150</v>
      </c>
      <c r="E497" s="0" t="s">
        <v>2151</v>
      </c>
    </row>
    <row r="498" customFormat="false" ht="15" hidden="false" customHeight="false" outlineLevel="0" collapsed="false">
      <c r="A498" s="0" t="n">
        <v>496</v>
      </c>
      <c r="B498" s="0" t="s">
        <v>2152</v>
      </c>
      <c r="C498" s="0" t="s">
        <v>2153</v>
      </c>
      <c r="D498" s="0" t="s">
        <v>2154</v>
      </c>
      <c r="E498" s="0" t="s">
        <v>2155</v>
      </c>
    </row>
    <row r="499" customFormat="false" ht="15" hidden="false" customHeight="false" outlineLevel="0" collapsed="false">
      <c r="A499" s="0" t="n">
        <v>497</v>
      </c>
      <c r="B499" s="0" t="s">
        <v>2156</v>
      </c>
      <c r="C499" s="0" t="s">
        <v>2157</v>
      </c>
      <c r="D499" s="0" t="s">
        <v>2158</v>
      </c>
      <c r="E499" s="0" t="s">
        <v>2159</v>
      </c>
    </row>
    <row r="500" customFormat="false" ht="15" hidden="false" customHeight="false" outlineLevel="0" collapsed="false">
      <c r="A500" s="0" t="n">
        <v>498</v>
      </c>
      <c r="B500" s="0" t="s">
        <v>2160</v>
      </c>
      <c r="C500" s="0" t="s">
        <v>2161</v>
      </c>
      <c r="D500" s="0" t="s">
        <v>2162</v>
      </c>
      <c r="E500" s="0" t="s">
        <v>2163</v>
      </c>
    </row>
    <row r="501" customFormat="false" ht="15" hidden="false" customHeight="false" outlineLevel="0" collapsed="false">
      <c r="A501" s="0" t="n">
        <v>499</v>
      </c>
      <c r="B501" s="0" t="s">
        <v>2164</v>
      </c>
      <c r="C501" s="0" t="s">
        <v>2165</v>
      </c>
      <c r="D501" s="0" t="s">
        <v>2166</v>
      </c>
      <c r="E501" s="0" t="s">
        <v>2167</v>
      </c>
    </row>
    <row r="502" customFormat="false" ht="15" hidden="false" customHeight="false" outlineLevel="0" collapsed="false">
      <c r="A502" s="0" t="n">
        <v>500</v>
      </c>
      <c r="B502" s="0" t="s">
        <v>2168</v>
      </c>
      <c r="C502" s="0" t="s">
        <v>2169</v>
      </c>
      <c r="D502" s="0" t="s">
        <v>2170</v>
      </c>
      <c r="E502" s="0" t="s">
        <v>2171</v>
      </c>
    </row>
    <row r="503" customFormat="false" ht="15" hidden="false" customHeight="false" outlineLevel="0" collapsed="false">
      <c r="A503" s="0" t="n">
        <v>501</v>
      </c>
      <c r="B503" s="0" t="s">
        <v>2172</v>
      </c>
      <c r="C503" s="0" t="s">
        <v>2173</v>
      </c>
      <c r="D503" s="0" t="s">
        <v>2174</v>
      </c>
      <c r="E503" s="0" t="s">
        <v>2175</v>
      </c>
    </row>
    <row r="504" customFormat="false" ht="15" hidden="false" customHeight="false" outlineLevel="0" collapsed="false">
      <c r="A504" s="0" t="n">
        <v>502</v>
      </c>
      <c r="B504" s="0" t="s">
        <v>2176</v>
      </c>
      <c r="C504" s="0" t="s">
        <v>2177</v>
      </c>
      <c r="D504" s="0" t="s">
        <v>2178</v>
      </c>
      <c r="E504" s="0" t="s">
        <v>2179</v>
      </c>
    </row>
    <row r="505" customFormat="false" ht="15" hidden="false" customHeight="false" outlineLevel="0" collapsed="false">
      <c r="A505" s="0" t="n">
        <v>503</v>
      </c>
      <c r="B505" s="0" t="s">
        <v>2180</v>
      </c>
      <c r="C505" s="0" t="s">
        <v>2181</v>
      </c>
      <c r="D505" s="0" t="s">
        <v>2182</v>
      </c>
      <c r="E505" s="0" t="s">
        <v>2183</v>
      </c>
    </row>
    <row r="506" customFormat="false" ht="15" hidden="false" customHeight="false" outlineLevel="0" collapsed="false">
      <c r="A506" s="0" t="n">
        <v>504</v>
      </c>
      <c r="B506" s="0" t="s">
        <v>2184</v>
      </c>
      <c r="C506" s="0" t="s">
        <v>2185</v>
      </c>
      <c r="D506" s="0" t="s">
        <v>2186</v>
      </c>
      <c r="E506" s="0" t="s">
        <v>2187</v>
      </c>
    </row>
    <row r="507" customFormat="false" ht="15" hidden="false" customHeight="false" outlineLevel="0" collapsed="false">
      <c r="A507" s="0" t="n">
        <v>505</v>
      </c>
      <c r="B507" s="0" t="s">
        <v>2188</v>
      </c>
      <c r="C507" s="0" t="s">
        <v>2189</v>
      </c>
      <c r="D507" s="0" t="s">
        <v>2190</v>
      </c>
      <c r="E507" s="0" t="s">
        <v>2191</v>
      </c>
    </row>
    <row r="508" customFormat="false" ht="15" hidden="false" customHeight="false" outlineLevel="0" collapsed="false">
      <c r="A508" s="0" t="n">
        <v>506</v>
      </c>
      <c r="B508" s="0" t="s">
        <v>2192</v>
      </c>
      <c r="C508" s="0" t="s">
        <v>2193</v>
      </c>
      <c r="D508" s="0" t="s">
        <v>2194</v>
      </c>
      <c r="E508" s="0" t="s">
        <v>2195</v>
      </c>
    </row>
    <row r="509" customFormat="false" ht="15" hidden="false" customHeight="false" outlineLevel="0" collapsed="false">
      <c r="A509" s="0" t="n">
        <v>507</v>
      </c>
      <c r="B509" s="0" t="s">
        <v>2196</v>
      </c>
      <c r="C509" s="0" t="s">
        <v>2197</v>
      </c>
      <c r="D509" s="0" t="s">
        <v>2198</v>
      </c>
      <c r="E509" s="0" t="s">
        <v>2199</v>
      </c>
    </row>
    <row r="510" customFormat="false" ht="15" hidden="false" customHeight="false" outlineLevel="0" collapsed="false">
      <c r="A510" s="0" t="n">
        <v>508</v>
      </c>
      <c r="B510" s="0" t="s">
        <v>2200</v>
      </c>
      <c r="C510" s="0" t="s">
        <v>2201</v>
      </c>
      <c r="D510" s="0" t="s">
        <v>2202</v>
      </c>
      <c r="E510" s="0" t="s">
        <v>2203</v>
      </c>
    </row>
    <row r="511" customFormat="false" ht="15" hidden="false" customHeight="false" outlineLevel="0" collapsed="false">
      <c r="A511" s="0" t="n">
        <v>509</v>
      </c>
      <c r="B511" s="0" t="s">
        <v>2204</v>
      </c>
      <c r="C511" s="0" t="s">
        <v>2205</v>
      </c>
      <c r="D511" s="0" t="s">
        <v>2206</v>
      </c>
      <c r="E511" s="0" t="s">
        <v>2207</v>
      </c>
    </row>
    <row r="512" customFormat="false" ht="15" hidden="false" customHeight="false" outlineLevel="0" collapsed="false">
      <c r="A512" s="0" t="n">
        <v>510</v>
      </c>
      <c r="B512" s="0" t="s">
        <v>2208</v>
      </c>
      <c r="C512" s="0" t="s">
        <v>2209</v>
      </c>
      <c r="D512" s="0" t="s">
        <v>2210</v>
      </c>
      <c r="E512" s="0" t="s">
        <v>2211</v>
      </c>
    </row>
    <row r="513" customFormat="false" ht="15" hidden="false" customHeight="false" outlineLevel="0" collapsed="false">
      <c r="A513" s="0" t="n">
        <v>511</v>
      </c>
      <c r="B513" s="0" t="s">
        <v>2212</v>
      </c>
      <c r="C513" s="0" t="s">
        <v>2213</v>
      </c>
      <c r="D513" s="0" t="s">
        <v>2214</v>
      </c>
      <c r="E513" s="0" t="s">
        <v>2215</v>
      </c>
    </row>
    <row r="514" customFormat="false" ht="15" hidden="false" customHeight="false" outlineLevel="0" collapsed="false">
      <c r="A514" s="0" t="n">
        <v>512</v>
      </c>
      <c r="B514" s="0" t="s">
        <v>2216</v>
      </c>
      <c r="C514" s="0" t="s">
        <v>2217</v>
      </c>
      <c r="D514" s="0" t="s">
        <v>2218</v>
      </c>
      <c r="E514" s="0" t="s">
        <v>2219</v>
      </c>
    </row>
    <row r="515" customFormat="false" ht="15" hidden="false" customHeight="false" outlineLevel="0" collapsed="false">
      <c r="A515" s="0" t="n">
        <v>513</v>
      </c>
      <c r="B515" s="0" t="s">
        <v>2220</v>
      </c>
      <c r="C515" s="0" t="s">
        <v>2221</v>
      </c>
      <c r="D515" s="0" t="s">
        <v>2222</v>
      </c>
      <c r="E515" s="0" t="s">
        <v>2223</v>
      </c>
    </row>
    <row r="516" customFormat="false" ht="15" hidden="false" customHeight="false" outlineLevel="0" collapsed="false">
      <c r="A516" s="0" t="n">
        <v>514</v>
      </c>
      <c r="B516" s="0" t="s">
        <v>2224</v>
      </c>
      <c r="C516" s="0" t="s">
        <v>2225</v>
      </c>
      <c r="D516" s="0" t="s">
        <v>2226</v>
      </c>
      <c r="E516" s="0" t="s">
        <v>2227</v>
      </c>
    </row>
    <row r="517" customFormat="false" ht="15" hidden="false" customHeight="false" outlineLevel="0" collapsed="false">
      <c r="A517" s="0" t="n">
        <v>515</v>
      </c>
      <c r="B517" s="0" t="s">
        <v>2228</v>
      </c>
      <c r="C517" s="0" t="s">
        <v>2229</v>
      </c>
      <c r="D517" s="0" t="s">
        <v>2230</v>
      </c>
      <c r="E517" s="0" t="s">
        <v>2231</v>
      </c>
    </row>
    <row r="518" customFormat="false" ht="15" hidden="false" customHeight="false" outlineLevel="0" collapsed="false">
      <c r="A518" s="0" t="n">
        <v>516</v>
      </c>
      <c r="B518" s="0" t="s">
        <v>2232</v>
      </c>
      <c r="C518" s="0" t="s">
        <v>2233</v>
      </c>
      <c r="D518" s="0" t="s">
        <v>2234</v>
      </c>
      <c r="E518" s="0" t="s">
        <v>2235</v>
      </c>
    </row>
    <row r="519" customFormat="false" ht="15" hidden="false" customHeight="false" outlineLevel="0" collapsed="false">
      <c r="A519" s="0" t="n">
        <v>517</v>
      </c>
      <c r="B519" s="0" t="s">
        <v>2236</v>
      </c>
      <c r="C519" s="0" t="s">
        <v>2237</v>
      </c>
      <c r="D519" s="0" t="s">
        <v>2238</v>
      </c>
      <c r="E519" s="0" t="s">
        <v>2239</v>
      </c>
    </row>
    <row r="520" customFormat="false" ht="15" hidden="false" customHeight="false" outlineLevel="0" collapsed="false">
      <c r="A520" s="0" t="n">
        <v>518</v>
      </c>
      <c r="B520" s="0" t="s">
        <v>2240</v>
      </c>
      <c r="C520" s="0" t="s">
        <v>2241</v>
      </c>
      <c r="D520" s="0" t="s">
        <v>2242</v>
      </c>
      <c r="E520" s="0" t="s">
        <v>2243</v>
      </c>
    </row>
    <row r="521" customFormat="false" ht="15" hidden="false" customHeight="false" outlineLevel="0" collapsed="false">
      <c r="A521" s="0" t="n">
        <v>519</v>
      </c>
      <c r="B521" s="0" t="s">
        <v>2244</v>
      </c>
      <c r="C521" s="0" t="s">
        <v>2245</v>
      </c>
      <c r="D521" s="0" t="s">
        <v>2246</v>
      </c>
      <c r="E521" s="0" t="s">
        <v>2247</v>
      </c>
    </row>
    <row r="522" customFormat="false" ht="15" hidden="false" customHeight="false" outlineLevel="0" collapsed="false">
      <c r="A522" s="0" t="n">
        <v>520</v>
      </c>
      <c r="B522" s="0" t="s">
        <v>2248</v>
      </c>
      <c r="C522" s="0" t="s">
        <v>2249</v>
      </c>
      <c r="D522" s="0" t="s">
        <v>2250</v>
      </c>
      <c r="E522" s="0" t="s">
        <v>2251</v>
      </c>
    </row>
    <row r="523" customFormat="false" ht="15" hidden="false" customHeight="false" outlineLevel="0" collapsed="false">
      <c r="A523" s="0" t="n">
        <v>521</v>
      </c>
      <c r="B523" s="0" t="s">
        <v>2252</v>
      </c>
      <c r="C523" s="0" t="s">
        <v>2253</v>
      </c>
      <c r="D523" s="0" t="s">
        <v>2254</v>
      </c>
      <c r="E523" s="0" t="s">
        <v>2255</v>
      </c>
    </row>
    <row r="524" customFormat="false" ht="15" hidden="false" customHeight="false" outlineLevel="0" collapsed="false">
      <c r="A524" s="0" t="n">
        <v>522</v>
      </c>
      <c r="B524" s="0" t="s">
        <v>2256</v>
      </c>
      <c r="C524" s="0" t="s">
        <v>2257</v>
      </c>
      <c r="D524" s="0" t="s">
        <v>2258</v>
      </c>
      <c r="E524" s="0" t="s">
        <v>2259</v>
      </c>
    </row>
    <row r="525" customFormat="false" ht="15" hidden="false" customHeight="false" outlineLevel="0" collapsed="false">
      <c r="A525" s="0" t="n">
        <v>523</v>
      </c>
      <c r="B525" s="0" t="s">
        <v>2260</v>
      </c>
      <c r="C525" s="0" t="s">
        <v>2261</v>
      </c>
      <c r="D525" s="0" t="s">
        <v>2262</v>
      </c>
      <c r="E525" s="0" t="s">
        <v>2263</v>
      </c>
    </row>
    <row r="526" customFormat="false" ht="15" hidden="false" customHeight="false" outlineLevel="0" collapsed="false">
      <c r="A526" s="0" t="n">
        <v>524</v>
      </c>
      <c r="B526" s="0" t="s">
        <v>2264</v>
      </c>
      <c r="C526" s="0" t="s">
        <v>2265</v>
      </c>
      <c r="D526" s="0" t="s">
        <v>2266</v>
      </c>
      <c r="E526" s="0" t="s">
        <v>2267</v>
      </c>
    </row>
    <row r="527" customFormat="false" ht="15" hidden="false" customHeight="false" outlineLevel="0" collapsed="false">
      <c r="A527" s="0" t="n">
        <v>525</v>
      </c>
      <c r="B527" s="0" t="s">
        <v>2268</v>
      </c>
      <c r="C527" s="0" t="s">
        <v>2269</v>
      </c>
      <c r="D527" s="0" t="s">
        <v>2270</v>
      </c>
      <c r="E527" s="0" t="s">
        <v>2271</v>
      </c>
    </row>
    <row r="528" customFormat="false" ht="15" hidden="false" customHeight="false" outlineLevel="0" collapsed="false">
      <c r="A528" s="0" t="n">
        <v>526</v>
      </c>
      <c r="B528" s="0" t="s">
        <v>2272</v>
      </c>
      <c r="C528" s="0" t="s">
        <v>2273</v>
      </c>
      <c r="D528" s="0" t="s">
        <v>2274</v>
      </c>
      <c r="E528" s="0" t="s">
        <v>2275</v>
      </c>
    </row>
    <row r="529" customFormat="false" ht="15" hidden="false" customHeight="false" outlineLevel="0" collapsed="false">
      <c r="A529" s="0" t="n">
        <v>527</v>
      </c>
      <c r="B529" s="0" t="s">
        <v>2276</v>
      </c>
      <c r="C529" s="0" t="s">
        <v>2277</v>
      </c>
      <c r="D529" s="0" t="s">
        <v>2278</v>
      </c>
      <c r="E529" s="0" t="s">
        <v>2279</v>
      </c>
    </row>
    <row r="530" customFormat="false" ht="15" hidden="false" customHeight="false" outlineLevel="0" collapsed="false">
      <c r="A530" s="0" t="n">
        <v>528</v>
      </c>
      <c r="B530" s="0" t="s">
        <v>2280</v>
      </c>
      <c r="C530" s="0" t="s">
        <v>2281</v>
      </c>
      <c r="D530" s="0" t="s">
        <v>2282</v>
      </c>
      <c r="E530" s="0" t="s">
        <v>2283</v>
      </c>
    </row>
    <row r="531" customFormat="false" ht="15" hidden="false" customHeight="false" outlineLevel="0" collapsed="false">
      <c r="A531" s="0" t="n">
        <v>529</v>
      </c>
      <c r="B531" s="0" t="s">
        <v>2284</v>
      </c>
      <c r="C531" s="0" t="s">
        <v>2285</v>
      </c>
      <c r="D531" s="0" t="s">
        <v>2286</v>
      </c>
      <c r="E531" s="0" t="s">
        <v>2287</v>
      </c>
    </row>
    <row r="532" customFormat="false" ht="15" hidden="false" customHeight="false" outlineLevel="0" collapsed="false">
      <c r="A532" s="0" t="n">
        <v>530</v>
      </c>
      <c r="B532" s="0" t="s">
        <v>2288</v>
      </c>
      <c r="C532" s="0" t="s">
        <v>2289</v>
      </c>
      <c r="D532" s="0" t="s">
        <v>2290</v>
      </c>
      <c r="E532" s="0" t="s">
        <v>2291</v>
      </c>
    </row>
    <row r="533" customFormat="false" ht="15" hidden="false" customHeight="false" outlineLevel="0" collapsed="false">
      <c r="A533" s="0" t="n">
        <v>531</v>
      </c>
      <c r="B533" s="0" t="s">
        <v>2292</v>
      </c>
      <c r="C533" s="0" t="s">
        <v>2293</v>
      </c>
      <c r="D533" s="0" t="s">
        <v>2294</v>
      </c>
      <c r="E533" s="0" t="s">
        <v>2295</v>
      </c>
    </row>
    <row r="534" customFormat="false" ht="15" hidden="false" customHeight="false" outlineLevel="0" collapsed="false">
      <c r="A534" s="0" t="n">
        <v>532</v>
      </c>
      <c r="B534" s="0" t="s">
        <v>2296</v>
      </c>
      <c r="C534" s="0" t="s">
        <v>2297</v>
      </c>
      <c r="D534" s="0" t="s">
        <v>2298</v>
      </c>
      <c r="E534" s="0" t="s">
        <v>2299</v>
      </c>
    </row>
    <row r="535" customFormat="false" ht="15" hidden="false" customHeight="false" outlineLevel="0" collapsed="false">
      <c r="A535" s="0" t="n">
        <v>533</v>
      </c>
      <c r="B535" s="0" t="s">
        <v>2300</v>
      </c>
      <c r="C535" s="0" t="s">
        <v>2301</v>
      </c>
      <c r="D535" s="0" t="s">
        <v>2302</v>
      </c>
      <c r="E535" s="0" t="s">
        <v>2303</v>
      </c>
    </row>
    <row r="536" customFormat="false" ht="15" hidden="false" customHeight="false" outlineLevel="0" collapsed="false">
      <c r="A536" s="0" t="n">
        <v>534</v>
      </c>
      <c r="B536" s="0" t="s">
        <v>2304</v>
      </c>
      <c r="C536" s="0" t="s">
        <v>2305</v>
      </c>
      <c r="D536" s="0" t="s">
        <v>2306</v>
      </c>
      <c r="E536" s="0" t="s">
        <v>2307</v>
      </c>
    </row>
    <row r="537" customFormat="false" ht="15" hidden="false" customHeight="false" outlineLevel="0" collapsed="false">
      <c r="A537" s="0" t="n">
        <v>535</v>
      </c>
      <c r="B537" s="0" t="s">
        <v>2308</v>
      </c>
      <c r="C537" s="0" t="s">
        <v>2309</v>
      </c>
      <c r="D537" s="0" t="s">
        <v>2310</v>
      </c>
      <c r="E537" s="0" t="s">
        <v>2311</v>
      </c>
    </row>
    <row r="538" customFormat="false" ht="15" hidden="false" customHeight="false" outlineLevel="0" collapsed="false">
      <c r="A538" s="0" t="n">
        <v>536</v>
      </c>
      <c r="B538" s="0" t="s">
        <v>2312</v>
      </c>
      <c r="C538" s="0" t="s">
        <v>2313</v>
      </c>
      <c r="D538" s="0" t="s">
        <v>2314</v>
      </c>
      <c r="E538" s="0" t="s">
        <v>2315</v>
      </c>
    </row>
    <row r="539" customFormat="false" ht="15" hidden="false" customHeight="false" outlineLevel="0" collapsed="false">
      <c r="A539" s="0" t="n">
        <v>537</v>
      </c>
      <c r="B539" s="0" t="s">
        <v>2316</v>
      </c>
      <c r="C539" s="0" t="s">
        <v>2317</v>
      </c>
      <c r="D539" s="0" t="s">
        <v>2318</v>
      </c>
      <c r="E539" s="0" t="s">
        <v>2319</v>
      </c>
    </row>
    <row r="540" customFormat="false" ht="15" hidden="false" customHeight="false" outlineLevel="0" collapsed="false">
      <c r="A540" s="0" t="n">
        <v>538</v>
      </c>
      <c r="B540" s="0" t="s">
        <v>2320</v>
      </c>
      <c r="C540" s="0" t="s">
        <v>2321</v>
      </c>
      <c r="D540" s="0" t="s">
        <v>2322</v>
      </c>
      <c r="E540" s="0" t="s">
        <v>2323</v>
      </c>
    </row>
    <row r="541" customFormat="false" ht="15" hidden="false" customHeight="false" outlineLevel="0" collapsed="false">
      <c r="A541" s="0" t="n">
        <v>539</v>
      </c>
      <c r="B541" s="0" t="s">
        <v>2324</v>
      </c>
      <c r="C541" s="0" t="s">
        <v>2325</v>
      </c>
      <c r="D541" s="0" t="s">
        <v>2326</v>
      </c>
      <c r="E541" s="0" t="s">
        <v>2327</v>
      </c>
    </row>
    <row r="542" customFormat="false" ht="15" hidden="false" customHeight="false" outlineLevel="0" collapsed="false">
      <c r="A542" s="0" t="n">
        <v>540</v>
      </c>
      <c r="B542" s="0" t="s">
        <v>2328</v>
      </c>
      <c r="C542" s="0" t="s">
        <v>2329</v>
      </c>
      <c r="D542" s="0" t="s">
        <v>2330</v>
      </c>
      <c r="E542" s="0" t="s">
        <v>2331</v>
      </c>
    </row>
    <row r="543" customFormat="false" ht="15" hidden="false" customHeight="false" outlineLevel="0" collapsed="false">
      <c r="A543" s="0" t="n">
        <v>541</v>
      </c>
      <c r="B543" s="0" t="s">
        <v>2332</v>
      </c>
      <c r="C543" s="0" t="s">
        <v>2333</v>
      </c>
      <c r="D543" s="0" t="s">
        <v>2334</v>
      </c>
      <c r="E543" s="0" t="s">
        <v>2335</v>
      </c>
    </row>
    <row r="544" customFormat="false" ht="15" hidden="false" customHeight="false" outlineLevel="0" collapsed="false">
      <c r="A544" s="0" t="n">
        <v>542</v>
      </c>
      <c r="B544" s="0" t="s">
        <v>2336</v>
      </c>
      <c r="C544" s="0" t="s">
        <v>2337</v>
      </c>
      <c r="D544" s="0" t="s">
        <v>2338</v>
      </c>
      <c r="E544" s="0" t="s">
        <v>2339</v>
      </c>
    </row>
    <row r="545" customFormat="false" ht="15" hidden="false" customHeight="false" outlineLevel="0" collapsed="false">
      <c r="A545" s="0" t="n">
        <v>543</v>
      </c>
      <c r="B545" s="0" t="s">
        <v>2340</v>
      </c>
      <c r="C545" s="0" t="s">
        <v>2341</v>
      </c>
      <c r="D545" s="0" t="s">
        <v>2342</v>
      </c>
      <c r="E545" s="0" t="s">
        <v>2343</v>
      </c>
    </row>
    <row r="546" customFormat="false" ht="15" hidden="false" customHeight="false" outlineLevel="0" collapsed="false">
      <c r="A546" s="0" t="n">
        <v>544</v>
      </c>
      <c r="B546" s="0" t="s">
        <v>2344</v>
      </c>
      <c r="C546" s="0" t="s">
        <v>2345</v>
      </c>
      <c r="D546" s="0" t="s">
        <v>2346</v>
      </c>
      <c r="E546" s="0" t="s">
        <v>2347</v>
      </c>
    </row>
    <row r="547" customFormat="false" ht="15" hidden="false" customHeight="false" outlineLevel="0" collapsed="false">
      <c r="A547" s="0" t="n">
        <v>545</v>
      </c>
      <c r="B547" s="0" t="s">
        <v>2348</v>
      </c>
      <c r="C547" s="0" t="s">
        <v>2349</v>
      </c>
      <c r="D547" s="0" t="s">
        <v>2350</v>
      </c>
      <c r="E547" s="0" t="s">
        <v>2351</v>
      </c>
    </row>
    <row r="548" customFormat="false" ht="15" hidden="false" customHeight="false" outlineLevel="0" collapsed="false">
      <c r="A548" s="0" t="n">
        <v>546</v>
      </c>
      <c r="B548" s="0" t="s">
        <v>2352</v>
      </c>
      <c r="C548" s="0" t="s">
        <v>2353</v>
      </c>
      <c r="D548" s="0" t="s">
        <v>2354</v>
      </c>
      <c r="E548" s="0" t="s">
        <v>2355</v>
      </c>
    </row>
    <row r="549" customFormat="false" ht="15" hidden="false" customHeight="false" outlineLevel="0" collapsed="false">
      <c r="A549" s="0" t="n">
        <v>547</v>
      </c>
      <c r="B549" s="0" t="s">
        <v>2356</v>
      </c>
      <c r="C549" s="0" t="s">
        <v>2357</v>
      </c>
      <c r="D549" s="0" t="s">
        <v>2358</v>
      </c>
      <c r="E549" s="0" t="s">
        <v>2359</v>
      </c>
    </row>
    <row r="550" customFormat="false" ht="15" hidden="false" customHeight="false" outlineLevel="0" collapsed="false">
      <c r="A550" s="0" t="n">
        <v>548</v>
      </c>
      <c r="B550" s="0" t="s">
        <v>2360</v>
      </c>
      <c r="C550" s="0" t="s">
        <v>2361</v>
      </c>
      <c r="D550" s="0" t="s">
        <v>2362</v>
      </c>
      <c r="E550" s="0" t="s">
        <v>2363</v>
      </c>
    </row>
    <row r="551" customFormat="false" ht="15" hidden="false" customHeight="false" outlineLevel="0" collapsed="false">
      <c r="A551" s="0" t="n">
        <v>549</v>
      </c>
      <c r="B551" s="0" t="s">
        <v>2364</v>
      </c>
      <c r="C551" s="0" t="s">
        <v>2365</v>
      </c>
      <c r="D551" s="0" t="s">
        <v>2366</v>
      </c>
      <c r="E551" s="0" t="s">
        <v>2367</v>
      </c>
    </row>
    <row r="552" customFormat="false" ht="15" hidden="false" customHeight="false" outlineLevel="0" collapsed="false">
      <c r="A552" s="0" t="n">
        <v>550</v>
      </c>
      <c r="B552" s="0" t="s">
        <v>2368</v>
      </c>
      <c r="C552" s="0" t="s">
        <v>2369</v>
      </c>
      <c r="D552" s="0" t="s">
        <v>2370</v>
      </c>
      <c r="E552" s="0" t="s">
        <v>2371</v>
      </c>
    </row>
    <row r="553" customFormat="false" ht="15" hidden="false" customHeight="false" outlineLevel="0" collapsed="false">
      <c r="A553" s="0" t="n">
        <v>551</v>
      </c>
      <c r="B553" s="0" t="s">
        <v>2372</v>
      </c>
      <c r="C553" s="0" t="s">
        <v>2373</v>
      </c>
      <c r="D553" s="0" t="s">
        <v>2374</v>
      </c>
      <c r="E553" s="0" t="s">
        <v>2375</v>
      </c>
    </row>
    <row r="554" customFormat="false" ht="15" hidden="false" customHeight="false" outlineLevel="0" collapsed="false">
      <c r="A554" s="0" t="n">
        <v>552</v>
      </c>
      <c r="B554" s="0" t="s">
        <v>2376</v>
      </c>
      <c r="C554" s="0" t="s">
        <v>2377</v>
      </c>
      <c r="D554" s="0" t="s">
        <v>2378</v>
      </c>
      <c r="E554" s="0" t="s">
        <v>2379</v>
      </c>
    </row>
    <row r="555" customFormat="false" ht="15" hidden="false" customHeight="false" outlineLevel="0" collapsed="false">
      <c r="A555" s="0" t="n">
        <v>553</v>
      </c>
      <c r="B555" s="0" t="s">
        <v>2380</v>
      </c>
      <c r="C555" s="0" t="s">
        <v>2381</v>
      </c>
      <c r="D555" s="0" t="s">
        <v>2382</v>
      </c>
      <c r="E555" s="0" t="s">
        <v>2383</v>
      </c>
    </row>
    <row r="556" customFormat="false" ht="15" hidden="false" customHeight="false" outlineLevel="0" collapsed="false">
      <c r="A556" s="0" t="n">
        <v>554</v>
      </c>
      <c r="B556" s="0" t="s">
        <v>2384</v>
      </c>
      <c r="C556" s="0" t="s">
        <v>2385</v>
      </c>
      <c r="D556" s="0" t="s">
        <v>2386</v>
      </c>
      <c r="E556" s="0" t="s">
        <v>2387</v>
      </c>
    </row>
    <row r="557" customFormat="false" ht="15" hidden="false" customHeight="false" outlineLevel="0" collapsed="false">
      <c r="A557" s="0" t="n">
        <v>555</v>
      </c>
      <c r="B557" s="0" t="s">
        <v>2388</v>
      </c>
      <c r="C557" s="0" t="s">
        <v>2389</v>
      </c>
      <c r="D557" s="0" t="s">
        <v>2390</v>
      </c>
      <c r="E557" s="0" t="s">
        <v>2391</v>
      </c>
    </row>
    <row r="558" customFormat="false" ht="15" hidden="false" customHeight="false" outlineLevel="0" collapsed="false">
      <c r="A558" s="0" t="n">
        <v>556</v>
      </c>
      <c r="B558" s="0" t="s">
        <v>2392</v>
      </c>
      <c r="C558" s="0" t="s">
        <v>2393</v>
      </c>
      <c r="D558" s="0" t="s">
        <v>2394</v>
      </c>
      <c r="E558" s="0" t="s">
        <v>2395</v>
      </c>
    </row>
    <row r="559" customFormat="false" ht="15" hidden="false" customHeight="false" outlineLevel="0" collapsed="false">
      <c r="A559" s="0" t="n">
        <v>557</v>
      </c>
      <c r="B559" s="0" t="s">
        <v>2396</v>
      </c>
      <c r="C559" s="0" t="s">
        <v>2397</v>
      </c>
      <c r="D559" s="0" t="s">
        <v>2398</v>
      </c>
      <c r="E559" s="0" t="s">
        <v>2399</v>
      </c>
    </row>
    <row r="560" customFormat="false" ht="15" hidden="false" customHeight="false" outlineLevel="0" collapsed="false">
      <c r="A560" s="0" t="n">
        <v>558</v>
      </c>
      <c r="B560" s="0" t="s">
        <v>2400</v>
      </c>
      <c r="C560" s="0" t="s">
        <v>2401</v>
      </c>
      <c r="D560" s="0" t="s">
        <v>2402</v>
      </c>
      <c r="E560" s="0" t="s">
        <v>2403</v>
      </c>
    </row>
    <row r="561" customFormat="false" ht="15" hidden="false" customHeight="false" outlineLevel="0" collapsed="false">
      <c r="A561" s="0" t="n">
        <v>559</v>
      </c>
      <c r="B561" s="0" t="s">
        <v>2404</v>
      </c>
      <c r="C561" s="0" t="s">
        <v>2405</v>
      </c>
      <c r="D561" s="0" t="s">
        <v>2406</v>
      </c>
      <c r="E561" s="0" t="s">
        <v>2407</v>
      </c>
    </row>
    <row r="562" customFormat="false" ht="15" hidden="false" customHeight="false" outlineLevel="0" collapsed="false">
      <c r="A562" s="0" t="n">
        <v>560</v>
      </c>
      <c r="B562" s="0" t="s">
        <v>2408</v>
      </c>
      <c r="C562" s="0" t="s">
        <v>2409</v>
      </c>
      <c r="D562" s="0" t="s">
        <v>2410</v>
      </c>
      <c r="E562" s="0" t="s">
        <v>2411</v>
      </c>
    </row>
    <row r="563" customFormat="false" ht="15" hidden="false" customHeight="false" outlineLevel="0" collapsed="false">
      <c r="A563" s="0" t="n">
        <v>561</v>
      </c>
      <c r="B563" s="0" t="s">
        <v>2412</v>
      </c>
      <c r="C563" s="0" t="s">
        <v>2413</v>
      </c>
      <c r="D563" s="0" t="s">
        <v>2414</v>
      </c>
      <c r="E563" s="0" t="s">
        <v>2415</v>
      </c>
    </row>
    <row r="564" customFormat="false" ht="15" hidden="false" customHeight="false" outlineLevel="0" collapsed="false">
      <c r="A564" s="0" t="n">
        <v>562</v>
      </c>
      <c r="B564" s="0" t="s">
        <v>2416</v>
      </c>
      <c r="C564" s="0" t="s">
        <v>2417</v>
      </c>
      <c r="D564" s="0" t="s">
        <v>2418</v>
      </c>
      <c r="E564" s="0" t="s">
        <v>2419</v>
      </c>
    </row>
    <row r="565" customFormat="false" ht="15" hidden="false" customHeight="false" outlineLevel="0" collapsed="false">
      <c r="A565" s="0" t="n">
        <v>563</v>
      </c>
      <c r="B565" s="0" t="s">
        <v>2420</v>
      </c>
      <c r="C565" s="0" t="s">
        <v>2421</v>
      </c>
      <c r="D565" s="0" t="s">
        <v>2422</v>
      </c>
      <c r="E565" s="0" t="s">
        <v>2423</v>
      </c>
    </row>
    <row r="566" customFormat="false" ht="15" hidden="false" customHeight="false" outlineLevel="0" collapsed="false">
      <c r="A566" s="0" t="n">
        <v>564</v>
      </c>
      <c r="B566" s="0" t="s">
        <v>2424</v>
      </c>
      <c r="C566" s="0" t="s">
        <v>2425</v>
      </c>
      <c r="D566" s="0" t="s">
        <v>2426</v>
      </c>
      <c r="E566" s="0" t="s">
        <v>2427</v>
      </c>
    </row>
    <row r="567" customFormat="false" ht="15" hidden="false" customHeight="false" outlineLevel="0" collapsed="false">
      <c r="A567" s="0" t="n">
        <v>565</v>
      </c>
      <c r="B567" s="0" t="s">
        <v>2428</v>
      </c>
      <c r="C567" s="0" t="s">
        <v>2429</v>
      </c>
      <c r="D567" s="0" t="s">
        <v>2430</v>
      </c>
      <c r="E567" s="0" t="s">
        <v>2431</v>
      </c>
    </row>
    <row r="568" customFormat="false" ht="15" hidden="false" customHeight="false" outlineLevel="0" collapsed="false">
      <c r="A568" s="0" t="n">
        <v>566</v>
      </c>
      <c r="B568" s="0" t="s">
        <v>2432</v>
      </c>
      <c r="C568" s="0" t="s">
        <v>2433</v>
      </c>
      <c r="D568" s="0" t="s">
        <v>2434</v>
      </c>
      <c r="E568" s="0" t="s">
        <v>2435</v>
      </c>
    </row>
    <row r="569" customFormat="false" ht="15" hidden="false" customHeight="false" outlineLevel="0" collapsed="false">
      <c r="A569" s="0" t="n">
        <v>567</v>
      </c>
      <c r="B569" s="0" t="s">
        <v>2436</v>
      </c>
      <c r="C569" s="0" t="s">
        <v>2437</v>
      </c>
      <c r="D569" s="0" t="s">
        <v>2438</v>
      </c>
      <c r="E569" s="0" t="s">
        <v>2439</v>
      </c>
    </row>
    <row r="570" customFormat="false" ht="15" hidden="false" customHeight="false" outlineLevel="0" collapsed="false">
      <c r="A570" s="0" t="n">
        <v>568</v>
      </c>
      <c r="B570" s="0" t="s">
        <v>2440</v>
      </c>
      <c r="C570" s="0" t="s">
        <v>2441</v>
      </c>
      <c r="D570" s="0" t="s">
        <v>2442</v>
      </c>
      <c r="E570" s="0" t="s">
        <v>2443</v>
      </c>
    </row>
    <row r="571" customFormat="false" ht="15" hidden="false" customHeight="false" outlineLevel="0" collapsed="false">
      <c r="A571" s="0" t="n">
        <v>569</v>
      </c>
      <c r="B571" s="0" t="s">
        <v>2444</v>
      </c>
      <c r="C571" s="0" t="s">
        <v>2445</v>
      </c>
      <c r="D571" s="0" t="s">
        <v>2446</v>
      </c>
      <c r="E571" s="0" t="s">
        <v>2447</v>
      </c>
    </row>
    <row r="572" customFormat="false" ht="15" hidden="false" customHeight="false" outlineLevel="0" collapsed="false">
      <c r="A572" s="0" t="n">
        <v>570</v>
      </c>
      <c r="B572" s="0" t="s">
        <v>2448</v>
      </c>
      <c r="C572" s="0" t="s">
        <v>2449</v>
      </c>
      <c r="D572" s="0" t="s">
        <v>2450</v>
      </c>
      <c r="E572" s="0" t="s">
        <v>2451</v>
      </c>
    </row>
    <row r="573" customFormat="false" ht="15" hidden="false" customHeight="false" outlineLevel="0" collapsed="false">
      <c r="A573" s="0" t="n">
        <v>571</v>
      </c>
      <c r="B573" s="0" t="s">
        <v>2452</v>
      </c>
      <c r="C573" s="0" t="s">
        <v>2453</v>
      </c>
      <c r="D573" s="0" t="s">
        <v>2454</v>
      </c>
      <c r="E573" s="0" t="s">
        <v>2455</v>
      </c>
    </row>
    <row r="574" customFormat="false" ht="15" hidden="false" customHeight="false" outlineLevel="0" collapsed="false">
      <c r="A574" s="0" t="n">
        <v>572</v>
      </c>
      <c r="B574" s="0" t="s">
        <v>2456</v>
      </c>
      <c r="C574" s="0" t="s">
        <v>2457</v>
      </c>
      <c r="D574" s="0" t="s">
        <v>2458</v>
      </c>
      <c r="E574" s="0" t="s">
        <v>2459</v>
      </c>
    </row>
    <row r="575" customFormat="false" ht="15" hidden="false" customHeight="false" outlineLevel="0" collapsed="false">
      <c r="A575" s="0" t="n">
        <v>573</v>
      </c>
      <c r="B575" s="0" t="s">
        <v>2460</v>
      </c>
      <c r="C575" s="0" t="s">
        <v>2461</v>
      </c>
      <c r="D575" s="0" t="s">
        <v>2462</v>
      </c>
      <c r="E575" s="0" t="s">
        <v>2463</v>
      </c>
    </row>
    <row r="576" customFormat="false" ht="15" hidden="false" customHeight="false" outlineLevel="0" collapsed="false">
      <c r="A576" s="0" t="n">
        <v>574</v>
      </c>
      <c r="B576" s="0" t="s">
        <v>2464</v>
      </c>
      <c r="C576" s="0" t="s">
        <v>2465</v>
      </c>
      <c r="D576" s="0" t="s">
        <v>2466</v>
      </c>
      <c r="E576" s="0" t="s">
        <v>2467</v>
      </c>
    </row>
    <row r="577" customFormat="false" ht="15" hidden="false" customHeight="false" outlineLevel="0" collapsed="false">
      <c r="A577" s="0" t="n">
        <v>575</v>
      </c>
      <c r="B577" s="0" t="s">
        <v>2468</v>
      </c>
      <c r="C577" s="0" t="s">
        <v>2469</v>
      </c>
      <c r="D577" s="0" t="s">
        <v>2470</v>
      </c>
      <c r="E577" s="0" t="s">
        <v>2471</v>
      </c>
    </row>
    <row r="578" customFormat="false" ht="15" hidden="false" customHeight="false" outlineLevel="0" collapsed="false">
      <c r="A578" s="0" t="n">
        <v>576</v>
      </c>
      <c r="B578" s="0" t="s">
        <v>2472</v>
      </c>
      <c r="C578" s="0" t="s">
        <v>2473</v>
      </c>
      <c r="D578" s="0" t="s">
        <v>2474</v>
      </c>
      <c r="E578" s="0" t="s">
        <v>2475</v>
      </c>
    </row>
    <row r="579" customFormat="false" ht="15" hidden="false" customHeight="false" outlineLevel="0" collapsed="false">
      <c r="A579" s="0" t="n">
        <v>577</v>
      </c>
      <c r="B579" s="0" t="s">
        <v>2476</v>
      </c>
      <c r="C579" s="0" t="s">
        <v>2477</v>
      </c>
      <c r="D579" s="0" t="s">
        <v>2478</v>
      </c>
      <c r="E579" s="0" t="s">
        <v>2479</v>
      </c>
    </row>
    <row r="580" customFormat="false" ht="15" hidden="false" customHeight="false" outlineLevel="0" collapsed="false">
      <c r="A580" s="0" t="n">
        <v>578</v>
      </c>
      <c r="B580" s="0" t="s">
        <v>2480</v>
      </c>
      <c r="C580" s="0" t="s">
        <v>2481</v>
      </c>
      <c r="D580" s="0" t="s">
        <v>2482</v>
      </c>
      <c r="E580" s="0" t="s">
        <v>2483</v>
      </c>
    </row>
    <row r="581" customFormat="false" ht="15" hidden="false" customHeight="false" outlineLevel="0" collapsed="false">
      <c r="A581" s="0" t="n">
        <v>579</v>
      </c>
      <c r="B581" s="0" t="s">
        <v>2484</v>
      </c>
      <c r="C581" s="0" t="s">
        <v>2485</v>
      </c>
      <c r="D581" s="0" t="s">
        <v>2486</v>
      </c>
      <c r="E581" s="0" t="s">
        <v>2487</v>
      </c>
    </row>
    <row r="582" customFormat="false" ht="15" hidden="false" customHeight="false" outlineLevel="0" collapsed="false">
      <c r="A582" s="0" t="n">
        <v>580</v>
      </c>
      <c r="B582" s="0" t="s">
        <v>2488</v>
      </c>
      <c r="C582" s="0" t="s">
        <v>2489</v>
      </c>
      <c r="D582" s="0" t="s">
        <v>2490</v>
      </c>
      <c r="E582" s="0" t="s">
        <v>2491</v>
      </c>
    </row>
    <row r="583" customFormat="false" ht="15" hidden="false" customHeight="false" outlineLevel="0" collapsed="false">
      <c r="A583" s="0" t="n">
        <v>581</v>
      </c>
      <c r="B583" s="0" t="s">
        <v>2492</v>
      </c>
      <c r="C583" s="0" t="s">
        <v>2493</v>
      </c>
      <c r="D583" s="0" t="s">
        <v>2494</v>
      </c>
      <c r="E583" s="0" t="s">
        <v>2495</v>
      </c>
    </row>
    <row r="584" customFormat="false" ht="15" hidden="false" customHeight="false" outlineLevel="0" collapsed="false">
      <c r="A584" s="0" t="n">
        <v>582</v>
      </c>
      <c r="B584" s="0" t="s">
        <v>2496</v>
      </c>
      <c r="C584" s="0" t="s">
        <v>2497</v>
      </c>
      <c r="D584" s="0" t="s">
        <v>2498</v>
      </c>
      <c r="E584" s="0" t="s">
        <v>2499</v>
      </c>
    </row>
    <row r="585" customFormat="false" ht="15" hidden="false" customHeight="false" outlineLevel="0" collapsed="false">
      <c r="A585" s="0" t="n">
        <v>583</v>
      </c>
      <c r="B585" s="0" t="s">
        <v>2500</v>
      </c>
      <c r="C585" s="0" t="s">
        <v>2501</v>
      </c>
      <c r="D585" s="0" t="s">
        <v>2502</v>
      </c>
      <c r="E585" s="0" t="s">
        <v>2503</v>
      </c>
    </row>
    <row r="586" customFormat="false" ht="15" hidden="false" customHeight="false" outlineLevel="0" collapsed="false">
      <c r="A586" s="0" t="n">
        <v>584</v>
      </c>
      <c r="B586" s="0" t="s">
        <v>2504</v>
      </c>
      <c r="C586" s="0" t="s">
        <v>2505</v>
      </c>
      <c r="D586" s="0" t="s">
        <v>2506</v>
      </c>
      <c r="E586" s="0" t="s">
        <v>2507</v>
      </c>
    </row>
    <row r="587" customFormat="false" ht="15" hidden="false" customHeight="false" outlineLevel="0" collapsed="false">
      <c r="A587" s="0" t="n">
        <v>585</v>
      </c>
      <c r="B587" s="0" t="s">
        <v>2508</v>
      </c>
      <c r="C587" s="0" t="s">
        <v>2509</v>
      </c>
      <c r="D587" s="0" t="s">
        <v>2510</v>
      </c>
      <c r="E587" s="0" t="s">
        <v>2511</v>
      </c>
    </row>
    <row r="588" customFormat="false" ht="15" hidden="false" customHeight="false" outlineLevel="0" collapsed="false">
      <c r="A588" s="0" t="n">
        <v>586</v>
      </c>
      <c r="B588" s="0" t="s">
        <v>2512</v>
      </c>
      <c r="C588" s="0" t="s">
        <v>2513</v>
      </c>
      <c r="D588" s="0" t="s">
        <v>2514</v>
      </c>
      <c r="E588" s="0" t="s">
        <v>2515</v>
      </c>
    </row>
    <row r="589" customFormat="false" ht="15" hidden="false" customHeight="false" outlineLevel="0" collapsed="false">
      <c r="A589" s="0" t="n">
        <v>587</v>
      </c>
      <c r="B589" s="0" t="s">
        <v>2516</v>
      </c>
      <c r="C589" s="0" t="s">
        <v>2517</v>
      </c>
      <c r="D589" s="0" t="s">
        <v>2518</v>
      </c>
      <c r="E589" s="0" t="s">
        <v>2519</v>
      </c>
    </row>
    <row r="590" customFormat="false" ht="15" hidden="false" customHeight="false" outlineLevel="0" collapsed="false">
      <c r="A590" s="0" t="n">
        <v>588</v>
      </c>
      <c r="B590" s="0" t="s">
        <v>2520</v>
      </c>
      <c r="C590" s="0" t="s">
        <v>2521</v>
      </c>
      <c r="D590" s="0" t="s">
        <v>2522</v>
      </c>
      <c r="E590" s="0" t="s">
        <v>2523</v>
      </c>
    </row>
    <row r="591" customFormat="false" ht="15" hidden="false" customHeight="false" outlineLevel="0" collapsed="false">
      <c r="A591" s="0" t="n">
        <v>589</v>
      </c>
      <c r="B591" s="0" t="s">
        <v>2524</v>
      </c>
      <c r="C591" s="0" t="s">
        <v>2525</v>
      </c>
      <c r="D591" s="0" t="s">
        <v>2526</v>
      </c>
      <c r="E591" s="0" t="s">
        <v>2527</v>
      </c>
    </row>
    <row r="592" customFormat="false" ht="15" hidden="false" customHeight="false" outlineLevel="0" collapsed="false">
      <c r="A592" s="0" t="n">
        <v>590</v>
      </c>
      <c r="B592" s="0" t="s">
        <v>2528</v>
      </c>
      <c r="C592" s="0" t="s">
        <v>2529</v>
      </c>
      <c r="D592" s="0" t="s">
        <v>2530</v>
      </c>
      <c r="E592" s="0" t="s">
        <v>2531</v>
      </c>
    </row>
    <row r="593" customFormat="false" ht="15" hidden="false" customHeight="false" outlineLevel="0" collapsed="false">
      <c r="A593" s="0" t="n">
        <v>591</v>
      </c>
      <c r="B593" s="0" t="s">
        <v>2532</v>
      </c>
      <c r="C593" s="0" t="s">
        <v>2533</v>
      </c>
      <c r="D593" s="0" t="s">
        <v>2534</v>
      </c>
      <c r="E593" s="0" t="s">
        <v>2535</v>
      </c>
    </row>
    <row r="594" customFormat="false" ht="15" hidden="false" customHeight="false" outlineLevel="0" collapsed="false">
      <c r="A594" s="0" t="n">
        <v>592</v>
      </c>
      <c r="B594" s="0" t="s">
        <v>2536</v>
      </c>
      <c r="C594" s="0" t="s">
        <v>2537</v>
      </c>
      <c r="D594" s="0" t="s">
        <v>2538</v>
      </c>
      <c r="E594" s="0" t="s">
        <v>2539</v>
      </c>
    </row>
    <row r="595" customFormat="false" ht="15" hidden="false" customHeight="false" outlineLevel="0" collapsed="false">
      <c r="A595" s="0" t="n">
        <v>593</v>
      </c>
      <c r="B595" s="0" t="s">
        <v>2540</v>
      </c>
      <c r="C595" s="0" t="s">
        <v>2541</v>
      </c>
      <c r="D595" s="0" t="s">
        <v>2542</v>
      </c>
      <c r="E595" s="0" t="s">
        <v>2543</v>
      </c>
    </row>
    <row r="596" customFormat="false" ht="15" hidden="false" customHeight="false" outlineLevel="0" collapsed="false">
      <c r="A596" s="0" t="n">
        <v>594</v>
      </c>
      <c r="B596" s="0" t="s">
        <v>2544</v>
      </c>
      <c r="C596" s="0" t="s">
        <v>2545</v>
      </c>
      <c r="D596" s="0" t="s">
        <v>2546</v>
      </c>
      <c r="E596" s="0" t="s">
        <v>2547</v>
      </c>
    </row>
    <row r="597" customFormat="false" ht="15" hidden="false" customHeight="false" outlineLevel="0" collapsed="false">
      <c r="A597" s="0" t="n">
        <v>595</v>
      </c>
      <c r="B597" s="0" t="s">
        <v>2548</v>
      </c>
      <c r="C597" s="0" t="s">
        <v>2549</v>
      </c>
      <c r="D597" s="0" t="s">
        <v>2550</v>
      </c>
      <c r="E597" s="0" t="s">
        <v>2551</v>
      </c>
    </row>
    <row r="598" customFormat="false" ht="15" hidden="false" customHeight="false" outlineLevel="0" collapsed="false">
      <c r="A598" s="0" t="n">
        <v>596</v>
      </c>
      <c r="B598" s="0" t="s">
        <v>2552</v>
      </c>
      <c r="C598" s="0" t="s">
        <v>2553</v>
      </c>
      <c r="D598" s="0" t="s">
        <v>2554</v>
      </c>
      <c r="E598" s="0" t="s">
        <v>2555</v>
      </c>
    </row>
    <row r="599" customFormat="false" ht="15" hidden="false" customHeight="false" outlineLevel="0" collapsed="false">
      <c r="A599" s="0" t="n">
        <v>597</v>
      </c>
      <c r="B599" s="0" t="s">
        <v>2556</v>
      </c>
      <c r="C599" s="0" t="s">
        <v>2557</v>
      </c>
      <c r="D599" s="0" t="s">
        <v>2558</v>
      </c>
      <c r="E599" s="0" t="s">
        <v>2559</v>
      </c>
    </row>
    <row r="600" customFormat="false" ht="15" hidden="false" customHeight="false" outlineLevel="0" collapsed="false">
      <c r="A600" s="0" t="n">
        <v>598</v>
      </c>
      <c r="B600" s="0" t="s">
        <v>2560</v>
      </c>
      <c r="C600" s="0" t="s">
        <v>2561</v>
      </c>
      <c r="D600" s="0" t="s">
        <v>2562</v>
      </c>
      <c r="E600" s="0" t="s">
        <v>2563</v>
      </c>
    </row>
    <row r="601" customFormat="false" ht="15" hidden="false" customHeight="false" outlineLevel="0" collapsed="false">
      <c r="A601" s="0" t="n">
        <v>599</v>
      </c>
      <c r="B601" s="0" t="s">
        <v>2564</v>
      </c>
      <c r="C601" s="0" t="s">
        <v>2565</v>
      </c>
      <c r="D601" s="0" t="s">
        <v>2566</v>
      </c>
      <c r="E601" s="0" t="s">
        <v>2567</v>
      </c>
    </row>
    <row r="602" customFormat="false" ht="15" hidden="false" customHeight="false" outlineLevel="0" collapsed="false">
      <c r="A602" s="0" t="n">
        <v>600</v>
      </c>
      <c r="B602" s="0" t="s">
        <v>2568</v>
      </c>
      <c r="C602" s="0" t="s">
        <v>2569</v>
      </c>
      <c r="D602" s="0" t="s">
        <v>2570</v>
      </c>
      <c r="E602" s="0" t="s">
        <v>2571</v>
      </c>
    </row>
    <row r="603" customFormat="false" ht="15" hidden="false" customHeight="false" outlineLevel="0" collapsed="false">
      <c r="A603" s="0" t="n">
        <v>601</v>
      </c>
      <c r="B603" s="0" t="s">
        <v>2572</v>
      </c>
      <c r="C603" s="0" t="s">
        <v>2573</v>
      </c>
      <c r="D603" s="0" t="s">
        <v>2574</v>
      </c>
      <c r="E603" s="0" t="s">
        <v>2575</v>
      </c>
    </row>
    <row r="604" customFormat="false" ht="15" hidden="false" customHeight="false" outlineLevel="0" collapsed="false">
      <c r="A604" s="0" t="n">
        <v>602</v>
      </c>
      <c r="B604" s="0" t="s">
        <v>2576</v>
      </c>
      <c r="C604" s="0" t="s">
        <v>2577</v>
      </c>
      <c r="D604" s="0" t="s">
        <v>2578</v>
      </c>
      <c r="E604" s="0" t="s">
        <v>2579</v>
      </c>
    </row>
    <row r="605" customFormat="false" ht="15" hidden="false" customHeight="false" outlineLevel="0" collapsed="false">
      <c r="A605" s="0" t="n">
        <v>603</v>
      </c>
      <c r="B605" s="0" t="s">
        <v>2580</v>
      </c>
      <c r="C605" s="0" t="s">
        <v>2581</v>
      </c>
      <c r="D605" s="0" t="s">
        <v>2582</v>
      </c>
      <c r="E605" s="0" t="s">
        <v>2583</v>
      </c>
    </row>
    <row r="606" customFormat="false" ht="15" hidden="false" customHeight="false" outlineLevel="0" collapsed="false">
      <c r="A606" s="0" t="n">
        <v>604</v>
      </c>
      <c r="B606" s="0" t="s">
        <v>2584</v>
      </c>
      <c r="C606" s="0" t="s">
        <v>2585</v>
      </c>
      <c r="D606" s="0" t="s">
        <v>2586</v>
      </c>
      <c r="E606" s="0" t="s">
        <v>2587</v>
      </c>
    </row>
    <row r="607" customFormat="false" ht="15" hidden="false" customHeight="false" outlineLevel="0" collapsed="false">
      <c r="A607" s="0" t="n">
        <v>605</v>
      </c>
      <c r="B607" s="0" t="s">
        <v>2588</v>
      </c>
      <c r="C607" s="0" t="s">
        <v>2589</v>
      </c>
      <c r="D607" s="0" t="s">
        <v>2590</v>
      </c>
      <c r="E607" s="0" t="s">
        <v>2591</v>
      </c>
    </row>
    <row r="608" customFormat="false" ht="15" hidden="false" customHeight="false" outlineLevel="0" collapsed="false">
      <c r="A608" s="0" t="n">
        <v>606</v>
      </c>
      <c r="B608" s="0" t="s">
        <v>2592</v>
      </c>
      <c r="C608" s="0" t="s">
        <v>2593</v>
      </c>
      <c r="D608" s="0" t="s">
        <v>2594</v>
      </c>
      <c r="E608" s="0" t="s">
        <v>2595</v>
      </c>
    </row>
    <row r="609" customFormat="false" ht="15" hidden="false" customHeight="false" outlineLevel="0" collapsed="false">
      <c r="A609" s="0" t="n">
        <v>607</v>
      </c>
      <c r="B609" s="0" t="s">
        <v>2596</v>
      </c>
      <c r="C609" s="0" t="s">
        <v>2597</v>
      </c>
      <c r="D609" s="0" t="s">
        <v>2598</v>
      </c>
      <c r="E609" s="0" t="s">
        <v>2599</v>
      </c>
    </row>
    <row r="610" customFormat="false" ht="15" hidden="false" customHeight="false" outlineLevel="0" collapsed="false">
      <c r="A610" s="0" t="n">
        <v>608</v>
      </c>
      <c r="B610" s="0" t="s">
        <v>2600</v>
      </c>
      <c r="C610" s="0" t="s">
        <v>2601</v>
      </c>
      <c r="D610" s="0" t="s">
        <v>2602</v>
      </c>
      <c r="E610" s="0" t="s">
        <v>2603</v>
      </c>
    </row>
    <row r="611" customFormat="false" ht="15" hidden="false" customHeight="false" outlineLevel="0" collapsed="false">
      <c r="A611" s="0" t="n">
        <v>609</v>
      </c>
      <c r="B611" s="0" t="s">
        <v>2604</v>
      </c>
      <c r="C611" s="0" t="s">
        <v>2605</v>
      </c>
      <c r="D611" s="0" t="s">
        <v>2606</v>
      </c>
      <c r="E611" s="0" t="s">
        <v>2607</v>
      </c>
    </row>
    <row r="612" customFormat="false" ht="15" hidden="false" customHeight="false" outlineLevel="0" collapsed="false">
      <c r="A612" s="0" t="n">
        <v>610</v>
      </c>
      <c r="B612" s="0" t="s">
        <v>2608</v>
      </c>
      <c r="C612" s="0" t="s">
        <v>2609</v>
      </c>
      <c r="D612" s="0" t="s">
        <v>2610</v>
      </c>
      <c r="E612" s="0" t="s">
        <v>2611</v>
      </c>
    </row>
    <row r="613" customFormat="false" ht="15" hidden="false" customHeight="false" outlineLevel="0" collapsed="false">
      <c r="A613" s="0" t="n">
        <v>611</v>
      </c>
      <c r="B613" s="0" t="s">
        <v>2612</v>
      </c>
      <c r="C613" s="0" t="s">
        <v>2613</v>
      </c>
      <c r="D613" s="0" t="s">
        <v>2614</v>
      </c>
      <c r="E613" s="0" t="s">
        <v>2615</v>
      </c>
    </row>
    <row r="614" customFormat="false" ht="15" hidden="false" customHeight="false" outlineLevel="0" collapsed="false">
      <c r="A614" s="0" t="n">
        <v>612</v>
      </c>
      <c r="B614" s="0" t="s">
        <v>2616</v>
      </c>
      <c r="C614" s="0" t="s">
        <v>2617</v>
      </c>
      <c r="D614" s="0" t="s">
        <v>2618</v>
      </c>
      <c r="E614" s="0" t="s">
        <v>2619</v>
      </c>
    </row>
    <row r="615" customFormat="false" ht="15" hidden="false" customHeight="false" outlineLevel="0" collapsed="false">
      <c r="A615" s="0" t="n">
        <v>613</v>
      </c>
      <c r="B615" s="0" t="s">
        <v>2620</v>
      </c>
      <c r="C615" s="0" t="s">
        <v>2621</v>
      </c>
      <c r="D615" s="0" t="s">
        <v>2622</v>
      </c>
      <c r="E615" s="0" t="s">
        <v>2623</v>
      </c>
    </row>
    <row r="616" customFormat="false" ht="15" hidden="false" customHeight="false" outlineLevel="0" collapsed="false">
      <c r="A616" s="0" t="n">
        <v>614</v>
      </c>
      <c r="B616" s="0" t="s">
        <v>2624</v>
      </c>
      <c r="C616" s="0" t="s">
        <v>2625</v>
      </c>
      <c r="D616" s="0" t="s">
        <v>2626</v>
      </c>
      <c r="E616" s="0" t="s">
        <v>2627</v>
      </c>
    </row>
    <row r="617" customFormat="false" ht="15" hidden="false" customHeight="false" outlineLevel="0" collapsed="false">
      <c r="A617" s="0" t="n">
        <v>615</v>
      </c>
      <c r="B617" s="0" t="s">
        <v>2628</v>
      </c>
      <c r="C617" s="0" t="s">
        <v>2629</v>
      </c>
      <c r="D617" s="0" t="s">
        <v>2630</v>
      </c>
      <c r="E617" s="0" t="s">
        <v>2631</v>
      </c>
    </row>
    <row r="618" customFormat="false" ht="15" hidden="false" customHeight="false" outlineLevel="0" collapsed="false">
      <c r="A618" s="0" t="n">
        <v>616</v>
      </c>
      <c r="B618" s="0" t="s">
        <v>2632</v>
      </c>
      <c r="C618" s="0" t="s">
        <v>2633</v>
      </c>
      <c r="D618" s="0" t="s">
        <v>2634</v>
      </c>
      <c r="E618" s="0" t="s">
        <v>2635</v>
      </c>
    </row>
    <row r="619" customFormat="false" ht="15" hidden="false" customHeight="false" outlineLevel="0" collapsed="false">
      <c r="A619" s="0" t="n">
        <v>617</v>
      </c>
      <c r="B619" s="0" t="s">
        <v>2636</v>
      </c>
      <c r="C619" s="0" t="s">
        <v>2637</v>
      </c>
      <c r="D619" s="0" t="s">
        <v>2638</v>
      </c>
      <c r="E619" s="0" t="s">
        <v>2639</v>
      </c>
    </row>
    <row r="620" customFormat="false" ht="15" hidden="false" customHeight="false" outlineLevel="0" collapsed="false">
      <c r="A620" s="0" t="n">
        <v>618</v>
      </c>
      <c r="B620" s="0" t="s">
        <v>2640</v>
      </c>
      <c r="C620" s="0" t="s">
        <v>2641</v>
      </c>
      <c r="D620" s="0" t="s">
        <v>2642</v>
      </c>
      <c r="E620" s="0" t="s">
        <v>2643</v>
      </c>
    </row>
    <row r="621" customFormat="false" ht="15" hidden="false" customHeight="false" outlineLevel="0" collapsed="false">
      <c r="A621" s="0" t="n">
        <v>619</v>
      </c>
      <c r="B621" s="0" t="s">
        <v>2644</v>
      </c>
      <c r="C621" s="0" t="s">
        <v>2645</v>
      </c>
      <c r="D621" s="0" t="s">
        <v>2646</v>
      </c>
      <c r="E621" s="0" t="s">
        <v>2647</v>
      </c>
    </row>
    <row r="622" customFormat="false" ht="15" hidden="false" customHeight="false" outlineLevel="0" collapsed="false">
      <c r="A622" s="0" t="n">
        <v>620</v>
      </c>
      <c r="B622" s="0" t="s">
        <v>2648</v>
      </c>
      <c r="C622" s="0" t="s">
        <v>2649</v>
      </c>
      <c r="D622" s="0" t="s">
        <v>2650</v>
      </c>
      <c r="E622" s="0" t="s">
        <v>2651</v>
      </c>
    </row>
    <row r="623" customFormat="false" ht="15" hidden="false" customHeight="false" outlineLevel="0" collapsed="false">
      <c r="A623" s="0" t="n">
        <v>621</v>
      </c>
      <c r="B623" s="0" t="s">
        <v>2652</v>
      </c>
      <c r="C623" s="0" t="s">
        <v>2653</v>
      </c>
      <c r="D623" s="0" t="s">
        <v>2654</v>
      </c>
      <c r="E623" s="0" t="s">
        <v>2655</v>
      </c>
    </row>
    <row r="624" customFormat="false" ht="15" hidden="false" customHeight="false" outlineLevel="0" collapsed="false">
      <c r="A624" s="0" t="n">
        <v>622</v>
      </c>
      <c r="B624" s="0" t="s">
        <v>2656</v>
      </c>
      <c r="C624" s="0" t="s">
        <v>2657</v>
      </c>
      <c r="D624" s="0" t="s">
        <v>2658</v>
      </c>
      <c r="E624" s="0" t="s">
        <v>2659</v>
      </c>
    </row>
    <row r="625" customFormat="false" ht="15" hidden="false" customHeight="false" outlineLevel="0" collapsed="false">
      <c r="A625" s="0" t="n">
        <v>623</v>
      </c>
      <c r="B625" s="0" t="s">
        <v>2660</v>
      </c>
      <c r="C625" s="0" t="s">
        <v>2661</v>
      </c>
      <c r="D625" s="0" t="s">
        <v>2662</v>
      </c>
      <c r="E625" s="0" t="s">
        <v>2663</v>
      </c>
    </row>
    <row r="626" customFormat="false" ht="15" hidden="false" customHeight="false" outlineLevel="0" collapsed="false">
      <c r="A626" s="0" t="n">
        <v>624</v>
      </c>
      <c r="B626" s="0" t="s">
        <v>2664</v>
      </c>
      <c r="C626" s="0" t="s">
        <v>2665</v>
      </c>
      <c r="D626" s="0" t="s">
        <v>2666</v>
      </c>
      <c r="E626" s="0" t="s">
        <v>2667</v>
      </c>
    </row>
    <row r="627" customFormat="false" ht="15" hidden="false" customHeight="false" outlineLevel="0" collapsed="false">
      <c r="A627" s="0" t="n">
        <v>625</v>
      </c>
      <c r="B627" s="0" t="s">
        <v>2668</v>
      </c>
      <c r="C627" s="0" t="s">
        <v>2669</v>
      </c>
      <c r="D627" s="0" t="s">
        <v>2670</v>
      </c>
      <c r="E627" s="0" t="s">
        <v>2671</v>
      </c>
    </row>
    <row r="628" customFormat="false" ht="15" hidden="false" customHeight="false" outlineLevel="0" collapsed="false">
      <c r="A628" s="0" t="n">
        <v>626</v>
      </c>
      <c r="B628" s="0" t="s">
        <v>2672</v>
      </c>
      <c r="C628" s="0" t="s">
        <v>2673</v>
      </c>
      <c r="D628" s="0" t="s">
        <v>2674</v>
      </c>
      <c r="E628" s="0" t="s">
        <v>2675</v>
      </c>
    </row>
    <row r="629" customFormat="false" ht="15" hidden="false" customHeight="false" outlineLevel="0" collapsed="false">
      <c r="A629" s="0" t="n">
        <v>627</v>
      </c>
      <c r="B629" s="0" t="s">
        <v>2676</v>
      </c>
      <c r="C629" s="0" t="s">
        <v>2677</v>
      </c>
      <c r="D629" s="0" t="s">
        <v>2678</v>
      </c>
      <c r="E629" s="0" t="s">
        <v>2679</v>
      </c>
    </row>
    <row r="630" customFormat="false" ht="15" hidden="false" customHeight="false" outlineLevel="0" collapsed="false">
      <c r="A630" s="0" t="n">
        <v>628</v>
      </c>
      <c r="B630" s="0" t="s">
        <v>2680</v>
      </c>
      <c r="C630" s="0" t="s">
        <v>2681</v>
      </c>
      <c r="D630" s="0" t="s">
        <v>2682</v>
      </c>
      <c r="E630" s="0" t="s">
        <v>2683</v>
      </c>
    </row>
    <row r="631" customFormat="false" ht="15" hidden="false" customHeight="false" outlineLevel="0" collapsed="false">
      <c r="A631" s="0" t="n">
        <v>629</v>
      </c>
      <c r="B631" s="0" t="s">
        <v>2684</v>
      </c>
      <c r="C631" s="0" t="s">
        <v>2685</v>
      </c>
      <c r="D631" s="0" t="s">
        <v>2686</v>
      </c>
      <c r="E631" s="0" t="s">
        <v>2687</v>
      </c>
    </row>
    <row r="632" customFormat="false" ht="15" hidden="false" customHeight="false" outlineLevel="0" collapsed="false">
      <c r="A632" s="0" t="n">
        <v>630</v>
      </c>
      <c r="B632" s="0" t="s">
        <v>2688</v>
      </c>
      <c r="C632" s="0" t="s">
        <v>2689</v>
      </c>
      <c r="D632" s="0" t="s">
        <v>2690</v>
      </c>
      <c r="E632" s="0" t="s">
        <v>2691</v>
      </c>
    </row>
    <row r="633" customFormat="false" ht="15" hidden="false" customHeight="false" outlineLevel="0" collapsed="false">
      <c r="A633" s="0" t="n">
        <v>631</v>
      </c>
      <c r="B633" s="0" t="s">
        <v>2692</v>
      </c>
      <c r="C633" s="0" t="s">
        <v>2693</v>
      </c>
      <c r="D633" s="0" t="s">
        <v>2694</v>
      </c>
      <c r="E633" s="0" t="s">
        <v>2695</v>
      </c>
    </row>
    <row r="634" customFormat="false" ht="15" hidden="false" customHeight="false" outlineLevel="0" collapsed="false">
      <c r="A634" s="0" t="n">
        <v>632</v>
      </c>
      <c r="B634" s="0" t="s">
        <v>2696</v>
      </c>
      <c r="C634" s="0" t="s">
        <v>2697</v>
      </c>
      <c r="D634" s="0" t="s">
        <v>2698</v>
      </c>
      <c r="E634" s="0" t="s">
        <v>2699</v>
      </c>
    </row>
    <row r="635" customFormat="false" ht="15" hidden="false" customHeight="false" outlineLevel="0" collapsed="false">
      <c r="A635" s="0" t="n">
        <v>633</v>
      </c>
      <c r="B635" s="0" t="s">
        <v>2700</v>
      </c>
      <c r="C635" s="0" t="s">
        <v>2701</v>
      </c>
      <c r="D635" s="0" t="s">
        <v>2702</v>
      </c>
      <c r="E635" s="0" t="s">
        <v>2703</v>
      </c>
    </row>
    <row r="636" customFormat="false" ht="15" hidden="false" customHeight="false" outlineLevel="0" collapsed="false">
      <c r="A636" s="0" t="n">
        <v>634</v>
      </c>
      <c r="B636" s="0" t="s">
        <v>2704</v>
      </c>
      <c r="C636" s="0" t="s">
        <v>2705</v>
      </c>
      <c r="D636" s="0" t="s">
        <v>2706</v>
      </c>
      <c r="E636" s="0" t="s">
        <v>2707</v>
      </c>
    </row>
    <row r="637" customFormat="false" ht="15" hidden="false" customHeight="false" outlineLevel="0" collapsed="false">
      <c r="A637" s="0" t="n">
        <v>635</v>
      </c>
      <c r="B637" s="0" t="s">
        <v>2708</v>
      </c>
      <c r="C637" s="0" t="s">
        <v>2709</v>
      </c>
      <c r="D637" s="0" t="s">
        <v>2710</v>
      </c>
      <c r="E637" s="0" t="s">
        <v>2711</v>
      </c>
    </row>
    <row r="638" customFormat="false" ht="15" hidden="false" customHeight="false" outlineLevel="0" collapsed="false">
      <c r="A638" s="0" t="n">
        <v>636</v>
      </c>
      <c r="B638" s="0" t="s">
        <v>2712</v>
      </c>
      <c r="C638" s="0" t="s">
        <v>2713</v>
      </c>
      <c r="D638" s="0" t="s">
        <v>2714</v>
      </c>
      <c r="E638" s="0" t="s">
        <v>2715</v>
      </c>
    </row>
    <row r="639" customFormat="false" ht="15" hidden="false" customHeight="false" outlineLevel="0" collapsed="false">
      <c r="A639" s="0" t="n">
        <v>637</v>
      </c>
      <c r="B639" s="0" t="s">
        <v>2716</v>
      </c>
      <c r="C639" s="0" t="s">
        <v>2717</v>
      </c>
      <c r="D639" s="0" t="s">
        <v>2718</v>
      </c>
      <c r="E639" s="0" t="s">
        <v>2719</v>
      </c>
    </row>
    <row r="640" customFormat="false" ht="15" hidden="false" customHeight="false" outlineLevel="0" collapsed="false">
      <c r="A640" s="0" t="n">
        <v>638</v>
      </c>
      <c r="B640" s="0" t="s">
        <v>2720</v>
      </c>
      <c r="C640" s="0" t="s">
        <v>2721</v>
      </c>
      <c r="D640" s="0" t="s">
        <v>2722</v>
      </c>
      <c r="E640" s="0" t="s">
        <v>2723</v>
      </c>
    </row>
    <row r="641" customFormat="false" ht="15" hidden="false" customHeight="false" outlineLevel="0" collapsed="false">
      <c r="A641" s="0" t="n">
        <v>639</v>
      </c>
      <c r="B641" s="0" t="s">
        <v>2724</v>
      </c>
      <c r="C641" s="0" t="s">
        <v>2725</v>
      </c>
      <c r="D641" s="0" t="s">
        <v>2726</v>
      </c>
      <c r="E641" s="0" t="s">
        <v>2727</v>
      </c>
    </row>
    <row r="642" customFormat="false" ht="15" hidden="false" customHeight="false" outlineLevel="0" collapsed="false">
      <c r="A642" s="0" t="n">
        <v>640</v>
      </c>
      <c r="B642" s="0" t="s">
        <v>2728</v>
      </c>
      <c r="C642" s="0" t="s">
        <v>2729</v>
      </c>
      <c r="D642" s="0" t="s">
        <v>2730</v>
      </c>
      <c r="E642" s="0" t="s">
        <v>2731</v>
      </c>
    </row>
    <row r="643" customFormat="false" ht="15" hidden="false" customHeight="false" outlineLevel="0" collapsed="false">
      <c r="A643" s="0" t="n">
        <v>641</v>
      </c>
      <c r="B643" s="0" t="s">
        <v>2732</v>
      </c>
      <c r="C643" s="0" t="s">
        <v>2733</v>
      </c>
      <c r="D643" s="0" t="s">
        <v>2734</v>
      </c>
      <c r="E643" s="0" t="s">
        <v>2735</v>
      </c>
    </row>
    <row r="644" customFormat="false" ht="15" hidden="false" customHeight="false" outlineLevel="0" collapsed="false">
      <c r="A644" s="0" t="n">
        <v>642</v>
      </c>
      <c r="B644" s="0" t="s">
        <v>2736</v>
      </c>
      <c r="C644" s="0" t="s">
        <v>2737</v>
      </c>
      <c r="D644" s="0" t="s">
        <v>2738</v>
      </c>
      <c r="E644" s="0" t="s">
        <v>2739</v>
      </c>
    </row>
    <row r="645" customFormat="false" ht="15" hidden="false" customHeight="false" outlineLevel="0" collapsed="false">
      <c r="A645" s="0" t="n">
        <v>643</v>
      </c>
      <c r="B645" s="0" t="s">
        <v>2740</v>
      </c>
      <c r="C645" s="0" t="s">
        <v>2741</v>
      </c>
      <c r="D645" s="0" t="s">
        <v>2742</v>
      </c>
      <c r="E645" s="0" t="s">
        <v>2743</v>
      </c>
    </row>
    <row r="646" customFormat="false" ht="15" hidden="false" customHeight="false" outlineLevel="0" collapsed="false">
      <c r="A646" s="0" t="n">
        <v>644</v>
      </c>
      <c r="B646" s="0" t="s">
        <v>2744</v>
      </c>
      <c r="C646" s="0" t="s">
        <v>2745</v>
      </c>
      <c r="D646" s="0" t="s">
        <v>2746</v>
      </c>
      <c r="E646" s="0" t="s">
        <v>2747</v>
      </c>
    </row>
    <row r="647" customFormat="false" ht="15" hidden="false" customHeight="false" outlineLevel="0" collapsed="false">
      <c r="A647" s="0" t="n">
        <v>645</v>
      </c>
      <c r="B647" s="0" t="s">
        <v>2748</v>
      </c>
      <c r="C647" s="0" t="s">
        <v>2749</v>
      </c>
      <c r="D647" s="0" t="s">
        <v>2750</v>
      </c>
      <c r="E647" s="0" t="s">
        <v>2751</v>
      </c>
    </row>
    <row r="648" customFormat="false" ht="15" hidden="false" customHeight="false" outlineLevel="0" collapsed="false">
      <c r="A648" s="0" t="n">
        <v>646</v>
      </c>
      <c r="B648" s="0" t="s">
        <v>2752</v>
      </c>
      <c r="C648" s="0" t="s">
        <v>2753</v>
      </c>
      <c r="D648" s="0" t="s">
        <v>2754</v>
      </c>
      <c r="E648" s="0" t="s">
        <v>2755</v>
      </c>
    </row>
    <row r="649" customFormat="false" ht="15" hidden="false" customHeight="false" outlineLevel="0" collapsed="false">
      <c r="A649" s="0" t="n">
        <v>647</v>
      </c>
      <c r="B649" s="0" t="s">
        <v>2756</v>
      </c>
      <c r="C649" s="0" t="s">
        <v>2757</v>
      </c>
      <c r="D649" s="0" t="s">
        <v>2758</v>
      </c>
      <c r="E649" s="0" t="s">
        <v>2759</v>
      </c>
    </row>
    <row r="650" customFormat="false" ht="15" hidden="false" customHeight="false" outlineLevel="0" collapsed="false">
      <c r="A650" s="0" t="n">
        <v>648</v>
      </c>
      <c r="B650" s="0" t="s">
        <v>2760</v>
      </c>
      <c r="C650" s="0" t="s">
        <v>2761</v>
      </c>
      <c r="D650" s="0" t="s">
        <v>2762</v>
      </c>
      <c r="E650" s="0" t="s">
        <v>2763</v>
      </c>
    </row>
    <row r="651" customFormat="false" ht="15" hidden="false" customHeight="false" outlineLevel="0" collapsed="false">
      <c r="A651" s="0" t="n">
        <v>649</v>
      </c>
      <c r="B651" s="0" t="s">
        <v>2764</v>
      </c>
      <c r="C651" s="0" t="s">
        <v>2765</v>
      </c>
      <c r="D651" s="0" t="s">
        <v>2766</v>
      </c>
      <c r="E651" s="0" t="s">
        <v>2767</v>
      </c>
    </row>
    <row r="652" customFormat="false" ht="15" hidden="false" customHeight="false" outlineLevel="0" collapsed="false">
      <c r="A652" s="0" t="n">
        <v>650</v>
      </c>
      <c r="B652" s="0" t="s">
        <v>2768</v>
      </c>
      <c r="C652" s="0" t="s">
        <v>2769</v>
      </c>
      <c r="D652" s="0" t="s">
        <v>2770</v>
      </c>
      <c r="E652" s="0" t="s">
        <v>2771</v>
      </c>
    </row>
    <row r="653" customFormat="false" ht="15" hidden="false" customHeight="false" outlineLevel="0" collapsed="false">
      <c r="A653" s="0" t="n">
        <v>651</v>
      </c>
      <c r="B653" s="0" t="s">
        <v>2772</v>
      </c>
      <c r="C653" s="0" t="s">
        <v>2773</v>
      </c>
      <c r="D653" s="0" t="s">
        <v>2774</v>
      </c>
      <c r="E653" s="0" t="s">
        <v>2775</v>
      </c>
    </row>
    <row r="654" customFormat="false" ht="15" hidden="false" customHeight="false" outlineLevel="0" collapsed="false">
      <c r="A654" s="0" t="n">
        <v>652</v>
      </c>
      <c r="B654" s="0" t="s">
        <v>2776</v>
      </c>
      <c r="C654" s="0" t="s">
        <v>2777</v>
      </c>
      <c r="D654" s="0" t="s">
        <v>2778</v>
      </c>
      <c r="E654" s="0" t="s">
        <v>2779</v>
      </c>
    </row>
    <row r="655" customFormat="false" ht="15" hidden="false" customHeight="false" outlineLevel="0" collapsed="false">
      <c r="A655" s="0" t="n">
        <v>653</v>
      </c>
      <c r="B655" s="0" t="s">
        <v>2780</v>
      </c>
      <c r="C655" s="0" t="s">
        <v>2781</v>
      </c>
      <c r="D655" s="0" t="s">
        <v>2782</v>
      </c>
      <c r="E655" s="0" t="s">
        <v>2783</v>
      </c>
    </row>
    <row r="656" customFormat="false" ht="15" hidden="false" customHeight="false" outlineLevel="0" collapsed="false">
      <c r="A656" s="0" t="n">
        <v>654</v>
      </c>
      <c r="B656" s="0" t="s">
        <v>2784</v>
      </c>
      <c r="C656" s="0" t="s">
        <v>2785</v>
      </c>
      <c r="D656" s="0" t="s">
        <v>2786</v>
      </c>
      <c r="E656" s="0" t="s">
        <v>2787</v>
      </c>
    </row>
    <row r="657" customFormat="false" ht="15" hidden="false" customHeight="false" outlineLevel="0" collapsed="false">
      <c r="A657" s="0" t="n">
        <v>655</v>
      </c>
      <c r="B657" s="0" t="s">
        <v>2788</v>
      </c>
      <c r="C657" s="0" t="s">
        <v>2789</v>
      </c>
      <c r="D657" s="0" t="s">
        <v>2790</v>
      </c>
      <c r="E657" s="0" t="s">
        <v>2791</v>
      </c>
    </row>
    <row r="658" customFormat="false" ht="15" hidden="false" customHeight="false" outlineLevel="0" collapsed="false">
      <c r="A658" s="0" t="n">
        <v>656</v>
      </c>
      <c r="B658" s="0" t="s">
        <v>2792</v>
      </c>
      <c r="C658" s="0" t="s">
        <v>2793</v>
      </c>
      <c r="D658" s="0" t="s">
        <v>2794</v>
      </c>
      <c r="E658" s="0" t="s">
        <v>2795</v>
      </c>
    </row>
    <row r="659" customFormat="false" ht="15" hidden="false" customHeight="false" outlineLevel="0" collapsed="false">
      <c r="A659" s="0" t="n">
        <v>657</v>
      </c>
      <c r="B659" s="0" t="s">
        <v>2796</v>
      </c>
      <c r="C659" s="0" t="s">
        <v>2797</v>
      </c>
      <c r="D659" s="0" t="s">
        <v>2798</v>
      </c>
      <c r="E659" s="0" t="s">
        <v>2799</v>
      </c>
    </row>
    <row r="660" customFormat="false" ht="15" hidden="false" customHeight="false" outlineLevel="0" collapsed="false">
      <c r="A660" s="0" t="n">
        <v>658</v>
      </c>
      <c r="B660" s="0" t="s">
        <v>2800</v>
      </c>
      <c r="C660" s="0" t="s">
        <v>2801</v>
      </c>
      <c r="D660" s="0" t="s">
        <v>2802</v>
      </c>
      <c r="E660" s="0" t="s">
        <v>2803</v>
      </c>
    </row>
    <row r="661" customFormat="false" ht="15" hidden="false" customHeight="false" outlineLevel="0" collapsed="false">
      <c r="A661" s="0" t="n">
        <v>659</v>
      </c>
      <c r="B661" s="0" t="s">
        <v>2804</v>
      </c>
      <c r="C661" s="0" t="s">
        <v>2805</v>
      </c>
      <c r="D661" s="0" t="s">
        <v>2806</v>
      </c>
      <c r="E661" s="0" t="s">
        <v>2807</v>
      </c>
    </row>
    <row r="662" customFormat="false" ht="15" hidden="false" customHeight="false" outlineLevel="0" collapsed="false">
      <c r="A662" s="0" t="n">
        <v>660</v>
      </c>
      <c r="B662" s="0" t="s">
        <v>2808</v>
      </c>
      <c r="C662" s="0" t="s">
        <v>2809</v>
      </c>
      <c r="D662" s="0" t="s">
        <v>2810</v>
      </c>
      <c r="E662" s="0" t="s">
        <v>2811</v>
      </c>
    </row>
    <row r="663" customFormat="false" ht="15" hidden="false" customHeight="false" outlineLevel="0" collapsed="false">
      <c r="A663" s="0" t="n">
        <v>661</v>
      </c>
      <c r="B663" s="0" t="s">
        <v>2812</v>
      </c>
      <c r="C663" s="0" t="s">
        <v>2813</v>
      </c>
      <c r="D663" s="0" t="s">
        <v>2814</v>
      </c>
      <c r="E663" s="0" t="s">
        <v>2815</v>
      </c>
    </row>
    <row r="664" customFormat="false" ht="15" hidden="false" customHeight="false" outlineLevel="0" collapsed="false">
      <c r="A664" s="0" t="n">
        <v>662</v>
      </c>
      <c r="B664" s="0" t="s">
        <v>2816</v>
      </c>
      <c r="C664" s="0" t="s">
        <v>2817</v>
      </c>
      <c r="D664" s="0" t="s">
        <v>2818</v>
      </c>
      <c r="E664" s="0" t="s">
        <v>2819</v>
      </c>
    </row>
    <row r="665" customFormat="false" ht="15" hidden="false" customHeight="false" outlineLevel="0" collapsed="false">
      <c r="A665" s="0" t="n">
        <v>663</v>
      </c>
      <c r="B665" s="0" t="s">
        <v>2820</v>
      </c>
      <c r="C665" s="0" t="s">
        <v>2821</v>
      </c>
      <c r="D665" s="0" t="s">
        <v>2822</v>
      </c>
      <c r="E665" s="0" t="s">
        <v>2823</v>
      </c>
    </row>
    <row r="666" customFormat="false" ht="15" hidden="false" customHeight="false" outlineLevel="0" collapsed="false">
      <c r="A666" s="0" t="n">
        <v>664</v>
      </c>
      <c r="B666" s="0" t="s">
        <v>2824</v>
      </c>
      <c r="C666" s="0" t="s">
        <v>2825</v>
      </c>
      <c r="D666" s="0" t="s">
        <v>2826</v>
      </c>
      <c r="E666" s="0" t="s">
        <v>2827</v>
      </c>
    </row>
    <row r="667" customFormat="false" ht="15" hidden="false" customHeight="false" outlineLevel="0" collapsed="false">
      <c r="A667" s="0" t="n">
        <v>665</v>
      </c>
      <c r="B667" s="0" t="s">
        <v>2828</v>
      </c>
      <c r="C667" s="0" t="s">
        <v>2829</v>
      </c>
      <c r="D667" s="0" t="s">
        <v>2830</v>
      </c>
      <c r="E667" s="0" t="s">
        <v>2831</v>
      </c>
    </row>
    <row r="668" customFormat="false" ht="15" hidden="false" customHeight="false" outlineLevel="0" collapsed="false">
      <c r="A668" s="0" t="n">
        <v>666</v>
      </c>
      <c r="B668" s="0" t="s">
        <v>2832</v>
      </c>
      <c r="C668" s="0" t="s">
        <v>2833</v>
      </c>
      <c r="D668" s="0" t="s">
        <v>2834</v>
      </c>
      <c r="E668" s="0" t="s">
        <v>2835</v>
      </c>
    </row>
    <row r="669" customFormat="false" ht="15" hidden="false" customHeight="false" outlineLevel="0" collapsed="false">
      <c r="A669" s="0" t="n">
        <v>667</v>
      </c>
      <c r="B669" s="0" t="s">
        <v>2836</v>
      </c>
      <c r="C669" s="0" t="s">
        <v>2837</v>
      </c>
      <c r="D669" s="0" t="s">
        <v>2838</v>
      </c>
      <c r="E669" s="0" t="s">
        <v>2839</v>
      </c>
    </row>
    <row r="670" customFormat="false" ht="15" hidden="false" customHeight="false" outlineLevel="0" collapsed="false">
      <c r="A670" s="0" t="n">
        <v>668</v>
      </c>
      <c r="B670" s="0" t="s">
        <v>2840</v>
      </c>
      <c r="C670" s="0" t="s">
        <v>2841</v>
      </c>
      <c r="D670" s="0" t="s">
        <v>2842</v>
      </c>
      <c r="E670" s="0" t="s">
        <v>2843</v>
      </c>
    </row>
    <row r="671" customFormat="false" ht="15" hidden="false" customHeight="false" outlineLevel="0" collapsed="false">
      <c r="A671" s="0" t="n">
        <v>669</v>
      </c>
      <c r="B671" s="0" t="s">
        <v>2844</v>
      </c>
      <c r="C671" s="0" t="s">
        <v>2845</v>
      </c>
      <c r="D671" s="0" t="s">
        <v>2846</v>
      </c>
      <c r="E671" s="0" t="s">
        <v>2847</v>
      </c>
    </row>
    <row r="672" customFormat="false" ht="15" hidden="false" customHeight="false" outlineLevel="0" collapsed="false">
      <c r="A672" s="0" t="n">
        <v>670</v>
      </c>
      <c r="B672" s="0" t="s">
        <v>2848</v>
      </c>
      <c r="C672" s="0" t="s">
        <v>2849</v>
      </c>
      <c r="D672" s="0" t="s">
        <v>2850</v>
      </c>
      <c r="E672" s="0" t="s">
        <v>2851</v>
      </c>
    </row>
    <row r="673" customFormat="false" ht="15" hidden="false" customHeight="false" outlineLevel="0" collapsed="false">
      <c r="A673" s="0" t="n">
        <v>671</v>
      </c>
      <c r="B673" s="0" t="s">
        <v>2852</v>
      </c>
      <c r="C673" s="0" t="s">
        <v>2853</v>
      </c>
      <c r="D673" s="0" t="s">
        <v>2854</v>
      </c>
      <c r="E673" s="0" t="s">
        <v>2855</v>
      </c>
    </row>
    <row r="674" customFormat="false" ht="15" hidden="false" customHeight="false" outlineLevel="0" collapsed="false">
      <c r="A674" s="0" t="n">
        <v>672</v>
      </c>
      <c r="B674" s="0" t="s">
        <v>2856</v>
      </c>
      <c r="C674" s="0" t="s">
        <v>2857</v>
      </c>
      <c r="D674" s="0" t="s">
        <v>2858</v>
      </c>
      <c r="E674" s="0" t="s">
        <v>2859</v>
      </c>
    </row>
    <row r="675" customFormat="false" ht="15" hidden="false" customHeight="false" outlineLevel="0" collapsed="false">
      <c r="A675" s="0" t="n">
        <v>673</v>
      </c>
      <c r="B675" s="0" t="s">
        <v>2860</v>
      </c>
      <c r="C675" s="0" t="s">
        <v>2861</v>
      </c>
      <c r="D675" s="0" t="s">
        <v>2862</v>
      </c>
      <c r="E675" s="0" t="s">
        <v>2863</v>
      </c>
    </row>
    <row r="676" customFormat="false" ht="15" hidden="false" customHeight="false" outlineLevel="0" collapsed="false">
      <c r="A676" s="0" t="n">
        <v>674</v>
      </c>
      <c r="B676" s="0" t="s">
        <v>2864</v>
      </c>
      <c r="C676" s="0" t="s">
        <v>2865</v>
      </c>
      <c r="D676" s="0" t="s">
        <v>2866</v>
      </c>
      <c r="E676" s="0" t="s">
        <v>2867</v>
      </c>
    </row>
    <row r="677" customFormat="false" ht="15" hidden="false" customHeight="false" outlineLevel="0" collapsed="false">
      <c r="A677" s="0" t="n">
        <v>675</v>
      </c>
      <c r="B677" s="0" t="s">
        <v>2868</v>
      </c>
      <c r="C677" s="0" t="s">
        <v>2869</v>
      </c>
      <c r="D677" s="0" t="s">
        <v>2870</v>
      </c>
      <c r="E677" s="0" t="s">
        <v>2871</v>
      </c>
    </row>
    <row r="678" customFormat="false" ht="15" hidden="false" customHeight="false" outlineLevel="0" collapsed="false">
      <c r="A678" s="0" t="n">
        <v>676</v>
      </c>
      <c r="B678" s="0" t="s">
        <v>2872</v>
      </c>
      <c r="C678" s="0" t="s">
        <v>2873</v>
      </c>
      <c r="D678" s="0" t="s">
        <v>2874</v>
      </c>
      <c r="E678" s="0" t="s">
        <v>2875</v>
      </c>
    </row>
    <row r="679" customFormat="false" ht="15" hidden="false" customHeight="false" outlineLevel="0" collapsed="false">
      <c r="A679" s="0" t="n">
        <v>677</v>
      </c>
      <c r="B679" s="0" t="s">
        <v>2876</v>
      </c>
      <c r="C679" s="0" t="s">
        <v>2877</v>
      </c>
      <c r="D679" s="0" t="s">
        <v>2878</v>
      </c>
      <c r="E679" s="0" t="s">
        <v>2879</v>
      </c>
    </row>
    <row r="680" customFormat="false" ht="15" hidden="false" customHeight="false" outlineLevel="0" collapsed="false">
      <c r="A680" s="0" t="n">
        <v>678</v>
      </c>
      <c r="B680" s="0" t="s">
        <v>2880</v>
      </c>
      <c r="C680" s="0" t="s">
        <v>2881</v>
      </c>
      <c r="D680" s="0" t="s">
        <v>2882</v>
      </c>
      <c r="E680" s="0" t="s">
        <v>2883</v>
      </c>
    </row>
    <row r="681" customFormat="false" ht="15" hidden="false" customHeight="false" outlineLevel="0" collapsed="false">
      <c r="A681" s="0" t="n">
        <v>679</v>
      </c>
      <c r="B681" s="0" t="s">
        <v>2884</v>
      </c>
      <c r="C681" s="0" t="s">
        <v>2885</v>
      </c>
      <c r="D681" s="0" t="s">
        <v>2886</v>
      </c>
      <c r="E681" s="0" t="s">
        <v>2887</v>
      </c>
    </row>
    <row r="682" customFormat="false" ht="15" hidden="false" customHeight="false" outlineLevel="0" collapsed="false">
      <c r="A682" s="0" t="n">
        <v>680</v>
      </c>
      <c r="B682" s="0" t="s">
        <v>2888</v>
      </c>
      <c r="C682" s="0" t="s">
        <v>2889</v>
      </c>
      <c r="D682" s="0" t="s">
        <v>2890</v>
      </c>
      <c r="E682" s="0" t="s">
        <v>2891</v>
      </c>
    </row>
    <row r="683" customFormat="false" ht="15" hidden="false" customHeight="false" outlineLevel="0" collapsed="false">
      <c r="A683" s="0" t="n">
        <v>681</v>
      </c>
      <c r="B683" s="0" t="s">
        <v>2892</v>
      </c>
      <c r="C683" s="0" t="s">
        <v>2893</v>
      </c>
      <c r="D683" s="0" t="s">
        <v>2894</v>
      </c>
      <c r="E683" s="0" t="s">
        <v>2895</v>
      </c>
    </row>
    <row r="684" customFormat="false" ht="15" hidden="false" customHeight="false" outlineLevel="0" collapsed="false">
      <c r="A684" s="0" t="n">
        <v>682</v>
      </c>
      <c r="B684" s="0" t="s">
        <v>2896</v>
      </c>
      <c r="C684" s="0" t="s">
        <v>2897</v>
      </c>
      <c r="D684" s="0" t="s">
        <v>2898</v>
      </c>
      <c r="E684" s="0" t="s">
        <v>2899</v>
      </c>
    </row>
    <row r="685" customFormat="false" ht="15" hidden="false" customHeight="false" outlineLevel="0" collapsed="false">
      <c r="A685" s="0" t="n">
        <v>683</v>
      </c>
      <c r="B685" s="0" t="s">
        <v>2900</v>
      </c>
      <c r="C685" s="0" t="s">
        <v>2901</v>
      </c>
      <c r="D685" s="0" t="s">
        <v>2902</v>
      </c>
      <c r="E685" s="0" t="s">
        <v>2903</v>
      </c>
    </row>
    <row r="686" customFormat="false" ht="15" hidden="false" customHeight="false" outlineLevel="0" collapsed="false">
      <c r="A686" s="0" t="n">
        <v>684</v>
      </c>
      <c r="B686" s="0" t="s">
        <v>2904</v>
      </c>
      <c r="C686" s="0" t="s">
        <v>2905</v>
      </c>
      <c r="D686" s="0" t="s">
        <v>2906</v>
      </c>
      <c r="E686" s="0" t="s">
        <v>2907</v>
      </c>
    </row>
    <row r="687" customFormat="false" ht="15" hidden="false" customHeight="false" outlineLevel="0" collapsed="false">
      <c r="A687" s="0" t="n">
        <v>685</v>
      </c>
      <c r="B687" s="0" t="s">
        <v>2908</v>
      </c>
      <c r="C687" s="0" t="s">
        <v>2909</v>
      </c>
      <c r="D687" s="0" t="s">
        <v>2910</v>
      </c>
      <c r="E687" s="0" t="s">
        <v>2911</v>
      </c>
    </row>
    <row r="688" customFormat="false" ht="15" hidden="false" customHeight="false" outlineLevel="0" collapsed="false">
      <c r="A688" s="0" t="n">
        <v>686</v>
      </c>
      <c r="B688" s="0" t="s">
        <v>2912</v>
      </c>
      <c r="C688" s="0" t="s">
        <v>2913</v>
      </c>
      <c r="D688" s="0" t="s">
        <v>2914</v>
      </c>
      <c r="E688" s="0" t="s">
        <v>2915</v>
      </c>
    </row>
    <row r="689" customFormat="false" ht="15" hidden="false" customHeight="false" outlineLevel="0" collapsed="false">
      <c r="A689" s="0" t="n">
        <v>687</v>
      </c>
      <c r="B689" s="0" t="s">
        <v>2916</v>
      </c>
      <c r="C689" s="0" t="s">
        <v>2917</v>
      </c>
      <c r="D689" s="0" t="s">
        <v>2918</v>
      </c>
      <c r="E689" s="0" t="s">
        <v>2919</v>
      </c>
    </row>
    <row r="690" customFormat="false" ht="15" hidden="false" customHeight="false" outlineLevel="0" collapsed="false">
      <c r="A690" s="0" t="n">
        <v>688</v>
      </c>
      <c r="B690" s="0" t="s">
        <v>2920</v>
      </c>
      <c r="C690" s="0" t="s">
        <v>2921</v>
      </c>
      <c r="D690" s="0" t="s">
        <v>2922</v>
      </c>
      <c r="E690" s="0" t="s">
        <v>2923</v>
      </c>
    </row>
    <row r="691" customFormat="false" ht="15" hidden="false" customHeight="false" outlineLevel="0" collapsed="false">
      <c r="A691" s="0" t="n">
        <v>689</v>
      </c>
      <c r="B691" s="0" t="s">
        <v>2924</v>
      </c>
      <c r="C691" s="0" t="s">
        <v>2925</v>
      </c>
      <c r="D691" s="0" t="s">
        <v>2926</v>
      </c>
      <c r="E691" s="0" t="s">
        <v>2927</v>
      </c>
    </row>
    <row r="692" customFormat="false" ht="15" hidden="false" customHeight="false" outlineLevel="0" collapsed="false">
      <c r="A692" s="0" t="n">
        <v>690</v>
      </c>
      <c r="B692" s="0" t="s">
        <v>2928</v>
      </c>
      <c r="C692" s="0" t="s">
        <v>2929</v>
      </c>
      <c r="D692" s="0" t="s">
        <v>2930</v>
      </c>
      <c r="E692" s="0" t="s">
        <v>2931</v>
      </c>
    </row>
    <row r="693" customFormat="false" ht="15" hidden="false" customHeight="false" outlineLevel="0" collapsed="false">
      <c r="A693" s="0" t="n">
        <v>691</v>
      </c>
      <c r="B693" s="0" t="s">
        <v>2932</v>
      </c>
      <c r="C693" s="0" t="s">
        <v>2933</v>
      </c>
      <c r="D693" s="0" t="s">
        <v>2934</v>
      </c>
      <c r="E693" s="0" t="s">
        <v>2935</v>
      </c>
    </row>
    <row r="694" customFormat="false" ht="15" hidden="false" customHeight="false" outlineLevel="0" collapsed="false">
      <c r="A694" s="0" t="n">
        <v>692</v>
      </c>
      <c r="B694" s="0" t="s">
        <v>2936</v>
      </c>
      <c r="C694" s="0" t="s">
        <v>2937</v>
      </c>
      <c r="D694" s="0" t="s">
        <v>2938</v>
      </c>
      <c r="E694" s="0" t="s">
        <v>2939</v>
      </c>
    </row>
    <row r="695" customFormat="false" ht="15" hidden="false" customHeight="false" outlineLevel="0" collapsed="false">
      <c r="A695" s="0" t="n">
        <v>693</v>
      </c>
      <c r="B695" s="0" t="s">
        <v>2940</v>
      </c>
      <c r="C695" s="0" t="s">
        <v>2941</v>
      </c>
      <c r="D695" s="0" t="s">
        <v>2942</v>
      </c>
      <c r="E695" s="0" t="s">
        <v>2943</v>
      </c>
    </row>
    <row r="696" customFormat="false" ht="15" hidden="false" customHeight="false" outlineLevel="0" collapsed="false">
      <c r="A696" s="0" t="n">
        <v>694</v>
      </c>
      <c r="B696" s="0" t="s">
        <v>2944</v>
      </c>
      <c r="C696" s="0" t="s">
        <v>2945</v>
      </c>
      <c r="D696" s="0" t="s">
        <v>2946</v>
      </c>
      <c r="E696" s="0" t="s">
        <v>2947</v>
      </c>
    </row>
    <row r="697" customFormat="false" ht="15" hidden="false" customHeight="false" outlineLevel="0" collapsed="false">
      <c r="A697" s="0" t="n">
        <v>695</v>
      </c>
      <c r="B697" s="0" t="s">
        <v>2948</v>
      </c>
      <c r="C697" s="0" t="s">
        <v>2949</v>
      </c>
      <c r="D697" s="0" t="s">
        <v>2950</v>
      </c>
      <c r="E697" s="0" t="s">
        <v>2951</v>
      </c>
    </row>
    <row r="698" customFormat="false" ht="15" hidden="false" customHeight="false" outlineLevel="0" collapsed="false">
      <c r="A698" s="0" t="n">
        <v>696</v>
      </c>
      <c r="B698" s="0" t="s">
        <v>2952</v>
      </c>
      <c r="C698" s="0" t="s">
        <v>2953</v>
      </c>
      <c r="D698" s="0" t="s">
        <v>2954</v>
      </c>
      <c r="E698" s="0" t="s">
        <v>2955</v>
      </c>
    </row>
    <row r="699" customFormat="false" ht="15" hidden="false" customHeight="false" outlineLevel="0" collapsed="false">
      <c r="A699" s="0" t="n">
        <v>697</v>
      </c>
      <c r="B699" s="0" t="s">
        <v>2956</v>
      </c>
      <c r="C699" s="0" t="s">
        <v>2957</v>
      </c>
      <c r="D699" s="0" t="s">
        <v>2958</v>
      </c>
      <c r="E699" s="0" t="s">
        <v>2959</v>
      </c>
    </row>
    <row r="700" customFormat="false" ht="15" hidden="false" customHeight="false" outlineLevel="0" collapsed="false">
      <c r="A700" s="0" t="n">
        <v>698</v>
      </c>
      <c r="B700" s="0" t="s">
        <v>2960</v>
      </c>
      <c r="C700" s="0" t="s">
        <v>2961</v>
      </c>
      <c r="D700" s="0" t="s">
        <v>2962</v>
      </c>
      <c r="E700" s="0" t="s">
        <v>2963</v>
      </c>
    </row>
    <row r="701" customFormat="false" ht="15" hidden="false" customHeight="false" outlineLevel="0" collapsed="false">
      <c r="A701" s="0" t="n">
        <v>699</v>
      </c>
      <c r="B701" s="0" t="s">
        <v>2964</v>
      </c>
      <c r="C701" s="0" t="s">
        <v>2965</v>
      </c>
      <c r="D701" s="0" t="s">
        <v>2966</v>
      </c>
      <c r="E701" s="0" t="s">
        <v>2967</v>
      </c>
    </row>
    <row r="702" customFormat="false" ht="15" hidden="false" customHeight="false" outlineLevel="0" collapsed="false">
      <c r="A702" s="0" t="n">
        <v>700</v>
      </c>
      <c r="B702" s="0" t="s">
        <v>2968</v>
      </c>
      <c r="C702" s="0" t="s">
        <v>2969</v>
      </c>
      <c r="D702" s="0" t="s">
        <v>2970</v>
      </c>
      <c r="E702" s="0" t="s">
        <v>2971</v>
      </c>
    </row>
    <row r="703" customFormat="false" ht="15" hidden="false" customHeight="false" outlineLevel="0" collapsed="false">
      <c r="A703" s="0" t="n">
        <v>701</v>
      </c>
      <c r="B703" s="0" t="s">
        <v>2972</v>
      </c>
      <c r="C703" s="0" t="s">
        <v>2973</v>
      </c>
      <c r="D703" s="0" t="s">
        <v>2974</v>
      </c>
      <c r="E703" s="0" t="s">
        <v>2975</v>
      </c>
    </row>
    <row r="704" customFormat="false" ht="15" hidden="false" customHeight="false" outlineLevel="0" collapsed="false">
      <c r="A704" s="0" t="n">
        <v>702</v>
      </c>
      <c r="B704" s="0" t="s">
        <v>2976</v>
      </c>
      <c r="C704" s="0" t="s">
        <v>2977</v>
      </c>
      <c r="D704" s="0" t="s">
        <v>2978</v>
      </c>
      <c r="E704" s="0" t="s">
        <v>2979</v>
      </c>
    </row>
    <row r="705" customFormat="false" ht="15" hidden="false" customHeight="false" outlineLevel="0" collapsed="false">
      <c r="A705" s="0" t="n">
        <v>703</v>
      </c>
      <c r="B705" s="0" t="s">
        <v>2980</v>
      </c>
      <c r="C705" s="0" t="s">
        <v>2981</v>
      </c>
      <c r="D705" s="0" t="s">
        <v>2982</v>
      </c>
      <c r="E705" s="0" t="s">
        <v>2983</v>
      </c>
    </row>
    <row r="706" customFormat="false" ht="15" hidden="false" customHeight="false" outlineLevel="0" collapsed="false">
      <c r="A706" s="0" t="n">
        <v>704</v>
      </c>
      <c r="B706" s="0" t="s">
        <v>2984</v>
      </c>
      <c r="C706" s="0" t="s">
        <v>2985</v>
      </c>
      <c r="D706" s="0" t="s">
        <v>2986</v>
      </c>
      <c r="E706" s="0" t="s">
        <v>2987</v>
      </c>
    </row>
    <row r="707" customFormat="false" ht="15" hidden="false" customHeight="false" outlineLevel="0" collapsed="false">
      <c r="A707" s="0" t="n">
        <v>705</v>
      </c>
      <c r="B707" s="0" t="s">
        <v>2988</v>
      </c>
      <c r="C707" s="0" t="s">
        <v>2989</v>
      </c>
      <c r="D707" s="0" t="s">
        <v>2990</v>
      </c>
      <c r="E707" s="0" t="s">
        <v>2991</v>
      </c>
    </row>
    <row r="708" customFormat="false" ht="15" hidden="false" customHeight="false" outlineLevel="0" collapsed="false">
      <c r="A708" s="0" t="n">
        <v>706</v>
      </c>
      <c r="B708" s="0" t="s">
        <v>2992</v>
      </c>
      <c r="C708" s="0" t="s">
        <v>2993</v>
      </c>
      <c r="D708" s="0" t="s">
        <v>2994</v>
      </c>
      <c r="E708" s="0" t="s">
        <v>2995</v>
      </c>
    </row>
    <row r="709" customFormat="false" ht="15" hidden="false" customHeight="false" outlineLevel="0" collapsed="false">
      <c r="A709" s="0" t="n">
        <v>707</v>
      </c>
      <c r="B709" s="0" t="s">
        <v>2996</v>
      </c>
      <c r="C709" s="0" t="s">
        <v>2997</v>
      </c>
      <c r="D709" s="0" t="s">
        <v>2998</v>
      </c>
      <c r="E709" s="0" t="s">
        <v>2999</v>
      </c>
    </row>
    <row r="710" customFormat="false" ht="15" hidden="false" customHeight="false" outlineLevel="0" collapsed="false">
      <c r="A710" s="0" t="n">
        <v>708</v>
      </c>
      <c r="B710" s="0" t="s">
        <v>3000</v>
      </c>
      <c r="C710" s="0" t="s">
        <v>3001</v>
      </c>
      <c r="D710" s="0" t="s">
        <v>3002</v>
      </c>
      <c r="E710" s="0" t="s">
        <v>3003</v>
      </c>
    </row>
    <row r="711" customFormat="false" ht="15" hidden="false" customHeight="false" outlineLevel="0" collapsed="false">
      <c r="A711" s="0" t="n">
        <v>709</v>
      </c>
      <c r="B711" s="0" t="s">
        <v>3004</v>
      </c>
      <c r="C711" s="0" t="s">
        <v>3005</v>
      </c>
      <c r="D711" s="0" t="s">
        <v>3006</v>
      </c>
      <c r="E711" s="0" t="s">
        <v>3007</v>
      </c>
    </row>
    <row r="712" customFormat="false" ht="15" hidden="false" customHeight="false" outlineLevel="0" collapsed="false">
      <c r="A712" s="0" t="n">
        <v>710</v>
      </c>
      <c r="B712" s="0" t="s">
        <v>3008</v>
      </c>
      <c r="C712" s="0" t="s">
        <v>3009</v>
      </c>
      <c r="D712" s="0" t="s">
        <v>3010</v>
      </c>
      <c r="E712" s="0" t="s">
        <v>3011</v>
      </c>
    </row>
    <row r="713" customFormat="false" ht="15" hidden="false" customHeight="false" outlineLevel="0" collapsed="false">
      <c r="A713" s="0" t="n">
        <v>711</v>
      </c>
      <c r="B713" s="0" t="s">
        <v>3012</v>
      </c>
      <c r="C713" s="0" t="s">
        <v>3013</v>
      </c>
      <c r="D713" s="0" t="s">
        <v>3014</v>
      </c>
      <c r="E713" s="0" t="s">
        <v>3015</v>
      </c>
    </row>
    <row r="714" customFormat="false" ht="15" hidden="false" customHeight="false" outlineLevel="0" collapsed="false">
      <c r="A714" s="0" t="n">
        <v>712</v>
      </c>
      <c r="B714" s="0" t="s">
        <v>3016</v>
      </c>
      <c r="C714" s="0" t="s">
        <v>3017</v>
      </c>
      <c r="D714" s="0" t="s">
        <v>3018</v>
      </c>
      <c r="E714" s="0" t="s">
        <v>3019</v>
      </c>
    </row>
    <row r="715" customFormat="false" ht="15" hidden="false" customHeight="false" outlineLevel="0" collapsed="false">
      <c r="A715" s="0" t="n">
        <v>713</v>
      </c>
      <c r="B715" s="0" t="s">
        <v>3020</v>
      </c>
      <c r="C715" s="0" t="s">
        <v>3021</v>
      </c>
      <c r="D715" s="0" t="s">
        <v>3022</v>
      </c>
      <c r="E715" s="0" t="s">
        <v>3023</v>
      </c>
    </row>
    <row r="716" customFormat="false" ht="15" hidden="false" customHeight="false" outlineLevel="0" collapsed="false">
      <c r="A716" s="0" t="n">
        <v>714</v>
      </c>
      <c r="B716" s="0" t="s">
        <v>3024</v>
      </c>
      <c r="C716" s="0" t="s">
        <v>3025</v>
      </c>
      <c r="D716" s="0" t="s">
        <v>3026</v>
      </c>
      <c r="E716" s="0" t="s">
        <v>3027</v>
      </c>
    </row>
    <row r="717" customFormat="false" ht="15" hidden="false" customHeight="false" outlineLevel="0" collapsed="false">
      <c r="A717" s="0" t="n">
        <v>715</v>
      </c>
      <c r="B717" s="0" t="s">
        <v>3028</v>
      </c>
      <c r="C717" s="0" t="s">
        <v>3029</v>
      </c>
      <c r="D717" s="0" t="s">
        <v>3030</v>
      </c>
      <c r="E717" s="0" t="s">
        <v>3031</v>
      </c>
    </row>
    <row r="718" customFormat="false" ht="15" hidden="false" customHeight="false" outlineLevel="0" collapsed="false">
      <c r="A718" s="0" t="n">
        <v>716</v>
      </c>
      <c r="B718" s="0" t="s">
        <v>3032</v>
      </c>
      <c r="C718" s="0" t="s">
        <v>3033</v>
      </c>
      <c r="D718" s="0" t="s">
        <v>3034</v>
      </c>
      <c r="E718" s="0" t="s">
        <v>3035</v>
      </c>
    </row>
    <row r="719" customFormat="false" ht="15" hidden="false" customHeight="false" outlineLevel="0" collapsed="false">
      <c r="A719" s="0" t="n">
        <v>717</v>
      </c>
      <c r="B719" s="0" t="s">
        <v>3036</v>
      </c>
      <c r="C719" s="0" t="s">
        <v>3037</v>
      </c>
      <c r="D719" s="0" t="s">
        <v>3038</v>
      </c>
      <c r="E719" s="0" t="s">
        <v>3039</v>
      </c>
    </row>
    <row r="720" customFormat="false" ht="15" hidden="false" customHeight="false" outlineLevel="0" collapsed="false">
      <c r="A720" s="0" t="n">
        <v>718</v>
      </c>
      <c r="B720" s="0" t="s">
        <v>3040</v>
      </c>
      <c r="C720" s="0" t="s">
        <v>3041</v>
      </c>
      <c r="D720" s="0" t="s">
        <v>3042</v>
      </c>
      <c r="E720" s="0" t="s">
        <v>3043</v>
      </c>
    </row>
    <row r="721" customFormat="false" ht="15" hidden="false" customHeight="false" outlineLevel="0" collapsed="false">
      <c r="A721" s="0" t="n">
        <v>719</v>
      </c>
      <c r="B721" s="0" t="s">
        <v>3044</v>
      </c>
      <c r="C721" s="0" t="s">
        <v>3045</v>
      </c>
      <c r="D721" s="0" t="s">
        <v>3046</v>
      </c>
      <c r="E721" s="0" t="s">
        <v>3047</v>
      </c>
    </row>
    <row r="722" customFormat="false" ht="15" hidden="false" customHeight="false" outlineLevel="0" collapsed="false">
      <c r="A722" s="0" t="n">
        <v>720</v>
      </c>
      <c r="B722" s="0" t="s">
        <v>3048</v>
      </c>
      <c r="C722" s="0" t="s">
        <v>3049</v>
      </c>
      <c r="D722" s="0" t="s">
        <v>3050</v>
      </c>
      <c r="E722" s="0" t="s">
        <v>3051</v>
      </c>
    </row>
    <row r="723" customFormat="false" ht="15" hidden="false" customHeight="false" outlineLevel="0" collapsed="false">
      <c r="A723" s="0" t="n">
        <v>721</v>
      </c>
      <c r="B723" s="0" t="s">
        <v>3052</v>
      </c>
      <c r="C723" s="0" t="s">
        <v>3053</v>
      </c>
      <c r="D723" s="0" t="s">
        <v>3054</v>
      </c>
      <c r="E723" s="0" t="s">
        <v>3055</v>
      </c>
    </row>
    <row r="724" customFormat="false" ht="15" hidden="false" customHeight="false" outlineLevel="0" collapsed="false">
      <c r="A724" s="0" t="n">
        <v>722</v>
      </c>
      <c r="B724" s="0" t="s">
        <v>3056</v>
      </c>
      <c r="C724" s="0" t="s">
        <v>3057</v>
      </c>
      <c r="D724" s="0" t="s">
        <v>3058</v>
      </c>
      <c r="E724" s="0" t="s">
        <v>3059</v>
      </c>
    </row>
    <row r="725" customFormat="false" ht="15" hidden="false" customHeight="false" outlineLevel="0" collapsed="false">
      <c r="A725" s="0" t="n">
        <v>723</v>
      </c>
      <c r="B725" s="0" t="s">
        <v>3060</v>
      </c>
      <c r="C725" s="0" t="s">
        <v>3061</v>
      </c>
      <c r="D725" s="0" t="s">
        <v>3062</v>
      </c>
      <c r="E725" s="0" t="s">
        <v>3063</v>
      </c>
    </row>
    <row r="726" customFormat="false" ht="15" hidden="false" customHeight="false" outlineLevel="0" collapsed="false">
      <c r="A726" s="0" t="n">
        <v>724</v>
      </c>
      <c r="B726" s="0" t="s">
        <v>3064</v>
      </c>
      <c r="C726" s="0" t="s">
        <v>3065</v>
      </c>
      <c r="D726" s="0" t="s">
        <v>3066</v>
      </c>
      <c r="E726" s="0" t="s">
        <v>3067</v>
      </c>
    </row>
    <row r="727" customFormat="false" ht="15" hidden="false" customHeight="false" outlineLevel="0" collapsed="false">
      <c r="A727" s="0" t="n">
        <v>725</v>
      </c>
      <c r="B727" s="0" t="s">
        <v>3068</v>
      </c>
      <c r="C727" s="0" t="s">
        <v>3069</v>
      </c>
      <c r="D727" s="0" t="s">
        <v>3070</v>
      </c>
      <c r="E727" s="0" t="s">
        <v>3071</v>
      </c>
    </row>
    <row r="728" customFormat="false" ht="15" hidden="false" customHeight="false" outlineLevel="0" collapsed="false">
      <c r="A728" s="0" t="n">
        <v>726</v>
      </c>
      <c r="B728" s="0" t="s">
        <v>3072</v>
      </c>
      <c r="C728" s="0" t="s">
        <v>3073</v>
      </c>
      <c r="D728" s="0" t="s">
        <v>3074</v>
      </c>
      <c r="E728" s="0" t="s">
        <v>3075</v>
      </c>
    </row>
    <row r="729" customFormat="false" ht="15" hidden="false" customHeight="false" outlineLevel="0" collapsed="false">
      <c r="A729" s="0" t="n">
        <v>727</v>
      </c>
      <c r="B729" s="0" t="s">
        <v>3076</v>
      </c>
      <c r="C729" s="0" t="s">
        <v>3077</v>
      </c>
      <c r="D729" s="0" t="s">
        <v>3078</v>
      </c>
      <c r="E729" s="0" t="s">
        <v>3079</v>
      </c>
    </row>
    <row r="730" customFormat="false" ht="15" hidden="false" customHeight="false" outlineLevel="0" collapsed="false">
      <c r="A730" s="0" t="n">
        <v>728</v>
      </c>
      <c r="B730" s="0" t="s">
        <v>3080</v>
      </c>
      <c r="C730" s="0" t="s">
        <v>3081</v>
      </c>
      <c r="D730" s="0" t="s">
        <v>3082</v>
      </c>
      <c r="E730" s="0" t="s">
        <v>3083</v>
      </c>
    </row>
    <row r="731" customFormat="false" ht="15" hidden="false" customHeight="false" outlineLevel="0" collapsed="false">
      <c r="A731" s="0" t="n">
        <v>729</v>
      </c>
      <c r="B731" s="0" t="s">
        <v>3084</v>
      </c>
      <c r="C731" s="0" t="s">
        <v>3085</v>
      </c>
      <c r="D731" s="0" t="s">
        <v>3086</v>
      </c>
      <c r="E731" s="0" t="s">
        <v>3087</v>
      </c>
    </row>
    <row r="732" customFormat="false" ht="15" hidden="false" customHeight="false" outlineLevel="0" collapsed="false">
      <c r="A732" s="0" t="n">
        <v>730</v>
      </c>
      <c r="B732" s="0" t="s">
        <v>3088</v>
      </c>
      <c r="C732" s="0" t="s">
        <v>3089</v>
      </c>
      <c r="D732" s="0" t="s">
        <v>3090</v>
      </c>
      <c r="E732" s="0" t="s">
        <v>3091</v>
      </c>
    </row>
    <row r="733" customFormat="false" ht="15" hidden="false" customHeight="false" outlineLevel="0" collapsed="false">
      <c r="A733" s="0" t="n">
        <v>731</v>
      </c>
      <c r="B733" s="0" t="s">
        <v>3092</v>
      </c>
      <c r="C733" s="0" t="s">
        <v>3093</v>
      </c>
      <c r="D733" s="0" t="s">
        <v>3094</v>
      </c>
      <c r="E733" s="0" t="s">
        <v>3095</v>
      </c>
    </row>
    <row r="734" customFormat="false" ht="15" hidden="false" customHeight="false" outlineLevel="0" collapsed="false">
      <c r="A734" s="0" t="n">
        <v>732</v>
      </c>
      <c r="B734" s="0" t="s">
        <v>3096</v>
      </c>
      <c r="C734" s="0" t="s">
        <v>3097</v>
      </c>
      <c r="D734" s="0" t="s">
        <v>3098</v>
      </c>
      <c r="E734" s="0" t="s">
        <v>3099</v>
      </c>
    </row>
    <row r="735" customFormat="false" ht="15" hidden="false" customHeight="false" outlineLevel="0" collapsed="false">
      <c r="A735" s="0" t="n">
        <v>733</v>
      </c>
      <c r="B735" s="0" t="s">
        <v>3100</v>
      </c>
      <c r="C735" s="0" t="s">
        <v>3101</v>
      </c>
      <c r="D735" s="0" t="s">
        <v>3102</v>
      </c>
      <c r="E735" s="0" t="s">
        <v>3103</v>
      </c>
    </row>
    <row r="736" customFormat="false" ht="15" hidden="false" customHeight="false" outlineLevel="0" collapsed="false">
      <c r="A736" s="0" t="n">
        <v>734</v>
      </c>
      <c r="B736" s="0" t="s">
        <v>3104</v>
      </c>
      <c r="C736" s="0" t="s">
        <v>3105</v>
      </c>
      <c r="D736" s="0" t="s">
        <v>3106</v>
      </c>
      <c r="E736" s="0" t="s">
        <v>3107</v>
      </c>
    </row>
    <row r="737" customFormat="false" ht="15" hidden="false" customHeight="false" outlineLevel="0" collapsed="false">
      <c r="A737" s="0" t="n">
        <v>735</v>
      </c>
      <c r="B737" s="0" t="s">
        <v>3108</v>
      </c>
      <c r="C737" s="0" t="s">
        <v>3109</v>
      </c>
      <c r="D737" s="0" t="s">
        <v>3110</v>
      </c>
      <c r="E737" s="0" t="s">
        <v>3111</v>
      </c>
    </row>
    <row r="738" customFormat="false" ht="15" hidden="false" customHeight="false" outlineLevel="0" collapsed="false">
      <c r="A738" s="0" t="n">
        <v>736</v>
      </c>
      <c r="B738" s="0" t="s">
        <v>3112</v>
      </c>
      <c r="C738" s="0" t="s">
        <v>3113</v>
      </c>
      <c r="D738" s="0" t="s">
        <v>3114</v>
      </c>
      <c r="E738" s="0" t="s">
        <v>3115</v>
      </c>
    </row>
    <row r="739" customFormat="false" ht="15" hidden="false" customHeight="false" outlineLevel="0" collapsed="false">
      <c r="A739" s="0" t="n">
        <v>737</v>
      </c>
      <c r="B739" s="0" t="s">
        <v>3116</v>
      </c>
      <c r="C739" s="0" t="s">
        <v>3117</v>
      </c>
      <c r="D739" s="0" t="s">
        <v>3118</v>
      </c>
      <c r="E739" s="0" t="s">
        <v>3119</v>
      </c>
    </row>
    <row r="740" customFormat="false" ht="15" hidden="false" customHeight="false" outlineLevel="0" collapsed="false">
      <c r="A740" s="0" t="n">
        <v>738</v>
      </c>
      <c r="B740" s="0" t="s">
        <v>3120</v>
      </c>
      <c r="C740" s="0" t="s">
        <v>3121</v>
      </c>
      <c r="D740" s="0" t="s">
        <v>3122</v>
      </c>
      <c r="E740" s="0" t="s">
        <v>3123</v>
      </c>
    </row>
    <row r="741" customFormat="false" ht="15" hidden="false" customHeight="false" outlineLevel="0" collapsed="false">
      <c r="A741" s="0" t="n">
        <v>739</v>
      </c>
      <c r="B741" s="0" t="s">
        <v>3124</v>
      </c>
      <c r="C741" s="0" t="s">
        <v>3125</v>
      </c>
      <c r="D741" s="0" t="s">
        <v>3126</v>
      </c>
      <c r="E741" s="0" t="s">
        <v>3127</v>
      </c>
    </row>
    <row r="742" customFormat="false" ht="15" hidden="false" customHeight="false" outlineLevel="0" collapsed="false">
      <c r="A742" s="0" t="n">
        <v>740</v>
      </c>
      <c r="B742" s="0" t="s">
        <v>3128</v>
      </c>
      <c r="C742" s="0" t="s">
        <v>3129</v>
      </c>
      <c r="D742" s="0" t="s">
        <v>3130</v>
      </c>
      <c r="E742" s="0" t="s">
        <v>3131</v>
      </c>
    </row>
    <row r="743" customFormat="false" ht="15" hidden="false" customHeight="false" outlineLevel="0" collapsed="false">
      <c r="A743" s="0" t="n">
        <v>741</v>
      </c>
      <c r="B743" s="0" t="s">
        <v>3132</v>
      </c>
      <c r="C743" s="0" t="s">
        <v>3133</v>
      </c>
      <c r="D743" s="0" t="s">
        <v>3134</v>
      </c>
      <c r="E743" s="0" t="s">
        <v>3135</v>
      </c>
    </row>
    <row r="744" customFormat="false" ht="15" hidden="false" customHeight="false" outlineLevel="0" collapsed="false">
      <c r="A744" s="0" t="n">
        <v>742</v>
      </c>
      <c r="B744" s="0" t="s">
        <v>3136</v>
      </c>
      <c r="C744" s="0" t="s">
        <v>3137</v>
      </c>
      <c r="D744" s="0" t="s">
        <v>3138</v>
      </c>
      <c r="E744" s="0" t="s">
        <v>3139</v>
      </c>
    </row>
    <row r="745" customFormat="false" ht="15" hidden="false" customHeight="false" outlineLevel="0" collapsed="false">
      <c r="A745" s="0" t="n">
        <v>743</v>
      </c>
      <c r="B745" s="0" t="s">
        <v>3140</v>
      </c>
      <c r="C745" s="0" t="s">
        <v>3141</v>
      </c>
      <c r="D745" s="0" t="s">
        <v>3142</v>
      </c>
      <c r="E745" s="0" t="s">
        <v>3143</v>
      </c>
    </row>
    <row r="746" customFormat="false" ht="15" hidden="false" customHeight="false" outlineLevel="0" collapsed="false">
      <c r="A746" s="0" t="n">
        <v>744</v>
      </c>
      <c r="B746" s="0" t="s">
        <v>3144</v>
      </c>
      <c r="C746" s="0" t="s">
        <v>3145</v>
      </c>
      <c r="D746" s="0" t="s">
        <v>3146</v>
      </c>
      <c r="E746" s="0" t="s">
        <v>3147</v>
      </c>
    </row>
    <row r="747" customFormat="false" ht="15" hidden="false" customHeight="false" outlineLevel="0" collapsed="false">
      <c r="A747" s="0" t="n">
        <v>745</v>
      </c>
      <c r="B747" s="0" t="s">
        <v>3148</v>
      </c>
      <c r="C747" s="0" t="s">
        <v>3149</v>
      </c>
      <c r="D747" s="0" t="s">
        <v>3150</v>
      </c>
      <c r="E747" s="0" t="s">
        <v>3151</v>
      </c>
    </row>
    <row r="748" customFormat="false" ht="15" hidden="false" customHeight="false" outlineLevel="0" collapsed="false">
      <c r="A748" s="0" t="n">
        <v>746</v>
      </c>
      <c r="B748" s="0" t="s">
        <v>3152</v>
      </c>
      <c r="C748" s="0" t="s">
        <v>3153</v>
      </c>
      <c r="D748" s="0" t="s">
        <v>3154</v>
      </c>
      <c r="E748" s="0" t="s">
        <v>3155</v>
      </c>
    </row>
    <row r="749" customFormat="false" ht="15" hidden="false" customHeight="false" outlineLevel="0" collapsed="false">
      <c r="A749" s="0" t="n">
        <v>747</v>
      </c>
      <c r="B749" s="0" t="s">
        <v>3156</v>
      </c>
      <c r="C749" s="0" t="s">
        <v>3157</v>
      </c>
      <c r="D749" s="0" t="s">
        <v>3158</v>
      </c>
      <c r="E749" s="0" t="s">
        <v>3159</v>
      </c>
    </row>
    <row r="750" customFormat="false" ht="15" hidden="false" customHeight="false" outlineLevel="0" collapsed="false">
      <c r="A750" s="0" t="n">
        <v>748</v>
      </c>
      <c r="B750" s="0" t="s">
        <v>3160</v>
      </c>
      <c r="C750" s="0" t="s">
        <v>3161</v>
      </c>
      <c r="D750" s="0" t="s">
        <v>3162</v>
      </c>
      <c r="E750" s="0" t="s">
        <v>3163</v>
      </c>
    </row>
    <row r="751" customFormat="false" ht="15" hidden="false" customHeight="false" outlineLevel="0" collapsed="false">
      <c r="A751" s="0" t="n">
        <v>749</v>
      </c>
      <c r="B751" s="0" t="s">
        <v>3164</v>
      </c>
      <c r="C751" s="0" t="s">
        <v>3165</v>
      </c>
      <c r="D751" s="0" t="s">
        <v>3166</v>
      </c>
      <c r="E751" s="0" t="s">
        <v>3167</v>
      </c>
    </row>
    <row r="752" customFormat="false" ht="15" hidden="false" customHeight="false" outlineLevel="0" collapsed="false">
      <c r="A752" s="0" t="n">
        <v>750</v>
      </c>
      <c r="B752" s="0" t="s">
        <v>3168</v>
      </c>
      <c r="C752" s="0" t="s">
        <v>3169</v>
      </c>
      <c r="D752" s="0" t="s">
        <v>3170</v>
      </c>
      <c r="E752" s="0" t="s">
        <v>3171</v>
      </c>
    </row>
    <row r="753" customFormat="false" ht="15" hidden="false" customHeight="false" outlineLevel="0" collapsed="false">
      <c r="A753" s="0" t="n">
        <v>751</v>
      </c>
      <c r="B753" s="0" t="s">
        <v>3172</v>
      </c>
      <c r="C753" s="0" t="s">
        <v>3173</v>
      </c>
      <c r="D753" s="0" t="s">
        <v>3174</v>
      </c>
      <c r="E753" s="0" t="s">
        <v>3175</v>
      </c>
    </row>
    <row r="754" customFormat="false" ht="15" hidden="false" customHeight="false" outlineLevel="0" collapsed="false">
      <c r="A754" s="0" t="n">
        <v>752</v>
      </c>
      <c r="B754" s="0" t="s">
        <v>3176</v>
      </c>
      <c r="C754" s="0" t="s">
        <v>3177</v>
      </c>
      <c r="D754" s="0" t="s">
        <v>3178</v>
      </c>
      <c r="E754" s="0" t="s">
        <v>3179</v>
      </c>
    </row>
    <row r="755" customFormat="false" ht="15" hidden="false" customHeight="false" outlineLevel="0" collapsed="false">
      <c r="A755" s="0" t="n">
        <v>753</v>
      </c>
      <c r="B755" s="0" t="s">
        <v>3180</v>
      </c>
      <c r="C755" s="0" t="s">
        <v>3181</v>
      </c>
      <c r="D755" s="0" t="s">
        <v>3182</v>
      </c>
      <c r="E755" s="0" t="s">
        <v>3183</v>
      </c>
    </row>
    <row r="756" customFormat="false" ht="15" hidden="false" customHeight="false" outlineLevel="0" collapsed="false">
      <c r="A756" s="0" t="n">
        <v>754</v>
      </c>
      <c r="B756" s="0" t="s">
        <v>3184</v>
      </c>
      <c r="C756" s="0" t="s">
        <v>3185</v>
      </c>
      <c r="D756" s="0" t="s">
        <v>3186</v>
      </c>
      <c r="E756" s="0" t="s">
        <v>3187</v>
      </c>
    </row>
    <row r="757" customFormat="false" ht="15" hidden="false" customHeight="false" outlineLevel="0" collapsed="false">
      <c r="A757" s="0" t="n">
        <v>755</v>
      </c>
      <c r="B757" s="0" t="s">
        <v>3188</v>
      </c>
      <c r="C757" s="0" t="s">
        <v>3189</v>
      </c>
      <c r="D757" s="0" t="s">
        <v>3190</v>
      </c>
      <c r="E757" s="0" t="s">
        <v>3191</v>
      </c>
    </row>
    <row r="758" customFormat="false" ht="15" hidden="false" customHeight="false" outlineLevel="0" collapsed="false">
      <c r="A758" s="0" t="n">
        <v>756</v>
      </c>
      <c r="B758" s="0" t="s">
        <v>3192</v>
      </c>
      <c r="C758" s="0" t="s">
        <v>3193</v>
      </c>
      <c r="D758" s="0" t="s">
        <v>3194</v>
      </c>
      <c r="E758" s="0" t="s">
        <v>3195</v>
      </c>
    </row>
    <row r="759" customFormat="false" ht="15" hidden="false" customHeight="false" outlineLevel="0" collapsed="false">
      <c r="A759" s="0" t="n">
        <v>757</v>
      </c>
      <c r="B759" s="0" t="s">
        <v>3196</v>
      </c>
      <c r="C759" s="0" t="s">
        <v>3197</v>
      </c>
      <c r="D759" s="0" t="s">
        <v>3198</v>
      </c>
      <c r="E759" s="0" t="s">
        <v>3199</v>
      </c>
    </row>
    <row r="760" customFormat="false" ht="15" hidden="false" customHeight="false" outlineLevel="0" collapsed="false">
      <c r="A760" s="0" t="n">
        <v>758</v>
      </c>
      <c r="B760" s="0" t="s">
        <v>3200</v>
      </c>
      <c r="C760" s="0" t="s">
        <v>3201</v>
      </c>
      <c r="D760" s="0" t="s">
        <v>3202</v>
      </c>
      <c r="E760" s="0" t="s">
        <v>3203</v>
      </c>
    </row>
    <row r="761" customFormat="false" ht="15" hidden="false" customHeight="false" outlineLevel="0" collapsed="false">
      <c r="A761" s="0" t="n">
        <v>759</v>
      </c>
      <c r="B761" s="0" t="s">
        <v>3204</v>
      </c>
      <c r="C761" s="0" t="s">
        <v>3205</v>
      </c>
      <c r="D761" s="0" t="s">
        <v>3206</v>
      </c>
      <c r="E761" s="0" t="s">
        <v>3207</v>
      </c>
    </row>
    <row r="762" customFormat="false" ht="15" hidden="false" customHeight="false" outlineLevel="0" collapsed="false">
      <c r="A762" s="0" t="n">
        <v>760</v>
      </c>
      <c r="B762" s="0" t="s">
        <v>3208</v>
      </c>
      <c r="C762" s="0" t="s">
        <v>3209</v>
      </c>
      <c r="D762" s="0" t="s">
        <v>3210</v>
      </c>
      <c r="E762" s="0" t="s">
        <v>3211</v>
      </c>
    </row>
    <row r="763" customFormat="false" ht="15" hidden="false" customHeight="false" outlineLevel="0" collapsed="false">
      <c r="A763" s="0" t="n">
        <v>761</v>
      </c>
      <c r="B763" s="0" t="s">
        <v>3212</v>
      </c>
      <c r="C763" s="0" t="s">
        <v>3213</v>
      </c>
      <c r="D763" s="0" t="s">
        <v>3214</v>
      </c>
      <c r="E763" s="0" t="s">
        <v>3215</v>
      </c>
    </row>
    <row r="764" customFormat="false" ht="15" hidden="false" customHeight="false" outlineLevel="0" collapsed="false">
      <c r="A764" s="0" t="n">
        <v>762</v>
      </c>
      <c r="B764" s="0" t="s">
        <v>3216</v>
      </c>
      <c r="C764" s="0" t="s">
        <v>3217</v>
      </c>
      <c r="D764" s="0" t="s">
        <v>3218</v>
      </c>
      <c r="E764" s="0" t="s">
        <v>3219</v>
      </c>
    </row>
    <row r="765" customFormat="false" ht="15" hidden="false" customHeight="false" outlineLevel="0" collapsed="false">
      <c r="A765" s="0" t="n">
        <v>763</v>
      </c>
      <c r="B765" s="0" t="s">
        <v>3220</v>
      </c>
      <c r="C765" s="0" t="s">
        <v>3221</v>
      </c>
      <c r="D765" s="0" t="s">
        <v>3222</v>
      </c>
      <c r="E765" s="0" t="s">
        <v>3223</v>
      </c>
    </row>
    <row r="766" customFormat="false" ht="15" hidden="false" customHeight="false" outlineLevel="0" collapsed="false">
      <c r="A766" s="0" t="n">
        <v>764</v>
      </c>
      <c r="B766" s="0" t="s">
        <v>3224</v>
      </c>
      <c r="C766" s="0" t="s">
        <v>3225</v>
      </c>
      <c r="D766" s="0" t="s">
        <v>3226</v>
      </c>
      <c r="E766" s="0" t="s">
        <v>3227</v>
      </c>
    </row>
    <row r="767" customFormat="false" ht="15" hidden="false" customHeight="false" outlineLevel="0" collapsed="false">
      <c r="A767" s="0" t="n">
        <v>765</v>
      </c>
      <c r="B767" s="0" t="s">
        <v>3228</v>
      </c>
      <c r="C767" s="0" t="s">
        <v>3229</v>
      </c>
      <c r="D767" s="0" t="s">
        <v>3230</v>
      </c>
      <c r="E767" s="0" t="s">
        <v>3231</v>
      </c>
    </row>
    <row r="768" customFormat="false" ht="15" hidden="false" customHeight="false" outlineLevel="0" collapsed="false">
      <c r="A768" s="0" t="n">
        <v>766</v>
      </c>
      <c r="B768" s="0" t="s">
        <v>3232</v>
      </c>
      <c r="C768" s="0" t="s">
        <v>3233</v>
      </c>
      <c r="D768" s="0" t="s">
        <v>3234</v>
      </c>
      <c r="E768" s="0" t="s">
        <v>3235</v>
      </c>
    </row>
    <row r="769" customFormat="false" ht="15" hidden="false" customHeight="false" outlineLevel="0" collapsed="false">
      <c r="A769" s="0" t="n">
        <v>767</v>
      </c>
      <c r="B769" s="0" t="s">
        <v>3236</v>
      </c>
      <c r="C769" s="0" t="s">
        <v>3237</v>
      </c>
      <c r="D769" s="0" t="s">
        <v>3238</v>
      </c>
      <c r="E769" s="0" t="s">
        <v>3239</v>
      </c>
    </row>
    <row r="770" customFormat="false" ht="15" hidden="false" customHeight="false" outlineLevel="0" collapsed="false">
      <c r="A770" s="0" t="n">
        <v>768</v>
      </c>
      <c r="B770" s="0" t="s">
        <v>3240</v>
      </c>
      <c r="C770" s="0" t="s">
        <v>3241</v>
      </c>
      <c r="D770" s="0" t="s">
        <v>3242</v>
      </c>
      <c r="E770" s="0" t="s">
        <v>3243</v>
      </c>
    </row>
    <row r="771" customFormat="false" ht="15" hidden="false" customHeight="false" outlineLevel="0" collapsed="false">
      <c r="A771" s="0" t="n">
        <v>769</v>
      </c>
      <c r="B771" s="0" t="s">
        <v>3244</v>
      </c>
      <c r="C771" s="0" t="s">
        <v>3245</v>
      </c>
      <c r="D771" s="0" t="s">
        <v>3246</v>
      </c>
      <c r="E771" s="0" t="s">
        <v>3247</v>
      </c>
    </row>
    <row r="772" customFormat="false" ht="15" hidden="false" customHeight="false" outlineLevel="0" collapsed="false">
      <c r="A772" s="0" t="n">
        <v>770</v>
      </c>
      <c r="B772" s="0" t="s">
        <v>3248</v>
      </c>
      <c r="C772" s="0" t="s">
        <v>3249</v>
      </c>
      <c r="D772" s="0" t="s">
        <v>3250</v>
      </c>
      <c r="E772" s="0" t="s">
        <v>3251</v>
      </c>
    </row>
    <row r="773" customFormat="false" ht="15" hidden="false" customHeight="false" outlineLevel="0" collapsed="false">
      <c r="A773" s="0" t="n">
        <v>771</v>
      </c>
      <c r="B773" s="0" t="s">
        <v>3252</v>
      </c>
      <c r="C773" s="0" t="s">
        <v>3253</v>
      </c>
      <c r="D773" s="0" t="s">
        <v>3254</v>
      </c>
      <c r="E773" s="0" t="s">
        <v>3255</v>
      </c>
    </row>
    <row r="774" customFormat="false" ht="15" hidden="false" customHeight="false" outlineLevel="0" collapsed="false">
      <c r="A774" s="0" t="n">
        <v>772</v>
      </c>
      <c r="B774" s="0" t="s">
        <v>3256</v>
      </c>
      <c r="C774" s="0" t="s">
        <v>3257</v>
      </c>
      <c r="D774" s="0" t="s">
        <v>3258</v>
      </c>
      <c r="E774" s="0" t="s">
        <v>3259</v>
      </c>
    </row>
    <row r="775" customFormat="false" ht="15" hidden="false" customHeight="false" outlineLevel="0" collapsed="false">
      <c r="A775" s="0" t="n">
        <v>773</v>
      </c>
      <c r="B775" s="0" t="s">
        <v>3260</v>
      </c>
      <c r="C775" s="0" t="s">
        <v>3261</v>
      </c>
      <c r="D775" s="0" t="s">
        <v>3262</v>
      </c>
      <c r="E775" s="0" t="s">
        <v>3263</v>
      </c>
    </row>
    <row r="776" customFormat="false" ht="15" hidden="false" customHeight="false" outlineLevel="0" collapsed="false">
      <c r="A776" s="0" t="n">
        <v>774</v>
      </c>
      <c r="B776" s="0" t="s">
        <v>3264</v>
      </c>
      <c r="C776" s="0" t="s">
        <v>3265</v>
      </c>
      <c r="D776" s="0" t="s">
        <v>3266</v>
      </c>
      <c r="E776" s="0" t="s">
        <v>3267</v>
      </c>
    </row>
    <row r="777" customFormat="false" ht="15" hidden="false" customHeight="false" outlineLevel="0" collapsed="false">
      <c r="A777" s="0" t="n">
        <v>775</v>
      </c>
      <c r="B777" s="0" t="s">
        <v>3268</v>
      </c>
      <c r="C777" s="0" t="s">
        <v>3269</v>
      </c>
      <c r="D777" s="0" t="s">
        <v>3270</v>
      </c>
      <c r="E777" s="0" t="s">
        <v>3271</v>
      </c>
    </row>
    <row r="778" customFormat="false" ht="15" hidden="false" customHeight="false" outlineLevel="0" collapsed="false">
      <c r="A778" s="0" t="n">
        <v>776</v>
      </c>
      <c r="B778" s="0" t="s">
        <v>3272</v>
      </c>
      <c r="C778" s="0" t="s">
        <v>3273</v>
      </c>
      <c r="D778" s="0" t="s">
        <v>3274</v>
      </c>
      <c r="E778" s="0" t="s">
        <v>3275</v>
      </c>
    </row>
    <row r="779" customFormat="false" ht="15" hidden="false" customHeight="false" outlineLevel="0" collapsed="false">
      <c r="A779" s="0" t="n">
        <v>777</v>
      </c>
      <c r="B779" s="0" t="s">
        <v>3276</v>
      </c>
      <c r="C779" s="0" t="s">
        <v>3277</v>
      </c>
      <c r="D779" s="0" t="s">
        <v>3278</v>
      </c>
      <c r="E779" s="0" t="s">
        <v>3279</v>
      </c>
    </row>
    <row r="780" customFormat="false" ht="15" hidden="false" customHeight="false" outlineLevel="0" collapsed="false">
      <c r="A780" s="0" t="n">
        <v>778</v>
      </c>
      <c r="B780" s="0" t="s">
        <v>3280</v>
      </c>
      <c r="C780" s="0" t="s">
        <v>3281</v>
      </c>
      <c r="D780" s="0" t="s">
        <v>3282</v>
      </c>
      <c r="E780" s="0" t="s">
        <v>3283</v>
      </c>
    </row>
    <row r="781" customFormat="false" ht="15" hidden="false" customHeight="false" outlineLevel="0" collapsed="false">
      <c r="A781" s="0" t="n">
        <v>779</v>
      </c>
      <c r="B781" s="0" t="s">
        <v>3284</v>
      </c>
      <c r="C781" s="0" t="s">
        <v>3285</v>
      </c>
      <c r="D781" s="0" t="s">
        <v>3286</v>
      </c>
      <c r="E781" s="0" t="s">
        <v>3287</v>
      </c>
    </row>
    <row r="782" customFormat="false" ht="15" hidden="false" customHeight="false" outlineLevel="0" collapsed="false">
      <c r="A782" s="0" t="n">
        <v>780</v>
      </c>
      <c r="B782" s="0" t="s">
        <v>3288</v>
      </c>
      <c r="C782" s="0" t="s">
        <v>3289</v>
      </c>
      <c r="D782" s="0" t="s">
        <v>3290</v>
      </c>
      <c r="E782" s="0" t="s">
        <v>3291</v>
      </c>
    </row>
    <row r="783" customFormat="false" ht="15" hidden="false" customHeight="false" outlineLevel="0" collapsed="false">
      <c r="A783" s="0" t="n">
        <v>781</v>
      </c>
      <c r="B783" s="0" t="s">
        <v>3292</v>
      </c>
      <c r="C783" s="0" t="s">
        <v>3293</v>
      </c>
      <c r="D783" s="0" t="s">
        <v>3294</v>
      </c>
      <c r="E783" s="0" t="s">
        <v>3295</v>
      </c>
    </row>
    <row r="784" customFormat="false" ht="15" hidden="false" customHeight="false" outlineLevel="0" collapsed="false">
      <c r="A784" s="0" t="n">
        <v>782</v>
      </c>
      <c r="B784" s="0" t="s">
        <v>3296</v>
      </c>
      <c r="C784" s="0" t="s">
        <v>3297</v>
      </c>
      <c r="D784" s="0" t="s">
        <v>3298</v>
      </c>
      <c r="E784" s="0" t="s">
        <v>3299</v>
      </c>
    </row>
    <row r="785" customFormat="false" ht="15" hidden="false" customHeight="false" outlineLevel="0" collapsed="false">
      <c r="A785" s="0" t="n">
        <v>783</v>
      </c>
      <c r="B785" s="0" t="s">
        <v>3300</v>
      </c>
      <c r="C785" s="0" t="s">
        <v>3301</v>
      </c>
      <c r="D785" s="0" t="s">
        <v>3302</v>
      </c>
      <c r="E785" s="0" t="s">
        <v>3303</v>
      </c>
    </row>
    <row r="786" customFormat="false" ht="15" hidden="false" customHeight="false" outlineLevel="0" collapsed="false">
      <c r="A786" s="0" t="n">
        <v>784</v>
      </c>
      <c r="B786" s="0" t="s">
        <v>3304</v>
      </c>
      <c r="C786" s="0" t="s">
        <v>3305</v>
      </c>
      <c r="D786" s="0" t="s">
        <v>3306</v>
      </c>
      <c r="E786" s="0" t="s">
        <v>3307</v>
      </c>
    </row>
    <row r="787" customFormat="false" ht="15" hidden="false" customHeight="false" outlineLevel="0" collapsed="false">
      <c r="A787" s="0" t="n">
        <v>785</v>
      </c>
      <c r="B787" s="0" t="s">
        <v>3308</v>
      </c>
      <c r="C787" s="0" t="s">
        <v>3309</v>
      </c>
      <c r="D787" s="0" t="s">
        <v>3310</v>
      </c>
      <c r="E787" s="0" t="s">
        <v>3311</v>
      </c>
    </row>
    <row r="788" customFormat="false" ht="15" hidden="false" customHeight="false" outlineLevel="0" collapsed="false">
      <c r="A788" s="0" t="n">
        <v>786</v>
      </c>
      <c r="B788" s="0" t="s">
        <v>3312</v>
      </c>
      <c r="C788" s="0" t="s">
        <v>3313</v>
      </c>
      <c r="D788" s="0" t="s">
        <v>3314</v>
      </c>
      <c r="E788" s="0" t="s">
        <v>3315</v>
      </c>
    </row>
    <row r="789" customFormat="false" ht="15" hidden="false" customHeight="false" outlineLevel="0" collapsed="false">
      <c r="A789" s="0" t="n">
        <v>787</v>
      </c>
      <c r="B789" s="0" t="s">
        <v>3316</v>
      </c>
      <c r="C789" s="0" t="s">
        <v>3317</v>
      </c>
      <c r="D789" s="0" t="s">
        <v>3318</v>
      </c>
      <c r="E789" s="0" t="s">
        <v>3319</v>
      </c>
    </row>
    <row r="790" customFormat="false" ht="15" hidden="false" customHeight="false" outlineLevel="0" collapsed="false">
      <c r="A790" s="0" t="n">
        <v>788</v>
      </c>
      <c r="B790" s="0" t="s">
        <v>3320</v>
      </c>
      <c r="C790" s="0" t="s">
        <v>3321</v>
      </c>
      <c r="D790" s="0" t="s">
        <v>3322</v>
      </c>
      <c r="E790" s="0" t="s">
        <v>3323</v>
      </c>
    </row>
    <row r="791" customFormat="false" ht="15" hidden="false" customHeight="false" outlineLevel="0" collapsed="false">
      <c r="A791" s="0" t="n">
        <v>789</v>
      </c>
      <c r="B791" s="0" t="s">
        <v>3324</v>
      </c>
      <c r="C791" s="0" t="s">
        <v>3325</v>
      </c>
      <c r="D791" s="0" t="s">
        <v>3326</v>
      </c>
      <c r="E791" s="0" t="s">
        <v>3327</v>
      </c>
    </row>
    <row r="792" customFormat="false" ht="15" hidden="false" customHeight="false" outlineLevel="0" collapsed="false">
      <c r="A792" s="0" t="n">
        <v>790</v>
      </c>
      <c r="B792" s="0" t="s">
        <v>3328</v>
      </c>
      <c r="C792" s="0" t="s">
        <v>3329</v>
      </c>
      <c r="D792" s="0" t="s">
        <v>3330</v>
      </c>
      <c r="E792" s="0" t="s">
        <v>3331</v>
      </c>
    </row>
    <row r="793" customFormat="false" ht="15" hidden="false" customHeight="false" outlineLevel="0" collapsed="false">
      <c r="A793" s="0" t="n">
        <v>791</v>
      </c>
      <c r="B793" s="0" t="s">
        <v>3332</v>
      </c>
      <c r="C793" s="0" t="s">
        <v>3333</v>
      </c>
      <c r="D793" s="0" t="s">
        <v>3334</v>
      </c>
      <c r="E793" s="0" t="s">
        <v>3335</v>
      </c>
    </row>
    <row r="794" customFormat="false" ht="15" hidden="false" customHeight="false" outlineLevel="0" collapsed="false">
      <c r="A794" s="0" t="n">
        <v>792</v>
      </c>
      <c r="B794" s="0" t="s">
        <v>3336</v>
      </c>
      <c r="C794" s="0" t="s">
        <v>3337</v>
      </c>
      <c r="D794" s="0" t="s">
        <v>3338</v>
      </c>
      <c r="E794" s="0" t="s">
        <v>3339</v>
      </c>
    </row>
    <row r="795" customFormat="false" ht="15" hidden="false" customHeight="false" outlineLevel="0" collapsed="false">
      <c r="A795" s="0" t="n">
        <v>793</v>
      </c>
      <c r="B795" s="0" t="s">
        <v>3340</v>
      </c>
      <c r="C795" s="0" t="s">
        <v>3341</v>
      </c>
      <c r="D795" s="0" t="s">
        <v>3342</v>
      </c>
      <c r="E795" s="0" t="s">
        <v>3343</v>
      </c>
    </row>
    <row r="796" customFormat="false" ht="15" hidden="false" customHeight="false" outlineLevel="0" collapsed="false">
      <c r="A796" s="0" t="n">
        <v>794</v>
      </c>
      <c r="B796" s="0" t="s">
        <v>3344</v>
      </c>
      <c r="C796" s="0" t="s">
        <v>3345</v>
      </c>
      <c r="D796" s="0" t="s">
        <v>3346</v>
      </c>
      <c r="E796" s="0" t="s">
        <v>3347</v>
      </c>
    </row>
    <row r="797" customFormat="false" ht="15" hidden="false" customHeight="false" outlineLevel="0" collapsed="false">
      <c r="A797" s="0" t="n">
        <v>795</v>
      </c>
      <c r="B797" s="0" t="s">
        <v>3348</v>
      </c>
      <c r="C797" s="0" t="s">
        <v>3349</v>
      </c>
      <c r="D797" s="0" t="s">
        <v>3350</v>
      </c>
      <c r="E797" s="0" t="s">
        <v>3351</v>
      </c>
    </row>
    <row r="798" customFormat="false" ht="15" hidden="false" customHeight="false" outlineLevel="0" collapsed="false">
      <c r="A798" s="0" t="n">
        <v>796</v>
      </c>
      <c r="B798" s="0" t="s">
        <v>3352</v>
      </c>
      <c r="C798" s="0" t="s">
        <v>3353</v>
      </c>
      <c r="D798" s="0" t="s">
        <v>3354</v>
      </c>
      <c r="E798" s="0" t="s">
        <v>3355</v>
      </c>
    </row>
    <row r="799" customFormat="false" ht="15" hidden="false" customHeight="false" outlineLevel="0" collapsed="false">
      <c r="A799" s="0" t="n">
        <v>797</v>
      </c>
      <c r="B799" s="0" t="s">
        <v>3356</v>
      </c>
      <c r="C799" s="0" t="s">
        <v>3357</v>
      </c>
      <c r="D799" s="0" t="s">
        <v>3358</v>
      </c>
      <c r="E799" s="0" t="s">
        <v>3359</v>
      </c>
    </row>
    <row r="800" customFormat="false" ht="15" hidden="false" customHeight="false" outlineLevel="0" collapsed="false">
      <c r="A800" s="0" t="n">
        <v>798</v>
      </c>
      <c r="B800" s="0" t="s">
        <v>3360</v>
      </c>
      <c r="C800" s="0" t="s">
        <v>3361</v>
      </c>
      <c r="D800" s="0" t="s">
        <v>3362</v>
      </c>
      <c r="E800" s="0" t="s">
        <v>3363</v>
      </c>
    </row>
    <row r="801" customFormat="false" ht="15" hidden="false" customHeight="false" outlineLevel="0" collapsed="false">
      <c r="A801" s="0" t="n">
        <v>799</v>
      </c>
      <c r="B801" s="0" t="s">
        <v>3364</v>
      </c>
      <c r="C801" s="0" t="s">
        <v>3365</v>
      </c>
      <c r="D801" s="0" t="s">
        <v>3366</v>
      </c>
      <c r="E801" s="0" t="s">
        <v>3367</v>
      </c>
    </row>
    <row r="802" customFormat="false" ht="15" hidden="false" customHeight="false" outlineLevel="0" collapsed="false">
      <c r="A802" s="0" t="n">
        <v>800</v>
      </c>
      <c r="B802" s="0" t="s">
        <v>3368</v>
      </c>
      <c r="C802" s="0" t="s">
        <v>3369</v>
      </c>
      <c r="D802" s="0" t="s">
        <v>3370</v>
      </c>
      <c r="E802" s="0" t="s">
        <v>3371</v>
      </c>
    </row>
    <row r="803" customFormat="false" ht="15" hidden="false" customHeight="false" outlineLevel="0" collapsed="false">
      <c r="A803" s="0" t="n">
        <v>801</v>
      </c>
      <c r="B803" s="0" t="s">
        <v>3372</v>
      </c>
      <c r="C803" s="0" t="s">
        <v>3373</v>
      </c>
      <c r="D803" s="0" t="s">
        <v>3374</v>
      </c>
      <c r="E803" s="0" t="s">
        <v>3375</v>
      </c>
    </row>
    <row r="804" customFormat="false" ht="15" hidden="false" customHeight="false" outlineLevel="0" collapsed="false">
      <c r="A804" s="0" t="n">
        <v>802</v>
      </c>
      <c r="B804" s="0" t="s">
        <v>3376</v>
      </c>
      <c r="C804" s="0" t="s">
        <v>3377</v>
      </c>
      <c r="D804" s="0" t="s">
        <v>3378</v>
      </c>
      <c r="E804" s="0" t="s">
        <v>3379</v>
      </c>
    </row>
    <row r="805" customFormat="false" ht="15" hidden="false" customHeight="false" outlineLevel="0" collapsed="false">
      <c r="A805" s="0" t="n">
        <v>803</v>
      </c>
      <c r="B805" s="0" t="s">
        <v>3380</v>
      </c>
      <c r="C805" s="0" t="s">
        <v>3381</v>
      </c>
      <c r="D805" s="0" t="s">
        <v>3382</v>
      </c>
      <c r="E805" s="0" t="s">
        <v>3383</v>
      </c>
    </row>
    <row r="806" customFormat="false" ht="15" hidden="false" customHeight="false" outlineLevel="0" collapsed="false">
      <c r="A806" s="0" t="n">
        <v>804</v>
      </c>
      <c r="B806" s="0" t="s">
        <v>3384</v>
      </c>
      <c r="C806" s="0" t="s">
        <v>3385</v>
      </c>
      <c r="D806" s="0" t="s">
        <v>3386</v>
      </c>
      <c r="E806" s="0" t="s">
        <v>3387</v>
      </c>
    </row>
    <row r="807" customFormat="false" ht="15" hidden="false" customHeight="false" outlineLevel="0" collapsed="false">
      <c r="A807" s="0" t="n">
        <v>805</v>
      </c>
      <c r="B807" s="0" t="s">
        <v>3388</v>
      </c>
      <c r="C807" s="0" t="s">
        <v>3389</v>
      </c>
      <c r="D807" s="0" t="s">
        <v>3390</v>
      </c>
      <c r="E807" s="0" t="s">
        <v>3391</v>
      </c>
    </row>
    <row r="808" customFormat="false" ht="15" hidden="false" customHeight="false" outlineLevel="0" collapsed="false">
      <c r="A808" s="0" t="n">
        <v>806</v>
      </c>
      <c r="B808" s="0" t="s">
        <v>3392</v>
      </c>
      <c r="C808" s="0" t="s">
        <v>3393</v>
      </c>
      <c r="D808" s="0" t="s">
        <v>3394</v>
      </c>
      <c r="E808" s="0" t="s">
        <v>3395</v>
      </c>
    </row>
    <row r="809" customFormat="false" ht="15" hidden="false" customHeight="false" outlineLevel="0" collapsed="false">
      <c r="A809" s="0" t="n">
        <v>807</v>
      </c>
      <c r="B809" s="0" t="s">
        <v>3396</v>
      </c>
      <c r="C809" s="0" t="s">
        <v>3397</v>
      </c>
      <c r="D809" s="0" t="s">
        <v>3398</v>
      </c>
      <c r="E809" s="0" t="s">
        <v>3399</v>
      </c>
    </row>
    <row r="810" customFormat="false" ht="15" hidden="false" customHeight="false" outlineLevel="0" collapsed="false">
      <c r="A810" s="0" t="n">
        <v>808</v>
      </c>
      <c r="B810" s="0" t="s">
        <v>3400</v>
      </c>
      <c r="C810" s="0" t="s">
        <v>3401</v>
      </c>
      <c r="D810" s="0" t="s">
        <v>3402</v>
      </c>
      <c r="E810" s="0" t="s">
        <v>3403</v>
      </c>
    </row>
    <row r="811" customFormat="false" ht="15" hidden="false" customHeight="false" outlineLevel="0" collapsed="false">
      <c r="A811" s="0" t="n">
        <v>809</v>
      </c>
      <c r="B811" s="0" t="s">
        <v>3404</v>
      </c>
      <c r="C811" s="0" t="s">
        <v>3405</v>
      </c>
      <c r="D811" s="0" t="s">
        <v>3406</v>
      </c>
      <c r="E811" s="0" t="s">
        <v>3407</v>
      </c>
    </row>
    <row r="812" customFormat="false" ht="15" hidden="false" customHeight="false" outlineLevel="0" collapsed="false">
      <c r="A812" s="0" t="n">
        <v>810</v>
      </c>
      <c r="B812" s="0" t="s">
        <v>3408</v>
      </c>
      <c r="C812" s="0" t="s">
        <v>3409</v>
      </c>
      <c r="D812" s="0" t="s">
        <v>3410</v>
      </c>
      <c r="E812" s="0" t="s">
        <v>3411</v>
      </c>
    </row>
    <row r="813" customFormat="false" ht="15" hidden="false" customHeight="false" outlineLevel="0" collapsed="false">
      <c r="A813" s="0" t="n">
        <v>811</v>
      </c>
      <c r="B813" s="0" t="s">
        <v>3412</v>
      </c>
      <c r="C813" s="0" t="s">
        <v>3413</v>
      </c>
      <c r="D813" s="0" t="s">
        <v>3414</v>
      </c>
      <c r="E813" s="0" t="s">
        <v>3415</v>
      </c>
    </row>
    <row r="814" customFormat="false" ht="15" hidden="false" customHeight="false" outlineLevel="0" collapsed="false">
      <c r="A814" s="0" t="n">
        <v>812</v>
      </c>
      <c r="B814" s="0" t="s">
        <v>3416</v>
      </c>
      <c r="C814" s="0" t="s">
        <v>3417</v>
      </c>
      <c r="D814" s="0" t="s">
        <v>3418</v>
      </c>
      <c r="E814" s="0" t="s">
        <v>3419</v>
      </c>
    </row>
    <row r="815" customFormat="false" ht="15" hidden="false" customHeight="false" outlineLevel="0" collapsed="false">
      <c r="A815" s="0" t="n">
        <v>813</v>
      </c>
      <c r="B815" s="0" t="s">
        <v>3420</v>
      </c>
      <c r="C815" s="0" t="s">
        <v>3421</v>
      </c>
      <c r="D815" s="0" t="s">
        <v>3422</v>
      </c>
      <c r="E815" s="0" t="s">
        <v>3423</v>
      </c>
    </row>
    <row r="816" customFormat="false" ht="15" hidden="false" customHeight="false" outlineLevel="0" collapsed="false">
      <c r="A816" s="0" t="n">
        <v>814</v>
      </c>
      <c r="B816" s="0" t="s">
        <v>3424</v>
      </c>
      <c r="C816" s="0" t="s">
        <v>3425</v>
      </c>
      <c r="D816" s="0" t="s">
        <v>3426</v>
      </c>
      <c r="E816" s="0" t="s">
        <v>3427</v>
      </c>
    </row>
    <row r="817" customFormat="false" ht="15" hidden="false" customHeight="false" outlineLevel="0" collapsed="false">
      <c r="A817" s="0" t="n">
        <v>815</v>
      </c>
      <c r="B817" s="0" t="s">
        <v>3428</v>
      </c>
      <c r="C817" s="0" t="s">
        <v>3429</v>
      </c>
      <c r="D817" s="0" t="s">
        <v>3430</v>
      </c>
      <c r="E817" s="0" t="s">
        <v>3431</v>
      </c>
    </row>
    <row r="818" customFormat="false" ht="15" hidden="false" customHeight="false" outlineLevel="0" collapsed="false">
      <c r="A818" s="0" t="n">
        <v>816</v>
      </c>
      <c r="B818" s="0" t="s">
        <v>3432</v>
      </c>
      <c r="C818" s="0" t="s">
        <v>3433</v>
      </c>
      <c r="D818" s="0" t="s">
        <v>3434</v>
      </c>
      <c r="E818" s="0" t="s">
        <v>3435</v>
      </c>
    </row>
    <row r="819" customFormat="false" ht="15" hidden="false" customHeight="false" outlineLevel="0" collapsed="false">
      <c r="A819" s="0" t="n">
        <v>817</v>
      </c>
      <c r="B819" s="0" t="s">
        <v>3436</v>
      </c>
      <c r="C819" s="0" t="s">
        <v>3437</v>
      </c>
      <c r="D819" s="0" t="s">
        <v>3438</v>
      </c>
      <c r="E819" s="0" t="s">
        <v>3439</v>
      </c>
    </row>
    <row r="820" customFormat="false" ht="15" hidden="false" customHeight="false" outlineLevel="0" collapsed="false">
      <c r="A820" s="0" t="n">
        <v>818</v>
      </c>
      <c r="B820" s="0" t="s">
        <v>3440</v>
      </c>
      <c r="C820" s="0" t="s">
        <v>3441</v>
      </c>
      <c r="D820" s="0" t="s">
        <v>3442</v>
      </c>
      <c r="E820" s="0" t="s">
        <v>3443</v>
      </c>
    </row>
    <row r="821" customFormat="false" ht="15" hidden="false" customHeight="false" outlineLevel="0" collapsed="false">
      <c r="A821" s="0" t="n">
        <v>819</v>
      </c>
      <c r="B821" s="0" t="s">
        <v>3444</v>
      </c>
      <c r="C821" s="0" t="s">
        <v>3445</v>
      </c>
      <c r="D821" s="0" t="s">
        <v>3446</v>
      </c>
      <c r="E821" s="0" t="s">
        <v>3447</v>
      </c>
    </row>
    <row r="822" customFormat="false" ht="15" hidden="false" customHeight="false" outlineLevel="0" collapsed="false">
      <c r="A822" s="0" t="n">
        <v>820</v>
      </c>
      <c r="B822" s="0" t="s">
        <v>3448</v>
      </c>
      <c r="C822" s="0" t="s">
        <v>3449</v>
      </c>
      <c r="D822" s="0" t="s">
        <v>3450</v>
      </c>
      <c r="E822" s="0" t="s">
        <v>3451</v>
      </c>
    </row>
    <row r="823" customFormat="false" ht="15" hidden="false" customHeight="false" outlineLevel="0" collapsed="false">
      <c r="A823" s="0" t="n">
        <v>821</v>
      </c>
      <c r="B823" s="0" t="s">
        <v>3452</v>
      </c>
      <c r="C823" s="0" t="s">
        <v>3453</v>
      </c>
      <c r="D823" s="0" t="s">
        <v>3454</v>
      </c>
      <c r="E823" s="0" t="s">
        <v>3455</v>
      </c>
    </row>
    <row r="824" customFormat="false" ht="15" hidden="false" customHeight="false" outlineLevel="0" collapsed="false">
      <c r="A824" s="0" t="n">
        <v>822</v>
      </c>
      <c r="B824" s="0" t="s">
        <v>3456</v>
      </c>
      <c r="C824" s="0" t="s">
        <v>3457</v>
      </c>
      <c r="D824" s="0" t="s">
        <v>3458</v>
      </c>
      <c r="E824" s="0" t="s">
        <v>3459</v>
      </c>
    </row>
    <row r="825" customFormat="false" ht="15" hidden="false" customHeight="false" outlineLevel="0" collapsed="false">
      <c r="A825" s="0" t="n">
        <v>823</v>
      </c>
      <c r="B825" s="0" t="s">
        <v>3460</v>
      </c>
      <c r="C825" s="0" t="s">
        <v>3461</v>
      </c>
      <c r="D825" s="0" t="s">
        <v>3462</v>
      </c>
      <c r="E825" s="0" t="s">
        <v>3463</v>
      </c>
    </row>
    <row r="826" customFormat="false" ht="15" hidden="false" customHeight="false" outlineLevel="0" collapsed="false">
      <c r="A826" s="0" t="n">
        <v>824</v>
      </c>
      <c r="B826" s="0" t="s">
        <v>3464</v>
      </c>
      <c r="C826" s="0" t="s">
        <v>3465</v>
      </c>
      <c r="D826" s="0" t="s">
        <v>3466</v>
      </c>
      <c r="E826" s="0" t="s">
        <v>3467</v>
      </c>
    </row>
    <row r="827" customFormat="false" ht="15" hidden="false" customHeight="false" outlineLevel="0" collapsed="false">
      <c r="A827" s="0" t="n">
        <v>825</v>
      </c>
      <c r="B827" s="0" t="s">
        <v>3468</v>
      </c>
      <c r="C827" s="0" t="s">
        <v>3469</v>
      </c>
      <c r="D827" s="0" t="s">
        <v>3470</v>
      </c>
      <c r="E827" s="0" t="s">
        <v>3471</v>
      </c>
    </row>
    <row r="828" customFormat="false" ht="15" hidden="false" customHeight="false" outlineLevel="0" collapsed="false">
      <c r="A828" s="0" t="n">
        <v>826</v>
      </c>
      <c r="B828" s="0" t="s">
        <v>3472</v>
      </c>
      <c r="C828" s="0" t="s">
        <v>3473</v>
      </c>
      <c r="D828" s="0" t="s">
        <v>3474</v>
      </c>
      <c r="E828" s="0" t="s">
        <v>3475</v>
      </c>
    </row>
    <row r="829" customFormat="false" ht="15" hidden="false" customHeight="false" outlineLevel="0" collapsed="false">
      <c r="A829" s="0" t="n">
        <v>827</v>
      </c>
      <c r="B829" s="0" t="s">
        <v>3476</v>
      </c>
      <c r="C829" s="0" t="s">
        <v>3477</v>
      </c>
      <c r="D829" s="0" t="s">
        <v>3478</v>
      </c>
      <c r="E829" s="0" t="s">
        <v>3479</v>
      </c>
    </row>
    <row r="830" customFormat="false" ht="15" hidden="false" customHeight="false" outlineLevel="0" collapsed="false">
      <c r="A830" s="0" t="n">
        <v>828</v>
      </c>
      <c r="B830" s="0" t="s">
        <v>3480</v>
      </c>
      <c r="C830" s="0" t="s">
        <v>3481</v>
      </c>
      <c r="D830" s="0" t="s">
        <v>3482</v>
      </c>
      <c r="E830" s="0" t="s">
        <v>3483</v>
      </c>
    </row>
    <row r="831" customFormat="false" ht="15" hidden="false" customHeight="false" outlineLevel="0" collapsed="false">
      <c r="A831" s="0" t="n">
        <v>829</v>
      </c>
      <c r="B831" s="0" t="s">
        <v>3484</v>
      </c>
      <c r="C831" s="0" t="s">
        <v>3485</v>
      </c>
      <c r="D831" s="0" t="s">
        <v>3486</v>
      </c>
      <c r="E831" s="0" t="s">
        <v>3487</v>
      </c>
    </row>
    <row r="832" customFormat="false" ht="15" hidden="false" customHeight="false" outlineLevel="0" collapsed="false">
      <c r="A832" s="0" t="n">
        <v>830</v>
      </c>
      <c r="B832" s="0" t="s">
        <v>3488</v>
      </c>
      <c r="C832" s="0" t="s">
        <v>3489</v>
      </c>
      <c r="D832" s="0" t="s">
        <v>3490</v>
      </c>
      <c r="E832" s="0" t="s">
        <v>3491</v>
      </c>
    </row>
    <row r="833" customFormat="false" ht="15" hidden="false" customHeight="false" outlineLevel="0" collapsed="false">
      <c r="A833" s="0" t="n">
        <v>831</v>
      </c>
      <c r="B833" s="0" t="s">
        <v>3492</v>
      </c>
      <c r="C833" s="0" t="s">
        <v>3493</v>
      </c>
      <c r="D833" s="0" t="s">
        <v>3494</v>
      </c>
      <c r="E833" s="0" t="s">
        <v>3495</v>
      </c>
    </row>
    <row r="834" customFormat="false" ht="15" hidden="false" customHeight="false" outlineLevel="0" collapsed="false">
      <c r="A834" s="0" t="n">
        <v>832</v>
      </c>
      <c r="B834" s="0" t="s">
        <v>3496</v>
      </c>
      <c r="C834" s="0" t="s">
        <v>3497</v>
      </c>
      <c r="D834" s="0" t="s">
        <v>3498</v>
      </c>
      <c r="E834" s="0" t="s">
        <v>3499</v>
      </c>
    </row>
    <row r="835" customFormat="false" ht="15" hidden="false" customHeight="false" outlineLevel="0" collapsed="false">
      <c r="A835" s="0" t="n">
        <v>833</v>
      </c>
      <c r="B835" s="0" t="s">
        <v>3500</v>
      </c>
      <c r="C835" s="0" t="s">
        <v>3501</v>
      </c>
      <c r="D835" s="0" t="s">
        <v>3502</v>
      </c>
      <c r="E835" s="0" t="s">
        <v>3503</v>
      </c>
    </row>
    <row r="836" customFormat="false" ht="15" hidden="false" customHeight="false" outlineLevel="0" collapsed="false">
      <c r="A836" s="0" t="n">
        <v>834</v>
      </c>
      <c r="B836" s="0" t="s">
        <v>3504</v>
      </c>
      <c r="C836" s="0" t="s">
        <v>3505</v>
      </c>
      <c r="D836" s="0" t="s">
        <v>3506</v>
      </c>
      <c r="E836" s="0" t="s">
        <v>3507</v>
      </c>
    </row>
    <row r="837" customFormat="false" ht="15" hidden="false" customHeight="false" outlineLevel="0" collapsed="false">
      <c r="A837" s="0" t="n">
        <v>835</v>
      </c>
      <c r="B837" s="0" t="s">
        <v>3508</v>
      </c>
      <c r="C837" s="0" t="s">
        <v>3509</v>
      </c>
      <c r="D837" s="0" t="s">
        <v>3510</v>
      </c>
      <c r="E837" s="0" t="s">
        <v>3511</v>
      </c>
    </row>
    <row r="838" customFormat="false" ht="15" hidden="false" customHeight="false" outlineLevel="0" collapsed="false">
      <c r="A838" s="0" t="n">
        <v>836</v>
      </c>
      <c r="B838" s="0" t="s">
        <v>3512</v>
      </c>
      <c r="C838" s="0" t="s">
        <v>3513</v>
      </c>
      <c r="D838" s="0" t="s">
        <v>3514</v>
      </c>
      <c r="E838" s="0" t="s">
        <v>3515</v>
      </c>
    </row>
    <row r="839" customFormat="false" ht="15" hidden="false" customHeight="false" outlineLevel="0" collapsed="false">
      <c r="A839" s="0" t="n">
        <v>837</v>
      </c>
      <c r="B839" s="0" t="s">
        <v>3516</v>
      </c>
      <c r="C839" s="0" t="s">
        <v>3517</v>
      </c>
      <c r="D839" s="0" t="s">
        <v>3518</v>
      </c>
      <c r="E839" s="0" t="s">
        <v>3519</v>
      </c>
    </row>
    <row r="840" customFormat="false" ht="15" hidden="false" customHeight="false" outlineLevel="0" collapsed="false">
      <c r="A840" s="0" t="n">
        <v>838</v>
      </c>
      <c r="B840" s="0" t="s">
        <v>3520</v>
      </c>
      <c r="C840" s="0" t="s">
        <v>3521</v>
      </c>
      <c r="D840" s="0" t="s">
        <v>3522</v>
      </c>
      <c r="E840" s="0" t="s">
        <v>3523</v>
      </c>
    </row>
    <row r="841" customFormat="false" ht="15" hidden="false" customHeight="false" outlineLevel="0" collapsed="false">
      <c r="A841" s="0" t="n">
        <v>839</v>
      </c>
      <c r="B841" s="0" t="s">
        <v>3524</v>
      </c>
      <c r="C841" s="0" t="s">
        <v>3525</v>
      </c>
      <c r="D841" s="0" t="s">
        <v>3526</v>
      </c>
      <c r="E841" s="0" t="s">
        <v>3527</v>
      </c>
    </row>
    <row r="842" customFormat="false" ht="15" hidden="false" customHeight="false" outlineLevel="0" collapsed="false">
      <c r="A842" s="0" t="n">
        <v>840</v>
      </c>
      <c r="B842" s="0" t="s">
        <v>3528</v>
      </c>
      <c r="C842" s="0" t="s">
        <v>3529</v>
      </c>
      <c r="D842" s="0" t="s">
        <v>3530</v>
      </c>
      <c r="E842" s="0" t="s">
        <v>3531</v>
      </c>
    </row>
    <row r="843" customFormat="false" ht="15" hidden="false" customHeight="false" outlineLevel="0" collapsed="false">
      <c r="A843" s="0" t="n">
        <v>841</v>
      </c>
      <c r="B843" s="0" t="s">
        <v>3532</v>
      </c>
      <c r="C843" s="0" t="s">
        <v>3533</v>
      </c>
      <c r="D843" s="0" t="s">
        <v>3534</v>
      </c>
      <c r="E843" s="0" t="s">
        <v>3535</v>
      </c>
    </row>
    <row r="844" customFormat="false" ht="15" hidden="false" customHeight="false" outlineLevel="0" collapsed="false">
      <c r="A844" s="0" t="n">
        <v>842</v>
      </c>
      <c r="B844" s="0" t="s">
        <v>3536</v>
      </c>
      <c r="C844" s="0" t="s">
        <v>3537</v>
      </c>
      <c r="D844" s="0" t="s">
        <v>3538</v>
      </c>
      <c r="E844" s="0" t="s">
        <v>3539</v>
      </c>
    </row>
    <row r="845" customFormat="false" ht="15" hidden="false" customHeight="false" outlineLevel="0" collapsed="false">
      <c r="A845" s="0" t="n">
        <v>843</v>
      </c>
      <c r="B845" s="0" t="s">
        <v>3540</v>
      </c>
      <c r="C845" s="0" t="s">
        <v>3541</v>
      </c>
      <c r="D845" s="0" t="s">
        <v>3542</v>
      </c>
      <c r="E845" s="0" t="s">
        <v>3543</v>
      </c>
    </row>
    <row r="846" customFormat="false" ht="15" hidden="false" customHeight="false" outlineLevel="0" collapsed="false">
      <c r="A846" s="0" t="n">
        <v>844</v>
      </c>
      <c r="B846" s="0" t="s">
        <v>3544</v>
      </c>
      <c r="C846" s="0" t="s">
        <v>3545</v>
      </c>
      <c r="D846" s="0" t="s">
        <v>3546</v>
      </c>
      <c r="E846" s="0" t="s">
        <v>3547</v>
      </c>
    </row>
    <row r="847" customFormat="false" ht="15" hidden="false" customHeight="false" outlineLevel="0" collapsed="false">
      <c r="A847" s="0" t="n">
        <v>845</v>
      </c>
      <c r="B847" s="0" t="s">
        <v>3548</v>
      </c>
      <c r="C847" s="0" t="s">
        <v>3549</v>
      </c>
      <c r="D847" s="0" t="s">
        <v>3550</v>
      </c>
      <c r="E847" s="0" t="s">
        <v>3551</v>
      </c>
    </row>
    <row r="848" customFormat="false" ht="15" hidden="false" customHeight="false" outlineLevel="0" collapsed="false">
      <c r="A848" s="0" t="n">
        <v>846</v>
      </c>
      <c r="B848" s="0" t="s">
        <v>3552</v>
      </c>
      <c r="C848" s="0" t="s">
        <v>3553</v>
      </c>
      <c r="D848" s="0" t="s">
        <v>3554</v>
      </c>
      <c r="E848" s="0" t="s">
        <v>3555</v>
      </c>
    </row>
    <row r="849" customFormat="false" ht="15" hidden="false" customHeight="false" outlineLevel="0" collapsed="false">
      <c r="A849" s="0" t="n">
        <v>847</v>
      </c>
      <c r="B849" s="0" t="s">
        <v>3556</v>
      </c>
      <c r="C849" s="0" t="s">
        <v>3557</v>
      </c>
      <c r="D849" s="0" t="s">
        <v>3558</v>
      </c>
      <c r="E849" s="0" t="s">
        <v>3559</v>
      </c>
    </row>
    <row r="850" customFormat="false" ht="15" hidden="false" customHeight="false" outlineLevel="0" collapsed="false">
      <c r="A850" s="0" t="n">
        <v>848</v>
      </c>
      <c r="B850" s="0" t="s">
        <v>3560</v>
      </c>
      <c r="C850" s="0" t="s">
        <v>3561</v>
      </c>
      <c r="D850" s="0" t="s">
        <v>3562</v>
      </c>
      <c r="E850" s="0" t="s">
        <v>3563</v>
      </c>
    </row>
    <row r="851" customFormat="false" ht="15" hidden="false" customHeight="false" outlineLevel="0" collapsed="false">
      <c r="A851" s="0" t="n">
        <v>849</v>
      </c>
      <c r="B851" s="0" t="s">
        <v>3564</v>
      </c>
      <c r="C851" s="0" t="s">
        <v>3565</v>
      </c>
      <c r="D851" s="0" t="s">
        <v>3566</v>
      </c>
      <c r="E851" s="0" t="s">
        <v>3567</v>
      </c>
    </row>
    <row r="852" customFormat="false" ht="15" hidden="false" customHeight="false" outlineLevel="0" collapsed="false">
      <c r="A852" s="0" t="n">
        <v>850</v>
      </c>
      <c r="B852" s="0" t="s">
        <v>3568</v>
      </c>
      <c r="C852" s="0" t="s">
        <v>3569</v>
      </c>
      <c r="D852" s="0" t="s">
        <v>3570</v>
      </c>
      <c r="E852" s="0" t="s">
        <v>3571</v>
      </c>
    </row>
    <row r="853" customFormat="false" ht="15" hidden="false" customHeight="false" outlineLevel="0" collapsed="false">
      <c r="A853" s="0" t="n">
        <v>851</v>
      </c>
      <c r="B853" s="0" t="s">
        <v>3572</v>
      </c>
      <c r="C853" s="0" t="s">
        <v>3573</v>
      </c>
      <c r="D853" s="0" t="s">
        <v>3574</v>
      </c>
      <c r="E853" s="0" t="s">
        <v>3575</v>
      </c>
    </row>
    <row r="854" customFormat="false" ht="15" hidden="false" customHeight="false" outlineLevel="0" collapsed="false">
      <c r="A854" s="0" t="n">
        <v>852</v>
      </c>
      <c r="B854" s="0" t="s">
        <v>3576</v>
      </c>
      <c r="C854" s="0" t="s">
        <v>3577</v>
      </c>
      <c r="D854" s="0" t="s">
        <v>3578</v>
      </c>
      <c r="E854" s="0" t="s">
        <v>3579</v>
      </c>
    </row>
    <row r="855" customFormat="false" ht="15" hidden="false" customHeight="false" outlineLevel="0" collapsed="false">
      <c r="A855" s="0" t="n">
        <v>853</v>
      </c>
      <c r="B855" s="0" t="s">
        <v>3580</v>
      </c>
      <c r="C855" s="0" t="s">
        <v>3581</v>
      </c>
      <c r="D855" s="0" t="s">
        <v>3582</v>
      </c>
      <c r="E855" s="0" t="s">
        <v>3583</v>
      </c>
    </row>
    <row r="856" customFormat="false" ht="15" hidden="false" customHeight="false" outlineLevel="0" collapsed="false">
      <c r="A856" s="0" t="n">
        <v>854</v>
      </c>
      <c r="B856" s="0" t="s">
        <v>3584</v>
      </c>
      <c r="C856" s="0" t="s">
        <v>3585</v>
      </c>
      <c r="D856" s="0" t="s">
        <v>3586</v>
      </c>
      <c r="E856" s="0" t="s">
        <v>3587</v>
      </c>
    </row>
    <row r="857" customFormat="false" ht="15" hidden="false" customHeight="false" outlineLevel="0" collapsed="false">
      <c r="A857" s="0" t="n">
        <v>855</v>
      </c>
      <c r="B857" s="0" t="s">
        <v>3588</v>
      </c>
      <c r="C857" s="0" t="s">
        <v>3589</v>
      </c>
      <c r="D857" s="0" t="s">
        <v>3590</v>
      </c>
      <c r="E857" s="0" t="s">
        <v>3591</v>
      </c>
    </row>
    <row r="858" customFormat="false" ht="15" hidden="false" customHeight="false" outlineLevel="0" collapsed="false">
      <c r="A858" s="0" t="n">
        <v>856</v>
      </c>
      <c r="B858" s="0" t="s">
        <v>3592</v>
      </c>
      <c r="C858" s="0" t="s">
        <v>3593</v>
      </c>
      <c r="D858" s="0" t="s">
        <v>3594</v>
      </c>
      <c r="E858" s="0" t="s">
        <v>3595</v>
      </c>
    </row>
    <row r="859" customFormat="false" ht="15" hidden="false" customHeight="false" outlineLevel="0" collapsed="false">
      <c r="A859" s="0" t="n">
        <v>857</v>
      </c>
      <c r="B859" s="0" t="s">
        <v>3596</v>
      </c>
      <c r="C859" s="0" t="s">
        <v>3597</v>
      </c>
      <c r="D859" s="0" t="s">
        <v>3598</v>
      </c>
      <c r="E859" s="0" t="s">
        <v>3599</v>
      </c>
    </row>
    <row r="860" customFormat="false" ht="15" hidden="false" customHeight="false" outlineLevel="0" collapsed="false">
      <c r="A860" s="0" t="n">
        <v>858</v>
      </c>
      <c r="B860" s="0" t="s">
        <v>3600</v>
      </c>
      <c r="C860" s="0" t="s">
        <v>3601</v>
      </c>
      <c r="D860" s="0" t="s">
        <v>3602</v>
      </c>
      <c r="E860" s="0" t="s">
        <v>3603</v>
      </c>
    </row>
    <row r="861" customFormat="false" ht="15" hidden="false" customHeight="false" outlineLevel="0" collapsed="false">
      <c r="A861" s="0" t="n">
        <v>859</v>
      </c>
      <c r="B861" s="0" t="s">
        <v>3604</v>
      </c>
      <c r="C861" s="0" t="s">
        <v>3605</v>
      </c>
      <c r="D861" s="0" t="s">
        <v>3606</v>
      </c>
      <c r="E861" s="0" t="s">
        <v>3607</v>
      </c>
    </row>
    <row r="862" customFormat="false" ht="15" hidden="false" customHeight="false" outlineLevel="0" collapsed="false">
      <c r="A862" s="0" t="n">
        <v>860</v>
      </c>
      <c r="B862" s="0" t="s">
        <v>3608</v>
      </c>
      <c r="C862" s="0" t="s">
        <v>3609</v>
      </c>
      <c r="D862" s="0" t="s">
        <v>3610</v>
      </c>
      <c r="E862" s="0" t="s">
        <v>3611</v>
      </c>
    </row>
    <row r="863" customFormat="false" ht="15" hidden="false" customHeight="false" outlineLevel="0" collapsed="false">
      <c r="A863" s="0" t="n">
        <v>861</v>
      </c>
      <c r="B863" s="0" t="s">
        <v>3612</v>
      </c>
      <c r="C863" s="0" t="s">
        <v>3613</v>
      </c>
      <c r="D863" s="0" t="s">
        <v>3614</v>
      </c>
      <c r="E863" s="0" t="s">
        <v>3615</v>
      </c>
    </row>
    <row r="864" customFormat="false" ht="15" hidden="false" customHeight="false" outlineLevel="0" collapsed="false">
      <c r="A864" s="0" t="n">
        <v>862</v>
      </c>
      <c r="B864" s="0" t="s">
        <v>3616</v>
      </c>
      <c r="C864" s="0" t="s">
        <v>3617</v>
      </c>
      <c r="D864" s="0" t="s">
        <v>3618</v>
      </c>
      <c r="E864" s="0" t="s">
        <v>3619</v>
      </c>
    </row>
    <row r="865" customFormat="false" ht="15" hidden="false" customHeight="false" outlineLevel="0" collapsed="false">
      <c r="A865" s="0" t="n">
        <v>863</v>
      </c>
      <c r="B865" s="0" t="s">
        <v>3620</v>
      </c>
      <c r="C865" s="0" t="s">
        <v>3621</v>
      </c>
      <c r="D865" s="0" t="s">
        <v>3622</v>
      </c>
      <c r="E865" s="0" t="s">
        <v>3623</v>
      </c>
    </row>
    <row r="866" customFormat="false" ht="15" hidden="false" customHeight="false" outlineLevel="0" collapsed="false">
      <c r="A866" s="0" t="n">
        <v>864</v>
      </c>
      <c r="B866" s="0" t="s">
        <v>3624</v>
      </c>
      <c r="C866" s="0" t="s">
        <v>3625</v>
      </c>
      <c r="D866" s="0" t="s">
        <v>3626</v>
      </c>
      <c r="E866" s="0" t="s">
        <v>3627</v>
      </c>
    </row>
    <row r="867" customFormat="false" ht="15" hidden="false" customHeight="false" outlineLevel="0" collapsed="false">
      <c r="A867" s="0" t="n">
        <v>865</v>
      </c>
      <c r="B867" s="0" t="s">
        <v>3628</v>
      </c>
      <c r="C867" s="0" t="s">
        <v>3629</v>
      </c>
      <c r="D867" s="0" t="s">
        <v>3630</v>
      </c>
      <c r="E867" s="0" t="s">
        <v>3631</v>
      </c>
    </row>
    <row r="868" customFormat="false" ht="15" hidden="false" customHeight="false" outlineLevel="0" collapsed="false">
      <c r="A868" s="0" t="n">
        <v>866</v>
      </c>
      <c r="B868" s="0" t="s">
        <v>3632</v>
      </c>
      <c r="C868" s="0" t="s">
        <v>3633</v>
      </c>
      <c r="D868" s="0" t="s">
        <v>3634</v>
      </c>
      <c r="E868" s="0" t="s">
        <v>3635</v>
      </c>
    </row>
    <row r="869" customFormat="false" ht="15" hidden="false" customHeight="false" outlineLevel="0" collapsed="false">
      <c r="A869" s="0" t="n">
        <v>867</v>
      </c>
      <c r="B869" s="0" t="s">
        <v>3636</v>
      </c>
      <c r="C869" s="0" t="s">
        <v>3637</v>
      </c>
      <c r="D869" s="0" t="s">
        <v>3638</v>
      </c>
      <c r="E869" s="0" t="s">
        <v>3639</v>
      </c>
    </row>
    <row r="870" customFormat="false" ht="15" hidden="false" customHeight="false" outlineLevel="0" collapsed="false">
      <c r="A870" s="0" t="n">
        <v>868</v>
      </c>
      <c r="B870" s="0" t="s">
        <v>3640</v>
      </c>
      <c r="C870" s="0" t="s">
        <v>3641</v>
      </c>
      <c r="D870" s="0" t="s">
        <v>3642</v>
      </c>
      <c r="E870" s="0" t="s">
        <v>3643</v>
      </c>
    </row>
    <row r="871" customFormat="false" ht="15" hidden="false" customHeight="false" outlineLevel="0" collapsed="false">
      <c r="A871" s="0" t="n">
        <v>869</v>
      </c>
      <c r="B871" s="0" t="s">
        <v>3644</v>
      </c>
      <c r="C871" s="0" t="s">
        <v>3645</v>
      </c>
      <c r="D871" s="0" t="s">
        <v>3646</v>
      </c>
      <c r="E871" s="0" t="s">
        <v>3647</v>
      </c>
    </row>
    <row r="872" customFormat="false" ht="15" hidden="false" customHeight="false" outlineLevel="0" collapsed="false">
      <c r="A872" s="0" t="n">
        <v>870</v>
      </c>
      <c r="B872" s="0" t="s">
        <v>3648</v>
      </c>
      <c r="C872" s="0" t="s">
        <v>3649</v>
      </c>
      <c r="D872" s="0" t="s">
        <v>3650</v>
      </c>
      <c r="E872" s="0" t="s">
        <v>3651</v>
      </c>
    </row>
    <row r="873" customFormat="false" ht="15" hidden="false" customHeight="false" outlineLevel="0" collapsed="false">
      <c r="A873" s="0" t="n">
        <v>871</v>
      </c>
      <c r="B873" s="0" t="s">
        <v>3652</v>
      </c>
      <c r="C873" s="0" t="s">
        <v>3653</v>
      </c>
      <c r="D873" s="0" t="s">
        <v>3654</v>
      </c>
      <c r="E873" s="0" t="s">
        <v>3655</v>
      </c>
    </row>
    <row r="874" customFormat="false" ht="15" hidden="false" customHeight="false" outlineLevel="0" collapsed="false">
      <c r="A874" s="0" t="n">
        <v>872</v>
      </c>
      <c r="B874" s="0" t="s">
        <v>3656</v>
      </c>
      <c r="C874" s="0" t="s">
        <v>3657</v>
      </c>
      <c r="D874" s="0" t="s">
        <v>3658</v>
      </c>
      <c r="E874" s="0" t="s">
        <v>3659</v>
      </c>
    </row>
    <row r="875" customFormat="false" ht="15" hidden="false" customHeight="false" outlineLevel="0" collapsed="false">
      <c r="A875" s="0" t="n">
        <v>873</v>
      </c>
      <c r="B875" s="0" t="s">
        <v>3660</v>
      </c>
      <c r="C875" s="0" t="s">
        <v>3661</v>
      </c>
      <c r="D875" s="0" t="s">
        <v>3662</v>
      </c>
      <c r="E875" s="0" t="s">
        <v>3663</v>
      </c>
    </row>
    <row r="876" customFormat="false" ht="15" hidden="false" customHeight="false" outlineLevel="0" collapsed="false">
      <c r="A876" s="0" t="n">
        <v>874</v>
      </c>
      <c r="B876" s="0" t="s">
        <v>3664</v>
      </c>
      <c r="C876" s="0" t="s">
        <v>3665</v>
      </c>
      <c r="D876" s="0" t="s">
        <v>3666</v>
      </c>
      <c r="E876" s="0" t="s">
        <v>3667</v>
      </c>
    </row>
    <row r="877" customFormat="false" ht="15" hidden="false" customHeight="false" outlineLevel="0" collapsed="false">
      <c r="A877" s="0" t="n">
        <v>875</v>
      </c>
      <c r="B877" s="0" t="s">
        <v>3668</v>
      </c>
      <c r="C877" s="0" t="s">
        <v>3669</v>
      </c>
      <c r="D877" s="0" t="s">
        <v>3670</v>
      </c>
      <c r="E877" s="0" t="s">
        <v>3671</v>
      </c>
    </row>
    <row r="878" customFormat="false" ht="15" hidden="false" customHeight="false" outlineLevel="0" collapsed="false">
      <c r="A878" s="0" t="n">
        <v>876</v>
      </c>
      <c r="B878" s="0" t="s">
        <v>3672</v>
      </c>
      <c r="C878" s="0" t="s">
        <v>3673</v>
      </c>
      <c r="D878" s="0" t="s">
        <v>3674</v>
      </c>
      <c r="E878" s="0" t="s">
        <v>3675</v>
      </c>
    </row>
    <row r="879" customFormat="false" ht="15" hidden="false" customHeight="false" outlineLevel="0" collapsed="false">
      <c r="A879" s="0" t="n">
        <v>877</v>
      </c>
      <c r="B879" s="0" t="s">
        <v>3676</v>
      </c>
      <c r="C879" s="0" t="s">
        <v>3677</v>
      </c>
      <c r="D879" s="0" t="s">
        <v>3678</v>
      </c>
      <c r="E879" s="0" t="s">
        <v>3679</v>
      </c>
    </row>
    <row r="880" customFormat="false" ht="15" hidden="false" customHeight="false" outlineLevel="0" collapsed="false">
      <c r="A880" s="0" t="n">
        <v>878</v>
      </c>
      <c r="B880" s="0" t="s">
        <v>3680</v>
      </c>
      <c r="C880" s="0" t="s">
        <v>3681</v>
      </c>
      <c r="D880" s="0" t="s">
        <v>3682</v>
      </c>
      <c r="E880" s="0" t="s">
        <v>3683</v>
      </c>
    </row>
    <row r="881" customFormat="false" ht="15" hidden="false" customHeight="false" outlineLevel="0" collapsed="false">
      <c r="A881" s="0" t="n">
        <v>879</v>
      </c>
      <c r="B881" s="0" t="s">
        <v>3684</v>
      </c>
      <c r="C881" s="0" t="s">
        <v>3685</v>
      </c>
      <c r="D881" s="0" t="s">
        <v>3686</v>
      </c>
      <c r="E881" s="0" t="s">
        <v>3687</v>
      </c>
    </row>
    <row r="882" customFormat="false" ht="15" hidden="false" customHeight="false" outlineLevel="0" collapsed="false">
      <c r="A882" s="0" t="n">
        <v>880</v>
      </c>
      <c r="B882" s="0" t="s">
        <v>3688</v>
      </c>
      <c r="C882" s="0" t="s">
        <v>3689</v>
      </c>
      <c r="D882" s="0" t="s">
        <v>3690</v>
      </c>
      <c r="E882" s="0" t="s">
        <v>3691</v>
      </c>
    </row>
    <row r="883" customFormat="false" ht="15" hidden="false" customHeight="false" outlineLevel="0" collapsed="false">
      <c r="A883" s="0" t="n">
        <v>881</v>
      </c>
      <c r="B883" s="0" t="s">
        <v>3692</v>
      </c>
      <c r="C883" s="0" t="s">
        <v>3693</v>
      </c>
      <c r="D883" s="0" t="s">
        <v>3694</v>
      </c>
      <c r="E883" s="0" t="s">
        <v>3695</v>
      </c>
    </row>
    <row r="884" customFormat="false" ht="15" hidden="false" customHeight="false" outlineLevel="0" collapsed="false">
      <c r="A884" s="0" t="n">
        <v>882</v>
      </c>
      <c r="B884" s="0" t="s">
        <v>3696</v>
      </c>
      <c r="C884" s="0" t="s">
        <v>3697</v>
      </c>
      <c r="D884" s="0" t="s">
        <v>3698</v>
      </c>
      <c r="E884" s="0" t="s">
        <v>3699</v>
      </c>
    </row>
    <row r="885" customFormat="false" ht="15" hidden="false" customHeight="false" outlineLevel="0" collapsed="false">
      <c r="A885" s="0" t="n">
        <v>883</v>
      </c>
      <c r="B885" s="0" t="s">
        <v>3700</v>
      </c>
      <c r="C885" s="0" t="s">
        <v>3701</v>
      </c>
      <c r="D885" s="0" t="s">
        <v>3702</v>
      </c>
      <c r="E885" s="0" t="s">
        <v>3703</v>
      </c>
    </row>
    <row r="886" customFormat="false" ht="15" hidden="false" customHeight="false" outlineLevel="0" collapsed="false">
      <c r="A886" s="0" t="n">
        <v>884</v>
      </c>
      <c r="B886" s="0" t="s">
        <v>3704</v>
      </c>
      <c r="C886" s="0" t="s">
        <v>3705</v>
      </c>
      <c r="D886" s="0" t="s">
        <v>3706</v>
      </c>
      <c r="E886" s="0" t="s">
        <v>3707</v>
      </c>
    </row>
    <row r="887" customFormat="false" ht="15" hidden="false" customHeight="false" outlineLevel="0" collapsed="false">
      <c r="A887" s="0" t="n">
        <v>885</v>
      </c>
      <c r="B887" s="0" t="s">
        <v>3708</v>
      </c>
      <c r="C887" s="0" t="s">
        <v>3709</v>
      </c>
      <c r="D887" s="0" t="s">
        <v>3710</v>
      </c>
      <c r="E887" s="0" t="s">
        <v>3711</v>
      </c>
    </row>
    <row r="888" customFormat="false" ht="15" hidden="false" customHeight="false" outlineLevel="0" collapsed="false">
      <c r="A888" s="0" t="n">
        <v>886</v>
      </c>
      <c r="B888" s="0" t="s">
        <v>3712</v>
      </c>
      <c r="C888" s="0" t="s">
        <v>3713</v>
      </c>
      <c r="D888" s="0" t="s">
        <v>3714</v>
      </c>
      <c r="E888" s="0" t="s">
        <v>3715</v>
      </c>
    </row>
    <row r="889" customFormat="false" ht="15" hidden="false" customHeight="false" outlineLevel="0" collapsed="false">
      <c r="A889" s="0" t="n">
        <v>887</v>
      </c>
      <c r="B889" s="0" t="s">
        <v>3716</v>
      </c>
      <c r="C889" s="0" t="s">
        <v>3717</v>
      </c>
      <c r="D889" s="0" t="s">
        <v>3718</v>
      </c>
      <c r="E889" s="0" t="s">
        <v>3719</v>
      </c>
    </row>
    <row r="890" customFormat="false" ht="15" hidden="false" customHeight="false" outlineLevel="0" collapsed="false">
      <c r="A890" s="0" t="n">
        <v>888</v>
      </c>
      <c r="B890" s="0" t="s">
        <v>3720</v>
      </c>
      <c r="C890" s="0" t="s">
        <v>3721</v>
      </c>
      <c r="D890" s="0" t="s">
        <v>3722</v>
      </c>
      <c r="E890" s="0" t="s">
        <v>3723</v>
      </c>
    </row>
    <row r="891" customFormat="false" ht="15" hidden="false" customHeight="false" outlineLevel="0" collapsed="false">
      <c r="A891" s="0" t="n">
        <v>889</v>
      </c>
      <c r="B891" s="0" t="s">
        <v>3724</v>
      </c>
      <c r="C891" s="0" t="s">
        <v>3725</v>
      </c>
      <c r="D891" s="0" t="s">
        <v>3726</v>
      </c>
      <c r="E891" s="0" t="s">
        <v>3727</v>
      </c>
    </row>
    <row r="892" customFormat="false" ht="15" hidden="false" customHeight="false" outlineLevel="0" collapsed="false">
      <c r="A892" s="0" t="n">
        <v>890</v>
      </c>
      <c r="B892" s="0" t="s">
        <v>3728</v>
      </c>
      <c r="C892" s="0" t="s">
        <v>3729</v>
      </c>
      <c r="D892" s="0" t="s">
        <v>3730</v>
      </c>
      <c r="E892" s="0" t="s">
        <v>3731</v>
      </c>
    </row>
    <row r="893" customFormat="false" ht="15" hidden="false" customHeight="false" outlineLevel="0" collapsed="false">
      <c r="A893" s="0" t="n">
        <v>891</v>
      </c>
      <c r="B893" s="0" t="s">
        <v>3732</v>
      </c>
      <c r="C893" s="0" t="s">
        <v>3733</v>
      </c>
      <c r="D893" s="0" t="s">
        <v>3734</v>
      </c>
      <c r="E893" s="0" t="s">
        <v>3735</v>
      </c>
    </row>
    <row r="894" customFormat="false" ht="15" hidden="false" customHeight="false" outlineLevel="0" collapsed="false">
      <c r="A894" s="0" t="n">
        <v>892</v>
      </c>
      <c r="B894" s="0" t="s">
        <v>3736</v>
      </c>
      <c r="C894" s="0" t="s">
        <v>3737</v>
      </c>
      <c r="D894" s="0" t="s">
        <v>3738</v>
      </c>
      <c r="E894" s="0" t="s">
        <v>3739</v>
      </c>
    </row>
    <row r="895" customFormat="false" ht="15" hidden="false" customHeight="false" outlineLevel="0" collapsed="false">
      <c r="A895" s="0" t="n">
        <v>893</v>
      </c>
      <c r="B895" s="0" t="s">
        <v>3740</v>
      </c>
      <c r="C895" s="0" t="s">
        <v>3741</v>
      </c>
      <c r="D895" s="0" t="s">
        <v>3742</v>
      </c>
      <c r="E895" s="0" t="s">
        <v>3743</v>
      </c>
    </row>
    <row r="896" customFormat="false" ht="15" hidden="false" customHeight="false" outlineLevel="0" collapsed="false">
      <c r="A896" s="0" t="n">
        <v>894</v>
      </c>
      <c r="B896" s="0" t="s">
        <v>3744</v>
      </c>
      <c r="C896" s="0" t="s">
        <v>3745</v>
      </c>
      <c r="D896" s="0" t="s">
        <v>3746</v>
      </c>
      <c r="E896" s="0" t="s">
        <v>3747</v>
      </c>
    </row>
    <row r="897" customFormat="false" ht="15" hidden="false" customHeight="false" outlineLevel="0" collapsed="false">
      <c r="A897" s="0" t="n">
        <v>895</v>
      </c>
      <c r="B897" s="0" t="s">
        <v>3748</v>
      </c>
      <c r="C897" s="0" t="s">
        <v>3749</v>
      </c>
      <c r="D897" s="0" t="s">
        <v>3750</v>
      </c>
      <c r="E897" s="0" t="s">
        <v>3751</v>
      </c>
    </row>
    <row r="898" customFormat="false" ht="15" hidden="false" customHeight="false" outlineLevel="0" collapsed="false">
      <c r="A898" s="0" t="n">
        <v>896</v>
      </c>
      <c r="B898" s="0" t="s">
        <v>3752</v>
      </c>
      <c r="C898" s="0" t="s">
        <v>3753</v>
      </c>
      <c r="D898" s="0" t="s">
        <v>3754</v>
      </c>
      <c r="E898" s="0" t="s">
        <v>3755</v>
      </c>
    </row>
    <row r="899" customFormat="false" ht="15" hidden="false" customHeight="false" outlineLevel="0" collapsed="false">
      <c r="A899" s="0" t="n">
        <v>897</v>
      </c>
      <c r="B899" s="0" t="s">
        <v>3756</v>
      </c>
      <c r="C899" s="0" t="s">
        <v>3757</v>
      </c>
      <c r="D899" s="0" t="s">
        <v>3758</v>
      </c>
      <c r="E899" s="0" t="s">
        <v>3759</v>
      </c>
    </row>
    <row r="900" customFormat="false" ht="15" hidden="false" customHeight="false" outlineLevel="0" collapsed="false">
      <c r="A900" s="0" t="n">
        <v>898</v>
      </c>
      <c r="B900" s="0" t="s">
        <v>3760</v>
      </c>
      <c r="C900" s="0" t="s">
        <v>3761</v>
      </c>
      <c r="D900" s="0" t="s">
        <v>3762</v>
      </c>
      <c r="E900" s="0" t="s">
        <v>3763</v>
      </c>
    </row>
    <row r="901" customFormat="false" ht="15" hidden="false" customHeight="false" outlineLevel="0" collapsed="false">
      <c r="A901" s="0" t="n">
        <v>899</v>
      </c>
      <c r="B901" s="0" t="s">
        <v>3764</v>
      </c>
      <c r="C901" s="0" t="s">
        <v>3765</v>
      </c>
      <c r="D901" s="0" t="s">
        <v>3766</v>
      </c>
      <c r="E901" s="0" t="s">
        <v>3767</v>
      </c>
    </row>
    <row r="902" customFormat="false" ht="15" hidden="false" customHeight="false" outlineLevel="0" collapsed="false">
      <c r="A902" s="0" t="n">
        <v>900</v>
      </c>
      <c r="B902" s="0" t="s">
        <v>3768</v>
      </c>
      <c r="C902" s="0" t="s">
        <v>3769</v>
      </c>
      <c r="D902" s="0" t="s">
        <v>3770</v>
      </c>
      <c r="E902" s="0" t="s">
        <v>3771</v>
      </c>
    </row>
    <row r="903" customFormat="false" ht="15" hidden="false" customHeight="false" outlineLevel="0" collapsed="false">
      <c r="A903" s="0" t="n">
        <v>901</v>
      </c>
      <c r="B903" s="0" t="s">
        <v>3772</v>
      </c>
      <c r="C903" s="0" t="s">
        <v>3773</v>
      </c>
      <c r="D903" s="0" t="s">
        <v>3774</v>
      </c>
      <c r="E903" s="0" t="s">
        <v>3775</v>
      </c>
    </row>
    <row r="904" customFormat="false" ht="15" hidden="false" customHeight="false" outlineLevel="0" collapsed="false">
      <c r="A904" s="0" t="n">
        <v>902</v>
      </c>
      <c r="B904" s="0" t="s">
        <v>3776</v>
      </c>
      <c r="C904" s="0" t="s">
        <v>3777</v>
      </c>
      <c r="D904" s="0" t="s">
        <v>3778</v>
      </c>
      <c r="E904" s="0" t="s">
        <v>3779</v>
      </c>
    </row>
    <row r="905" customFormat="false" ht="15" hidden="false" customHeight="false" outlineLevel="0" collapsed="false">
      <c r="A905" s="0" t="n">
        <v>903</v>
      </c>
      <c r="B905" s="0" t="s">
        <v>3780</v>
      </c>
      <c r="C905" s="0" t="s">
        <v>3781</v>
      </c>
      <c r="D905" s="0" t="s">
        <v>3782</v>
      </c>
      <c r="E905" s="0" t="s">
        <v>3783</v>
      </c>
    </row>
    <row r="906" customFormat="false" ht="15" hidden="false" customHeight="false" outlineLevel="0" collapsed="false">
      <c r="A906" s="0" t="n">
        <v>904</v>
      </c>
      <c r="B906" s="0" t="s">
        <v>3784</v>
      </c>
      <c r="C906" s="0" t="s">
        <v>3785</v>
      </c>
      <c r="D906" s="0" t="s">
        <v>3786</v>
      </c>
      <c r="E906" s="0" t="s">
        <v>3787</v>
      </c>
    </row>
    <row r="907" customFormat="false" ht="15" hidden="false" customHeight="false" outlineLevel="0" collapsed="false">
      <c r="A907" s="0" t="n">
        <v>905</v>
      </c>
      <c r="B907" s="0" t="s">
        <v>3788</v>
      </c>
      <c r="C907" s="0" t="s">
        <v>3789</v>
      </c>
      <c r="D907" s="0" t="s">
        <v>3790</v>
      </c>
      <c r="E907" s="0" t="s">
        <v>3791</v>
      </c>
    </row>
    <row r="908" customFormat="false" ht="15" hidden="false" customHeight="false" outlineLevel="0" collapsed="false">
      <c r="A908" s="0" t="n">
        <v>906</v>
      </c>
      <c r="B908" s="0" t="s">
        <v>3792</v>
      </c>
      <c r="C908" s="0" t="s">
        <v>3793</v>
      </c>
      <c r="D908" s="0" t="s">
        <v>3794</v>
      </c>
      <c r="E908" s="0" t="s">
        <v>3795</v>
      </c>
    </row>
    <row r="909" customFormat="false" ht="15" hidden="false" customHeight="false" outlineLevel="0" collapsed="false">
      <c r="A909" s="0" t="n">
        <v>907</v>
      </c>
      <c r="B909" s="0" t="s">
        <v>3796</v>
      </c>
      <c r="C909" s="0" t="s">
        <v>3797</v>
      </c>
      <c r="D909" s="0" t="s">
        <v>3798</v>
      </c>
      <c r="E909" s="0" t="s">
        <v>3799</v>
      </c>
    </row>
    <row r="910" customFormat="false" ht="15" hidden="false" customHeight="false" outlineLevel="0" collapsed="false">
      <c r="A910" s="0" t="n">
        <v>908</v>
      </c>
      <c r="B910" s="0" t="s">
        <v>3800</v>
      </c>
      <c r="C910" s="0" t="s">
        <v>3801</v>
      </c>
      <c r="D910" s="0" t="s">
        <v>3802</v>
      </c>
      <c r="E910" s="0" t="s">
        <v>3803</v>
      </c>
    </row>
    <row r="911" customFormat="false" ht="15" hidden="false" customHeight="false" outlineLevel="0" collapsed="false">
      <c r="A911" s="0" t="n">
        <v>909</v>
      </c>
      <c r="B911" s="0" t="s">
        <v>3804</v>
      </c>
      <c r="C911" s="0" t="s">
        <v>3805</v>
      </c>
      <c r="D911" s="0" t="s">
        <v>3806</v>
      </c>
      <c r="E911" s="0" t="s">
        <v>3807</v>
      </c>
    </row>
    <row r="912" customFormat="false" ht="15" hidden="false" customHeight="false" outlineLevel="0" collapsed="false">
      <c r="A912" s="0" t="n">
        <v>910</v>
      </c>
      <c r="B912" s="0" t="s">
        <v>3808</v>
      </c>
      <c r="C912" s="0" t="s">
        <v>3809</v>
      </c>
      <c r="D912" s="0" t="s">
        <v>3810</v>
      </c>
      <c r="E912" s="0" t="s">
        <v>3811</v>
      </c>
    </row>
    <row r="913" customFormat="false" ht="15" hidden="false" customHeight="false" outlineLevel="0" collapsed="false">
      <c r="A913" s="0" t="n">
        <v>911</v>
      </c>
      <c r="B913" s="0" t="s">
        <v>3812</v>
      </c>
      <c r="C913" s="0" t="s">
        <v>3813</v>
      </c>
      <c r="D913" s="0" t="s">
        <v>3814</v>
      </c>
      <c r="E913" s="0" t="s">
        <v>3815</v>
      </c>
    </row>
    <row r="914" customFormat="false" ht="15" hidden="false" customHeight="false" outlineLevel="0" collapsed="false">
      <c r="A914" s="0" t="n">
        <v>912</v>
      </c>
      <c r="B914" s="0" t="s">
        <v>3816</v>
      </c>
      <c r="C914" s="0" t="s">
        <v>3817</v>
      </c>
      <c r="D914" s="0" t="s">
        <v>3818</v>
      </c>
      <c r="E914" s="0" t="s">
        <v>3819</v>
      </c>
    </row>
    <row r="915" customFormat="false" ht="15" hidden="false" customHeight="false" outlineLevel="0" collapsed="false">
      <c r="A915" s="0" t="n">
        <v>913</v>
      </c>
      <c r="B915" s="0" t="s">
        <v>3820</v>
      </c>
      <c r="C915" s="0" t="s">
        <v>3821</v>
      </c>
      <c r="D915" s="0" t="s">
        <v>3822</v>
      </c>
      <c r="E915" s="0" t="s">
        <v>3823</v>
      </c>
    </row>
    <row r="916" customFormat="false" ht="15" hidden="false" customHeight="false" outlineLevel="0" collapsed="false">
      <c r="A916" s="0" t="n">
        <v>914</v>
      </c>
      <c r="B916" s="0" t="s">
        <v>3824</v>
      </c>
      <c r="C916" s="0" t="s">
        <v>3825</v>
      </c>
      <c r="D916" s="0" t="s">
        <v>3826</v>
      </c>
      <c r="E916" s="0" t="s">
        <v>3827</v>
      </c>
    </row>
    <row r="917" customFormat="false" ht="15" hidden="false" customHeight="false" outlineLevel="0" collapsed="false">
      <c r="A917" s="0" t="n">
        <v>915</v>
      </c>
      <c r="B917" s="0" t="s">
        <v>3828</v>
      </c>
      <c r="C917" s="0" t="s">
        <v>3829</v>
      </c>
      <c r="D917" s="0" t="s">
        <v>3830</v>
      </c>
      <c r="E917" s="0" t="s">
        <v>3831</v>
      </c>
    </row>
    <row r="918" customFormat="false" ht="15" hidden="false" customHeight="false" outlineLevel="0" collapsed="false">
      <c r="A918" s="0" t="n">
        <v>916</v>
      </c>
      <c r="B918" s="0" t="s">
        <v>3832</v>
      </c>
      <c r="C918" s="0" t="s">
        <v>3833</v>
      </c>
      <c r="D918" s="0" t="s">
        <v>3834</v>
      </c>
      <c r="E918" s="0" t="s">
        <v>3835</v>
      </c>
    </row>
    <row r="919" customFormat="false" ht="15" hidden="false" customHeight="false" outlineLevel="0" collapsed="false">
      <c r="A919" s="0" t="n">
        <v>917</v>
      </c>
      <c r="B919" s="0" t="s">
        <v>3836</v>
      </c>
      <c r="C919" s="0" t="s">
        <v>3837</v>
      </c>
      <c r="D919" s="0" t="s">
        <v>3838</v>
      </c>
      <c r="E919" s="0" t="s">
        <v>3839</v>
      </c>
    </row>
    <row r="920" customFormat="false" ht="15" hidden="false" customHeight="false" outlineLevel="0" collapsed="false">
      <c r="A920" s="0" t="n">
        <v>918</v>
      </c>
      <c r="B920" s="0" t="s">
        <v>3840</v>
      </c>
      <c r="C920" s="0" t="s">
        <v>3841</v>
      </c>
      <c r="D920" s="0" t="s">
        <v>3842</v>
      </c>
      <c r="E920" s="0" t="s">
        <v>3843</v>
      </c>
    </row>
    <row r="921" customFormat="false" ht="15" hidden="false" customHeight="false" outlineLevel="0" collapsed="false">
      <c r="A921" s="0" t="n">
        <v>919</v>
      </c>
      <c r="B921" s="0" t="s">
        <v>3844</v>
      </c>
      <c r="C921" s="0" t="s">
        <v>3845</v>
      </c>
      <c r="D921" s="0" t="s">
        <v>3846</v>
      </c>
      <c r="E921" s="0" t="s">
        <v>3847</v>
      </c>
    </row>
    <row r="922" customFormat="false" ht="15" hidden="false" customHeight="false" outlineLevel="0" collapsed="false">
      <c r="A922" s="0" t="n">
        <v>920</v>
      </c>
      <c r="B922" s="0" t="s">
        <v>3848</v>
      </c>
      <c r="C922" s="0" t="s">
        <v>3849</v>
      </c>
      <c r="D922" s="0" t="s">
        <v>3850</v>
      </c>
      <c r="E922" s="0" t="s">
        <v>3851</v>
      </c>
    </row>
    <row r="923" customFormat="false" ht="15" hidden="false" customHeight="false" outlineLevel="0" collapsed="false">
      <c r="A923" s="0" t="n">
        <v>921</v>
      </c>
      <c r="B923" s="0" t="s">
        <v>3852</v>
      </c>
      <c r="C923" s="0" t="s">
        <v>3853</v>
      </c>
      <c r="D923" s="0" t="s">
        <v>3854</v>
      </c>
      <c r="E923" s="0" t="s">
        <v>3855</v>
      </c>
    </row>
    <row r="924" customFormat="false" ht="15" hidden="false" customHeight="false" outlineLevel="0" collapsed="false">
      <c r="A924" s="0" t="n">
        <v>922</v>
      </c>
      <c r="B924" s="0" t="s">
        <v>3856</v>
      </c>
      <c r="C924" s="0" t="s">
        <v>3857</v>
      </c>
      <c r="D924" s="0" t="s">
        <v>3858</v>
      </c>
      <c r="E924" s="0" t="s">
        <v>3859</v>
      </c>
    </row>
    <row r="925" customFormat="false" ht="15" hidden="false" customHeight="false" outlineLevel="0" collapsed="false">
      <c r="A925" s="0" t="n">
        <v>923</v>
      </c>
      <c r="B925" s="0" t="s">
        <v>3860</v>
      </c>
      <c r="C925" s="0" t="s">
        <v>3861</v>
      </c>
      <c r="D925" s="0" t="s">
        <v>3862</v>
      </c>
      <c r="E925" s="0" t="s">
        <v>3863</v>
      </c>
    </row>
    <row r="926" customFormat="false" ht="15" hidden="false" customHeight="false" outlineLevel="0" collapsed="false">
      <c r="A926" s="0" t="n">
        <v>924</v>
      </c>
      <c r="B926" s="0" t="s">
        <v>3864</v>
      </c>
      <c r="C926" s="0" t="s">
        <v>3865</v>
      </c>
      <c r="D926" s="0" t="s">
        <v>3866</v>
      </c>
      <c r="E926" s="0" t="s">
        <v>3867</v>
      </c>
    </row>
    <row r="927" customFormat="false" ht="15" hidden="false" customHeight="false" outlineLevel="0" collapsed="false">
      <c r="A927" s="0" t="n">
        <v>925</v>
      </c>
      <c r="B927" s="0" t="s">
        <v>3868</v>
      </c>
      <c r="C927" s="0" t="s">
        <v>3869</v>
      </c>
      <c r="D927" s="0" t="s">
        <v>3870</v>
      </c>
      <c r="E927" s="0" t="s">
        <v>3871</v>
      </c>
    </row>
    <row r="928" customFormat="false" ht="15" hidden="false" customHeight="false" outlineLevel="0" collapsed="false">
      <c r="A928" s="0" t="n">
        <v>926</v>
      </c>
      <c r="B928" s="0" t="s">
        <v>3872</v>
      </c>
      <c r="C928" s="0" t="s">
        <v>3873</v>
      </c>
      <c r="D928" s="0" t="s">
        <v>3874</v>
      </c>
      <c r="E928" s="0" t="s">
        <v>3875</v>
      </c>
    </row>
    <row r="929" customFormat="false" ht="15" hidden="false" customHeight="false" outlineLevel="0" collapsed="false">
      <c r="A929" s="0" t="n">
        <v>927</v>
      </c>
      <c r="B929" s="0" t="s">
        <v>3876</v>
      </c>
      <c r="C929" s="0" t="s">
        <v>3877</v>
      </c>
      <c r="D929" s="0" t="s">
        <v>3878</v>
      </c>
      <c r="E929" s="0" t="s">
        <v>3879</v>
      </c>
    </row>
    <row r="930" customFormat="false" ht="15" hidden="false" customHeight="false" outlineLevel="0" collapsed="false">
      <c r="A930" s="0" t="n">
        <v>928</v>
      </c>
      <c r="B930" s="0" t="s">
        <v>3880</v>
      </c>
      <c r="C930" s="0" t="s">
        <v>3881</v>
      </c>
      <c r="D930" s="0" t="s">
        <v>3882</v>
      </c>
      <c r="E930" s="0" t="s">
        <v>3883</v>
      </c>
    </row>
    <row r="931" customFormat="false" ht="15" hidden="false" customHeight="false" outlineLevel="0" collapsed="false">
      <c r="A931" s="0" t="n">
        <v>929</v>
      </c>
      <c r="B931" s="0" t="s">
        <v>3884</v>
      </c>
      <c r="C931" s="0" t="s">
        <v>3885</v>
      </c>
      <c r="D931" s="0" t="s">
        <v>3886</v>
      </c>
      <c r="E931" s="0" t="s">
        <v>3887</v>
      </c>
    </row>
    <row r="932" customFormat="false" ht="15" hidden="false" customHeight="false" outlineLevel="0" collapsed="false">
      <c r="A932" s="0" t="n">
        <v>930</v>
      </c>
      <c r="B932" s="0" t="s">
        <v>3888</v>
      </c>
      <c r="C932" s="0" t="s">
        <v>3889</v>
      </c>
      <c r="D932" s="0" t="s">
        <v>3890</v>
      </c>
      <c r="E932" s="0" t="s">
        <v>3891</v>
      </c>
    </row>
    <row r="933" customFormat="false" ht="15" hidden="false" customHeight="false" outlineLevel="0" collapsed="false">
      <c r="A933" s="0" t="n">
        <v>931</v>
      </c>
      <c r="B933" s="0" t="s">
        <v>3892</v>
      </c>
      <c r="C933" s="0" t="s">
        <v>3893</v>
      </c>
      <c r="D933" s="0" t="s">
        <v>3894</v>
      </c>
      <c r="E933" s="0" t="s">
        <v>3895</v>
      </c>
    </row>
    <row r="934" customFormat="false" ht="15" hidden="false" customHeight="false" outlineLevel="0" collapsed="false">
      <c r="A934" s="0" t="n">
        <v>932</v>
      </c>
      <c r="B934" s="0" t="s">
        <v>3896</v>
      </c>
      <c r="C934" s="0" t="s">
        <v>3897</v>
      </c>
      <c r="D934" s="0" t="s">
        <v>3898</v>
      </c>
      <c r="E934" s="0" t="s">
        <v>3899</v>
      </c>
    </row>
    <row r="935" customFormat="false" ht="15" hidden="false" customHeight="false" outlineLevel="0" collapsed="false">
      <c r="A935" s="0" t="n">
        <v>933</v>
      </c>
      <c r="B935" s="0" t="s">
        <v>3900</v>
      </c>
      <c r="C935" s="0" t="s">
        <v>3901</v>
      </c>
      <c r="D935" s="0" t="s">
        <v>3902</v>
      </c>
      <c r="E935" s="0" t="s">
        <v>3903</v>
      </c>
    </row>
    <row r="936" customFormat="false" ht="15" hidden="false" customHeight="false" outlineLevel="0" collapsed="false">
      <c r="A936" s="0" t="n">
        <v>934</v>
      </c>
      <c r="B936" s="0" t="s">
        <v>3904</v>
      </c>
      <c r="C936" s="0" t="s">
        <v>3905</v>
      </c>
      <c r="D936" s="0" t="s">
        <v>3906</v>
      </c>
      <c r="E936" s="0" t="s">
        <v>3907</v>
      </c>
    </row>
    <row r="937" customFormat="false" ht="15" hidden="false" customHeight="false" outlineLevel="0" collapsed="false">
      <c r="A937" s="0" t="n">
        <v>935</v>
      </c>
      <c r="B937" s="0" t="s">
        <v>3908</v>
      </c>
      <c r="C937" s="0" t="s">
        <v>3909</v>
      </c>
      <c r="D937" s="0" t="s">
        <v>3910</v>
      </c>
      <c r="E937" s="0" t="s">
        <v>3911</v>
      </c>
    </row>
    <row r="938" customFormat="false" ht="15" hidden="false" customHeight="false" outlineLevel="0" collapsed="false">
      <c r="A938" s="0" t="n">
        <v>936</v>
      </c>
      <c r="B938" s="0" t="s">
        <v>3912</v>
      </c>
      <c r="C938" s="0" t="s">
        <v>3913</v>
      </c>
      <c r="D938" s="0" t="s">
        <v>3914</v>
      </c>
      <c r="E938" s="0" t="s">
        <v>3915</v>
      </c>
    </row>
    <row r="939" customFormat="false" ht="15" hidden="false" customHeight="false" outlineLevel="0" collapsed="false">
      <c r="A939" s="0" t="n">
        <v>937</v>
      </c>
      <c r="B939" s="0" t="s">
        <v>3916</v>
      </c>
      <c r="C939" s="0" t="s">
        <v>3917</v>
      </c>
      <c r="D939" s="0" t="s">
        <v>3918</v>
      </c>
      <c r="E939" s="0" t="s">
        <v>3919</v>
      </c>
    </row>
    <row r="940" customFormat="false" ht="15" hidden="false" customHeight="false" outlineLevel="0" collapsed="false">
      <c r="A940" s="0" t="n">
        <v>938</v>
      </c>
      <c r="B940" s="0" t="s">
        <v>3920</v>
      </c>
      <c r="C940" s="0" t="s">
        <v>3921</v>
      </c>
      <c r="D940" s="0" t="s">
        <v>3922</v>
      </c>
      <c r="E940" s="0" t="s">
        <v>3923</v>
      </c>
    </row>
    <row r="941" customFormat="false" ht="15" hidden="false" customHeight="false" outlineLevel="0" collapsed="false">
      <c r="A941" s="0" t="n">
        <v>939</v>
      </c>
      <c r="B941" s="0" t="s">
        <v>3924</v>
      </c>
      <c r="C941" s="0" t="s">
        <v>3925</v>
      </c>
      <c r="D941" s="0" t="s">
        <v>3926</v>
      </c>
      <c r="E941" s="0" t="s">
        <v>3927</v>
      </c>
    </row>
    <row r="942" customFormat="false" ht="15" hidden="false" customHeight="false" outlineLevel="0" collapsed="false">
      <c r="A942" s="0" t="n">
        <v>940</v>
      </c>
      <c r="B942" s="0" t="s">
        <v>3928</v>
      </c>
      <c r="C942" s="0" t="s">
        <v>3929</v>
      </c>
      <c r="D942" s="0" t="s">
        <v>3930</v>
      </c>
      <c r="E942" s="0" t="s">
        <v>3931</v>
      </c>
    </row>
    <row r="943" customFormat="false" ht="15" hidden="false" customHeight="false" outlineLevel="0" collapsed="false">
      <c r="A943" s="0" t="n">
        <v>941</v>
      </c>
      <c r="B943" s="0" t="s">
        <v>3932</v>
      </c>
      <c r="C943" s="0" t="s">
        <v>3933</v>
      </c>
      <c r="D943" s="0" t="s">
        <v>3934</v>
      </c>
      <c r="E943" s="0" t="s">
        <v>3935</v>
      </c>
    </row>
    <row r="944" customFormat="false" ht="15" hidden="false" customHeight="false" outlineLevel="0" collapsed="false">
      <c r="A944" s="0" t="n">
        <v>942</v>
      </c>
      <c r="B944" s="0" t="s">
        <v>3936</v>
      </c>
      <c r="C944" s="0" t="s">
        <v>3937</v>
      </c>
      <c r="D944" s="0" t="s">
        <v>3938</v>
      </c>
      <c r="E944" s="0" t="s">
        <v>3939</v>
      </c>
    </row>
    <row r="945" customFormat="false" ht="15" hidden="false" customHeight="false" outlineLevel="0" collapsed="false">
      <c r="A945" s="0" t="n">
        <v>943</v>
      </c>
      <c r="B945" s="0" t="s">
        <v>3940</v>
      </c>
      <c r="C945" s="0" t="s">
        <v>3941</v>
      </c>
      <c r="D945" s="0" t="s">
        <v>3942</v>
      </c>
      <c r="E945" s="0" t="s">
        <v>3943</v>
      </c>
    </row>
    <row r="946" customFormat="false" ht="15" hidden="false" customHeight="false" outlineLevel="0" collapsed="false">
      <c r="A946" s="0" t="n">
        <v>944</v>
      </c>
      <c r="B946" s="0" t="s">
        <v>3944</v>
      </c>
      <c r="C946" s="0" t="s">
        <v>3945</v>
      </c>
      <c r="D946" s="0" t="s">
        <v>3946</v>
      </c>
      <c r="E946" s="0" t="s">
        <v>3947</v>
      </c>
    </row>
    <row r="947" customFormat="false" ht="15" hidden="false" customHeight="false" outlineLevel="0" collapsed="false">
      <c r="A947" s="0" t="n">
        <v>945</v>
      </c>
      <c r="B947" s="0" t="s">
        <v>3948</v>
      </c>
      <c r="C947" s="0" t="s">
        <v>3949</v>
      </c>
      <c r="D947" s="0" t="s">
        <v>3950</v>
      </c>
      <c r="E947" s="0" t="s">
        <v>3951</v>
      </c>
    </row>
    <row r="948" customFormat="false" ht="15" hidden="false" customHeight="false" outlineLevel="0" collapsed="false">
      <c r="A948" s="0" t="n">
        <v>946</v>
      </c>
      <c r="B948" s="0" t="s">
        <v>3952</v>
      </c>
      <c r="C948" s="0" t="s">
        <v>3953</v>
      </c>
      <c r="D948" s="0" t="s">
        <v>3954</v>
      </c>
      <c r="E948" s="0" t="s">
        <v>3955</v>
      </c>
    </row>
    <row r="949" customFormat="false" ht="15" hidden="false" customHeight="false" outlineLevel="0" collapsed="false">
      <c r="A949" s="0" t="n">
        <v>947</v>
      </c>
      <c r="B949" s="0" t="s">
        <v>3956</v>
      </c>
      <c r="C949" s="0" t="s">
        <v>3957</v>
      </c>
      <c r="D949" s="0" t="s">
        <v>3958</v>
      </c>
      <c r="E949" s="0" t="s">
        <v>3959</v>
      </c>
    </row>
    <row r="950" customFormat="false" ht="15" hidden="false" customHeight="false" outlineLevel="0" collapsed="false">
      <c r="A950" s="0" t="n">
        <v>948</v>
      </c>
      <c r="B950" s="0" t="s">
        <v>3960</v>
      </c>
      <c r="C950" s="0" t="s">
        <v>3961</v>
      </c>
      <c r="D950" s="0" t="s">
        <v>3962</v>
      </c>
      <c r="E950" s="0" t="s">
        <v>3963</v>
      </c>
    </row>
    <row r="951" customFormat="false" ht="15" hidden="false" customHeight="false" outlineLevel="0" collapsed="false">
      <c r="A951" s="0" t="n">
        <v>949</v>
      </c>
      <c r="B951" s="0" t="s">
        <v>3964</v>
      </c>
      <c r="C951" s="0" t="s">
        <v>3965</v>
      </c>
      <c r="D951" s="0" t="s">
        <v>3966</v>
      </c>
      <c r="E951" s="0" t="s">
        <v>3967</v>
      </c>
    </row>
    <row r="952" customFormat="false" ht="15" hidden="false" customHeight="false" outlineLevel="0" collapsed="false">
      <c r="A952" s="0" t="n">
        <v>950</v>
      </c>
      <c r="B952" s="0" t="s">
        <v>3968</v>
      </c>
      <c r="C952" s="0" t="s">
        <v>3969</v>
      </c>
      <c r="D952" s="0" t="s">
        <v>3970</v>
      </c>
      <c r="E952" s="0" t="s">
        <v>3971</v>
      </c>
    </row>
    <row r="953" customFormat="false" ht="15" hidden="false" customHeight="false" outlineLevel="0" collapsed="false">
      <c r="A953" s="0" t="n">
        <v>951</v>
      </c>
      <c r="B953" s="0" t="s">
        <v>3972</v>
      </c>
      <c r="C953" s="0" t="s">
        <v>3973</v>
      </c>
      <c r="D953" s="0" t="s">
        <v>3974</v>
      </c>
      <c r="E953" s="0" t="s">
        <v>3975</v>
      </c>
    </row>
    <row r="954" customFormat="false" ht="15" hidden="false" customHeight="false" outlineLevel="0" collapsed="false">
      <c r="A954" s="0" t="n">
        <v>952</v>
      </c>
      <c r="B954" s="0" t="s">
        <v>3976</v>
      </c>
      <c r="C954" s="0" t="s">
        <v>3977</v>
      </c>
      <c r="D954" s="0" t="s">
        <v>3978</v>
      </c>
      <c r="E954" s="0" t="s">
        <v>3979</v>
      </c>
    </row>
    <row r="955" customFormat="false" ht="15" hidden="false" customHeight="false" outlineLevel="0" collapsed="false">
      <c r="A955" s="0" t="n">
        <v>953</v>
      </c>
      <c r="B955" s="0" t="s">
        <v>3980</v>
      </c>
      <c r="C955" s="0" t="s">
        <v>3981</v>
      </c>
      <c r="D955" s="0" t="s">
        <v>3982</v>
      </c>
      <c r="E955" s="0" t="s">
        <v>3983</v>
      </c>
    </row>
    <row r="956" customFormat="false" ht="15" hidden="false" customHeight="false" outlineLevel="0" collapsed="false">
      <c r="A956" s="0" t="n">
        <v>954</v>
      </c>
      <c r="B956" s="0" t="s">
        <v>3984</v>
      </c>
      <c r="C956" s="0" t="s">
        <v>3985</v>
      </c>
      <c r="D956" s="0" t="s">
        <v>3986</v>
      </c>
      <c r="E956" s="0" t="s">
        <v>3987</v>
      </c>
    </row>
    <row r="957" customFormat="false" ht="15" hidden="false" customHeight="false" outlineLevel="0" collapsed="false">
      <c r="A957" s="0" t="n">
        <v>955</v>
      </c>
      <c r="B957" s="0" t="s">
        <v>3988</v>
      </c>
      <c r="C957" s="0" t="s">
        <v>3989</v>
      </c>
      <c r="D957" s="0" t="s">
        <v>3990</v>
      </c>
      <c r="E957" s="0" t="s">
        <v>3991</v>
      </c>
    </row>
    <row r="958" customFormat="false" ht="15" hidden="false" customHeight="false" outlineLevel="0" collapsed="false">
      <c r="A958" s="0" t="n">
        <v>956</v>
      </c>
      <c r="B958" s="0" t="s">
        <v>3992</v>
      </c>
      <c r="C958" s="0" t="s">
        <v>3993</v>
      </c>
      <c r="D958" s="0" t="s">
        <v>3994</v>
      </c>
      <c r="E958" s="0" t="s">
        <v>3995</v>
      </c>
    </row>
    <row r="959" customFormat="false" ht="15" hidden="false" customHeight="false" outlineLevel="0" collapsed="false">
      <c r="A959" s="0" t="n">
        <v>957</v>
      </c>
      <c r="B959" s="0" t="s">
        <v>3996</v>
      </c>
      <c r="C959" s="0" t="s">
        <v>3997</v>
      </c>
      <c r="D959" s="0" t="s">
        <v>3998</v>
      </c>
      <c r="E959" s="0" t="s">
        <v>3999</v>
      </c>
    </row>
    <row r="960" customFormat="false" ht="15" hidden="false" customHeight="false" outlineLevel="0" collapsed="false">
      <c r="A960" s="0" t="n">
        <v>958</v>
      </c>
      <c r="B960" s="0" t="s">
        <v>4000</v>
      </c>
      <c r="C960" s="0" t="s">
        <v>4001</v>
      </c>
      <c r="D960" s="0" t="s">
        <v>4002</v>
      </c>
      <c r="E960" s="0" t="s">
        <v>4003</v>
      </c>
    </row>
    <row r="961" customFormat="false" ht="15" hidden="false" customHeight="false" outlineLevel="0" collapsed="false">
      <c r="A961" s="0" t="n">
        <v>959</v>
      </c>
      <c r="B961" s="0" t="s">
        <v>4004</v>
      </c>
      <c r="C961" s="0" t="s">
        <v>4005</v>
      </c>
      <c r="D961" s="0" t="s">
        <v>4006</v>
      </c>
      <c r="E961" s="0" t="s">
        <v>4007</v>
      </c>
    </row>
    <row r="962" customFormat="false" ht="15" hidden="false" customHeight="false" outlineLevel="0" collapsed="false">
      <c r="A962" s="0" t="n">
        <v>960</v>
      </c>
      <c r="B962" s="0" t="s">
        <v>4008</v>
      </c>
      <c r="C962" s="0" t="s">
        <v>4009</v>
      </c>
      <c r="D962" s="0" t="s">
        <v>4010</v>
      </c>
      <c r="E962" s="0" t="s">
        <v>4011</v>
      </c>
    </row>
    <row r="963" customFormat="false" ht="15" hidden="false" customHeight="false" outlineLevel="0" collapsed="false">
      <c r="A963" s="0" t="n">
        <v>961</v>
      </c>
      <c r="B963" s="0" t="s">
        <v>4012</v>
      </c>
      <c r="C963" s="0" t="s">
        <v>4013</v>
      </c>
      <c r="D963" s="0" t="s">
        <v>4014</v>
      </c>
      <c r="E963" s="0" t="s">
        <v>4015</v>
      </c>
    </row>
    <row r="964" customFormat="false" ht="15" hidden="false" customHeight="false" outlineLevel="0" collapsed="false">
      <c r="A964" s="0" t="n">
        <v>962</v>
      </c>
      <c r="B964" s="0" t="s">
        <v>4016</v>
      </c>
      <c r="C964" s="0" t="s">
        <v>4017</v>
      </c>
      <c r="D964" s="0" t="s">
        <v>4018</v>
      </c>
      <c r="E964" s="0" t="s">
        <v>4019</v>
      </c>
    </row>
    <row r="965" customFormat="false" ht="15" hidden="false" customHeight="false" outlineLevel="0" collapsed="false">
      <c r="A965" s="0" t="n">
        <v>963</v>
      </c>
      <c r="B965" s="0" t="s">
        <v>4020</v>
      </c>
      <c r="C965" s="0" t="s">
        <v>4021</v>
      </c>
      <c r="D965" s="0" t="s">
        <v>4022</v>
      </c>
      <c r="E965" s="0" t="s">
        <v>4023</v>
      </c>
    </row>
    <row r="966" customFormat="false" ht="15" hidden="false" customHeight="false" outlineLevel="0" collapsed="false">
      <c r="A966" s="0" t="n">
        <v>964</v>
      </c>
      <c r="B966" s="0" t="s">
        <v>4024</v>
      </c>
      <c r="C966" s="0" t="s">
        <v>4025</v>
      </c>
      <c r="D966" s="0" t="s">
        <v>4026</v>
      </c>
      <c r="E966" s="0" t="s">
        <v>4027</v>
      </c>
    </row>
    <row r="967" customFormat="false" ht="15" hidden="false" customHeight="false" outlineLevel="0" collapsed="false">
      <c r="A967" s="0" t="n">
        <v>965</v>
      </c>
      <c r="B967" s="0" t="s">
        <v>4028</v>
      </c>
      <c r="C967" s="0" t="s">
        <v>4029</v>
      </c>
      <c r="D967" s="0" t="s">
        <v>4030</v>
      </c>
      <c r="E967" s="0" t="s">
        <v>4031</v>
      </c>
    </row>
    <row r="968" customFormat="false" ht="15" hidden="false" customHeight="false" outlineLevel="0" collapsed="false">
      <c r="A968" s="0" t="n">
        <v>966</v>
      </c>
      <c r="B968" s="0" t="s">
        <v>4032</v>
      </c>
      <c r="C968" s="0" t="s">
        <v>4033</v>
      </c>
      <c r="D968" s="0" t="s">
        <v>4034</v>
      </c>
      <c r="E968" s="0" t="s">
        <v>4035</v>
      </c>
    </row>
    <row r="969" customFormat="false" ht="15" hidden="false" customHeight="false" outlineLevel="0" collapsed="false">
      <c r="A969" s="0" t="n">
        <v>967</v>
      </c>
      <c r="B969" s="0" t="s">
        <v>4036</v>
      </c>
      <c r="C969" s="0" t="s">
        <v>4037</v>
      </c>
      <c r="D969" s="0" t="s">
        <v>4038</v>
      </c>
      <c r="E969" s="0" t="s">
        <v>4039</v>
      </c>
    </row>
    <row r="970" customFormat="false" ht="15" hidden="false" customHeight="false" outlineLevel="0" collapsed="false">
      <c r="A970" s="0" t="n">
        <v>968</v>
      </c>
      <c r="B970" s="0" t="s">
        <v>4040</v>
      </c>
      <c r="C970" s="0" t="s">
        <v>4041</v>
      </c>
      <c r="D970" s="0" t="s">
        <v>4042</v>
      </c>
      <c r="E970" s="0" t="s">
        <v>4043</v>
      </c>
    </row>
    <row r="971" customFormat="false" ht="15" hidden="false" customHeight="false" outlineLevel="0" collapsed="false">
      <c r="A971" s="0" t="n">
        <v>969</v>
      </c>
      <c r="B971" s="0" t="s">
        <v>4044</v>
      </c>
      <c r="C971" s="0" t="s">
        <v>4045</v>
      </c>
      <c r="D971" s="0" t="s">
        <v>4046</v>
      </c>
      <c r="E971" s="0" t="s">
        <v>4047</v>
      </c>
    </row>
    <row r="972" customFormat="false" ht="15" hidden="false" customHeight="false" outlineLevel="0" collapsed="false">
      <c r="A972" s="0" t="n">
        <v>970</v>
      </c>
      <c r="B972" s="0" t="s">
        <v>4048</v>
      </c>
      <c r="C972" s="0" t="s">
        <v>4049</v>
      </c>
      <c r="D972" s="0" t="s">
        <v>4050</v>
      </c>
      <c r="E972" s="0" t="s">
        <v>4051</v>
      </c>
    </row>
    <row r="973" customFormat="false" ht="15" hidden="false" customHeight="false" outlineLevel="0" collapsed="false">
      <c r="A973" s="0" t="n">
        <v>971</v>
      </c>
      <c r="B973" s="0" t="s">
        <v>4052</v>
      </c>
      <c r="C973" s="0" t="s">
        <v>4053</v>
      </c>
      <c r="D973" s="0" t="s">
        <v>4054</v>
      </c>
      <c r="E973" s="0" t="s">
        <v>4055</v>
      </c>
    </row>
    <row r="974" customFormat="false" ht="15" hidden="false" customHeight="false" outlineLevel="0" collapsed="false">
      <c r="A974" s="0" t="n">
        <v>972</v>
      </c>
      <c r="B974" s="0" t="s">
        <v>4056</v>
      </c>
      <c r="C974" s="0" t="s">
        <v>4057</v>
      </c>
      <c r="D974" s="0" t="s">
        <v>4058</v>
      </c>
      <c r="E974" s="0" t="s">
        <v>4059</v>
      </c>
    </row>
    <row r="975" customFormat="false" ht="15" hidden="false" customHeight="false" outlineLevel="0" collapsed="false">
      <c r="A975" s="0" t="n">
        <v>973</v>
      </c>
      <c r="B975" s="0" t="s">
        <v>4060</v>
      </c>
      <c r="C975" s="0" t="s">
        <v>4061</v>
      </c>
      <c r="D975" s="0" t="s">
        <v>4062</v>
      </c>
      <c r="E975" s="0" t="s">
        <v>4063</v>
      </c>
    </row>
    <row r="976" customFormat="false" ht="15" hidden="false" customHeight="false" outlineLevel="0" collapsed="false">
      <c r="A976" s="0" t="n">
        <v>974</v>
      </c>
      <c r="B976" s="0" t="s">
        <v>4064</v>
      </c>
      <c r="C976" s="0" t="s">
        <v>4065</v>
      </c>
      <c r="D976" s="0" t="s">
        <v>4066</v>
      </c>
      <c r="E976" s="0" t="s">
        <v>4067</v>
      </c>
    </row>
    <row r="977" customFormat="false" ht="15" hidden="false" customHeight="false" outlineLevel="0" collapsed="false">
      <c r="A977" s="0" t="n">
        <v>975</v>
      </c>
      <c r="B977" s="0" t="s">
        <v>4068</v>
      </c>
      <c r="C977" s="0" t="s">
        <v>4069</v>
      </c>
      <c r="D977" s="0" t="s">
        <v>4070</v>
      </c>
      <c r="E977" s="0" t="s">
        <v>4071</v>
      </c>
    </row>
    <row r="978" customFormat="false" ht="15" hidden="false" customHeight="false" outlineLevel="0" collapsed="false">
      <c r="A978" s="0" t="n">
        <v>976</v>
      </c>
      <c r="B978" s="0" t="s">
        <v>4072</v>
      </c>
      <c r="C978" s="0" t="s">
        <v>4073</v>
      </c>
      <c r="D978" s="0" t="s">
        <v>4074</v>
      </c>
      <c r="E978" s="0" t="s">
        <v>4075</v>
      </c>
    </row>
    <row r="979" customFormat="false" ht="15" hidden="false" customHeight="false" outlineLevel="0" collapsed="false">
      <c r="A979" s="0" t="n">
        <v>977</v>
      </c>
      <c r="B979" s="0" t="s">
        <v>4076</v>
      </c>
      <c r="C979" s="0" t="s">
        <v>4077</v>
      </c>
      <c r="D979" s="0" t="s">
        <v>4078</v>
      </c>
      <c r="E979" s="0" t="s">
        <v>4079</v>
      </c>
    </row>
    <row r="980" customFormat="false" ht="15" hidden="false" customHeight="false" outlineLevel="0" collapsed="false">
      <c r="A980" s="0" t="n">
        <v>978</v>
      </c>
      <c r="B980" s="0" t="s">
        <v>4080</v>
      </c>
      <c r="C980" s="0" t="s">
        <v>4081</v>
      </c>
      <c r="D980" s="0" t="s">
        <v>4082</v>
      </c>
      <c r="E980" s="0" t="s">
        <v>4083</v>
      </c>
    </row>
    <row r="981" customFormat="false" ht="15" hidden="false" customHeight="false" outlineLevel="0" collapsed="false">
      <c r="A981" s="0" t="n">
        <v>979</v>
      </c>
      <c r="B981" s="0" t="s">
        <v>4084</v>
      </c>
      <c r="C981" s="0" t="s">
        <v>4085</v>
      </c>
      <c r="D981" s="0" t="s">
        <v>4086</v>
      </c>
      <c r="E981" s="0" t="s">
        <v>4087</v>
      </c>
    </row>
    <row r="982" customFormat="false" ht="15" hidden="false" customHeight="false" outlineLevel="0" collapsed="false">
      <c r="A982" s="0" t="n">
        <v>980</v>
      </c>
      <c r="B982" s="0" t="s">
        <v>4088</v>
      </c>
      <c r="C982" s="0" t="s">
        <v>4089</v>
      </c>
      <c r="D982" s="0" t="s">
        <v>4090</v>
      </c>
      <c r="E982" s="0" t="s">
        <v>4091</v>
      </c>
    </row>
    <row r="983" customFormat="false" ht="15" hidden="false" customHeight="false" outlineLevel="0" collapsed="false">
      <c r="A983" s="0" t="n">
        <v>981</v>
      </c>
      <c r="B983" s="0" t="s">
        <v>4092</v>
      </c>
      <c r="C983" s="0" t="s">
        <v>4093</v>
      </c>
      <c r="D983" s="0" t="s">
        <v>4094</v>
      </c>
      <c r="E983" s="0" t="s">
        <v>4095</v>
      </c>
    </row>
    <row r="984" customFormat="false" ht="15" hidden="false" customHeight="false" outlineLevel="0" collapsed="false">
      <c r="A984" s="0" t="n">
        <v>982</v>
      </c>
      <c r="B984" s="0" t="s">
        <v>4096</v>
      </c>
      <c r="C984" s="0" t="s">
        <v>4097</v>
      </c>
      <c r="D984" s="0" t="s">
        <v>4098</v>
      </c>
      <c r="E984" s="0" t="s">
        <v>4099</v>
      </c>
    </row>
    <row r="985" customFormat="false" ht="15" hidden="false" customHeight="false" outlineLevel="0" collapsed="false">
      <c r="A985" s="0" t="n">
        <v>983</v>
      </c>
      <c r="B985" s="0" t="s">
        <v>4100</v>
      </c>
      <c r="C985" s="0" t="s">
        <v>4101</v>
      </c>
      <c r="D985" s="0" t="s">
        <v>4102</v>
      </c>
      <c r="E985" s="0" t="s">
        <v>4103</v>
      </c>
    </row>
    <row r="986" customFormat="false" ht="15" hidden="false" customHeight="false" outlineLevel="0" collapsed="false">
      <c r="A986" s="0" t="n">
        <v>984</v>
      </c>
      <c r="B986" s="0" t="s">
        <v>4104</v>
      </c>
      <c r="C986" s="0" t="s">
        <v>4105</v>
      </c>
      <c r="D986" s="0" t="s">
        <v>4106</v>
      </c>
      <c r="E986" s="0" t="s">
        <v>4107</v>
      </c>
    </row>
    <row r="987" customFormat="false" ht="15" hidden="false" customHeight="false" outlineLevel="0" collapsed="false">
      <c r="A987" s="0" t="n">
        <v>985</v>
      </c>
      <c r="B987" s="0" t="s">
        <v>4108</v>
      </c>
      <c r="C987" s="0" t="s">
        <v>4109</v>
      </c>
      <c r="D987" s="0" t="s">
        <v>4110</v>
      </c>
      <c r="E987" s="0" t="s">
        <v>4111</v>
      </c>
    </row>
    <row r="988" customFormat="false" ht="15" hidden="false" customHeight="false" outlineLevel="0" collapsed="false">
      <c r="A988" s="0" t="n">
        <v>986</v>
      </c>
      <c r="B988" s="0" t="s">
        <v>4112</v>
      </c>
      <c r="C988" s="0" t="s">
        <v>4113</v>
      </c>
      <c r="D988" s="0" t="s">
        <v>4114</v>
      </c>
      <c r="E988" s="0" t="s">
        <v>4115</v>
      </c>
    </row>
    <row r="989" customFormat="false" ht="15" hidden="false" customHeight="false" outlineLevel="0" collapsed="false">
      <c r="A989" s="0" t="n">
        <v>987</v>
      </c>
      <c r="B989" s="0" t="s">
        <v>4116</v>
      </c>
      <c r="C989" s="0" t="s">
        <v>4117</v>
      </c>
      <c r="D989" s="0" t="s">
        <v>4118</v>
      </c>
      <c r="E989" s="0" t="s">
        <v>4119</v>
      </c>
    </row>
    <row r="990" customFormat="false" ht="15" hidden="false" customHeight="false" outlineLevel="0" collapsed="false">
      <c r="A990" s="0" t="n">
        <v>988</v>
      </c>
      <c r="B990" s="0" t="s">
        <v>4120</v>
      </c>
      <c r="C990" s="0" t="s">
        <v>4121</v>
      </c>
      <c r="D990" s="0" t="s">
        <v>4122</v>
      </c>
      <c r="E990" s="0" t="s">
        <v>4123</v>
      </c>
    </row>
    <row r="991" customFormat="false" ht="15" hidden="false" customHeight="false" outlineLevel="0" collapsed="false">
      <c r="A991" s="0" t="n">
        <v>989</v>
      </c>
      <c r="B991" s="0" t="s">
        <v>4124</v>
      </c>
      <c r="C991" s="0" t="s">
        <v>4125</v>
      </c>
      <c r="D991" s="0" t="s">
        <v>4126</v>
      </c>
      <c r="E991" s="0" t="s">
        <v>4127</v>
      </c>
    </row>
    <row r="992" customFormat="false" ht="15" hidden="false" customHeight="false" outlineLevel="0" collapsed="false">
      <c r="A992" s="0" t="n">
        <v>990</v>
      </c>
      <c r="B992" s="0" t="s">
        <v>4128</v>
      </c>
      <c r="C992" s="0" t="s">
        <v>4129</v>
      </c>
      <c r="D992" s="0" t="s">
        <v>4130</v>
      </c>
      <c r="E992" s="0" t="s">
        <v>4131</v>
      </c>
    </row>
    <row r="993" customFormat="false" ht="15" hidden="false" customHeight="false" outlineLevel="0" collapsed="false">
      <c r="A993" s="0" t="n">
        <v>991</v>
      </c>
      <c r="B993" s="0" t="s">
        <v>4132</v>
      </c>
      <c r="C993" s="0" t="s">
        <v>4133</v>
      </c>
      <c r="D993" s="0" t="s">
        <v>4134</v>
      </c>
      <c r="E993" s="0" t="s">
        <v>4135</v>
      </c>
    </row>
    <row r="994" customFormat="false" ht="15" hidden="false" customHeight="false" outlineLevel="0" collapsed="false">
      <c r="A994" s="0" t="n">
        <v>992</v>
      </c>
      <c r="B994" s="0" t="s">
        <v>4136</v>
      </c>
      <c r="C994" s="0" t="s">
        <v>4137</v>
      </c>
      <c r="D994" s="0" t="s">
        <v>4138</v>
      </c>
      <c r="E994" s="0" t="s">
        <v>4139</v>
      </c>
    </row>
    <row r="995" customFormat="false" ht="15" hidden="false" customHeight="false" outlineLevel="0" collapsed="false">
      <c r="A995" s="0" t="n">
        <v>993</v>
      </c>
      <c r="B995" s="0" t="s">
        <v>4140</v>
      </c>
      <c r="C995" s="0" t="s">
        <v>4141</v>
      </c>
      <c r="D995" s="0" t="s">
        <v>4142</v>
      </c>
      <c r="E995" s="0" t="s">
        <v>4143</v>
      </c>
    </row>
    <row r="996" customFormat="false" ht="15" hidden="false" customHeight="false" outlineLevel="0" collapsed="false">
      <c r="A996" s="0" t="n">
        <v>994</v>
      </c>
      <c r="B996" s="0" t="s">
        <v>4144</v>
      </c>
      <c r="C996" s="0" t="s">
        <v>4145</v>
      </c>
      <c r="D996" s="0" t="s">
        <v>4146</v>
      </c>
      <c r="E996" s="0" t="s">
        <v>4147</v>
      </c>
    </row>
    <row r="997" customFormat="false" ht="15" hidden="false" customHeight="false" outlineLevel="0" collapsed="false">
      <c r="A997" s="0" t="n">
        <v>995</v>
      </c>
      <c r="B997" s="0" t="s">
        <v>4148</v>
      </c>
      <c r="C997" s="0" t="s">
        <v>4149</v>
      </c>
      <c r="D997" s="0" t="s">
        <v>4150</v>
      </c>
      <c r="E997" s="0" t="s">
        <v>4151</v>
      </c>
    </row>
    <row r="998" customFormat="false" ht="15" hidden="false" customHeight="false" outlineLevel="0" collapsed="false">
      <c r="A998" s="0" t="n">
        <v>996</v>
      </c>
      <c r="B998" s="0" t="s">
        <v>4152</v>
      </c>
      <c r="C998" s="0" t="s">
        <v>4153</v>
      </c>
      <c r="D998" s="0" t="s">
        <v>4154</v>
      </c>
      <c r="E998" s="0" t="s">
        <v>4155</v>
      </c>
    </row>
    <row r="999" customFormat="false" ht="15" hidden="false" customHeight="false" outlineLevel="0" collapsed="false">
      <c r="A999" s="0" t="n">
        <v>997</v>
      </c>
      <c r="B999" s="0" t="s">
        <v>4156</v>
      </c>
      <c r="C999" s="0" t="s">
        <v>4157</v>
      </c>
      <c r="D999" s="0" t="s">
        <v>4158</v>
      </c>
      <c r="E999" s="0" t="s">
        <v>4159</v>
      </c>
    </row>
    <row r="1000" customFormat="false" ht="15" hidden="false" customHeight="false" outlineLevel="0" collapsed="false">
      <c r="A1000" s="0" t="n">
        <v>998</v>
      </c>
      <c r="B1000" s="0" t="s">
        <v>4160</v>
      </c>
      <c r="C1000" s="0" t="s">
        <v>4161</v>
      </c>
      <c r="D1000" s="0" t="s">
        <v>4162</v>
      </c>
      <c r="E1000" s="0" t="s">
        <v>4163</v>
      </c>
    </row>
    <row r="1001" customFormat="false" ht="15" hidden="false" customHeight="false" outlineLevel="0" collapsed="false">
      <c r="A1001" s="0" t="n">
        <v>999</v>
      </c>
      <c r="B1001" s="0" t="s">
        <v>4164</v>
      </c>
      <c r="C1001" s="0" t="s">
        <v>4165</v>
      </c>
      <c r="D1001" s="0" t="s">
        <v>4166</v>
      </c>
      <c r="E1001" s="0" t="s">
        <v>4167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2026-09-29T07:59:05Z</dcterms:created>
  <dc:creator>openpyxl</dc:creator>
  <dc:description/>
  <dc:language>en-US</dc:language>
  <cp:lastModifiedBy/>
  <dcterms:modified xsi:type="dcterms:W3CDTF">2026-09-29T07:59:11Z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