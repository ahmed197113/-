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قرير" sheetId="2" state="visible" r:id="rId2"/>
    <sheet xmlns:r="http://schemas.openxmlformats.org/officeDocument/2006/relationships" name="لوحة" sheetId="3" state="visible" r:id="rId3"/>
  </sheets>
  <definedNames>
    <definedName name="Slicer_الفرع">#N/A</definedName>
    <definedName name="Slicer_المنتج">#N/A</definedName>
  </definedNames>
  <calcPr calcId="124519" fullCalcOnLoad="1"/>
  <pivotCaches>
    <pivotCache xmlns:r="http://schemas.openxmlformats.org/officeDocument/2006/relationships" cacheId="1" r:id="rIdPC1"/>
  </pivotCaches>
  <extLst>
    <ext xmlns:x14="http://schemas.microsoft.com/office/spreadsheetml/2009/9/main" uri="{BBE1A952-AA13-448e-AADC-164F8A28A991}">
      <x14:slicerCaches>
        <x14:slicerCache xmlns:r="http://schemas.openxmlformats.org/officeDocument/2006/relationships" r:id="rIdSC1"/>
        <x14:slicerCache xmlns:r="http://schemas.openxmlformats.org/officeDocument/2006/relationships" r:id="rIdSC2"/>
      </x14:slicerCaches>
    </ext>
  </extLst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Tahoma"/>
      <family val="2"/>
      <color theme="1"/>
      <sz val="11"/>
      <scheme val="minor"/>
    </font>
    <font>
      <name val="Tahoma"/>
      <b val="1"/>
      <color rgb="00FFFFFF"/>
      <sz val="11"/>
    </font>
    <font>
      <name val="Tahoma"/>
    </font>
    <font>
      <name val="Tahoma"/>
      <b val="1"/>
      <color rgb="00217346"/>
    </font>
    <font>
      <name val="Tahoma"/>
      <color rgb="00595959"/>
      <sz val="9"/>
    </font>
    <font>
      <name val="Tahoma"/>
      <b val="1"/>
      <color rgb="00217346"/>
      <sz val="22"/>
    </font>
    <font>
      <name val="Tahoma"/>
      <b val="1"/>
    </font>
    <font>
      <name val="Tahoma"/>
      <b val="1"/>
      <color rgb="00217346"/>
      <sz val="20"/>
    </font>
    <font>
      <name val="Tahoma"/>
      <b val="1"/>
      <color rgb="00595959"/>
      <sz val="9"/>
    </font>
    <font>
      <name val="Tahoma"/>
      <b val="1"/>
      <sz val="9"/>
    </font>
    <font>
      <name val="Tahoma"/>
      <sz val="9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217346"/>
      </left>
      <right style="thin">
        <color rgb="00217346"/>
      </right>
      <top style="thin">
        <color rgb="00217346"/>
      </top>
      <bottom style="thin">
        <color rgb="0021734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10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C1" Type="http://schemas.openxmlformats.org/officeDocument/2006/relationships/pivotCacheDefinition" Target="pivotCache/pivotCacheDefinition1.xml"/><Relationship Id="rIdSC1" Type="http://schemas.microsoft.com/office/2007/relationships/slicerCache" Target="slicerCaches/slicerCache1.xml"/><Relationship Id="rIdSC2" Type="http://schemas.microsoft.com/office/2007/relationships/slicerCache" Target="slicerCaches/slicerCach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ar-SA"/>
  <c:roundedCorners val="0"/>
  <c:pivotSource>
    <c:name>[مبيعات_سبتمبر.xlsx]لوحة!PivotTable2</c:name>
    <c:fmtId val="0"/>
  </c:pivotSource>
  <c:chart>
    <c:title>
      <c:tx>
        <c:rich>
          <a:bodyPr/>
          <a:lstStyle/>
          <a:p>
            <a:pPr>
              <a:defRPr sz="1400" b="1">
                <a:solidFill>
                  <a:srgbClr val="217346"/>
                </a:solidFill>
                <a:latin typeface="Tahoma"/>
                <a:cs typeface="Tahoma"/>
              </a:defRPr>
            </a:pPr>
            <a:r>
              <a:rPr lang="ar-SA" sz="1400" b="1">
                <a:solidFill>
                  <a:srgbClr val="217346"/>
                </a:solidFill>
                <a:latin typeface="Tahoma"/>
                <a:cs typeface="Tahoma"/>
              </a:rPr>
              <a:t>المبيعات حسب الفرع</a:t>
            </a:r>
          </a:p>
        </c:rich>
      </c:tx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'لوحة'!$B$27</c:f>
              <c:strCache>
                <c:ptCount val="1"/>
                <c:pt idx="0">
                  <c:v>المجموع</c:v>
                </c:pt>
              </c:strCache>
            </c:strRef>
          </c:tx>
          <c:spPr>
            <a:solidFill>
              <a:srgbClr val="21734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Tahoma"/>
                    <a:cs typeface="Tahoma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'لوحة'!$A$28:$A$30</c:f>
              <c:strCache>
                <c:ptCount val="3"/>
                <c:pt idx="0">
                  <c:v>جدة</c:v>
                </c:pt>
                <c:pt idx="1">
                  <c:v>الدمام</c:v>
                </c:pt>
                <c:pt idx="2">
                  <c:v>الرياض</c:v>
                </c:pt>
              </c:strCache>
            </c:strRef>
          </c:cat>
          <c:val>
            <c:numRef>
              <c:f>'لوحة'!$B$28:$B$30</c:f>
              <c:numCache>
                <c:formatCode>#,##0</c:formatCode>
                <c:ptCount val="3"/>
                <c:pt idx="0">
                  <c:v>141500</c:v>
                </c:pt>
                <c:pt idx="1">
                  <c:v>160250</c:v>
                </c:pt>
                <c:pt idx="2">
                  <c:v>145500</c:v>
                </c:pt>
              </c:numCache>
            </c:numRef>
          </c:val>
        </c:ser>
        <c:gapWidth val="70"/>
        <c:axId val="101"/>
        <c:axId val="102"/>
      </c:barChart>
      <c:catAx>
        <c:axId val="1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1000" b="1">
                <a:solidFill>
                  <a:srgbClr val="404040"/>
                </a:solidFill>
                <a:latin typeface="Tahoma"/>
                <a:cs typeface="Tahoma"/>
              </a:defRPr>
            </a:pPr>
            <a:endParaRPr lang="ar-SA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  <c:min val="0"/>
        </c:scaling>
        <c:delete val="0"/>
        <c:axPos val="r"/>
        <c:majorGridlines>
          <c:spPr>
            <a:ln w="9525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Tahoma"/>
                <a:cs typeface="Tahoma"/>
              </a:defRPr>
            </a:pPr>
            <a:endParaRPr lang="ar-SA"/>
          </a:p>
        </c:txPr>
        <c:crossAx val="101"/>
        <c:crosses val="max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217346"/>
      </a:solidFill>
    </a:ln>
  </c:spPr>
  <c:txPr>
    <a:bodyPr/>
    <a:lstStyle/>
    <a:p>
      <a:pPr>
        <a:defRPr sz="1000" b="0">
          <a:solidFill>
            <a:srgbClr val="404040"/>
          </a:solidFill>
          <a:latin typeface="Tahoma"/>
          <a:cs typeface="Tahoma"/>
        </a:defRPr>
      </a:pPr>
      <a:endParaRPr lang="ar-SA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ar-SA"/>
  <c:roundedCorners val="0"/>
  <c:pivotSource>
    <c:name>[مبيعات_سبتمبر.xlsx]لوحة!PivotTable3</c:name>
    <c:fmtId val="0"/>
  </c:pivotSource>
  <c:chart>
    <c:title>
      <c:tx>
        <c:rich>
          <a:bodyPr/>
          <a:lstStyle/>
          <a:p>
            <a:pPr>
              <a:defRPr sz="1400" b="1">
                <a:solidFill>
                  <a:srgbClr val="217346"/>
                </a:solidFill>
                <a:latin typeface="Tahoma"/>
                <a:cs typeface="Tahoma"/>
              </a:defRPr>
            </a:pPr>
            <a:r>
              <a:rPr lang="ar-SA" sz="1400" b="1">
                <a:solidFill>
                  <a:srgbClr val="217346"/>
                </a:solidFill>
                <a:latin typeface="Tahoma"/>
                <a:cs typeface="Tahoma"/>
              </a:rPr>
              <a:t>توزيع المبيعات حسب المنتج</a:t>
            </a:r>
          </a:p>
        </c:rich>
      </c:tx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'لوحة'!$E$27</c:f>
              <c:strCache>
                <c:ptCount val="1"/>
                <c:pt idx="0">
                  <c:v>المجموع</c:v>
                </c:pt>
              </c:strCache>
            </c:strRef>
          </c:tx>
          <c:spPr>
            <a:ln w="19050">
              <a:solidFill>
                <a:srgbClr val="FFFFFF"/>
              </a:solidFill>
            </a:ln>
          </c:spPr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Tahoma"/>
                    <a:cs typeface="Tahoma"/>
                  </a:defRPr>
                </a:pPr>
                <a:endParaRPr lang="ar-SA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'لوحة'!$D$28:$D$30</c:f>
              <c:strCache>
                <c:ptCount val="3"/>
                <c:pt idx="0">
                  <c:v>أجهزة</c:v>
                </c:pt>
                <c:pt idx="1">
                  <c:v>أثاث</c:v>
                </c:pt>
                <c:pt idx="2">
                  <c:v>قرطاسية</c:v>
                </c:pt>
              </c:strCache>
            </c:strRef>
          </c:cat>
          <c:val>
            <c:numRef>
              <c:f>'لوحة'!$E$28:$E$30</c:f>
              <c:numCache>
                <c:formatCode>#,##0</c:formatCode>
                <c:ptCount val="3"/>
                <c:pt idx="0">
                  <c:v>208250</c:v>
                </c:pt>
                <c:pt idx="1">
                  <c:v>125250</c:v>
                </c:pt>
                <c:pt idx="2">
                  <c:v>113750</c:v>
                </c:pt>
              </c:numCache>
            </c:numRef>
          </c:val>
        </c:ser>
        <c:firstSliceAng val="0"/>
      </c:pieChart>
    </c:plotArea>
    <c:legend>
      <c:legendPos val="b"/>
      <c:overlay val="0"/>
      <c:txPr>
        <a:bodyPr/>
        <a:lstStyle/>
        <a:p>
          <a:pPr>
            <a:defRPr sz="1000" b="1">
              <a:solidFill>
                <a:srgbClr val="404040"/>
              </a:solidFill>
              <a:latin typeface="Tahoma"/>
              <a:cs typeface="Tahoma"/>
            </a:defRPr>
          </a:pPr>
          <a:endParaRPr lang="ar-SA"/>
        </a:p>
      </c:txPr>
    </c:legend>
    <c:plotVisOnly val="1"/>
    <c:dispBlanksAs val="gap"/>
  </c:chart>
  <c:spPr>
    <a:solidFill>
      <a:srgbClr val="FFFFFF"/>
    </a:solidFill>
    <a:ln w="9525">
      <a:solidFill>
        <a:srgbClr val="217346"/>
      </a:solidFill>
    </a:ln>
  </c:spPr>
  <c:txPr>
    <a:bodyPr/>
    <a:lstStyle/>
    <a:p>
      <a:pPr>
        <a:defRPr sz="1000" b="0">
          <a:solidFill>
            <a:srgbClr val="404040"/>
          </a:solidFill>
          <a:latin typeface="Tahoma"/>
          <a:cs typeface="Tahoma"/>
        </a:defRPr>
      </a:pPr>
      <a:endParaRPr lang="ar-SA"/>
    </a:p>
  </c:txPr>
</c:chartSpace>
</file>

<file path=xl/drawings/_rels/drawing2.xml.rels><?xml version="1.0" encoding="UTF-8" standalone="yes"?>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9</xdr:col>
      <xdr:colOff>0</xdr:colOff>
      <xdr:row>11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الفرع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فرع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000" y="381000"/>
              <a:ext cx="1800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يتطلب هذا الشكل (مقسم طريقة العرض) Excel 2010 أو أحدث.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12</xdr:row>
      <xdr:rowOff>0</xdr:rowOff>
    </xdr:from>
    <xdr:to>
      <xdr:col>9</xdr:col>
      <xdr:colOff>0</xdr:colOff>
      <xdr:row>21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المنتج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منتج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000" y="2286000"/>
              <a:ext cx="1800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يتطلب هذا الشكل (مقسم طريقة العرض) Excel 2010 أو أحدث.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2" name="مخطط الفرو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twoCell">
    <xdr:from>
      <xdr:col>6</xdr:col>
      <xdr:colOff>0</xdr:colOff>
      <xdr:row>5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3" name="مخطط المنتجات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16</xdr:col>
      <xdr:colOff>0</xdr:colOff>
      <xdr:row>11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الفرع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فرع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0000" y="381000"/>
              <a:ext cx="1800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يتطلب هذا الشكل (مقسم طريقة العرض) Excel 2010 أو أحدث.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0</xdr:colOff>
      <xdr:row>12</xdr:row>
      <xdr:rowOff>0</xdr:rowOff>
    </xdr:from>
    <xdr:to>
      <xdr:col>16</xdr:col>
      <xdr:colOff>0</xdr:colOff>
      <xdr:row>21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المنتج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منتج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0000" y="2286000"/>
              <a:ext cx="1800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يتطلب هذا الشكل (مقسم طريقة العرض) Excel 2010 أو أحدث.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30">
  <cacheSource type="worksheet">
    <worksheetSource name="tblSales"/>
  </cacheSource>
  <cacheFields count="4">
    <cacheField name="التاريخ" numFmtId="14">
      <sharedItems containsSemiMixedTypes="0" containsNonDate="0" containsDate="1" containsString="0" minDate="2026-09-01T00:00:00" maxDate="2026-10-01T00:00:00"/>
      <fieldGroup base="0">
        <rangePr groupBy="months" startDate="2026-09-01T00:00:00" endDate="2026-10-01T00:00:00"/>
        <groupItems count="14">
          <s v="&lt;01/09/2026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01/10/2026"/>
        </groupItems>
      </fieldGroup>
    </cacheField>
    <cacheField name="الفرع" numFmtId="0">
      <sharedItems count="3">
        <s v="جدة"/>
        <s v="الدمام"/>
        <s v="الرياض"/>
      </sharedItems>
    </cacheField>
    <cacheField name="المنتج" numFmtId="0">
      <sharedItems count="3">
        <s v="أجهزة"/>
        <s v="أثاث"/>
        <s v="قرطاسية"/>
      </sharedItems>
    </cacheField>
    <cacheField name="المبيعات" numFmtId="3">
      <sharedItems containsSemiMixedTypes="0" containsString="0" containsNumber="1" containsInteger="1" minValue="5000" maxValue="245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26-09-01T00:00:00"/>
    <x v="0"/>
    <x v="0"/>
    <n v="19750"/>
  </r>
  <r>
    <d v="2026-09-02T00:00:00"/>
    <x v="1"/>
    <x v="0"/>
    <n v="24500"/>
  </r>
  <r>
    <d v="2026-09-03T00:00:00"/>
    <x v="2"/>
    <x v="0"/>
    <n v="16750"/>
  </r>
  <r>
    <d v="2026-09-04T00:00:00"/>
    <x v="0"/>
    <x v="1"/>
    <n v="13500"/>
  </r>
  <r>
    <d v="2026-09-05T00:00:00"/>
    <x v="1"/>
    <x v="1"/>
    <n v="9250"/>
  </r>
  <r>
    <d v="2026-09-06T00:00:00"/>
    <x v="2"/>
    <x v="1"/>
    <n v="10750"/>
  </r>
  <r>
    <d v="2026-09-07T00:00:00"/>
    <x v="0"/>
    <x v="2"/>
    <n v="5000"/>
  </r>
  <r>
    <d v="2026-09-08T00:00:00"/>
    <x v="1"/>
    <x v="2"/>
    <n v="15750"/>
  </r>
  <r>
    <d v="2026-09-09T00:00:00"/>
    <x v="2"/>
    <x v="2"/>
    <n v="21000"/>
  </r>
  <r>
    <d v="2026-09-10T00:00:00"/>
    <x v="0"/>
    <x v="0"/>
    <n v="19750"/>
  </r>
  <r>
    <d v="2026-09-11T00:00:00"/>
    <x v="1"/>
    <x v="0"/>
    <n v="24250"/>
  </r>
  <r>
    <d v="2026-09-12T00:00:00"/>
    <x v="2"/>
    <x v="0"/>
    <n v="7500"/>
  </r>
  <r>
    <d v="2026-09-13T00:00:00"/>
    <x v="0"/>
    <x v="1"/>
    <n v="15500"/>
  </r>
  <r>
    <d v="2026-09-14T00:00:00"/>
    <x v="1"/>
    <x v="1"/>
    <n v="22500"/>
  </r>
  <r>
    <d v="2026-09-15T00:00:00"/>
    <x v="2"/>
    <x v="1"/>
    <n v="24500"/>
  </r>
  <r>
    <d v="2026-09-16T00:00:00"/>
    <x v="0"/>
    <x v="2"/>
    <n v="6250"/>
  </r>
  <r>
    <d v="2026-09-17T00:00:00"/>
    <x v="1"/>
    <x v="2"/>
    <n v="17000"/>
  </r>
  <r>
    <d v="2026-09-18T00:00:00"/>
    <x v="2"/>
    <x v="2"/>
    <n v="10250"/>
  </r>
  <r>
    <d v="2026-09-19T00:00:00"/>
    <x v="0"/>
    <x v="0"/>
    <n v="19250"/>
  </r>
  <r>
    <d v="2026-09-20T00:00:00"/>
    <x v="1"/>
    <x v="0"/>
    <n v="18500"/>
  </r>
  <r>
    <d v="2026-09-21T00:00:00"/>
    <x v="2"/>
    <x v="0"/>
    <n v="10000"/>
  </r>
  <r>
    <d v="2026-09-22T00:00:00"/>
    <x v="0"/>
    <x v="1"/>
    <n v="10250"/>
  </r>
  <r>
    <d v="2026-09-23T00:00:00"/>
    <x v="1"/>
    <x v="1"/>
    <n v="12500"/>
  </r>
  <r>
    <d v="2026-09-24T00:00:00"/>
    <x v="2"/>
    <x v="1"/>
    <n v="6500"/>
  </r>
  <r>
    <d v="2026-09-25T00:00:00"/>
    <x v="0"/>
    <x v="2"/>
    <n v="8500"/>
  </r>
  <r>
    <d v="2026-09-26T00:00:00"/>
    <x v="1"/>
    <x v="2"/>
    <n v="9000"/>
  </r>
  <r>
    <d v="2026-09-27T00:00:00"/>
    <x v="2"/>
    <x v="2"/>
    <n v="21000"/>
  </r>
  <r>
    <d v="2026-09-28T00:00:00"/>
    <x v="0"/>
    <x v="0"/>
    <n v="23750"/>
  </r>
  <r>
    <d v="2026-09-29T00:00:00"/>
    <x v="1"/>
    <x v="0"/>
    <n v="7000"/>
  </r>
  <r>
    <d v="2026-09-30T00:00:00"/>
    <x v="2"/>
    <x v="0"/>
    <n v="1725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القيم" grandTotalCaption="الإجمالي الكلي" updatedVersion="6" minRefreshableVersion="3" useAutoFormatting="1" itemPrintTitles="1" createdVersion="6" indent="0" outline="1" outlineData="1" multipleFieldFilters="0" rowHeaderCaption="الفرع" colHeaderCaption="المنتج">
  <location ref="A5:E10" firstHeaderRow="1" firstDataRow="2" firstDataCol="1" rowPageCount="1" colPageCount="1"/>
  <pivotFields count="4"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مجموع المبيعات" fld="3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القيم" grandTotalCaption="الإجمالي الكلي" updatedVersion="6" minRefreshableVersion="3" useAutoFormatting="1" itemPrintTitles="1" createdVersion="6" indent="0" outline="1" outlineData="1" multipleFieldFilters="0" chartFormat="1" rowHeaderCaption="الفرع">
  <location ref="A27:B31" firstHeaderRow="1" firstDataRow="1" firstDataCol="1"/>
  <pivotFields count="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مجموع المبيعات" fld="3" baseField="0" baseItem="0" numFmtId="3"/>
  </dataFields>
  <pivotTableStyleInfo name="PivotStyleMedium2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القيم" grandTotalCaption="الإجمالي الكلي" updatedVersion="6" minRefreshableVersion="3" useAutoFormatting="1" itemPrintTitles="1" createdVersion="6" indent="0" outline="1" outlineData="1" multipleFieldFilters="0" chartFormat="1" rowHeaderCaption="المنتج">
  <location ref="D27:E31" firstHeaderRow="1" firstDataRow="1" firstDataCol="1"/>
  <pivotFields count="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3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مجموع المبيعات" fld="3" baseField="0" baseItem="0" numFmtId="3"/>
  </dataFields>
  <pivotTableStyleInfo name="PivotStyleMedium2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الفرع" sourceName="الفرع">
  <pivotTables>
    <pivotTable tabId="2" name="PivotTable1"/>
    <pivotTable tabId="3" name="PivotTable2"/>
    <pivotTable tabId="3" name="PivotTable3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المنتج" sourceName="المنتج">
  <pivotTables>
    <pivotTable tabId="2" name="PivotTable1"/>
    <pivotTable tabId="3" name="PivotTable2"/>
    <pivotTable tabId="3" name="PivotTable3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الفرع" cache="Slicer_الفرع" caption="الفرع" rowHeight="241300" style="SlicerStyleLight6"/>
  <slicer name="المنتج" cache="Slicer_المنتج" caption="المنتج" rowHeight="241300" style="SlicerStyleLight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الفرع 1" cache="Slicer_الفرع" caption="الفرع" rowHeight="241300" style="SlicerStyleLight6"/>
  <slicer name="المنتج 1" cache="Slicer_المنتج" caption="المنتج" rowHeight="241300" style="SlicerStyleLight6"/>
</slicers>
</file>

<file path=xl/tables/table1.xml><?xml version="1.0" encoding="utf-8"?>
<table xmlns="http://schemas.openxmlformats.org/spreadsheetml/2006/main" id="1" name="tblSales" displayName="tblSales" ref="A1:D31" headerRowCount="1">
  <autoFilter ref="A1:D31"/>
  <tableColumns count="4">
    <tableColumn id="1" name="التاريخ"/>
    <tableColumn id="2" name="الفرع"/>
    <tableColumn id="3" name="المنتج"/>
    <tableColumn id="4" name="المبيعات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17346"/>
      </a:accent1>
      <a:accent2>
        <a:srgbClr val="33C481"/>
      </a:accent2>
      <a:accent3>
        <a:srgbClr val="A9D18E"/>
      </a:accent3>
      <a:accent4>
        <a:srgbClr val="107C41"/>
      </a:accent4>
      <a:accent5>
        <a:srgbClr val="185C37"/>
      </a:accent5>
      <a:accent6>
        <a:srgbClr val="C5E0B4"/>
      </a:accent6>
      <a:hlink>
        <a:srgbClr val="0000FF"/>
      </a:hlink>
      <a:folHlink>
        <a:srgbClr val="800080"/>
      </a:folHlink>
    </a:clrScheme>
    <a:fontScheme name="Office">
      <a:maj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ahoma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ahoma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?xml version="1.0" encoding="UTF-8" standalone="yes"?><Relationships xmlns="http://schemas.openxmlformats.org/package/2006/relationships"><Relationship Id="rIdP1" Type="http://schemas.openxmlformats.org/officeDocument/2006/relationships/pivotTable" Target="../pivotTables/pivotTable1.xml"/><Relationship Id="rIdD" Type="http://schemas.openxmlformats.org/officeDocument/2006/relationships/drawing" Target="../drawings/drawing1.xml"/><Relationship Id="rIdS" Type="http://schemas.microsoft.com/office/2007/relationships/slicer" Target="../slicers/slicer1.xml"/></Relationships>
</file>

<file path=xl/worksheets/_rels/sheet3.xml.rels><?xml version="1.0" encoding="UTF-8" standalone="yes"?><Relationships xmlns="http://schemas.openxmlformats.org/package/2006/relationships"><Relationship Id="rIdP2" Type="http://schemas.openxmlformats.org/officeDocument/2006/relationships/pivotTable" Target="../pivotTables/pivotTable2.xml"/><Relationship Id="rIdP3" Type="http://schemas.openxmlformats.org/officeDocument/2006/relationships/pivotTable" Target="../pivotTables/pivotTable3.xml"/><Relationship Id="rIdD" Type="http://schemas.openxmlformats.org/officeDocument/2006/relationships/drawing" Target="../drawings/drawing2.xml"/><Relationship Id="rIdS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3" customWidth="1" min="5" max="5"/>
    <col width="46" customWidth="1" min="6" max="6"/>
  </cols>
  <sheetData>
    <row r="1" ht="30" customHeight="1">
      <c r="A1" s="1" t="inlineStr">
        <is>
          <t>التاريخ</t>
        </is>
      </c>
      <c r="B1" s="1" t="inlineStr">
        <is>
          <t>الفرع</t>
        </is>
      </c>
      <c r="C1" s="1" t="inlineStr">
        <is>
          <t>المنتج</t>
        </is>
      </c>
      <c r="D1" s="1" t="inlineStr">
        <is>
          <t>المبيعات</t>
        </is>
      </c>
      <c r="F1" s="2" t="inlineStr">
        <is>
          <t>أضف بياناتك هنا ← ثم: تحليل PivotTable ← تحديث الكل</t>
        </is>
      </c>
    </row>
    <row r="2" ht="30" customHeight="1">
      <c r="A2" s="3" t="n">
        <v>46266</v>
      </c>
      <c r="B2" s="4" t="inlineStr">
        <is>
          <t>جدة</t>
        </is>
      </c>
      <c r="C2" s="4" t="inlineStr">
        <is>
          <t>أجهزة</t>
        </is>
      </c>
      <c r="D2" s="5" t="n">
        <v>19750</v>
      </c>
      <c r="F2" s="6" t="inlineStr">
        <is>
          <t>احذف الصفوف التجريبية وألصق بياناتك داخل الجدول؛ سيتمدد الجدول تلقائيًا.</t>
        </is>
      </c>
    </row>
    <row r="3">
      <c r="A3" s="3" t="n">
        <v>46267</v>
      </c>
      <c r="B3" s="4" t="inlineStr">
        <is>
          <t>الدمام</t>
        </is>
      </c>
      <c r="C3" s="4" t="inlineStr">
        <is>
          <t>أجهزة</t>
        </is>
      </c>
      <c r="D3" s="5" t="n">
        <v>24500</v>
      </c>
    </row>
    <row r="4">
      <c r="A4" s="3" t="n">
        <v>46268</v>
      </c>
      <c r="B4" s="4" t="inlineStr">
        <is>
          <t>الرياض</t>
        </is>
      </c>
      <c r="C4" s="4" t="inlineStr">
        <is>
          <t>أجهزة</t>
        </is>
      </c>
      <c r="D4" s="5" t="n">
        <v>16750</v>
      </c>
    </row>
    <row r="5">
      <c r="A5" s="3" t="n">
        <v>46269</v>
      </c>
      <c r="B5" s="4" t="inlineStr">
        <is>
          <t>جدة</t>
        </is>
      </c>
      <c r="C5" s="4" t="inlineStr">
        <is>
          <t>أثاث</t>
        </is>
      </c>
      <c r="D5" s="5" t="n">
        <v>13500</v>
      </c>
    </row>
    <row r="6">
      <c r="A6" s="3" t="n">
        <v>46270</v>
      </c>
      <c r="B6" s="4" t="inlineStr">
        <is>
          <t>الدمام</t>
        </is>
      </c>
      <c r="C6" s="4" t="inlineStr">
        <is>
          <t>أثاث</t>
        </is>
      </c>
      <c r="D6" s="5" t="n">
        <v>9250</v>
      </c>
    </row>
    <row r="7">
      <c r="A7" s="3" t="n">
        <v>46271</v>
      </c>
      <c r="B7" s="4" t="inlineStr">
        <is>
          <t>الرياض</t>
        </is>
      </c>
      <c r="C7" s="4" t="inlineStr">
        <is>
          <t>أثاث</t>
        </is>
      </c>
      <c r="D7" s="5" t="n">
        <v>10750</v>
      </c>
    </row>
    <row r="8">
      <c r="A8" s="3" t="n">
        <v>46272</v>
      </c>
      <c r="B8" s="4" t="inlineStr">
        <is>
          <t>جدة</t>
        </is>
      </c>
      <c r="C8" s="4" t="inlineStr">
        <is>
          <t>قرطاسية</t>
        </is>
      </c>
      <c r="D8" s="5" t="n">
        <v>5000</v>
      </c>
    </row>
    <row r="9">
      <c r="A9" s="3" t="n">
        <v>46273</v>
      </c>
      <c r="B9" s="4" t="inlineStr">
        <is>
          <t>الدمام</t>
        </is>
      </c>
      <c r="C9" s="4" t="inlineStr">
        <is>
          <t>قرطاسية</t>
        </is>
      </c>
      <c r="D9" s="5" t="n">
        <v>15750</v>
      </c>
    </row>
    <row r="10">
      <c r="A10" s="3" t="n">
        <v>46274</v>
      </c>
      <c r="B10" s="4" t="inlineStr">
        <is>
          <t>الرياض</t>
        </is>
      </c>
      <c r="C10" s="4" t="inlineStr">
        <is>
          <t>قرطاسية</t>
        </is>
      </c>
      <c r="D10" s="5" t="n">
        <v>21000</v>
      </c>
    </row>
    <row r="11">
      <c r="A11" s="3" t="n">
        <v>46275</v>
      </c>
      <c r="B11" s="4" t="inlineStr">
        <is>
          <t>جدة</t>
        </is>
      </c>
      <c r="C11" s="4" t="inlineStr">
        <is>
          <t>أجهزة</t>
        </is>
      </c>
      <c r="D11" s="5" t="n">
        <v>19750</v>
      </c>
    </row>
    <row r="12">
      <c r="A12" s="3" t="n">
        <v>46276</v>
      </c>
      <c r="B12" s="4" t="inlineStr">
        <is>
          <t>الدمام</t>
        </is>
      </c>
      <c r="C12" s="4" t="inlineStr">
        <is>
          <t>أجهزة</t>
        </is>
      </c>
      <c r="D12" s="5" t="n">
        <v>24250</v>
      </c>
    </row>
    <row r="13">
      <c r="A13" s="3" t="n">
        <v>46277</v>
      </c>
      <c r="B13" s="4" t="inlineStr">
        <is>
          <t>الرياض</t>
        </is>
      </c>
      <c r="C13" s="4" t="inlineStr">
        <is>
          <t>أجهزة</t>
        </is>
      </c>
      <c r="D13" s="5" t="n">
        <v>7500</v>
      </c>
    </row>
    <row r="14">
      <c r="A14" s="3" t="n">
        <v>46278</v>
      </c>
      <c r="B14" s="4" t="inlineStr">
        <is>
          <t>جدة</t>
        </is>
      </c>
      <c r="C14" s="4" t="inlineStr">
        <is>
          <t>أثاث</t>
        </is>
      </c>
      <c r="D14" s="5" t="n">
        <v>15500</v>
      </c>
    </row>
    <row r="15">
      <c r="A15" s="3" t="n">
        <v>46279</v>
      </c>
      <c r="B15" s="4" t="inlineStr">
        <is>
          <t>الدمام</t>
        </is>
      </c>
      <c r="C15" s="4" t="inlineStr">
        <is>
          <t>أثاث</t>
        </is>
      </c>
      <c r="D15" s="5" t="n">
        <v>22500</v>
      </c>
    </row>
    <row r="16">
      <c r="A16" s="3" t="n">
        <v>46280</v>
      </c>
      <c r="B16" s="4" t="inlineStr">
        <is>
          <t>الرياض</t>
        </is>
      </c>
      <c r="C16" s="4" t="inlineStr">
        <is>
          <t>أثاث</t>
        </is>
      </c>
      <c r="D16" s="5" t="n">
        <v>24500</v>
      </c>
    </row>
    <row r="17">
      <c r="A17" s="3" t="n">
        <v>46281</v>
      </c>
      <c r="B17" s="4" t="inlineStr">
        <is>
          <t>جدة</t>
        </is>
      </c>
      <c r="C17" s="4" t="inlineStr">
        <is>
          <t>قرطاسية</t>
        </is>
      </c>
      <c r="D17" s="5" t="n">
        <v>6250</v>
      </c>
    </row>
    <row r="18">
      <c r="A18" s="3" t="n">
        <v>46282</v>
      </c>
      <c r="B18" s="4" t="inlineStr">
        <is>
          <t>الدمام</t>
        </is>
      </c>
      <c r="C18" s="4" t="inlineStr">
        <is>
          <t>قرطاسية</t>
        </is>
      </c>
      <c r="D18" s="5" t="n">
        <v>17000</v>
      </c>
    </row>
    <row r="19">
      <c r="A19" s="3" t="n">
        <v>46283</v>
      </c>
      <c r="B19" s="4" t="inlineStr">
        <is>
          <t>الرياض</t>
        </is>
      </c>
      <c r="C19" s="4" t="inlineStr">
        <is>
          <t>قرطاسية</t>
        </is>
      </c>
      <c r="D19" s="5" t="n">
        <v>10250</v>
      </c>
    </row>
    <row r="20">
      <c r="A20" s="3" t="n">
        <v>46284</v>
      </c>
      <c r="B20" s="4" t="inlineStr">
        <is>
          <t>جدة</t>
        </is>
      </c>
      <c r="C20" s="4" t="inlineStr">
        <is>
          <t>أجهزة</t>
        </is>
      </c>
      <c r="D20" s="5" t="n">
        <v>19250</v>
      </c>
    </row>
    <row r="21">
      <c r="A21" s="3" t="n">
        <v>46285</v>
      </c>
      <c r="B21" s="4" t="inlineStr">
        <is>
          <t>الدمام</t>
        </is>
      </c>
      <c r="C21" s="4" t="inlineStr">
        <is>
          <t>أجهزة</t>
        </is>
      </c>
      <c r="D21" s="5" t="n">
        <v>18500</v>
      </c>
    </row>
    <row r="22">
      <c r="A22" s="3" t="n">
        <v>46286</v>
      </c>
      <c r="B22" s="4" t="inlineStr">
        <is>
          <t>الرياض</t>
        </is>
      </c>
      <c r="C22" s="4" t="inlineStr">
        <is>
          <t>أجهزة</t>
        </is>
      </c>
      <c r="D22" s="5" t="n">
        <v>10000</v>
      </c>
    </row>
    <row r="23">
      <c r="A23" s="3" t="n">
        <v>46287</v>
      </c>
      <c r="B23" s="4" t="inlineStr">
        <is>
          <t>جدة</t>
        </is>
      </c>
      <c r="C23" s="4" t="inlineStr">
        <is>
          <t>أثاث</t>
        </is>
      </c>
      <c r="D23" s="5" t="n">
        <v>10250</v>
      </c>
    </row>
    <row r="24">
      <c r="A24" s="3" t="n">
        <v>46288</v>
      </c>
      <c r="B24" s="4" t="inlineStr">
        <is>
          <t>الدمام</t>
        </is>
      </c>
      <c r="C24" s="4" t="inlineStr">
        <is>
          <t>أثاث</t>
        </is>
      </c>
      <c r="D24" s="5" t="n">
        <v>12500</v>
      </c>
    </row>
    <row r="25">
      <c r="A25" s="3" t="n">
        <v>46289</v>
      </c>
      <c r="B25" s="4" t="inlineStr">
        <is>
          <t>الرياض</t>
        </is>
      </c>
      <c r="C25" s="4" t="inlineStr">
        <is>
          <t>أثاث</t>
        </is>
      </c>
      <c r="D25" s="5" t="n">
        <v>6500</v>
      </c>
    </row>
    <row r="26">
      <c r="A26" s="3" t="n">
        <v>46290</v>
      </c>
      <c r="B26" s="4" t="inlineStr">
        <is>
          <t>جدة</t>
        </is>
      </c>
      <c r="C26" s="4" t="inlineStr">
        <is>
          <t>قرطاسية</t>
        </is>
      </c>
      <c r="D26" s="5" t="n">
        <v>8500</v>
      </c>
    </row>
    <row r="27">
      <c r="A27" s="3" t="n">
        <v>46291</v>
      </c>
      <c r="B27" s="4" t="inlineStr">
        <is>
          <t>الدمام</t>
        </is>
      </c>
      <c r="C27" s="4" t="inlineStr">
        <is>
          <t>قرطاسية</t>
        </is>
      </c>
      <c r="D27" s="5" t="n">
        <v>9000</v>
      </c>
    </row>
    <row r="28">
      <c r="A28" s="3" t="n">
        <v>46292</v>
      </c>
      <c r="B28" s="4" t="inlineStr">
        <is>
          <t>الرياض</t>
        </is>
      </c>
      <c r="C28" s="4" t="inlineStr">
        <is>
          <t>قرطاسية</t>
        </is>
      </c>
      <c r="D28" s="5" t="n">
        <v>21000</v>
      </c>
    </row>
    <row r="29">
      <c r="A29" s="3" t="n">
        <v>46293</v>
      </c>
      <c r="B29" s="4" t="inlineStr">
        <is>
          <t>جدة</t>
        </is>
      </c>
      <c r="C29" s="4" t="inlineStr">
        <is>
          <t>أجهزة</t>
        </is>
      </c>
      <c r="D29" s="5" t="n">
        <v>23750</v>
      </c>
    </row>
    <row r="30">
      <c r="A30" s="3" t="n">
        <v>46294</v>
      </c>
      <c r="B30" s="4" t="inlineStr">
        <is>
          <t>الدمام</t>
        </is>
      </c>
      <c r="C30" s="4" t="inlineStr">
        <is>
          <t>أجهزة</t>
        </is>
      </c>
      <c r="D30" s="5" t="n">
        <v>7000</v>
      </c>
    </row>
    <row r="31">
      <c r="A31" s="3" t="n">
        <v>46295</v>
      </c>
      <c r="B31" s="4" t="inlineStr">
        <is>
          <t>الرياض</t>
        </is>
      </c>
      <c r="C31" s="4" t="inlineStr">
        <is>
          <t>أجهزة</t>
        </is>
      </c>
      <c r="D31" s="5" t="n">
        <v>17250</v>
      </c>
    </row>
  </sheetData>
  <dataValidations count="2">
    <dataValidation sqref="B2:B31" showDropDown="0" showInputMessage="0" showErrorMessage="1" allowBlank="1" errorTitle="قيمة غير صحيحة" error="اختر من القائمة: جدة، الدمام، الرياض" type="list">
      <formula1>"جدة,الدمام,الرياض"</formula1>
    </dataValidation>
    <dataValidation sqref="C2:C31" showDropDown="0" showInputMessage="0" showErrorMessage="1" allowBlank="1" errorTitle="قيمة غير صحيحة" error="اختر من القائمة: أجهزة، أثاث، قرطاسية" type="list">
      <formula1>"أجهزة,أثاث,قرطاسية"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3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7" t="inlineStr">
        <is>
          <t>تقرير مبيعات سبتمبر</t>
        </is>
      </c>
    </row>
    <row r="3">
      <c r="A3" s="8" t="inlineStr">
        <is>
          <t>التاريخ</t>
        </is>
      </c>
      <c r="B3" s="9" t="inlineStr">
        <is>
          <t>(الكل)</t>
        </is>
      </c>
      <c r="C3" s="9" t="n"/>
      <c r="D3" s="9" t="n"/>
      <c r="E3" s="9" t="n"/>
    </row>
    <row r="4">
      <c r="A4" s="8" t="n"/>
      <c r="B4" s="9" t="n"/>
      <c r="C4" s="9" t="n"/>
      <c r="D4" s="9" t="n"/>
      <c r="E4" s="9" t="n"/>
    </row>
    <row r="5">
      <c r="A5" s="8" t="inlineStr">
        <is>
          <t>مجموع المبيعات</t>
        </is>
      </c>
      <c r="B5" s="8" t="inlineStr">
        <is>
          <t>المنتج</t>
        </is>
      </c>
      <c r="C5" s="8" t="n"/>
      <c r="D5" s="8" t="n"/>
      <c r="E5" s="8" t="n"/>
    </row>
    <row r="6">
      <c r="A6" s="8" t="inlineStr">
        <is>
          <t>الفرع</t>
        </is>
      </c>
      <c r="B6" s="8" t="inlineStr">
        <is>
          <t>أجهزة</t>
        </is>
      </c>
      <c r="C6" s="8" t="inlineStr">
        <is>
          <t>أثاث</t>
        </is>
      </c>
      <c r="D6" s="8" t="inlineStr">
        <is>
          <t>قرطاسية</t>
        </is>
      </c>
      <c r="E6" s="8" t="inlineStr">
        <is>
          <t>الإجمالي الكلي</t>
        </is>
      </c>
    </row>
    <row r="7">
      <c r="A7" s="8" t="inlineStr">
        <is>
          <t>جدة</t>
        </is>
      </c>
      <c r="B7" s="10" t="n">
        <v>82500</v>
      </c>
      <c r="C7" s="10" t="n">
        <v>39250</v>
      </c>
      <c r="D7" s="10" t="n">
        <v>19750</v>
      </c>
      <c r="E7" s="10" t="n">
        <v>141500</v>
      </c>
    </row>
    <row r="8">
      <c r="A8" s="8" t="inlineStr">
        <is>
          <t>الدمام</t>
        </is>
      </c>
      <c r="B8" s="10" t="n">
        <v>74250</v>
      </c>
      <c r="C8" s="10" t="n">
        <v>44250</v>
      </c>
      <c r="D8" s="10" t="n">
        <v>41750</v>
      </c>
      <c r="E8" s="10" t="n">
        <v>160250</v>
      </c>
    </row>
    <row r="9">
      <c r="A9" s="8" t="inlineStr">
        <is>
          <t>الرياض</t>
        </is>
      </c>
      <c r="B9" s="10" t="n">
        <v>51500</v>
      </c>
      <c r="C9" s="10" t="n">
        <v>41750</v>
      </c>
      <c r="D9" s="10" t="n">
        <v>52250</v>
      </c>
      <c r="E9" s="10" t="n">
        <v>145500</v>
      </c>
    </row>
    <row r="10">
      <c r="A10" s="8" t="inlineStr">
        <is>
          <t>الإجمالي الكلي</t>
        </is>
      </c>
      <c r="B10" s="11" t="n">
        <v>208250</v>
      </c>
      <c r="C10" s="11" t="n">
        <v>125250</v>
      </c>
      <c r="D10" s="11" t="n">
        <v>113750</v>
      </c>
      <c r="E10" s="11" t="n">
        <v>447250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D"/>
  <extLst>
    <ext xmlns:x14="http://schemas.microsoft.com/office/spreadsheetml/2009/9/main" uri="{A8765BA9-456A-4dab-B4F3-ACF838C121DE}">
      <x14:slicerList>
        <x14:slicer xmlns:r="http://schemas.openxmlformats.org/officeDocument/2006/relationships" r:id="rIdS"/>
      </x14:slicerList>
    </ext>
  </extLst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rightToLeft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" customWidth="1" min="13" max="13"/>
    <col width="11" customWidth="1" min="14" max="14"/>
    <col width="11" customWidth="1" min="15" max="15"/>
    <col width="11" customWidth="1" min="16" max="16"/>
  </cols>
  <sheetData>
    <row r="1" ht="40" customHeight="1">
      <c r="A1" s="7" t="inlineStr">
        <is>
          <t>لوحة مبيعات سبتمبر</t>
        </is>
      </c>
    </row>
    <row r="3" ht="24" customHeight="1">
      <c r="A3" s="12" t="inlineStr">
        <is>
          <t>إجمالي المبيعات</t>
        </is>
      </c>
      <c r="B3" s="13" t="n"/>
      <c r="C3" s="13" t="n"/>
      <c r="D3" s="12" t="inlineStr">
        <is>
          <t>أعلى فرع</t>
        </is>
      </c>
      <c r="E3" s="13" t="n"/>
      <c r="F3" s="13" t="n"/>
      <c r="G3" s="12" t="inlineStr">
        <is>
          <t>أعلى منتج</t>
        </is>
      </c>
      <c r="H3" s="13" t="n"/>
      <c r="I3" s="13" t="n"/>
      <c r="J3" s="12" t="inlineStr">
        <is>
          <t>عدد العمليات</t>
        </is>
      </c>
      <c r="K3" s="13" t="n"/>
      <c r="L3" s="13" t="n"/>
    </row>
    <row r="4" ht="44" customHeight="1">
      <c r="A4" s="14">
        <f>SUM(tblSales[المبيعات])</f>
        <v/>
      </c>
      <c r="B4" s="15" t="n"/>
      <c r="C4" s="15" t="n"/>
      <c r="D4" s="16">
        <f>INDEX({"جدة","الدمام","الرياض"},MATCH(MAX(SUMIFS(tblSales[المبيعات],tblSales[الفرع],{"جدة","الدمام","الرياض"})),SUMIFS(tblSales[المبيعات],tblSales[الفرع],{"جدة","الدمام","الرياض"}),0))</f>
        <v/>
      </c>
      <c r="E4" s="15" t="n"/>
      <c r="F4" s="15" t="n"/>
      <c r="G4" s="16">
        <f>INDEX({"أجهزة","أثاث","قرطاسية"},MATCH(MAX(SUMIFS(tblSales[المبيعات],tblSales[المنتج],{"أجهزة","أثاث","قرطاسية"})),SUMIFS(tblSales[المبيعات],tblSales[المنتج],{"أجهزة","أثاث","قرطاسية"}),0))</f>
        <v/>
      </c>
      <c r="H4" s="15" t="n"/>
      <c r="I4" s="15" t="n"/>
      <c r="J4" s="14">
        <f>COUNT(tblSales[المبيعات])</f>
        <v/>
      </c>
      <c r="K4" s="15" t="n"/>
      <c r="L4" s="15" t="n"/>
    </row>
    <row r="26">
      <c r="A26" s="17" t="inlineStr">
        <is>
          <t>جداول مصدر الرسوم البيانية (تتحدث مع «تحديث الكل» — لا تحذفها)</t>
        </is>
      </c>
    </row>
    <row r="27">
      <c r="A27" s="18" t="inlineStr">
        <is>
          <t>الفرع</t>
        </is>
      </c>
      <c r="B27" s="18" t="inlineStr">
        <is>
          <t>مجموع المبيعات</t>
        </is>
      </c>
      <c r="D27" s="18" t="inlineStr">
        <is>
          <t>المنتج</t>
        </is>
      </c>
      <c r="E27" s="18" t="inlineStr">
        <is>
          <t>مجموع المبيعات</t>
        </is>
      </c>
    </row>
    <row r="28">
      <c r="A28" s="19" t="inlineStr">
        <is>
          <t>جدة</t>
        </is>
      </c>
      <c r="B28" s="20" t="n">
        <v>141500</v>
      </c>
      <c r="D28" s="19" t="inlineStr">
        <is>
          <t>أجهزة</t>
        </is>
      </c>
      <c r="E28" s="20" t="n">
        <v>208250</v>
      </c>
    </row>
    <row r="29">
      <c r="A29" s="19" t="inlineStr">
        <is>
          <t>الدمام</t>
        </is>
      </c>
      <c r="B29" s="20" t="n">
        <v>160250</v>
      </c>
      <c r="D29" s="19" t="inlineStr">
        <is>
          <t>أثاث</t>
        </is>
      </c>
      <c r="E29" s="20" t="n">
        <v>125250</v>
      </c>
    </row>
    <row r="30">
      <c r="A30" s="19" t="inlineStr">
        <is>
          <t>الرياض</t>
        </is>
      </c>
      <c r="B30" s="20" t="n">
        <v>145500</v>
      </c>
      <c r="D30" s="19" t="inlineStr">
        <is>
          <t>قرطاسية</t>
        </is>
      </c>
      <c r="E30" s="20" t="n">
        <v>113750</v>
      </c>
    </row>
    <row r="31">
      <c r="A31" s="18" t="inlineStr">
        <is>
          <t>الإجمالي الكلي</t>
        </is>
      </c>
      <c r="B31" s="21" t="n">
        <v>447250</v>
      </c>
      <c r="D31" s="18" t="inlineStr">
        <is>
          <t>الإجمالي الكلي</t>
        </is>
      </c>
      <c r="E31" s="21" t="n">
        <v>447250</v>
      </c>
    </row>
  </sheetData>
  <mergeCells count="9">
    <mergeCell ref="A1:L1"/>
    <mergeCell ref="D4:F4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  <drawing xmlns:r="http://schemas.openxmlformats.org/officeDocument/2006/relationships" r:id="rIdD"/>
  <extLst>
    <ext xmlns:x14="http://schemas.microsoft.com/office/spreadsheetml/2009/9/main" uri="{A8765BA9-456A-4dab-B4F3-ACF838C121DE}">
      <x14:slicerList>
        <x14:slicer xmlns:r="http://schemas.openxmlformats.org/officeDocument/2006/relationships" r:id="rIdS"/>
      </x14:slicerList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2026-10-14T08:39:33Z</dcterms:created>
  <dcterms:modified xmlns:dcterms="http://purl.org/dc/terms/" xmlns:xsi="http://www.w3.org/2001/XMLSchema-instance" xsi:type="dcterms:W3CDTF">2026-10-14T08:39:33Z</dcterms:modified>
</cp:coreProperties>
</file>