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4.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tables/table5.xml" ContentType="application/vnd.openxmlformats-officedocument.spreadsheetml.table+xml"/>
  <Override PartName="/xl/worksheets/sheet5.xml" ContentType="application/vnd.openxmlformats-officedocument.spreadsheetml.worksheet+xml"/>
  <Override PartName="/xl/comments/comment3.xml" ContentType="application/vnd.openxmlformats-officedocument.spreadsheetml.comments+xml"/>
  <Override PartName="/xl/tables/table6.xml" ContentType="application/vnd.openxmlformats-officedocument.spreadsheetml.table+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omments/comment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عليمات" sheetId="1" state="visible" r:id="rId1"/>
    <sheet name="الإعدادات" sheetId="2" state="visible" r:id="rId2"/>
    <sheet name="العملاء" sheetId="3" state="visible" r:id="rId3"/>
    <sheet name="الفواتير" sheetId="4" state="visible" r:id="rId4"/>
    <sheet name="التحصيلات" sheetId="5" state="visible" r:id="rId5"/>
    <sheet name="تقرير الأعمار" sheetId="6" state="visible" r:id="rId6"/>
    <sheet name="المخصص" sheetId="7" state="visible" r:id="rId7"/>
    <sheet name="كشف حساب عميل" sheetId="8" state="visible" r:id="rId8"/>
    <sheet name="لوحة التحكم" sheetId="9" state="visible" r:id="rId9"/>
  </sheets>
  <definedNames>
    <definedName name="CompanyName">'الإعدادات'!$C$4</definedName>
    <definedName name="AsOf">'الإعدادات'!$C$5</definedName>
    <definedName name="Currency">'الإعدادات'!$C$6</definedName>
    <definedName name="AgingBasis">'الإعدادات'!$C$7</definedName>
    <definedName name="DefaultTerms">'الإعدادات'!$C$8</definedName>
    <definedName name="VatRate">'الإعدادات'!$C$9</definedName>
    <definedName name="GLBalance">'الإعدادات'!$C$10</definedName>
    <definedName name="ProvBalance">'الإعدادات'!$C$11</definedName>
    <definedName name="RepFilterList">OFFSET('الإعدادات'!$K$14,0,0,COUNTIF('الإعدادات'!$K$14:$K$73,"?*"),1)</definedName>
    <definedName name="CityFilterList">OFFSET('الإعدادات'!$L$14,0,0,COUNTIF('الإعدادات'!$L$14:$L$73,"?*"),1)</definedName>
    <definedName name="RepList">tblReps[المندوب]</definedName>
    <definedName name="CityList">tblCities[المدينة]</definedName>
    <definedName name="CustCodes">tblCustomers[كود العميل]</definedName>
    <definedName name="InvNos">tblInv[رقم الفاتورة]</definedName>
    <definedName name="RepF">'تقرير الأعمار'!$A$5</definedName>
    <definedName name="CityF">'تقرير الأعمار'!$C$5</definedName>
    <definedName name="ProvRequired">'المخصص'!$D$12</definedName>
    <definedName name="ProvDiff">'المخصص'!$B$16</definedName>
    <definedName name="StCust">'كشف حساب عميل'!$J$2</definedName>
    <definedName name="StFrom">'كشف حساب عميل'!$J$3</definedName>
    <definedName name="StTo">'كشف حساب عميل'!$J$4</definedName>
    <definedName name="StName">'كشف حساب عميل'!$J$5</definedName>
    <definedName name="StVat">'كشف حساب عميل'!$J$6</definedName>
    <definedName name="StOpen">'كشف حساب عميل'!$J$7</definedName>
    <definedName name="StCount">'كشف حساب عميل'!$J$8</definedName>
    <definedName name="StClose">'كشف حساب عميل'!$J$9</definedName>
    <definedName name="ARTotal">'لوحة التحكم'!$B$6</definedName>
    <definedName name="AROverdue">'لوحة التحكم'!$D$6</definedName>
    <definedName name="_xlnm.Print_Area" localSheetId="5">OFFSET('تقرير الأعمار'!$A$1,0,0,9+MAX(1,COUNTIF('تقرير الأعمار'!$A$10:$A$509,"?*")),15)</definedName>
    <definedName name="_xlnm.Print_Titles" localSheetId="5">'تقرير الأعمار'!$7:$8</definedName>
    <definedName name="_xlnm.Print_Area" localSheetId="7">OFFSET('كشف حساب عميل'!$A$1,0,0,5+StCount+6,7)</definedName>
    <definedName name="_xlnm.Print_Titles" localSheetId="7">'كشف حساب عميل'!$1:$4</definedName>
  </definedNames>
  <calcPr calcId="124519" fullCalcOnLoad="1"/>
</workbook>
</file>

<file path=xl/styles.xml><?xml version="1.0" encoding="utf-8"?>
<styleSheet xmlns="http://schemas.openxmlformats.org/spreadsheetml/2006/main">
  <numFmts count="10">
    <numFmt numFmtId="164" formatCode="yyyy-mm-dd"/>
    <numFmt numFmtId="165" formatCode="dd/mm/yyyy"/>
    <numFmt numFmtId="166" formatCode="#,##0.00;[Red](#,##0.00);&quot;-&quot;"/>
    <numFmt numFmtId="167" formatCode="0.0%"/>
    <numFmt numFmtId="168" formatCode="#,##0;[Red](#,##0);&quot;-&quot;"/>
    <numFmt numFmtId="169" formatCode="0.0%;[Red]-0.0%;&quot;-&quot;"/>
    <numFmt numFmtId="170" formatCode="#,##0;-#,##0;&quot;-&quot;"/>
    <numFmt numFmtId="171" formatCode="0&quot; ⛔&quot;;;&quot;-&quot;"/>
    <numFmt numFmtId="172" formatCode="0&quot; يوم&quot;"/>
    <numFmt numFmtId="173" formatCode="0&quot; عميل&quot;;;&quot;✓ لا يوجد&quot;"/>
  </numFmts>
  <fonts count="31">
    <font>
      <name val="Calibri"/>
      <family val="2"/>
      <color theme="1"/>
      <sz val="11"/>
      <scheme val="minor"/>
    </font>
    <font>
      <name val="Cairo"/>
      <sz val="10"/>
    </font>
    <font>
      <name val="Cairo"/>
      <b val="1"/>
      <color rgb="00FFFFFF"/>
      <sz val="16"/>
    </font>
    <font>
      <name val="Cairo"/>
      <i val="1"/>
      <color rgb="00FFFFFF"/>
      <sz val="10"/>
    </font>
    <font>
      <name val="Cairo"/>
      <b val="1"/>
      <color rgb="00FFFFFF"/>
      <sz val="9"/>
    </font>
    <font>
      <name val="Cairo"/>
      <b val="1"/>
      <color rgb="001F2933"/>
      <sz val="10"/>
    </font>
    <font>
      <name val="Cairo"/>
      <b val="1"/>
      <color rgb="001A4FA0"/>
      <sz val="11"/>
    </font>
    <font>
      <name val="Cairo"/>
      <i val="1"/>
      <color rgb="005A6772"/>
      <sz val="9"/>
    </font>
    <font>
      <name val="Cairo"/>
      <b val="1"/>
      <color rgb="001F3A5F"/>
      <sz val="12"/>
    </font>
    <font>
      <name val="Cairo"/>
      <b val="1"/>
      <color rgb="00C62828"/>
      <sz val="10"/>
    </font>
    <font>
      <name val="Cairo"/>
      <b val="1"/>
      <color rgb="00FFFFFF"/>
      <sz val="11"/>
    </font>
    <font>
      <name val="Cairo"/>
      <b val="1"/>
      <color rgb="00FFFFFF"/>
      <sz val="10"/>
    </font>
    <font>
      <name val="Cairo"/>
      <b val="1"/>
      <color rgb="001A4FA0"/>
      <sz val="10"/>
    </font>
    <font>
      <name val="Cairo"/>
      <i val="1"/>
      <color rgb="009A6B00"/>
      <sz val="9"/>
    </font>
    <font>
      <name val="Cairo"/>
      <color rgb="001A4FA0"/>
      <sz val="10"/>
    </font>
    <font>
      <name val="Cairo"/>
      <b val="1"/>
      <color rgb="005A6772"/>
      <sz val="9"/>
    </font>
    <font>
      <name val="Cairo"/>
      <color rgb="001F2933"/>
      <sz val="10"/>
    </font>
    <font>
      <name val="Cairo"/>
      <b val="1"/>
      <color rgb="001F3A5F"/>
      <sz val="10"/>
    </font>
    <font>
      <name val="Cairo"/>
      <b val="1"/>
      <color rgb="001F2933"/>
      <sz val="9"/>
    </font>
    <font>
      <name val="Cairo"/>
      <b val="1"/>
      <color rgb="001F3A5F"/>
      <sz val="11"/>
    </font>
    <font>
      <name val="Cairo"/>
      <i val="1"/>
      <color rgb="005A6772"/>
      <sz val="10"/>
    </font>
    <font>
      <name val="Cairo"/>
      <color rgb="005A6772"/>
      <sz val="9"/>
    </font>
    <font>
      <name val="Cairo"/>
      <b val="1"/>
      <color rgb="001F3A5F"/>
      <sz val="15"/>
    </font>
    <font>
      <name val="Cairo"/>
      <b val="1"/>
      <color rgb="00C62828"/>
      <sz val="15"/>
    </font>
    <font>
      <name val="Cairo"/>
      <b val="1"/>
      <color rgb="009A6B00"/>
      <sz val="15"/>
    </font>
    <font>
      <name val="Cairo"/>
      <b val="1"/>
      <color rgb="002E7D7A"/>
      <sz val="15"/>
    </font>
    <font>
      <name val="Cairo"/>
      <b val="1"/>
      <color rgb="002C5282"/>
      <sz val="15"/>
    </font>
    <font>
      <name val="Cairo"/>
      <color rgb="005A6772"/>
      <sz val="10"/>
    </font>
    <font>
      <name val="Cairo"/>
      <b val="1"/>
      <color rgb="00FFFFFF"/>
      <sz val="14"/>
    </font>
    <font>
      <name val="Cairo"/>
      <b val="1"/>
      <color rgb="001F2933"/>
      <sz val="14"/>
    </font>
    <font>
      <name val="Cairo"/>
      <b val="1"/>
      <color rgb="002E7D7A"/>
      <sz val="12"/>
    </font>
  </fonts>
  <fills count="28">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EEF2F6"/>
        <bgColor rgb="00EEF2F6"/>
      </patternFill>
    </fill>
    <fill>
      <patternFill patternType="solid">
        <fgColor rgb="00DDEBF7"/>
        <bgColor rgb="00DDEBF7"/>
      </patternFill>
    </fill>
    <fill>
      <patternFill patternType="solid">
        <fgColor rgb="00FFE08A"/>
        <bgColor rgb="00FFE08A"/>
      </patternFill>
    </fill>
    <fill>
      <patternFill patternType="solid">
        <fgColor rgb="00C8E6C9"/>
        <bgColor rgb="00C8E6C9"/>
      </patternFill>
    </fill>
    <fill>
      <patternFill patternType="solid">
        <fgColor rgb="00E6F4D7"/>
        <bgColor rgb="00E6F4D7"/>
      </patternFill>
    </fill>
    <fill>
      <patternFill patternType="solid">
        <fgColor rgb="00FFF59D"/>
        <bgColor rgb="00FFF59D"/>
      </patternFill>
    </fill>
    <fill>
      <patternFill patternType="solid">
        <fgColor rgb="00FFE0B2"/>
        <bgColor rgb="00FFE0B2"/>
      </patternFill>
    </fill>
    <fill>
      <patternFill patternType="solid">
        <fgColor rgb="00FFCC80"/>
        <bgColor rgb="00FFCC80"/>
      </patternFill>
    </fill>
    <fill>
      <patternFill patternType="solid">
        <fgColor rgb="00EF9A9A"/>
        <bgColor rgb="00EF9A9A"/>
      </patternFill>
    </fill>
    <fill>
      <patternFill patternType="solid">
        <fgColor rgb="00E57373"/>
        <bgColor rgb="00E57373"/>
      </patternFill>
    </fill>
    <fill>
      <patternFill patternType="solid">
        <fgColor rgb="00FFF3CD"/>
        <bgColor rgb="00FFF3CD"/>
      </patternFill>
    </fill>
    <fill>
      <patternFill patternType="solid">
        <fgColor rgb="005A6772"/>
        <bgColor rgb="005A6772"/>
      </patternFill>
    </fill>
    <fill>
      <patternFill patternType="solid">
        <fgColor rgb="009AA5B1"/>
        <bgColor rgb="009AA5B1"/>
      </patternFill>
    </fill>
    <fill>
      <patternFill patternType="solid">
        <fgColor rgb="00FFFFFF"/>
        <bgColor rgb="00FFFFFF"/>
      </patternFill>
    </fill>
    <fill>
      <patternFill patternType="solid">
        <fgColor rgb="0043A047"/>
        <bgColor rgb="0043A047"/>
      </patternFill>
    </fill>
    <fill>
      <patternFill patternType="solid">
        <fgColor rgb="009CCC65"/>
        <bgColor rgb="009CCC65"/>
      </patternFill>
    </fill>
    <fill>
      <patternFill patternType="solid">
        <fgColor rgb="00FDD835"/>
        <bgColor rgb="00FDD835"/>
      </patternFill>
    </fill>
    <fill>
      <patternFill patternType="solid">
        <fgColor rgb="00FFA726"/>
        <bgColor rgb="00FFA726"/>
      </patternFill>
    </fill>
    <fill>
      <patternFill patternType="solid">
        <fgColor rgb="00EF6C00"/>
        <bgColor rgb="00EF6C00"/>
      </patternFill>
    </fill>
    <fill>
      <patternFill patternType="solid">
        <fgColor rgb="00E53935"/>
        <bgColor rgb="00E53935"/>
      </patternFill>
    </fill>
    <fill>
      <patternFill patternType="solid">
        <fgColor rgb="008E0000"/>
        <bgColor rgb="008E0000"/>
      </patternFill>
    </fill>
    <fill>
      <patternFill patternType="solid">
        <fgColor rgb="00D6E4F0"/>
        <bgColor rgb="00D6E4F0"/>
      </patternFill>
    </fill>
    <fill>
      <patternFill patternType="solid">
        <fgColor rgb="00C62828"/>
        <bgColor rgb="00C62828"/>
      </patternFill>
    </fill>
  </fills>
  <borders count="9">
    <border>
      <left/>
      <right/>
      <top/>
      <bottom/>
      <diagonal/>
    </border>
    <border>
      <left style="thin">
        <color rgb="00FFFFFF"/>
      </left>
      <right style="thin">
        <color rgb="00FFFFFF"/>
      </right>
      <bottom style="medium">
        <color rgb="001F3A5F"/>
      </bottom>
    </border>
    <border>
      <left style="thin">
        <color rgb="00C9D3DD"/>
      </left>
      <right style="thin">
        <color rgb="00C9D3DD"/>
      </right>
      <top style="thin">
        <color rgb="00C9D3DD"/>
      </top>
      <bottom style="thin">
        <color rgb="00C9D3DD"/>
      </bottom>
    </border>
    <border>
      <left style="thin">
        <color rgb="00C9D3DD"/>
      </left>
      <right style="thin">
        <color rgb="00C9D3DD"/>
      </right>
      <top style="medium">
        <color rgb="001F3A5F"/>
      </top>
    </border>
    <border>
      <left style="thin">
        <color rgb="00C9D3DD"/>
      </left>
      <right style="thin">
        <color rgb="00C9D3DD"/>
      </right>
      <bottom style="thin">
        <color rgb="00C9D3DD"/>
      </bottom>
    </border>
    <border>
      <left style="thin">
        <color rgb="00C9D3DD"/>
      </left>
      <right style="thin">
        <color rgb="00C9D3DD"/>
      </right>
      <top style="medium">
        <color rgb="00C62828"/>
      </top>
    </border>
    <border>
      <left style="thin">
        <color rgb="00C9D3DD"/>
      </left>
      <right style="thin">
        <color rgb="00C9D3DD"/>
      </right>
      <top style="medium">
        <color rgb="009A6B00"/>
      </top>
    </border>
    <border>
      <left style="thin">
        <color rgb="00C9D3DD"/>
      </left>
      <right style="thin">
        <color rgb="00C9D3DD"/>
      </right>
      <top style="medium">
        <color rgb="002E7D7A"/>
      </top>
    </border>
    <border>
      <left style="thin">
        <color rgb="00C9D3DD"/>
      </left>
      <right style="thin">
        <color rgb="00C9D3DD"/>
      </right>
      <top style="medium">
        <color rgb="002C5282"/>
      </top>
    </border>
  </borders>
  <cellStyleXfs count="1">
    <xf numFmtId="0" fontId="1" fillId="0" borderId="0"/>
  </cellStyleXfs>
  <cellXfs count="147">
    <xf numFmtId="0" fontId="0" fillId="0" borderId="0" pivotButton="0" quotePrefix="0" xfId="0"/>
    <xf numFmtId="0" fontId="2" fillId="2" borderId="0" applyAlignment="1" pivotButton="0" quotePrefix="0" xfId="0">
      <alignment horizontal="center" vertical="center" readingOrder="2"/>
    </xf>
    <xf numFmtId="0" fontId="3" fillId="3" borderId="0" applyAlignment="1" pivotButton="0" quotePrefix="0" xfId="0">
      <alignment horizontal="center" vertical="center" readingOrder="2"/>
    </xf>
    <xf numFmtId="0" fontId="4" fillId="4" borderId="1" applyAlignment="1" pivotButton="0" quotePrefix="0" xfId="0">
      <alignment horizontal="center" vertical="center" readingOrder="2"/>
    </xf>
    <xf numFmtId="0" fontId="27" fillId="0" borderId="0" applyAlignment="1" pivotButton="0" quotePrefix="0" xfId="0">
      <alignment horizontal="right" vertical="center" indent="1" readingOrder="2"/>
    </xf>
    <xf numFmtId="0" fontId="4" fillId="3" borderId="1" applyAlignment="1" pivotButton="0" quotePrefix="0" xfId="0">
      <alignment horizontal="center" vertical="center" readingOrder="2"/>
    </xf>
    <xf numFmtId="0" fontId="10" fillId="4" borderId="0" applyAlignment="1" pivotButton="0" quotePrefix="0" xfId="0">
      <alignment horizontal="right" vertical="center" indent="1" readingOrder="2"/>
    </xf>
    <xf numFmtId="0" fontId="28" fillId="4" borderId="2" applyAlignment="1" pivotButton="0" quotePrefix="0" xfId="0">
      <alignment horizontal="center" vertical="center" readingOrder="2"/>
    </xf>
    <xf numFmtId="0" fontId="19" fillId="5" borderId="2" applyAlignment="1" pivotButton="0" quotePrefix="0" xfId="0">
      <alignment horizontal="right" vertical="center" indent="1" readingOrder="2"/>
    </xf>
    <xf numFmtId="0" fontId="16" fillId="0" borderId="2" applyAlignment="1" pivotButton="0" quotePrefix="0" xfId="0">
      <alignment horizontal="right" vertical="center" wrapText="1" indent="1" readingOrder="2"/>
    </xf>
    <xf numFmtId="0" fontId="0" fillId="6" borderId="2" pivotButton="0" quotePrefix="0" xfId="0"/>
    <xf numFmtId="0" fontId="5" fillId="0" borderId="2" applyAlignment="1" pivotButton="0" quotePrefix="0" xfId="0">
      <alignment horizontal="right" vertical="center" indent="1" readingOrder="2"/>
    </xf>
    <xf numFmtId="0" fontId="0" fillId="18" borderId="2" pivotButton="0" quotePrefix="0" xfId="0"/>
    <xf numFmtId="0" fontId="0" fillId="16" borderId="2" pivotButton="0" quotePrefix="0" xfId="0"/>
    <xf numFmtId="0" fontId="29" fillId="0" borderId="2" applyAlignment="1" pivotButton="0" quotePrefix="0" xfId="0">
      <alignment horizontal="center" vertical="center" readingOrder="2"/>
    </xf>
    <xf numFmtId="0" fontId="30" fillId="0" borderId="0" applyAlignment="1" pivotButton="0" quotePrefix="0" xfId="0">
      <alignment horizontal="center" vertical="center" readingOrder="2"/>
    </xf>
    <xf numFmtId="0" fontId="16" fillId="0" borderId="0" applyAlignment="1" pivotButton="0" quotePrefix="0" xfId="0">
      <alignment horizontal="right" vertical="center" wrapText="1" indent="1" readingOrder="2"/>
    </xf>
    <xf numFmtId="0" fontId="14" fillId="0" borderId="2" applyAlignment="1" pivotButton="0" quotePrefix="0" xfId="0">
      <alignment horizontal="right" vertical="center" indent="1" readingOrder="2"/>
    </xf>
    <xf numFmtId="0" fontId="4" fillId="2" borderId="1" applyAlignment="1" pivotButton="0" quotePrefix="0" xfId="0">
      <alignment horizontal="center" vertical="center" readingOrder="2"/>
    </xf>
    <xf numFmtId="0" fontId="5" fillId="5" borderId="2" applyAlignment="1" pivotButton="0" quotePrefix="0" xfId="0">
      <alignment horizontal="right" vertical="center" indent="1" readingOrder="2"/>
    </xf>
    <xf numFmtId="0" fontId="6" fillId="6" borderId="2" applyAlignment="1" applyProtection="1" pivotButton="0" quotePrefix="0" xfId="0">
      <alignment horizontal="center" vertical="center" readingOrder="2"/>
      <protection locked="0" hidden="0"/>
    </xf>
    <xf numFmtId="0" fontId="7" fillId="0" borderId="0" applyAlignment="1" pivotButton="0" quotePrefix="0" xfId="0">
      <alignment horizontal="right" vertical="center" wrapText="1" readingOrder="2"/>
    </xf>
    <xf numFmtId="0" fontId="9" fillId="5" borderId="2" applyAlignment="1" pivotButton="0" quotePrefix="0" xfId="0">
      <alignment horizontal="right" vertical="center" indent="1" readingOrder="2"/>
    </xf>
    <xf numFmtId="165" fontId="8" fillId="7" borderId="2" applyAlignment="1" applyProtection="1" pivotButton="0" quotePrefix="0" xfId="0">
      <alignment horizontal="center" vertical="center" readingOrder="2"/>
      <protection locked="0" hidden="0"/>
    </xf>
    <xf numFmtId="1" fontId="6" fillId="6" borderId="2" applyAlignment="1" applyProtection="1" pivotButton="0" quotePrefix="0" xfId="0">
      <alignment horizontal="center" vertical="center" readingOrder="2"/>
      <protection locked="0" hidden="0"/>
    </xf>
    <xf numFmtId="9" fontId="6" fillId="6" borderId="2" applyAlignment="1" applyProtection="1" pivotButton="0" quotePrefix="0" xfId="0">
      <alignment horizontal="center" vertical="center" readingOrder="2"/>
      <protection locked="0" hidden="0"/>
    </xf>
    <xf numFmtId="166" fontId="6" fillId="6" borderId="2" applyAlignment="1" applyProtection="1" pivotButton="0" quotePrefix="0" xfId="0">
      <alignment horizontal="center" vertical="center" readingOrder="2"/>
      <protection locked="0" hidden="0"/>
    </xf>
    <xf numFmtId="0" fontId="11" fillId="2" borderId="2" applyAlignment="1" pivotButton="0" quotePrefix="0" xfId="0">
      <alignment horizontal="center" vertical="center" wrapText="1" readingOrder="2"/>
    </xf>
    <xf numFmtId="0" fontId="15" fillId="0" borderId="0" pivotButton="0" quotePrefix="0" xfId="0"/>
    <xf numFmtId="1" fontId="12" fillId="6" borderId="2" applyAlignment="1" applyProtection="1" pivotButton="0" quotePrefix="0" xfId="0">
      <alignment horizontal="center" vertical="center" readingOrder="2"/>
      <protection locked="0" hidden="0"/>
    </xf>
    <xf numFmtId="0" fontId="12" fillId="6" borderId="2" applyAlignment="1" applyProtection="1" pivotButton="0" quotePrefix="0" xfId="0">
      <alignment horizontal="center" vertical="center" readingOrder="2"/>
      <protection locked="0" hidden="0"/>
    </xf>
    <xf numFmtId="167" fontId="12" fillId="6" borderId="2" applyAlignment="1" applyProtection="1" pivotButton="0" quotePrefix="0" xfId="0">
      <alignment horizontal="center" vertical="center" readingOrder="2"/>
      <protection locked="0" hidden="0"/>
    </xf>
    <xf numFmtId="0" fontId="5" fillId="8" borderId="2" applyAlignment="1" pivotButton="0" quotePrefix="0" xfId="0">
      <alignment horizontal="center" vertical="center" readingOrder="2"/>
    </xf>
    <xf numFmtId="0" fontId="14" fillId="6" borderId="2" applyAlignment="1" applyProtection="1" pivotButton="0" quotePrefix="0" xfId="0">
      <alignment horizontal="right" vertical="center" readingOrder="2"/>
      <protection locked="0" hidden="0"/>
    </xf>
    <xf numFmtId="0" fontId="5" fillId="9" borderId="2" applyAlignment="1" pivotButton="0" quotePrefix="0" xfId="0">
      <alignment horizontal="center" vertical="center" readingOrder="2"/>
    </xf>
    <xf numFmtId="0" fontId="5" fillId="10" borderId="2" applyAlignment="1" pivotButton="0" quotePrefix="0" xfId="0">
      <alignment horizontal="center" vertical="center" readingOrder="2"/>
    </xf>
    <xf numFmtId="0" fontId="5" fillId="11" borderId="2" applyAlignment="1" pivotButton="0" quotePrefix="0" xfId="0">
      <alignment horizontal="center" vertical="center" readingOrder="2"/>
    </xf>
    <xf numFmtId="0" fontId="5" fillId="12" borderId="2" applyAlignment="1" pivotButton="0" quotePrefix="0" xfId="0">
      <alignment horizontal="center" vertical="center" readingOrder="2"/>
    </xf>
    <xf numFmtId="0" fontId="5" fillId="13" borderId="2" applyAlignment="1" pivotButton="0" quotePrefix="0" xfId="0">
      <alignment horizontal="center" vertical="center" readingOrder="2"/>
    </xf>
    <xf numFmtId="0" fontId="5" fillId="14" borderId="2" applyAlignment="1" pivotButton="0" quotePrefix="0" xfId="0">
      <alignment horizontal="center" vertical="center" readingOrder="2"/>
    </xf>
    <xf numFmtId="0" fontId="13" fillId="15" borderId="0" applyAlignment="1" pivotButton="0" quotePrefix="0" xfId="0">
      <alignment horizontal="right" vertical="center" wrapText="1" readingOrder="2"/>
    </xf>
    <xf numFmtId="0" fontId="11" fillId="16" borderId="2" applyAlignment="1" pivotButton="0" quotePrefix="0" xfId="0">
      <alignment horizontal="center" vertical="center" wrapText="1" readingOrder="2"/>
    </xf>
    <xf numFmtId="0" fontId="11" fillId="17" borderId="2" applyAlignment="1" pivotButton="0" quotePrefix="0" xfId="0">
      <alignment horizontal="center" vertical="center" wrapText="1" readingOrder="2"/>
    </xf>
    <xf numFmtId="0" fontId="14" fillId="6" borderId="2" applyAlignment="1" pivotButton="0" quotePrefix="0" xfId="0">
      <alignment horizontal="center" vertical="center" readingOrder="2"/>
    </xf>
    <xf numFmtId="0" fontId="14" fillId="6" borderId="2" applyAlignment="1" pivotButton="0" quotePrefix="0" xfId="0">
      <alignment horizontal="right" vertical="center" readingOrder="2"/>
    </xf>
    <xf numFmtId="49" fontId="14" fillId="6" borderId="2" applyAlignment="1" pivotButton="0" quotePrefix="0" xfId="0">
      <alignment horizontal="center" vertical="center" readingOrder="2"/>
    </xf>
    <xf numFmtId="168" fontId="14" fillId="6" borderId="2" applyAlignment="1" pivotButton="0" quotePrefix="0" xfId="0">
      <alignment horizontal="right" vertical="center" readingOrder="2"/>
    </xf>
    <xf numFmtId="1" fontId="14" fillId="6" borderId="2" applyAlignment="1" pivotButton="0" quotePrefix="0" xfId="0">
      <alignment horizontal="center" vertical="center" readingOrder="2"/>
    </xf>
    <xf numFmtId="166" fontId="5" fillId="18" borderId="2" applyAlignment="1" pivotButton="0" quotePrefix="0" xfId="0">
      <alignment horizontal="right" vertical="center" readingOrder="2"/>
    </xf>
    <xf numFmtId="166" fontId="16" fillId="18" borderId="2" applyAlignment="1" pivotButton="0" quotePrefix="0" xfId="0">
      <alignment horizontal="right" vertical="center" readingOrder="2"/>
    </xf>
    <xf numFmtId="169" fontId="16" fillId="18" borderId="2" applyAlignment="1" pivotButton="0" quotePrefix="0" xfId="0">
      <alignment horizontal="center" vertical="center" readingOrder="2"/>
    </xf>
    <xf numFmtId="170" fontId="16" fillId="18" borderId="2" applyAlignment="1" pivotButton="0" quotePrefix="0" xfId="0">
      <alignment horizontal="center" vertical="center" readingOrder="2"/>
    </xf>
    <xf numFmtId="0" fontId="16" fillId="18" borderId="2" applyAlignment="1" pivotButton="0" quotePrefix="0" xfId="0">
      <alignment horizontal="right" vertical="center" readingOrder="2"/>
    </xf>
    <xf numFmtId="165" fontId="14" fillId="6" borderId="2" applyAlignment="1" pivotButton="0" quotePrefix="0" xfId="0">
      <alignment horizontal="center" vertical="center" readingOrder="2"/>
    </xf>
    <xf numFmtId="166" fontId="14" fillId="6" borderId="2" applyAlignment="1" pivotButton="0" quotePrefix="0" xfId="0">
      <alignment horizontal="right" vertical="center" readingOrder="2"/>
    </xf>
    <xf numFmtId="1" fontId="16" fillId="18" borderId="2" applyAlignment="1" pivotButton="0" quotePrefix="0" xfId="0">
      <alignment horizontal="center" vertical="center" readingOrder="2"/>
    </xf>
    <xf numFmtId="165" fontId="16" fillId="18" borderId="2" applyAlignment="1" pivotButton="0" quotePrefix="0" xfId="0">
      <alignment horizontal="center" vertical="center" readingOrder="2"/>
    </xf>
    <xf numFmtId="170" fontId="5" fillId="18" borderId="2" applyAlignment="1" pivotButton="0" quotePrefix="0" xfId="0">
      <alignment horizontal="center" vertical="center" readingOrder="2"/>
    </xf>
    <xf numFmtId="0" fontId="16" fillId="18" borderId="2" applyAlignment="1" pivotButton="0" quotePrefix="0" xfId="0">
      <alignment horizontal="center" vertical="center" readingOrder="2"/>
    </xf>
    <xf numFmtId="0" fontId="4" fillId="4" borderId="2" applyAlignment="1" pivotButton="0" quotePrefix="0" xfId="0">
      <alignment horizontal="center" vertical="center" readingOrder="2"/>
    </xf>
    <xf numFmtId="0" fontId="17" fillId="0" borderId="0" applyAlignment="1" pivotButton="0" quotePrefix="0" xfId="0">
      <alignment horizontal="center" vertical="center" readingOrder="2"/>
    </xf>
    <xf numFmtId="0" fontId="4" fillId="2" borderId="2" applyAlignment="1" pivotButton="0" quotePrefix="0" xfId="0">
      <alignment horizontal="center" vertical="center" readingOrder="2"/>
    </xf>
    <xf numFmtId="0" fontId="18" fillId="0" borderId="0" applyAlignment="1" pivotButton="0" quotePrefix="0" xfId="0">
      <alignment horizontal="center" vertical="center" wrapText="1" readingOrder="2"/>
    </xf>
    <xf numFmtId="166" fontId="8" fillId="18" borderId="2" applyAlignment="1" pivotButton="0" quotePrefix="0" xfId="0">
      <alignment horizontal="center" vertical="center" readingOrder="2"/>
    </xf>
    <xf numFmtId="0" fontId="11" fillId="19" borderId="2" applyAlignment="1" pivotButton="0" quotePrefix="0" xfId="0">
      <alignment horizontal="center" vertical="center" wrapText="1" readingOrder="2"/>
    </xf>
    <xf numFmtId="0" fontId="5" fillId="20" borderId="2" applyAlignment="1" pivotButton="0" quotePrefix="0" xfId="0">
      <alignment horizontal="center" vertical="center" wrapText="1" readingOrder="2"/>
    </xf>
    <xf numFmtId="0" fontId="5" fillId="21" borderId="2" applyAlignment="1" pivotButton="0" quotePrefix="0" xfId="0">
      <alignment horizontal="center" vertical="center" wrapText="1" readingOrder="2"/>
    </xf>
    <xf numFmtId="0" fontId="5" fillId="22" borderId="2" applyAlignment="1" pivotButton="0" quotePrefix="0" xfId="0">
      <alignment horizontal="center" vertical="center" wrapText="1" readingOrder="2"/>
    </xf>
    <xf numFmtId="0" fontId="11" fillId="23" borderId="2" applyAlignment="1" pivotButton="0" quotePrefix="0" xfId="0">
      <alignment horizontal="center" vertical="center" wrapText="1" readingOrder="2"/>
    </xf>
    <xf numFmtId="0" fontId="11" fillId="24" borderId="2" applyAlignment="1" pivotButton="0" quotePrefix="0" xfId="0">
      <alignment horizontal="center" vertical="center" wrapText="1" readingOrder="2"/>
    </xf>
    <xf numFmtId="0" fontId="11" fillId="25" borderId="2" applyAlignment="1" pivotButton="0" quotePrefix="0" xfId="0">
      <alignment horizontal="center" vertical="center" wrapText="1" readingOrder="2"/>
    </xf>
    <xf numFmtId="0" fontId="10" fillId="2" borderId="2" applyAlignment="1" pivotButton="0" quotePrefix="0" xfId="0">
      <alignment horizontal="center" vertical="center" readingOrder="2"/>
    </xf>
    <xf numFmtId="168" fontId="11" fillId="2" borderId="2" applyAlignment="1" pivotButton="0" quotePrefix="0" xfId="0">
      <alignment horizontal="center" vertical="center" readingOrder="2"/>
    </xf>
    <xf numFmtId="169" fontId="11" fillId="2" borderId="2" applyAlignment="1" pivotButton="0" quotePrefix="0" xfId="0">
      <alignment horizontal="center" vertical="center" readingOrder="2"/>
    </xf>
    <xf numFmtId="171" fontId="11" fillId="2" borderId="2" applyAlignment="1" pivotButton="0" quotePrefix="0" xfId="0">
      <alignment horizontal="center" vertical="center" readingOrder="2"/>
    </xf>
    <xf numFmtId="0" fontId="17" fillId="26" borderId="2" applyAlignment="1" pivotButton="0" quotePrefix="0" xfId="0">
      <alignment horizontal="center" vertical="center" readingOrder="2"/>
    </xf>
    <xf numFmtId="169" fontId="17" fillId="26" borderId="2" applyAlignment="1" pivotButton="0" quotePrefix="0" xfId="0">
      <alignment horizontal="center" vertical="center" readingOrder="2"/>
    </xf>
    <xf numFmtId="0" fontId="0" fillId="26" borderId="2" pivotButton="0" quotePrefix="0" xfId="0"/>
    <xf numFmtId="0" fontId="5" fillId="0" borderId="0" applyAlignment="1" pivotButton="0" quotePrefix="0" xfId="0">
      <alignment horizontal="center" vertical="center" readingOrder="2"/>
    </xf>
    <xf numFmtId="0" fontId="16" fillId="0" borderId="0" applyAlignment="1" pivotButton="0" quotePrefix="0" xfId="0">
      <alignment horizontal="right" vertical="center" readingOrder="2"/>
    </xf>
    <xf numFmtId="168" fontId="16" fillId="0" borderId="0" applyAlignment="1" pivotButton="0" quotePrefix="0" xfId="0">
      <alignment horizontal="center" vertical="center" readingOrder="2"/>
    </xf>
    <xf numFmtId="168" fontId="5" fillId="0" borderId="0" applyAlignment="1" pivotButton="0" quotePrefix="0" xfId="0">
      <alignment horizontal="center" vertical="center" readingOrder="2"/>
    </xf>
    <xf numFmtId="169" fontId="16" fillId="0" borderId="0" applyAlignment="1" pivotButton="0" quotePrefix="0" xfId="0">
      <alignment horizontal="center" vertical="center" readingOrder="2"/>
    </xf>
    <xf numFmtId="0" fontId="16" fillId="0" borderId="0" applyAlignment="1" pivotButton="0" quotePrefix="0" xfId="0">
      <alignment horizontal="center" vertical="center" readingOrder="2"/>
    </xf>
    <xf numFmtId="0" fontId="11" fillId="4" borderId="0" applyAlignment="1" pivotButton="0" quotePrefix="0" xfId="0">
      <alignment horizontal="right" vertical="center" indent="1" readingOrder="2"/>
    </xf>
    <xf numFmtId="0" fontId="5" fillId="8" borderId="2" applyAlignment="1" pivotButton="0" quotePrefix="0" xfId="0">
      <alignment horizontal="right" vertical="center" indent="1" readingOrder="2"/>
    </xf>
    <xf numFmtId="168" fontId="16" fillId="0" borderId="2" applyAlignment="1" pivotButton="0" quotePrefix="0" xfId="0">
      <alignment horizontal="center" vertical="center" readingOrder="2"/>
    </xf>
    <xf numFmtId="167" fontId="16" fillId="0" borderId="2" applyAlignment="1" pivotButton="0" quotePrefix="0" xfId="0">
      <alignment horizontal="center" vertical="center" readingOrder="2"/>
    </xf>
    <xf numFmtId="168" fontId="5" fillId="0" borderId="2" applyAlignment="1" pivotButton="0" quotePrefix="0" xfId="0">
      <alignment horizontal="center" vertical="center" readingOrder="2"/>
    </xf>
    <xf numFmtId="0" fontId="21" fillId="0" borderId="0" applyAlignment="1" pivotButton="0" quotePrefix="0" xfId="0">
      <alignment horizontal="right" vertical="top" wrapText="1" readingOrder="2"/>
    </xf>
    <xf numFmtId="0" fontId="5" fillId="9" borderId="2" applyAlignment="1" pivotButton="0" quotePrefix="0" xfId="0">
      <alignment horizontal="right" vertical="center" indent="1" readingOrder="2"/>
    </xf>
    <xf numFmtId="0" fontId="5" fillId="10" borderId="2" applyAlignment="1" pivotButton="0" quotePrefix="0" xfId="0">
      <alignment horizontal="right" vertical="center" indent="1" readingOrder="2"/>
    </xf>
    <xf numFmtId="0" fontId="5" fillId="11" borderId="2" applyAlignment="1" pivotButton="0" quotePrefix="0" xfId="0">
      <alignment horizontal="right" vertical="center" indent="1" readingOrder="2"/>
    </xf>
    <xf numFmtId="0" fontId="5" fillId="12" borderId="2" applyAlignment="1" pivotButton="0" quotePrefix="0" xfId="0">
      <alignment horizontal="right" vertical="center" indent="1" readingOrder="2"/>
    </xf>
    <xf numFmtId="0" fontId="5" fillId="13" borderId="2" applyAlignment="1" pivotButton="0" quotePrefix="0" xfId="0">
      <alignment horizontal="right" vertical="center" indent="1" readingOrder="2"/>
    </xf>
    <xf numFmtId="0" fontId="5" fillId="14" borderId="2" applyAlignment="1" pivotButton="0" quotePrefix="0" xfId="0">
      <alignment horizontal="right" vertical="center" indent="1" readingOrder="2"/>
    </xf>
    <xf numFmtId="0" fontId="10" fillId="2" borderId="2" applyAlignment="1" pivotButton="0" quotePrefix="0" xfId="0">
      <alignment horizontal="right" vertical="center" indent="1" readingOrder="2"/>
    </xf>
    <xf numFmtId="168" fontId="10" fillId="2" borderId="2" applyAlignment="1" pivotButton="0" quotePrefix="0" xfId="0">
      <alignment horizontal="center" vertical="center" readingOrder="2"/>
    </xf>
    <xf numFmtId="167" fontId="10" fillId="2" borderId="2" applyAlignment="1" pivotButton="0" quotePrefix="0" xfId="0">
      <alignment horizontal="center" vertical="center" readingOrder="2"/>
    </xf>
    <xf numFmtId="166" fontId="19" fillId="0" borderId="2" applyAlignment="1" pivotButton="0" quotePrefix="0" xfId="0">
      <alignment horizontal="center" vertical="center" readingOrder="2"/>
    </xf>
    <xf numFmtId="0" fontId="5" fillId="0" borderId="2" applyAlignment="1" pivotButton="0" quotePrefix="0" xfId="0">
      <alignment horizontal="center" vertical="center" readingOrder="2"/>
    </xf>
    <xf numFmtId="0" fontId="10" fillId="3" borderId="0" applyAlignment="1" pivotButton="0" quotePrefix="0" xfId="0">
      <alignment horizontal="right" vertical="center" indent="1" readingOrder="2"/>
    </xf>
    <xf numFmtId="0" fontId="11" fillId="4" borderId="2" applyAlignment="1" pivotButton="0" quotePrefix="0" xfId="0">
      <alignment horizontal="center" vertical="center" wrapText="1" readingOrder="2"/>
    </xf>
    <xf numFmtId="166" fontId="5" fillId="0" borderId="2" applyAlignment="1" pivotButton="0" quotePrefix="0" xfId="0">
      <alignment horizontal="center" vertical="center" readingOrder="2"/>
    </xf>
    <xf numFmtId="0" fontId="0" fillId="0" borderId="2" pivotButton="0" quotePrefix="0" xfId="0"/>
    <xf numFmtId="0" fontId="5" fillId="0" borderId="2" applyAlignment="1" pivotButton="0" quotePrefix="0" xfId="0">
      <alignment horizontal="right" vertical="center" indent="3" readingOrder="2"/>
    </xf>
    <xf numFmtId="0" fontId="20" fillId="0" borderId="2" applyAlignment="1" pivotButton="0" quotePrefix="0" xfId="0">
      <alignment horizontal="right" vertical="center" wrapText="1" readingOrder="2"/>
    </xf>
    <xf numFmtId="0" fontId="10" fillId="4" borderId="0" applyAlignment="1" pivotButton="0" quotePrefix="0" xfId="0">
      <alignment horizontal="center" vertical="center" readingOrder="2"/>
    </xf>
    <xf numFmtId="0" fontId="10" fillId="3" borderId="0" applyAlignment="1" pivotButton="0" quotePrefix="0" xfId="0">
      <alignment horizontal="center" vertical="center" readingOrder="2"/>
    </xf>
    <xf numFmtId="49" fontId="6" fillId="6" borderId="2" applyAlignment="1" applyProtection="1" pivotButton="0" quotePrefix="0" xfId="0">
      <alignment horizontal="center" vertical="center" readingOrder="2"/>
      <protection locked="0" hidden="0"/>
    </xf>
    <xf numFmtId="0" fontId="17" fillId="26" borderId="0" applyAlignment="1" pivotButton="0" quotePrefix="0" xfId="0">
      <alignment horizontal="center" vertical="center" readingOrder="2"/>
    </xf>
    <xf numFmtId="165" fontId="6" fillId="6" borderId="2" applyAlignment="1" applyProtection="1" pivotButton="0" quotePrefix="0" xfId="0">
      <alignment horizontal="center" vertical="center" readingOrder="2"/>
      <protection locked="0" hidden="0"/>
    </xf>
    <xf numFmtId="165" fontId="5" fillId="5" borderId="2" applyAlignment="1" pivotButton="0" quotePrefix="0" xfId="0">
      <alignment horizontal="center" vertical="center" readingOrder="2"/>
    </xf>
    <xf numFmtId="0" fontId="5" fillId="5" borderId="2" applyAlignment="1" pivotButton="0" quotePrefix="0" xfId="0">
      <alignment horizontal="center" vertical="center" readingOrder="2"/>
    </xf>
    <xf numFmtId="0" fontId="0" fillId="5" borderId="2" pivotButton="0" quotePrefix="0" xfId="0"/>
    <xf numFmtId="166" fontId="5" fillId="5" borderId="2" applyAlignment="1" pivotButton="0" quotePrefix="0" xfId="0">
      <alignment horizontal="center" vertical="center" readingOrder="2"/>
    </xf>
    <xf numFmtId="0" fontId="17" fillId="0" borderId="2" applyAlignment="1" pivotButton="0" quotePrefix="0" xfId="0">
      <alignment horizontal="right" vertical="center" wrapText="1" readingOrder="2"/>
    </xf>
    <xf numFmtId="165" fontId="16" fillId="0" borderId="0" applyAlignment="1" pivotButton="0" quotePrefix="0" xfId="0">
      <alignment horizontal="center" vertical="center" readingOrder="2"/>
    </xf>
    <xf numFmtId="0" fontId="16" fillId="0" borderId="0" applyAlignment="1" pivotButton="0" quotePrefix="0" xfId="0">
      <alignment horizontal="right" vertical="center" wrapText="1" readingOrder="2"/>
    </xf>
    <xf numFmtId="166" fontId="16" fillId="0" borderId="0" applyAlignment="1" pivotButton="0" quotePrefix="0" xfId="0">
      <alignment horizontal="center" vertical="center" readingOrder="2"/>
    </xf>
    <xf numFmtId="166" fontId="5" fillId="0" borderId="0" applyAlignment="1" pivotButton="0" quotePrefix="0" xfId="0">
      <alignment horizontal="center" vertical="center" readingOrder="2"/>
    </xf>
    <xf numFmtId="0" fontId="16" fillId="0" borderId="2" applyAlignment="1" pivotButton="0" quotePrefix="0" xfId="0">
      <alignment horizontal="center" vertical="center" readingOrder="2"/>
    </xf>
    <xf numFmtId="1" fontId="5" fillId="0" borderId="2" applyAlignment="1" pivotButton="0" quotePrefix="0" xfId="0">
      <alignment horizontal="center" vertical="center" readingOrder="2"/>
    </xf>
    <xf numFmtId="0" fontId="7" fillId="0" borderId="0" applyAlignment="1" pivotButton="0" quotePrefix="0" xfId="0">
      <alignment horizontal="right" vertical="top" wrapText="1" readingOrder="2"/>
    </xf>
    <xf numFmtId="0" fontId="15" fillId="18" borderId="3" applyAlignment="1" pivotButton="0" quotePrefix="0" xfId="0">
      <alignment horizontal="center" vertical="center" wrapText="1" readingOrder="2"/>
    </xf>
    <xf numFmtId="0" fontId="15" fillId="18" borderId="5" applyAlignment="1" pivotButton="0" quotePrefix="0" xfId="0">
      <alignment horizontal="center" vertical="center" wrapText="1" readingOrder="2"/>
    </xf>
    <xf numFmtId="0" fontId="15" fillId="18" borderId="6" applyAlignment="1" pivotButton="0" quotePrefix="0" xfId="0">
      <alignment horizontal="center" vertical="center" wrapText="1" readingOrder="2"/>
    </xf>
    <xf numFmtId="0" fontId="15" fillId="18" borderId="7" applyAlignment="1" pivotButton="0" quotePrefix="0" xfId="0">
      <alignment horizontal="center" vertical="center" wrapText="1" readingOrder="2"/>
    </xf>
    <xf numFmtId="0" fontId="15" fillId="18" borderId="8" applyAlignment="1" pivotButton="0" quotePrefix="0" xfId="0">
      <alignment horizontal="center" vertical="center" wrapText="1" readingOrder="2"/>
    </xf>
    <xf numFmtId="168" fontId="22" fillId="18" borderId="4" applyAlignment="1" pivotButton="0" quotePrefix="0" xfId="0">
      <alignment horizontal="center" vertical="center" readingOrder="2"/>
    </xf>
    <xf numFmtId="168" fontId="23" fillId="18" borderId="4" applyAlignment="1" pivotButton="0" quotePrefix="0" xfId="0">
      <alignment horizontal="center" vertical="center" readingOrder="2"/>
    </xf>
    <xf numFmtId="169" fontId="24" fillId="18" borderId="4" applyAlignment="1" pivotButton="0" quotePrefix="0" xfId="0">
      <alignment horizontal="center" vertical="center" readingOrder="2"/>
    </xf>
    <xf numFmtId="172" fontId="25" fillId="18" borderId="4" applyAlignment="1" pivotButton="0" quotePrefix="0" xfId="0">
      <alignment horizontal="center" vertical="center" readingOrder="2"/>
    </xf>
    <xf numFmtId="168" fontId="26" fillId="18" borderId="4" applyAlignment="1" pivotButton="0" quotePrefix="0" xfId="0">
      <alignment horizontal="center" vertical="center" readingOrder="2"/>
    </xf>
    <xf numFmtId="173" fontId="23" fillId="18" borderId="4" applyAlignment="1" pivotButton="0" quotePrefix="0" xfId="0">
      <alignment horizontal="center" vertical="center" readingOrder="2"/>
    </xf>
    <xf numFmtId="0" fontId="10" fillId="27" borderId="0" applyAlignment="1" pivotButton="0" quotePrefix="0" xfId="0">
      <alignment horizontal="right" vertical="center" indent="1" readingOrder="2"/>
    </xf>
    <xf numFmtId="169" fontId="16" fillId="0" borderId="2" applyAlignment="1" pivotButton="0" quotePrefix="0" xfId="0">
      <alignment horizontal="center" vertical="center" readingOrder="2"/>
    </xf>
    <xf numFmtId="0" fontId="21" fillId="0" borderId="2" applyAlignment="1" pivotButton="0" quotePrefix="0" xfId="0">
      <alignment horizontal="center" vertical="center" readingOrder="2"/>
    </xf>
    <xf numFmtId="0" fontId="16" fillId="0" borderId="2" applyAlignment="1" pivotButton="0" quotePrefix="0" xfId="0">
      <alignment horizontal="right" vertical="center" indent="1" readingOrder="2"/>
    </xf>
    <xf numFmtId="168" fontId="9" fillId="0" borderId="2" applyAlignment="1" pivotButton="0" quotePrefix="0" xfId="0">
      <alignment horizontal="center" vertical="center" readingOrder="2"/>
    </xf>
    <xf numFmtId="170" fontId="16" fillId="0" borderId="2" applyAlignment="1" pivotButton="0" quotePrefix="0" xfId="0">
      <alignment horizontal="center" vertical="center" readingOrder="2"/>
    </xf>
    <xf numFmtId="0" fontId="11" fillId="2" borderId="2" applyAlignment="1" pivotButton="0" quotePrefix="0" xfId="0">
      <alignment horizontal="right" vertical="center" indent="1" readingOrder="2"/>
    </xf>
    <xf numFmtId="0" fontId="21" fillId="0" borderId="0" applyAlignment="1" pivotButton="0" quotePrefix="0" xfId="0">
      <alignment horizontal="center" vertical="center" readingOrder="2"/>
    </xf>
    <xf numFmtId="0" fontId="16" fillId="0" borderId="0" applyAlignment="1" pivotButton="0" quotePrefix="0" xfId="0">
      <alignment horizontal="right" vertical="center" indent="1" readingOrder="2"/>
    </xf>
    <xf numFmtId="170" fontId="5" fillId="0" borderId="0" applyAlignment="1" pivotButton="0" quotePrefix="0" xfId="0">
      <alignment horizontal="center" vertical="center" readingOrder="2"/>
    </xf>
    <xf numFmtId="0" fontId="5" fillId="0" borderId="0" applyAlignment="1" pivotButton="0" quotePrefix="0" xfId="0">
      <alignment horizontal="right" vertical="center" indent="1" readingOrder="2"/>
    </xf>
    <xf numFmtId="0" fontId="7" fillId="0" borderId="0" applyAlignment="1" pivotButton="0" quotePrefix="0" xfId="0">
      <alignment horizontal="right" vertical="center" readingOrder="2"/>
    </xf>
  </cellXfs>
  <cellStyles count="1">
    <cellStyle name="Normal" xfId="0" builtinId="0" hidden="0"/>
  </cellStyles>
  <dxfs count="23">
    <dxf>
      <font>
        <b val="1"/>
        <color rgb="00C62828"/>
      </font>
      <fill>
        <patternFill patternType="solid">
          <fgColor rgb="00FDECEA"/>
          <bgColor rgb="00FDECEA"/>
        </patternFill>
      </fill>
    </dxf>
    <dxf>
      <font>
        <color rgb="00C62828"/>
      </font>
    </dxf>
    <dxf>
      <font>
        <b val="1"/>
        <color rgb="002E7D32"/>
      </font>
      <fill>
        <patternFill patternType="solid">
          <fgColor rgb="00E8F5E9"/>
          <bgColor rgb="00E8F5E9"/>
        </patternFill>
      </fill>
    </dxf>
    <dxf>
      <font>
        <b val="1"/>
        <color rgb="009A6B00"/>
      </font>
      <fill>
        <patternFill patternType="solid">
          <fgColor rgb="00FFF3CD"/>
          <bgColor rgb="00FFF3CD"/>
        </patternFill>
      </fill>
    </dxf>
    <dxf>
      <font>
        <b val="1"/>
        <color rgb="00C62828"/>
      </font>
    </dxf>
    <dxf>
      <fill>
        <patternFill patternType="solid">
          <fgColor rgb="00C8E6C9"/>
          <bgColor rgb="00C8E6C9"/>
        </patternFill>
      </fill>
    </dxf>
    <dxf>
      <fill>
        <patternFill patternType="solid">
          <fgColor rgb="00E6F4D7"/>
          <bgColor rgb="00E6F4D7"/>
        </patternFill>
      </fill>
    </dxf>
    <dxf>
      <fill>
        <patternFill patternType="solid">
          <fgColor rgb="00FFF59D"/>
          <bgColor rgb="00FFF59D"/>
        </patternFill>
      </fill>
    </dxf>
    <dxf>
      <fill>
        <patternFill patternType="solid">
          <fgColor rgb="00FFE0B2"/>
          <bgColor rgb="00FFE0B2"/>
        </patternFill>
      </fill>
    </dxf>
    <dxf>
      <fill>
        <patternFill patternType="solid">
          <fgColor rgb="00FFCC80"/>
          <bgColor rgb="00FFCC80"/>
        </patternFill>
      </fill>
    </dxf>
    <dxf>
      <fill>
        <patternFill patternType="solid">
          <fgColor rgb="00EF9A9A"/>
          <bgColor rgb="00EF9A9A"/>
        </patternFill>
      </fill>
    </dxf>
    <dxf>
      <fill>
        <patternFill patternType="solid">
          <fgColor rgb="00E57373"/>
          <bgColor rgb="00E57373"/>
        </patternFill>
      </fill>
    </dxf>
    <dxf>
      <fill>
        <patternFill patternType="solid">
          <fgColor rgb="00F3F7FA"/>
          <bgColor rgb="00F3F7FA"/>
        </patternFill>
      </fill>
      <border>
        <left style="thin">
          <color rgb="00C9D3DD"/>
        </left>
        <right style="thin">
          <color rgb="00C9D3DD"/>
        </right>
        <top style="thin">
          <color rgb="00C9D3DD"/>
        </top>
        <bottom style="thin">
          <color rgb="00C9D3DD"/>
        </bottom>
      </border>
    </dxf>
    <dxf>
      <border>
        <left style="thin">
          <color rgb="00C9D3DD"/>
        </left>
        <right style="thin">
          <color rgb="00C9D3DD"/>
        </right>
        <top style="thin">
          <color rgb="00C9D3DD"/>
        </top>
        <bottom style="thin">
          <color rgb="00C9D3DD"/>
        </bottom>
      </border>
    </dxf>
    <dxf>
      <font>
        <b val="1"/>
        <color rgb="002E7D32"/>
      </font>
    </dxf>
    <dxf>
      <fill>
        <patternFill patternType="solid">
          <fgColor rgb="00F3F7FA"/>
          <bgColor rgb="00F3F7FA"/>
        </patternFill>
      </fill>
    </dxf>
    <dxf>
      <font>
        <b val="1"/>
        <color rgb="001F3A5F"/>
      </font>
    </dxf>
    <dxf>
      <font>
        <b val="1"/>
        <color rgb="00FFFFFF"/>
      </font>
      <fill>
        <patternFill patternType="solid">
          <fgColor rgb="002C5282"/>
          <bgColor rgb="002C5282"/>
        </patternFill>
      </fill>
      <border>
        <left style="thin">
          <color rgb="00C9D3DD"/>
        </left>
        <right style="thin">
          <color rgb="00C9D3DD"/>
        </right>
        <top style="thin">
          <color rgb="00C9D3DD"/>
        </top>
        <bottom style="thin">
          <color rgb="00C9D3DD"/>
        </bottom>
      </border>
    </dxf>
    <dxf>
      <font>
        <b val="1"/>
        <color rgb="001F3A5F"/>
      </font>
      <fill>
        <patternFill patternType="solid">
          <fgColor rgb="00D6E4F0"/>
          <bgColor rgb="00D6E4F0"/>
        </patternFill>
      </fill>
      <border>
        <left style="thin">
          <color rgb="00C9D3DD"/>
        </left>
        <right style="thin">
          <color rgb="00C9D3DD"/>
        </right>
        <top style="thin">
          <color rgb="00C9D3DD"/>
        </top>
        <bottom style="thin">
          <color rgb="00C9D3DD"/>
        </bottom>
      </border>
    </dxf>
    <dxf>
      <font>
        <b val="1"/>
        <i val="1"/>
        <color rgb="00C62828"/>
      </font>
    </dxf>
    <dxf>
      <font>
        <color rgb="00C62828"/>
      </font>
      <fill>
        <patternFill patternType="solid">
          <fgColor rgb="00FDECEA"/>
          <bgColor rgb="00FDECEA"/>
        </patternFill>
      </fill>
    </dxf>
    <dxf>
      <fill>
        <patternFill patternType="solid">
          <fgColor rgb="00FFF3CD"/>
          <bgColor rgb="00FFF3CD"/>
        </patternFill>
      </fill>
    </dxf>
    <dxf>
      <fill>
        <patternFill patternType="solid">
          <fgColor rgb="00E8F5E9"/>
          <b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الذمم حسب الفترة</a:t>
            </a:r>
          </a:p>
        </rich>
      </tx>
    </title>
    <plotArea>
      <barChart>
        <barDir val="col"/>
        <grouping val="clustered"/>
        <ser>
          <idx val="0"/>
          <order val="0"/>
          <spPr>
            <a:ln>
              <a:prstDash val="solid"/>
            </a:ln>
          </spPr>
          <dPt>
            <idx val="0"/>
            <spPr>
              <a:solidFill>
                <a:srgbClr val="43A047"/>
              </a:solidFill>
              <a:ln>
                <a:solidFill>
                  <a:srgbClr val="43A047"/>
                </a:solidFill>
                <a:prstDash val="solid"/>
              </a:ln>
            </spPr>
          </dPt>
          <dPt>
            <idx val="1"/>
            <spPr>
              <a:solidFill>
                <a:srgbClr val="9CCC65"/>
              </a:solidFill>
              <a:ln>
                <a:solidFill>
                  <a:srgbClr val="9CCC65"/>
                </a:solidFill>
                <a:prstDash val="solid"/>
              </a:ln>
            </spPr>
          </dPt>
          <dPt>
            <idx val="2"/>
            <spPr>
              <a:solidFill>
                <a:srgbClr val="FDD835"/>
              </a:solidFill>
              <a:ln>
                <a:solidFill>
                  <a:srgbClr val="FDD835"/>
                </a:solidFill>
                <a:prstDash val="solid"/>
              </a:ln>
            </spPr>
          </dPt>
          <dPt>
            <idx val="3"/>
            <spPr>
              <a:solidFill>
                <a:srgbClr val="FFA726"/>
              </a:solidFill>
              <a:ln>
                <a:solidFill>
                  <a:srgbClr val="FFA726"/>
                </a:solidFill>
                <a:prstDash val="solid"/>
              </a:ln>
            </spPr>
          </dPt>
          <dPt>
            <idx val="4"/>
            <spPr>
              <a:solidFill>
                <a:srgbClr val="EF6C00"/>
              </a:solidFill>
              <a:ln>
                <a:solidFill>
                  <a:srgbClr val="EF6C00"/>
                </a:solidFill>
                <a:prstDash val="solid"/>
              </a:ln>
            </spPr>
          </dPt>
          <dPt>
            <idx val="5"/>
            <spPr>
              <a:solidFill>
                <a:srgbClr val="E53935"/>
              </a:solidFill>
              <a:ln>
                <a:solidFill>
                  <a:srgbClr val="E53935"/>
                </a:solidFill>
                <a:prstDash val="solid"/>
              </a:ln>
            </spPr>
          </dPt>
          <dPt>
            <idx val="6"/>
            <spPr>
              <a:solidFill>
                <a:srgbClr val="8E0000"/>
              </a:solidFill>
              <a:ln>
                <a:solidFill>
                  <a:srgbClr val="8E0000"/>
                </a:solidFill>
                <a:prstDash val="solid"/>
              </a:ln>
            </spPr>
          </dPt>
          <dLbls>
            <numFmt formatCode="#,##0"/>
            <showLegendKey val="0"/>
            <showVal val="1"/>
            <showCatName val="0"/>
            <showSerName val="0"/>
          </dLbls>
          <cat>
            <numRef>
              <f>'لوحة التحكم'!$B$10:$B$16</f>
            </numRef>
          </cat>
          <val>
            <numRef>
              <f>'لوحة التحكم'!$E$10:$E$16</f>
            </numRef>
          </val>
        </ser>
        <gapWidth val="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أعلى 10 عملاء في المتأخر</a:t>
            </a:r>
          </a:p>
        </rich>
      </tx>
    </title>
    <plotArea>
      <barChart>
        <barDir val="bar"/>
        <grouping val="clustered"/>
        <ser>
          <idx val="0"/>
          <order val="0"/>
          <spPr>
            <a:solidFill>
              <a:srgbClr val="C62828"/>
            </a:solidFill>
            <a:ln>
              <a:solidFill>
                <a:srgbClr val="C62828"/>
              </a:solidFill>
              <a:prstDash val="solid"/>
            </a:ln>
          </spPr>
          <cat>
            <numRef>
              <f>'لوحة التحكم'!$I$10:$I$19</f>
            </numRef>
          </cat>
          <val>
            <numRef>
              <f>'لوحة التحكم'!$L$10:$L$19</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omments/comment1.xml><?xml version="1.0" encoding="utf-8"?>
<comments xmlns="http://schemas.openxmlformats.org/spreadsheetml/2006/main">
  <authors>
    <author>القالب</author>
  </authors>
  <commentList>
    <comment ref="G4" authorId="0" shapeId="0">
      <text>
        <t>بالأيام. لو فاضية تتاخد مدة السداد الافتراضية من الإعدادات</t>
      </text>
    </comment>
    <comment ref="L4" authorId="0" shapeId="0">
      <text>
        <t>أكبر عدد أيام تأخير لفاتورة مفتوحة للعميل</t>
      </text>
    </comment>
  </commentList>
</comments>
</file>

<file path=xl/comments/comment2.xml><?xml version="1.0" encoding="utf-8"?>
<comments xmlns="http://schemas.openxmlformats.org/spreadsheetml/2006/main">
  <authors>
    <author>القالب</author>
  </authors>
  <commentList>
    <comment ref="J4" authorId="0" shapeId="0">
      <text>
        <t>مجموع التحصيلات على الفاتورة لحد تاريخ التقرير بس</t>
      </text>
    </comment>
  </commentList>
</comments>
</file>

<file path=xl/comments/comment3.xml><?xml version="1.0" encoding="utf-8"?>
<comments xmlns="http://schemas.openxmlformats.org/spreadsheetml/2006/main">
  <authors>
    <author>القالب</author>
  </authors>
  <commentList>
    <comment ref="E4" authorId="0" shapeId="0">
      <text>
        <t>سيبه فاضي لو دي دفعة على الحساب (غير مخصصة)</t>
      </text>
    </comment>
  </commentList>
</comments>
</file>

<file path=xl/comments/comment4.xml><?xml version="1.0" encoding="utf-8"?>
<comments xmlns="http://schemas.openxmlformats.org/spreadsheetml/2006/main">
  <authors>
    <author>القالب</author>
  </authors>
  <commentList>
    <comment ref="K7" authorId="0" shapeId="0">
      <text>
        <t>الدفعات اللي مالهاش رقم فاتورة + أي تحصيل زائد عن فاتورته. بتنقص رصيد العميل ومابتتوزعش على الفترات.</t>
      </text>
    </comment>
  </commentList>
</comments>
</file>

<file path=xl/comments/comment5.xml><?xml version="1.0" encoding="utf-8"?>
<comments xmlns="http://schemas.openxmlformats.org/spreadsheetml/2006/main">
  <authors>
    <author>القالب</author>
  </authors>
  <commentList>
    <comment ref="H5" authorId="0" shapeId="0">
      <text>
        <t>إجمالي الذمم ÷ مبيعات آخر 90 يوم × 90</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18</row>
      <rowOff>0</rowOff>
    </from>
    <ext cx="5580000" cy="27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20</row>
      <rowOff>0</rowOff>
    </from>
    <ext cx="558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Buckets" displayName="tblBuckets" ref="B13:E20" headerRowCount="1">
  <autoFilter ref="B13:E20"/>
  <tableColumns count="4">
    <tableColumn id="2" name="من يوم"/>
    <tableColumn id="3" name="الفترة"/>
    <tableColumn id="4" name="نسبة المخصص"/>
    <tableColumn id="5" name="اللون"/>
  </tableColumns>
  <tableStyleInfo name="TableStyleLight15" showRowStripes="0"/>
</table>
</file>

<file path=xl/tables/table2.xml><?xml version="1.0" encoding="utf-8"?>
<table xmlns="http://schemas.openxmlformats.org/spreadsheetml/2006/main" id="2" name="tblReps" displayName="tblReps" ref="G13:G16" headerRowCount="1">
  <autoFilter ref="G13:G16"/>
  <tableColumns count="1">
    <tableColumn id="7" name="المندوب"/>
  </tableColumns>
  <tableStyleInfo name="TableStyleLight15" showRowStripes="0"/>
</table>
</file>

<file path=xl/tables/table3.xml><?xml version="1.0" encoding="utf-8"?>
<table xmlns="http://schemas.openxmlformats.org/spreadsheetml/2006/main" id="3" name="tblCities" displayName="tblCities" ref="I13:I18" headerRowCount="1">
  <autoFilter ref="I13:I18"/>
  <tableColumns count="1">
    <tableColumn id="9" name="المدينة"/>
  </tableColumns>
  <tableStyleInfo name="TableStyleLight15" showRowStripes="0"/>
</table>
</file>

<file path=xl/tables/table4.xml><?xml version="1.0" encoding="utf-8"?>
<table xmlns="http://schemas.openxmlformats.org/spreadsheetml/2006/main" id="4" name="tblCustomers" displayName="tblCustomers" ref="A4:Q19" headerRowCount="1">
  <autoFilter ref="A4:Q19"/>
  <tableColumns count="17">
    <tableColumn id="1" name="كود العميل"/>
    <tableColumn id="2" name="اسم العميل"/>
    <tableColumn id="3" name="الرقم الضريبي"/>
    <tableColumn id="4" name="المدينة"/>
    <tableColumn id="5" name="المندوب"/>
    <tableColumn id="6" name="حد الائتمان"/>
    <tableColumn id="7" name="مدة السداد"/>
    <tableColumn id="8" name="الجوال"/>
    <tableColumn id="9" name="الرصيد">
      <calculatedColumnFormula>ROUND(SUMIFS(tblInv[المتبقي],tblInv[كود العميل],tblCustomers[[#This Row],[كود العميل]]),2)</calculatedColumnFormula>
    </tableColumn>
    <tableColumn id="10" name="المتأخر">
      <calculatedColumnFormula>ROUND(SUMIFS(tblInv[المتبقي],tblInv[كود العميل],tblCustomers[[#This Row],[كود العميل]],tblInv[أيام التأخير],"&gt;0"),2)</calculatedColumnFormula>
    </tableColumn>
    <tableColumn id="11" name="استخدام الحد %">
      <calculatedColumnFormula>IFERROR(tblCustomers[[#This Row],[الرصيد]]/tblCustomers[[#This Row],[حد الائتمان]],0)</calculatedColumnFormula>
    </tableColumn>
    <tableColumn id="12" name="أقدم فاتورة (يوم)">
      <calculatedColumnFormula>SUMPRODUCT(MAX((tblInv[كود العميل]=tblCustomers[[#This Row],[كود العميل]])*tblInv[أيام التأخير]))</calculatedColumnFormula>
    </tableColumn>
    <tableColumn id="13" name="غير مخصص">
      <calculatedColumnFormula>ROUND(SUMIFS(tblRec[المبلغ],tblRec[كود العميل],tblCustomers[[#This Row],[كود العميل]],tblRec[رقم الفاتورة],"",tblRec[التاريخ],"&lt;="&amp;AsOf),2)</calculatedColumnFormula>
    </tableColumn>
    <tableColumn id="14" name="الصافي">
      <calculatedColumnFormula>ROUND(tblCustomers[[#This Row],[الرصيد]]-tblCustomers[[#This Row],[غير مخصص]],2)</calculatedColumnFormula>
    </tableColumn>
    <tableColumn id="15" name="مدرج">
      <calculatedColumnFormula>IF(AND(OR(tblCustomers[[#This Row],[الرصيد]]&lt;&gt;0,tblCustomers[[#This Row],[غير مخصص]]&lt;&gt;0),OR(RepF="الكل",tblCustomers[[#This Row],[المندوب]]=RepF),OR(CityF="الكل",tblCustomers[[#This Row],[المدينة]]=CityF)),1,0)</calculatedColumnFormula>
    </tableColumn>
    <tableColumn id="16" name="ترتيب">
      <calculatedColumnFormula>IF(tblCustomers[[#This Row],[مدرج]]=1,COUNTIFS(tblCustomers[مدرج],1,tblCustomers[الصافي],"&gt;"&amp;tblCustomers[[#This Row],[الصافي]])+COUNTIFS(INDEX(tblCustomers[مدرج],1):tblCustomers[[#This Row],[مدرج]],1,INDEX(tblCustomers[الصافي],1):tblCustomers[[#This Row],[الصافي]],tblCustomers[[#This Row],[الصافي]]),"")</calculatedColumnFormula>
    </tableColumn>
    <tableColumn id="17" name="ترتيب المتأخر">
      <calculatedColumnFormula>IF(tblCustomers[[#This Row],[المتأخر]]&gt;0,COUNTIFS(tblCustomers[المتأخر],"&gt;"&amp;tblCustomers[[#This Row],[المتأخر]])+COUNTIFS(INDEX(tblCustomers[المتأخر],1):tblCustomers[[#This Row],[المتأخر]],tblCustomers[[#This Row],[المتأخر]]),"")</calculatedColumnFormula>
    </tableColumn>
  </tableColumns>
  <tableStyleInfo name="TableStyleLight15" showRowStripes="0"/>
</table>
</file>

<file path=xl/tables/table5.xml><?xml version="1.0" encoding="utf-8"?>
<table xmlns="http://schemas.openxmlformats.org/spreadsheetml/2006/main" id="5" name="tblInv" displayName="tblInv" ref="A4:S124" headerRowCount="1">
  <autoFilter ref="A4:S124"/>
  <tableColumns count="19">
    <tableColumn id="1" name="رقم الفاتورة"/>
    <tableColumn id="2" name="تاريخ الفاتورة"/>
    <tableColumn id="3" name="كود العميل"/>
    <tableColumn id="4" name="اسم العميل">
      <calculatedColumnFormula>IF(tblInv[[#This Row],[كود العميل]]="","",IFERROR(INDEX(tblCustomers[اسم العميل],MATCH(tblInv[[#This Row],[كود العميل]],tblCustomers[كود العميل],0)),"⚠ كود غير موجود"))</calculatedColumnFormula>
    </tableColumn>
    <tableColumn id="5" name="المبلغ قبل الضريبة"/>
    <tableColumn id="6" name="الضريبة">
      <calculatedColumnFormula>ROUND(tblInv[[#This Row],[المبلغ قبل الضريبة]]*VatRate,2)</calculatedColumnFormula>
    </tableColumn>
    <tableColumn id="7" name="الإجمالي">
      <calculatedColumnFormula>tblInv[[#This Row],[المبلغ قبل الضريبة]]+tblInv[[#This Row],[الضريبة]]</calculatedColumnFormula>
    </tableColumn>
    <tableColumn id="8" name="مدة السداد">
      <calculatedColumnFormula>IFERROR(IF(INDEX(tblCustomers[مدة السداد],MATCH(tblInv[[#This Row],[كود العميل]],tblCustomers[كود العميل],0))="",DefaultTerms,INDEX(tblCustomers[مدة السداد],MATCH(tblInv[[#This Row],[كود العميل]],tblCustomers[كود العميل],0))),DefaultTerms)</calculatedColumnFormula>
    </tableColumn>
    <tableColumn id="9" name="تاريخ الاستحقاق">
      <calculatedColumnFormula>tblInv[[#This Row],[تاريخ الفاتورة]]+tblInv[[#This Row],[مدة السداد]]</calculatedColumnFormula>
    </tableColumn>
    <tableColumn id="10" name="المحصّل">
      <calculatedColumnFormula>SUMIFS(tblRec[المبلغ],tblRec[رقم الفاتورة],tblInv[[#This Row],[رقم الفاتورة]],tblRec[التاريخ],"&lt;="&amp;AsOf)</calculatedColumnFormula>
    </tableColumn>
    <tableColumn id="11" name="المتبقي">
      <calculatedColumnFormula>IF(tblInv[[#This Row],[تاريخ الفاتورة]]&gt;AsOf,0,ROUND(tblInv[[#This Row],[الإجمالي]]-tblInv[[#This Row],[المحصّل]],2))</calculatedColumnFormula>
    </tableColumn>
    <tableColumn id="12" name="تاريخ الأساس">
      <calculatedColumnFormula>IF(AgingBasis="من تاريخ الفاتورة",tblInv[[#This Row],[تاريخ الفاتورة]],tblInv[[#This Row],[تاريخ الاستحقاق]])</calculatedColumnFormula>
    </tableColumn>
    <tableColumn id="13" name="أيام التأخير">
      <calculatedColumnFormula>IF(tblInv[[#This Row],[المتبقي]]&lt;=0,0,MAX(0,AsOf-tblInv[[#This Row],[تاريخ الأساس]]))</calculatedColumnFormula>
    </tableColumn>
    <tableColumn id="14" name="الفترة">
      <calculatedColumnFormula>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calculatedColumnFormula>
    </tableColumn>
    <tableColumn id="15" name="الحالة">
      <calculatedColumnFormula>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calculatedColumnFormula>
    </tableColumn>
    <tableColumn id="16" name="ملاحظات"/>
    <tableColumn id="17" name="ترتيب المتابعة">
      <calculatedColumnFormula>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calculatedColumnFormula>
    </tableColumn>
    <tableColumn id="18" name="مفتاح الكشف">
      <calculatedColumnFormula>IF(AND(tblInv[[#This Row],[كود العميل]]=StCust,tblInv[[#This Row],[تاريخ الفاتورة]]&gt;=StFrom,tblInv[[#This Row],[تاريخ الفاتورة]]&lt;=StTo),tblInv[[#This Row],[تاريخ الفاتورة]]*100000+ROW(),"")</calculatedColumnFormula>
    </tableColumn>
    <tableColumn id="19" name="ترتيب الكشف">
      <calculatedColumnFormula>IF(tblInv[[#This Row],[مفتاح الكشف]]="","",COUNTIF(tblInv[مفتاح الكشف],"&lt;"&amp;tblInv[[#This Row],[مفتاح الكشف]])+COUNTIF(tblRec[مفتاح الكشف],"&lt;"&amp;tblInv[[#This Row],[مفتاح الكشف]])+1)</calculatedColumnFormula>
    </tableColumn>
  </tableColumns>
  <tableStyleInfo name="TableStyleLight15" showRowStripes="0"/>
</table>
</file>

<file path=xl/tables/table6.xml><?xml version="1.0" encoding="utf-8"?>
<table xmlns="http://schemas.openxmlformats.org/spreadsheetml/2006/main" id="6" name="tblRec" displayName="tblRec" ref="A4:K87" headerRowCount="1">
  <autoFilter ref="A4:K87"/>
  <tableColumns count="11">
    <tableColumn id="1" name="رقم السند"/>
    <tableColumn id="2" name="التاريخ"/>
    <tableColumn id="3" name="كود العميل"/>
    <tableColumn id="4" name="اسم العميل">
      <calculatedColumnFormula>IF(tblRec[[#This Row],[كود العميل]]="","",IFERROR(INDEX(tblCustomers[اسم العميل],MATCH(tblRec[[#This Row],[كود العميل]],tblCustomers[كود العميل],0)),"⚠ كود غير موجود"))</calculatedColumnFormula>
    </tableColumn>
    <tableColumn id="5" name="رقم الفاتورة"/>
    <tableColumn id="6" name="النوع"/>
    <tableColumn id="7" name="المبلغ"/>
    <tableColumn id="8" name="طريقة الدفع"/>
    <tableColumn id="9" name="فحص">
      <calculatedColumnFormula>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calculatedColumnFormula>
    </tableColumn>
    <tableColumn id="10" name="مفتاح الكشف">
      <calculatedColumnFormula>IF(AND(tblRec[[#This Row],[كود العميل]]=StCust,tblRec[[#This Row],[التاريخ]]&gt;=StFrom,tblRec[[#This Row],[التاريخ]]&lt;=StTo),tblRec[[#This Row],[التاريخ]]*100000+50000+ROW(),"")</calculatedColumnFormula>
    </tableColumn>
    <tableColumn id="11" name="ترتيب الكشف">
      <calculatedColumnFormula>IF(tblRec[[#This Row],[مفتاح الكشف]]="","",COUNTIF(tblInv[مفتاح الكشف],"&lt;"&amp;tblRec[[#This Row],[مفتاح الكشف]])+COUNTIF(tblRec[مفتاح الكشف],"&lt;"&amp;tblRec[[#This Row],[مفتاح الكشف]])+1)</calculatedColumnFormula>
    </tableColumn>
  </tableColumns>
  <tableStyleInfo name="TableStyleLight15"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s>
</file>

<file path=xl/worksheets/_rels/sheet3.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table" Target="/xl/tables/table5.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tabColor rgb="001F3A5F"/>
    <outlinePr summaryBelow="1" summaryRight="1"/>
    <pageSetUpPr fitToPage="1"/>
  </sheetPr>
  <dimension ref="B1:D41"/>
  <sheetViews>
    <sheetView showGridLines="0" rightToLeft="1" zoomScale="90" workbookViewId="0">
      <pane ySplit="3" topLeftCell="A4" activePane="bottomLeft" state="frozen"/>
      <selection pane="bottomLeft" activeCell="A1" sqref="A1"/>
    </sheetView>
  </sheetViews>
  <sheetFormatPr baseColWidth="8" defaultRowHeight="15"/>
  <cols>
    <col width="3" customWidth="1" min="1" max="1"/>
    <col width="6" customWidth="1" min="2" max="2"/>
    <col width="34" customWidth="1" min="3" max="3"/>
    <col width="70" customWidth="1" min="4" max="4"/>
    <col width="3" customWidth="1" min="5" max="5"/>
  </cols>
  <sheetData>
    <row r="1" ht="34" customHeight="1">
      <c r="B1" s="1" t="inlineStr">
        <is>
          <t>📘 قالب أعمار الديون — النسخة الكاملة</t>
        </is>
      </c>
      <c r="C1" s="1" t="n"/>
      <c r="D1" s="1" t="n"/>
    </row>
    <row r="2" ht="20" customHeight="1">
      <c r="B2" s="2">
        <f>CompanyName</f>
        <v/>
      </c>
      <c r="C2" s="2" t="n"/>
      <c r="D2" s="2" t="n"/>
    </row>
    <row r="3" ht="22" customHeight="1"/>
    <row r="4">
      <c r="C4" s="3" t="inlineStr">
        <is>
          <t>⚙ الإعدادات</t>
        </is>
      </c>
      <c r="D4" s="4" t="inlineStr">
        <is>
          <t>اسم الشركة، تاريخ التقرير، الفترات ونسب المخصص، المندوبين والمدن</t>
        </is>
      </c>
    </row>
    <row r="5">
      <c r="C5" s="3" t="inlineStr">
        <is>
          <t>👥 العملاء</t>
        </is>
      </c>
      <c r="D5" s="4" t="inlineStr">
        <is>
          <t>بيانات العملاء وحد الائتمان ومدة السداد + الرصيد والمتأخر أوتوماتيك</t>
        </is>
      </c>
    </row>
    <row r="6">
      <c r="C6" s="3" t="inlineStr">
        <is>
          <t>🧾 الفواتير</t>
        </is>
      </c>
      <c r="D6" s="4" t="inlineStr">
        <is>
          <t>الفواتير — الضريبة والاستحقاق والمتبقي والفترة والحالة بتتحسب لوحدها</t>
        </is>
      </c>
    </row>
    <row r="7">
      <c r="C7" s="3" t="inlineStr">
        <is>
          <t>💵 التحصيلات</t>
        </is>
      </c>
      <c r="D7" s="4" t="inlineStr">
        <is>
          <t>السندات والإشعارات الدائنة والخصومات والشطب + عمود فحص للأخطاء</t>
        </is>
      </c>
    </row>
    <row r="8">
      <c r="C8" s="5" t="inlineStr">
        <is>
          <t>📊 تقرير الأعمار</t>
        </is>
      </c>
      <c r="D8" s="4" t="inlineStr">
        <is>
          <t>تقرير الأعمار لكل عميل بالفترات + المطابقة مع دفتر الأستاذ</t>
        </is>
      </c>
    </row>
    <row r="9">
      <c r="C9" s="5" t="inlineStr">
        <is>
          <t>🛡 المخصص</t>
        </is>
      </c>
      <c r="D9" s="4" t="inlineStr">
        <is>
          <t>مخصص الخسائر الائتمانية المتوقعة + قيد التسوية جاهز</t>
        </is>
      </c>
    </row>
    <row r="10">
      <c r="C10" s="5" t="inlineStr">
        <is>
          <t>📄 كشف حساب</t>
        </is>
      </c>
      <c r="D10" s="4" t="inlineStr">
        <is>
          <t>كشف حساب عميل برصيد متراكم وملخص أعمار — جاهز PDF</t>
        </is>
      </c>
    </row>
    <row r="11">
      <c r="C11" s="5" t="inlineStr">
        <is>
          <t>📈 لوحة التحكم</t>
        </is>
      </c>
      <c r="D11" s="4" t="inlineStr">
        <is>
          <t>المؤشرات والرسومات وقايمة متابعة التحصيل</t>
        </is>
      </c>
    </row>
    <row r="14" ht="22" customHeight="1">
      <c r="B14" s="6" t="inlineStr">
        <is>
          <t>5 خطوات وتبدأ</t>
        </is>
      </c>
      <c r="C14" s="6" t="n"/>
      <c r="D14" s="6" t="n"/>
    </row>
    <row r="15" ht="34" customHeight="1">
      <c r="B15" s="7" t="n">
        <v>1</v>
      </c>
      <c r="C15" s="8" t="inlineStr">
        <is>
          <t>الإعدادات</t>
        </is>
      </c>
      <c r="D15" s="9" t="inlineStr">
        <is>
          <t>اكتب اسم الشركة والعملة ونسبة الضريبة ومدة السداد الافتراضية، وراجع جدول الفترات ونسب المخصص.</t>
        </is>
      </c>
    </row>
    <row r="16" ht="34" customHeight="1">
      <c r="B16" s="7" t="n">
        <v>2</v>
      </c>
      <c r="C16" s="8" t="inlineStr">
        <is>
          <t>العملاء</t>
        </is>
      </c>
      <c r="D16" s="9" t="inlineStr">
        <is>
          <t>امسح البيانات التجريبية ودخّل عملاءك (كود مميز لكل عميل). المندوب والمدينة من القوائم.</t>
        </is>
      </c>
    </row>
    <row r="17" ht="34" customHeight="1">
      <c r="B17" s="7" t="n">
        <v>3</v>
      </c>
      <c r="C17" s="8" t="inlineStr">
        <is>
          <t>الفواتير</t>
        </is>
      </c>
      <c r="D17" s="9" t="inlineStr">
        <is>
          <t>رقم الفاتورة + التاريخ + كود العميل + المبلغ قبل الضريبة بس. اكتب في أول صف فاضي تحت الجدول وهو هيكبر لوحده.</t>
        </is>
      </c>
    </row>
    <row r="18" ht="34" customHeight="1">
      <c r="B18" s="7" t="n">
        <v>4</v>
      </c>
      <c r="C18" s="8" t="inlineStr">
        <is>
          <t>التحصيلات</t>
        </is>
      </c>
      <c r="D18" s="9" t="inlineStr">
        <is>
          <t>كل سند مربوط برقم الفاتورة. لو دفعة على الحساب سيب رقم الفاتورة فاضي. راجع عمود «فحص».</t>
        </is>
      </c>
    </row>
    <row r="19" ht="34" customHeight="1">
      <c r="B19" s="7" t="n">
        <v>5</v>
      </c>
      <c r="C19" s="8" t="inlineStr">
        <is>
          <t>غيّر تاريخ التقرير</t>
        </is>
      </c>
      <c r="D19" s="9" t="inlineStr">
        <is>
          <t>من الإعدادات (C5): حط آخر يوم في الشهر، وكل التقارير تطلع كما في التاريخ ده بالظبط.</t>
        </is>
      </c>
    </row>
    <row r="21" ht="22" customHeight="1">
      <c r="B21" s="6" t="inlineStr">
        <is>
          <t>دليل الألوان</t>
        </is>
      </c>
      <c r="C21" s="6" t="n"/>
      <c r="D21" s="6" t="n"/>
    </row>
    <row r="22" ht="28" customHeight="1">
      <c r="B22" s="10" t="n"/>
      <c r="C22" s="11" t="inlineStr">
        <is>
          <t>أزرق فاتح = إدخال</t>
        </is>
      </c>
      <c r="D22" s="9" t="inlineStr">
        <is>
          <t>الخلايا دي بس اللي تكتب فيها.</t>
        </is>
      </c>
    </row>
    <row r="23" ht="28" customHeight="1">
      <c r="B23" s="12" t="n"/>
      <c r="C23" s="11" t="inlineStr">
        <is>
          <t>أبيض = معادلة</t>
        </is>
      </c>
      <c r="D23" s="9" t="inlineStr">
        <is>
          <t>ممنوع تلمسها. شيتات الحساب مقفولة من غير باسورد (Review ← Unprotect Sheet).</t>
        </is>
      </c>
    </row>
    <row r="24" ht="28" customHeight="1">
      <c r="B24" s="13" t="n"/>
      <c r="C24" s="11" t="inlineStr">
        <is>
          <t>هيدر رمادي</t>
        </is>
      </c>
      <c r="D24" s="9" t="inlineStr">
        <is>
          <t>عمود معادلة جوه جدول إدخال — بيتملى لوحده في أي صف جديد.</t>
        </is>
      </c>
    </row>
    <row r="26" ht="22" customHeight="1">
      <c r="B26" s="6" t="inlineStr">
        <is>
          <t>رسائل التحذير ومعناها</t>
        </is>
      </c>
      <c r="C26" s="6" t="n"/>
      <c r="D26" s="6" t="n"/>
    </row>
    <row r="27" ht="30" customHeight="1">
      <c r="B27" s="14" t="inlineStr">
        <is>
          <t>⚠</t>
        </is>
      </c>
      <c r="C27" s="9" t="inlineStr">
        <is>
          <t>كود غير موجود / الفاتورة مش لنفس العميل / تحصيل أكبر من الفاتورة / رقم فاتورة غير موجود — لازم يتصلّح.</t>
        </is>
      </c>
      <c r="D27" s="9" t="n"/>
    </row>
    <row r="28" ht="30" customHeight="1">
      <c r="B28" s="14" t="inlineStr">
        <is>
          <t>↺</t>
        </is>
      </c>
      <c r="C28" s="9" t="inlineStr">
        <is>
          <t>دفعة غير مخصصة: تحصيل مالوش رقم فاتورة. بينقص رصيد العميل في عمود لوحده ومابيتوزعش على الفترات.</t>
        </is>
      </c>
      <c r="D28" s="9" t="n"/>
    </row>
    <row r="29" ht="30" customHeight="1">
      <c r="B29" s="14" t="inlineStr">
        <is>
          <t>⛔</t>
        </is>
      </c>
      <c r="C29" s="9" t="inlineStr">
        <is>
          <t>العميل متجاوز حد الائتمان (في التقرير)، أو فاتورة متأخرة أكتر من 90 يوم (في قايمة المتابعة).</t>
        </is>
      </c>
      <c r="D29" s="9" t="n"/>
    </row>
    <row r="30" ht="30" customHeight="1">
      <c r="B30" s="14" t="inlineStr">
        <is>
          <t>✓</t>
        </is>
      </c>
      <c r="C30" s="9" t="inlineStr">
        <is>
          <t>كله تمام.</t>
        </is>
      </c>
      <c r="D30" s="9" t="n"/>
    </row>
    <row r="32" ht="22" customHeight="1">
      <c r="B32" s="6" t="inlineStr">
        <is>
          <t>ملاحظات مهمة</t>
        </is>
      </c>
      <c r="C32" s="6" t="n"/>
      <c r="D32" s="6" t="n"/>
    </row>
    <row r="33" ht="32" customHeight="1">
      <c r="B33" s="15" t="inlineStr">
        <is>
          <t>•</t>
        </is>
      </c>
      <c r="C33" s="16" t="inlineStr">
        <is>
          <t>الجداول معمولة Excel Tables: اكتب في أول صف فاضي تحت أي جدول والمعادلات والتنسيق هيتسحبوا لوحدهم.</t>
        </is>
      </c>
      <c r="D33" s="16" t="n"/>
    </row>
    <row r="34" ht="32" customHeight="1">
      <c r="B34" s="15" t="inlineStr">
        <is>
          <t>•</t>
        </is>
      </c>
      <c r="C34" s="16" t="inlineStr">
        <is>
          <t>شيتات الإدخال (العملاء / الفواتير / التحصيلات) مش مقفولة عشان الجداول تقدر تكبر — Excel مابيكبّرش جدول في شيت مقفول. أعمدة المعادلات هيدرها رمادي.</t>
        </is>
      </c>
      <c r="D34" s="16" t="n"/>
    </row>
    <row r="35" ht="32" customHeight="1">
      <c r="B35" s="15" t="inlineStr">
        <is>
          <t>•</t>
        </is>
      </c>
      <c r="C35" s="16" t="inlineStr">
        <is>
          <t>المحصّل والمتبقي مربوطين بتاريخ التقرير: الفواتير والتحصيلات اللي بعده مابتدخلش في الحساب.</t>
        </is>
      </c>
      <c r="D35" s="16" t="n"/>
    </row>
    <row r="36" ht="32" customHeight="1">
      <c r="B36" s="15" t="inlineStr">
        <is>
          <t>•</t>
        </is>
      </c>
      <c r="C36" s="16" t="inlineStr">
        <is>
          <t>مابيستخدمش ماكرو ولا دوال Spill — شغال على Excel 2010 وما بعده و Excel 365 و Google Sheets والموبايل.</t>
        </is>
      </c>
      <c r="D36" s="16" t="n"/>
    </row>
    <row r="37" ht="32" customHeight="1">
      <c r="B37" s="15" t="inlineStr">
        <is>
          <t>•</t>
        </is>
      </c>
      <c r="C37" s="16" t="inlineStr">
        <is>
          <t>الباسورد: مفيش. الشيتات مقفولة من غير باسورد عشان تحميك من المسح بالغلط بس.</t>
        </is>
      </c>
      <c r="D37" s="16" t="n"/>
    </row>
    <row r="39" ht="22" customHeight="1">
      <c r="B39" s="6" t="inlineStr">
        <is>
          <t>روابط</t>
        </is>
      </c>
      <c r="C39" s="6" t="n"/>
      <c r="D39" s="6" t="n"/>
    </row>
    <row r="40">
      <c r="C40" s="8" t="inlineStr">
        <is>
          <t>🎬 شرح الفيديو</t>
        </is>
      </c>
      <c r="D40" s="17" t="inlineStr">
        <is>
          <t>(ضع الرابط هنا)</t>
        </is>
      </c>
    </row>
    <row r="41">
      <c r="C41" s="8" t="inlineStr">
        <is>
          <t>📚 مكتبة القوالب</t>
        </is>
      </c>
      <c r="D41" s="17" t="inlineStr">
        <is>
          <t>(ضع الرابط هنا)</t>
        </is>
      </c>
    </row>
  </sheetData>
  <sheetProtection selectLockedCells="0" selectUnlockedCells="0" sheet="1" objects="0" insertRows="1" insertHyperlinks="1" autoFilter="1" scenarios="0" formatColumns="1" deleteColumns="1" insertColumns="1" pivotTables="1" deleteRows="1" formatCells="1" formatRows="1" sort="1"/>
  <mergeCells count="16">
    <mergeCell ref="C34:D34"/>
    <mergeCell ref="B14:D14"/>
    <mergeCell ref="C29:D29"/>
    <mergeCell ref="C30:D30"/>
    <mergeCell ref="C33:D33"/>
    <mergeCell ref="B1:D1"/>
    <mergeCell ref="C27:D27"/>
    <mergeCell ref="B32:D32"/>
    <mergeCell ref="C37:D37"/>
    <mergeCell ref="B26:D26"/>
    <mergeCell ref="C36:D36"/>
    <mergeCell ref="C28:D28"/>
    <mergeCell ref="B21:D21"/>
    <mergeCell ref="B39:D39"/>
    <mergeCell ref="B2:D2"/>
    <mergeCell ref="C35:D35"/>
  </mergeCells>
  <hyperlinks>
    <hyperlink ref="C4" location="'الإعدادات'!A1" display="⚙ الإعدادات"/>
    <hyperlink ref="C5" location="'العملاء'!A1" display="👥 العملاء"/>
    <hyperlink ref="C6" location="'الفواتير'!A1" display="🧾 الفواتير"/>
    <hyperlink ref="C7" location="'التحصيلات'!A1" display="💵 التحصيلات"/>
    <hyperlink ref="C8" location="'تقرير الأعمار'!A1" display="📊 تقرير الأعمار"/>
    <hyperlink ref="C9" location="'المخصص'!A1" display="🛡 المخصص"/>
    <hyperlink ref="C10" location="'كشف حساب عميل'!A1" display="📄 كشف حساب"/>
    <hyperlink ref="C11" location="'لوحة التحكم'!A1" display="📈 لوحة التحكم"/>
  </hyperlinks>
  <printOptions horizontalCentered="1"/>
  <pageMargins left="0.4" right="0.4" top="0.5" bottom="0.5" header="0.5" footer="0.5"/>
  <pageSetup orientation="landscape" paperSize="9" fitToHeight="0" fitToWidth="1"/>
</worksheet>
</file>

<file path=xl/worksheets/sheet2.xml><?xml version="1.0" encoding="utf-8"?>
<worksheet xmlns="http://schemas.openxmlformats.org/spreadsheetml/2006/main">
  <sheetPr>
    <tabColor rgb="001F3A5F"/>
    <outlinePr summaryBelow="1" summaryRight="1"/>
    <pageSetUpPr fitToPage="1"/>
  </sheetPr>
  <dimension ref="A1:L73"/>
  <sheetViews>
    <sheetView showGridLines="0" rightToLeft="1" zoomScale="90" workbookViewId="0">
      <pane ySplit="3" topLeftCell="A4" activePane="bottomLeft" state="frozen"/>
      <selection pane="bottomLeft" activeCell="A1" sqref="A1"/>
    </sheetView>
  </sheetViews>
  <sheetFormatPr baseColWidth="8" defaultRowHeight="15"/>
  <cols>
    <col width="3" customWidth="1" min="1" max="1"/>
    <col width="30" customWidth="1" min="2" max="2"/>
    <col width="26" customWidth="1" min="3" max="3"/>
    <col width="62" customWidth="1" min="4" max="4"/>
    <col width="16" customWidth="1" min="5" max="5"/>
    <col width="3" customWidth="1" min="6" max="6"/>
    <col width="20" customWidth="1" min="7" max="7"/>
    <col width="3" customWidth="1" min="8" max="8"/>
    <col width="20" customWidth="1" min="9" max="9"/>
    <col width="3" customWidth="1" min="10" max="10"/>
    <col hidden="1" width="16" customWidth="1" min="11" max="11"/>
    <col hidden="1" width="16" customWidth="1" min="12" max="12"/>
  </cols>
  <sheetData>
    <row r="1" ht="34" customHeight="1">
      <c r="A1" s="1" t="inlineStr">
        <is>
          <t>⚙ الإعدادات</t>
        </is>
      </c>
      <c r="B1" s="1" t="n"/>
      <c r="C1" s="1" t="n"/>
      <c r="D1" s="1" t="n"/>
      <c r="E1" s="1" t="n"/>
      <c r="F1" s="1" t="n"/>
      <c r="G1" s="1" t="n"/>
      <c r="H1" s="1" t="n"/>
      <c r="I1" s="1" t="n"/>
    </row>
    <row r="2" ht="20" customHeight="1">
      <c r="A2" s="2" t="inlineStr">
        <is>
          <t>الخلايا الزرقاء فقط هي اللي تتعدّل — كل الشيتات التانية بتاخد منها</t>
        </is>
      </c>
      <c r="B2" s="2" t="n"/>
      <c r="C2" s="2" t="n"/>
      <c r="D2" s="2" t="n"/>
      <c r="E2" s="2" t="n"/>
      <c r="F2" s="2" t="n"/>
      <c r="G2" s="2" t="n"/>
      <c r="H2" s="2" t="n"/>
      <c r="I2" s="2" t="n"/>
    </row>
    <row r="3" ht="22" customHeight="1">
      <c r="B3" s="18" t="inlineStr">
        <is>
          <t>📘 التعليمات</t>
        </is>
      </c>
      <c r="C3" s="3" t="inlineStr">
        <is>
          <t>👥 العملاء</t>
        </is>
      </c>
      <c r="D3" s="3" t="inlineStr">
        <is>
          <t>🧾 الفواتير</t>
        </is>
      </c>
      <c r="E3" s="3" t="inlineStr">
        <is>
          <t>💵 التحصيلات</t>
        </is>
      </c>
      <c r="G3" s="5" t="inlineStr">
        <is>
          <t>📊 تقرير الأعمار</t>
        </is>
      </c>
      <c r="I3" s="5" t="inlineStr">
        <is>
          <t>🛡 المخصص</t>
        </is>
      </c>
    </row>
    <row r="4" ht="24" customHeight="1">
      <c r="B4" s="19" t="inlineStr">
        <is>
          <t>اسم الشركة</t>
        </is>
      </c>
      <c r="C4" s="20" t="inlineStr">
        <is>
          <t>شركة النور التجارية</t>
        </is>
      </c>
      <c r="D4" s="21" t="inlineStr">
        <is>
          <t>بيظهر في كل التقارير</t>
        </is>
      </c>
    </row>
    <row r="5" ht="24" customHeight="1">
      <c r="B5" s="22" t="inlineStr">
        <is>
          <t>تاريخ التقرير</t>
        </is>
      </c>
      <c r="C5" s="23" t="n">
        <v>46295</v>
      </c>
      <c r="D5" s="21" t="inlineStr">
        <is>
          <t>أهم خلية في الملف — غيّرها لأي تاريخ سابق وكل التقارير تتحسب كما في التاريخ ده</t>
        </is>
      </c>
    </row>
    <row r="6" ht="24" customHeight="1">
      <c r="B6" s="19" t="inlineStr">
        <is>
          <t>العملة</t>
        </is>
      </c>
      <c r="C6" s="20" t="inlineStr">
        <is>
          <t>ر.س</t>
        </is>
      </c>
      <c r="D6" s="21" t="inlineStr"/>
    </row>
    <row r="7" ht="24" customHeight="1">
      <c r="B7" s="19" t="inlineStr">
        <is>
          <t>أساس حساب العمر</t>
        </is>
      </c>
      <c r="C7" s="20" t="inlineStr">
        <is>
          <t>من تاريخ الاستحقاق</t>
        </is>
      </c>
      <c r="D7" s="21" t="inlineStr">
        <is>
          <t>من تاريخ الاستحقاق (الأشيع) أو من تاريخ الفاتورة</t>
        </is>
      </c>
    </row>
    <row r="8" ht="24" customHeight="1">
      <c r="B8" s="19" t="inlineStr">
        <is>
          <t>مدة السداد الافتراضية (يوم)</t>
        </is>
      </c>
      <c r="C8" s="24" t="n">
        <v>30</v>
      </c>
      <c r="D8" s="21" t="inlineStr">
        <is>
          <t>بتتطبق على أي عميل مدة سداده فاضية</t>
        </is>
      </c>
    </row>
    <row r="9" ht="24" customHeight="1">
      <c r="B9" s="19" t="inlineStr">
        <is>
          <t>نسبة الضريبة</t>
        </is>
      </c>
      <c r="C9" s="25" t="n">
        <v>0.15</v>
      </c>
      <c r="D9" s="21" t="inlineStr"/>
    </row>
    <row r="10" ht="24" customHeight="1">
      <c r="B10" s="19" t="inlineStr">
        <is>
          <t>رصيد العملاء في دفتر الأستاذ</t>
        </is>
      </c>
      <c r="C10" s="26" t="n">
        <v>1402378.7</v>
      </c>
      <c r="D10" s="21" t="inlineStr">
        <is>
          <t>رصيد حساب العملاء في الميزان في نفس تاريخ التقرير — للمطابقة</t>
        </is>
      </c>
    </row>
    <row r="11" ht="24" customHeight="1">
      <c r="B11" s="19" t="inlineStr">
        <is>
          <t>رصيد المخصص الحالي في الدفاتر</t>
        </is>
      </c>
      <c r="C11" s="26" t="n">
        <v>38000</v>
      </c>
      <c r="D11" s="21" t="inlineStr">
        <is>
          <t>لحساب قيد تسوية المخصص</t>
        </is>
      </c>
    </row>
    <row r="12" ht="22" customHeight="1">
      <c r="B12" s="6" t="inlineStr">
        <is>
          <t>جدول الفترات ونسب المخصص (تقدر تعدّل الأرقام والأسماء)</t>
        </is>
      </c>
      <c r="C12" s="6" t="n"/>
      <c r="D12" s="6" t="n"/>
      <c r="E12" s="6" t="n"/>
      <c r="G12" s="6" t="inlineStr">
        <is>
          <t>القوائم (زوّد تحتها)</t>
        </is>
      </c>
      <c r="H12" s="6" t="n"/>
      <c r="I12" s="6" t="n"/>
    </row>
    <row r="13">
      <c r="B13" s="27" t="inlineStr">
        <is>
          <t>من يوم</t>
        </is>
      </c>
      <c r="C13" s="27" t="inlineStr">
        <is>
          <t>الفترة</t>
        </is>
      </c>
      <c r="D13" s="27" t="inlineStr">
        <is>
          <t>نسبة المخصص</t>
        </is>
      </c>
      <c r="E13" s="27" t="inlineStr">
        <is>
          <t>اللون</t>
        </is>
      </c>
      <c r="G13" s="27" t="inlineStr">
        <is>
          <t>المندوب</t>
        </is>
      </c>
      <c r="I13" s="27" t="inlineStr">
        <is>
          <t>المدينة</t>
        </is>
      </c>
      <c r="K13" s="28" t="inlineStr">
        <is>
          <t>فلتر المندوب</t>
        </is>
      </c>
      <c r="L13" s="28" t="inlineStr">
        <is>
          <t>فلتر المدينة</t>
        </is>
      </c>
    </row>
    <row r="14">
      <c r="B14" s="29" t="n">
        <v>0</v>
      </c>
      <c r="C14" s="30" t="inlineStr">
        <is>
          <t>غير مستحق</t>
        </is>
      </c>
      <c r="D14" s="31" t="n">
        <v>0.005</v>
      </c>
      <c r="E14" s="32" t="inlineStr">
        <is>
          <t>أخضر</t>
        </is>
      </c>
      <c r="G14" s="33" t="inlineStr">
        <is>
          <t>أحمد علي</t>
        </is>
      </c>
      <c r="I14" s="33" t="inlineStr">
        <is>
          <t>الرياض</t>
        </is>
      </c>
      <c r="K14" t="inlineStr">
        <is>
          <t>الكل</t>
        </is>
      </c>
      <c r="L14" t="inlineStr">
        <is>
          <t>الكل</t>
        </is>
      </c>
    </row>
    <row r="15">
      <c r="B15" s="29" t="n">
        <v>1</v>
      </c>
      <c r="C15" s="30" t="inlineStr">
        <is>
          <t>1–30 يوم</t>
        </is>
      </c>
      <c r="D15" s="31" t="n">
        <v>0.02</v>
      </c>
      <c r="E15" s="34" t="inlineStr">
        <is>
          <t>أخضر فاتح</t>
        </is>
      </c>
      <c r="G15" s="33" t="inlineStr">
        <is>
          <t>خالد يوسف</t>
        </is>
      </c>
      <c r="I15" s="33" t="inlineStr">
        <is>
          <t>جدة</t>
        </is>
      </c>
      <c r="K15">
        <f>IFERROR(INDEX(tblReps[المندوب],1)&amp;"","")</f>
        <v/>
      </c>
      <c r="L15">
        <f>IFERROR(INDEX(tblCities[المدينة],1)&amp;"","")</f>
        <v/>
      </c>
    </row>
    <row r="16">
      <c r="B16" s="29" t="n">
        <v>31</v>
      </c>
      <c r="C16" s="30" t="inlineStr">
        <is>
          <t>31–60 يوم</t>
        </is>
      </c>
      <c r="D16" s="31" t="n">
        <v>0.05</v>
      </c>
      <c r="E16" s="35" t="inlineStr">
        <is>
          <t>أصفر</t>
        </is>
      </c>
      <c r="G16" s="33" t="inlineStr">
        <is>
          <t>سارة محمد</t>
        </is>
      </c>
      <c r="I16" s="33" t="inlineStr">
        <is>
          <t>الدمام</t>
        </is>
      </c>
      <c r="K16">
        <f>IFERROR(INDEX(tblReps[المندوب],2)&amp;"","")</f>
        <v/>
      </c>
      <c r="L16">
        <f>IFERROR(INDEX(tblCities[المدينة],2)&amp;"","")</f>
        <v/>
      </c>
    </row>
    <row r="17">
      <c r="B17" s="29" t="n">
        <v>61</v>
      </c>
      <c r="C17" s="30" t="inlineStr">
        <is>
          <t>61–90 يوم</t>
        </is>
      </c>
      <c r="D17" s="31" t="n">
        <v>0.1</v>
      </c>
      <c r="E17" s="36" t="inlineStr">
        <is>
          <t>برتقالي</t>
        </is>
      </c>
      <c r="I17" s="33" t="inlineStr">
        <is>
          <t>مكة المكرمة</t>
        </is>
      </c>
      <c r="K17">
        <f>IFERROR(INDEX(tblReps[المندوب],3)&amp;"","")</f>
        <v/>
      </c>
      <c r="L17">
        <f>IFERROR(INDEX(tblCities[المدينة],3)&amp;"","")</f>
        <v/>
      </c>
    </row>
    <row r="18">
      <c r="B18" s="29" t="n">
        <v>91</v>
      </c>
      <c r="C18" s="30" t="inlineStr">
        <is>
          <t>91–180 يوم</t>
        </is>
      </c>
      <c r="D18" s="31" t="n">
        <v>0.25</v>
      </c>
      <c r="E18" s="37" t="inlineStr">
        <is>
          <t>برتقالي غامق</t>
        </is>
      </c>
      <c r="I18" s="33" t="inlineStr">
        <is>
          <t>المدينة المنورة</t>
        </is>
      </c>
      <c r="K18">
        <f>IFERROR(INDEX(tblReps[المندوب],4)&amp;"","")</f>
        <v/>
      </c>
      <c r="L18">
        <f>IFERROR(INDEX(tblCities[المدينة],4)&amp;"","")</f>
        <v/>
      </c>
    </row>
    <row r="19">
      <c r="B19" s="29" t="n">
        <v>181</v>
      </c>
      <c r="C19" s="30" t="inlineStr">
        <is>
          <t>181–365 يوم</t>
        </is>
      </c>
      <c r="D19" s="31" t="n">
        <v>0.5</v>
      </c>
      <c r="E19" s="38" t="inlineStr">
        <is>
          <t>أحمر</t>
        </is>
      </c>
      <c r="K19">
        <f>IFERROR(INDEX(tblReps[المندوب],5)&amp;"","")</f>
        <v/>
      </c>
      <c r="L19">
        <f>IFERROR(INDEX(tblCities[المدينة],5)&amp;"","")</f>
        <v/>
      </c>
    </row>
    <row r="20">
      <c r="B20" s="29" t="n">
        <v>366</v>
      </c>
      <c r="C20" s="30" t="inlineStr">
        <is>
          <t>أكثر من سنة</t>
        </is>
      </c>
      <c r="D20" s="31" t="n">
        <v>1</v>
      </c>
      <c r="E20" s="39" t="inlineStr">
        <is>
          <t>أحمر غامق</t>
        </is>
      </c>
      <c r="K20">
        <f>IFERROR(INDEX(tblReps[المندوب],6)&amp;"","")</f>
        <v/>
      </c>
      <c r="L20">
        <f>IFERROR(INDEX(tblCities[المدينة],6)&amp;"","")</f>
        <v/>
      </c>
    </row>
    <row r="21">
      <c r="K21">
        <f>IFERROR(INDEX(tblReps[المندوب],7)&amp;"","")</f>
        <v/>
      </c>
      <c r="L21">
        <f>IFERROR(INDEX(tblCities[المدينة],7)&amp;"","")</f>
        <v/>
      </c>
    </row>
    <row r="22">
      <c r="B22" s="40" t="inlineStr">
        <is>
          <t>⚠ النسب دي أمثلة بس. نسب مصفوفة المخصص (IFRS 9 — المدخل المبسّط) لازم تتبني على تاريخ خسائر الائتمان الفعلية للشركة نفسها (معدلات التعثر التاريخية لكل فترة) معدّلة بالمعلومات المستقبلية. «من يوم» لازم تفضل تصاعدية وأول فترة تبدأ من 0. عدد الفترات ثابت 7 عشان أعمدة التقرير.</t>
        </is>
      </c>
      <c r="C22" s="40" t="n"/>
      <c r="D22" s="40" t="n"/>
      <c r="E22" s="40" t="n"/>
      <c r="K22">
        <f>IFERROR(INDEX(tblReps[المندوب],8)&amp;"","")</f>
        <v/>
      </c>
      <c r="L22">
        <f>IFERROR(INDEX(tblCities[المدينة],8)&amp;"","")</f>
        <v/>
      </c>
    </row>
    <row r="23">
      <c r="B23" s="40" t="n"/>
      <c r="C23" s="40" t="n"/>
      <c r="D23" s="40" t="n"/>
      <c r="E23" s="40" t="n"/>
      <c r="K23">
        <f>IFERROR(INDEX(tblReps[المندوب],9)&amp;"","")</f>
        <v/>
      </c>
      <c r="L23">
        <f>IFERROR(INDEX(tblCities[المدينة],9)&amp;"","")</f>
        <v/>
      </c>
    </row>
    <row r="24">
      <c r="B24" s="40" t="n"/>
      <c r="C24" s="40" t="n"/>
      <c r="D24" s="40" t="n"/>
      <c r="E24" s="40" t="n"/>
      <c r="K24">
        <f>IFERROR(INDEX(tblReps[المندوب],10)&amp;"","")</f>
        <v/>
      </c>
      <c r="L24">
        <f>IFERROR(INDEX(tblCities[المدينة],10)&amp;"","")</f>
        <v/>
      </c>
    </row>
    <row r="25">
      <c r="K25">
        <f>IFERROR(INDEX(tblReps[المندوب],11)&amp;"","")</f>
        <v/>
      </c>
      <c r="L25">
        <f>IFERROR(INDEX(tblCities[المدينة],11)&amp;"","")</f>
        <v/>
      </c>
    </row>
    <row r="26">
      <c r="K26">
        <f>IFERROR(INDEX(tblReps[المندوب],12)&amp;"","")</f>
        <v/>
      </c>
      <c r="L26">
        <f>IFERROR(INDEX(tblCities[المدينة],12)&amp;"","")</f>
        <v/>
      </c>
    </row>
    <row r="27">
      <c r="K27">
        <f>IFERROR(INDEX(tblReps[المندوب],13)&amp;"","")</f>
        <v/>
      </c>
      <c r="L27">
        <f>IFERROR(INDEX(tblCities[المدينة],13)&amp;"","")</f>
        <v/>
      </c>
    </row>
    <row r="28">
      <c r="K28">
        <f>IFERROR(INDEX(tblReps[المندوب],14)&amp;"","")</f>
        <v/>
      </c>
      <c r="L28">
        <f>IFERROR(INDEX(tblCities[المدينة],14)&amp;"","")</f>
        <v/>
      </c>
    </row>
    <row r="29">
      <c r="K29">
        <f>IFERROR(INDEX(tblReps[المندوب],15)&amp;"","")</f>
        <v/>
      </c>
      <c r="L29">
        <f>IFERROR(INDEX(tblCities[المدينة],15)&amp;"","")</f>
        <v/>
      </c>
    </row>
    <row r="30">
      <c r="K30">
        <f>IFERROR(INDEX(tblReps[المندوب],16)&amp;"","")</f>
        <v/>
      </c>
      <c r="L30">
        <f>IFERROR(INDEX(tblCities[المدينة],16)&amp;"","")</f>
        <v/>
      </c>
    </row>
    <row r="31">
      <c r="K31">
        <f>IFERROR(INDEX(tblReps[المندوب],17)&amp;"","")</f>
        <v/>
      </c>
      <c r="L31">
        <f>IFERROR(INDEX(tblCities[المدينة],17)&amp;"","")</f>
        <v/>
      </c>
    </row>
    <row r="32">
      <c r="K32">
        <f>IFERROR(INDEX(tblReps[المندوب],18)&amp;"","")</f>
        <v/>
      </c>
      <c r="L32">
        <f>IFERROR(INDEX(tblCities[المدينة],18)&amp;"","")</f>
        <v/>
      </c>
    </row>
    <row r="33">
      <c r="K33">
        <f>IFERROR(INDEX(tblReps[المندوب],19)&amp;"","")</f>
        <v/>
      </c>
      <c r="L33">
        <f>IFERROR(INDEX(tblCities[المدينة],19)&amp;"","")</f>
        <v/>
      </c>
    </row>
    <row r="34">
      <c r="K34">
        <f>IFERROR(INDEX(tblReps[المندوب],20)&amp;"","")</f>
        <v/>
      </c>
      <c r="L34">
        <f>IFERROR(INDEX(tblCities[المدينة],20)&amp;"","")</f>
        <v/>
      </c>
    </row>
    <row r="35">
      <c r="K35">
        <f>IFERROR(INDEX(tblReps[المندوب],21)&amp;"","")</f>
        <v/>
      </c>
      <c r="L35">
        <f>IFERROR(INDEX(tblCities[المدينة],21)&amp;"","")</f>
        <v/>
      </c>
    </row>
    <row r="36">
      <c r="K36">
        <f>IFERROR(INDEX(tblReps[المندوب],22)&amp;"","")</f>
        <v/>
      </c>
      <c r="L36">
        <f>IFERROR(INDEX(tblCities[المدينة],22)&amp;"","")</f>
        <v/>
      </c>
    </row>
    <row r="37">
      <c r="K37">
        <f>IFERROR(INDEX(tblReps[المندوب],23)&amp;"","")</f>
        <v/>
      </c>
      <c r="L37">
        <f>IFERROR(INDEX(tblCities[المدينة],23)&amp;"","")</f>
        <v/>
      </c>
    </row>
    <row r="38">
      <c r="K38">
        <f>IFERROR(INDEX(tblReps[المندوب],24)&amp;"","")</f>
        <v/>
      </c>
      <c r="L38">
        <f>IFERROR(INDEX(tblCities[المدينة],24)&amp;"","")</f>
        <v/>
      </c>
    </row>
    <row r="39">
      <c r="K39">
        <f>IFERROR(INDEX(tblReps[المندوب],25)&amp;"","")</f>
        <v/>
      </c>
      <c r="L39">
        <f>IFERROR(INDEX(tblCities[المدينة],25)&amp;"","")</f>
        <v/>
      </c>
    </row>
    <row r="40">
      <c r="K40">
        <f>IFERROR(INDEX(tblReps[المندوب],26)&amp;"","")</f>
        <v/>
      </c>
      <c r="L40">
        <f>IFERROR(INDEX(tblCities[المدينة],26)&amp;"","")</f>
        <v/>
      </c>
    </row>
    <row r="41">
      <c r="K41">
        <f>IFERROR(INDEX(tblReps[المندوب],27)&amp;"","")</f>
        <v/>
      </c>
      <c r="L41">
        <f>IFERROR(INDEX(tblCities[المدينة],27)&amp;"","")</f>
        <v/>
      </c>
    </row>
    <row r="42">
      <c r="K42">
        <f>IFERROR(INDEX(tblReps[المندوب],28)&amp;"","")</f>
        <v/>
      </c>
      <c r="L42">
        <f>IFERROR(INDEX(tblCities[المدينة],28)&amp;"","")</f>
        <v/>
      </c>
    </row>
    <row r="43">
      <c r="K43">
        <f>IFERROR(INDEX(tblReps[المندوب],29)&amp;"","")</f>
        <v/>
      </c>
      <c r="L43">
        <f>IFERROR(INDEX(tblCities[المدينة],29)&amp;"","")</f>
        <v/>
      </c>
    </row>
    <row r="44">
      <c r="K44">
        <f>IFERROR(INDEX(tblReps[المندوب],30)&amp;"","")</f>
        <v/>
      </c>
      <c r="L44">
        <f>IFERROR(INDEX(tblCities[المدينة],30)&amp;"","")</f>
        <v/>
      </c>
    </row>
    <row r="45">
      <c r="K45">
        <f>IFERROR(INDEX(tblReps[المندوب],31)&amp;"","")</f>
        <v/>
      </c>
      <c r="L45">
        <f>IFERROR(INDEX(tblCities[المدينة],31)&amp;"","")</f>
        <v/>
      </c>
    </row>
    <row r="46">
      <c r="K46">
        <f>IFERROR(INDEX(tblReps[المندوب],32)&amp;"","")</f>
        <v/>
      </c>
      <c r="L46">
        <f>IFERROR(INDEX(tblCities[المدينة],32)&amp;"","")</f>
        <v/>
      </c>
    </row>
    <row r="47">
      <c r="K47">
        <f>IFERROR(INDEX(tblReps[المندوب],33)&amp;"","")</f>
        <v/>
      </c>
      <c r="L47">
        <f>IFERROR(INDEX(tblCities[المدينة],33)&amp;"","")</f>
        <v/>
      </c>
    </row>
    <row r="48">
      <c r="K48">
        <f>IFERROR(INDEX(tblReps[المندوب],34)&amp;"","")</f>
        <v/>
      </c>
      <c r="L48">
        <f>IFERROR(INDEX(tblCities[المدينة],34)&amp;"","")</f>
        <v/>
      </c>
    </row>
    <row r="49">
      <c r="K49">
        <f>IFERROR(INDEX(tblReps[المندوب],35)&amp;"","")</f>
        <v/>
      </c>
      <c r="L49">
        <f>IFERROR(INDEX(tblCities[المدينة],35)&amp;"","")</f>
        <v/>
      </c>
    </row>
    <row r="50">
      <c r="K50">
        <f>IFERROR(INDEX(tblReps[المندوب],36)&amp;"","")</f>
        <v/>
      </c>
      <c r="L50">
        <f>IFERROR(INDEX(tblCities[المدينة],36)&amp;"","")</f>
        <v/>
      </c>
    </row>
    <row r="51">
      <c r="K51">
        <f>IFERROR(INDEX(tblReps[المندوب],37)&amp;"","")</f>
        <v/>
      </c>
      <c r="L51">
        <f>IFERROR(INDEX(tblCities[المدينة],37)&amp;"","")</f>
        <v/>
      </c>
    </row>
    <row r="52">
      <c r="K52">
        <f>IFERROR(INDEX(tblReps[المندوب],38)&amp;"","")</f>
        <v/>
      </c>
      <c r="L52">
        <f>IFERROR(INDEX(tblCities[المدينة],38)&amp;"","")</f>
        <v/>
      </c>
    </row>
    <row r="53">
      <c r="K53">
        <f>IFERROR(INDEX(tblReps[المندوب],39)&amp;"","")</f>
        <v/>
      </c>
      <c r="L53">
        <f>IFERROR(INDEX(tblCities[المدينة],39)&amp;"","")</f>
        <v/>
      </c>
    </row>
    <row r="54">
      <c r="K54">
        <f>IFERROR(INDEX(tblReps[المندوب],40)&amp;"","")</f>
        <v/>
      </c>
      <c r="L54">
        <f>IFERROR(INDEX(tblCities[المدينة],40)&amp;"","")</f>
        <v/>
      </c>
    </row>
    <row r="55">
      <c r="K55">
        <f>IFERROR(INDEX(tblReps[المندوب],41)&amp;"","")</f>
        <v/>
      </c>
      <c r="L55">
        <f>IFERROR(INDEX(tblCities[المدينة],41)&amp;"","")</f>
        <v/>
      </c>
    </row>
    <row r="56">
      <c r="K56">
        <f>IFERROR(INDEX(tblReps[المندوب],42)&amp;"","")</f>
        <v/>
      </c>
      <c r="L56">
        <f>IFERROR(INDEX(tblCities[المدينة],42)&amp;"","")</f>
        <v/>
      </c>
    </row>
    <row r="57">
      <c r="K57">
        <f>IFERROR(INDEX(tblReps[المندوب],43)&amp;"","")</f>
        <v/>
      </c>
      <c r="L57">
        <f>IFERROR(INDEX(tblCities[المدينة],43)&amp;"","")</f>
        <v/>
      </c>
    </row>
    <row r="58">
      <c r="K58">
        <f>IFERROR(INDEX(tblReps[المندوب],44)&amp;"","")</f>
        <v/>
      </c>
      <c r="L58">
        <f>IFERROR(INDEX(tblCities[المدينة],44)&amp;"","")</f>
        <v/>
      </c>
    </row>
    <row r="59">
      <c r="K59">
        <f>IFERROR(INDEX(tblReps[المندوب],45)&amp;"","")</f>
        <v/>
      </c>
      <c r="L59">
        <f>IFERROR(INDEX(tblCities[المدينة],45)&amp;"","")</f>
        <v/>
      </c>
    </row>
    <row r="60">
      <c r="K60">
        <f>IFERROR(INDEX(tblReps[المندوب],46)&amp;"","")</f>
        <v/>
      </c>
      <c r="L60">
        <f>IFERROR(INDEX(tblCities[المدينة],46)&amp;"","")</f>
        <v/>
      </c>
    </row>
    <row r="61">
      <c r="K61">
        <f>IFERROR(INDEX(tblReps[المندوب],47)&amp;"","")</f>
        <v/>
      </c>
      <c r="L61">
        <f>IFERROR(INDEX(tblCities[المدينة],47)&amp;"","")</f>
        <v/>
      </c>
    </row>
    <row r="62">
      <c r="K62">
        <f>IFERROR(INDEX(tblReps[المندوب],48)&amp;"","")</f>
        <v/>
      </c>
      <c r="L62">
        <f>IFERROR(INDEX(tblCities[المدينة],48)&amp;"","")</f>
        <v/>
      </c>
    </row>
    <row r="63">
      <c r="K63">
        <f>IFERROR(INDEX(tblReps[المندوب],49)&amp;"","")</f>
        <v/>
      </c>
      <c r="L63">
        <f>IFERROR(INDEX(tblCities[المدينة],49)&amp;"","")</f>
        <v/>
      </c>
    </row>
    <row r="64">
      <c r="K64">
        <f>IFERROR(INDEX(tblReps[المندوب],50)&amp;"","")</f>
        <v/>
      </c>
      <c r="L64">
        <f>IFERROR(INDEX(tblCities[المدينة],50)&amp;"","")</f>
        <v/>
      </c>
    </row>
    <row r="65">
      <c r="K65">
        <f>IFERROR(INDEX(tblReps[المندوب],51)&amp;"","")</f>
        <v/>
      </c>
      <c r="L65">
        <f>IFERROR(INDEX(tblCities[المدينة],51)&amp;"","")</f>
        <v/>
      </c>
    </row>
    <row r="66">
      <c r="K66">
        <f>IFERROR(INDEX(tblReps[المندوب],52)&amp;"","")</f>
        <v/>
      </c>
      <c r="L66">
        <f>IFERROR(INDEX(tblCities[المدينة],52)&amp;"","")</f>
        <v/>
      </c>
    </row>
    <row r="67">
      <c r="K67">
        <f>IFERROR(INDEX(tblReps[المندوب],53)&amp;"","")</f>
        <v/>
      </c>
      <c r="L67">
        <f>IFERROR(INDEX(tblCities[المدينة],53)&amp;"","")</f>
        <v/>
      </c>
    </row>
    <row r="68">
      <c r="K68">
        <f>IFERROR(INDEX(tblReps[المندوب],54)&amp;"","")</f>
        <v/>
      </c>
      <c r="L68">
        <f>IFERROR(INDEX(tblCities[المدينة],54)&amp;"","")</f>
        <v/>
      </c>
    </row>
    <row r="69">
      <c r="K69">
        <f>IFERROR(INDEX(tblReps[المندوب],55)&amp;"","")</f>
        <v/>
      </c>
      <c r="L69">
        <f>IFERROR(INDEX(tblCities[المدينة],55)&amp;"","")</f>
        <v/>
      </c>
    </row>
    <row r="70">
      <c r="K70">
        <f>IFERROR(INDEX(tblReps[المندوب],56)&amp;"","")</f>
        <v/>
      </c>
      <c r="L70">
        <f>IFERROR(INDEX(tblCities[المدينة],56)&amp;"","")</f>
        <v/>
      </c>
    </row>
    <row r="71">
      <c r="K71">
        <f>IFERROR(INDEX(tblReps[المندوب],57)&amp;"","")</f>
        <v/>
      </c>
      <c r="L71">
        <f>IFERROR(INDEX(tblCities[المدينة],57)&amp;"","")</f>
        <v/>
      </c>
    </row>
    <row r="72">
      <c r="K72">
        <f>IFERROR(INDEX(tblReps[المندوب],58)&amp;"","")</f>
        <v/>
      </c>
      <c r="L72">
        <f>IFERROR(INDEX(tblCities[المدينة],58)&amp;"","")</f>
        <v/>
      </c>
    </row>
    <row r="73">
      <c r="K73">
        <f>IFERROR(INDEX(tblReps[المندوب],59)&amp;"","")</f>
        <v/>
      </c>
      <c r="L73">
        <f>IFERROR(INDEX(tblCities[المدينة],59)&amp;"","")</f>
        <v/>
      </c>
    </row>
  </sheetData>
  <mergeCells count="5">
    <mergeCell ref="B22:E24"/>
    <mergeCell ref="A2:I2"/>
    <mergeCell ref="B12:E12"/>
    <mergeCell ref="A1:I1"/>
    <mergeCell ref="G12:I12"/>
  </mergeCells>
  <dataValidations count="4">
    <dataValidation sqref="C7" showDropDown="0" showInputMessage="1" showErrorMessage="1" allowBlank="1" errorTitle="قيمة غير مسموحة" error="من فضلك اختر قيمة من القائمة المنسدلة." promptTitle="تنبيه" prompt="اختار أساس حساب عمر الدين" type="list" errorStyle="stop">
      <formula1>"من تاريخ الاستحقاق,من تاريخ الفاتورة"</formula1>
    </dataValidation>
    <dataValidation sqref="C5" showDropDown="0" showInputMessage="0" showErrorMessage="1" allowBlank="1" errorTitle="قيمة غير صحيحة" error="لازم يكون تاريخ" type="date" errorStyle="stop" operator="greaterThan">
      <formula1>36526</formula1>
    </dataValidation>
    <dataValidation sqref="C8" showDropDown="0" showInputMessage="0" showErrorMessage="1" allowBlank="1" errorTitle="قيمة غير صحيحة" error="رقم صحيح من 0 لـ 365" type="whole" errorStyle="stop" operator="between">
      <formula1>0</formula1>
      <formula2>365</formula2>
    </dataValidation>
    <dataValidation sqref="C9" showDropDown="0" showInputMessage="0" showErrorMessage="1" allowBlank="1" errorTitle="قيمة غير صحيحة" error="نسبة من 0% لـ 100%" type="decimal" errorStyle="stop" operator="between">
      <formula1>0</formula1>
      <formula2>1</formula2>
    </dataValidation>
  </dataValidations>
  <hyperlinks>
    <hyperlink ref="B3" location="'التعليمات'!A1" display="📘 التعليمات"/>
    <hyperlink ref="C3" location="'العملاء'!A1" display="👥 العملاء"/>
    <hyperlink ref="D3" location="'الفواتير'!A1" display="🧾 الفواتير"/>
    <hyperlink ref="E3" location="'التحصيلات'!A1" display="💵 التحصيلات"/>
    <hyperlink ref="G3" location="'تقرير الأعمار'!A1" display="📊 تقرير الأعمار"/>
    <hyperlink ref="I3" location="'المخصص'!A1" display="🛡 المخصص"/>
  </hyperlinks>
  <printOptions horizontalCentered="1"/>
  <pageMargins left="0.4" right="0.4" top="0.5" bottom="0.5" header="0.5" footer="0.5"/>
  <pageSetup orientation="landscape" paperSize="9" fitToHeight="0" fitToWidth="1"/>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tabColor rgb="002E7D7A"/>
    <outlinePr summaryBelow="1" summaryRight="1"/>
    <pageSetUpPr fitToPage="1"/>
  </sheetPr>
  <dimension ref="A1:Q19"/>
  <sheetViews>
    <sheetView showGridLines="0"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18" customWidth="1" min="3" max="3"/>
    <col width="14" customWidth="1" min="4" max="4"/>
    <col width="14" customWidth="1" min="5" max="5"/>
    <col width="14" customWidth="1" min="6" max="6"/>
    <col width="10" customWidth="1" min="7" max="7"/>
    <col width="14" customWidth="1" min="8" max="8"/>
    <col width="15" customWidth="1" min="9" max="9"/>
    <col width="15" customWidth="1" min="10" max="10"/>
    <col width="12" customWidth="1" min="11" max="11"/>
    <col width="12" customWidth="1" min="12" max="12"/>
    <col hidden="1" width="12" customWidth="1" min="13" max="13"/>
    <col hidden="1" width="12" customWidth="1" min="14" max="14"/>
    <col hidden="1" width="8" customWidth="1" min="15" max="15"/>
    <col hidden="1" width="8" customWidth="1" min="16" max="16"/>
    <col hidden="1" width="8" customWidth="1" min="17" max="17"/>
  </cols>
  <sheetData>
    <row r="1" ht="34" customHeight="1">
      <c r="A1" s="1" t="inlineStr">
        <is>
          <t>👥 العملاء</t>
        </is>
      </c>
      <c r="B1" s="1" t="n"/>
      <c r="C1" s="1" t="n"/>
      <c r="D1" s="1" t="n"/>
      <c r="E1" s="1" t="n"/>
      <c r="F1" s="1" t="n"/>
      <c r="G1" s="1" t="n"/>
      <c r="H1" s="1" t="n"/>
      <c r="I1" s="1" t="n"/>
      <c r="J1" s="1" t="n"/>
      <c r="K1" s="1" t="n"/>
      <c r="L1" s="1" t="n"/>
    </row>
    <row r="2" ht="20" customHeight="1">
      <c r="A2" s="2" t="inlineStr">
        <is>
          <t>أزرق = إدخال   |   أبيض = معادلة (ماتلمسهاش)   |   كل عميل مرة واحدة بكود مميز</t>
        </is>
      </c>
      <c r="B2" s="2" t="n"/>
      <c r="C2" s="2" t="n"/>
      <c r="D2" s="2" t="n"/>
      <c r="E2" s="2" t="n"/>
      <c r="F2" s="2" t="n"/>
      <c r="G2" s="2" t="n"/>
      <c r="H2" s="2" t="n"/>
      <c r="I2" s="2" t="n"/>
      <c r="J2" s="2" t="n"/>
      <c r="K2" s="2" t="n"/>
      <c r="L2" s="2" t="n"/>
    </row>
    <row r="3" ht="22" customHeight="1">
      <c r="A3" s="18" t="inlineStr">
        <is>
          <t>📘 التعليمات</t>
        </is>
      </c>
      <c r="B3" s="3" t="inlineStr">
        <is>
          <t>⚙ الإعدادات</t>
        </is>
      </c>
      <c r="C3" s="3" t="inlineStr">
        <is>
          <t>🧾 الفواتير</t>
        </is>
      </c>
      <c r="D3" s="3" t="inlineStr">
        <is>
          <t>💵 التحصيلات</t>
        </is>
      </c>
      <c r="E3" s="5" t="inlineStr">
        <is>
          <t>📊 تقرير الأعمار</t>
        </is>
      </c>
      <c r="F3" s="5" t="inlineStr">
        <is>
          <t>🛡 المخصص</t>
        </is>
      </c>
      <c r="G3" s="5" t="inlineStr">
        <is>
          <t>📄 كشف حساب</t>
        </is>
      </c>
      <c r="H3" s="5" t="inlineStr">
        <is>
          <t>📈 لوحة التحكم</t>
        </is>
      </c>
    </row>
    <row r="4" ht="36" customHeight="1">
      <c r="A4" s="27" t="inlineStr">
        <is>
          <t>كود العميل</t>
        </is>
      </c>
      <c r="B4" s="27" t="inlineStr">
        <is>
          <t>اسم العميل</t>
        </is>
      </c>
      <c r="C4" s="27" t="inlineStr">
        <is>
          <t>الرقم الضريبي</t>
        </is>
      </c>
      <c r="D4" s="27" t="inlineStr">
        <is>
          <t>المدينة</t>
        </is>
      </c>
      <c r="E4" s="27" t="inlineStr">
        <is>
          <t>المندوب</t>
        </is>
      </c>
      <c r="F4" s="27" t="inlineStr">
        <is>
          <t>حد الائتمان</t>
        </is>
      </c>
      <c r="G4" s="27" t="inlineStr">
        <is>
          <t>مدة السداد</t>
        </is>
      </c>
      <c r="H4" s="27" t="inlineStr">
        <is>
          <t>الجوال</t>
        </is>
      </c>
      <c r="I4" s="41" t="inlineStr">
        <is>
          <t>الرصيد</t>
        </is>
      </c>
      <c r="J4" s="41" t="inlineStr">
        <is>
          <t>المتأخر</t>
        </is>
      </c>
      <c r="K4" s="41" t="inlineStr">
        <is>
          <t>استخدام الحد %</t>
        </is>
      </c>
      <c r="L4" s="41" t="inlineStr">
        <is>
          <t>أقدم فاتورة (يوم)</t>
        </is>
      </c>
      <c r="M4" s="42" t="inlineStr">
        <is>
          <t>غير مخصص</t>
        </is>
      </c>
      <c r="N4" s="42" t="inlineStr">
        <is>
          <t>الصافي</t>
        </is>
      </c>
      <c r="O4" s="42" t="inlineStr">
        <is>
          <t>مدرج</t>
        </is>
      </c>
      <c r="P4" s="42" t="inlineStr">
        <is>
          <t>ترتيب</t>
        </is>
      </c>
      <c r="Q4" s="42" t="inlineStr">
        <is>
          <t>ترتيب المتأخر</t>
        </is>
      </c>
    </row>
    <row r="5">
      <c r="A5" s="43" t="inlineStr">
        <is>
          <t>C001</t>
        </is>
      </c>
      <c r="B5" s="44" t="inlineStr">
        <is>
          <t>مؤسسة الأفق للتجارة</t>
        </is>
      </c>
      <c r="C5" s="45" t="inlineStr">
        <is>
          <t>381316333635203</t>
        </is>
      </c>
      <c r="D5" s="44" t="inlineStr">
        <is>
          <t>الرياض</t>
        </is>
      </c>
      <c r="E5" s="44" t="inlineStr">
        <is>
          <t>أحمد علي</t>
        </is>
      </c>
      <c r="F5" s="46" t="n">
        <v>150000</v>
      </c>
      <c r="G5" s="47" t="n">
        <v>30</v>
      </c>
      <c r="H5" s="45" t="inlineStr">
        <is>
          <t>0594629213</t>
        </is>
      </c>
      <c r="I5" s="48">
        <f>ROUND(SUMIFS(tblInv[المتبقي],tblInv[كود العميل],tblCustomers[[#This Row],[كود العميل]]),2)</f>
        <v/>
      </c>
      <c r="J5" s="49">
        <f>ROUND(SUMIFS(tblInv[المتبقي],tblInv[كود العميل],tblCustomers[[#This Row],[كود العميل]],tblInv[أيام التأخير],"&gt;0"),2)</f>
        <v/>
      </c>
      <c r="K5" s="50">
        <f>IFERROR(tblCustomers[[#This Row],[الرصيد]]/tblCustomers[[#This Row],[حد الائتمان]],0)</f>
        <v/>
      </c>
      <c r="L5" s="51">
        <f>SUMPRODUCT(MAX((tblInv[كود العميل]=tblCustomers[[#This Row],[كود العميل]])*tblInv[أيام التأخير]))</f>
        <v/>
      </c>
      <c r="M5" s="49">
        <f>ROUND(SUMIFS(tblRec[المبلغ],tblRec[كود العميل],tblCustomers[[#This Row],[كود العميل]],tblRec[رقم الفاتورة],"",tblRec[التاريخ],"&lt;="&amp;AsOf),2)</f>
        <v/>
      </c>
      <c r="N5" s="49">
        <f>ROUND(tblCustomers[[#This Row],[الرصيد]]-tblCustomers[[#This Row],[غير مخصص]],2)</f>
        <v/>
      </c>
      <c r="O5" s="52">
        <f>IF(AND(OR(tblCustomers[[#This Row],[الرصيد]]&lt;&gt;0,tblCustomers[[#This Row],[غير مخصص]]&lt;&gt;0),OR(RepF="الكل",tblCustomers[[#This Row],[المندوب]]=RepF),OR(CityF="الكل",tblCustomers[[#This Row],[المدينة]]=CityF)),1,0)</f>
        <v/>
      </c>
      <c r="P5"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5" s="52">
        <f>IF(tblCustomers[[#This Row],[المتأخر]]&gt;0,COUNTIFS(tblCustomers[المتأخر],"&gt;"&amp;tblCustomers[[#This Row],[المتأخر]])+COUNTIFS(INDEX(tblCustomers[المتأخر],1):tblCustomers[[#This Row],[المتأخر]],tblCustomers[[#This Row],[المتأخر]]),"")</f>
        <v/>
      </c>
    </row>
    <row r="6">
      <c r="A6" s="43" t="inlineStr">
        <is>
          <t>C002</t>
        </is>
      </c>
      <c r="B6" s="44" t="inlineStr">
        <is>
          <t>شركة الرواد للمقاولات</t>
        </is>
      </c>
      <c r="C6" s="45" t="inlineStr">
        <is>
          <t>349115543930323</t>
        </is>
      </c>
      <c r="D6" s="44" t="inlineStr">
        <is>
          <t>جدة</t>
        </is>
      </c>
      <c r="E6" s="44" t="inlineStr">
        <is>
          <t>خالد يوسف</t>
        </is>
      </c>
      <c r="F6" s="46" t="n">
        <v>250000</v>
      </c>
      <c r="G6" s="47" t="n">
        <v>45</v>
      </c>
      <c r="H6" s="45" t="inlineStr">
        <is>
          <t>0551288700</t>
        </is>
      </c>
      <c r="I6" s="48">
        <f>ROUND(SUMIFS(tblInv[المتبقي],tblInv[كود العميل],tblCustomers[[#This Row],[كود العميل]]),2)</f>
        <v/>
      </c>
      <c r="J6" s="49">
        <f>ROUND(SUMIFS(tblInv[المتبقي],tblInv[كود العميل],tblCustomers[[#This Row],[كود العميل]],tblInv[أيام التأخير],"&gt;0"),2)</f>
        <v/>
      </c>
      <c r="K6" s="50">
        <f>IFERROR(tblCustomers[[#This Row],[الرصيد]]/tblCustomers[[#This Row],[حد الائتمان]],0)</f>
        <v/>
      </c>
      <c r="L6" s="51">
        <f>SUMPRODUCT(MAX((tblInv[كود العميل]=tblCustomers[[#This Row],[كود العميل]])*tblInv[أيام التأخير]))</f>
        <v/>
      </c>
      <c r="M6" s="49">
        <f>ROUND(SUMIFS(tblRec[المبلغ],tblRec[كود العميل],tblCustomers[[#This Row],[كود العميل]],tblRec[رقم الفاتورة],"",tblRec[التاريخ],"&lt;="&amp;AsOf),2)</f>
        <v/>
      </c>
      <c r="N6" s="49">
        <f>ROUND(tblCustomers[[#This Row],[الرصيد]]-tblCustomers[[#This Row],[غير مخصص]],2)</f>
        <v/>
      </c>
      <c r="O6" s="52">
        <f>IF(AND(OR(tblCustomers[[#This Row],[الرصيد]]&lt;&gt;0,tblCustomers[[#This Row],[غير مخصص]]&lt;&gt;0),OR(RepF="الكل",tblCustomers[[#This Row],[المندوب]]=RepF),OR(CityF="الكل",tblCustomers[[#This Row],[المدينة]]=CityF)),1,0)</f>
        <v/>
      </c>
      <c r="P6"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6" s="52">
        <f>IF(tblCustomers[[#This Row],[المتأخر]]&gt;0,COUNTIFS(tblCustomers[المتأخر],"&gt;"&amp;tblCustomers[[#This Row],[المتأخر]])+COUNTIFS(INDEX(tblCustomers[المتأخر],1):tblCustomers[[#This Row],[المتأخر]],tblCustomers[[#This Row],[المتأخر]]),"")</f>
        <v/>
      </c>
    </row>
    <row r="7">
      <c r="A7" s="43" t="inlineStr">
        <is>
          <t>C003</t>
        </is>
      </c>
      <c r="B7" s="44" t="inlineStr">
        <is>
          <t>مجموعة السلام الطبية</t>
        </is>
      </c>
      <c r="C7" s="45" t="inlineStr">
        <is>
          <t>398289059024143</t>
        </is>
      </c>
      <c r="D7" s="44" t="inlineStr">
        <is>
          <t>الدمام</t>
        </is>
      </c>
      <c r="E7" s="44" t="inlineStr">
        <is>
          <t>سارة محمد</t>
        </is>
      </c>
      <c r="F7" s="46" t="n">
        <v>300000</v>
      </c>
      <c r="G7" s="47" t="n">
        <v>60</v>
      </c>
      <c r="H7" s="45" t="inlineStr">
        <is>
          <t>0596419171</t>
        </is>
      </c>
      <c r="I7" s="48">
        <f>ROUND(SUMIFS(tblInv[المتبقي],tblInv[كود العميل],tblCustomers[[#This Row],[كود العميل]]),2)</f>
        <v/>
      </c>
      <c r="J7" s="49">
        <f>ROUND(SUMIFS(tblInv[المتبقي],tblInv[كود العميل],tblCustomers[[#This Row],[كود العميل]],tblInv[أيام التأخير],"&gt;0"),2)</f>
        <v/>
      </c>
      <c r="K7" s="50">
        <f>IFERROR(tblCustomers[[#This Row],[الرصيد]]/tblCustomers[[#This Row],[حد الائتمان]],0)</f>
        <v/>
      </c>
      <c r="L7" s="51">
        <f>SUMPRODUCT(MAX((tblInv[كود العميل]=tblCustomers[[#This Row],[كود العميل]])*tblInv[أيام التأخير]))</f>
        <v/>
      </c>
      <c r="M7" s="49">
        <f>ROUND(SUMIFS(tblRec[المبلغ],tblRec[كود العميل],tblCustomers[[#This Row],[كود العميل]],tblRec[رقم الفاتورة],"",tblRec[التاريخ],"&lt;="&amp;AsOf),2)</f>
        <v/>
      </c>
      <c r="N7" s="49">
        <f>ROUND(tblCustomers[[#This Row],[الرصيد]]-tblCustomers[[#This Row],[غير مخصص]],2)</f>
        <v/>
      </c>
      <c r="O7" s="52">
        <f>IF(AND(OR(tblCustomers[[#This Row],[الرصيد]]&lt;&gt;0,tblCustomers[[#This Row],[غير مخصص]]&lt;&gt;0),OR(RepF="الكل",tblCustomers[[#This Row],[المندوب]]=RepF),OR(CityF="الكل",tblCustomers[[#This Row],[المدينة]]=CityF)),1,0)</f>
        <v/>
      </c>
      <c r="P7"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7" s="52">
        <f>IF(tblCustomers[[#This Row],[المتأخر]]&gt;0,COUNTIFS(tblCustomers[المتأخر],"&gt;"&amp;tblCustomers[[#This Row],[المتأخر]])+COUNTIFS(INDEX(tblCustomers[المتأخر],1):tblCustomers[[#This Row],[المتأخر]],tblCustomers[[#This Row],[المتأخر]]),"")</f>
        <v/>
      </c>
    </row>
    <row r="8">
      <c r="A8" s="43" t="inlineStr">
        <is>
          <t>C004</t>
        </is>
      </c>
      <c r="B8" s="44" t="inlineStr">
        <is>
          <t>شركة البحر الأحمر للأغذية</t>
        </is>
      </c>
      <c r="C8" s="45" t="inlineStr">
        <is>
          <t>318762685783133</t>
        </is>
      </c>
      <c r="D8" s="44" t="inlineStr">
        <is>
          <t>مكة المكرمة</t>
        </is>
      </c>
      <c r="E8" s="44" t="inlineStr">
        <is>
          <t>أحمد علي</t>
        </is>
      </c>
      <c r="F8" s="46" t="n">
        <v>60000</v>
      </c>
      <c r="G8" s="47" t="n"/>
      <c r="H8" s="45" t="inlineStr">
        <is>
          <t>0586045615</t>
        </is>
      </c>
      <c r="I8" s="48">
        <f>ROUND(SUMIFS(tblInv[المتبقي],tblInv[كود العميل],tblCustomers[[#This Row],[كود العميل]]),2)</f>
        <v/>
      </c>
      <c r="J8" s="49">
        <f>ROUND(SUMIFS(tblInv[المتبقي],tblInv[كود العميل],tblCustomers[[#This Row],[كود العميل]],tblInv[أيام التأخير],"&gt;0"),2)</f>
        <v/>
      </c>
      <c r="K8" s="50">
        <f>IFERROR(tblCustomers[[#This Row],[الرصيد]]/tblCustomers[[#This Row],[حد الائتمان]],0)</f>
        <v/>
      </c>
      <c r="L8" s="51">
        <f>SUMPRODUCT(MAX((tblInv[كود العميل]=tblCustomers[[#This Row],[كود العميل]])*tblInv[أيام التأخير]))</f>
        <v/>
      </c>
      <c r="M8" s="49">
        <f>ROUND(SUMIFS(tblRec[المبلغ],tblRec[كود العميل],tblCustomers[[#This Row],[كود العميل]],tblRec[رقم الفاتورة],"",tblRec[التاريخ],"&lt;="&amp;AsOf),2)</f>
        <v/>
      </c>
      <c r="N8" s="49">
        <f>ROUND(tblCustomers[[#This Row],[الرصيد]]-tblCustomers[[#This Row],[غير مخصص]],2)</f>
        <v/>
      </c>
      <c r="O8" s="52">
        <f>IF(AND(OR(tblCustomers[[#This Row],[الرصيد]]&lt;&gt;0,tblCustomers[[#This Row],[غير مخصص]]&lt;&gt;0),OR(RepF="الكل",tblCustomers[[#This Row],[المندوب]]=RepF),OR(CityF="الكل",tblCustomers[[#This Row],[المدينة]]=CityF)),1,0)</f>
        <v/>
      </c>
      <c r="P8"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8" s="52">
        <f>IF(tblCustomers[[#This Row],[المتأخر]]&gt;0,COUNTIFS(tblCustomers[المتأخر],"&gt;"&amp;tblCustomers[[#This Row],[المتأخر]])+COUNTIFS(INDEX(tblCustomers[المتأخر],1):tblCustomers[[#This Row],[المتأخر]],tblCustomers[[#This Row],[المتأخر]]),"")</f>
        <v/>
      </c>
    </row>
    <row r="9">
      <c r="A9" s="43" t="inlineStr">
        <is>
          <t>C005</t>
        </is>
      </c>
      <c r="B9" s="44" t="inlineStr">
        <is>
          <t>مؤسسة الواحة الزراعية</t>
        </is>
      </c>
      <c r="C9" s="45" t="inlineStr">
        <is>
          <t>358704920709953</t>
        </is>
      </c>
      <c r="D9" s="44" t="inlineStr">
        <is>
          <t>المدينة المنورة</t>
        </is>
      </c>
      <c r="E9" s="44" t="inlineStr">
        <is>
          <t>خالد يوسف</t>
        </is>
      </c>
      <c r="F9" s="46" t="n">
        <v>80000</v>
      </c>
      <c r="G9" s="47" t="n">
        <v>30</v>
      </c>
      <c r="H9" s="45" t="inlineStr">
        <is>
          <t>0572671283</t>
        </is>
      </c>
      <c r="I9" s="48">
        <f>ROUND(SUMIFS(tblInv[المتبقي],tblInv[كود العميل],tblCustomers[[#This Row],[كود العميل]]),2)</f>
        <v/>
      </c>
      <c r="J9" s="49">
        <f>ROUND(SUMIFS(tblInv[المتبقي],tblInv[كود العميل],tblCustomers[[#This Row],[كود العميل]],tblInv[أيام التأخير],"&gt;0"),2)</f>
        <v/>
      </c>
      <c r="K9" s="50">
        <f>IFERROR(tblCustomers[[#This Row],[الرصيد]]/tblCustomers[[#This Row],[حد الائتمان]],0)</f>
        <v/>
      </c>
      <c r="L9" s="51">
        <f>SUMPRODUCT(MAX((tblInv[كود العميل]=tblCustomers[[#This Row],[كود العميل]])*tblInv[أيام التأخير]))</f>
        <v/>
      </c>
      <c r="M9" s="49">
        <f>ROUND(SUMIFS(tblRec[المبلغ],tblRec[كود العميل],tblCustomers[[#This Row],[كود العميل]],tblRec[رقم الفاتورة],"",tblRec[التاريخ],"&lt;="&amp;AsOf),2)</f>
        <v/>
      </c>
      <c r="N9" s="49">
        <f>ROUND(tblCustomers[[#This Row],[الرصيد]]-tblCustomers[[#This Row],[غير مخصص]],2)</f>
        <v/>
      </c>
      <c r="O9" s="52">
        <f>IF(AND(OR(tblCustomers[[#This Row],[الرصيد]]&lt;&gt;0,tblCustomers[[#This Row],[غير مخصص]]&lt;&gt;0),OR(RepF="الكل",tblCustomers[[#This Row],[المندوب]]=RepF),OR(CityF="الكل",tblCustomers[[#This Row],[المدينة]]=CityF)),1,0)</f>
        <v/>
      </c>
      <c r="P9"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9" s="52">
        <f>IF(tblCustomers[[#This Row],[المتأخر]]&gt;0,COUNTIFS(tblCustomers[المتأخر],"&gt;"&amp;tblCustomers[[#This Row],[المتأخر]])+COUNTIFS(INDEX(tblCustomers[المتأخر],1):tblCustomers[[#This Row],[المتأخر]],tblCustomers[[#This Row],[المتأخر]]),"")</f>
        <v/>
      </c>
    </row>
    <row r="10">
      <c r="A10" s="43" t="inlineStr">
        <is>
          <t>C006</t>
        </is>
      </c>
      <c r="B10" s="44" t="inlineStr">
        <is>
          <t>شركة نجد للتوريدات</t>
        </is>
      </c>
      <c r="C10" s="45" t="inlineStr">
        <is>
          <t>314699973862393</t>
        </is>
      </c>
      <c r="D10" s="44" t="inlineStr">
        <is>
          <t>الرياض</t>
        </is>
      </c>
      <c r="E10" s="44" t="inlineStr">
        <is>
          <t>سارة محمد</t>
        </is>
      </c>
      <c r="F10" s="46" t="n">
        <v>200000</v>
      </c>
      <c r="G10" s="47" t="n">
        <v>90</v>
      </c>
      <c r="H10" s="45" t="inlineStr">
        <is>
          <t>0515352237</t>
        </is>
      </c>
      <c r="I10" s="48">
        <f>ROUND(SUMIFS(tblInv[المتبقي],tblInv[كود العميل],tblCustomers[[#This Row],[كود العميل]]),2)</f>
        <v/>
      </c>
      <c r="J10" s="49">
        <f>ROUND(SUMIFS(tblInv[المتبقي],tblInv[كود العميل],tblCustomers[[#This Row],[كود العميل]],tblInv[أيام التأخير],"&gt;0"),2)</f>
        <v/>
      </c>
      <c r="K10" s="50">
        <f>IFERROR(tblCustomers[[#This Row],[الرصيد]]/tblCustomers[[#This Row],[حد الائتمان]],0)</f>
        <v/>
      </c>
      <c r="L10" s="51">
        <f>SUMPRODUCT(MAX((tblInv[كود العميل]=tblCustomers[[#This Row],[كود العميل]])*tblInv[أيام التأخير]))</f>
        <v/>
      </c>
      <c r="M10" s="49">
        <f>ROUND(SUMIFS(tblRec[المبلغ],tblRec[كود العميل],tblCustomers[[#This Row],[كود العميل]],tblRec[رقم الفاتورة],"",tblRec[التاريخ],"&lt;="&amp;AsOf),2)</f>
        <v/>
      </c>
      <c r="N10" s="49">
        <f>ROUND(tblCustomers[[#This Row],[الرصيد]]-tblCustomers[[#This Row],[غير مخصص]],2)</f>
        <v/>
      </c>
      <c r="O10" s="52">
        <f>IF(AND(OR(tblCustomers[[#This Row],[الرصيد]]&lt;&gt;0,tblCustomers[[#This Row],[غير مخصص]]&lt;&gt;0),OR(RepF="الكل",tblCustomers[[#This Row],[المندوب]]=RepF),OR(CityF="الكل",tblCustomers[[#This Row],[المدينة]]=CityF)),1,0)</f>
        <v/>
      </c>
      <c r="P10"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0" s="52">
        <f>IF(tblCustomers[[#This Row],[المتأخر]]&gt;0,COUNTIFS(tblCustomers[المتأخر],"&gt;"&amp;tblCustomers[[#This Row],[المتأخر]])+COUNTIFS(INDEX(tblCustomers[المتأخر],1):tblCustomers[[#This Row],[المتأخر]],tblCustomers[[#This Row],[المتأخر]]),"")</f>
        <v/>
      </c>
    </row>
    <row r="11">
      <c r="A11" s="43" t="inlineStr">
        <is>
          <t>C007</t>
        </is>
      </c>
      <c r="B11" s="44" t="inlineStr">
        <is>
          <t>مطاعم الديرة</t>
        </is>
      </c>
      <c r="C11" s="45" t="inlineStr">
        <is>
          <t>341185092923403</t>
        </is>
      </c>
      <c r="D11" s="44" t="inlineStr">
        <is>
          <t>جدة</t>
        </is>
      </c>
      <c r="E11" s="44" t="inlineStr">
        <is>
          <t>أحمد علي</t>
        </is>
      </c>
      <c r="F11" s="46" t="n">
        <v>40000</v>
      </c>
      <c r="G11" s="47" t="n">
        <v>15</v>
      </c>
      <c r="H11" s="45" t="inlineStr">
        <is>
          <t>0592316492</t>
        </is>
      </c>
      <c r="I11" s="48">
        <f>ROUND(SUMIFS(tblInv[المتبقي],tblInv[كود العميل],tblCustomers[[#This Row],[كود العميل]]),2)</f>
        <v/>
      </c>
      <c r="J11" s="49">
        <f>ROUND(SUMIFS(tblInv[المتبقي],tblInv[كود العميل],tblCustomers[[#This Row],[كود العميل]],tblInv[أيام التأخير],"&gt;0"),2)</f>
        <v/>
      </c>
      <c r="K11" s="50">
        <f>IFERROR(tblCustomers[[#This Row],[الرصيد]]/tblCustomers[[#This Row],[حد الائتمان]],0)</f>
        <v/>
      </c>
      <c r="L11" s="51">
        <f>SUMPRODUCT(MAX((tblInv[كود العميل]=tblCustomers[[#This Row],[كود العميل]])*tblInv[أيام التأخير]))</f>
        <v/>
      </c>
      <c r="M11" s="49">
        <f>ROUND(SUMIFS(tblRec[المبلغ],tblRec[كود العميل],tblCustomers[[#This Row],[كود العميل]],tblRec[رقم الفاتورة],"",tblRec[التاريخ],"&lt;="&amp;AsOf),2)</f>
        <v/>
      </c>
      <c r="N11" s="49">
        <f>ROUND(tblCustomers[[#This Row],[الرصيد]]-tblCustomers[[#This Row],[غير مخصص]],2)</f>
        <v/>
      </c>
      <c r="O11" s="52">
        <f>IF(AND(OR(tblCustomers[[#This Row],[الرصيد]]&lt;&gt;0,tblCustomers[[#This Row],[غير مخصص]]&lt;&gt;0),OR(RepF="الكل",tblCustomers[[#This Row],[المندوب]]=RepF),OR(CityF="الكل",tblCustomers[[#This Row],[المدينة]]=CityF)),1,0)</f>
        <v/>
      </c>
      <c r="P11"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1" s="52">
        <f>IF(tblCustomers[[#This Row],[المتأخر]]&gt;0,COUNTIFS(tblCustomers[المتأخر],"&gt;"&amp;tblCustomers[[#This Row],[المتأخر]])+COUNTIFS(INDEX(tblCustomers[المتأخر],1):tblCustomers[[#This Row],[المتأخر]],tblCustomers[[#This Row],[المتأخر]]),"")</f>
        <v/>
      </c>
    </row>
    <row r="12">
      <c r="A12" s="43" t="inlineStr">
        <is>
          <t>C008</t>
        </is>
      </c>
      <c r="B12" s="44" t="inlineStr">
        <is>
          <t>شركة الخليج للإلكترونيات</t>
        </is>
      </c>
      <c r="C12" s="45" t="inlineStr">
        <is>
          <t>371440922441963</t>
        </is>
      </c>
      <c r="D12" s="44" t="inlineStr">
        <is>
          <t>الدمام</t>
        </is>
      </c>
      <c r="E12" s="44" t="inlineStr">
        <is>
          <t>خالد يوسف</t>
        </is>
      </c>
      <c r="F12" s="46" t="n">
        <v>180000</v>
      </c>
      <c r="G12" s="47" t="n">
        <v>30</v>
      </c>
      <c r="H12" s="45" t="inlineStr">
        <is>
          <t>0520289222</t>
        </is>
      </c>
      <c r="I12" s="48">
        <f>ROUND(SUMIFS(tblInv[المتبقي],tblInv[كود العميل],tblCustomers[[#This Row],[كود العميل]]),2)</f>
        <v/>
      </c>
      <c r="J12" s="49">
        <f>ROUND(SUMIFS(tblInv[المتبقي],tblInv[كود العميل],tblCustomers[[#This Row],[كود العميل]],tblInv[أيام التأخير],"&gt;0"),2)</f>
        <v/>
      </c>
      <c r="K12" s="50">
        <f>IFERROR(tblCustomers[[#This Row],[الرصيد]]/tblCustomers[[#This Row],[حد الائتمان]],0)</f>
        <v/>
      </c>
      <c r="L12" s="51">
        <f>SUMPRODUCT(MAX((tblInv[كود العميل]=tblCustomers[[#This Row],[كود العميل]])*tblInv[أيام التأخير]))</f>
        <v/>
      </c>
      <c r="M12" s="49">
        <f>ROUND(SUMIFS(tblRec[المبلغ],tblRec[كود العميل],tblCustomers[[#This Row],[كود العميل]],tblRec[رقم الفاتورة],"",tblRec[التاريخ],"&lt;="&amp;AsOf),2)</f>
        <v/>
      </c>
      <c r="N12" s="49">
        <f>ROUND(tblCustomers[[#This Row],[الرصيد]]-tblCustomers[[#This Row],[غير مخصص]],2)</f>
        <v/>
      </c>
      <c r="O12" s="52">
        <f>IF(AND(OR(tblCustomers[[#This Row],[الرصيد]]&lt;&gt;0,tblCustomers[[#This Row],[غير مخصص]]&lt;&gt;0),OR(RepF="الكل",tblCustomers[[#This Row],[المندوب]]=RepF),OR(CityF="الكل",tblCustomers[[#This Row],[المدينة]]=CityF)),1,0)</f>
        <v/>
      </c>
      <c r="P12"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2" s="52">
        <f>IF(tblCustomers[[#This Row],[المتأخر]]&gt;0,COUNTIFS(tblCustomers[المتأخر],"&gt;"&amp;tblCustomers[[#This Row],[المتأخر]])+COUNTIFS(INDEX(tblCustomers[المتأخر],1):tblCustomers[[#This Row],[المتأخر]],tblCustomers[[#This Row],[المتأخر]]),"")</f>
        <v/>
      </c>
    </row>
    <row r="13">
      <c r="A13" s="43" t="inlineStr">
        <is>
          <t>C009</t>
        </is>
      </c>
      <c r="B13" s="44" t="inlineStr">
        <is>
          <t>مؤسسة الفجر للقرطاسية</t>
        </is>
      </c>
      <c r="C13" s="45" t="inlineStr">
        <is>
          <t>376096286067943</t>
        </is>
      </c>
      <c r="D13" s="44" t="inlineStr">
        <is>
          <t>مكة المكرمة</t>
        </is>
      </c>
      <c r="E13" s="44" t="inlineStr">
        <is>
          <t>سارة محمد</t>
        </is>
      </c>
      <c r="F13" s="46" t="n">
        <v>30000</v>
      </c>
      <c r="G13" s="47" t="n"/>
      <c r="H13" s="45" t="inlineStr">
        <is>
          <t>0553246234</t>
        </is>
      </c>
      <c r="I13" s="48">
        <f>ROUND(SUMIFS(tblInv[المتبقي],tblInv[كود العميل],tblCustomers[[#This Row],[كود العميل]]),2)</f>
        <v/>
      </c>
      <c r="J13" s="49">
        <f>ROUND(SUMIFS(tblInv[المتبقي],tblInv[كود العميل],tblCustomers[[#This Row],[كود العميل]],tblInv[أيام التأخير],"&gt;0"),2)</f>
        <v/>
      </c>
      <c r="K13" s="50">
        <f>IFERROR(tblCustomers[[#This Row],[الرصيد]]/tblCustomers[[#This Row],[حد الائتمان]],0)</f>
        <v/>
      </c>
      <c r="L13" s="51">
        <f>SUMPRODUCT(MAX((tblInv[كود العميل]=tblCustomers[[#This Row],[كود العميل]])*tblInv[أيام التأخير]))</f>
        <v/>
      </c>
      <c r="M13" s="49">
        <f>ROUND(SUMIFS(tblRec[المبلغ],tblRec[كود العميل],tblCustomers[[#This Row],[كود العميل]],tblRec[رقم الفاتورة],"",tblRec[التاريخ],"&lt;="&amp;AsOf),2)</f>
        <v/>
      </c>
      <c r="N13" s="49">
        <f>ROUND(tblCustomers[[#This Row],[الرصيد]]-tblCustomers[[#This Row],[غير مخصص]],2)</f>
        <v/>
      </c>
      <c r="O13" s="52">
        <f>IF(AND(OR(tblCustomers[[#This Row],[الرصيد]]&lt;&gt;0,tblCustomers[[#This Row],[غير مخصص]]&lt;&gt;0),OR(RepF="الكل",tblCustomers[[#This Row],[المندوب]]=RepF),OR(CityF="الكل",tblCustomers[[#This Row],[المدينة]]=CityF)),1,0)</f>
        <v/>
      </c>
      <c r="P13"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3" s="52">
        <f>IF(tblCustomers[[#This Row],[المتأخر]]&gt;0,COUNTIFS(tblCustomers[المتأخر],"&gt;"&amp;tblCustomers[[#This Row],[المتأخر]])+COUNTIFS(INDEX(tblCustomers[المتأخر],1):tblCustomers[[#This Row],[المتأخر]],tblCustomers[[#This Row],[المتأخر]]),"")</f>
        <v/>
      </c>
    </row>
    <row r="14">
      <c r="A14" s="43" t="inlineStr">
        <is>
          <t>C010</t>
        </is>
      </c>
      <c r="B14" s="44" t="inlineStr">
        <is>
          <t>صيدليات الشفاء</t>
        </is>
      </c>
      <c r="C14" s="45" t="inlineStr">
        <is>
          <t>352736898242963</t>
        </is>
      </c>
      <c r="D14" s="44" t="inlineStr">
        <is>
          <t>المدينة المنورة</t>
        </is>
      </c>
      <c r="E14" s="44" t="inlineStr">
        <is>
          <t>أحمد علي</t>
        </is>
      </c>
      <c r="F14" s="46" t="n">
        <v>120000</v>
      </c>
      <c r="G14" s="47" t="n">
        <v>45</v>
      </c>
      <c r="H14" s="45" t="inlineStr">
        <is>
          <t>0510920122</t>
        </is>
      </c>
      <c r="I14" s="48">
        <f>ROUND(SUMIFS(tblInv[المتبقي],tblInv[كود العميل],tblCustomers[[#This Row],[كود العميل]]),2)</f>
        <v/>
      </c>
      <c r="J14" s="49">
        <f>ROUND(SUMIFS(tblInv[المتبقي],tblInv[كود العميل],tblCustomers[[#This Row],[كود العميل]],tblInv[أيام التأخير],"&gt;0"),2)</f>
        <v/>
      </c>
      <c r="K14" s="50">
        <f>IFERROR(tblCustomers[[#This Row],[الرصيد]]/tblCustomers[[#This Row],[حد الائتمان]],0)</f>
        <v/>
      </c>
      <c r="L14" s="51">
        <f>SUMPRODUCT(MAX((tblInv[كود العميل]=tblCustomers[[#This Row],[كود العميل]])*tblInv[أيام التأخير]))</f>
        <v/>
      </c>
      <c r="M14" s="49">
        <f>ROUND(SUMIFS(tblRec[المبلغ],tblRec[كود العميل],tblCustomers[[#This Row],[كود العميل]],tblRec[رقم الفاتورة],"",tblRec[التاريخ],"&lt;="&amp;AsOf),2)</f>
        <v/>
      </c>
      <c r="N14" s="49">
        <f>ROUND(tblCustomers[[#This Row],[الرصيد]]-tblCustomers[[#This Row],[غير مخصص]],2)</f>
        <v/>
      </c>
      <c r="O14" s="52">
        <f>IF(AND(OR(tblCustomers[[#This Row],[الرصيد]]&lt;&gt;0,tblCustomers[[#This Row],[غير مخصص]]&lt;&gt;0),OR(RepF="الكل",tblCustomers[[#This Row],[المندوب]]=RepF),OR(CityF="الكل",tblCustomers[[#This Row],[المدينة]]=CityF)),1,0)</f>
        <v/>
      </c>
      <c r="P14"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4" s="52">
        <f>IF(tblCustomers[[#This Row],[المتأخر]]&gt;0,COUNTIFS(tblCustomers[المتأخر],"&gt;"&amp;tblCustomers[[#This Row],[المتأخر]])+COUNTIFS(INDEX(tblCustomers[المتأخر],1):tblCustomers[[#This Row],[المتأخر]],tblCustomers[[#This Row],[المتأخر]]),"")</f>
        <v/>
      </c>
    </row>
    <row r="15">
      <c r="A15" s="43" t="inlineStr">
        <is>
          <t>C011</t>
        </is>
      </c>
      <c r="B15" s="44" t="inlineStr">
        <is>
          <t>شركة المدار للنقل</t>
        </is>
      </c>
      <c r="C15" s="45" t="inlineStr">
        <is>
          <t>358984346878423</t>
        </is>
      </c>
      <c r="D15" s="44" t="inlineStr">
        <is>
          <t>الرياض</t>
        </is>
      </c>
      <c r="E15" s="44" t="inlineStr">
        <is>
          <t>خالد يوسف</t>
        </is>
      </c>
      <c r="F15" s="46" t="n">
        <v>100000</v>
      </c>
      <c r="G15" s="47" t="n">
        <v>60</v>
      </c>
      <c r="H15" s="45" t="inlineStr">
        <is>
          <t>0569689028</t>
        </is>
      </c>
      <c r="I15" s="48">
        <f>ROUND(SUMIFS(tblInv[المتبقي],tblInv[كود العميل],tblCustomers[[#This Row],[كود العميل]]),2)</f>
        <v/>
      </c>
      <c r="J15" s="49">
        <f>ROUND(SUMIFS(tblInv[المتبقي],tblInv[كود العميل],tblCustomers[[#This Row],[كود العميل]],tblInv[أيام التأخير],"&gt;0"),2)</f>
        <v/>
      </c>
      <c r="K15" s="50">
        <f>IFERROR(tblCustomers[[#This Row],[الرصيد]]/tblCustomers[[#This Row],[حد الائتمان]],0)</f>
        <v/>
      </c>
      <c r="L15" s="51">
        <f>SUMPRODUCT(MAX((tblInv[كود العميل]=tblCustomers[[#This Row],[كود العميل]])*tblInv[أيام التأخير]))</f>
        <v/>
      </c>
      <c r="M15" s="49">
        <f>ROUND(SUMIFS(tblRec[المبلغ],tblRec[كود العميل],tblCustomers[[#This Row],[كود العميل]],tblRec[رقم الفاتورة],"",tblRec[التاريخ],"&lt;="&amp;AsOf),2)</f>
        <v/>
      </c>
      <c r="N15" s="49">
        <f>ROUND(tblCustomers[[#This Row],[الرصيد]]-tblCustomers[[#This Row],[غير مخصص]],2)</f>
        <v/>
      </c>
      <c r="O15" s="52">
        <f>IF(AND(OR(tblCustomers[[#This Row],[الرصيد]]&lt;&gt;0,tblCustomers[[#This Row],[غير مخصص]]&lt;&gt;0),OR(RepF="الكل",tblCustomers[[#This Row],[المندوب]]=RepF),OR(CityF="الكل",tblCustomers[[#This Row],[المدينة]]=CityF)),1,0)</f>
        <v/>
      </c>
      <c r="P15"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5" s="52">
        <f>IF(tblCustomers[[#This Row],[المتأخر]]&gt;0,COUNTIFS(tblCustomers[المتأخر],"&gt;"&amp;tblCustomers[[#This Row],[المتأخر]])+COUNTIFS(INDEX(tblCustomers[المتأخر],1):tblCustomers[[#This Row],[المتأخر]],tblCustomers[[#This Row],[المتأخر]]),"")</f>
        <v/>
      </c>
    </row>
    <row r="16">
      <c r="A16" s="43" t="inlineStr">
        <is>
          <t>C012</t>
        </is>
      </c>
      <c r="B16" s="44" t="inlineStr">
        <is>
          <t>مؤسسة الريان للأثاث</t>
        </is>
      </c>
      <c r="C16" s="45" t="inlineStr">
        <is>
          <t>327675718191123</t>
        </is>
      </c>
      <c r="D16" s="44" t="inlineStr">
        <is>
          <t>جدة</t>
        </is>
      </c>
      <c r="E16" s="44" t="inlineStr">
        <is>
          <t>سارة محمد</t>
        </is>
      </c>
      <c r="F16" s="46" t="n">
        <v>70000</v>
      </c>
      <c r="G16" s="47" t="n">
        <v>30</v>
      </c>
      <c r="H16" s="45" t="inlineStr">
        <is>
          <t>0537194775</t>
        </is>
      </c>
      <c r="I16" s="48">
        <f>ROUND(SUMIFS(tblInv[المتبقي],tblInv[كود العميل],tblCustomers[[#This Row],[كود العميل]]),2)</f>
        <v/>
      </c>
      <c r="J16" s="49">
        <f>ROUND(SUMIFS(tblInv[المتبقي],tblInv[كود العميل],tblCustomers[[#This Row],[كود العميل]],tblInv[أيام التأخير],"&gt;0"),2)</f>
        <v/>
      </c>
      <c r="K16" s="50">
        <f>IFERROR(tblCustomers[[#This Row],[الرصيد]]/tblCustomers[[#This Row],[حد الائتمان]],0)</f>
        <v/>
      </c>
      <c r="L16" s="51">
        <f>SUMPRODUCT(MAX((tblInv[كود العميل]=tblCustomers[[#This Row],[كود العميل]])*tblInv[أيام التأخير]))</f>
        <v/>
      </c>
      <c r="M16" s="49">
        <f>ROUND(SUMIFS(tblRec[المبلغ],tblRec[كود العميل],tblCustomers[[#This Row],[كود العميل]],tblRec[رقم الفاتورة],"",tblRec[التاريخ],"&lt;="&amp;AsOf),2)</f>
        <v/>
      </c>
      <c r="N16" s="49">
        <f>ROUND(tblCustomers[[#This Row],[الرصيد]]-tblCustomers[[#This Row],[غير مخصص]],2)</f>
        <v/>
      </c>
      <c r="O16" s="52">
        <f>IF(AND(OR(tblCustomers[[#This Row],[الرصيد]]&lt;&gt;0,tblCustomers[[#This Row],[غير مخصص]]&lt;&gt;0),OR(RepF="الكل",tblCustomers[[#This Row],[المندوب]]=RepF),OR(CityF="الكل",tblCustomers[[#This Row],[المدينة]]=CityF)),1,0)</f>
        <v/>
      </c>
      <c r="P16"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6" s="52">
        <f>IF(tblCustomers[[#This Row],[المتأخر]]&gt;0,COUNTIFS(tblCustomers[المتأخر],"&gt;"&amp;tblCustomers[[#This Row],[المتأخر]])+COUNTIFS(INDEX(tblCustomers[المتأخر],1):tblCustomers[[#This Row],[المتأخر]],tblCustomers[[#This Row],[المتأخر]]),"")</f>
        <v/>
      </c>
    </row>
    <row r="17">
      <c r="A17" s="43" t="inlineStr">
        <is>
          <t>C013</t>
        </is>
      </c>
      <c r="B17" s="44" t="inlineStr">
        <is>
          <t>شركة القمة للتقنية</t>
        </is>
      </c>
      <c r="C17" s="45" t="inlineStr">
        <is>
          <t>338937090795333</t>
        </is>
      </c>
      <c r="D17" s="44" t="inlineStr">
        <is>
          <t>الدمام</t>
        </is>
      </c>
      <c r="E17" s="44" t="inlineStr">
        <is>
          <t>أحمد علي</t>
        </is>
      </c>
      <c r="F17" s="46" t="n">
        <v>90000</v>
      </c>
      <c r="G17" s="47" t="n">
        <v>30</v>
      </c>
      <c r="H17" s="45" t="inlineStr">
        <is>
          <t>0546093766</t>
        </is>
      </c>
      <c r="I17" s="48">
        <f>ROUND(SUMIFS(tblInv[المتبقي],tblInv[كود العميل],tblCustomers[[#This Row],[كود العميل]]),2)</f>
        <v/>
      </c>
      <c r="J17" s="49">
        <f>ROUND(SUMIFS(tblInv[المتبقي],tblInv[كود العميل],tblCustomers[[#This Row],[كود العميل]],tblInv[أيام التأخير],"&gt;0"),2)</f>
        <v/>
      </c>
      <c r="K17" s="50">
        <f>IFERROR(tblCustomers[[#This Row],[الرصيد]]/tblCustomers[[#This Row],[حد الائتمان]],0)</f>
        <v/>
      </c>
      <c r="L17" s="51">
        <f>SUMPRODUCT(MAX((tblInv[كود العميل]=tblCustomers[[#This Row],[كود العميل]])*tblInv[أيام التأخير]))</f>
        <v/>
      </c>
      <c r="M17" s="49">
        <f>ROUND(SUMIFS(tblRec[المبلغ],tblRec[كود العميل],tblCustomers[[#This Row],[كود العميل]],tblRec[رقم الفاتورة],"",tblRec[التاريخ],"&lt;="&amp;AsOf),2)</f>
        <v/>
      </c>
      <c r="N17" s="49">
        <f>ROUND(tblCustomers[[#This Row],[الرصيد]]-tblCustomers[[#This Row],[غير مخصص]],2)</f>
        <v/>
      </c>
      <c r="O17" s="52">
        <f>IF(AND(OR(tblCustomers[[#This Row],[الرصيد]]&lt;&gt;0,tblCustomers[[#This Row],[غير مخصص]]&lt;&gt;0),OR(RepF="الكل",tblCustomers[[#This Row],[المندوب]]=RepF),OR(CityF="الكل",tblCustomers[[#This Row],[المدينة]]=CityF)),1,0)</f>
        <v/>
      </c>
      <c r="P17"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7" s="52">
        <f>IF(tblCustomers[[#This Row],[المتأخر]]&gt;0,COUNTIFS(tblCustomers[المتأخر],"&gt;"&amp;tblCustomers[[#This Row],[المتأخر]])+COUNTIFS(INDEX(tblCustomers[المتأخر],1):tblCustomers[[#This Row],[المتأخر]],tblCustomers[[#This Row],[المتأخر]]),"")</f>
        <v/>
      </c>
    </row>
    <row r="18">
      <c r="A18" s="43" t="inlineStr">
        <is>
          <t>C014</t>
        </is>
      </c>
      <c r="B18" s="44" t="inlineStr">
        <is>
          <t>أسواق الهدى</t>
        </is>
      </c>
      <c r="C18" s="45" t="inlineStr">
        <is>
          <t>371493269704953</t>
        </is>
      </c>
      <c r="D18" s="44" t="inlineStr">
        <is>
          <t>مكة المكرمة</t>
        </is>
      </c>
      <c r="E18" s="44" t="inlineStr">
        <is>
          <t>خالد يوسف</t>
        </is>
      </c>
      <c r="F18" s="46" t="n">
        <v>50000</v>
      </c>
      <c r="G18" s="47" t="n"/>
      <c r="H18" s="45" t="inlineStr">
        <is>
          <t>0584523534</t>
        </is>
      </c>
      <c r="I18" s="48">
        <f>ROUND(SUMIFS(tblInv[المتبقي],tblInv[كود العميل],tblCustomers[[#This Row],[كود العميل]]),2)</f>
        <v/>
      </c>
      <c r="J18" s="49">
        <f>ROUND(SUMIFS(tblInv[المتبقي],tblInv[كود العميل],tblCustomers[[#This Row],[كود العميل]],tblInv[أيام التأخير],"&gt;0"),2)</f>
        <v/>
      </c>
      <c r="K18" s="50">
        <f>IFERROR(tblCustomers[[#This Row],[الرصيد]]/tblCustomers[[#This Row],[حد الائتمان]],0)</f>
        <v/>
      </c>
      <c r="L18" s="51">
        <f>SUMPRODUCT(MAX((tblInv[كود العميل]=tblCustomers[[#This Row],[كود العميل]])*tblInv[أيام التأخير]))</f>
        <v/>
      </c>
      <c r="M18" s="49">
        <f>ROUND(SUMIFS(tblRec[المبلغ],tblRec[كود العميل],tblCustomers[[#This Row],[كود العميل]],tblRec[رقم الفاتورة],"",tblRec[التاريخ],"&lt;="&amp;AsOf),2)</f>
        <v/>
      </c>
      <c r="N18" s="49">
        <f>ROUND(tblCustomers[[#This Row],[الرصيد]]-tblCustomers[[#This Row],[غير مخصص]],2)</f>
        <v/>
      </c>
      <c r="O18" s="52">
        <f>IF(AND(OR(tblCustomers[[#This Row],[الرصيد]]&lt;&gt;0,tblCustomers[[#This Row],[غير مخصص]]&lt;&gt;0),OR(RepF="الكل",tblCustomers[[#This Row],[المندوب]]=RepF),OR(CityF="الكل",tblCustomers[[#This Row],[المدينة]]=CityF)),1,0)</f>
        <v/>
      </c>
      <c r="P18"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8" s="52">
        <f>IF(tblCustomers[[#This Row],[المتأخر]]&gt;0,COUNTIFS(tblCustomers[المتأخر],"&gt;"&amp;tblCustomers[[#This Row],[المتأخر]])+COUNTIFS(INDEX(tblCustomers[المتأخر],1):tblCustomers[[#This Row],[المتأخر]],tblCustomers[[#This Row],[المتأخر]]),"")</f>
        <v/>
      </c>
    </row>
    <row r="19">
      <c r="A19" s="43" t="inlineStr">
        <is>
          <t>C015</t>
        </is>
      </c>
      <c r="B19" s="44" t="inlineStr">
        <is>
          <t>مصنع الجزيرة للبلاستيك</t>
        </is>
      </c>
      <c r="C19" s="45" t="inlineStr">
        <is>
          <t>335695799804063</t>
        </is>
      </c>
      <c r="D19" s="44" t="inlineStr">
        <is>
          <t>المدينة المنورة</t>
        </is>
      </c>
      <c r="E19" s="44" t="inlineStr">
        <is>
          <t>سارة محمد</t>
        </is>
      </c>
      <c r="F19" s="46" t="n">
        <v>220000</v>
      </c>
      <c r="G19" s="47" t="n">
        <v>90</v>
      </c>
      <c r="H19" s="45" t="inlineStr">
        <is>
          <t>0534185968</t>
        </is>
      </c>
      <c r="I19" s="48">
        <f>ROUND(SUMIFS(tblInv[المتبقي],tblInv[كود العميل],tblCustomers[[#This Row],[كود العميل]]),2)</f>
        <v/>
      </c>
      <c r="J19" s="49">
        <f>ROUND(SUMIFS(tblInv[المتبقي],tblInv[كود العميل],tblCustomers[[#This Row],[كود العميل]],tblInv[أيام التأخير],"&gt;0"),2)</f>
        <v/>
      </c>
      <c r="K19" s="50">
        <f>IFERROR(tblCustomers[[#This Row],[الرصيد]]/tblCustomers[[#This Row],[حد الائتمان]],0)</f>
        <v/>
      </c>
      <c r="L19" s="51">
        <f>SUMPRODUCT(MAX((tblInv[كود العميل]=tblCustomers[[#This Row],[كود العميل]])*tblInv[أيام التأخير]))</f>
        <v/>
      </c>
      <c r="M19" s="49">
        <f>ROUND(SUMIFS(tblRec[المبلغ],tblRec[كود العميل],tblCustomers[[#This Row],[كود العميل]],tblRec[رقم الفاتورة],"",tblRec[التاريخ],"&lt;="&amp;AsOf),2)</f>
        <v/>
      </c>
      <c r="N19" s="49">
        <f>ROUND(tblCustomers[[#This Row],[الرصيد]]-tblCustomers[[#This Row],[غير مخصص]],2)</f>
        <v/>
      </c>
      <c r="O19" s="52">
        <f>IF(AND(OR(tblCustomers[[#This Row],[الرصيد]]&lt;&gt;0,tblCustomers[[#This Row],[غير مخصص]]&lt;&gt;0),OR(RepF="الكل",tblCustomers[[#This Row],[المندوب]]=RepF),OR(CityF="الكل",tblCustomers[[#This Row],[المدينة]]=CityF)),1,0)</f>
        <v/>
      </c>
      <c r="P19" s="52">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9" s="52">
        <f>IF(tblCustomers[[#This Row],[المتأخر]]&gt;0,COUNTIFS(tblCustomers[المتأخر],"&gt;"&amp;tblCustomers[[#This Row],[المتأخر]])+COUNTIFS(INDEX(tblCustomers[المتأخر],1):tblCustomers[[#This Row],[المتأخر]],tblCustomers[[#This Row],[المتأخر]]),"")</f>
        <v/>
      </c>
    </row>
  </sheetData>
  <mergeCells count="2">
    <mergeCell ref="A2:L2"/>
    <mergeCell ref="A1:L1"/>
  </mergeCells>
  <conditionalFormatting sqref="K5:K504">
    <cfRule type="expression" priority="1" dxfId="0">
      <formula>K5&gt;1</formula>
    </cfRule>
  </conditionalFormatting>
  <conditionalFormatting sqref="J5:J504">
    <cfRule type="expression" priority="2" dxfId="1">
      <formula>J5&gt;0</formula>
    </cfRule>
  </conditionalFormatting>
  <dataValidations count="6">
    <dataValidation sqref="A5:A504" showDropDown="0" showInputMessage="0" showErrorMessage="1" allowBlank="1" errorTitle="قيمة غير صحيحة" error="الكود ده متكرر" type="custom" errorStyle="stop">
      <formula1>AND(COUNTIF($A$5:$A$1004,A5)=1)</formula1>
    </dataValidation>
    <dataValidation sqref="C5:C504" showDropDown="0" showInputMessage="0" showErrorMessage="1" allowBlank="1" errorTitle="قيمة غير صحيحة" error="الرقم الضريبي لازم يكون 15 رقم" type="custom" errorStyle="stop">
      <formula1>AND(LEN(C5)=15,ISNUMBER(--C5))</formula1>
    </dataValidation>
    <dataValidation sqref="D5:D504" showDropDown="0" showInputMessage="0" showErrorMessage="1" allowBlank="1" errorTitle="قيمة غير مسموحة" error="من فضلك اختر قيمة من القائمة المنسدلة." type="list" errorStyle="warning">
      <formula1>CityList</formula1>
    </dataValidation>
    <dataValidation sqref="E5:E504" showDropDown="0" showInputMessage="1" showErrorMessage="1" allowBlank="1" errorTitle="قيمة غير مسموحة" error="من فضلك اختر قيمة من القائمة المنسدلة." promptTitle="تنبيه" prompt="المندوب من القائمة (بتتعدل من الإعدادات)" type="list" errorStyle="stop">
      <formula1>RepList</formula1>
    </dataValidation>
    <dataValidation sqref="F5:F504" showDropDown="0" showInputMessage="0" showErrorMessage="1" allowBlank="1" errorTitle="قيمة غير صحيحة" error="حد الائتمان رقم موجب" type="decimal" errorStyle="stop" operator="greaterThanOrEqual">
      <formula1>0</formula1>
    </dataValidation>
    <dataValidation sqref="G5:G504" showDropDown="0" showInputMessage="0" showErrorMessage="1" allowBlank="1" errorTitle="قيمة غير صحيحة" error="مدة السداد بالأيام من 0 لـ 365" type="whole" errorStyle="stop" operator="between">
      <formula1>0</formula1>
      <formula2>365</formula2>
    </dataValidation>
  </dataValidations>
  <hyperlinks>
    <hyperlink ref="A3" location="'التعليمات'!A1" display="📘 التعليمات"/>
    <hyperlink ref="B3" location="'الإعدادات'!A1" display="⚙ الإعدادات"/>
    <hyperlink ref="C3" location="'الفواتير'!A1" display="🧾 الفواتير"/>
    <hyperlink ref="D3" location="'التحصيلات'!A1" display="💵 التحصيلات"/>
    <hyperlink ref="E3" location="'تقرير الأعمار'!A1" display="📊 تقرير الأعمار"/>
    <hyperlink ref="F3" location="'المخصص'!A1" display="🛡 المخصص"/>
    <hyperlink ref="G3" location="'كشف حساب عميل'!A1" display="📄 كشف حساب"/>
    <hyperlink ref="H3" location="'لوحة التحكم'!A1" display="📈 لوحة التحكم"/>
  </hyperlinks>
  <printOptions horizontalCentered="1"/>
  <pageMargins left="0.4" right="0.4" top="0.5" bottom="0.5" header="0.5" footer="0.5"/>
  <pageSetup orientation="landscape" paperSize="9" fitToHeight="0" fitToWidth="1"/>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2E7D7A"/>
    <outlinePr summaryBelow="1" summaryRight="1"/>
    <pageSetUpPr fitToPage="1"/>
  </sheetPr>
  <dimension ref="A1:S124"/>
  <sheetViews>
    <sheetView showGridLines="0"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0" customWidth="1" min="3" max="3"/>
    <col width="28" customWidth="1" min="4" max="4"/>
    <col width="14" customWidth="1" min="5" max="5"/>
    <col width="12" customWidth="1" min="6" max="6"/>
    <col width="14" customWidth="1" min="7" max="7"/>
    <col width="9" customWidth="1" min="8" max="8"/>
    <col width="12" customWidth="1" min="9" max="9"/>
    <col width="14" customWidth="1" min="10" max="10"/>
    <col width="14" customWidth="1" min="11" max="11"/>
    <col width="12" customWidth="1" min="12" max="12"/>
    <col width="10" customWidth="1" min="13" max="13"/>
    <col width="14" customWidth="1" min="14" max="14"/>
    <col width="15" customWidth="1" min="15" max="15"/>
    <col width="34" customWidth="1" min="16" max="16"/>
    <col hidden="1" width="8" customWidth="1" min="17" max="17"/>
    <col hidden="1" width="8" customWidth="1" min="18" max="18"/>
    <col hidden="1" width="8" customWidth="1" min="19" max="19"/>
  </cols>
  <sheetData>
    <row r="1" ht="34" customHeight="1">
      <c r="A1" s="1" t="inlineStr">
        <is>
          <t>🧾 الفواتير</t>
        </is>
      </c>
      <c r="B1" s="1" t="n"/>
      <c r="C1" s="1" t="n"/>
      <c r="D1" s="1" t="n"/>
      <c r="E1" s="1" t="n"/>
      <c r="F1" s="1" t="n"/>
      <c r="G1" s="1" t="n"/>
      <c r="H1" s="1" t="n"/>
      <c r="I1" s="1" t="n"/>
      <c r="J1" s="1" t="n"/>
      <c r="K1" s="1" t="n"/>
      <c r="L1" s="1" t="n"/>
      <c r="M1" s="1" t="n"/>
      <c r="N1" s="1" t="n"/>
      <c r="O1" s="1" t="n"/>
      <c r="P1" s="1" t="n"/>
    </row>
    <row r="2" ht="20" customHeight="1">
      <c r="A2" s="2" t="inlineStr">
        <is>
          <t>قلب الملف — دخّل رقم الفاتورة والتاريخ وكود العميل والمبلغ بس، والباقي بيتحسب لوحده</t>
        </is>
      </c>
      <c r="B2" s="2" t="n"/>
      <c r="C2" s="2" t="n"/>
      <c r="D2" s="2" t="n"/>
      <c r="E2" s="2" t="n"/>
      <c r="F2" s="2" t="n"/>
      <c r="G2" s="2" t="n"/>
      <c r="H2" s="2" t="n"/>
      <c r="I2" s="2" t="n"/>
      <c r="J2" s="2" t="n"/>
      <c r="K2" s="2" t="n"/>
      <c r="L2" s="2" t="n"/>
      <c r="M2" s="2" t="n"/>
      <c r="N2" s="2" t="n"/>
      <c r="O2" s="2" t="n"/>
      <c r="P2" s="2" t="n"/>
    </row>
    <row r="3" ht="22" customHeight="1">
      <c r="A3" s="18" t="inlineStr">
        <is>
          <t>📘 التعليمات</t>
        </is>
      </c>
      <c r="B3" s="3" t="inlineStr">
        <is>
          <t>⚙ الإعدادات</t>
        </is>
      </c>
      <c r="C3" s="3" t="inlineStr">
        <is>
          <t>👥 العملاء</t>
        </is>
      </c>
      <c r="D3" s="3" t="inlineStr">
        <is>
          <t>💵 التحصيلات</t>
        </is>
      </c>
      <c r="E3" s="5" t="inlineStr">
        <is>
          <t>📊 تقرير الأعمار</t>
        </is>
      </c>
      <c r="F3" s="5" t="inlineStr">
        <is>
          <t>🛡 المخصص</t>
        </is>
      </c>
      <c r="G3" s="5" t="inlineStr">
        <is>
          <t>📄 كشف حساب</t>
        </is>
      </c>
      <c r="H3" s="5" t="inlineStr">
        <is>
          <t>📈 لوحة التحكم</t>
        </is>
      </c>
    </row>
    <row r="4" ht="36" customHeight="1">
      <c r="A4" s="27" t="inlineStr">
        <is>
          <t>رقم الفاتورة</t>
        </is>
      </c>
      <c r="B4" s="27" t="inlineStr">
        <is>
          <t>تاريخ الفاتورة</t>
        </is>
      </c>
      <c r="C4" s="27" t="inlineStr">
        <is>
          <t>كود العميل</t>
        </is>
      </c>
      <c r="D4" s="41" t="inlineStr">
        <is>
          <t>اسم العميل</t>
        </is>
      </c>
      <c r="E4" s="27" t="inlineStr">
        <is>
          <t>المبلغ قبل الضريبة</t>
        </is>
      </c>
      <c r="F4" s="41" t="inlineStr">
        <is>
          <t>الضريبة</t>
        </is>
      </c>
      <c r="G4" s="41" t="inlineStr">
        <is>
          <t>الإجمالي</t>
        </is>
      </c>
      <c r="H4" s="41" t="inlineStr">
        <is>
          <t>مدة السداد</t>
        </is>
      </c>
      <c r="I4" s="41" t="inlineStr">
        <is>
          <t>تاريخ الاستحقاق</t>
        </is>
      </c>
      <c r="J4" s="41" t="inlineStr">
        <is>
          <t>المحصّل</t>
        </is>
      </c>
      <c r="K4" s="41" t="inlineStr">
        <is>
          <t>المتبقي</t>
        </is>
      </c>
      <c r="L4" s="41" t="inlineStr">
        <is>
          <t>تاريخ الأساس</t>
        </is>
      </c>
      <c r="M4" s="41" t="inlineStr">
        <is>
          <t>أيام التأخير</t>
        </is>
      </c>
      <c r="N4" s="41" t="inlineStr">
        <is>
          <t>الفترة</t>
        </is>
      </c>
      <c r="O4" s="41" t="inlineStr">
        <is>
          <t>الحالة</t>
        </is>
      </c>
      <c r="P4" s="27" t="inlineStr">
        <is>
          <t>ملاحظات</t>
        </is>
      </c>
      <c r="Q4" s="42" t="inlineStr">
        <is>
          <t>ترتيب المتابعة</t>
        </is>
      </c>
      <c r="R4" s="42" t="inlineStr">
        <is>
          <t>مفتاح الكشف</t>
        </is>
      </c>
      <c r="S4" s="42" t="inlineStr">
        <is>
          <t>ترتيب الكشف</t>
        </is>
      </c>
    </row>
    <row r="5">
      <c r="A5" s="43" t="inlineStr">
        <is>
          <t>INV-2025-0001</t>
        </is>
      </c>
      <c r="B5" s="53" t="n">
        <v>45823</v>
      </c>
      <c r="C5" s="43" t="inlineStr">
        <is>
          <t>C006</t>
        </is>
      </c>
      <c r="D5" s="52">
        <f>IF(tblInv[[#This Row],[كود العميل]]="","",IFERROR(INDEX(tblCustomers[اسم العميل],MATCH(tblInv[[#This Row],[كود العميل]],tblCustomers[كود العميل],0)),"⚠ كود غير موجود"))</f>
        <v/>
      </c>
      <c r="E5" s="54" t="n">
        <v>12300</v>
      </c>
      <c r="F5" s="49">
        <f>ROUND(tblInv[[#This Row],[المبلغ قبل الضريبة]]*VatRate,2)</f>
        <v/>
      </c>
      <c r="G5" s="48">
        <f>tblInv[[#This Row],[المبلغ قبل الضريبة]]+tblInv[[#This Row],[الضريبة]]</f>
        <v/>
      </c>
      <c r="H5" s="55">
        <f>IFERROR(IF(INDEX(tblCustomers[مدة السداد],MATCH(tblInv[[#This Row],[كود العميل]],tblCustomers[كود العميل],0))="",DefaultTerms,INDEX(tblCustomers[مدة السداد],MATCH(tblInv[[#This Row],[كود العميل]],tblCustomers[كود العميل],0))),DefaultTerms)</f>
        <v/>
      </c>
      <c r="I5" s="56">
        <f>tblInv[[#This Row],[تاريخ الفاتورة]]+tblInv[[#This Row],[مدة السداد]]</f>
        <v/>
      </c>
      <c r="J5" s="49">
        <f>SUMIFS(tblRec[المبلغ],tblRec[رقم الفاتورة],tblInv[[#This Row],[رقم الفاتورة]],tblRec[التاريخ],"&lt;="&amp;AsOf)</f>
        <v/>
      </c>
      <c r="K5" s="48">
        <f>IF(tblInv[[#This Row],[تاريخ الفاتورة]]&gt;AsOf,0,ROUND(tblInv[[#This Row],[الإجمالي]]-tblInv[[#This Row],[المحصّل]],2))</f>
        <v/>
      </c>
      <c r="L5" s="56">
        <f>IF(AgingBasis="من تاريخ الفاتورة",tblInv[[#This Row],[تاريخ الفاتورة]],tblInv[[#This Row],[تاريخ الاستحقاق]])</f>
        <v/>
      </c>
      <c r="M5" s="57">
        <f>IF(tblInv[[#This Row],[المتبقي]]&lt;=0,0,MAX(0,AsOf-tblInv[[#This Row],[تاريخ الأساس]]))</f>
        <v/>
      </c>
      <c r="N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 s="44" t="inlineStr">
        <is>
          <t>متعثرة — محوّلة للشؤون القانونية</t>
        </is>
      </c>
      <c r="Q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 s="52">
        <f>IF(AND(tblInv[[#This Row],[كود العميل]]=StCust,tblInv[[#This Row],[تاريخ الفاتورة]]&gt;=StFrom,tblInv[[#This Row],[تاريخ الفاتورة]]&lt;=StTo),tblInv[[#This Row],[تاريخ الفاتورة]]*100000+ROW(),"")</f>
        <v/>
      </c>
      <c r="S5" s="52">
        <f>IF(tblInv[[#This Row],[مفتاح الكشف]]="","",COUNTIF(tblInv[مفتاح الكشف],"&lt;"&amp;tblInv[[#This Row],[مفتاح الكشف]])+COUNTIF(tblRec[مفتاح الكشف],"&lt;"&amp;tblInv[[#This Row],[مفتاح الكشف]])+1)</f>
        <v/>
      </c>
    </row>
    <row r="6">
      <c r="A6" s="43" t="inlineStr">
        <is>
          <t>INV-2025-0002</t>
        </is>
      </c>
      <c r="B6" s="53" t="n">
        <v>45909</v>
      </c>
      <c r="C6" s="43" t="inlineStr">
        <is>
          <t>C008</t>
        </is>
      </c>
      <c r="D6" s="52">
        <f>IF(tblInv[[#This Row],[كود العميل]]="","",IFERROR(INDEX(tblCustomers[اسم العميل],MATCH(tblInv[[#This Row],[كود العميل]],tblCustomers[كود العميل],0)),"⚠ كود غير موجود"))</f>
        <v/>
      </c>
      <c r="E6" s="54" t="n">
        <v>31850</v>
      </c>
      <c r="F6" s="49">
        <f>ROUND(tblInv[[#This Row],[المبلغ قبل الضريبة]]*VatRate,2)</f>
        <v/>
      </c>
      <c r="G6" s="48">
        <f>tblInv[[#This Row],[المبلغ قبل الضريبة]]+tblInv[[#This Row],[الضريبة]]</f>
        <v/>
      </c>
      <c r="H6" s="55">
        <f>IFERROR(IF(INDEX(tblCustomers[مدة السداد],MATCH(tblInv[[#This Row],[كود العميل]],tblCustomers[كود العميل],0))="",DefaultTerms,INDEX(tblCustomers[مدة السداد],MATCH(tblInv[[#This Row],[كود العميل]],tblCustomers[كود العميل],0))),DefaultTerms)</f>
        <v/>
      </c>
      <c r="I6" s="56">
        <f>tblInv[[#This Row],[تاريخ الفاتورة]]+tblInv[[#This Row],[مدة السداد]]</f>
        <v/>
      </c>
      <c r="J6" s="49">
        <f>SUMIFS(tblRec[المبلغ],tblRec[رقم الفاتورة],tblInv[[#This Row],[رقم الفاتورة]],tblRec[التاريخ],"&lt;="&amp;AsOf)</f>
        <v/>
      </c>
      <c r="K6" s="48">
        <f>IF(tblInv[[#This Row],[تاريخ الفاتورة]]&gt;AsOf,0,ROUND(tblInv[[#This Row],[الإجمالي]]-tblInv[[#This Row],[المحصّل]],2))</f>
        <v/>
      </c>
      <c r="L6" s="56">
        <f>IF(AgingBasis="من تاريخ الفاتورة",tblInv[[#This Row],[تاريخ الفاتورة]],tblInv[[#This Row],[تاريخ الاستحقاق]])</f>
        <v/>
      </c>
      <c r="M6" s="57">
        <f>IF(tblInv[[#This Row],[المتبقي]]&lt;=0,0,MAX(0,AsOf-tblInv[[#This Row],[تاريخ الأساس]]))</f>
        <v/>
      </c>
      <c r="N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 s="44" t="n"/>
      <c r="Q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 s="52">
        <f>IF(AND(tblInv[[#This Row],[كود العميل]]=StCust,tblInv[[#This Row],[تاريخ الفاتورة]]&gt;=StFrom,tblInv[[#This Row],[تاريخ الفاتورة]]&lt;=StTo),tblInv[[#This Row],[تاريخ الفاتورة]]*100000+ROW(),"")</f>
        <v/>
      </c>
      <c r="S6" s="52">
        <f>IF(tblInv[[#This Row],[مفتاح الكشف]]="","",COUNTIF(tblInv[مفتاح الكشف],"&lt;"&amp;tblInv[[#This Row],[مفتاح الكشف]])+COUNTIF(tblRec[مفتاح الكشف],"&lt;"&amp;tblInv[[#This Row],[مفتاح الكشف]])+1)</f>
        <v/>
      </c>
    </row>
    <row r="7">
      <c r="A7" s="43" t="inlineStr">
        <is>
          <t>INV-2025-0003</t>
        </is>
      </c>
      <c r="B7" s="53" t="n">
        <v>45925</v>
      </c>
      <c r="C7" s="43" t="inlineStr">
        <is>
          <t>C015</t>
        </is>
      </c>
      <c r="D7" s="52">
        <f>IF(tblInv[[#This Row],[كود العميل]]="","",IFERROR(INDEX(tblCustomers[اسم العميل],MATCH(tblInv[[#This Row],[كود العميل]],tblCustomers[كود العميل],0)),"⚠ كود غير موجود"))</f>
        <v/>
      </c>
      <c r="E7" s="54" t="n">
        <v>23200</v>
      </c>
      <c r="F7" s="49">
        <f>ROUND(tblInv[[#This Row],[المبلغ قبل الضريبة]]*VatRate,2)</f>
        <v/>
      </c>
      <c r="G7" s="48">
        <f>tblInv[[#This Row],[المبلغ قبل الضريبة]]+tblInv[[#This Row],[الضريبة]]</f>
        <v/>
      </c>
      <c r="H7" s="55">
        <f>IFERROR(IF(INDEX(tblCustomers[مدة السداد],MATCH(tblInv[[#This Row],[كود العميل]],tblCustomers[كود العميل],0))="",DefaultTerms,INDEX(tblCustomers[مدة السداد],MATCH(tblInv[[#This Row],[كود العميل]],tblCustomers[كود العميل],0))),DefaultTerms)</f>
        <v/>
      </c>
      <c r="I7" s="56">
        <f>tblInv[[#This Row],[تاريخ الفاتورة]]+tblInv[[#This Row],[مدة السداد]]</f>
        <v/>
      </c>
      <c r="J7" s="49">
        <f>SUMIFS(tblRec[المبلغ],tblRec[رقم الفاتورة],tblInv[[#This Row],[رقم الفاتورة]],tblRec[التاريخ],"&lt;="&amp;AsOf)</f>
        <v/>
      </c>
      <c r="K7" s="48">
        <f>IF(tblInv[[#This Row],[تاريخ الفاتورة]]&gt;AsOf,0,ROUND(tblInv[[#This Row],[الإجمالي]]-tblInv[[#This Row],[المحصّل]],2))</f>
        <v/>
      </c>
      <c r="L7" s="56">
        <f>IF(AgingBasis="من تاريخ الفاتورة",tblInv[[#This Row],[تاريخ الفاتورة]],tblInv[[#This Row],[تاريخ الاستحقاق]])</f>
        <v/>
      </c>
      <c r="M7" s="57">
        <f>IF(tblInv[[#This Row],[المتبقي]]&lt;=0,0,MAX(0,AsOf-tblInv[[#This Row],[تاريخ الأساس]]))</f>
        <v/>
      </c>
      <c r="N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 s="44" t="n"/>
      <c r="Q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 s="52">
        <f>IF(AND(tblInv[[#This Row],[كود العميل]]=StCust,tblInv[[#This Row],[تاريخ الفاتورة]]&gt;=StFrom,tblInv[[#This Row],[تاريخ الفاتورة]]&lt;=StTo),tblInv[[#This Row],[تاريخ الفاتورة]]*100000+ROW(),"")</f>
        <v/>
      </c>
      <c r="S7" s="52">
        <f>IF(tblInv[[#This Row],[مفتاح الكشف]]="","",COUNTIF(tblInv[مفتاح الكشف],"&lt;"&amp;tblInv[[#This Row],[مفتاح الكشف]])+COUNTIF(tblRec[مفتاح الكشف],"&lt;"&amp;tblInv[[#This Row],[مفتاح الكشف]])+1)</f>
        <v/>
      </c>
    </row>
    <row r="8">
      <c r="A8" s="43" t="inlineStr">
        <is>
          <t>INV-2025-0004</t>
        </is>
      </c>
      <c r="B8" s="53" t="n">
        <v>45930</v>
      </c>
      <c r="C8" s="43" t="inlineStr">
        <is>
          <t>C007</t>
        </is>
      </c>
      <c r="D8" s="52">
        <f>IF(tblInv[[#This Row],[كود العميل]]="","",IFERROR(INDEX(tblCustomers[اسم العميل],MATCH(tblInv[[#This Row],[كود العميل]],tblCustomers[كود العميل],0)),"⚠ كود غير موجود"))</f>
        <v/>
      </c>
      <c r="E8" s="54" t="n">
        <v>24000</v>
      </c>
      <c r="F8" s="49">
        <f>ROUND(tblInv[[#This Row],[المبلغ قبل الضريبة]]*VatRate,2)</f>
        <v/>
      </c>
      <c r="G8" s="48">
        <f>tblInv[[#This Row],[المبلغ قبل الضريبة]]+tblInv[[#This Row],[الضريبة]]</f>
        <v/>
      </c>
      <c r="H8" s="55">
        <f>IFERROR(IF(INDEX(tblCustomers[مدة السداد],MATCH(tblInv[[#This Row],[كود العميل]],tblCustomers[كود العميل],0))="",DefaultTerms,INDEX(tblCustomers[مدة السداد],MATCH(tblInv[[#This Row],[كود العميل]],tblCustomers[كود العميل],0))),DefaultTerms)</f>
        <v/>
      </c>
      <c r="I8" s="56">
        <f>tblInv[[#This Row],[تاريخ الفاتورة]]+tblInv[[#This Row],[مدة السداد]]</f>
        <v/>
      </c>
      <c r="J8" s="49">
        <f>SUMIFS(tblRec[المبلغ],tblRec[رقم الفاتورة],tblInv[[#This Row],[رقم الفاتورة]],tblRec[التاريخ],"&lt;="&amp;AsOf)</f>
        <v/>
      </c>
      <c r="K8" s="48">
        <f>IF(tblInv[[#This Row],[تاريخ الفاتورة]]&gt;AsOf,0,ROUND(tblInv[[#This Row],[الإجمالي]]-tblInv[[#This Row],[المحصّل]],2))</f>
        <v/>
      </c>
      <c r="L8" s="56">
        <f>IF(AgingBasis="من تاريخ الفاتورة",tblInv[[#This Row],[تاريخ الفاتورة]],tblInv[[#This Row],[تاريخ الاستحقاق]])</f>
        <v/>
      </c>
      <c r="M8" s="57">
        <f>IF(tblInv[[#This Row],[المتبقي]]&lt;=0,0,MAX(0,AsOf-tblInv[[#This Row],[تاريخ الأساس]]))</f>
        <v/>
      </c>
      <c r="N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 s="44" t="n"/>
      <c r="Q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 s="52">
        <f>IF(AND(tblInv[[#This Row],[كود العميل]]=StCust,tblInv[[#This Row],[تاريخ الفاتورة]]&gt;=StFrom,tblInv[[#This Row],[تاريخ الفاتورة]]&lt;=StTo),tblInv[[#This Row],[تاريخ الفاتورة]]*100000+ROW(),"")</f>
        <v/>
      </c>
      <c r="S8" s="52">
        <f>IF(tblInv[[#This Row],[مفتاح الكشف]]="","",COUNTIF(tblInv[مفتاح الكشف],"&lt;"&amp;tblInv[[#This Row],[مفتاح الكشف]])+COUNTIF(tblRec[مفتاح الكشف],"&lt;"&amp;tblInv[[#This Row],[مفتاح الكشف]])+1)</f>
        <v/>
      </c>
    </row>
    <row r="9">
      <c r="A9" s="43" t="inlineStr">
        <is>
          <t>INV-2025-0005</t>
        </is>
      </c>
      <c r="B9" s="53" t="n">
        <v>45930</v>
      </c>
      <c r="C9" s="43" t="inlineStr">
        <is>
          <t>C002</t>
        </is>
      </c>
      <c r="D9" s="52">
        <f>IF(tblInv[[#This Row],[كود العميل]]="","",IFERROR(INDEX(tblCustomers[اسم العميل],MATCH(tblInv[[#This Row],[كود العميل]],tblCustomers[كود العميل],0)),"⚠ كود غير موجود"))</f>
        <v/>
      </c>
      <c r="E9" s="54" t="n">
        <v>43000</v>
      </c>
      <c r="F9" s="49">
        <f>ROUND(tblInv[[#This Row],[المبلغ قبل الضريبة]]*VatRate,2)</f>
        <v/>
      </c>
      <c r="G9" s="48">
        <f>tblInv[[#This Row],[المبلغ قبل الضريبة]]+tblInv[[#This Row],[الضريبة]]</f>
        <v/>
      </c>
      <c r="H9" s="55">
        <f>IFERROR(IF(INDEX(tblCustomers[مدة السداد],MATCH(tblInv[[#This Row],[كود العميل]],tblCustomers[كود العميل],0))="",DefaultTerms,INDEX(tblCustomers[مدة السداد],MATCH(tblInv[[#This Row],[كود العميل]],tblCustomers[كود العميل],0))),DefaultTerms)</f>
        <v/>
      </c>
      <c r="I9" s="56">
        <f>tblInv[[#This Row],[تاريخ الفاتورة]]+tblInv[[#This Row],[مدة السداد]]</f>
        <v/>
      </c>
      <c r="J9" s="49">
        <f>SUMIFS(tblRec[المبلغ],tblRec[رقم الفاتورة],tblInv[[#This Row],[رقم الفاتورة]],tblRec[التاريخ],"&lt;="&amp;AsOf)</f>
        <v/>
      </c>
      <c r="K9" s="48">
        <f>IF(tblInv[[#This Row],[تاريخ الفاتورة]]&gt;AsOf,0,ROUND(tblInv[[#This Row],[الإجمالي]]-tblInv[[#This Row],[المحصّل]],2))</f>
        <v/>
      </c>
      <c r="L9" s="56">
        <f>IF(AgingBasis="من تاريخ الفاتورة",tblInv[[#This Row],[تاريخ الفاتورة]],tblInv[[#This Row],[تاريخ الاستحقاق]])</f>
        <v/>
      </c>
      <c r="M9" s="57">
        <f>IF(tblInv[[#This Row],[المتبقي]]&lt;=0,0,MAX(0,AsOf-tblInv[[#This Row],[تاريخ الأساس]]))</f>
        <v/>
      </c>
      <c r="N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 s="44" t="n"/>
      <c r="Q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 s="52">
        <f>IF(AND(tblInv[[#This Row],[كود العميل]]=StCust,tblInv[[#This Row],[تاريخ الفاتورة]]&gt;=StFrom,tblInv[[#This Row],[تاريخ الفاتورة]]&lt;=StTo),tblInv[[#This Row],[تاريخ الفاتورة]]*100000+ROW(),"")</f>
        <v/>
      </c>
      <c r="S9" s="52">
        <f>IF(tblInv[[#This Row],[مفتاح الكشف]]="","",COUNTIF(tblInv[مفتاح الكشف],"&lt;"&amp;tblInv[[#This Row],[مفتاح الكشف]])+COUNTIF(tblRec[مفتاح الكشف],"&lt;"&amp;tblInv[[#This Row],[مفتاح الكشف]])+1)</f>
        <v/>
      </c>
    </row>
    <row r="10">
      <c r="A10" s="43" t="inlineStr">
        <is>
          <t>INV-2025-0006</t>
        </is>
      </c>
      <c r="B10" s="53" t="n">
        <v>45934</v>
      </c>
      <c r="C10" s="43" t="inlineStr">
        <is>
          <t>C012</t>
        </is>
      </c>
      <c r="D10" s="52">
        <f>IF(tblInv[[#This Row],[كود العميل]]="","",IFERROR(INDEX(tblCustomers[اسم العميل],MATCH(tblInv[[#This Row],[كود العميل]],tblCustomers[كود العميل],0)),"⚠ كود غير موجود"))</f>
        <v/>
      </c>
      <c r="E10" s="54" t="n">
        <v>36900</v>
      </c>
      <c r="F10" s="49">
        <f>ROUND(tblInv[[#This Row],[المبلغ قبل الضريبة]]*VatRate,2)</f>
        <v/>
      </c>
      <c r="G10" s="48">
        <f>tblInv[[#This Row],[المبلغ قبل الضريبة]]+tblInv[[#This Row],[الضريبة]]</f>
        <v/>
      </c>
      <c r="H10" s="55">
        <f>IFERROR(IF(INDEX(tblCustomers[مدة السداد],MATCH(tblInv[[#This Row],[كود العميل]],tblCustomers[كود العميل],0))="",DefaultTerms,INDEX(tblCustomers[مدة السداد],MATCH(tblInv[[#This Row],[كود العميل]],tblCustomers[كود العميل],0))),DefaultTerms)</f>
        <v/>
      </c>
      <c r="I10" s="56">
        <f>tblInv[[#This Row],[تاريخ الفاتورة]]+tblInv[[#This Row],[مدة السداد]]</f>
        <v/>
      </c>
      <c r="J10" s="49">
        <f>SUMIFS(tblRec[المبلغ],tblRec[رقم الفاتورة],tblInv[[#This Row],[رقم الفاتورة]],tblRec[التاريخ],"&lt;="&amp;AsOf)</f>
        <v/>
      </c>
      <c r="K10" s="48">
        <f>IF(tblInv[[#This Row],[تاريخ الفاتورة]]&gt;AsOf,0,ROUND(tblInv[[#This Row],[الإجمالي]]-tblInv[[#This Row],[المحصّل]],2))</f>
        <v/>
      </c>
      <c r="L10" s="56">
        <f>IF(AgingBasis="من تاريخ الفاتورة",tblInv[[#This Row],[تاريخ الفاتورة]],tblInv[[#This Row],[تاريخ الاستحقاق]])</f>
        <v/>
      </c>
      <c r="M10" s="57">
        <f>IF(tblInv[[#This Row],[المتبقي]]&lt;=0,0,MAX(0,AsOf-tblInv[[#This Row],[تاريخ الأساس]]))</f>
        <v/>
      </c>
      <c r="N1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 s="44" t="n"/>
      <c r="Q1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 s="52">
        <f>IF(AND(tblInv[[#This Row],[كود العميل]]=StCust,tblInv[[#This Row],[تاريخ الفاتورة]]&gt;=StFrom,tblInv[[#This Row],[تاريخ الفاتورة]]&lt;=StTo),tblInv[[#This Row],[تاريخ الفاتورة]]*100000+ROW(),"")</f>
        <v/>
      </c>
      <c r="S10" s="52">
        <f>IF(tblInv[[#This Row],[مفتاح الكشف]]="","",COUNTIF(tblInv[مفتاح الكشف],"&lt;"&amp;tblInv[[#This Row],[مفتاح الكشف]])+COUNTIF(tblRec[مفتاح الكشف],"&lt;"&amp;tblInv[[#This Row],[مفتاح الكشف]])+1)</f>
        <v/>
      </c>
    </row>
    <row r="11">
      <c r="A11" s="43" t="inlineStr">
        <is>
          <t>INV-2025-0007</t>
        </is>
      </c>
      <c r="B11" s="53" t="n">
        <v>45936</v>
      </c>
      <c r="C11" s="43" t="inlineStr">
        <is>
          <t>C015</t>
        </is>
      </c>
      <c r="D11" s="52">
        <f>IF(tblInv[[#This Row],[كود العميل]]="","",IFERROR(INDEX(tblCustomers[اسم العميل],MATCH(tblInv[[#This Row],[كود العميل]],tblCustomers[كود العميل],0)),"⚠ كود غير موجود"))</f>
        <v/>
      </c>
      <c r="E11" s="54" t="n">
        <v>21750</v>
      </c>
      <c r="F11" s="49">
        <f>ROUND(tblInv[[#This Row],[المبلغ قبل الضريبة]]*VatRate,2)</f>
        <v/>
      </c>
      <c r="G11" s="48">
        <f>tblInv[[#This Row],[المبلغ قبل الضريبة]]+tblInv[[#This Row],[الضريبة]]</f>
        <v/>
      </c>
      <c r="H11" s="55">
        <f>IFERROR(IF(INDEX(tblCustomers[مدة السداد],MATCH(tblInv[[#This Row],[كود العميل]],tblCustomers[كود العميل],0))="",DefaultTerms,INDEX(tblCustomers[مدة السداد],MATCH(tblInv[[#This Row],[كود العميل]],tblCustomers[كود العميل],0))),DefaultTerms)</f>
        <v/>
      </c>
      <c r="I11" s="56">
        <f>tblInv[[#This Row],[تاريخ الفاتورة]]+tblInv[[#This Row],[مدة السداد]]</f>
        <v/>
      </c>
      <c r="J11" s="49">
        <f>SUMIFS(tblRec[المبلغ],tblRec[رقم الفاتورة],tblInv[[#This Row],[رقم الفاتورة]],tblRec[التاريخ],"&lt;="&amp;AsOf)</f>
        <v/>
      </c>
      <c r="K11" s="48">
        <f>IF(tblInv[[#This Row],[تاريخ الفاتورة]]&gt;AsOf,0,ROUND(tblInv[[#This Row],[الإجمالي]]-tblInv[[#This Row],[المحصّل]],2))</f>
        <v/>
      </c>
      <c r="L11" s="56">
        <f>IF(AgingBasis="من تاريخ الفاتورة",tblInv[[#This Row],[تاريخ الفاتورة]],tblInv[[#This Row],[تاريخ الاستحقاق]])</f>
        <v/>
      </c>
      <c r="M11" s="57">
        <f>IF(tblInv[[#This Row],[المتبقي]]&lt;=0,0,MAX(0,AsOf-tblInv[[#This Row],[تاريخ الأساس]]))</f>
        <v/>
      </c>
      <c r="N1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 s="44" t="inlineStr">
        <is>
          <t>تم الشطب بقرار الإدارة</t>
        </is>
      </c>
      <c r="Q1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 s="52">
        <f>IF(AND(tblInv[[#This Row],[كود العميل]]=StCust,tblInv[[#This Row],[تاريخ الفاتورة]]&gt;=StFrom,tblInv[[#This Row],[تاريخ الفاتورة]]&lt;=StTo),tblInv[[#This Row],[تاريخ الفاتورة]]*100000+ROW(),"")</f>
        <v/>
      </c>
      <c r="S11" s="52">
        <f>IF(tblInv[[#This Row],[مفتاح الكشف]]="","",COUNTIF(tblInv[مفتاح الكشف],"&lt;"&amp;tblInv[[#This Row],[مفتاح الكشف]])+COUNTIF(tblRec[مفتاح الكشف],"&lt;"&amp;tblInv[[#This Row],[مفتاح الكشف]])+1)</f>
        <v/>
      </c>
    </row>
    <row r="12">
      <c r="A12" s="43" t="inlineStr">
        <is>
          <t>INV-2025-0008</t>
        </is>
      </c>
      <c r="B12" s="53" t="n">
        <v>45943</v>
      </c>
      <c r="C12" s="43" t="inlineStr">
        <is>
          <t>C002</t>
        </is>
      </c>
      <c r="D12" s="52">
        <f>IF(tblInv[[#This Row],[كود العميل]]="","",IFERROR(INDEX(tblCustomers[اسم العميل],MATCH(tblInv[[#This Row],[كود العميل]],tblCustomers[كود العميل],0)),"⚠ كود غير موجود"))</f>
        <v/>
      </c>
      <c r="E12" s="54" t="n">
        <v>31650</v>
      </c>
      <c r="F12" s="49">
        <f>ROUND(tblInv[[#This Row],[المبلغ قبل الضريبة]]*VatRate,2)</f>
        <v/>
      </c>
      <c r="G12" s="48">
        <f>tblInv[[#This Row],[المبلغ قبل الضريبة]]+tblInv[[#This Row],[الضريبة]]</f>
        <v/>
      </c>
      <c r="H12" s="55">
        <f>IFERROR(IF(INDEX(tblCustomers[مدة السداد],MATCH(tblInv[[#This Row],[كود العميل]],tblCustomers[كود العميل],0))="",DefaultTerms,INDEX(tblCustomers[مدة السداد],MATCH(tblInv[[#This Row],[كود العميل]],tblCustomers[كود العميل],0))),DefaultTerms)</f>
        <v/>
      </c>
      <c r="I12" s="56">
        <f>tblInv[[#This Row],[تاريخ الفاتورة]]+tblInv[[#This Row],[مدة السداد]]</f>
        <v/>
      </c>
      <c r="J12" s="49">
        <f>SUMIFS(tblRec[المبلغ],tblRec[رقم الفاتورة],tblInv[[#This Row],[رقم الفاتورة]],tblRec[التاريخ],"&lt;="&amp;AsOf)</f>
        <v/>
      </c>
      <c r="K12" s="48">
        <f>IF(tblInv[[#This Row],[تاريخ الفاتورة]]&gt;AsOf,0,ROUND(tblInv[[#This Row],[الإجمالي]]-tblInv[[#This Row],[المحصّل]],2))</f>
        <v/>
      </c>
      <c r="L12" s="56">
        <f>IF(AgingBasis="من تاريخ الفاتورة",tblInv[[#This Row],[تاريخ الفاتورة]],tblInv[[#This Row],[تاريخ الاستحقاق]])</f>
        <v/>
      </c>
      <c r="M12" s="57">
        <f>IF(tblInv[[#This Row],[المتبقي]]&lt;=0,0,MAX(0,AsOf-tblInv[[#This Row],[تاريخ الأساس]]))</f>
        <v/>
      </c>
      <c r="N1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 s="44" t="inlineStr">
        <is>
          <t>سداد جزئي — الباقي متفق عليه الشهر الجاي</t>
        </is>
      </c>
      <c r="Q1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 s="52">
        <f>IF(AND(tblInv[[#This Row],[كود العميل]]=StCust,tblInv[[#This Row],[تاريخ الفاتورة]]&gt;=StFrom,tblInv[[#This Row],[تاريخ الفاتورة]]&lt;=StTo),tblInv[[#This Row],[تاريخ الفاتورة]]*100000+ROW(),"")</f>
        <v/>
      </c>
      <c r="S12" s="52">
        <f>IF(tblInv[[#This Row],[مفتاح الكشف]]="","",COUNTIF(tblInv[مفتاح الكشف],"&lt;"&amp;tblInv[[#This Row],[مفتاح الكشف]])+COUNTIF(tblRec[مفتاح الكشف],"&lt;"&amp;tblInv[[#This Row],[مفتاح الكشف]])+1)</f>
        <v/>
      </c>
    </row>
    <row r="13">
      <c r="A13" s="43" t="inlineStr">
        <is>
          <t>INV-2025-0009</t>
        </is>
      </c>
      <c r="B13" s="53" t="n">
        <v>45950</v>
      </c>
      <c r="C13" s="43" t="inlineStr">
        <is>
          <t>C012</t>
        </is>
      </c>
      <c r="D13" s="52">
        <f>IF(tblInv[[#This Row],[كود العميل]]="","",IFERROR(INDEX(tblCustomers[اسم العميل],MATCH(tblInv[[#This Row],[كود العميل]],tblCustomers[كود العميل],0)),"⚠ كود غير موجود"))</f>
        <v/>
      </c>
      <c r="E13" s="54" t="n">
        <v>5100</v>
      </c>
      <c r="F13" s="49">
        <f>ROUND(tblInv[[#This Row],[المبلغ قبل الضريبة]]*VatRate,2)</f>
        <v/>
      </c>
      <c r="G13" s="48">
        <f>tblInv[[#This Row],[المبلغ قبل الضريبة]]+tblInv[[#This Row],[الضريبة]]</f>
        <v/>
      </c>
      <c r="H13" s="55">
        <f>IFERROR(IF(INDEX(tblCustomers[مدة السداد],MATCH(tblInv[[#This Row],[كود العميل]],tblCustomers[كود العميل],0))="",DefaultTerms,INDEX(tblCustomers[مدة السداد],MATCH(tblInv[[#This Row],[كود العميل]],tblCustomers[كود العميل],0))),DefaultTerms)</f>
        <v/>
      </c>
      <c r="I13" s="56">
        <f>tblInv[[#This Row],[تاريخ الفاتورة]]+tblInv[[#This Row],[مدة السداد]]</f>
        <v/>
      </c>
      <c r="J13" s="49">
        <f>SUMIFS(tblRec[المبلغ],tblRec[رقم الفاتورة],tblInv[[#This Row],[رقم الفاتورة]],tblRec[التاريخ],"&lt;="&amp;AsOf)</f>
        <v/>
      </c>
      <c r="K13" s="48">
        <f>IF(tblInv[[#This Row],[تاريخ الفاتورة]]&gt;AsOf,0,ROUND(tblInv[[#This Row],[الإجمالي]]-tblInv[[#This Row],[المحصّل]],2))</f>
        <v/>
      </c>
      <c r="L13" s="56">
        <f>IF(AgingBasis="من تاريخ الفاتورة",tblInv[[#This Row],[تاريخ الفاتورة]],tblInv[[#This Row],[تاريخ الاستحقاق]])</f>
        <v/>
      </c>
      <c r="M13" s="57">
        <f>IF(tblInv[[#This Row],[المتبقي]]&lt;=0,0,MAX(0,AsOf-tblInv[[#This Row],[تاريخ الأساس]]))</f>
        <v/>
      </c>
      <c r="N1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3" s="44" t="n"/>
      <c r="Q1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3" s="52">
        <f>IF(AND(tblInv[[#This Row],[كود العميل]]=StCust,tblInv[[#This Row],[تاريخ الفاتورة]]&gt;=StFrom,tblInv[[#This Row],[تاريخ الفاتورة]]&lt;=StTo),tblInv[[#This Row],[تاريخ الفاتورة]]*100000+ROW(),"")</f>
        <v/>
      </c>
      <c r="S13" s="52">
        <f>IF(tblInv[[#This Row],[مفتاح الكشف]]="","",COUNTIF(tblInv[مفتاح الكشف],"&lt;"&amp;tblInv[[#This Row],[مفتاح الكشف]])+COUNTIF(tblRec[مفتاح الكشف],"&lt;"&amp;tblInv[[#This Row],[مفتاح الكشف]])+1)</f>
        <v/>
      </c>
    </row>
    <row r="14">
      <c r="A14" s="43" t="inlineStr">
        <is>
          <t>INV-2025-0010</t>
        </is>
      </c>
      <c r="B14" s="53" t="n">
        <v>45962</v>
      </c>
      <c r="C14" s="43" t="inlineStr">
        <is>
          <t>C007</t>
        </is>
      </c>
      <c r="D14" s="52">
        <f>IF(tblInv[[#This Row],[كود العميل]]="","",IFERROR(INDEX(tblCustomers[اسم العميل],MATCH(tblInv[[#This Row],[كود العميل]],tblCustomers[كود العميل],0)),"⚠ كود غير موجود"))</f>
        <v/>
      </c>
      <c r="E14" s="54" t="n">
        <v>33100</v>
      </c>
      <c r="F14" s="49">
        <f>ROUND(tblInv[[#This Row],[المبلغ قبل الضريبة]]*VatRate,2)</f>
        <v/>
      </c>
      <c r="G14" s="48">
        <f>tblInv[[#This Row],[المبلغ قبل الضريبة]]+tblInv[[#This Row],[الضريبة]]</f>
        <v/>
      </c>
      <c r="H14" s="55">
        <f>IFERROR(IF(INDEX(tblCustomers[مدة السداد],MATCH(tblInv[[#This Row],[كود العميل]],tblCustomers[كود العميل],0))="",DefaultTerms,INDEX(tblCustomers[مدة السداد],MATCH(tblInv[[#This Row],[كود العميل]],tblCustomers[كود العميل],0))),DefaultTerms)</f>
        <v/>
      </c>
      <c r="I14" s="56">
        <f>tblInv[[#This Row],[تاريخ الفاتورة]]+tblInv[[#This Row],[مدة السداد]]</f>
        <v/>
      </c>
      <c r="J14" s="49">
        <f>SUMIFS(tblRec[المبلغ],tblRec[رقم الفاتورة],tblInv[[#This Row],[رقم الفاتورة]],tblRec[التاريخ],"&lt;="&amp;AsOf)</f>
        <v/>
      </c>
      <c r="K14" s="48">
        <f>IF(tblInv[[#This Row],[تاريخ الفاتورة]]&gt;AsOf,0,ROUND(tblInv[[#This Row],[الإجمالي]]-tblInv[[#This Row],[المحصّل]],2))</f>
        <v/>
      </c>
      <c r="L14" s="56">
        <f>IF(AgingBasis="من تاريخ الفاتورة",tblInv[[#This Row],[تاريخ الفاتورة]],tblInv[[#This Row],[تاريخ الاستحقاق]])</f>
        <v/>
      </c>
      <c r="M14" s="57">
        <f>IF(tblInv[[#This Row],[المتبقي]]&lt;=0,0,MAX(0,AsOf-tblInv[[#This Row],[تاريخ الأساس]]))</f>
        <v/>
      </c>
      <c r="N1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4" s="44" t="n"/>
      <c r="Q1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4" s="52">
        <f>IF(AND(tblInv[[#This Row],[كود العميل]]=StCust,tblInv[[#This Row],[تاريخ الفاتورة]]&gt;=StFrom,tblInv[[#This Row],[تاريخ الفاتورة]]&lt;=StTo),tblInv[[#This Row],[تاريخ الفاتورة]]*100000+ROW(),"")</f>
        <v/>
      </c>
      <c r="S14" s="52">
        <f>IF(tblInv[[#This Row],[مفتاح الكشف]]="","",COUNTIF(tblInv[مفتاح الكشف],"&lt;"&amp;tblInv[[#This Row],[مفتاح الكشف]])+COUNTIF(tblRec[مفتاح الكشف],"&lt;"&amp;tblInv[[#This Row],[مفتاح الكشف]])+1)</f>
        <v/>
      </c>
    </row>
    <row r="15">
      <c r="A15" s="43" t="inlineStr">
        <is>
          <t>INV-2025-0011</t>
        </is>
      </c>
      <c r="B15" s="53" t="n">
        <v>45969</v>
      </c>
      <c r="C15" s="43" t="inlineStr">
        <is>
          <t>C006</t>
        </is>
      </c>
      <c r="D15" s="52">
        <f>IF(tblInv[[#This Row],[كود العميل]]="","",IFERROR(INDEX(tblCustomers[اسم العميل],MATCH(tblInv[[#This Row],[كود العميل]],tblCustomers[كود العميل],0)),"⚠ كود غير موجود"))</f>
        <v/>
      </c>
      <c r="E15" s="54" t="n">
        <v>25850</v>
      </c>
      <c r="F15" s="49">
        <f>ROUND(tblInv[[#This Row],[المبلغ قبل الضريبة]]*VatRate,2)</f>
        <v/>
      </c>
      <c r="G15" s="48">
        <f>tblInv[[#This Row],[المبلغ قبل الضريبة]]+tblInv[[#This Row],[الضريبة]]</f>
        <v/>
      </c>
      <c r="H15" s="55">
        <f>IFERROR(IF(INDEX(tblCustomers[مدة السداد],MATCH(tblInv[[#This Row],[كود العميل]],tblCustomers[كود العميل],0))="",DefaultTerms,INDEX(tblCustomers[مدة السداد],MATCH(tblInv[[#This Row],[كود العميل]],tblCustomers[كود العميل],0))),DefaultTerms)</f>
        <v/>
      </c>
      <c r="I15" s="56">
        <f>tblInv[[#This Row],[تاريخ الفاتورة]]+tblInv[[#This Row],[مدة السداد]]</f>
        <v/>
      </c>
      <c r="J15" s="49">
        <f>SUMIFS(tblRec[المبلغ],tblRec[رقم الفاتورة],tblInv[[#This Row],[رقم الفاتورة]],tblRec[التاريخ],"&lt;="&amp;AsOf)</f>
        <v/>
      </c>
      <c r="K15" s="48">
        <f>IF(tblInv[[#This Row],[تاريخ الفاتورة]]&gt;AsOf,0,ROUND(tblInv[[#This Row],[الإجمالي]]-tblInv[[#This Row],[المحصّل]],2))</f>
        <v/>
      </c>
      <c r="L15" s="56">
        <f>IF(AgingBasis="من تاريخ الفاتورة",tblInv[[#This Row],[تاريخ الفاتورة]],tblInv[[#This Row],[تاريخ الاستحقاق]])</f>
        <v/>
      </c>
      <c r="M15" s="57">
        <f>IF(tblInv[[#This Row],[المتبقي]]&lt;=0,0,MAX(0,AsOf-tblInv[[#This Row],[تاريخ الأساس]]))</f>
        <v/>
      </c>
      <c r="N1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5" s="44" t="n"/>
      <c r="Q1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5" s="52">
        <f>IF(AND(tblInv[[#This Row],[كود العميل]]=StCust,tblInv[[#This Row],[تاريخ الفاتورة]]&gt;=StFrom,tblInv[[#This Row],[تاريخ الفاتورة]]&lt;=StTo),tblInv[[#This Row],[تاريخ الفاتورة]]*100000+ROW(),"")</f>
        <v/>
      </c>
      <c r="S15" s="52">
        <f>IF(tblInv[[#This Row],[مفتاح الكشف]]="","",COUNTIF(tblInv[مفتاح الكشف],"&lt;"&amp;tblInv[[#This Row],[مفتاح الكشف]])+COUNTIF(tblRec[مفتاح الكشف],"&lt;"&amp;tblInv[[#This Row],[مفتاح الكشف]])+1)</f>
        <v/>
      </c>
    </row>
    <row r="16">
      <c r="A16" s="43" t="inlineStr">
        <is>
          <t>INV-2025-0012</t>
        </is>
      </c>
      <c r="B16" s="53" t="n">
        <v>45970</v>
      </c>
      <c r="C16" s="43" t="inlineStr">
        <is>
          <t>C008</t>
        </is>
      </c>
      <c r="D16" s="52">
        <f>IF(tblInv[[#This Row],[كود العميل]]="","",IFERROR(INDEX(tblCustomers[اسم العميل],MATCH(tblInv[[#This Row],[كود العميل]],tblCustomers[كود العميل],0)),"⚠ كود غير موجود"))</f>
        <v/>
      </c>
      <c r="E16" s="54" t="n">
        <v>10300</v>
      </c>
      <c r="F16" s="49">
        <f>ROUND(tblInv[[#This Row],[المبلغ قبل الضريبة]]*VatRate,2)</f>
        <v/>
      </c>
      <c r="G16" s="48">
        <f>tblInv[[#This Row],[المبلغ قبل الضريبة]]+tblInv[[#This Row],[الضريبة]]</f>
        <v/>
      </c>
      <c r="H16" s="55">
        <f>IFERROR(IF(INDEX(tblCustomers[مدة السداد],MATCH(tblInv[[#This Row],[كود العميل]],tblCustomers[كود العميل],0))="",DefaultTerms,INDEX(tblCustomers[مدة السداد],MATCH(tblInv[[#This Row],[كود العميل]],tblCustomers[كود العميل],0))),DefaultTerms)</f>
        <v/>
      </c>
      <c r="I16" s="56">
        <f>tblInv[[#This Row],[تاريخ الفاتورة]]+tblInv[[#This Row],[مدة السداد]]</f>
        <v/>
      </c>
      <c r="J16" s="49">
        <f>SUMIFS(tblRec[المبلغ],tblRec[رقم الفاتورة],tblInv[[#This Row],[رقم الفاتورة]],tblRec[التاريخ],"&lt;="&amp;AsOf)</f>
        <v/>
      </c>
      <c r="K16" s="48">
        <f>IF(tblInv[[#This Row],[تاريخ الفاتورة]]&gt;AsOf,0,ROUND(tblInv[[#This Row],[الإجمالي]]-tblInv[[#This Row],[المحصّل]],2))</f>
        <v/>
      </c>
      <c r="L16" s="56">
        <f>IF(AgingBasis="من تاريخ الفاتورة",tblInv[[#This Row],[تاريخ الفاتورة]],tblInv[[#This Row],[تاريخ الاستحقاق]])</f>
        <v/>
      </c>
      <c r="M16" s="57">
        <f>IF(tblInv[[#This Row],[المتبقي]]&lt;=0,0,MAX(0,AsOf-tblInv[[#This Row],[تاريخ الأساس]]))</f>
        <v/>
      </c>
      <c r="N1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6" s="44" t="n"/>
      <c r="Q1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6" s="52">
        <f>IF(AND(tblInv[[#This Row],[كود العميل]]=StCust,tblInv[[#This Row],[تاريخ الفاتورة]]&gt;=StFrom,tblInv[[#This Row],[تاريخ الفاتورة]]&lt;=StTo),tblInv[[#This Row],[تاريخ الفاتورة]]*100000+ROW(),"")</f>
        <v/>
      </c>
      <c r="S16" s="52">
        <f>IF(tblInv[[#This Row],[مفتاح الكشف]]="","",COUNTIF(tblInv[مفتاح الكشف],"&lt;"&amp;tblInv[[#This Row],[مفتاح الكشف]])+COUNTIF(tblRec[مفتاح الكشف],"&lt;"&amp;tblInv[[#This Row],[مفتاح الكشف]])+1)</f>
        <v/>
      </c>
    </row>
    <row r="17">
      <c r="A17" s="43" t="inlineStr">
        <is>
          <t>INV-2025-0013</t>
        </is>
      </c>
      <c r="B17" s="53" t="n">
        <v>45989</v>
      </c>
      <c r="C17" s="43" t="inlineStr">
        <is>
          <t>C005</t>
        </is>
      </c>
      <c r="D17" s="52">
        <f>IF(tblInv[[#This Row],[كود العميل]]="","",IFERROR(INDEX(tblCustomers[اسم العميل],MATCH(tblInv[[#This Row],[كود العميل]],tblCustomers[كود العميل],0)),"⚠ كود غير موجود"))</f>
        <v/>
      </c>
      <c r="E17" s="54" t="n">
        <v>38800</v>
      </c>
      <c r="F17" s="49">
        <f>ROUND(tblInv[[#This Row],[المبلغ قبل الضريبة]]*VatRate,2)</f>
        <v/>
      </c>
      <c r="G17" s="48">
        <f>tblInv[[#This Row],[المبلغ قبل الضريبة]]+tblInv[[#This Row],[الضريبة]]</f>
        <v/>
      </c>
      <c r="H17" s="55">
        <f>IFERROR(IF(INDEX(tblCustomers[مدة السداد],MATCH(tblInv[[#This Row],[كود العميل]],tblCustomers[كود العميل],0))="",DefaultTerms,INDEX(tblCustomers[مدة السداد],MATCH(tblInv[[#This Row],[كود العميل]],tblCustomers[كود العميل],0))),DefaultTerms)</f>
        <v/>
      </c>
      <c r="I17" s="56">
        <f>tblInv[[#This Row],[تاريخ الفاتورة]]+tblInv[[#This Row],[مدة السداد]]</f>
        <v/>
      </c>
      <c r="J17" s="49">
        <f>SUMIFS(tblRec[المبلغ],tblRec[رقم الفاتورة],tblInv[[#This Row],[رقم الفاتورة]],tblRec[التاريخ],"&lt;="&amp;AsOf)</f>
        <v/>
      </c>
      <c r="K17" s="48">
        <f>IF(tblInv[[#This Row],[تاريخ الفاتورة]]&gt;AsOf,0,ROUND(tblInv[[#This Row],[الإجمالي]]-tblInv[[#This Row],[المحصّل]],2))</f>
        <v/>
      </c>
      <c r="L17" s="56">
        <f>IF(AgingBasis="من تاريخ الفاتورة",tblInv[[#This Row],[تاريخ الفاتورة]],tblInv[[#This Row],[تاريخ الاستحقاق]])</f>
        <v/>
      </c>
      <c r="M17" s="57">
        <f>IF(tblInv[[#This Row],[المتبقي]]&lt;=0,0,MAX(0,AsOf-tblInv[[#This Row],[تاريخ الأساس]]))</f>
        <v/>
      </c>
      <c r="N1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7" s="44" t="n"/>
      <c r="Q1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7" s="52">
        <f>IF(AND(tblInv[[#This Row],[كود العميل]]=StCust,tblInv[[#This Row],[تاريخ الفاتورة]]&gt;=StFrom,tblInv[[#This Row],[تاريخ الفاتورة]]&lt;=StTo),tblInv[[#This Row],[تاريخ الفاتورة]]*100000+ROW(),"")</f>
        <v/>
      </c>
      <c r="S17" s="52">
        <f>IF(tblInv[[#This Row],[مفتاح الكشف]]="","",COUNTIF(tblInv[مفتاح الكشف],"&lt;"&amp;tblInv[[#This Row],[مفتاح الكشف]])+COUNTIF(tblRec[مفتاح الكشف],"&lt;"&amp;tblInv[[#This Row],[مفتاح الكشف]])+1)</f>
        <v/>
      </c>
    </row>
    <row r="18">
      <c r="A18" s="43" t="inlineStr">
        <is>
          <t>INV-2025-0014</t>
        </is>
      </c>
      <c r="B18" s="53" t="n">
        <v>45993</v>
      </c>
      <c r="C18" s="43" t="inlineStr">
        <is>
          <t>C002</t>
        </is>
      </c>
      <c r="D18" s="52">
        <f>IF(tblInv[[#This Row],[كود العميل]]="","",IFERROR(INDEX(tblCustomers[اسم العميل],MATCH(tblInv[[#This Row],[كود العميل]],tblCustomers[كود العميل],0)),"⚠ كود غير موجود"))</f>
        <v/>
      </c>
      <c r="E18" s="54" t="n">
        <v>8800</v>
      </c>
      <c r="F18" s="49">
        <f>ROUND(tblInv[[#This Row],[المبلغ قبل الضريبة]]*VatRate,2)</f>
        <v/>
      </c>
      <c r="G18" s="48">
        <f>tblInv[[#This Row],[المبلغ قبل الضريبة]]+tblInv[[#This Row],[الضريبة]]</f>
        <v/>
      </c>
      <c r="H18" s="55">
        <f>IFERROR(IF(INDEX(tblCustomers[مدة السداد],MATCH(tblInv[[#This Row],[كود العميل]],tblCustomers[كود العميل],0))="",DefaultTerms,INDEX(tblCustomers[مدة السداد],MATCH(tblInv[[#This Row],[كود العميل]],tblCustomers[كود العميل],0))),DefaultTerms)</f>
        <v/>
      </c>
      <c r="I18" s="56">
        <f>tblInv[[#This Row],[تاريخ الفاتورة]]+tblInv[[#This Row],[مدة السداد]]</f>
        <v/>
      </c>
      <c r="J18" s="49">
        <f>SUMIFS(tblRec[المبلغ],tblRec[رقم الفاتورة],tblInv[[#This Row],[رقم الفاتورة]],tblRec[التاريخ],"&lt;="&amp;AsOf)</f>
        <v/>
      </c>
      <c r="K18" s="48">
        <f>IF(tblInv[[#This Row],[تاريخ الفاتورة]]&gt;AsOf,0,ROUND(tblInv[[#This Row],[الإجمالي]]-tblInv[[#This Row],[المحصّل]],2))</f>
        <v/>
      </c>
      <c r="L18" s="56">
        <f>IF(AgingBasis="من تاريخ الفاتورة",tblInv[[#This Row],[تاريخ الفاتورة]],tblInv[[#This Row],[تاريخ الاستحقاق]])</f>
        <v/>
      </c>
      <c r="M18" s="57">
        <f>IF(tblInv[[#This Row],[المتبقي]]&lt;=0,0,MAX(0,AsOf-tblInv[[#This Row],[تاريخ الأساس]]))</f>
        <v/>
      </c>
      <c r="N1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8" s="44" t="n"/>
      <c r="Q1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8" s="52">
        <f>IF(AND(tblInv[[#This Row],[كود العميل]]=StCust,tblInv[[#This Row],[تاريخ الفاتورة]]&gt;=StFrom,tblInv[[#This Row],[تاريخ الفاتورة]]&lt;=StTo),tblInv[[#This Row],[تاريخ الفاتورة]]*100000+ROW(),"")</f>
        <v/>
      </c>
      <c r="S18" s="52">
        <f>IF(tblInv[[#This Row],[مفتاح الكشف]]="","",COUNTIF(tblInv[مفتاح الكشف],"&lt;"&amp;tblInv[[#This Row],[مفتاح الكشف]])+COUNTIF(tblRec[مفتاح الكشف],"&lt;"&amp;tblInv[[#This Row],[مفتاح الكشف]])+1)</f>
        <v/>
      </c>
    </row>
    <row r="19">
      <c r="A19" s="43" t="inlineStr">
        <is>
          <t>INV-2025-0015</t>
        </is>
      </c>
      <c r="B19" s="53" t="n">
        <v>45996</v>
      </c>
      <c r="C19" s="43" t="inlineStr">
        <is>
          <t>C008</t>
        </is>
      </c>
      <c r="D19" s="52">
        <f>IF(tblInv[[#This Row],[كود العميل]]="","",IFERROR(INDEX(tblCustomers[اسم العميل],MATCH(tblInv[[#This Row],[كود العميل]],tblCustomers[كود العميل],0)),"⚠ كود غير موجود"))</f>
        <v/>
      </c>
      <c r="E19" s="54" t="n">
        <v>27900</v>
      </c>
      <c r="F19" s="49">
        <f>ROUND(tblInv[[#This Row],[المبلغ قبل الضريبة]]*VatRate,2)</f>
        <v/>
      </c>
      <c r="G19" s="48">
        <f>tblInv[[#This Row],[المبلغ قبل الضريبة]]+tblInv[[#This Row],[الضريبة]]</f>
        <v/>
      </c>
      <c r="H19" s="55">
        <f>IFERROR(IF(INDEX(tblCustomers[مدة السداد],MATCH(tblInv[[#This Row],[كود العميل]],tblCustomers[كود العميل],0))="",DefaultTerms,INDEX(tblCustomers[مدة السداد],MATCH(tblInv[[#This Row],[كود العميل]],tblCustomers[كود العميل],0))),DefaultTerms)</f>
        <v/>
      </c>
      <c r="I19" s="56">
        <f>tblInv[[#This Row],[تاريخ الفاتورة]]+tblInv[[#This Row],[مدة السداد]]</f>
        <v/>
      </c>
      <c r="J19" s="49">
        <f>SUMIFS(tblRec[المبلغ],tblRec[رقم الفاتورة],tblInv[[#This Row],[رقم الفاتورة]],tblRec[التاريخ],"&lt;="&amp;AsOf)</f>
        <v/>
      </c>
      <c r="K19" s="48">
        <f>IF(tblInv[[#This Row],[تاريخ الفاتورة]]&gt;AsOf,0,ROUND(tblInv[[#This Row],[الإجمالي]]-tblInv[[#This Row],[المحصّل]],2))</f>
        <v/>
      </c>
      <c r="L19" s="56">
        <f>IF(AgingBasis="من تاريخ الفاتورة",tblInv[[#This Row],[تاريخ الفاتورة]],tblInv[[#This Row],[تاريخ الاستحقاق]])</f>
        <v/>
      </c>
      <c r="M19" s="57">
        <f>IF(tblInv[[#This Row],[المتبقي]]&lt;=0,0,MAX(0,AsOf-tblInv[[#This Row],[تاريخ الأساس]]))</f>
        <v/>
      </c>
      <c r="N1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9" s="44" t="n"/>
      <c r="Q1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9" s="52">
        <f>IF(AND(tblInv[[#This Row],[كود العميل]]=StCust,tblInv[[#This Row],[تاريخ الفاتورة]]&gt;=StFrom,tblInv[[#This Row],[تاريخ الفاتورة]]&lt;=StTo),tblInv[[#This Row],[تاريخ الفاتورة]]*100000+ROW(),"")</f>
        <v/>
      </c>
      <c r="S19" s="52">
        <f>IF(tblInv[[#This Row],[مفتاح الكشف]]="","",COUNTIF(tblInv[مفتاح الكشف],"&lt;"&amp;tblInv[[#This Row],[مفتاح الكشف]])+COUNTIF(tblRec[مفتاح الكشف],"&lt;"&amp;tblInv[[#This Row],[مفتاح الكشف]])+1)</f>
        <v/>
      </c>
    </row>
    <row r="20">
      <c r="A20" s="43" t="inlineStr">
        <is>
          <t>INV-2025-0016</t>
        </is>
      </c>
      <c r="B20" s="53" t="n">
        <v>46004</v>
      </c>
      <c r="C20" s="43" t="inlineStr">
        <is>
          <t>C011</t>
        </is>
      </c>
      <c r="D20" s="52">
        <f>IF(tblInv[[#This Row],[كود العميل]]="","",IFERROR(INDEX(tblCustomers[اسم العميل],MATCH(tblInv[[#This Row],[كود العميل]],tblCustomers[كود العميل],0)),"⚠ كود غير موجود"))</f>
        <v/>
      </c>
      <c r="E20" s="54" t="n">
        <v>27800</v>
      </c>
      <c r="F20" s="49">
        <f>ROUND(tblInv[[#This Row],[المبلغ قبل الضريبة]]*VatRate,2)</f>
        <v/>
      </c>
      <c r="G20" s="48">
        <f>tblInv[[#This Row],[المبلغ قبل الضريبة]]+tblInv[[#This Row],[الضريبة]]</f>
        <v/>
      </c>
      <c r="H20" s="55">
        <f>IFERROR(IF(INDEX(tblCustomers[مدة السداد],MATCH(tblInv[[#This Row],[كود العميل]],tblCustomers[كود العميل],0))="",DefaultTerms,INDEX(tblCustomers[مدة السداد],MATCH(tblInv[[#This Row],[كود العميل]],tblCustomers[كود العميل],0))),DefaultTerms)</f>
        <v/>
      </c>
      <c r="I20" s="56">
        <f>tblInv[[#This Row],[تاريخ الفاتورة]]+tblInv[[#This Row],[مدة السداد]]</f>
        <v/>
      </c>
      <c r="J20" s="49">
        <f>SUMIFS(tblRec[المبلغ],tblRec[رقم الفاتورة],tblInv[[#This Row],[رقم الفاتورة]],tblRec[التاريخ],"&lt;="&amp;AsOf)</f>
        <v/>
      </c>
      <c r="K20" s="48">
        <f>IF(tblInv[[#This Row],[تاريخ الفاتورة]]&gt;AsOf,0,ROUND(tblInv[[#This Row],[الإجمالي]]-tblInv[[#This Row],[المحصّل]],2))</f>
        <v/>
      </c>
      <c r="L20" s="56">
        <f>IF(AgingBasis="من تاريخ الفاتورة",tblInv[[#This Row],[تاريخ الفاتورة]],tblInv[[#This Row],[تاريخ الاستحقاق]])</f>
        <v/>
      </c>
      <c r="M20" s="57">
        <f>IF(tblInv[[#This Row],[المتبقي]]&lt;=0,0,MAX(0,AsOf-tblInv[[#This Row],[تاريخ الأساس]]))</f>
        <v/>
      </c>
      <c r="N2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0" s="44" t="n"/>
      <c r="Q2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0" s="52">
        <f>IF(AND(tblInv[[#This Row],[كود العميل]]=StCust,tblInv[[#This Row],[تاريخ الفاتورة]]&gt;=StFrom,tblInv[[#This Row],[تاريخ الفاتورة]]&lt;=StTo),tblInv[[#This Row],[تاريخ الفاتورة]]*100000+ROW(),"")</f>
        <v/>
      </c>
      <c r="S20" s="52">
        <f>IF(tblInv[[#This Row],[مفتاح الكشف]]="","",COUNTIF(tblInv[مفتاح الكشف],"&lt;"&amp;tblInv[[#This Row],[مفتاح الكشف]])+COUNTIF(tblRec[مفتاح الكشف],"&lt;"&amp;tblInv[[#This Row],[مفتاح الكشف]])+1)</f>
        <v/>
      </c>
    </row>
    <row r="21">
      <c r="A21" s="43" t="inlineStr">
        <is>
          <t>INV-2025-0017</t>
        </is>
      </c>
      <c r="B21" s="53" t="n">
        <v>46006</v>
      </c>
      <c r="C21" s="43" t="inlineStr">
        <is>
          <t>C006</t>
        </is>
      </c>
      <c r="D21" s="52">
        <f>IF(tblInv[[#This Row],[كود العميل]]="","",IFERROR(INDEX(tblCustomers[اسم العميل],MATCH(tblInv[[#This Row],[كود العميل]],tblCustomers[كود العميل],0)),"⚠ كود غير موجود"))</f>
        <v/>
      </c>
      <c r="E21" s="54" t="n">
        <v>34050</v>
      </c>
      <c r="F21" s="49">
        <f>ROUND(tblInv[[#This Row],[المبلغ قبل الضريبة]]*VatRate,2)</f>
        <v/>
      </c>
      <c r="G21" s="48">
        <f>tblInv[[#This Row],[المبلغ قبل الضريبة]]+tblInv[[#This Row],[الضريبة]]</f>
        <v/>
      </c>
      <c r="H21" s="55">
        <f>IFERROR(IF(INDEX(tblCustomers[مدة السداد],MATCH(tblInv[[#This Row],[كود العميل]],tblCustomers[كود العميل],0))="",DefaultTerms,INDEX(tblCustomers[مدة السداد],MATCH(tblInv[[#This Row],[كود العميل]],tblCustomers[كود العميل],0))),DefaultTerms)</f>
        <v/>
      </c>
      <c r="I21" s="56">
        <f>tblInv[[#This Row],[تاريخ الفاتورة]]+tblInv[[#This Row],[مدة السداد]]</f>
        <v/>
      </c>
      <c r="J21" s="49">
        <f>SUMIFS(tblRec[المبلغ],tblRec[رقم الفاتورة],tblInv[[#This Row],[رقم الفاتورة]],tblRec[التاريخ],"&lt;="&amp;AsOf)</f>
        <v/>
      </c>
      <c r="K21" s="48">
        <f>IF(tblInv[[#This Row],[تاريخ الفاتورة]]&gt;AsOf,0,ROUND(tblInv[[#This Row],[الإجمالي]]-tblInv[[#This Row],[المحصّل]],2))</f>
        <v/>
      </c>
      <c r="L21" s="56">
        <f>IF(AgingBasis="من تاريخ الفاتورة",tblInv[[#This Row],[تاريخ الفاتورة]],tblInv[[#This Row],[تاريخ الاستحقاق]])</f>
        <v/>
      </c>
      <c r="M21" s="57">
        <f>IF(tblInv[[#This Row],[المتبقي]]&lt;=0,0,MAX(0,AsOf-tblInv[[#This Row],[تاريخ الأساس]]))</f>
        <v/>
      </c>
      <c r="N2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1" s="44" t="n"/>
      <c r="Q2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1" s="52">
        <f>IF(AND(tblInv[[#This Row],[كود العميل]]=StCust,tblInv[[#This Row],[تاريخ الفاتورة]]&gt;=StFrom,tblInv[[#This Row],[تاريخ الفاتورة]]&lt;=StTo),tblInv[[#This Row],[تاريخ الفاتورة]]*100000+ROW(),"")</f>
        <v/>
      </c>
      <c r="S21" s="52">
        <f>IF(tblInv[[#This Row],[مفتاح الكشف]]="","",COUNTIF(tblInv[مفتاح الكشف],"&lt;"&amp;tblInv[[#This Row],[مفتاح الكشف]])+COUNTIF(tblRec[مفتاح الكشف],"&lt;"&amp;tblInv[[#This Row],[مفتاح الكشف]])+1)</f>
        <v/>
      </c>
    </row>
    <row r="22">
      <c r="A22" s="43" t="inlineStr">
        <is>
          <t>INV-2025-0018</t>
        </is>
      </c>
      <c r="B22" s="53" t="n">
        <v>46012</v>
      </c>
      <c r="C22" s="43" t="inlineStr">
        <is>
          <t>C015</t>
        </is>
      </c>
      <c r="D22" s="52">
        <f>IF(tblInv[[#This Row],[كود العميل]]="","",IFERROR(INDEX(tblCustomers[اسم العميل],MATCH(tblInv[[#This Row],[كود العميل]],tblCustomers[كود العميل],0)),"⚠ كود غير موجود"))</f>
        <v/>
      </c>
      <c r="E22" s="54" t="n">
        <v>37800</v>
      </c>
      <c r="F22" s="49">
        <f>ROUND(tblInv[[#This Row],[المبلغ قبل الضريبة]]*VatRate,2)</f>
        <v/>
      </c>
      <c r="G22" s="48">
        <f>tblInv[[#This Row],[المبلغ قبل الضريبة]]+tblInv[[#This Row],[الضريبة]]</f>
        <v/>
      </c>
      <c r="H22" s="55">
        <f>IFERROR(IF(INDEX(tblCustomers[مدة السداد],MATCH(tblInv[[#This Row],[كود العميل]],tblCustomers[كود العميل],0))="",DefaultTerms,INDEX(tblCustomers[مدة السداد],MATCH(tblInv[[#This Row],[كود العميل]],tblCustomers[كود العميل],0))),DefaultTerms)</f>
        <v/>
      </c>
      <c r="I22" s="56">
        <f>tblInv[[#This Row],[تاريخ الفاتورة]]+tblInv[[#This Row],[مدة السداد]]</f>
        <v/>
      </c>
      <c r="J22" s="49">
        <f>SUMIFS(tblRec[المبلغ],tblRec[رقم الفاتورة],tblInv[[#This Row],[رقم الفاتورة]],tblRec[التاريخ],"&lt;="&amp;AsOf)</f>
        <v/>
      </c>
      <c r="K22" s="48">
        <f>IF(tblInv[[#This Row],[تاريخ الفاتورة]]&gt;AsOf,0,ROUND(tblInv[[#This Row],[الإجمالي]]-tblInv[[#This Row],[المحصّل]],2))</f>
        <v/>
      </c>
      <c r="L22" s="56">
        <f>IF(AgingBasis="من تاريخ الفاتورة",tblInv[[#This Row],[تاريخ الفاتورة]],tblInv[[#This Row],[تاريخ الاستحقاق]])</f>
        <v/>
      </c>
      <c r="M22" s="57">
        <f>IF(tblInv[[#This Row],[المتبقي]]&lt;=0,0,MAX(0,AsOf-tblInv[[#This Row],[تاريخ الأساس]]))</f>
        <v/>
      </c>
      <c r="N2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2" s="44" t="n"/>
      <c r="Q2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2" s="52">
        <f>IF(AND(tblInv[[#This Row],[كود العميل]]=StCust,tblInv[[#This Row],[تاريخ الفاتورة]]&gt;=StFrom,tblInv[[#This Row],[تاريخ الفاتورة]]&lt;=StTo),tblInv[[#This Row],[تاريخ الفاتورة]]*100000+ROW(),"")</f>
        <v/>
      </c>
      <c r="S22" s="52">
        <f>IF(tblInv[[#This Row],[مفتاح الكشف]]="","",COUNTIF(tblInv[مفتاح الكشف],"&lt;"&amp;tblInv[[#This Row],[مفتاح الكشف]])+COUNTIF(tblRec[مفتاح الكشف],"&lt;"&amp;tblInv[[#This Row],[مفتاح الكشف]])+1)</f>
        <v/>
      </c>
    </row>
    <row r="23">
      <c r="A23" s="43" t="inlineStr">
        <is>
          <t>INV-2025-0019</t>
        </is>
      </c>
      <c r="B23" s="53" t="n">
        <v>46021</v>
      </c>
      <c r="C23" s="43" t="inlineStr">
        <is>
          <t>C009</t>
        </is>
      </c>
      <c r="D23" s="52">
        <f>IF(tblInv[[#This Row],[كود العميل]]="","",IFERROR(INDEX(tblCustomers[اسم العميل],MATCH(tblInv[[#This Row],[كود العميل]],tblCustomers[كود العميل],0)),"⚠ كود غير موجود"))</f>
        <v/>
      </c>
      <c r="E23" s="54" t="n">
        <v>43300</v>
      </c>
      <c r="F23" s="49">
        <f>ROUND(tblInv[[#This Row],[المبلغ قبل الضريبة]]*VatRate,2)</f>
        <v/>
      </c>
      <c r="G23" s="48">
        <f>tblInv[[#This Row],[المبلغ قبل الضريبة]]+tblInv[[#This Row],[الضريبة]]</f>
        <v/>
      </c>
      <c r="H23" s="55">
        <f>IFERROR(IF(INDEX(tblCustomers[مدة السداد],MATCH(tblInv[[#This Row],[كود العميل]],tblCustomers[كود العميل],0))="",DefaultTerms,INDEX(tblCustomers[مدة السداد],MATCH(tblInv[[#This Row],[كود العميل]],tblCustomers[كود العميل],0))),DefaultTerms)</f>
        <v/>
      </c>
      <c r="I23" s="56">
        <f>tblInv[[#This Row],[تاريخ الفاتورة]]+tblInv[[#This Row],[مدة السداد]]</f>
        <v/>
      </c>
      <c r="J23" s="49">
        <f>SUMIFS(tblRec[المبلغ],tblRec[رقم الفاتورة],tblInv[[#This Row],[رقم الفاتورة]],tblRec[التاريخ],"&lt;="&amp;AsOf)</f>
        <v/>
      </c>
      <c r="K23" s="48">
        <f>IF(tblInv[[#This Row],[تاريخ الفاتورة]]&gt;AsOf,0,ROUND(tblInv[[#This Row],[الإجمالي]]-tblInv[[#This Row],[المحصّل]],2))</f>
        <v/>
      </c>
      <c r="L23" s="56">
        <f>IF(AgingBasis="من تاريخ الفاتورة",tblInv[[#This Row],[تاريخ الفاتورة]],tblInv[[#This Row],[تاريخ الاستحقاق]])</f>
        <v/>
      </c>
      <c r="M23" s="57">
        <f>IF(tblInv[[#This Row],[المتبقي]]&lt;=0,0,MAX(0,AsOf-tblInv[[#This Row],[تاريخ الأساس]]))</f>
        <v/>
      </c>
      <c r="N2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3" s="44" t="n"/>
      <c r="Q2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3" s="52">
        <f>IF(AND(tblInv[[#This Row],[كود العميل]]=StCust,tblInv[[#This Row],[تاريخ الفاتورة]]&gt;=StFrom,tblInv[[#This Row],[تاريخ الفاتورة]]&lt;=StTo),tblInv[[#This Row],[تاريخ الفاتورة]]*100000+ROW(),"")</f>
        <v/>
      </c>
      <c r="S23" s="52">
        <f>IF(tblInv[[#This Row],[مفتاح الكشف]]="","",COUNTIF(tblInv[مفتاح الكشف],"&lt;"&amp;tblInv[[#This Row],[مفتاح الكشف]])+COUNTIF(tblRec[مفتاح الكشف],"&lt;"&amp;tblInv[[#This Row],[مفتاح الكشف]])+1)</f>
        <v/>
      </c>
    </row>
    <row r="24">
      <c r="A24" s="43" t="inlineStr">
        <is>
          <t>INV-2025-0020</t>
        </is>
      </c>
      <c r="B24" s="53" t="n">
        <v>46021</v>
      </c>
      <c r="C24" s="43" t="inlineStr">
        <is>
          <t>C004</t>
        </is>
      </c>
      <c r="D24" s="52">
        <f>IF(tblInv[[#This Row],[كود العميل]]="","",IFERROR(INDEX(tblCustomers[اسم العميل],MATCH(tblInv[[#This Row],[كود العميل]],tblCustomers[كود العميل],0)),"⚠ كود غير موجود"))</f>
        <v/>
      </c>
      <c r="E24" s="54" t="n">
        <v>13750</v>
      </c>
      <c r="F24" s="49">
        <f>ROUND(tblInv[[#This Row],[المبلغ قبل الضريبة]]*VatRate,2)</f>
        <v/>
      </c>
      <c r="G24" s="48">
        <f>tblInv[[#This Row],[المبلغ قبل الضريبة]]+tblInv[[#This Row],[الضريبة]]</f>
        <v/>
      </c>
      <c r="H24" s="55">
        <f>IFERROR(IF(INDEX(tblCustomers[مدة السداد],MATCH(tblInv[[#This Row],[كود العميل]],tblCustomers[كود العميل],0))="",DefaultTerms,INDEX(tblCustomers[مدة السداد],MATCH(tblInv[[#This Row],[كود العميل]],tblCustomers[كود العميل],0))),DefaultTerms)</f>
        <v/>
      </c>
      <c r="I24" s="56">
        <f>tblInv[[#This Row],[تاريخ الفاتورة]]+tblInv[[#This Row],[مدة السداد]]</f>
        <v/>
      </c>
      <c r="J24" s="49">
        <f>SUMIFS(tblRec[المبلغ],tblRec[رقم الفاتورة],tblInv[[#This Row],[رقم الفاتورة]],tblRec[التاريخ],"&lt;="&amp;AsOf)</f>
        <v/>
      </c>
      <c r="K24" s="48">
        <f>IF(tblInv[[#This Row],[تاريخ الفاتورة]]&gt;AsOf,0,ROUND(tblInv[[#This Row],[الإجمالي]]-tblInv[[#This Row],[المحصّل]],2))</f>
        <v/>
      </c>
      <c r="L24" s="56">
        <f>IF(AgingBasis="من تاريخ الفاتورة",tblInv[[#This Row],[تاريخ الفاتورة]],tblInv[[#This Row],[تاريخ الاستحقاق]])</f>
        <v/>
      </c>
      <c r="M24" s="57">
        <f>IF(tblInv[[#This Row],[المتبقي]]&lt;=0,0,MAX(0,AsOf-tblInv[[#This Row],[تاريخ الأساس]]))</f>
        <v/>
      </c>
      <c r="N2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4" s="44" t="n"/>
      <c r="Q2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4" s="52">
        <f>IF(AND(tblInv[[#This Row],[كود العميل]]=StCust,tblInv[[#This Row],[تاريخ الفاتورة]]&gt;=StFrom,tblInv[[#This Row],[تاريخ الفاتورة]]&lt;=StTo),tblInv[[#This Row],[تاريخ الفاتورة]]*100000+ROW(),"")</f>
        <v/>
      </c>
      <c r="S24" s="52">
        <f>IF(tblInv[[#This Row],[مفتاح الكشف]]="","",COUNTIF(tblInv[مفتاح الكشف],"&lt;"&amp;tblInv[[#This Row],[مفتاح الكشف]])+COUNTIF(tblRec[مفتاح الكشف],"&lt;"&amp;tblInv[[#This Row],[مفتاح الكشف]])+1)</f>
        <v/>
      </c>
    </row>
    <row r="25">
      <c r="A25" s="43" t="inlineStr">
        <is>
          <t>INV-2026-0021</t>
        </is>
      </c>
      <c r="B25" s="53" t="n">
        <v>46027</v>
      </c>
      <c r="C25" s="43" t="inlineStr">
        <is>
          <t>C002</t>
        </is>
      </c>
      <c r="D25" s="52">
        <f>IF(tblInv[[#This Row],[كود العميل]]="","",IFERROR(INDEX(tblCustomers[اسم العميل],MATCH(tblInv[[#This Row],[كود العميل]],tblCustomers[كود العميل],0)),"⚠ كود غير موجود"))</f>
        <v/>
      </c>
      <c r="E25" s="54" t="n">
        <v>41150</v>
      </c>
      <c r="F25" s="49">
        <f>ROUND(tblInv[[#This Row],[المبلغ قبل الضريبة]]*VatRate,2)</f>
        <v/>
      </c>
      <c r="G25" s="48">
        <f>tblInv[[#This Row],[المبلغ قبل الضريبة]]+tblInv[[#This Row],[الضريبة]]</f>
        <v/>
      </c>
      <c r="H25" s="55">
        <f>IFERROR(IF(INDEX(tblCustomers[مدة السداد],MATCH(tblInv[[#This Row],[كود العميل]],tblCustomers[كود العميل],0))="",DefaultTerms,INDEX(tblCustomers[مدة السداد],MATCH(tblInv[[#This Row],[كود العميل]],tblCustomers[كود العميل],0))),DefaultTerms)</f>
        <v/>
      </c>
      <c r="I25" s="56">
        <f>tblInv[[#This Row],[تاريخ الفاتورة]]+tblInv[[#This Row],[مدة السداد]]</f>
        <v/>
      </c>
      <c r="J25" s="49">
        <f>SUMIFS(tblRec[المبلغ],tblRec[رقم الفاتورة],tblInv[[#This Row],[رقم الفاتورة]],tblRec[التاريخ],"&lt;="&amp;AsOf)</f>
        <v/>
      </c>
      <c r="K25" s="48">
        <f>IF(tblInv[[#This Row],[تاريخ الفاتورة]]&gt;AsOf,0,ROUND(tblInv[[#This Row],[الإجمالي]]-tblInv[[#This Row],[المحصّل]],2))</f>
        <v/>
      </c>
      <c r="L25" s="56">
        <f>IF(AgingBasis="من تاريخ الفاتورة",tblInv[[#This Row],[تاريخ الفاتورة]],tblInv[[#This Row],[تاريخ الاستحقاق]])</f>
        <v/>
      </c>
      <c r="M25" s="57">
        <f>IF(tblInv[[#This Row],[المتبقي]]&lt;=0,0,MAX(0,AsOf-tblInv[[#This Row],[تاريخ الأساس]]))</f>
        <v/>
      </c>
      <c r="N2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5" s="44" t="n"/>
      <c r="Q2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5" s="52">
        <f>IF(AND(tblInv[[#This Row],[كود العميل]]=StCust,tblInv[[#This Row],[تاريخ الفاتورة]]&gt;=StFrom,tblInv[[#This Row],[تاريخ الفاتورة]]&lt;=StTo),tblInv[[#This Row],[تاريخ الفاتورة]]*100000+ROW(),"")</f>
        <v/>
      </c>
      <c r="S25" s="52">
        <f>IF(tblInv[[#This Row],[مفتاح الكشف]]="","",COUNTIF(tblInv[مفتاح الكشف],"&lt;"&amp;tblInv[[#This Row],[مفتاح الكشف]])+COUNTIF(tblRec[مفتاح الكشف],"&lt;"&amp;tblInv[[#This Row],[مفتاح الكشف]])+1)</f>
        <v/>
      </c>
    </row>
    <row r="26">
      <c r="A26" s="43" t="inlineStr">
        <is>
          <t>INV-2026-0022</t>
        </is>
      </c>
      <c r="B26" s="53" t="n">
        <v>46028</v>
      </c>
      <c r="C26" s="43" t="inlineStr">
        <is>
          <t>C007</t>
        </is>
      </c>
      <c r="D26" s="52">
        <f>IF(tblInv[[#This Row],[كود العميل]]="","",IFERROR(INDEX(tblCustomers[اسم العميل],MATCH(tblInv[[#This Row],[كود العميل]],tblCustomers[كود العميل],0)),"⚠ كود غير موجود"))</f>
        <v/>
      </c>
      <c r="E26" s="54" t="n">
        <v>19100</v>
      </c>
      <c r="F26" s="49">
        <f>ROUND(tblInv[[#This Row],[المبلغ قبل الضريبة]]*VatRate,2)</f>
        <v/>
      </c>
      <c r="G26" s="48">
        <f>tblInv[[#This Row],[المبلغ قبل الضريبة]]+tblInv[[#This Row],[الضريبة]]</f>
        <v/>
      </c>
      <c r="H26" s="55">
        <f>IFERROR(IF(INDEX(tblCustomers[مدة السداد],MATCH(tblInv[[#This Row],[كود العميل]],tblCustomers[كود العميل],0))="",DefaultTerms,INDEX(tblCustomers[مدة السداد],MATCH(tblInv[[#This Row],[كود العميل]],tblCustomers[كود العميل],0))),DefaultTerms)</f>
        <v/>
      </c>
      <c r="I26" s="56">
        <f>tblInv[[#This Row],[تاريخ الفاتورة]]+tblInv[[#This Row],[مدة السداد]]</f>
        <v/>
      </c>
      <c r="J26" s="49">
        <f>SUMIFS(tblRec[المبلغ],tblRec[رقم الفاتورة],tblInv[[#This Row],[رقم الفاتورة]],tblRec[التاريخ],"&lt;="&amp;AsOf)</f>
        <v/>
      </c>
      <c r="K26" s="48">
        <f>IF(tblInv[[#This Row],[تاريخ الفاتورة]]&gt;AsOf,0,ROUND(tblInv[[#This Row],[الإجمالي]]-tblInv[[#This Row],[المحصّل]],2))</f>
        <v/>
      </c>
      <c r="L26" s="56">
        <f>IF(AgingBasis="من تاريخ الفاتورة",tblInv[[#This Row],[تاريخ الفاتورة]],tblInv[[#This Row],[تاريخ الاستحقاق]])</f>
        <v/>
      </c>
      <c r="M26" s="57">
        <f>IF(tblInv[[#This Row],[المتبقي]]&lt;=0,0,MAX(0,AsOf-tblInv[[#This Row],[تاريخ الأساس]]))</f>
        <v/>
      </c>
      <c r="N2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6" s="44" t="n"/>
      <c r="Q2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6" s="52">
        <f>IF(AND(tblInv[[#This Row],[كود العميل]]=StCust,tblInv[[#This Row],[تاريخ الفاتورة]]&gt;=StFrom,tblInv[[#This Row],[تاريخ الفاتورة]]&lt;=StTo),tblInv[[#This Row],[تاريخ الفاتورة]]*100000+ROW(),"")</f>
        <v/>
      </c>
      <c r="S26" s="52">
        <f>IF(tblInv[[#This Row],[مفتاح الكشف]]="","",COUNTIF(tblInv[مفتاح الكشف],"&lt;"&amp;tblInv[[#This Row],[مفتاح الكشف]])+COUNTIF(tblRec[مفتاح الكشف],"&lt;"&amp;tblInv[[#This Row],[مفتاح الكشف]])+1)</f>
        <v/>
      </c>
    </row>
    <row r="27">
      <c r="A27" s="43" t="inlineStr">
        <is>
          <t>INV-2026-0023</t>
        </is>
      </c>
      <c r="B27" s="53" t="n">
        <v>46035</v>
      </c>
      <c r="C27" s="43" t="inlineStr">
        <is>
          <t>C006</t>
        </is>
      </c>
      <c r="D27" s="52">
        <f>IF(tblInv[[#This Row],[كود العميل]]="","",IFERROR(INDEX(tblCustomers[اسم العميل],MATCH(tblInv[[#This Row],[كود العميل]],tblCustomers[كود العميل],0)),"⚠ كود غير موجود"))</f>
        <v/>
      </c>
      <c r="E27" s="54" t="n">
        <v>14400</v>
      </c>
      <c r="F27" s="49">
        <f>ROUND(tblInv[[#This Row],[المبلغ قبل الضريبة]]*VatRate,2)</f>
        <v/>
      </c>
      <c r="G27" s="48">
        <f>tblInv[[#This Row],[المبلغ قبل الضريبة]]+tblInv[[#This Row],[الضريبة]]</f>
        <v/>
      </c>
      <c r="H27" s="55">
        <f>IFERROR(IF(INDEX(tblCustomers[مدة السداد],MATCH(tblInv[[#This Row],[كود العميل]],tblCustomers[كود العميل],0))="",DefaultTerms,INDEX(tblCustomers[مدة السداد],MATCH(tblInv[[#This Row],[كود العميل]],tblCustomers[كود العميل],0))),DefaultTerms)</f>
        <v/>
      </c>
      <c r="I27" s="56">
        <f>tblInv[[#This Row],[تاريخ الفاتورة]]+tblInv[[#This Row],[مدة السداد]]</f>
        <v/>
      </c>
      <c r="J27" s="49">
        <f>SUMIFS(tblRec[المبلغ],tblRec[رقم الفاتورة],tblInv[[#This Row],[رقم الفاتورة]],tblRec[التاريخ],"&lt;="&amp;AsOf)</f>
        <v/>
      </c>
      <c r="K27" s="48">
        <f>IF(tblInv[[#This Row],[تاريخ الفاتورة]]&gt;AsOf,0,ROUND(tblInv[[#This Row],[الإجمالي]]-tblInv[[#This Row],[المحصّل]],2))</f>
        <v/>
      </c>
      <c r="L27" s="56">
        <f>IF(AgingBasis="من تاريخ الفاتورة",tblInv[[#This Row],[تاريخ الفاتورة]],tblInv[[#This Row],[تاريخ الاستحقاق]])</f>
        <v/>
      </c>
      <c r="M27" s="57">
        <f>IF(tblInv[[#This Row],[المتبقي]]&lt;=0,0,MAX(0,AsOf-tblInv[[#This Row],[تاريخ الأساس]]))</f>
        <v/>
      </c>
      <c r="N2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7" s="44" t="n"/>
      <c r="Q2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7" s="52">
        <f>IF(AND(tblInv[[#This Row],[كود العميل]]=StCust,tblInv[[#This Row],[تاريخ الفاتورة]]&gt;=StFrom,tblInv[[#This Row],[تاريخ الفاتورة]]&lt;=StTo),tblInv[[#This Row],[تاريخ الفاتورة]]*100000+ROW(),"")</f>
        <v/>
      </c>
      <c r="S27" s="52">
        <f>IF(tblInv[[#This Row],[مفتاح الكشف]]="","",COUNTIF(tblInv[مفتاح الكشف],"&lt;"&amp;tblInv[[#This Row],[مفتاح الكشف]])+COUNTIF(tblRec[مفتاح الكشف],"&lt;"&amp;tblInv[[#This Row],[مفتاح الكشف]])+1)</f>
        <v/>
      </c>
    </row>
    <row r="28">
      <c r="A28" s="43" t="inlineStr">
        <is>
          <t>INV-2026-0024</t>
        </is>
      </c>
      <c r="B28" s="53" t="n">
        <v>46037</v>
      </c>
      <c r="C28" s="43" t="inlineStr">
        <is>
          <t>C005</t>
        </is>
      </c>
      <c r="D28" s="52">
        <f>IF(tblInv[[#This Row],[كود العميل]]="","",IFERROR(INDEX(tblCustomers[اسم العميل],MATCH(tblInv[[#This Row],[كود العميل]],tblCustomers[كود العميل],0)),"⚠ كود غير موجود"))</f>
        <v/>
      </c>
      <c r="E28" s="54" t="n">
        <v>21250</v>
      </c>
      <c r="F28" s="49">
        <f>ROUND(tblInv[[#This Row],[المبلغ قبل الضريبة]]*VatRate,2)</f>
        <v/>
      </c>
      <c r="G28" s="48">
        <f>tblInv[[#This Row],[المبلغ قبل الضريبة]]+tblInv[[#This Row],[الضريبة]]</f>
        <v/>
      </c>
      <c r="H28" s="55">
        <f>IFERROR(IF(INDEX(tblCustomers[مدة السداد],MATCH(tblInv[[#This Row],[كود العميل]],tblCustomers[كود العميل],0))="",DefaultTerms,INDEX(tblCustomers[مدة السداد],MATCH(tblInv[[#This Row],[كود العميل]],tblCustomers[كود العميل],0))),DefaultTerms)</f>
        <v/>
      </c>
      <c r="I28" s="56">
        <f>tblInv[[#This Row],[تاريخ الفاتورة]]+tblInv[[#This Row],[مدة السداد]]</f>
        <v/>
      </c>
      <c r="J28" s="49">
        <f>SUMIFS(tblRec[المبلغ],tblRec[رقم الفاتورة],tblInv[[#This Row],[رقم الفاتورة]],tblRec[التاريخ],"&lt;="&amp;AsOf)</f>
        <v/>
      </c>
      <c r="K28" s="48">
        <f>IF(tblInv[[#This Row],[تاريخ الفاتورة]]&gt;AsOf,0,ROUND(tblInv[[#This Row],[الإجمالي]]-tblInv[[#This Row],[المحصّل]],2))</f>
        <v/>
      </c>
      <c r="L28" s="56">
        <f>IF(AgingBasis="من تاريخ الفاتورة",tblInv[[#This Row],[تاريخ الفاتورة]],tblInv[[#This Row],[تاريخ الاستحقاق]])</f>
        <v/>
      </c>
      <c r="M28" s="57">
        <f>IF(tblInv[[#This Row],[المتبقي]]&lt;=0,0,MAX(0,AsOf-tblInv[[#This Row],[تاريخ الأساس]]))</f>
        <v/>
      </c>
      <c r="N2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8" s="44" t="n"/>
      <c r="Q2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8" s="52">
        <f>IF(AND(tblInv[[#This Row],[كود العميل]]=StCust,tblInv[[#This Row],[تاريخ الفاتورة]]&gt;=StFrom,tblInv[[#This Row],[تاريخ الفاتورة]]&lt;=StTo),tblInv[[#This Row],[تاريخ الفاتورة]]*100000+ROW(),"")</f>
        <v/>
      </c>
      <c r="S28" s="52">
        <f>IF(tblInv[[#This Row],[مفتاح الكشف]]="","",COUNTIF(tblInv[مفتاح الكشف],"&lt;"&amp;tblInv[[#This Row],[مفتاح الكشف]])+COUNTIF(tblRec[مفتاح الكشف],"&lt;"&amp;tblInv[[#This Row],[مفتاح الكشف]])+1)</f>
        <v/>
      </c>
    </row>
    <row r="29">
      <c r="A29" s="43" t="inlineStr">
        <is>
          <t>INV-2026-0025</t>
        </is>
      </c>
      <c r="B29" s="53" t="n">
        <v>46037</v>
      </c>
      <c r="C29" s="43" t="inlineStr">
        <is>
          <t>C015</t>
        </is>
      </c>
      <c r="D29" s="52">
        <f>IF(tblInv[[#This Row],[كود العميل]]="","",IFERROR(INDEX(tblCustomers[اسم العميل],MATCH(tblInv[[#This Row],[كود العميل]],tblCustomers[كود العميل],0)),"⚠ كود غير موجود"))</f>
        <v/>
      </c>
      <c r="E29" s="54" t="n">
        <v>23650</v>
      </c>
      <c r="F29" s="49">
        <f>ROUND(tblInv[[#This Row],[المبلغ قبل الضريبة]]*VatRate,2)</f>
        <v/>
      </c>
      <c r="G29" s="48">
        <f>tblInv[[#This Row],[المبلغ قبل الضريبة]]+tblInv[[#This Row],[الضريبة]]</f>
        <v/>
      </c>
      <c r="H29" s="55">
        <f>IFERROR(IF(INDEX(tblCustomers[مدة السداد],MATCH(tblInv[[#This Row],[كود العميل]],tblCustomers[كود العميل],0))="",DefaultTerms,INDEX(tblCustomers[مدة السداد],MATCH(tblInv[[#This Row],[كود العميل]],tblCustomers[كود العميل],0))),DefaultTerms)</f>
        <v/>
      </c>
      <c r="I29" s="56">
        <f>tblInv[[#This Row],[تاريخ الفاتورة]]+tblInv[[#This Row],[مدة السداد]]</f>
        <v/>
      </c>
      <c r="J29" s="49">
        <f>SUMIFS(tblRec[المبلغ],tblRec[رقم الفاتورة],tblInv[[#This Row],[رقم الفاتورة]],tblRec[التاريخ],"&lt;="&amp;AsOf)</f>
        <v/>
      </c>
      <c r="K29" s="48">
        <f>IF(tblInv[[#This Row],[تاريخ الفاتورة]]&gt;AsOf,0,ROUND(tblInv[[#This Row],[الإجمالي]]-tblInv[[#This Row],[المحصّل]],2))</f>
        <v/>
      </c>
      <c r="L29" s="56">
        <f>IF(AgingBasis="من تاريخ الفاتورة",tblInv[[#This Row],[تاريخ الفاتورة]],tblInv[[#This Row],[تاريخ الاستحقاق]])</f>
        <v/>
      </c>
      <c r="M29" s="57">
        <f>IF(tblInv[[#This Row],[المتبقي]]&lt;=0,0,MAX(0,AsOf-tblInv[[#This Row],[تاريخ الأساس]]))</f>
        <v/>
      </c>
      <c r="N2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9" s="44" t="n"/>
      <c r="Q2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9" s="52">
        <f>IF(AND(tblInv[[#This Row],[كود العميل]]=StCust,tblInv[[#This Row],[تاريخ الفاتورة]]&gt;=StFrom,tblInv[[#This Row],[تاريخ الفاتورة]]&lt;=StTo),tblInv[[#This Row],[تاريخ الفاتورة]]*100000+ROW(),"")</f>
        <v/>
      </c>
      <c r="S29" s="52">
        <f>IF(tblInv[[#This Row],[مفتاح الكشف]]="","",COUNTIF(tblInv[مفتاح الكشف],"&lt;"&amp;tblInv[[#This Row],[مفتاح الكشف]])+COUNTIF(tblRec[مفتاح الكشف],"&lt;"&amp;tblInv[[#This Row],[مفتاح الكشف]])+1)</f>
        <v/>
      </c>
    </row>
    <row r="30">
      <c r="A30" s="43" t="inlineStr">
        <is>
          <t>INV-2026-0026</t>
        </is>
      </c>
      <c r="B30" s="53" t="n">
        <v>46048</v>
      </c>
      <c r="C30" s="43" t="inlineStr">
        <is>
          <t>C002</t>
        </is>
      </c>
      <c r="D30" s="52">
        <f>IF(tblInv[[#This Row],[كود العميل]]="","",IFERROR(INDEX(tblCustomers[اسم العميل],MATCH(tblInv[[#This Row],[كود العميل]],tblCustomers[كود العميل],0)),"⚠ كود غير موجود"))</f>
        <v/>
      </c>
      <c r="E30" s="54" t="n">
        <v>11200</v>
      </c>
      <c r="F30" s="49">
        <f>ROUND(tblInv[[#This Row],[المبلغ قبل الضريبة]]*VatRate,2)</f>
        <v/>
      </c>
      <c r="G30" s="48">
        <f>tblInv[[#This Row],[المبلغ قبل الضريبة]]+tblInv[[#This Row],[الضريبة]]</f>
        <v/>
      </c>
      <c r="H30" s="55">
        <f>IFERROR(IF(INDEX(tblCustomers[مدة السداد],MATCH(tblInv[[#This Row],[كود العميل]],tblCustomers[كود العميل],0))="",DefaultTerms,INDEX(tblCustomers[مدة السداد],MATCH(tblInv[[#This Row],[كود العميل]],tblCustomers[كود العميل],0))),DefaultTerms)</f>
        <v/>
      </c>
      <c r="I30" s="56">
        <f>tblInv[[#This Row],[تاريخ الفاتورة]]+tblInv[[#This Row],[مدة السداد]]</f>
        <v/>
      </c>
      <c r="J30" s="49">
        <f>SUMIFS(tblRec[المبلغ],tblRec[رقم الفاتورة],tblInv[[#This Row],[رقم الفاتورة]],tblRec[التاريخ],"&lt;="&amp;AsOf)</f>
        <v/>
      </c>
      <c r="K30" s="48">
        <f>IF(tblInv[[#This Row],[تاريخ الفاتورة]]&gt;AsOf,0,ROUND(tblInv[[#This Row],[الإجمالي]]-tblInv[[#This Row],[المحصّل]],2))</f>
        <v/>
      </c>
      <c r="L30" s="56">
        <f>IF(AgingBasis="من تاريخ الفاتورة",tblInv[[#This Row],[تاريخ الفاتورة]],tblInv[[#This Row],[تاريخ الاستحقاق]])</f>
        <v/>
      </c>
      <c r="M30" s="57">
        <f>IF(tblInv[[#This Row],[المتبقي]]&lt;=0,0,MAX(0,AsOf-tblInv[[#This Row],[تاريخ الأساس]]))</f>
        <v/>
      </c>
      <c r="N3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0" s="44" t="n"/>
      <c r="Q3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0" s="52">
        <f>IF(AND(tblInv[[#This Row],[كود العميل]]=StCust,tblInv[[#This Row],[تاريخ الفاتورة]]&gt;=StFrom,tblInv[[#This Row],[تاريخ الفاتورة]]&lt;=StTo),tblInv[[#This Row],[تاريخ الفاتورة]]*100000+ROW(),"")</f>
        <v/>
      </c>
      <c r="S30" s="52">
        <f>IF(tblInv[[#This Row],[مفتاح الكشف]]="","",COUNTIF(tblInv[مفتاح الكشف],"&lt;"&amp;tblInv[[#This Row],[مفتاح الكشف]])+COUNTIF(tblRec[مفتاح الكشف],"&lt;"&amp;tblInv[[#This Row],[مفتاح الكشف]])+1)</f>
        <v/>
      </c>
    </row>
    <row r="31">
      <c r="A31" s="43" t="inlineStr">
        <is>
          <t>INV-2026-0027</t>
        </is>
      </c>
      <c r="B31" s="53" t="n">
        <v>46060</v>
      </c>
      <c r="C31" s="43" t="inlineStr">
        <is>
          <t>C011</t>
        </is>
      </c>
      <c r="D31" s="52">
        <f>IF(tblInv[[#This Row],[كود العميل]]="","",IFERROR(INDEX(tblCustomers[اسم العميل],MATCH(tblInv[[#This Row],[كود العميل]],tblCustomers[كود العميل],0)),"⚠ كود غير موجود"))</f>
        <v/>
      </c>
      <c r="E31" s="54" t="n">
        <v>22950</v>
      </c>
      <c r="F31" s="49">
        <f>ROUND(tblInv[[#This Row],[المبلغ قبل الضريبة]]*VatRate,2)</f>
        <v/>
      </c>
      <c r="G31" s="48">
        <f>tblInv[[#This Row],[المبلغ قبل الضريبة]]+tblInv[[#This Row],[الضريبة]]</f>
        <v/>
      </c>
      <c r="H31" s="55">
        <f>IFERROR(IF(INDEX(tblCustomers[مدة السداد],MATCH(tblInv[[#This Row],[كود العميل]],tblCustomers[كود العميل],0))="",DefaultTerms,INDEX(tblCustomers[مدة السداد],MATCH(tblInv[[#This Row],[كود العميل]],tblCustomers[كود العميل],0))),DefaultTerms)</f>
        <v/>
      </c>
      <c r="I31" s="56">
        <f>tblInv[[#This Row],[تاريخ الفاتورة]]+tblInv[[#This Row],[مدة السداد]]</f>
        <v/>
      </c>
      <c r="J31" s="49">
        <f>SUMIFS(tblRec[المبلغ],tblRec[رقم الفاتورة],tblInv[[#This Row],[رقم الفاتورة]],tblRec[التاريخ],"&lt;="&amp;AsOf)</f>
        <v/>
      </c>
      <c r="K31" s="48">
        <f>IF(tblInv[[#This Row],[تاريخ الفاتورة]]&gt;AsOf,0,ROUND(tblInv[[#This Row],[الإجمالي]]-tblInv[[#This Row],[المحصّل]],2))</f>
        <v/>
      </c>
      <c r="L31" s="56">
        <f>IF(AgingBasis="من تاريخ الفاتورة",tblInv[[#This Row],[تاريخ الفاتورة]],tblInv[[#This Row],[تاريخ الاستحقاق]])</f>
        <v/>
      </c>
      <c r="M31" s="57">
        <f>IF(tblInv[[#This Row],[المتبقي]]&lt;=0,0,MAX(0,AsOf-tblInv[[#This Row],[تاريخ الأساس]]))</f>
        <v/>
      </c>
      <c r="N3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1" s="44" t="n"/>
      <c r="Q3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1" s="52">
        <f>IF(AND(tblInv[[#This Row],[كود العميل]]=StCust,tblInv[[#This Row],[تاريخ الفاتورة]]&gt;=StFrom,tblInv[[#This Row],[تاريخ الفاتورة]]&lt;=StTo),tblInv[[#This Row],[تاريخ الفاتورة]]*100000+ROW(),"")</f>
        <v/>
      </c>
      <c r="S31" s="52">
        <f>IF(tblInv[[#This Row],[مفتاح الكشف]]="","",COUNTIF(tblInv[مفتاح الكشف],"&lt;"&amp;tblInv[[#This Row],[مفتاح الكشف]])+COUNTIF(tblRec[مفتاح الكشف],"&lt;"&amp;tblInv[[#This Row],[مفتاح الكشف]])+1)</f>
        <v/>
      </c>
    </row>
    <row r="32">
      <c r="A32" s="43" t="inlineStr">
        <is>
          <t>INV-2026-0028</t>
        </is>
      </c>
      <c r="B32" s="53" t="n">
        <v>46069</v>
      </c>
      <c r="C32" s="43" t="inlineStr">
        <is>
          <t>C014</t>
        </is>
      </c>
      <c r="D32" s="52">
        <f>IF(tblInv[[#This Row],[كود العميل]]="","",IFERROR(INDEX(tblCustomers[اسم العميل],MATCH(tblInv[[#This Row],[كود العميل]],tblCustomers[كود العميل],0)),"⚠ كود غير موجود"))</f>
        <v/>
      </c>
      <c r="E32" s="54" t="n">
        <v>15050</v>
      </c>
      <c r="F32" s="49">
        <f>ROUND(tblInv[[#This Row],[المبلغ قبل الضريبة]]*VatRate,2)</f>
        <v/>
      </c>
      <c r="G32" s="48">
        <f>tblInv[[#This Row],[المبلغ قبل الضريبة]]+tblInv[[#This Row],[الضريبة]]</f>
        <v/>
      </c>
      <c r="H32" s="55">
        <f>IFERROR(IF(INDEX(tblCustomers[مدة السداد],MATCH(tblInv[[#This Row],[كود العميل]],tblCustomers[كود العميل],0))="",DefaultTerms,INDEX(tblCustomers[مدة السداد],MATCH(tblInv[[#This Row],[كود العميل]],tblCustomers[كود العميل],0))),DefaultTerms)</f>
        <v/>
      </c>
      <c r="I32" s="56">
        <f>tblInv[[#This Row],[تاريخ الفاتورة]]+tblInv[[#This Row],[مدة السداد]]</f>
        <v/>
      </c>
      <c r="J32" s="49">
        <f>SUMIFS(tblRec[المبلغ],tblRec[رقم الفاتورة],tblInv[[#This Row],[رقم الفاتورة]],tblRec[التاريخ],"&lt;="&amp;AsOf)</f>
        <v/>
      </c>
      <c r="K32" s="48">
        <f>IF(tblInv[[#This Row],[تاريخ الفاتورة]]&gt;AsOf,0,ROUND(tblInv[[#This Row],[الإجمالي]]-tblInv[[#This Row],[المحصّل]],2))</f>
        <v/>
      </c>
      <c r="L32" s="56">
        <f>IF(AgingBasis="من تاريخ الفاتورة",tblInv[[#This Row],[تاريخ الفاتورة]],tblInv[[#This Row],[تاريخ الاستحقاق]])</f>
        <v/>
      </c>
      <c r="M32" s="57">
        <f>IF(tblInv[[#This Row],[المتبقي]]&lt;=0,0,MAX(0,AsOf-tblInv[[#This Row],[تاريخ الأساس]]))</f>
        <v/>
      </c>
      <c r="N3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2" s="44" t="n"/>
      <c r="Q3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2" s="52">
        <f>IF(AND(tblInv[[#This Row],[كود العميل]]=StCust,tblInv[[#This Row],[تاريخ الفاتورة]]&gt;=StFrom,tblInv[[#This Row],[تاريخ الفاتورة]]&lt;=StTo),tblInv[[#This Row],[تاريخ الفاتورة]]*100000+ROW(),"")</f>
        <v/>
      </c>
      <c r="S32" s="52">
        <f>IF(tblInv[[#This Row],[مفتاح الكشف]]="","",COUNTIF(tblInv[مفتاح الكشف],"&lt;"&amp;tblInv[[#This Row],[مفتاح الكشف]])+COUNTIF(tblRec[مفتاح الكشف],"&lt;"&amp;tblInv[[#This Row],[مفتاح الكشف]])+1)</f>
        <v/>
      </c>
    </row>
    <row r="33">
      <c r="A33" s="43" t="inlineStr">
        <is>
          <t>INV-2026-0029</t>
        </is>
      </c>
      <c r="B33" s="53" t="n">
        <v>46071</v>
      </c>
      <c r="C33" s="43" t="inlineStr">
        <is>
          <t>C002</t>
        </is>
      </c>
      <c r="D33" s="52">
        <f>IF(tblInv[[#This Row],[كود العميل]]="","",IFERROR(INDEX(tblCustomers[اسم العميل],MATCH(tblInv[[#This Row],[كود العميل]],tblCustomers[كود العميل],0)),"⚠ كود غير موجود"))</f>
        <v/>
      </c>
      <c r="E33" s="54" t="n">
        <v>42800</v>
      </c>
      <c r="F33" s="49">
        <f>ROUND(tblInv[[#This Row],[المبلغ قبل الضريبة]]*VatRate,2)</f>
        <v/>
      </c>
      <c r="G33" s="48">
        <f>tblInv[[#This Row],[المبلغ قبل الضريبة]]+tblInv[[#This Row],[الضريبة]]</f>
        <v/>
      </c>
      <c r="H33" s="55">
        <f>IFERROR(IF(INDEX(tblCustomers[مدة السداد],MATCH(tblInv[[#This Row],[كود العميل]],tblCustomers[كود العميل],0))="",DefaultTerms,INDEX(tblCustomers[مدة السداد],MATCH(tblInv[[#This Row],[كود العميل]],tblCustomers[كود العميل],0))),DefaultTerms)</f>
        <v/>
      </c>
      <c r="I33" s="56">
        <f>tblInv[[#This Row],[تاريخ الفاتورة]]+tblInv[[#This Row],[مدة السداد]]</f>
        <v/>
      </c>
      <c r="J33" s="49">
        <f>SUMIFS(tblRec[المبلغ],tblRec[رقم الفاتورة],tblInv[[#This Row],[رقم الفاتورة]],tblRec[التاريخ],"&lt;="&amp;AsOf)</f>
        <v/>
      </c>
      <c r="K33" s="48">
        <f>IF(tblInv[[#This Row],[تاريخ الفاتورة]]&gt;AsOf,0,ROUND(tblInv[[#This Row],[الإجمالي]]-tblInv[[#This Row],[المحصّل]],2))</f>
        <v/>
      </c>
      <c r="L33" s="56">
        <f>IF(AgingBasis="من تاريخ الفاتورة",tblInv[[#This Row],[تاريخ الفاتورة]],tblInv[[#This Row],[تاريخ الاستحقاق]])</f>
        <v/>
      </c>
      <c r="M33" s="57">
        <f>IF(tblInv[[#This Row],[المتبقي]]&lt;=0,0,MAX(0,AsOf-tblInv[[#This Row],[تاريخ الأساس]]))</f>
        <v/>
      </c>
      <c r="N3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3" s="44" t="n"/>
      <c r="Q3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3" s="52">
        <f>IF(AND(tblInv[[#This Row],[كود العميل]]=StCust,tblInv[[#This Row],[تاريخ الفاتورة]]&gt;=StFrom,tblInv[[#This Row],[تاريخ الفاتورة]]&lt;=StTo),tblInv[[#This Row],[تاريخ الفاتورة]]*100000+ROW(),"")</f>
        <v/>
      </c>
      <c r="S33" s="52">
        <f>IF(tblInv[[#This Row],[مفتاح الكشف]]="","",COUNTIF(tblInv[مفتاح الكشف],"&lt;"&amp;tblInv[[#This Row],[مفتاح الكشف]])+COUNTIF(tblRec[مفتاح الكشف],"&lt;"&amp;tblInv[[#This Row],[مفتاح الكشف]])+1)</f>
        <v/>
      </c>
    </row>
    <row r="34">
      <c r="A34" s="43" t="inlineStr">
        <is>
          <t>INV-2026-0030</t>
        </is>
      </c>
      <c r="B34" s="53" t="n">
        <v>46071</v>
      </c>
      <c r="C34" s="43" t="inlineStr">
        <is>
          <t>C008</t>
        </is>
      </c>
      <c r="D34" s="52">
        <f>IF(tblInv[[#This Row],[كود العميل]]="","",IFERROR(INDEX(tblCustomers[اسم العميل],MATCH(tblInv[[#This Row],[كود العميل]],tblCustomers[كود العميل],0)),"⚠ كود غير موجود"))</f>
        <v/>
      </c>
      <c r="E34" s="54" t="n">
        <v>39950</v>
      </c>
      <c r="F34" s="49">
        <f>ROUND(tblInv[[#This Row],[المبلغ قبل الضريبة]]*VatRate,2)</f>
        <v/>
      </c>
      <c r="G34" s="48">
        <f>tblInv[[#This Row],[المبلغ قبل الضريبة]]+tblInv[[#This Row],[الضريبة]]</f>
        <v/>
      </c>
      <c r="H34" s="55">
        <f>IFERROR(IF(INDEX(tblCustomers[مدة السداد],MATCH(tblInv[[#This Row],[كود العميل]],tblCustomers[كود العميل],0))="",DefaultTerms,INDEX(tblCustomers[مدة السداد],MATCH(tblInv[[#This Row],[كود العميل]],tblCustomers[كود العميل],0))),DefaultTerms)</f>
        <v/>
      </c>
      <c r="I34" s="56">
        <f>tblInv[[#This Row],[تاريخ الفاتورة]]+tblInv[[#This Row],[مدة السداد]]</f>
        <v/>
      </c>
      <c r="J34" s="49">
        <f>SUMIFS(tblRec[المبلغ],tblRec[رقم الفاتورة],tblInv[[#This Row],[رقم الفاتورة]],tblRec[التاريخ],"&lt;="&amp;AsOf)</f>
        <v/>
      </c>
      <c r="K34" s="48">
        <f>IF(tblInv[[#This Row],[تاريخ الفاتورة]]&gt;AsOf,0,ROUND(tblInv[[#This Row],[الإجمالي]]-tblInv[[#This Row],[المحصّل]],2))</f>
        <v/>
      </c>
      <c r="L34" s="56">
        <f>IF(AgingBasis="من تاريخ الفاتورة",tblInv[[#This Row],[تاريخ الفاتورة]],tblInv[[#This Row],[تاريخ الاستحقاق]])</f>
        <v/>
      </c>
      <c r="M34" s="57">
        <f>IF(tblInv[[#This Row],[المتبقي]]&lt;=0,0,MAX(0,AsOf-tblInv[[#This Row],[تاريخ الأساس]]))</f>
        <v/>
      </c>
      <c r="N3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4" s="44" t="n"/>
      <c r="Q3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4" s="52">
        <f>IF(AND(tblInv[[#This Row],[كود العميل]]=StCust,tblInv[[#This Row],[تاريخ الفاتورة]]&gt;=StFrom,tblInv[[#This Row],[تاريخ الفاتورة]]&lt;=StTo),tblInv[[#This Row],[تاريخ الفاتورة]]*100000+ROW(),"")</f>
        <v/>
      </c>
      <c r="S34" s="52">
        <f>IF(tblInv[[#This Row],[مفتاح الكشف]]="","",COUNTIF(tblInv[مفتاح الكشف],"&lt;"&amp;tblInv[[#This Row],[مفتاح الكشف]])+COUNTIF(tblRec[مفتاح الكشف],"&lt;"&amp;tblInv[[#This Row],[مفتاح الكشف]])+1)</f>
        <v/>
      </c>
    </row>
    <row r="35">
      <c r="A35" s="43" t="inlineStr">
        <is>
          <t>INV-2026-0031</t>
        </is>
      </c>
      <c r="B35" s="53" t="n">
        <v>46072</v>
      </c>
      <c r="C35" s="43" t="inlineStr">
        <is>
          <t>C011</t>
        </is>
      </c>
      <c r="D35" s="52">
        <f>IF(tblInv[[#This Row],[كود العميل]]="","",IFERROR(INDEX(tblCustomers[اسم العميل],MATCH(tblInv[[#This Row],[كود العميل]],tblCustomers[كود العميل],0)),"⚠ كود غير موجود"))</f>
        <v/>
      </c>
      <c r="E35" s="54" t="n">
        <v>12900</v>
      </c>
      <c r="F35" s="49">
        <f>ROUND(tblInv[[#This Row],[المبلغ قبل الضريبة]]*VatRate,2)</f>
        <v/>
      </c>
      <c r="G35" s="48">
        <f>tblInv[[#This Row],[المبلغ قبل الضريبة]]+tblInv[[#This Row],[الضريبة]]</f>
        <v/>
      </c>
      <c r="H35" s="55">
        <f>IFERROR(IF(INDEX(tblCustomers[مدة السداد],MATCH(tblInv[[#This Row],[كود العميل]],tblCustomers[كود العميل],0))="",DefaultTerms,INDEX(tblCustomers[مدة السداد],MATCH(tblInv[[#This Row],[كود العميل]],tblCustomers[كود العميل],0))),DefaultTerms)</f>
        <v/>
      </c>
      <c r="I35" s="56">
        <f>tblInv[[#This Row],[تاريخ الفاتورة]]+tblInv[[#This Row],[مدة السداد]]</f>
        <v/>
      </c>
      <c r="J35" s="49">
        <f>SUMIFS(tblRec[المبلغ],tblRec[رقم الفاتورة],tblInv[[#This Row],[رقم الفاتورة]],tblRec[التاريخ],"&lt;="&amp;AsOf)</f>
        <v/>
      </c>
      <c r="K35" s="48">
        <f>IF(tblInv[[#This Row],[تاريخ الفاتورة]]&gt;AsOf,0,ROUND(tblInv[[#This Row],[الإجمالي]]-tblInv[[#This Row],[المحصّل]],2))</f>
        <v/>
      </c>
      <c r="L35" s="56">
        <f>IF(AgingBasis="من تاريخ الفاتورة",tblInv[[#This Row],[تاريخ الفاتورة]],tblInv[[#This Row],[تاريخ الاستحقاق]])</f>
        <v/>
      </c>
      <c r="M35" s="57">
        <f>IF(tblInv[[#This Row],[المتبقي]]&lt;=0,0,MAX(0,AsOf-tblInv[[#This Row],[تاريخ الأساس]]))</f>
        <v/>
      </c>
      <c r="N3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5" s="44" t="n"/>
      <c r="Q3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5" s="52">
        <f>IF(AND(tblInv[[#This Row],[كود العميل]]=StCust,tblInv[[#This Row],[تاريخ الفاتورة]]&gt;=StFrom,tblInv[[#This Row],[تاريخ الفاتورة]]&lt;=StTo),tblInv[[#This Row],[تاريخ الفاتورة]]*100000+ROW(),"")</f>
        <v/>
      </c>
      <c r="S35" s="52">
        <f>IF(tblInv[[#This Row],[مفتاح الكشف]]="","",COUNTIF(tblInv[مفتاح الكشف],"&lt;"&amp;tblInv[[#This Row],[مفتاح الكشف]])+COUNTIF(tblRec[مفتاح الكشف],"&lt;"&amp;tblInv[[#This Row],[مفتاح الكشف]])+1)</f>
        <v/>
      </c>
    </row>
    <row r="36">
      <c r="A36" s="43" t="inlineStr">
        <is>
          <t>INV-2026-0032</t>
        </is>
      </c>
      <c r="B36" s="53" t="n">
        <v>46076</v>
      </c>
      <c r="C36" s="43" t="inlineStr">
        <is>
          <t>C008</t>
        </is>
      </c>
      <c r="D36" s="52">
        <f>IF(tblInv[[#This Row],[كود العميل]]="","",IFERROR(INDEX(tblCustomers[اسم العميل],MATCH(tblInv[[#This Row],[كود العميل]],tblCustomers[كود العميل],0)),"⚠ كود غير موجود"))</f>
        <v/>
      </c>
      <c r="E36" s="54" t="n">
        <v>38700</v>
      </c>
      <c r="F36" s="49">
        <f>ROUND(tblInv[[#This Row],[المبلغ قبل الضريبة]]*VatRate,2)</f>
        <v/>
      </c>
      <c r="G36" s="48">
        <f>tblInv[[#This Row],[المبلغ قبل الضريبة]]+tblInv[[#This Row],[الضريبة]]</f>
        <v/>
      </c>
      <c r="H36" s="55">
        <f>IFERROR(IF(INDEX(tblCustomers[مدة السداد],MATCH(tblInv[[#This Row],[كود العميل]],tblCustomers[كود العميل],0))="",DefaultTerms,INDEX(tblCustomers[مدة السداد],MATCH(tblInv[[#This Row],[كود العميل]],tblCustomers[كود العميل],0))),DefaultTerms)</f>
        <v/>
      </c>
      <c r="I36" s="56">
        <f>tblInv[[#This Row],[تاريخ الفاتورة]]+tblInv[[#This Row],[مدة السداد]]</f>
        <v/>
      </c>
      <c r="J36" s="49">
        <f>SUMIFS(tblRec[المبلغ],tblRec[رقم الفاتورة],tblInv[[#This Row],[رقم الفاتورة]],tblRec[التاريخ],"&lt;="&amp;AsOf)</f>
        <v/>
      </c>
      <c r="K36" s="48">
        <f>IF(tblInv[[#This Row],[تاريخ الفاتورة]]&gt;AsOf,0,ROUND(tblInv[[#This Row],[الإجمالي]]-tblInv[[#This Row],[المحصّل]],2))</f>
        <v/>
      </c>
      <c r="L36" s="56">
        <f>IF(AgingBasis="من تاريخ الفاتورة",tblInv[[#This Row],[تاريخ الفاتورة]],tblInv[[#This Row],[تاريخ الاستحقاق]])</f>
        <v/>
      </c>
      <c r="M36" s="57">
        <f>IF(tblInv[[#This Row],[المتبقي]]&lt;=0,0,MAX(0,AsOf-tblInv[[#This Row],[تاريخ الأساس]]))</f>
        <v/>
      </c>
      <c r="N3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6" s="44" t="n"/>
      <c r="Q3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6" s="52">
        <f>IF(AND(tblInv[[#This Row],[كود العميل]]=StCust,tblInv[[#This Row],[تاريخ الفاتورة]]&gt;=StFrom,tblInv[[#This Row],[تاريخ الفاتورة]]&lt;=StTo),tblInv[[#This Row],[تاريخ الفاتورة]]*100000+ROW(),"")</f>
        <v/>
      </c>
      <c r="S36" s="52">
        <f>IF(tblInv[[#This Row],[مفتاح الكشف]]="","",COUNTIF(tblInv[مفتاح الكشف],"&lt;"&amp;tblInv[[#This Row],[مفتاح الكشف]])+COUNTIF(tblRec[مفتاح الكشف],"&lt;"&amp;tblInv[[#This Row],[مفتاح الكشف]])+1)</f>
        <v/>
      </c>
    </row>
    <row r="37">
      <c r="A37" s="43" t="inlineStr">
        <is>
          <t>INV-2026-0033</t>
        </is>
      </c>
      <c r="B37" s="53" t="n">
        <v>46076</v>
      </c>
      <c r="C37" s="43" t="inlineStr">
        <is>
          <t>C002</t>
        </is>
      </c>
      <c r="D37" s="52">
        <f>IF(tblInv[[#This Row],[كود العميل]]="","",IFERROR(INDEX(tblCustomers[اسم العميل],MATCH(tblInv[[#This Row],[كود العميل]],tblCustomers[كود العميل],0)),"⚠ كود غير موجود"))</f>
        <v/>
      </c>
      <c r="E37" s="54" t="n">
        <v>42600</v>
      </c>
      <c r="F37" s="49">
        <f>ROUND(tblInv[[#This Row],[المبلغ قبل الضريبة]]*VatRate,2)</f>
        <v/>
      </c>
      <c r="G37" s="48">
        <f>tblInv[[#This Row],[المبلغ قبل الضريبة]]+tblInv[[#This Row],[الضريبة]]</f>
        <v/>
      </c>
      <c r="H37" s="55">
        <f>IFERROR(IF(INDEX(tblCustomers[مدة السداد],MATCH(tblInv[[#This Row],[كود العميل]],tblCustomers[كود العميل],0))="",DefaultTerms,INDEX(tblCustomers[مدة السداد],MATCH(tblInv[[#This Row],[كود العميل]],tblCustomers[كود العميل],0))),DefaultTerms)</f>
        <v/>
      </c>
      <c r="I37" s="56">
        <f>tblInv[[#This Row],[تاريخ الفاتورة]]+tblInv[[#This Row],[مدة السداد]]</f>
        <v/>
      </c>
      <c r="J37" s="49">
        <f>SUMIFS(tblRec[المبلغ],tblRec[رقم الفاتورة],tblInv[[#This Row],[رقم الفاتورة]],tblRec[التاريخ],"&lt;="&amp;AsOf)</f>
        <v/>
      </c>
      <c r="K37" s="48">
        <f>IF(tblInv[[#This Row],[تاريخ الفاتورة]]&gt;AsOf,0,ROUND(tblInv[[#This Row],[الإجمالي]]-tblInv[[#This Row],[المحصّل]],2))</f>
        <v/>
      </c>
      <c r="L37" s="56">
        <f>IF(AgingBasis="من تاريخ الفاتورة",tblInv[[#This Row],[تاريخ الفاتورة]],tblInv[[#This Row],[تاريخ الاستحقاق]])</f>
        <v/>
      </c>
      <c r="M37" s="57">
        <f>IF(tblInv[[#This Row],[المتبقي]]&lt;=0,0,MAX(0,AsOf-tblInv[[#This Row],[تاريخ الأساس]]))</f>
        <v/>
      </c>
      <c r="N3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7" s="44" t="n"/>
      <c r="Q3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7" s="52">
        <f>IF(AND(tblInv[[#This Row],[كود العميل]]=StCust,tblInv[[#This Row],[تاريخ الفاتورة]]&gt;=StFrom,tblInv[[#This Row],[تاريخ الفاتورة]]&lt;=StTo),tblInv[[#This Row],[تاريخ الفاتورة]]*100000+ROW(),"")</f>
        <v/>
      </c>
      <c r="S37" s="52">
        <f>IF(tblInv[[#This Row],[مفتاح الكشف]]="","",COUNTIF(tblInv[مفتاح الكشف],"&lt;"&amp;tblInv[[#This Row],[مفتاح الكشف]])+COUNTIF(tblRec[مفتاح الكشف],"&lt;"&amp;tblInv[[#This Row],[مفتاح الكشف]])+1)</f>
        <v/>
      </c>
    </row>
    <row r="38">
      <c r="A38" s="43" t="inlineStr">
        <is>
          <t>INV-2026-0034</t>
        </is>
      </c>
      <c r="B38" s="53" t="n">
        <v>46082</v>
      </c>
      <c r="C38" s="43" t="inlineStr">
        <is>
          <t>C015</t>
        </is>
      </c>
      <c r="D38" s="52">
        <f>IF(tblInv[[#This Row],[كود العميل]]="","",IFERROR(INDEX(tblCustomers[اسم العميل],MATCH(tblInv[[#This Row],[كود العميل]],tblCustomers[كود العميل],0)),"⚠ كود غير موجود"))</f>
        <v/>
      </c>
      <c r="E38" s="54" t="n">
        <v>7250</v>
      </c>
      <c r="F38" s="49">
        <f>ROUND(tblInv[[#This Row],[المبلغ قبل الضريبة]]*VatRate,2)</f>
        <v/>
      </c>
      <c r="G38" s="48">
        <f>tblInv[[#This Row],[المبلغ قبل الضريبة]]+tblInv[[#This Row],[الضريبة]]</f>
        <v/>
      </c>
      <c r="H38" s="55">
        <f>IFERROR(IF(INDEX(tblCustomers[مدة السداد],MATCH(tblInv[[#This Row],[كود العميل]],tblCustomers[كود العميل],0))="",DefaultTerms,INDEX(tblCustomers[مدة السداد],MATCH(tblInv[[#This Row],[كود العميل]],tblCustomers[كود العميل],0))),DefaultTerms)</f>
        <v/>
      </c>
      <c r="I38" s="56">
        <f>tblInv[[#This Row],[تاريخ الفاتورة]]+tblInv[[#This Row],[مدة السداد]]</f>
        <v/>
      </c>
      <c r="J38" s="49">
        <f>SUMIFS(tblRec[المبلغ],tblRec[رقم الفاتورة],tblInv[[#This Row],[رقم الفاتورة]],tblRec[التاريخ],"&lt;="&amp;AsOf)</f>
        <v/>
      </c>
      <c r="K38" s="48">
        <f>IF(tblInv[[#This Row],[تاريخ الفاتورة]]&gt;AsOf,0,ROUND(tblInv[[#This Row],[الإجمالي]]-tblInv[[#This Row],[المحصّل]],2))</f>
        <v/>
      </c>
      <c r="L38" s="56">
        <f>IF(AgingBasis="من تاريخ الفاتورة",tblInv[[#This Row],[تاريخ الفاتورة]],tblInv[[#This Row],[تاريخ الاستحقاق]])</f>
        <v/>
      </c>
      <c r="M38" s="57">
        <f>IF(tblInv[[#This Row],[المتبقي]]&lt;=0,0,MAX(0,AsOf-tblInv[[#This Row],[تاريخ الأساس]]))</f>
        <v/>
      </c>
      <c r="N3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8" s="44" t="n"/>
      <c r="Q3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8" s="52">
        <f>IF(AND(tblInv[[#This Row],[كود العميل]]=StCust,tblInv[[#This Row],[تاريخ الفاتورة]]&gt;=StFrom,tblInv[[#This Row],[تاريخ الفاتورة]]&lt;=StTo),tblInv[[#This Row],[تاريخ الفاتورة]]*100000+ROW(),"")</f>
        <v/>
      </c>
      <c r="S38" s="52">
        <f>IF(tblInv[[#This Row],[مفتاح الكشف]]="","",COUNTIF(tblInv[مفتاح الكشف],"&lt;"&amp;tblInv[[#This Row],[مفتاح الكشف]])+COUNTIF(tblRec[مفتاح الكشف],"&lt;"&amp;tblInv[[#This Row],[مفتاح الكشف]])+1)</f>
        <v/>
      </c>
    </row>
    <row r="39">
      <c r="A39" s="43" t="inlineStr">
        <is>
          <t>INV-2026-0035</t>
        </is>
      </c>
      <c r="B39" s="53" t="n">
        <v>46086</v>
      </c>
      <c r="C39" s="43" t="inlineStr">
        <is>
          <t>C009</t>
        </is>
      </c>
      <c r="D39" s="52">
        <f>IF(tblInv[[#This Row],[كود العميل]]="","",IFERROR(INDEX(tblCustomers[اسم العميل],MATCH(tblInv[[#This Row],[كود العميل]],tblCustomers[كود العميل],0)),"⚠ كود غير موجود"))</f>
        <v/>
      </c>
      <c r="E39" s="54" t="n">
        <v>29650</v>
      </c>
      <c r="F39" s="49">
        <f>ROUND(tblInv[[#This Row],[المبلغ قبل الضريبة]]*VatRate,2)</f>
        <v/>
      </c>
      <c r="G39" s="48">
        <f>tblInv[[#This Row],[المبلغ قبل الضريبة]]+tblInv[[#This Row],[الضريبة]]</f>
        <v/>
      </c>
      <c r="H39" s="55">
        <f>IFERROR(IF(INDEX(tblCustomers[مدة السداد],MATCH(tblInv[[#This Row],[كود العميل]],tblCustomers[كود العميل],0))="",DefaultTerms,INDEX(tblCustomers[مدة السداد],MATCH(tblInv[[#This Row],[كود العميل]],tblCustomers[كود العميل],0))),DefaultTerms)</f>
        <v/>
      </c>
      <c r="I39" s="56">
        <f>tblInv[[#This Row],[تاريخ الفاتورة]]+tblInv[[#This Row],[مدة السداد]]</f>
        <v/>
      </c>
      <c r="J39" s="49">
        <f>SUMIFS(tblRec[المبلغ],tblRec[رقم الفاتورة],tblInv[[#This Row],[رقم الفاتورة]],tblRec[التاريخ],"&lt;="&amp;AsOf)</f>
        <v/>
      </c>
      <c r="K39" s="48">
        <f>IF(tblInv[[#This Row],[تاريخ الفاتورة]]&gt;AsOf,0,ROUND(tblInv[[#This Row],[الإجمالي]]-tblInv[[#This Row],[المحصّل]],2))</f>
        <v/>
      </c>
      <c r="L39" s="56">
        <f>IF(AgingBasis="من تاريخ الفاتورة",tblInv[[#This Row],[تاريخ الفاتورة]],tblInv[[#This Row],[تاريخ الاستحقاق]])</f>
        <v/>
      </c>
      <c r="M39" s="57">
        <f>IF(tblInv[[#This Row],[المتبقي]]&lt;=0,0,MAX(0,AsOf-tblInv[[#This Row],[تاريخ الأساس]]))</f>
        <v/>
      </c>
      <c r="N3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9" s="44" t="n"/>
      <c r="Q3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9" s="52">
        <f>IF(AND(tblInv[[#This Row],[كود العميل]]=StCust,tblInv[[#This Row],[تاريخ الفاتورة]]&gt;=StFrom,tblInv[[#This Row],[تاريخ الفاتورة]]&lt;=StTo),tblInv[[#This Row],[تاريخ الفاتورة]]*100000+ROW(),"")</f>
        <v/>
      </c>
      <c r="S39" s="52">
        <f>IF(tblInv[[#This Row],[مفتاح الكشف]]="","",COUNTIF(tblInv[مفتاح الكشف],"&lt;"&amp;tblInv[[#This Row],[مفتاح الكشف]])+COUNTIF(tblRec[مفتاح الكشف],"&lt;"&amp;tblInv[[#This Row],[مفتاح الكشف]])+1)</f>
        <v/>
      </c>
    </row>
    <row r="40">
      <c r="A40" s="43" t="inlineStr">
        <is>
          <t>INV-2026-0036</t>
        </is>
      </c>
      <c r="B40" s="53" t="n">
        <v>46100</v>
      </c>
      <c r="C40" s="43" t="inlineStr">
        <is>
          <t>C006</t>
        </is>
      </c>
      <c r="D40" s="52">
        <f>IF(tblInv[[#This Row],[كود العميل]]="","",IFERROR(INDEX(tblCustomers[اسم العميل],MATCH(tblInv[[#This Row],[كود العميل]],tblCustomers[كود العميل],0)),"⚠ كود غير موجود"))</f>
        <v/>
      </c>
      <c r="E40" s="54" t="n">
        <v>40950</v>
      </c>
      <c r="F40" s="49">
        <f>ROUND(tblInv[[#This Row],[المبلغ قبل الضريبة]]*VatRate,2)</f>
        <v/>
      </c>
      <c r="G40" s="48">
        <f>tblInv[[#This Row],[المبلغ قبل الضريبة]]+tblInv[[#This Row],[الضريبة]]</f>
        <v/>
      </c>
      <c r="H40" s="55">
        <f>IFERROR(IF(INDEX(tblCustomers[مدة السداد],MATCH(tblInv[[#This Row],[كود العميل]],tblCustomers[كود العميل],0))="",DefaultTerms,INDEX(tblCustomers[مدة السداد],MATCH(tblInv[[#This Row],[كود العميل]],tblCustomers[كود العميل],0))),DefaultTerms)</f>
        <v/>
      </c>
      <c r="I40" s="56">
        <f>tblInv[[#This Row],[تاريخ الفاتورة]]+tblInv[[#This Row],[مدة السداد]]</f>
        <v/>
      </c>
      <c r="J40" s="49">
        <f>SUMIFS(tblRec[المبلغ],tblRec[رقم الفاتورة],tblInv[[#This Row],[رقم الفاتورة]],tblRec[التاريخ],"&lt;="&amp;AsOf)</f>
        <v/>
      </c>
      <c r="K40" s="48">
        <f>IF(tblInv[[#This Row],[تاريخ الفاتورة]]&gt;AsOf,0,ROUND(tblInv[[#This Row],[الإجمالي]]-tblInv[[#This Row],[المحصّل]],2))</f>
        <v/>
      </c>
      <c r="L40" s="56">
        <f>IF(AgingBasis="من تاريخ الفاتورة",tblInv[[#This Row],[تاريخ الفاتورة]],tblInv[[#This Row],[تاريخ الاستحقاق]])</f>
        <v/>
      </c>
      <c r="M40" s="57">
        <f>IF(tblInv[[#This Row],[المتبقي]]&lt;=0,0,MAX(0,AsOf-tblInv[[#This Row],[تاريخ الأساس]]))</f>
        <v/>
      </c>
      <c r="N4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0" s="44" t="n"/>
      <c r="Q4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0" s="52">
        <f>IF(AND(tblInv[[#This Row],[كود العميل]]=StCust,tblInv[[#This Row],[تاريخ الفاتورة]]&gt;=StFrom,tblInv[[#This Row],[تاريخ الفاتورة]]&lt;=StTo),tblInv[[#This Row],[تاريخ الفاتورة]]*100000+ROW(),"")</f>
        <v/>
      </c>
      <c r="S40" s="52">
        <f>IF(tblInv[[#This Row],[مفتاح الكشف]]="","",COUNTIF(tblInv[مفتاح الكشف],"&lt;"&amp;tblInv[[#This Row],[مفتاح الكشف]])+COUNTIF(tblRec[مفتاح الكشف],"&lt;"&amp;tblInv[[#This Row],[مفتاح الكشف]])+1)</f>
        <v/>
      </c>
    </row>
    <row r="41">
      <c r="A41" s="43" t="inlineStr">
        <is>
          <t>INV-2026-0037</t>
        </is>
      </c>
      <c r="B41" s="53" t="n">
        <v>46100</v>
      </c>
      <c r="C41" s="43" t="inlineStr">
        <is>
          <t>C005</t>
        </is>
      </c>
      <c r="D41" s="52">
        <f>IF(tblInv[[#This Row],[كود العميل]]="","",IFERROR(INDEX(tblCustomers[اسم العميل],MATCH(tblInv[[#This Row],[كود العميل]],tblCustomers[كود العميل],0)),"⚠ كود غير موجود"))</f>
        <v/>
      </c>
      <c r="E41" s="54" t="n">
        <v>34750</v>
      </c>
      <c r="F41" s="49">
        <f>ROUND(tblInv[[#This Row],[المبلغ قبل الضريبة]]*VatRate,2)</f>
        <v/>
      </c>
      <c r="G41" s="48">
        <f>tblInv[[#This Row],[المبلغ قبل الضريبة]]+tblInv[[#This Row],[الضريبة]]</f>
        <v/>
      </c>
      <c r="H41" s="55">
        <f>IFERROR(IF(INDEX(tblCustomers[مدة السداد],MATCH(tblInv[[#This Row],[كود العميل]],tblCustomers[كود العميل],0))="",DefaultTerms,INDEX(tblCustomers[مدة السداد],MATCH(tblInv[[#This Row],[كود العميل]],tblCustomers[كود العميل],0))),DefaultTerms)</f>
        <v/>
      </c>
      <c r="I41" s="56">
        <f>tblInv[[#This Row],[تاريخ الفاتورة]]+tblInv[[#This Row],[مدة السداد]]</f>
        <v/>
      </c>
      <c r="J41" s="49">
        <f>SUMIFS(tblRec[المبلغ],tblRec[رقم الفاتورة],tblInv[[#This Row],[رقم الفاتورة]],tblRec[التاريخ],"&lt;="&amp;AsOf)</f>
        <v/>
      </c>
      <c r="K41" s="48">
        <f>IF(tblInv[[#This Row],[تاريخ الفاتورة]]&gt;AsOf,0,ROUND(tblInv[[#This Row],[الإجمالي]]-tblInv[[#This Row],[المحصّل]],2))</f>
        <v/>
      </c>
      <c r="L41" s="56">
        <f>IF(AgingBasis="من تاريخ الفاتورة",tblInv[[#This Row],[تاريخ الفاتورة]],tblInv[[#This Row],[تاريخ الاستحقاق]])</f>
        <v/>
      </c>
      <c r="M41" s="57">
        <f>IF(tblInv[[#This Row],[المتبقي]]&lt;=0,0,MAX(0,AsOf-tblInv[[#This Row],[تاريخ الأساس]]))</f>
        <v/>
      </c>
      <c r="N4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1" s="44" t="n"/>
      <c r="Q4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1" s="52">
        <f>IF(AND(tblInv[[#This Row],[كود العميل]]=StCust,tblInv[[#This Row],[تاريخ الفاتورة]]&gt;=StFrom,tblInv[[#This Row],[تاريخ الفاتورة]]&lt;=StTo),tblInv[[#This Row],[تاريخ الفاتورة]]*100000+ROW(),"")</f>
        <v/>
      </c>
      <c r="S41" s="52">
        <f>IF(tblInv[[#This Row],[مفتاح الكشف]]="","",COUNTIF(tblInv[مفتاح الكشف],"&lt;"&amp;tblInv[[#This Row],[مفتاح الكشف]])+COUNTIF(tblRec[مفتاح الكشف],"&lt;"&amp;tblInv[[#This Row],[مفتاح الكشف]])+1)</f>
        <v/>
      </c>
    </row>
    <row r="42">
      <c r="A42" s="43" t="inlineStr">
        <is>
          <t>INV-2026-0038</t>
        </is>
      </c>
      <c r="B42" s="53" t="n">
        <v>46104</v>
      </c>
      <c r="C42" s="43" t="inlineStr">
        <is>
          <t>C015</t>
        </is>
      </c>
      <c r="D42" s="52">
        <f>IF(tblInv[[#This Row],[كود العميل]]="","",IFERROR(INDEX(tblCustomers[اسم العميل],MATCH(tblInv[[#This Row],[كود العميل]],tblCustomers[كود العميل],0)),"⚠ كود غير موجود"))</f>
        <v/>
      </c>
      <c r="E42" s="54" t="n">
        <v>28450</v>
      </c>
      <c r="F42" s="49">
        <f>ROUND(tblInv[[#This Row],[المبلغ قبل الضريبة]]*VatRate,2)</f>
        <v/>
      </c>
      <c r="G42" s="48">
        <f>tblInv[[#This Row],[المبلغ قبل الضريبة]]+tblInv[[#This Row],[الضريبة]]</f>
        <v/>
      </c>
      <c r="H42" s="55">
        <f>IFERROR(IF(INDEX(tblCustomers[مدة السداد],MATCH(tblInv[[#This Row],[كود العميل]],tblCustomers[كود العميل],0))="",DefaultTerms,INDEX(tblCustomers[مدة السداد],MATCH(tblInv[[#This Row],[كود العميل]],tblCustomers[كود العميل],0))),DefaultTerms)</f>
        <v/>
      </c>
      <c r="I42" s="56">
        <f>tblInv[[#This Row],[تاريخ الفاتورة]]+tblInv[[#This Row],[مدة السداد]]</f>
        <v/>
      </c>
      <c r="J42" s="49">
        <f>SUMIFS(tblRec[المبلغ],tblRec[رقم الفاتورة],tblInv[[#This Row],[رقم الفاتورة]],tblRec[التاريخ],"&lt;="&amp;AsOf)</f>
        <v/>
      </c>
      <c r="K42" s="48">
        <f>IF(tblInv[[#This Row],[تاريخ الفاتورة]]&gt;AsOf,0,ROUND(tblInv[[#This Row],[الإجمالي]]-tblInv[[#This Row],[المحصّل]],2))</f>
        <v/>
      </c>
      <c r="L42" s="56">
        <f>IF(AgingBasis="من تاريخ الفاتورة",tblInv[[#This Row],[تاريخ الفاتورة]],tblInv[[#This Row],[تاريخ الاستحقاق]])</f>
        <v/>
      </c>
      <c r="M42" s="57">
        <f>IF(tblInv[[#This Row],[المتبقي]]&lt;=0,0,MAX(0,AsOf-tblInv[[#This Row],[تاريخ الأساس]]))</f>
        <v/>
      </c>
      <c r="N4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2" s="44" t="n"/>
      <c r="Q4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2" s="52">
        <f>IF(AND(tblInv[[#This Row],[كود العميل]]=StCust,tblInv[[#This Row],[تاريخ الفاتورة]]&gt;=StFrom,tblInv[[#This Row],[تاريخ الفاتورة]]&lt;=StTo),tblInv[[#This Row],[تاريخ الفاتورة]]*100000+ROW(),"")</f>
        <v/>
      </c>
      <c r="S42" s="52">
        <f>IF(tblInv[[#This Row],[مفتاح الكشف]]="","",COUNTIF(tblInv[مفتاح الكشف],"&lt;"&amp;tblInv[[#This Row],[مفتاح الكشف]])+COUNTIF(tblRec[مفتاح الكشف],"&lt;"&amp;tblInv[[#This Row],[مفتاح الكشف]])+1)</f>
        <v/>
      </c>
    </row>
    <row r="43">
      <c r="A43" s="43" t="inlineStr">
        <is>
          <t>INV-2026-0039</t>
        </is>
      </c>
      <c r="B43" s="53" t="n">
        <v>46107</v>
      </c>
      <c r="C43" s="43" t="inlineStr">
        <is>
          <t>C009</t>
        </is>
      </c>
      <c r="D43" s="52">
        <f>IF(tblInv[[#This Row],[كود العميل]]="","",IFERROR(INDEX(tblCustomers[اسم العميل],MATCH(tblInv[[#This Row],[كود العميل]],tblCustomers[كود العميل],0)),"⚠ كود غير موجود"))</f>
        <v/>
      </c>
      <c r="E43" s="54" t="n">
        <v>25700</v>
      </c>
      <c r="F43" s="49">
        <f>ROUND(tblInv[[#This Row],[المبلغ قبل الضريبة]]*VatRate,2)</f>
        <v/>
      </c>
      <c r="G43" s="48">
        <f>tblInv[[#This Row],[المبلغ قبل الضريبة]]+tblInv[[#This Row],[الضريبة]]</f>
        <v/>
      </c>
      <c r="H43" s="55">
        <f>IFERROR(IF(INDEX(tblCustomers[مدة السداد],MATCH(tblInv[[#This Row],[كود العميل]],tblCustomers[كود العميل],0))="",DefaultTerms,INDEX(tblCustomers[مدة السداد],MATCH(tblInv[[#This Row],[كود العميل]],tblCustomers[كود العميل],0))),DefaultTerms)</f>
        <v/>
      </c>
      <c r="I43" s="56">
        <f>tblInv[[#This Row],[تاريخ الفاتورة]]+tblInv[[#This Row],[مدة السداد]]</f>
        <v/>
      </c>
      <c r="J43" s="49">
        <f>SUMIFS(tblRec[المبلغ],tblRec[رقم الفاتورة],tblInv[[#This Row],[رقم الفاتورة]],tblRec[التاريخ],"&lt;="&amp;AsOf)</f>
        <v/>
      </c>
      <c r="K43" s="48">
        <f>IF(tblInv[[#This Row],[تاريخ الفاتورة]]&gt;AsOf,0,ROUND(tblInv[[#This Row],[الإجمالي]]-tblInv[[#This Row],[المحصّل]],2))</f>
        <v/>
      </c>
      <c r="L43" s="56">
        <f>IF(AgingBasis="من تاريخ الفاتورة",tblInv[[#This Row],[تاريخ الفاتورة]],tblInv[[#This Row],[تاريخ الاستحقاق]])</f>
        <v/>
      </c>
      <c r="M43" s="57">
        <f>IF(tblInv[[#This Row],[المتبقي]]&lt;=0,0,MAX(0,AsOf-tblInv[[#This Row],[تاريخ الأساس]]))</f>
        <v/>
      </c>
      <c r="N4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3" s="44" t="n"/>
      <c r="Q4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3" s="52">
        <f>IF(AND(tblInv[[#This Row],[كود العميل]]=StCust,tblInv[[#This Row],[تاريخ الفاتورة]]&gt;=StFrom,tblInv[[#This Row],[تاريخ الفاتورة]]&lt;=StTo),tblInv[[#This Row],[تاريخ الفاتورة]]*100000+ROW(),"")</f>
        <v/>
      </c>
      <c r="S43" s="52">
        <f>IF(tblInv[[#This Row],[مفتاح الكشف]]="","",COUNTIF(tblInv[مفتاح الكشف],"&lt;"&amp;tblInv[[#This Row],[مفتاح الكشف]])+COUNTIF(tblRec[مفتاح الكشف],"&lt;"&amp;tblInv[[#This Row],[مفتاح الكشف]])+1)</f>
        <v/>
      </c>
    </row>
    <row r="44">
      <c r="A44" s="43" t="inlineStr">
        <is>
          <t>INV-2026-0040</t>
        </is>
      </c>
      <c r="B44" s="53" t="n">
        <v>46112</v>
      </c>
      <c r="C44" s="43" t="inlineStr">
        <is>
          <t>C012</t>
        </is>
      </c>
      <c r="D44" s="52">
        <f>IF(tblInv[[#This Row],[كود العميل]]="","",IFERROR(INDEX(tblCustomers[اسم العميل],MATCH(tblInv[[#This Row],[كود العميل]],tblCustomers[كود العميل],0)),"⚠ كود غير موجود"))</f>
        <v/>
      </c>
      <c r="E44" s="54" t="n">
        <v>44150</v>
      </c>
      <c r="F44" s="49">
        <f>ROUND(tblInv[[#This Row],[المبلغ قبل الضريبة]]*VatRate,2)</f>
        <v/>
      </c>
      <c r="G44" s="48">
        <f>tblInv[[#This Row],[المبلغ قبل الضريبة]]+tblInv[[#This Row],[الضريبة]]</f>
        <v/>
      </c>
      <c r="H44" s="55">
        <f>IFERROR(IF(INDEX(tblCustomers[مدة السداد],MATCH(tblInv[[#This Row],[كود العميل]],tblCustomers[كود العميل],0))="",DefaultTerms,INDEX(tblCustomers[مدة السداد],MATCH(tblInv[[#This Row],[كود العميل]],tblCustomers[كود العميل],0))),DefaultTerms)</f>
        <v/>
      </c>
      <c r="I44" s="56">
        <f>tblInv[[#This Row],[تاريخ الفاتورة]]+tblInv[[#This Row],[مدة السداد]]</f>
        <v/>
      </c>
      <c r="J44" s="49">
        <f>SUMIFS(tblRec[المبلغ],tblRec[رقم الفاتورة],tblInv[[#This Row],[رقم الفاتورة]],tblRec[التاريخ],"&lt;="&amp;AsOf)</f>
        <v/>
      </c>
      <c r="K44" s="48">
        <f>IF(tblInv[[#This Row],[تاريخ الفاتورة]]&gt;AsOf,0,ROUND(tblInv[[#This Row],[الإجمالي]]-tblInv[[#This Row],[المحصّل]],2))</f>
        <v/>
      </c>
      <c r="L44" s="56">
        <f>IF(AgingBasis="من تاريخ الفاتورة",tblInv[[#This Row],[تاريخ الفاتورة]],tblInv[[#This Row],[تاريخ الاستحقاق]])</f>
        <v/>
      </c>
      <c r="M44" s="57">
        <f>IF(tblInv[[#This Row],[المتبقي]]&lt;=0,0,MAX(0,AsOf-tblInv[[#This Row],[تاريخ الأساس]]))</f>
        <v/>
      </c>
      <c r="N4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4" s="44" t="n"/>
      <c r="Q4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4" s="52">
        <f>IF(AND(tblInv[[#This Row],[كود العميل]]=StCust,tblInv[[#This Row],[تاريخ الفاتورة]]&gt;=StFrom,tblInv[[#This Row],[تاريخ الفاتورة]]&lt;=StTo),tblInv[[#This Row],[تاريخ الفاتورة]]*100000+ROW(),"")</f>
        <v/>
      </c>
      <c r="S44" s="52">
        <f>IF(tblInv[[#This Row],[مفتاح الكشف]]="","",COUNTIF(tblInv[مفتاح الكشف],"&lt;"&amp;tblInv[[#This Row],[مفتاح الكشف]])+COUNTIF(tblRec[مفتاح الكشف],"&lt;"&amp;tblInv[[#This Row],[مفتاح الكشف]])+1)</f>
        <v/>
      </c>
    </row>
    <row r="45">
      <c r="A45" s="43" t="inlineStr">
        <is>
          <t>INV-2026-0041</t>
        </is>
      </c>
      <c r="B45" s="53" t="n">
        <v>46113</v>
      </c>
      <c r="C45" s="43" t="inlineStr">
        <is>
          <t>C005</t>
        </is>
      </c>
      <c r="D45" s="52">
        <f>IF(tblInv[[#This Row],[كود العميل]]="","",IFERROR(INDEX(tblCustomers[اسم العميل],MATCH(tblInv[[#This Row],[كود العميل]],tblCustomers[كود العميل],0)),"⚠ كود غير موجود"))</f>
        <v/>
      </c>
      <c r="E45" s="54" t="n">
        <v>28800</v>
      </c>
      <c r="F45" s="49">
        <f>ROUND(tblInv[[#This Row],[المبلغ قبل الضريبة]]*VatRate,2)</f>
        <v/>
      </c>
      <c r="G45" s="48">
        <f>tblInv[[#This Row],[المبلغ قبل الضريبة]]+tblInv[[#This Row],[الضريبة]]</f>
        <v/>
      </c>
      <c r="H45" s="55">
        <f>IFERROR(IF(INDEX(tblCustomers[مدة السداد],MATCH(tblInv[[#This Row],[كود العميل]],tblCustomers[كود العميل],0))="",DefaultTerms,INDEX(tblCustomers[مدة السداد],MATCH(tblInv[[#This Row],[كود العميل]],tblCustomers[كود العميل],0))),DefaultTerms)</f>
        <v/>
      </c>
      <c r="I45" s="56">
        <f>tblInv[[#This Row],[تاريخ الفاتورة]]+tblInv[[#This Row],[مدة السداد]]</f>
        <v/>
      </c>
      <c r="J45" s="49">
        <f>SUMIFS(tblRec[المبلغ],tblRec[رقم الفاتورة],tblInv[[#This Row],[رقم الفاتورة]],tblRec[التاريخ],"&lt;="&amp;AsOf)</f>
        <v/>
      </c>
      <c r="K45" s="48">
        <f>IF(tblInv[[#This Row],[تاريخ الفاتورة]]&gt;AsOf,0,ROUND(tblInv[[#This Row],[الإجمالي]]-tblInv[[#This Row],[المحصّل]],2))</f>
        <v/>
      </c>
      <c r="L45" s="56">
        <f>IF(AgingBasis="من تاريخ الفاتورة",tblInv[[#This Row],[تاريخ الفاتورة]],tblInv[[#This Row],[تاريخ الاستحقاق]])</f>
        <v/>
      </c>
      <c r="M45" s="57">
        <f>IF(tblInv[[#This Row],[المتبقي]]&lt;=0,0,MAX(0,AsOf-tblInv[[#This Row],[تاريخ الأساس]]))</f>
        <v/>
      </c>
      <c r="N4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5" s="44" t="n"/>
      <c r="Q4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5" s="52">
        <f>IF(AND(tblInv[[#This Row],[كود العميل]]=StCust,tblInv[[#This Row],[تاريخ الفاتورة]]&gt;=StFrom,tblInv[[#This Row],[تاريخ الفاتورة]]&lt;=StTo),tblInv[[#This Row],[تاريخ الفاتورة]]*100000+ROW(),"")</f>
        <v/>
      </c>
      <c r="S45" s="52">
        <f>IF(tblInv[[#This Row],[مفتاح الكشف]]="","",COUNTIF(tblInv[مفتاح الكشف],"&lt;"&amp;tblInv[[#This Row],[مفتاح الكشف]])+COUNTIF(tblRec[مفتاح الكشف],"&lt;"&amp;tblInv[[#This Row],[مفتاح الكشف]])+1)</f>
        <v/>
      </c>
    </row>
    <row r="46">
      <c r="A46" s="43" t="inlineStr">
        <is>
          <t>INV-2026-0042</t>
        </is>
      </c>
      <c r="B46" s="53" t="n">
        <v>46114</v>
      </c>
      <c r="C46" s="43" t="inlineStr">
        <is>
          <t>C002</t>
        </is>
      </c>
      <c r="D46" s="52">
        <f>IF(tblInv[[#This Row],[كود العميل]]="","",IFERROR(INDEX(tblCustomers[اسم العميل],MATCH(tblInv[[#This Row],[كود العميل]],tblCustomers[كود العميل],0)),"⚠ كود غير موجود"))</f>
        <v/>
      </c>
      <c r="E46" s="54" t="n">
        <v>40150</v>
      </c>
      <c r="F46" s="49">
        <f>ROUND(tblInv[[#This Row],[المبلغ قبل الضريبة]]*VatRate,2)</f>
        <v/>
      </c>
      <c r="G46" s="48">
        <f>tblInv[[#This Row],[المبلغ قبل الضريبة]]+tblInv[[#This Row],[الضريبة]]</f>
        <v/>
      </c>
      <c r="H46" s="55">
        <f>IFERROR(IF(INDEX(tblCustomers[مدة السداد],MATCH(tblInv[[#This Row],[كود العميل]],tblCustomers[كود العميل],0))="",DefaultTerms,INDEX(tblCustomers[مدة السداد],MATCH(tblInv[[#This Row],[كود العميل]],tblCustomers[كود العميل],0))),DefaultTerms)</f>
        <v/>
      </c>
      <c r="I46" s="56">
        <f>tblInv[[#This Row],[تاريخ الفاتورة]]+tblInv[[#This Row],[مدة السداد]]</f>
        <v/>
      </c>
      <c r="J46" s="49">
        <f>SUMIFS(tblRec[المبلغ],tblRec[رقم الفاتورة],tblInv[[#This Row],[رقم الفاتورة]],tblRec[التاريخ],"&lt;="&amp;AsOf)</f>
        <v/>
      </c>
      <c r="K46" s="48">
        <f>IF(tblInv[[#This Row],[تاريخ الفاتورة]]&gt;AsOf,0,ROUND(tblInv[[#This Row],[الإجمالي]]-tblInv[[#This Row],[المحصّل]],2))</f>
        <v/>
      </c>
      <c r="L46" s="56">
        <f>IF(AgingBasis="من تاريخ الفاتورة",tblInv[[#This Row],[تاريخ الفاتورة]],tblInv[[#This Row],[تاريخ الاستحقاق]])</f>
        <v/>
      </c>
      <c r="M46" s="57">
        <f>IF(tblInv[[#This Row],[المتبقي]]&lt;=0,0,MAX(0,AsOf-tblInv[[#This Row],[تاريخ الأساس]]))</f>
        <v/>
      </c>
      <c r="N4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6" s="44" t="n"/>
      <c r="Q4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6" s="52">
        <f>IF(AND(tblInv[[#This Row],[كود العميل]]=StCust,tblInv[[#This Row],[تاريخ الفاتورة]]&gt;=StFrom,tblInv[[#This Row],[تاريخ الفاتورة]]&lt;=StTo),tblInv[[#This Row],[تاريخ الفاتورة]]*100000+ROW(),"")</f>
        <v/>
      </c>
      <c r="S46" s="52">
        <f>IF(tblInv[[#This Row],[مفتاح الكشف]]="","",COUNTIF(tblInv[مفتاح الكشف],"&lt;"&amp;tblInv[[#This Row],[مفتاح الكشف]])+COUNTIF(tblRec[مفتاح الكشف],"&lt;"&amp;tblInv[[#This Row],[مفتاح الكشف]])+1)</f>
        <v/>
      </c>
    </row>
    <row r="47">
      <c r="A47" s="43" t="inlineStr">
        <is>
          <t>INV-2026-0043</t>
        </is>
      </c>
      <c r="B47" s="53" t="n">
        <v>46120</v>
      </c>
      <c r="C47" s="43" t="inlineStr">
        <is>
          <t>C011</t>
        </is>
      </c>
      <c r="D47" s="52">
        <f>IF(tblInv[[#This Row],[كود العميل]]="","",IFERROR(INDEX(tblCustomers[اسم العميل],MATCH(tblInv[[#This Row],[كود العميل]],tblCustomers[كود العميل],0)),"⚠ كود غير موجود"))</f>
        <v/>
      </c>
      <c r="E47" s="54" t="n">
        <v>30900</v>
      </c>
      <c r="F47" s="49">
        <f>ROUND(tblInv[[#This Row],[المبلغ قبل الضريبة]]*VatRate,2)</f>
        <v/>
      </c>
      <c r="G47" s="48">
        <f>tblInv[[#This Row],[المبلغ قبل الضريبة]]+tblInv[[#This Row],[الضريبة]]</f>
        <v/>
      </c>
      <c r="H47" s="55">
        <f>IFERROR(IF(INDEX(tblCustomers[مدة السداد],MATCH(tblInv[[#This Row],[كود العميل]],tblCustomers[كود العميل],0))="",DefaultTerms,INDEX(tblCustomers[مدة السداد],MATCH(tblInv[[#This Row],[كود العميل]],tblCustomers[كود العميل],0))),DefaultTerms)</f>
        <v/>
      </c>
      <c r="I47" s="56">
        <f>tblInv[[#This Row],[تاريخ الفاتورة]]+tblInv[[#This Row],[مدة السداد]]</f>
        <v/>
      </c>
      <c r="J47" s="49">
        <f>SUMIFS(tblRec[المبلغ],tblRec[رقم الفاتورة],tblInv[[#This Row],[رقم الفاتورة]],tblRec[التاريخ],"&lt;="&amp;AsOf)</f>
        <v/>
      </c>
      <c r="K47" s="48">
        <f>IF(tblInv[[#This Row],[تاريخ الفاتورة]]&gt;AsOf,0,ROUND(tblInv[[#This Row],[الإجمالي]]-tblInv[[#This Row],[المحصّل]],2))</f>
        <v/>
      </c>
      <c r="L47" s="56">
        <f>IF(AgingBasis="من تاريخ الفاتورة",tblInv[[#This Row],[تاريخ الفاتورة]],tblInv[[#This Row],[تاريخ الاستحقاق]])</f>
        <v/>
      </c>
      <c r="M47" s="57">
        <f>IF(tblInv[[#This Row],[المتبقي]]&lt;=0,0,MAX(0,AsOf-tblInv[[#This Row],[تاريخ الأساس]]))</f>
        <v/>
      </c>
      <c r="N4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7" s="44" t="n"/>
      <c r="Q4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7" s="52">
        <f>IF(AND(tblInv[[#This Row],[كود العميل]]=StCust,tblInv[[#This Row],[تاريخ الفاتورة]]&gt;=StFrom,tblInv[[#This Row],[تاريخ الفاتورة]]&lt;=StTo),tblInv[[#This Row],[تاريخ الفاتورة]]*100000+ROW(),"")</f>
        <v/>
      </c>
      <c r="S47" s="52">
        <f>IF(tblInv[[#This Row],[مفتاح الكشف]]="","",COUNTIF(tblInv[مفتاح الكشف],"&lt;"&amp;tblInv[[#This Row],[مفتاح الكشف]])+COUNTIF(tblRec[مفتاح الكشف],"&lt;"&amp;tblInv[[#This Row],[مفتاح الكشف]])+1)</f>
        <v/>
      </c>
    </row>
    <row r="48">
      <c r="A48" s="43" t="inlineStr">
        <is>
          <t>INV-2026-0044</t>
        </is>
      </c>
      <c r="B48" s="53" t="n">
        <v>46129</v>
      </c>
      <c r="C48" s="43" t="inlineStr">
        <is>
          <t>C003</t>
        </is>
      </c>
      <c r="D48" s="52">
        <f>IF(tblInv[[#This Row],[كود العميل]]="","",IFERROR(INDEX(tblCustomers[اسم العميل],MATCH(tblInv[[#This Row],[كود العميل]],tblCustomers[كود العميل],0)),"⚠ كود غير موجود"))</f>
        <v/>
      </c>
      <c r="E48" s="54" t="n">
        <v>10600</v>
      </c>
      <c r="F48" s="49">
        <f>ROUND(tblInv[[#This Row],[المبلغ قبل الضريبة]]*VatRate,2)</f>
        <v/>
      </c>
      <c r="G48" s="48">
        <f>tblInv[[#This Row],[المبلغ قبل الضريبة]]+tblInv[[#This Row],[الضريبة]]</f>
        <v/>
      </c>
      <c r="H48" s="55">
        <f>IFERROR(IF(INDEX(tblCustomers[مدة السداد],MATCH(tblInv[[#This Row],[كود العميل]],tblCustomers[كود العميل],0))="",DefaultTerms,INDEX(tblCustomers[مدة السداد],MATCH(tblInv[[#This Row],[كود العميل]],tblCustomers[كود العميل],0))),DefaultTerms)</f>
        <v/>
      </c>
      <c r="I48" s="56">
        <f>tblInv[[#This Row],[تاريخ الفاتورة]]+tblInv[[#This Row],[مدة السداد]]</f>
        <v/>
      </c>
      <c r="J48" s="49">
        <f>SUMIFS(tblRec[المبلغ],tblRec[رقم الفاتورة],tblInv[[#This Row],[رقم الفاتورة]],tblRec[التاريخ],"&lt;="&amp;AsOf)</f>
        <v/>
      </c>
      <c r="K48" s="48">
        <f>IF(tblInv[[#This Row],[تاريخ الفاتورة]]&gt;AsOf,0,ROUND(tblInv[[#This Row],[الإجمالي]]-tblInv[[#This Row],[المحصّل]],2))</f>
        <v/>
      </c>
      <c r="L48" s="56">
        <f>IF(AgingBasis="من تاريخ الفاتورة",tblInv[[#This Row],[تاريخ الفاتورة]],tblInv[[#This Row],[تاريخ الاستحقاق]])</f>
        <v/>
      </c>
      <c r="M48" s="57">
        <f>IF(tblInv[[#This Row],[المتبقي]]&lt;=0,0,MAX(0,AsOf-tblInv[[#This Row],[تاريخ الأساس]]))</f>
        <v/>
      </c>
      <c r="N4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8" s="44" t="n"/>
      <c r="Q4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8" s="52">
        <f>IF(AND(tblInv[[#This Row],[كود العميل]]=StCust,tblInv[[#This Row],[تاريخ الفاتورة]]&gt;=StFrom,tblInv[[#This Row],[تاريخ الفاتورة]]&lt;=StTo),tblInv[[#This Row],[تاريخ الفاتورة]]*100000+ROW(),"")</f>
        <v/>
      </c>
      <c r="S48" s="52">
        <f>IF(tblInv[[#This Row],[مفتاح الكشف]]="","",COUNTIF(tblInv[مفتاح الكشف],"&lt;"&amp;tblInv[[#This Row],[مفتاح الكشف]])+COUNTIF(tblRec[مفتاح الكشف],"&lt;"&amp;tblInv[[#This Row],[مفتاح الكشف]])+1)</f>
        <v/>
      </c>
    </row>
    <row r="49">
      <c r="A49" s="43" t="inlineStr">
        <is>
          <t>INV-2026-0045</t>
        </is>
      </c>
      <c r="B49" s="53" t="n">
        <v>46130</v>
      </c>
      <c r="C49" s="43" t="inlineStr">
        <is>
          <t>C015</t>
        </is>
      </c>
      <c r="D49" s="52">
        <f>IF(tblInv[[#This Row],[كود العميل]]="","",IFERROR(INDEX(tblCustomers[اسم العميل],MATCH(tblInv[[#This Row],[كود العميل]],tblCustomers[كود العميل],0)),"⚠ كود غير موجود"))</f>
        <v/>
      </c>
      <c r="E49" s="54" t="n">
        <v>42900</v>
      </c>
      <c r="F49" s="49">
        <f>ROUND(tblInv[[#This Row],[المبلغ قبل الضريبة]]*VatRate,2)</f>
        <v/>
      </c>
      <c r="G49" s="48">
        <f>tblInv[[#This Row],[المبلغ قبل الضريبة]]+tblInv[[#This Row],[الضريبة]]</f>
        <v/>
      </c>
      <c r="H49" s="55">
        <f>IFERROR(IF(INDEX(tblCustomers[مدة السداد],MATCH(tblInv[[#This Row],[كود العميل]],tblCustomers[كود العميل],0))="",DefaultTerms,INDEX(tblCustomers[مدة السداد],MATCH(tblInv[[#This Row],[كود العميل]],tblCustomers[كود العميل],0))),DefaultTerms)</f>
        <v/>
      </c>
      <c r="I49" s="56">
        <f>tblInv[[#This Row],[تاريخ الفاتورة]]+tblInv[[#This Row],[مدة السداد]]</f>
        <v/>
      </c>
      <c r="J49" s="49">
        <f>SUMIFS(tblRec[المبلغ],tblRec[رقم الفاتورة],tblInv[[#This Row],[رقم الفاتورة]],tblRec[التاريخ],"&lt;="&amp;AsOf)</f>
        <v/>
      </c>
      <c r="K49" s="48">
        <f>IF(tblInv[[#This Row],[تاريخ الفاتورة]]&gt;AsOf,0,ROUND(tblInv[[#This Row],[الإجمالي]]-tblInv[[#This Row],[المحصّل]],2))</f>
        <v/>
      </c>
      <c r="L49" s="56">
        <f>IF(AgingBasis="من تاريخ الفاتورة",tblInv[[#This Row],[تاريخ الفاتورة]],tblInv[[#This Row],[تاريخ الاستحقاق]])</f>
        <v/>
      </c>
      <c r="M49" s="57">
        <f>IF(tblInv[[#This Row],[المتبقي]]&lt;=0,0,MAX(0,AsOf-tblInv[[#This Row],[تاريخ الأساس]]))</f>
        <v/>
      </c>
      <c r="N4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9" s="44" t="n"/>
      <c r="Q4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9" s="52">
        <f>IF(AND(tblInv[[#This Row],[كود العميل]]=StCust,tblInv[[#This Row],[تاريخ الفاتورة]]&gt;=StFrom,tblInv[[#This Row],[تاريخ الفاتورة]]&lt;=StTo),tblInv[[#This Row],[تاريخ الفاتورة]]*100000+ROW(),"")</f>
        <v/>
      </c>
      <c r="S49" s="52">
        <f>IF(tblInv[[#This Row],[مفتاح الكشف]]="","",COUNTIF(tblInv[مفتاح الكشف],"&lt;"&amp;tblInv[[#This Row],[مفتاح الكشف]])+COUNTIF(tblRec[مفتاح الكشف],"&lt;"&amp;tblInv[[#This Row],[مفتاح الكشف]])+1)</f>
        <v/>
      </c>
    </row>
    <row r="50">
      <c r="A50" s="43" t="inlineStr">
        <is>
          <t>INV-2026-0046</t>
        </is>
      </c>
      <c r="B50" s="53" t="n">
        <v>46130</v>
      </c>
      <c r="C50" s="43" t="inlineStr">
        <is>
          <t>C003</t>
        </is>
      </c>
      <c r="D50" s="52">
        <f>IF(tblInv[[#This Row],[كود العميل]]="","",IFERROR(INDEX(tblCustomers[اسم العميل],MATCH(tblInv[[#This Row],[كود العميل]],tblCustomers[كود العميل],0)),"⚠ كود غير موجود"))</f>
        <v/>
      </c>
      <c r="E50" s="54" t="n">
        <v>5900</v>
      </c>
      <c r="F50" s="49">
        <f>ROUND(tblInv[[#This Row],[المبلغ قبل الضريبة]]*VatRate,2)</f>
        <v/>
      </c>
      <c r="G50" s="48">
        <f>tblInv[[#This Row],[المبلغ قبل الضريبة]]+tblInv[[#This Row],[الضريبة]]</f>
        <v/>
      </c>
      <c r="H50" s="55">
        <f>IFERROR(IF(INDEX(tblCustomers[مدة السداد],MATCH(tblInv[[#This Row],[كود العميل]],tblCustomers[كود العميل],0))="",DefaultTerms,INDEX(tblCustomers[مدة السداد],MATCH(tblInv[[#This Row],[كود العميل]],tblCustomers[كود العميل],0))),DefaultTerms)</f>
        <v/>
      </c>
      <c r="I50" s="56">
        <f>tblInv[[#This Row],[تاريخ الفاتورة]]+tblInv[[#This Row],[مدة السداد]]</f>
        <v/>
      </c>
      <c r="J50" s="49">
        <f>SUMIFS(tblRec[المبلغ],tblRec[رقم الفاتورة],tblInv[[#This Row],[رقم الفاتورة]],tblRec[التاريخ],"&lt;="&amp;AsOf)</f>
        <v/>
      </c>
      <c r="K50" s="48">
        <f>IF(tblInv[[#This Row],[تاريخ الفاتورة]]&gt;AsOf,0,ROUND(tblInv[[#This Row],[الإجمالي]]-tblInv[[#This Row],[المحصّل]],2))</f>
        <v/>
      </c>
      <c r="L50" s="56">
        <f>IF(AgingBasis="من تاريخ الفاتورة",tblInv[[#This Row],[تاريخ الفاتورة]],tblInv[[#This Row],[تاريخ الاستحقاق]])</f>
        <v/>
      </c>
      <c r="M50" s="57">
        <f>IF(tblInv[[#This Row],[المتبقي]]&lt;=0,0,MAX(0,AsOf-tblInv[[#This Row],[تاريخ الأساس]]))</f>
        <v/>
      </c>
      <c r="N5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0" s="44" t="n"/>
      <c r="Q5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0" s="52">
        <f>IF(AND(tblInv[[#This Row],[كود العميل]]=StCust,tblInv[[#This Row],[تاريخ الفاتورة]]&gt;=StFrom,tblInv[[#This Row],[تاريخ الفاتورة]]&lt;=StTo),tblInv[[#This Row],[تاريخ الفاتورة]]*100000+ROW(),"")</f>
        <v/>
      </c>
      <c r="S50" s="52">
        <f>IF(tblInv[[#This Row],[مفتاح الكشف]]="","",COUNTIF(tblInv[مفتاح الكشف],"&lt;"&amp;tblInv[[#This Row],[مفتاح الكشف]])+COUNTIF(tblRec[مفتاح الكشف],"&lt;"&amp;tblInv[[#This Row],[مفتاح الكشف]])+1)</f>
        <v/>
      </c>
    </row>
    <row r="51">
      <c r="A51" s="43" t="inlineStr">
        <is>
          <t>INV-2026-0047</t>
        </is>
      </c>
      <c r="B51" s="53" t="n">
        <v>46134</v>
      </c>
      <c r="C51" s="43" t="inlineStr">
        <is>
          <t>C002</t>
        </is>
      </c>
      <c r="D51" s="52">
        <f>IF(tblInv[[#This Row],[كود العميل]]="","",IFERROR(INDEX(tblCustomers[اسم العميل],MATCH(tblInv[[#This Row],[كود العميل]],tblCustomers[كود العميل],0)),"⚠ كود غير موجود"))</f>
        <v/>
      </c>
      <c r="E51" s="54" t="n">
        <v>7050</v>
      </c>
      <c r="F51" s="49">
        <f>ROUND(tblInv[[#This Row],[المبلغ قبل الضريبة]]*VatRate,2)</f>
        <v/>
      </c>
      <c r="G51" s="48">
        <f>tblInv[[#This Row],[المبلغ قبل الضريبة]]+tblInv[[#This Row],[الضريبة]]</f>
        <v/>
      </c>
      <c r="H51" s="55">
        <f>IFERROR(IF(INDEX(tblCustomers[مدة السداد],MATCH(tblInv[[#This Row],[كود العميل]],tblCustomers[كود العميل],0))="",DefaultTerms,INDEX(tblCustomers[مدة السداد],MATCH(tblInv[[#This Row],[كود العميل]],tblCustomers[كود العميل],0))),DefaultTerms)</f>
        <v/>
      </c>
      <c r="I51" s="56">
        <f>tblInv[[#This Row],[تاريخ الفاتورة]]+tblInv[[#This Row],[مدة السداد]]</f>
        <v/>
      </c>
      <c r="J51" s="49">
        <f>SUMIFS(tblRec[المبلغ],tblRec[رقم الفاتورة],tblInv[[#This Row],[رقم الفاتورة]],tblRec[التاريخ],"&lt;="&amp;AsOf)</f>
        <v/>
      </c>
      <c r="K51" s="48">
        <f>IF(tblInv[[#This Row],[تاريخ الفاتورة]]&gt;AsOf,0,ROUND(tblInv[[#This Row],[الإجمالي]]-tblInv[[#This Row],[المحصّل]],2))</f>
        <v/>
      </c>
      <c r="L51" s="56">
        <f>IF(AgingBasis="من تاريخ الفاتورة",tblInv[[#This Row],[تاريخ الفاتورة]],tblInv[[#This Row],[تاريخ الاستحقاق]])</f>
        <v/>
      </c>
      <c r="M51" s="57">
        <f>IF(tblInv[[#This Row],[المتبقي]]&lt;=0,0,MAX(0,AsOf-tblInv[[#This Row],[تاريخ الأساس]]))</f>
        <v/>
      </c>
      <c r="N5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1" s="44" t="n"/>
      <c r="Q5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1" s="52">
        <f>IF(AND(tblInv[[#This Row],[كود العميل]]=StCust,tblInv[[#This Row],[تاريخ الفاتورة]]&gt;=StFrom,tblInv[[#This Row],[تاريخ الفاتورة]]&lt;=StTo),tblInv[[#This Row],[تاريخ الفاتورة]]*100000+ROW(),"")</f>
        <v/>
      </c>
      <c r="S51" s="52">
        <f>IF(tblInv[[#This Row],[مفتاح الكشف]]="","",COUNTIF(tblInv[مفتاح الكشف],"&lt;"&amp;tblInv[[#This Row],[مفتاح الكشف]])+COUNTIF(tblRec[مفتاح الكشف],"&lt;"&amp;tblInv[[#This Row],[مفتاح الكشف]])+1)</f>
        <v/>
      </c>
    </row>
    <row r="52">
      <c r="A52" s="43" t="inlineStr">
        <is>
          <t>INV-2026-0048</t>
        </is>
      </c>
      <c r="B52" s="53" t="n">
        <v>46136</v>
      </c>
      <c r="C52" s="43" t="inlineStr">
        <is>
          <t>C008</t>
        </is>
      </c>
      <c r="D52" s="52">
        <f>IF(tblInv[[#This Row],[كود العميل]]="","",IFERROR(INDEX(tblCustomers[اسم العميل],MATCH(tblInv[[#This Row],[كود العميل]],tblCustomers[كود العميل],0)),"⚠ كود غير موجود"))</f>
        <v/>
      </c>
      <c r="E52" s="54" t="n">
        <v>22550</v>
      </c>
      <c r="F52" s="49">
        <f>ROUND(tblInv[[#This Row],[المبلغ قبل الضريبة]]*VatRate,2)</f>
        <v/>
      </c>
      <c r="G52" s="48">
        <f>tblInv[[#This Row],[المبلغ قبل الضريبة]]+tblInv[[#This Row],[الضريبة]]</f>
        <v/>
      </c>
      <c r="H52" s="55">
        <f>IFERROR(IF(INDEX(tblCustomers[مدة السداد],MATCH(tblInv[[#This Row],[كود العميل]],tblCustomers[كود العميل],0))="",DefaultTerms,INDEX(tblCustomers[مدة السداد],MATCH(tblInv[[#This Row],[كود العميل]],tblCustomers[كود العميل],0))),DefaultTerms)</f>
        <v/>
      </c>
      <c r="I52" s="56">
        <f>tblInv[[#This Row],[تاريخ الفاتورة]]+tblInv[[#This Row],[مدة السداد]]</f>
        <v/>
      </c>
      <c r="J52" s="49">
        <f>SUMIFS(tblRec[المبلغ],tblRec[رقم الفاتورة],tblInv[[#This Row],[رقم الفاتورة]],tblRec[التاريخ],"&lt;="&amp;AsOf)</f>
        <v/>
      </c>
      <c r="K52" s="48">
        <f>IF(tblInv[[#This Row],[تاريخ الفاتورة]]&gt;AsOf,0,ROUND(tblInv[[#This Row],[الإجمالي]]-tblInv[[#This Row],[المحصّل]],2))</f>
        <v/>
      </c>
      <c r="L52" s="56">
        <f>IF(AgingBasis="من تاريخ الفاتورة",tblInv[[#This Row],[تاريخ الفاتورة]],tblInv[[#This Row],[تاريخ الاستحقاق]])</f>
        <v/>
      </c>
      <c r="M52" s="57">
        <f>IF(tblInv[[#This Row],[المتبقي]]&lt;=0,0,MAX(0,AsOf-tblInv[[#This Row],[تاريخ الأساس]]))</f>
        <v/>
      </c>
      <c r="N5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2" s="44" t="n"/>
      <c r="Q5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2" s="52">
        <f>IF(AND(tblInv[[#This Row],[كود العميل]]=StCust,tblInv[[#This Row],[تاريخ الفاتورة]]&gt;=StFrom,tblInv[[#This Row],[تاريخ الفاتورة]]&lt;=StTo),tblInv[[#This Row],[تاريخ الفاتورة]]*100000+ROW(),"")</f>
        <v/>
      </c>
      <c r="S52" s="52">
        <f>IF(tblInv[[#This Row],[مفتاح الكشف]]="","",COUNTIF(tblInv[مفتاح الكشف],"&lt;"&amp;tblInv[[#This Row],[مفتاح الكشف]])+COUNTIF(tblRec[مفتاح الكشف],"&lt;"&amp;tblInv[[#This Row],[مفتاح الكشف]])+1)</f>
        <v/>
      </c>
    </row>
    <row r="53">
      <c r="A53" s="43" t="inlineStr">
        <is>
          <t>INV-2026-0049</t>
        </is>
      </c>
      <c r="B53" s="53" t="n">
        <v>46138</v>
      </c>
      <c r="C53" s="43" t="inlineStr">
        <is>
          <t>C006</t>
        </is>
      </c>
      <c r="D53" s="52">
        <f>IF(tblInv[[#This Row],[كود العميل]]="","",IFERROR(INDEX(tblCustomers[اسم العميل],MATCH(tblInv[[#This Row],[كود العميل]],tblCustomers[كود العميل],0)),"⚠ كود غير موجود"))</f>
        <v/>
      </c>
      <c r="E53" s="54" t="n">
        <v>33250</v>
      </c>
      <c r="F53" s="49">
        <f>ROUND(tblInv[[#This Row],[المبلغ قبل الضريبة]]*VatRate,2)</f>
        <v/>
      </c>
      <c r="G53" s="48">
        <f>tblInv[[#This Row],[المبلغ قبل الضريبة]]+tblInv[[#This Row],[الضريبة]]</f>
        <v/>
      </c>
      <c r="H53" s="55">
        <f>IFERROR(IF(INDEX(tblCustomers[مدة السداد],MATCH(tblInv[[#This Row],[كود العميل]],tblCustomers[كود العميل],0))="",DefaultTerms,INDEX(tblCustomers[مدة السداد],MATCH(tblInv[[#This Row],[كود العميل]],tblCustomers[كود العميل],0))),DefaultTerms)</f>
        <v/>
      </c>
      <c r="I53" s="56">
        <f>tblInv[[#This Row],[تاريخ الفاتورة]]+tblInv[[#This Row],[مدة السداد]]</f>
        <v/>
      </c>
      <c r="J53" s="49">
        <f>SUMIFS(tblRec[المبلغ],tblRec[رقم الفاتورة],tblInv[[#This Row],[رقم الفاتورة]],tblRec[التاريخ],"&lt;="&amp;AsOf)</f>
        <v/>
      </c>
      <c r="K53" s="48">
        <f>IF(tblInv[[#This Row],[تاريخ الفاتورة]]&gt;AsOf,0,ROUND(tblInv[[#This Row],[الإجمالي]]-tblInv[[#This Row],[المحصّل]],2))</f>
        <v/>
      </c>
      <c r="L53" s="56">
        <f>IF(AgingBasis="من تاريخ الفاتورة",tblInv[[#This Row],[تاريخ الفاتورة]],tblInv[[#This Row],[تاريخ الاستحقاق]])</f>
        <v/>
      </c>
      <c r="M53" s="57">
        <f>IF(tblInv[[#This Row],[المتبقي]]&lt;=0,0,MAX(0,AsOf-tblInv[[#This Row],[تاريخ الأساس]]))</f>
        <v/>
      </c>
      <c r="N5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3" s="44" t="n"/>
      <c r="Q5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3" s="52">
        <f>IF(AND(tblInv[[#This Row],[كود العميل]]=StCust,tblInv[[#This Row],[تاريخ الفاتورة]]&gt;=StFrom,tblInv[[#This Row],[تاريخ الفاتورة]]&lt;=StTo),tblInv[[#This Row],[تاريخ الفاتورة]]*100000+ROW(),"")</f>
        <v/>
      </c>
      <c r="S53" s="52">
        <f>IF(tblInv[[#This Row],[مفتاح الكشف]]="","",COUNTIF(tblInv[مفتاح الكشف],"&lt;"&amp;tblInv[[#This Row],[مفتاح الكشف]])+COUNTIF(tblRec[مفتاح الكشف],"&lt;"&amp;tblInv[[#This Row],[مفتاح الكشف]])+1)</f>
        <v/>
      </c>
    </row>
    <row r="54">
      <c r="A54" s="43" t="inlineStr">
        <is>
          <t>INV-2026-0050</t>
        </is>
      </c>
      <c r="B54" s="53" t="n">
        <v>46139</v>
      </c>
      <c r="C54" s="43" t="inlineStr">
        <is>
          <t>C009</t>
        </is>
      </c>
      <c r="D54" s="52">
        <f>IF(tblInv[[#This Row],[كود العميل]]="","",IFERROR(INDEX(tblCustomers[اسم العميل],MATCH(tblInv[[#This Row],[كود العميل]],tblCustomers[كود العميل],0)),"⚠ كود غير موجود"))</f>
        <v/>
      </c>
      <c r="E54" s="54" t="n">
        <v>11150</v>
      </c>
      <c r="F54" s="49">
        <f>ROUND(tblInv[[#This Row],[المبلغ قبل الضريبة]]*VatRate,2)</f>
        <v/>
      </c>
      <c r="G54" s="48">
        <f>tblInv[[#This Row],[المبلغ قبل الضريبة]]+tblInv[[#This Row],[الضريبة]]</f>
        <v/>
      </c>
      <c r="H54" s="55">
        <f>IFERROR(IF(INDEX(tblCustomers[مدة السداد],MATCH(tblInv[[#This Row],[كود العميل]],tblCustomers[كود العميل],0))="",DefaultTerms,INDEX(tblCustomers[مدة السداد],MATCH(tblInv[[#This Row],[كود العميل]],tblCustomers[كود العميل],0))),DefaultTerms)</f>
        <v/>
      </c>
      <c r="I54" s="56">
        <f>tblInv[[#This Row],[تاريخ الفاتورة]]+tblInv[[#This Row],[مدة السداد]]</f>
        <v/>
      </c>
      <c r="J54" s="49">
        <f>SUMIFS(tblRec[المبلغ],tblRec[رقم الفاتورة],tblInv[[#This Row],[رقم الفاتورة]],tblRec[التاريخ],"&lt;="&amp;AsOf)</f>
        <v/>
      </c>
      <c r="K54" s="48">
        <f>IF(tblInv[[#This Row],[تاريخ الفاتورة]]&gt;AsOf,0,ROUND(tblInv[[#This Row],[الإجمالي]]-tblInv[[#This Row],[المحصّل]],2))</f>
        <v/>
      </c>
      <c r="L54" s="56">
        <f>IF(AgingBasis="من تاريخ الفاتورة",tblInv[[#This Row],[تاريخ الفاتورة]],tblInv[[#This Row],[تاريخ الاستحقاق]])</f>
        <v/>
      </c>
      <c r="M54" s="57">
        <f>IF(tblInv[[#This Row],[المتبقي]]&lt;=0,0,MAX(0,AsOf-tblInv[[#This Row],[تاريخ الأساس]]))</f>
        <v/>
      </c>
      <c r="N5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4" s="44" t="n"/>
      <c r="Q5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4" s="52">
        <f>IF(AND(tblInv[[#This Row],[كود العميل]]=StCust,tblInv[[#This Row],[تاريخ الفاتورة]]&gt;=StFrom,tblInv[[#This Row],[تاريخ الفاتورة]]&lt;=StTo),tblInv[[#This Row],[تاريخ الفاتورة]]*100000+ROW(),"")</f>
        <v/>
      </c>
      <c r="S54" s="52">
        <f>IF(tblInv[[#This Row],[مفتاح الكشف]]="","",COUNTIF(tblInv[مفتاح الكشف],"&lt;"&amp;tblInv[[#This Row],[مفتاح الكشف]])+COUNTIF(tblRec[مفتاح الكشف],"&lt;"&amp;tblInv[[#This Row],[مفتاح الكشف]])+1)</f>
        <v/>
      </c>
    </row>
    <row r="55">
      <c r="A55" s="43" t="inlineStr">
        <is>
          <t>INV-2026-0051</t>
        </is>
      </c>
      <c r="B55" s="53" t="n">
        <v>46147</v>
      </c>
      <c r="C55" s="43" t="inlineStr">
        <is>
          <t>C011</t>
        </is>
      </c>
      <c r="D55" s="52">
        <f>IF(tblInv[[#This Row],[كود العميل]]="","",IFERROR(INDEX(tblCustomers[اسم العميل],MATCH(tblInv[[#This Row],[كود العميل]],tblCustomers[كود العميل],0)),"⚠ كود غير موجود"))</f>
        <v/>
      </c>
      <c r="E55" s="54" t="n">
        <v>7250</v>
      </c>
      <c r="F55" s="49">
        <f>ROUND(tblInv[[#This Row],[المبلغ قبل الضريبة]]*VatRate,2)</f>
        <v/>
      </c>
      <c r="G55" s="48">
        <f>tblInv[[#This Row],[المبلغ قبل الضريبة]]+tblInv[[#This Row],[الضريبة]]</f>
        <v/>
      </c>
      <c r="H55" s="55">
        <f>IFERROR(IF(INDEX(tblCustomers[مدة السداد],MATCH(tblInv[[#This Row],[كود العميل]],tblCustomers[كود العميل],0))="",DefaultTerms,INDEX(tblCustomers[مدة السداد],MATCH(tblInv[[#This Row],[كود العميل]],tblCustomers[كود العميل],0))),DefaultTerms)</f>
        <v/>
      </c>
      <c r="I55" s="56">
        <f>tblInv[[#This Row],[تاريخ الفاتورة]]+tblInv[[#This Row],[مدة السداد]]</f>
        <v/>
      </c>
      <c r="J55" s="49">
        <f>SUMIFS(tblRec[المبلغ],tblRec[رقم الفاتورة],tblInv[[#This Row],[رقم الفاتورة]],tblRec[التاريخ],"&lt;="&amp;AsOf)</f>
        <v/>
      </c>
      <c r="K55" s="48">
        <f>IF(tblInv[[#This Row],[تاريخ الفاتورة]]&gt;AsOf,0,ROUND(tblInv[[#This Row],[الإجمالي]]-tblInv[[#This Row],[المحصّل]],2))</f>
        <v/>
      </c>
      <c r="L55" s="56">
        <f>IF(AgingBasis="من تاريخ الفاتورة",tblInv[[#This Row],[تاريخ الفاتورة]],tblInv[[#This Row],[تاريخ الاستحقاق]])</f>
        <v/>
      </c>
      <c r="M55" s="57">
        <f>IF(tblInv[[#This Row],[المتبقي]]&lt;=0,0,MAX(0,AsOf-tblInv[[#This Row],[تاريخ الأساس]]))</f>
        <v/>
      </c>
      <c r="N5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5" s="44" t="n"/>
      <c r="Q5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5" s="52">
        <f>IF(AND(tblInv[[#This Row],[كود العميل]]=StCust,tblInv[[#This Row],[تاريخ الفاتورة]]&gt;=StFrom,tblInv[[#This Row],[تاريخ الفاتورة]]&lt;=StTo),tblInv[[#This Row],[تاريخ الفاتورة]]*100000+ROW(),"")</f>
        <v/>
      </c>
      <c r="S55" s="52">
        <f>IF(tblInv[[#This Row],[مفتاح الكشف]]="","",COUNTIF(tblInv[مفتاح الكشف],"&lt;"&amp;tblInv[[#This Row],[مفتاح الكشف]])+COUNTIF(tblRec[مفتاح الكشف],"&lt;"&amp;tblInv[[#This Row],[مفتاح الكشف]])+1)</f>
        <v/>
      </c>
    </row>
    <row r="56">
      <c r="A56" s="43" t="inlineStr">
        <is>
          <t>INV-2026-0052</t>
        </is>
      </c>
      <c r="B56" s="53" t="n">
        <v>46150</v>
      </c>
      <c r="C56" s="43" t="inlineStr">
        <is>
          <t>C005</t>
        </is>
      </c>
      <c r="D56" s="52">
        <f>IF(tblInv[[#This Row],[كود العميل]]="","",IFERROR(INDEX(tblCustomers[اسم العميل],MATCH(tblInv[[#This Row],[كود العميل]],tblCustomers[كود العميل],0)),"⚠ كود غير موجود"))</f>
        <v/>
      </c>
      <c r="E56" s="54" t="n">
        <v>39100</v>
      </c>
      <c r="F56" s="49">
        <f>ROUND(tblInv[[#This Row],[المبلغ قبل الضريبة]]*VatRate,2)</f>
        <v/>
      </c>
      <c r="G56" s="48">
        <f>tblInv[[#This Row],[المبلغ قبل الضريبة]]+tblInv[[#This Row],[الضريبة]]</f>
        <v/>
      </c>
      <c r="H56" s="55">
        <f>IFERROR(IF(INDEX(tblCustomers[مدة السداد],MATCH(tblInv[[#This Row],[كود العميل]],tblCustomers[كود العميل],0))="",DefaultTerms,INDEX(tblCustomers[مدة السداد],MATCH(tblInv[[#This Row],[كود العميل]],tblCustomers[كود العميل],0))),DefaultTerms)</f>
        <v/>
      </c>
      <c r="I56" s="56">
        <f>tblInv[[#This Row],[تاريخ الفاتورة]]+tblInv[[#This Row],[مدة السداد]]</f>
        <v/>
      </c>
      <c r="J56" s="49">
        <f>SUMIFS(tblRec[المبلغ],tblRec[رقم الفاتورة],tblInv[[#This Row],[رقم الفاتورة]],tblRec[التاريخ],"&lt;="&amp;AsOf)</f>
        <v/>
      </c>
      <c r="K56" s="48">
        <f>IF(tblInv[[#This Row],[تاريخ الفاتورة]]&gt;AsOf,0,ROUND(tblInv[[#This Row],[الإجمالي]]-tblInv[[#This Row],[المحصّل]],2))</f>
        <v/>
      </c>
      <c r="L56" s="56">
        <f>IF(AgingBasis="من تاريخ الفاتورة",tblInv[[#This Row],[تاريخ الفاتورة]],tblInv[[#This Row],[تاريخ الاستحقاق]])</f>
        <v/>
      </c>
      <c r="M56" s="57">
        <f>IF(tblInv[[#This Row],[المتبقي]]&lt;=0,0,MAX(0,AsOf-tblInv[[#This Row],[تاريخ الأساس]]))</f>
        <v/>
      </c>
      <c r="N5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6" s="44" t="n"/>
      <c r="Q5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6" s="52">
        <f>IF(AND(tblInv[[#This Row],[كود العميل]]=StCust,tblInv[[#This Row],[تاريخ الفاتورة]]&gt;=StFrom,tblInv[[#This Row],[تاريخ الفاتورة]]&lt;=StTo),tblInv[[#This Row],[تاريخ الفاتورة]]*100000+ROW(),"")</f>
        <v/>
      </c>
      <c r="S56" s="52">
        <f>IF(tblInv[[#This Row],[مفتاح الكشف]]="","",COUNTIF(tblInv[مفتاح الكشف],"&lt;"&amp;tblInv[[#This Row],[مفتاح الكشف]])+COUNTIF(tblRec[مفتاح الكشف],"&lt;"&amp;tblInv[[#This Row],[مفتاح الكشف]])+1)</f>
        <v/>
      </c>
    </row>
    <row r="57">
      <c r="A57" s="43" t="inlineStr">
        <is>
          <t>INV-2026-0053</t>
        </is>
      </c>
      <c r="B57" s="53" t="n">
        <v>46153</v>
      </c>
      <c r="C57" s="43" t="inlineStr">
        <is>
          <t>C010</t>
        </is>
      </c>
      <c r="D57" s="52">
        <f>IF(tblInv[[#This Row],[كود العميل]]="","",IFERROR(INDEX(tblCustomers[اسم العميل],MATCH(tblInv[[#This Row],[كود العميل]],tblCustomers[كود العميل],0)),"⚠ كود غير موجود"))</f>
        <v/>
      </c>
      <c r="E57" s="54" t="n">
        <v>22750</v>
      </c>
      <c r="F57" s="49">
        <f>ROUND(tblInv[[#This Row],[المبلغ قبل الضريبة]]*VatRate,2)</f>
        <v/>
      </c>
      <c r="G57" s="48">
        <f>tblInv[[#This Row],[المبلغ قبل الضريبة]]+tblInv[[#This Row],[الضريبة]]</f>
        <v/>
      </c>
      <c r="H57" s="55">
        <f>IFERROR(IF(INDEX(tblCustomers[مدة السداد],MATCH(tblInv[[#This Row],[كود العميل]],tblCustomers[كود العميل],0))="",DefaultTerms,INDEX(tblCustomers[مدة السداد],MATCH(tblInv[[#This Row],[كود العميل]],tblCustomers[كود العميل],0))),DefaultTerms)</f>
        <v/>
      </c>
      <c r="I57" s="56">
        <f>tblInv[[#This Row],[تاريخ الفاتورة]]+tblInv[[#This Row],[مدة السداد]]</f>
        <v/>
      </c>
      <c r="J57" s="49">
        <f>SUMIFS(tblRec[المبلغ],tblRec[رقم الفاتورة],tblInv[[#This Row],[رقم الفاتورة]],tblRec[التاريخ],"&lt;="&amp;AsOf)</f>
        <v/>
      </c>
      <c r="K57" s="48">
        <f>IF(tblInv[[#This Row],[تاريخ الفاتورة]]&gt;AsOf,0,ROUND(tblInv[[#This Row],[الإجمالي]]-tblInv[[#This Row],[المحصّل]],2))</f>
        <v/>
      </c>
      <c r="L57" s="56">
        <f>IF(AgingBasis="من تاريخ الفاتورة",tblInv[[#This Row],[تاريخ الفاتورة]],tblInv[[#This Row],[تاريخ الاستحقاق]])</f>
        <v/>
      </c>
      <c r="M57" s="57">
        <f>IF(tblInv[[#This Row],[المتبقي]]&lt;=0,0,MAX(0,AsOf-tblInv[[#This Row],[تاريخ الأساس]]))</f>
        <v/>
      </c>
      <c r="N5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7" s="44" t="n"/>
      <c r="Q5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7" s="52">
        <f>IF(AND(tblInv[[#This Row],[كود العميل]]=StCust,tblInv[[#This Row],[تاريخ الفاتورة]]&gt;=StFrom,tblInv[[#This Row],[تاريخ الفاتورة]]&lt;=StTo),tblInv[[#This Row],[تاريخ الفاتورة]]*100000+ROW(),"")</f>
        <v/>
      </c>
      <c r="S57" s="52">
        <f>IF(tblInv[[#This Row],[مفتاح الكشف]]="","",COUNTIF(tblInv[مفتاح الكشف],"&lt;"&amp;tblInv[[#This Row],[مفتاح الكشف]])+COUNTIF(tblRec[مفتاح الكشف],"&lt;"&amp;tblInv[[#This Row],[مفتاح الكشف]])+1)</f>
        <v/>
      </c>
    </row>
    <row r="58">
      <c r="A58" s="43" t="inlineStr">
        <is>
          <t>INV-2026-0054</t>
        </is>
      </c>
      <c r="B58" s="53" t="n">
        <v>46154</v>
      </c>
      <c r="C58" s="43" t="inlineStr">
        <is>
          <t>C004</t>
        </is>
      </c>
      <c r="D58" s="52">
        <f>IF(tblInv[[#This Row],[كود العميل]]="","",IFERROR(INDEX(tblCustomers[اسم العميل],MATCH(tblInv[[#This Row],[كود العميل]],tblCustomers[كود العميل],0)),"⚠ كود غير موجود"))</f>
        <v/>
      </c>
      <c r="E58" s="54" t="n">
        <v>32300</v>
      </c>
      <c r="F58" s="49">
        <f>ROUND(tblInv[[#This Row],[المبلغ قبل الضريبة]]*VatRate,2)</f>
        <v/>
      </c>
      <c r="G58" s="48">
        <f>tblInv[[#This Row],[المبلغ قبل الضريبة]]+tblInv[[#This Row],[الضريبة]]</f>
        <v/>
      </c>
      <c r="H58" s="55">
        <f>IFERROR(IF(INDEX(tblCustomers[مدة السداد],MATCH(tblInv[[#This Row],[كود العميل]],tblCustomers[كود العميل],0))="",DefaultTerms,INDEX(tblCustomers[مدة السداد],MATCH(tblInv[[#This Row],[كود العميل]],tblCustomers[كود العميل],0))),DefaultTerms)</f>
        <v/>
      </c>
      <c r="I58" s="56">
        <f>tblInv[[#This Row],[تاريخ الفاتورة]]+tblInv[[#This Row],[مدة السداد]]</f>
        <v/>
      </c>
      <c r="J58" s="49">
        <f>SUMIFS(tblRec[المبلغ],tblRec[رقم الفاتورة],tblInv[[#This Row],[رقم الفاتورة]],tblRec[التاريخ],"&lt;="&amp;AsOf)</f>
        <v/>
      </c>
      <c r="K58" s="48">
        <f>IF(tblInv[[#This Row],[تاريخ الفاتورة]]&gt;AsOf,0,ROUND(tblInv[[#This Row],[الإجمالي]]-tblInv[[#This Row],[المحصّل]],2))</f>
        <v/>
      </c>
      <c r="L58" s="56">
        <f>IF(AgingBasis="من تاريخ الفاتورة",tblInv[[#This Row],[تاريخ الفاتورة]],tblInv[[#This Row],[تاريخ الاستحقاق]])</f>
        <v/>
      </c>
      <c r="M58" s="57">
        <f>IF(tblInv[[#This Row],[المتبقي]]&lt;=0,0,MAX(0,AsOf-tblInv[[#This Row],[تاريخ الأساس]]))</f>
        <v/>
      </c>
      <c r="N5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8" s="44" t="n"/>
      <c r="Q5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8" s="52">
        <f>IF(AND(tblInv[[#This Row],[كود العميل]]=StCust,tblInv[[#This Row],[تاريخ الفاتورة]]&gt;=StFrom,tblInv[[#This Row],[تاريخ الفاتورة]]&lt;=StTo),tblInv[[#This Row],[تاريخ الفاتورة]]*100000+ROW(),"")</f>
        <v/>
      </c>
      <c r="S58" s="52">
        <f>IF(tblInv[[#This Row],[مفتاح الكشف]]="","",COUNTIF(tblInv[مفتاح الكشف],"&lt;"&amp;tblInv[[#This Row],[مفتاح الكشف]])+COUNTIF(tblRec[مفتاح الكشف],"&lt;"&amp;tblInv[[#This Row],[مفتاح الكشف]])+1)</f>
        <v/>
      </c>
    </row>
    <row r="59">
      <c r="A59" s="43" t="inlineStr">
        <is>
          <t>INV-2026-0055</t>
        </is>
      </c>
      <c r="B59" s="53" t="n">
        <v>46154</v>
      </c>
      <c r="C59" s="43" t="inlineStr">
        <is>
          <t>C006</t>
        </is>
      </c>
      <c r="D59" s="52">
        <f>IF(tblInv[[#This Row],[كود العميل]]="","",IFERROR(INDEX(tblCustomers[اسم العميل],MATCH(tblInv[[#This Row],[كود العميل]],tblCustomers[كود العميل],0)),"⚠ كود غير موجود"))</f>
        <v/>
      </c>
      <c r="E59" s="54" t="n">
        <v>43800</v>
      </c>
      <c r="F59" s="49">
        <f>ROUND(tblInv[[#This Row],[المبلغ قبل الضريبة]]*VatRate,2)</f>
        <v/>
      </c>
      <c r="G59" s="48">
        <f>tblInv[[#This Row],[المبلغ قبل الضريبة]]+tblInv[[#This Row],[الضريبة]]</f>
        <v/>
      </c>
      <c r="H59" s="55">
        <f>IFERROR(IF(INDEX(tblCustomers[مدة السداد],MATCH(tblInv[[#This Row],[كود العميل]],tblCustomers[كود العميل],0))="",DefaultTerms,INDEX(tblCustomers[مدة السداد],MATCH(tblInv[[#This Row],[كود العميل]],tblCustomers[كود العميل],0))),DefaultTerms)</f>
        <v/>
      </c>
      <c r="I59" s="56">
        <f>tblInv[[#This Row],[تاريخ الفاتورة]]+tblInv[[#This Row],[مدة السداد]]</f>
        <v/>
      </c>
      <c r="J59" s="49">
        <f>SUMIFS(tblRec[المبلغ],tblRec[رقم الفاتورة],tblInv[[#This Row],[رقم الفاتورة]],tblRec[التاريخ],"&lt;="&amp;AsOf)</f>
        <v/>
      </c>
      <c r="K59" s="48">
        <f>IF(tblInv[[#This Row],[تاريخ الفاتورة]]&gt;AsOf,0,ROUND(tblInv[[#This Row],[الإجمالي]]-tblInv[[#This Row],[المحصّل]],2))</f>
        <v/>
      </c>
      <c r="L59" s="56">
        <f>IF(AgingBasis="من تاريخ الفاتورة",tblInv[[#This Row],[تاريخ الفاتورة]],tblInv[[#This Row],[تاريخ الاستحقاق]])</f>
        <v/>
      </c>
      <c r="M59" s="57">
        <f>IF(tblInv[[#This Row],[المتبقي]]&lt;=0,0,MAX(0,AsOf-tblInv[[#This Row],[تاريخ الأساس]]))</f>
        <v/>
      </c>
      <c r="N5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9" s="44" t="n"/>
      <c r="Q5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9" s="52">
        <f>IF(AND(tblInv[[#This Row],[كود العميل]]=StCust,tblInv[[#This Row],[تاريخ الفاتورة]]&gt;=StFrom,tblInv[[#This Row],[تاريخ الفاتورة]]&lt;=StTo),tblInv[[#This Row],[تاريخ الفاتورة]]*100000+ROW(),"")</f>
        <v/>
      </c>
      <c r="S59" s="52">
        <f>IF(tblInv[[#This Row],[مفتاح الكشف]]="","",COUNTIF(tblInv[مفتاح الكشف],"&lt;"&amp;tblInv[[#This Row],[مفتاح الكشف]])+COUNTIF(tblRec[مفتاح الكشف],"&lt;"&amp;tblInv[[#This Row],[مفتاح الكشف]])+1)</f>
        <v/>
      </c>
    </row>
    <row r="60">
      <c r="A60" s="43" t="inlineStr">
        <is>
          <t>INV-2026-0056</t>
        </is>
      </c>
      <c r="B60" s="53" t="n">
        <v>46163</v>
      </c>
      <c r="C60" s="43" t="inlineStr">
        <is>
          <t>C003</t>
        </is>
      </c>
      <c r="D60" s="52">
        <f>IF(tblInv[[#This Row],[كود العميل]]="","",IFERROR(INDEX(tblCustomers[اسم العميل],MATCH(tblInv[[#This Row],[كود العميل]],tblCustomers[كود العميل],0)),"⚠ كود غير موجود"))</f>
        <v/>
      </c>
      <c r="E60" s="54" t="n">
        <v>42600</v>
      </c>
      <c r="F60" s="49">
        <f>ROUND(tblInv[[#This Row],[المبلغ قبل الضريبة]]*VatRate,2)</f>
        <v/>
      </c>
      <c r="G60" s="48">
        <f>tblInv[[#This Row],[المبلغ قبل الضريبة]]+tblInv[[#This Row],[الضريبة]]</f>
        <v/>
      </c>
      <c r="H60" s="55">
        <f>IFERROR(IF(INDEX(tblCustomers[مدة السداد],MATCH(tblInv[[#This Row],[كود العميل]],tblCustomers[كود العميل],0))="",DefaultTerms,INDEX(tblCustomers[مدة السداد],MATCH(tblInv[[#This Row],[كود العميل]],tblCustomers[كود العميل],0))),DefaultTerms)</f>
        <v/>
      </c>
      <c r="I60" s="56">
        <f>tblInv[[#This Row],[تاريخ الفاتورة]]+tblInv[[#This Row],[مدة السداد]]</f>
        <v/>
      </c>
      <c r="J60" s="49">
        <f>SUMIFS(tblRec[المبلغ],tblRec[رقم الفاتورة],tblInv[[#This Row],[رقم الفاتورة]],tblRec[التاريخ],"&lt;="&amp;AsOf)</f>
        <v/>
      </c>
      <c r="K60" s="48">
        <f>IF(tblInv[[#This Row],[تاريخ الفاتورة]]&gt;AsOf,0,ROUND(tblInv[[#This Row],[الإجمالي]]-tblInv[[#This Row],[المحصّل]],2))</f>
        <v/>
      </c>
      <c r="L60" s="56">
        <f>IF(AgingBasis="من تاريخ الفاتورة",tblInv[[#This Row],[تاريخ الفاتورة]],tblInv[[#This Row],[تاريخ الاستحقاق]])</f>
        <v/>
      </c>
      <c r="M60" s="57">
        <f>IF(tblInv[[#This Row],[المتبقي]]&lt;=0,0,MAX(0,AsOf-tblInv[[#This Row],[تاريخ الأساس]]))</f>
        <v/>
      </c>
      <c r="N6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0" s="44" t="n"/>
      <c r="Q6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0" s="52">
        <f>IF(AND(tblInv[[#This Row],[كود العميل]]=StCust,tblInv[[#This Row],[تاريخ الفاتورة]]&gt;=StFrom,tblInv[[#This Row],[تاريخ الفاتورة]]&lt;=StTo),tblInv[[#This Row],[تاريخ الفاتورة]]*100000+ROW(),"")</f>
        <v/>
      </c>
      <c r="S60" s="52">
        <f>IF(tblInv[[#This Row],[مفتاح الكشف]]="","",COUNTIF(tblInv[مفتاح الكشف],"&lt;"&amp;tblInv[[#This Row],[مفتاح الكشف]])+COUNTIF(tblRec[مفتاح الكشف],"&lt;"&amp;tblInv[[#This Row],[مفتاح الكشف]])+1)</f>
        <v/>
      </c>
    </row>
    <row r="61">
      <c r="A61" s="43" t="inlineStr">
        <is>
          <t>INV-2026-0057</t>
        </is>
      </c>
      <c r="B61" s="53" t="n">
        <v>46164</v>
      </c>
      <c r="C61" s="43" t="inlineStr">
        <is>
          <t>C007</t>
        </is>
      </c>
      <c r="D61" s="52">
        <f>IF(tblInv[[#This Row],[كود العميل]]="","",IFERROR(INDEX(tblCustomers[اسم العميل],MATCH(tblInv[[#This Row],[كود العميل]],tblCustomers[كود العميل],0)),"⚠ كود غير موجود"))</f>
        <v/>
      </c>
      <c r="E61" s="54" t="n">
        <v>44800</v>
      </c>
      <c r="F61" s="49">
        <f>ROUND(tblInv[[#This Row],[المبلغ قبل الضريبة]]*VatRate,2)</f>
        <v/>
      </c>
      <c r="G61" s="48">
        <f>tblInv[[#This Row],[المبلغ قبل الضريبة]]+tblInv[[#This Row],[الضريبة]]</f>
        <v/>
      </c>
      <c r="H61" s="55">
        <f>IFERROR(IF(INDEX(tblCustomers[مدة السداد],MATCH(tblInv[[#This Row],[كود العميل]],tblCustomers[كود العميل],0))="",DefaultTerms,INDEX(tblCustomers[مدة السداد],MATCH(tblInv[[#This Row],[كود العميل]],tblCustomers[كود العميل],0))),DefaultTerms)</f>
        <v/>
      </c>
      <c r="I61" s="56">
        <f>tblInv[[#This Row],[تاريخ الفاتورة]]+tblInv[[#This Row],[مدة السداد]]</f>
        <v/>
      </c>
      <c r="J61" s="49">
        <f>SUMIFS(tblRec[المبلغ],tblRec[رقم الفاتورة],tblInv[[#This Row],[رقم الفاتورة]],tblRec[التاريخ],"&lt;="&amp;AsOf)</f>
        <v/>
      </c>
      <c r="K61" s="48">
        <f>IF(tblInv[[#This Row],[تاريخ الفاتورة]]&gt;AsOf,0,ROUND(tblInv[[#This Row],[الإجمالي]]-tblInv[[#This Row],[المحصّل]],2))</f>
        <v/>
      </c>
      <c r="L61" s="56">
        <f>IF(AgingBasis="من تاريخ الفاتورة",tblInv[[#This Row],[تاريخ الفاتورة]],tblInv[[#This Row],[تاريخ الاستحقاق]])</f>
        <v/>
      </c>
      <c r="M61" s="57">
        <f>IF(tblInv[[#This Row],[المتبقي]]&lt;=0,0,MAX(0,AsOf-tblInv[[#This Row],[تاريخ الأساس]]))</f>
        <v/>
      </c>
      <c r="N6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1" s="44" t="inlineStr">
        <is>
          <t>سداد جزئي — الباقي متفق عليه الشهر الجاي</t>
        </is>
      </c>
      <c r="Q6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1" s="52">
        <f>IF(AND(tblInv[[#This Row],[كود العميل]]=StCust,tblInv[[#This Row],[تاريخ الفاتورة]]&gt;=StFrom,tblInv[[#This Row],[تاريخ الفاتورة]]&lt;=StTo),tblInv[[#This Row],[تاريخ الفاتورة]]*100000+ROW(),"")</f>
        <v/>
      </c>
      <c r="S61" s="52">
        <f>IF(tblInv[[#This Row],[مفتاح الكشف]]="","",COUNTIF(tblInv[مفتاح الكشف],"&lt;"&amp;tblInv[[#This Row],[مفتاح الكشف]])+COUNTIF(tblRec[مفتاح الكشف],"&lt;"&amp;tblInv[[#This Row],[مفتاح الكشف]])+1)</f>
        <v/>
      </c>
    </row>
    <row r="62">
      <c r="A62" s="43" t="inlineStr">
        <is>
          <t>INV-2026-0058</t>
        </is>
      </c>
      <c r="B62" s="53" t="n">
        <v>46169</v>
      </c>
      <c r="C62" s="43" t="inlineStr">
        <is>
          <t>C003</t>
        </is>
      </c>
      <c r="D62" s="52">
        <f>IF(tblInv[[#This Row],[كود العميل]]="","",IFERROR(INDEX(tblCustomers[اسم العميل],MATCH(tblInv[[#This Row],[كود العميل]],tblCustomers[كود العميل],0)),"⚠ كود غير موجود"))</f>
        <v/>
      </c>
      <c r="E62" s="54" t="n">
        <v>32250</v>
      </c>
      <c r="F62" s="49">
        <f>ROUND(tblInv[[#This Row],[المبلغ قبل الضريبة]]*VatRate,2)</f>
        <v/>
      </c>
      <c r="G62" s="48">
        <f>tblInv[[#This Row],[المبلغ قبل الضريبة]]+tblInv[[#This Row],[الضريبة]]</f>
        <v/>
      </c>
      <c r="H62" s="55">
        <f>IFERROR(IF(INDEX(tblCustomers[مدة السداد],MATCH(tblInv[[#This Row],[كود العميل]],tblCustomers[كود العميل],0))="",DefaultTerms,INDEX(tblCustomers[مدة السداد],MATCH(tblInv[[#This Row],[كود العميل]],tblCustomers[كود العميل],0))),DefaultTerms)</f>
        <v/>
      </c>
      <c r="I62" s="56">
        <f>tblInv[[#This Row],[تاريخ الفاتورة]]+tblInv[[#This Row],[مدة السداد]]</f>
        <v/>
      </c>
      <c r="J62" s="49">
        <f>SUMIFS(tblRec[المبلغ],tblRec[رقم الفاتورة],tblInv[[#This Row],[رقم الفاتورة]],tblRec[التاريخ],"&lt;="&amp;AsOf)</f>
        <v/>
      </c>
      <c r="K62" s="48">
        <f>IF(tblInv[[#This Row],[تاريخ الفاتورة]]&gt;AsOf,0,ROUND(tblInv[[#This Row],[الإجمالي]]-tblInv[[#This Row],[المحصّل]],2))</f>
        <v/>
      </c>
      <c r="L62" s="56">
        <f>IF(AgingBasis="من تاريخ الفاتورة",tblInv[[#This Row],[تاريخ الفاتورة]],tblInv[[#This Row],[تاريخ الاستحقاق]])</f>
        <v/>
      </c>
      <c r="M62" s="57">
        <f>IF(tblInv[[#This Row],[المتبقي]]&lt;=0,0,MAX(0,AsOf-tblInv[[#This Row],[تاريخ الأساس]]))</f>
        <v/>
      </c>
      <c r="N6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2" s="44" t="n"/>
      <c r="Q6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2" s="52">
        <f>IF(AND(tblInv[[#This Row],[كود العميل]]=StCust,tblInv[[#This Row],[تاريخ الفاتورة]]&gt;=StFrom,tblInv[[#This Row],[تاريخ الفاتورة]]&lt;=StTo),tblInv[[#This Row],[تاريخ الفاتورة]]*100000+ROW(),"")</f>
        <v/>
      </c>
      <c r="S62" s="52">
        <f>IF(tblInv[[#This Row],[مفتاح الكشف]]="","",COUNTIF(tblInv[مفتاح الكشف],"&lt;"&amp;tblInv[[#This Row],[مفتاح الكشف]])+COUNTIF(tblRec[مفتاح الكشف],"&lt;"&amp;tblInv[[#This Row],[مفتاح الكشف]])+1)</f>
        <v/>
      </c>
    </row>
    <row r="63">
      <c r="A63" s="43" t="inlineStr">
        <is>
          <t>INV-2026-0059</t>
        </is>
      </c>
      <c r="B63" s="53" t="n">
        <v>46169</v>
      </c>
      <c r="C63" s="43" t="inlineStr">
        <is>
          <t>C015</t>
        </is>
      </c>
      <c r="D63" s="52">
        <f>IF(tblInv[[#This Row],[كود العميل]]="","",IFERROR(INDEX(tblCustomers[اسم العميل],MATCH(tblInv[[#This Row],[كود العميل]],tblCustomers[كود العميل],0)),"⚠ كود غير موجود"))</f>
        <v/>
      </c>
      <c r="E63" s="54" t="n">
        <v>18550</v>
      </c>
      <c r="F63" s="49">
        <f>ROUND(tblInv[[#This Row],[المبلغ قبل الضريبة]]*VatRate,2)</f>
        <v/>
      </c>
      <c r="G63" s="48">
        <f>tblInv[[#This Row],[المبلغ قبل الضريبة]]+tblInv[[#This Row],[الضريبة]]</f>
        <v/>
      </c>
      <c r="H63" s="55">
        <f>IFERROR(IF(INDEX(tblCustomers[مدة السداد],MATCH(tblInv[[#This Row],[كود العميل]],tblCustomers[كود العميل],0))="",DefaultTerms,INDEX(tblCustomers[مدة السداد],MATCH(tblInv[[#This Row],[كود العميل]],tblCustomers[كود العميل],0))),DefaultTerms)</f>
        <v/>
      </c>
      <c r="I63" s="56">
        <f>tblInv[[#This Row],[تاريخ الفاتورة]]+tblInv[[#This Row],[مدة السداد]]</f>
        <v/>
      </c>
      <c r="J63" s="49">
        <f>SUMIFS(tblRec[المبلغ],tblRec[رقم الفاتورة],tblInv[[#This Row],[رقم الفاتورة]],tblRec[التاريخ],"&lt;="&amp;AsOf)</f>
        <v/>
      </c>
      <c r="K63" s="48">
        <f>IF(tblInv[[#This Row],[تاريخ الفاتورة]]&gt;AsOf,0,ROUND(tblInv[[#This Row],[الإجمالي]]-tblInv[[#This Row],[المحصّل]],2))</f>
        <v/>
      </c>
      <c r="L63" s="56">
        <f>IF(AgingBasis="من تاريخ الفاتورة",tblInv[[#This Row],[تاريخ الفاتورة]],tblInv[[#This Row],[تاريخ الاستحقاق]])</f>
        <v/>
      </c>
      <c r="M63" s="57">
        <f>IF(tblInv[[#This Row],[المتبقي]]&lt;=0,0,MAX(0,AsOf-tblInv[[#This Row],[تاريخ الأساس]]))</f>
        <v/>
      </c>
      <c r="N6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3" s="44" t="inlineStr">
        <is>
          <t>سداد جزئي — الباقي متفق عليه الشهر الجاي</t>
        </is>
      </c>
      <c r="Q6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3" s="52">
        <f>IF(AND(tblInv[[#This Row],[كود العميل]]=StCust,tblInv[[#This Row],[تاريخ الفاتورة]]&gt;=StFrom,tblInv[[#This Row],[تاريخ الفاتورة]]&lt;=StTo),tblInv[[#This Row],[تاريخ الفاتورة]]*100000+ROW(),"")</f>
        <v/>
      </c>
      <c r="S63" s="52">
        <f>IF(tblInv[[#This Row],[مفتاح الكشف]]="","",COUNTIF(tblInv[مفتاح الكشف],"&lt;"&amp;tblInv[[#This Row],[مفتاح الكشف]])+COUNTIF(tblRec[مفتاح الكشف],"&lt;"&amp;tblInv[[#This Row],[مفتاح الكشف]])+1)</f>
        <v/>
      </c>
    </row>
    <row r="64">
      <c r="A64" s="43" t="inlineStr">
        <is>
          <t>INV-2026-0060</t>
        </is>
      </c>
      <c r="B64" s="53" t="n">
        <v>46169</v>
      </c>
      <c r="C64" s="43" t="inlineStr">
        <is>
          <t>C003</t>
        </is>
      </c>
      <c r="D64" s="52">
        <f>IF(tblInv[[#This Row],[كود العميل]]="","",IFERROR(INDEX(tblCustomers[اسم العميل],MATCH(tblInv[[#This Row],[كود العميل]],tblCustomers[كود العميل],0)),"⚠ كود غير موجود"))</f>
        <v/>
      </c>
      <c r="E64" s="54" t="n">
        <v>13900</v>
      </c>
      <c r="F64" s="49">
        <f>ROUND(tblInv[[#This Row],[المبلغ قبل الضريبة]]*VatRate,2)</f>
        <v/>
      </c>
      <c r="G64" s="48">
        <f>tblInv[[#This Row],[المبلغ قبل الضريبة]]+tblInv[[#This Row],[الضريبة]]</f>
        <v/>
      </c>
      <c r="H64" s="55">
        <f>IFERROR(IF(INDEX(tblCustomers[مدة السداد],MATCH(tblInv[[#This Row],[كود العميل]],tblCustomers[كود العميل],0))="",DefaultTerms,INDEX(tblCustomers[مدة السداد],MATCH(tblInv[[#This Row],[كود العميل]],tblCustomers[كود العميل],0))),DefaultTerms)</f>
        <v/>
      </c>
      <c r="I64" s="56">
        <f>tblInv[[#This Row],[تاريخ الفاتورة]]+tblInv[[#This Row],[مدة السداد]]</f>
        <v/>
      </c>
      <c r="J64" s="49">
        <f>SUMIFS(tblRec[المبلغ],tblRec[رقم الفاتورة],tblInv[[#This Row],[رقم الفاتورة]],tblRec[التاريخ],"&lt;="&amp;AsOf)</f>
        <v/>
      </c>
      <c r="K64" s="48">
        <f>IF(tblInv[[#This Row],[تاريخ الفاتورة]]&gt;AsOf,0,ROUND(tblInv[[#This Row],[الإجمالي]]-tblInv[[#This Row],[المحصّل]],2))</f>
        <v/>
      </c>
      <c r="L64" s="56">
        <f>IF(AgingBasis="من تاريخ الفاتورة",tblInv[[#This Row],[تاريخ الفاتورة]],tblInv[[#This Row],[تاريخ الاستحقاق]])</f>
        <v/>
      </c>
      <c r="M64" s="57">
        <f>IF(tblInv[[#This Row],[المتبقي]]&lt;=0,0,MAX(0,AsOf-tblInv[[#This Row],[تاريخ الأساس]]))</f>
        <v/>
      </c>
      <c r="N6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4" s="44" t="n"/>
      <c r="Q6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4" s="52">
        <f>IF(AND(tblInv[[#This Row],[كود العميل]]=StCust,tblInv[[#This Row],[تاريخ الفاتورة]]&gt;=StFrom,tblInv[[#This Row],[تاريخ الفاتورة]]&lt;=StTo),tblInv[[#This Row],[تاريخ الفاتورة]]*100000+ROW(),"")</f>
        <v/>
      </c>
      <c r="S64" s="52">
        <f>IF(tblInv[[#This Row],[مفتاح الكشف]]="","",COUNTIF(tblInv[مفتاح الكشف],"&lt;"&amp;tblInv[[#This Row],[مفتاح الكشف]])+COUNTIF(tblRec[مفتاح الكشف],"&lt;"&amp;tblInv[[#This Row],[مفتاح الكشف]])+1)</f>
        <v/>
      </c>
    </row>
    <row r="65">
      <c r="A65" s="43" t="inlineStr">
        <is>
          <t>INV-2026-0061</t>
        </is>
      </c>
      <c r="B65" s="53" t="n">
        <v>46171</v>
      </c>
      <c r="C65" s="43" t="inlineStr">
        <is>
          <t>C003</t>
        </is>
      </c>
      <c r="D65" s="52">
        <f>IF(tblInv[[#This Row],[كود العميل]]="","",IFERROR(INDEX(tblCustomers[اسم العميل],MATCH(tblInv[[#This Row],[كود العميل]],tblCustomers[كود العميل],0)),"⚠ كود غير موجود"))</f>
        <v/>
      </c>
      <c r="E65" s="54" t="n">
        <v>27450</v>
      </c>
      <c r="F65" s="49">
        <f>ROUND(tblInv[[#This Row],[المبلغ قبل الضريبة]]*VatRate,2)</f>
        <v/>
      </c>
      <c r="G65" s="48">
        <f>tblInv[[#This Row],[المبلغ قبل الضريبة]]+tblInv[[#This Row],[الضريبة]]</f>
        <v/>
      </c>
      <c r="H65" s="55">
        <f>IFERROR(IF(INDEX(tblCustomers[مدة السداد],MATCH(tblInv[[#This Row],[كود العميل]],tblCustomers[كود العميل],0))="",DefaultTerms,INDEX(tblCustomers[مدة السداد],MATCH(tblInv[[#This Row],[كود العميل]],tblCustomers[كود العميل],0))),DefaultTerms)</f>
        <v/>
      </c>
      <c r="I65" s="56">
        <f>tblInv[[#This Row],[تاريخ الفاتورة]]+tblInv[[#This Row],[مدة السداد]]</f>
        <v/>
      </c>
      <c r="J65" s="49">
        <f>SUMIFS(tblRec[المبلغ],tblRec[رقم الفاتورة],tblInv[[#This Row],[رقم الفاتورة]],tblRec[التاريخ],"&lt;="&amp;AsOf)</f>
        <v/>
      </c>
      <c r="K65" s="48">
        <f>IF(tblInv[[#This Row],[تاريخ الفاتورة]]&gt;AsOf,0,ROUND(tblInv[[#This Row],[الإجمالي]]-tblInv[[#This Row],[المحصّل]],2))</f>
        <v/>
      </c>
      <c r="L65" s="56">
        <f>IF(AgingBasis="من تاريخ الفاتورة",tblInv[[#This Row],[تاريخ الفاتورة]],tblInv[[#This Row],[تاريخ الاستحقاق]])</f>
        <v/>
      </c>
      <c r="M65" s="57">
        <f>IF(tblInv[[#This Row],[المتبقي]]&lt;=0,0,MAX(0,AsOf-tblInv[[#This Row],[تاريخ الأساس]]))</f>
        <v/>
      </c>
      <c r="N6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5" s="44" t="inlineStr">
        <is>
          <t>سداد جزئي — الباقي متفق عليه الشهر الجاي</t>
        </is>
      </c>
      <c r="Q6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5" s="52">
        <f>IF(AND(tblInv[[#This Row],[كود العميل]]=StCust,tblInv[[#This Row],[تاريخ الفاتورة]]&gt;=StFrom,tblInv[[#This Row],[تاريخ الفاتورة]]&lt;=StTo),tblInv[[#This Row],[تاريخ الفاتورة]]*100000+ROW(),"")</f>
        <v/>
      </c>
      <c r="S65" s="52">
        <f>IF(tblInv[[#This Row],[مفتاح الكشف]]="","",COUNTIF(tblInv[مفتاح الكشف],"&lt;"&amp;tblInv[[#This Row],[مفتاح الكشف]])+COUNTIF(tblRec[مفتاح الكشف],"&lt;"&amp;tblInv[[#This Row],[مفتاح الكشف]])+1)</f>
        <v/>
      </c>
    </row>
    <row r="66">
      <c r="A66" s="43" t="inlineStr">
        <is>
          <t>INV-2026-0062</t>
        </is>
      </c>
      <c r="B66" s="53" t="n">
        <v>46176</v>
      </c>
      <c r="C66" s="43" t="inlineStr">
        <is>
          <t>C007</t>
        </is>
      </c>
      <c r="D66" s="52">
        <f>IF(tblInv[[#This Row],[كود العميل]]="","",IFERROR(INDEX(tblCustomers[اسم العميل],MATCH(tblInv[[#This Row],[كود العميل]],tblCustomers[كود العميل],0)),"⚠ كود غير موجود"))</f>
        <v/>
      </c>
      <c r="E66" s="54" t="n">
        <v>26250</v>
      </c>
      <c r="F66" s="49">
        <f>ROUND(tblInv[[#This Row],[المبلغ قبل الضريبة]]*VatRate,2)</f>
        <v/>
      </c>
      <c r="G66" s="48">
        <f>tblInv[[#This Row],[المبلغ قبل الضريبة]]+tblInv[[#This Row],[الضريبة]]</f>
        <v/>
      </c>
      <c r="H66" s="55">
        <f>IFERROR(IF(INDEX(tblCustomers[مدة السداد],MATCH(tblInv[[#This Row],[كود العميل]],tblCustomers[كود العميل],0))="",DefaultTerms,INDEX(tblCustomers[مدة السداد],MATCH(tblInv[[#This Row],[كود العميل]],tblCustomers[كود العميل],0))),DefaultTerms)</f>
        <v/>
      </c>
      <c r="I66" s="56">
        <f>tblInv[[#This Row],[تاريخ الفاتورة]]+tblInv[[#This Row],[مدة السداد]]</f>
        <v/>
      </c>
      <c r="J66" s="49">
        <f>SUMIFS(tblRec[المبلغ],tblRec[رقم الفاتورة],tblInv[[#This Row],[رقم الفاتورة]],tblRec[التاريخ],"&lt;="&amp;AsOf)</f>
        <v/>
      </c>
      <c r="K66" s="48">
        <f>IF(tblInv[[#This Row],[تاريخ الفاتورة]]&gt;AsOf,0,ROUND(tblInv[[#This Row],[الإجمالي]]-tblInv[[#This Row],[المحصّل]],2))</f>
        <v/>
      </c>
      <c r="L66" s="56">
        <f>IF(AgingBasis="من تاريخ الفاتورة",tblInv[[#This Row],[تاريخ الفاتورة]],tblInv[[#This Row],[تاريخ الاستحقاق]])</f>
        <v/>
      </c>
      <c r="M66" s="57">
        <f>IF(tblInv[[#This Row],[المتبقي]]&lt;=0,0,MAX(0,AsOf-tblInv[[#This Row],[تاريخ الأساس]]))</f>
        <v/>
      </c>
      <c r="N6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6" s="44" t="n"/>
      <c r="Q6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6" s="52">
        <f>IF(AND(tblInv[[#This Row],[كود العميل]]=StCust,tblInv[[#This Row],[تاريخ الفاتورة]]&gt;=StFrom,tblInv[[#This Row],[تاريخ الفاتورة]]&lt;=StTo),tblInv[[#This Row],[تاريخ الفاتورة]]*100000+ROW(),"")</f>
        <v/>
      </c>
      <c r="S66" s="52">
        <f>IF(tblInv[[#This Row],[مفتاح الكشف]]="","",COUNTIF(tblInv[مفتاح الكشف],"&lt;"&amp;tblInv[[#This Row],[مفتاح الكشف]])+COUNTIF(tblRec[مفتاح الكشف],"&lt;"&amp;tblInv[[#This Row],[مفتاح الكشف]])+1)</f>
        <v/>
      </c>
    </row>
    <row r="67">
      <c r="A67" s="43" t="inlineStr">
        <is>
          <t>INV-2026-0063</t>
        </is>
      </c>
      <c r="B67" s="53" t="n">
        <v>46181</v>
      </c>
      <c r="C67" s="43" t="inlineStr">
        <is>
          <t>C005</t>
        </is>
      </c>
      <c r="D67" s="52">
        <f>IF(tblInv[[#This Row],[كود العميل]]="","",IFERROR(INDEX(tblCustomers[اسم العميل],MATCH(tblInv[[#This Row],[كود العميل]],tblCustomers[كود العميل],0)),"⚠ كود غير موجود"))</f>
        <v/>
      </c>
      <c r="E67" s="54" t="n">
        <v>33800</v>
      </c>
      <c r="F67" s="49">
        <f>ROUND(tblInv[[#This Row],[المبلغ قبل الضريبة]]*VatRate,2)</f>
        <v/>
      </c>
      <c r="G67" s="48">
        <f>tblInv[[#This Row],[المبلغ قبل الضريبة]]+tblInv[[#This Row],[الضريبة]]</f>
        <v/>
      </c>
      <c r="H67" s="55">
        <f>IFERROR(IF(INDEX(tblCustomers[مدة السداد],MATCH(tblInv[[#This Row],[كود العميل]],tblCustomers[كود العميل],0))="",DefaultTerms,INDEX(tblCustomers[مدة السداد],MATCH(tblInv[[#This Row],[كود العميل]],tblCustomers[كود العميل],0))),DefaultTerms)</f>
        <v/>
      </c>
      <c r="I67" s="56">
        <f>tblInv[[#This Row],[تاريخ الفاتورة]]+tblInv[[#This Row],[مدة السداد]]</f>
        <v/>
      </c>
      <c r="J67" s="49">
        <f>SUMIFS(tblRec[المبلغ],tblRec[رقم الفاتورة],tblInv[[#This Row],[رقم الفاتورة]],tblRec[التاريخ],"&lt;="&amp;AsOf)</f>
        <v/>
      </c>
      <c r="K67" s="48">
        <f>IF(tblInv[[#This Row],[تاريخ الفاتورة]]&gt;AsOf,0,ROUND(tblInv[[#This Row],[الإجمالي]]-tblInv[[#This Row],[المحصّل]],2))</f>
        <v/>
      </c>
      <c r="L67" s="56">
        <f>IF(AgingBasis="من تاريخ الفاتورة",tblInv[[#This Row],[تاريخ الفاتورة]],tblInv[[#This Row],[تاريخ الاستحقاق]])</f>
        <v/>
      </c>
      <c r="M67" s="57">
        <f>IF(tblInv[[#This Row],[المتبقي]]&lt;=0,0,MAX(0,AsOf-tblInv[[#This Row],[تاريخ الأساس]]))</f>
        <v/>
      </c>
      <c r="N6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7" s="44" t="inlineStr">
        <is>
          <t>سداد جزئي — الباقي متفق عليه الشهر الجاي</t>
        </is>
      </c>
      <c r="Q6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7" s="52">
        <f>IF(AND(tblInv[[#This Row],[كود العميل]]=StCust,tblInv[[#This Row],[تاريخ الفاتورة]]&gt;=StFrom,tblInv[[#This Row],[تاريخ الفاتورة]]&lt;=StTo),tblInv[[#This Row],[تاريخ الفاتورة]]*100000+ROW(),"")</f>
        <v/>
      </c>
      <c r="S67" s="52">
        <f>IF(tblInv[[#This Row],[مفتاح الكشف]]="","",COUNTIF(tblInv[مفتاح الكشف],"&lt;"&amp;tblInv[[#This Row],[مفتاح الكشف]])+COUNTIF(tblRec[مفتاح الكشف],"&lt;"&amp;tblInv[[#This Row],[مفتاح الكشف]])+1)</f>
        <v/>
      </c>
    </row>
    <row r="68">
      <c r="A68" s="43" t="inlineStr">
        <is>
          <t>INV-2026-0064</t>
        </is>
      </c>
      <c r="B68" s="53" t="n">
        <v>46181</v>
      </c>
      <c r="C68" s="43" t="inlineStr">
        <is>
          <t>C009</t>
        </is>
      </c>
      <c r="D68" s="52">
        <f>IF(tblInv[[#This Row],[كود العميل]]="","",IFERROR(INDEX(tblCustomers[اسم العميل],MATCH(tblInv[[#This Row],[كود العميل]],tblCustomers[كود العميل],0)),"⚠ كود غير موجود"))</f>
        <v/>
      </c>
      <c r="E68" s="54" t="n">
        <v>24700</v>
      </c>
      <c r="F68" s="49">
        <f>ROUND(tblInv[[#This Row],[المبلغ قبل الضريبة]]*VatRate,2)</f>
        <v/>
      </c>
      <c r="G68" s="48">
        <f>tblInv[[#This Row],[المبلغ قبل الضريبة]]+tblInv[[#This Row],[الضريبة]]</f>
        <v/>
      </c>
      <c r="H68" s="55">
        <f>IFERROR(IF(INDEX(tblCustomers[مدة السداد],MATCH(tblInv[[#This Row],[كود العميل]],tblCustomers[كود العميل],0))="",DefaultTerms,INDEX(tblCustomers[مدة السداد],MATCH(tblInv[[#This Row],[كود العميل]],tblCustomers[كود العميل],0))),DefaultTerms)</f>
        <v/>
      </c>
      <c r="I68" s="56">
        <f>tblInv[[#This Row],[تاريخ الفاتورة]]+tblInv[[#This Row],[مدة السداد]]</f>
        <v/>
      </c>
      <c r="J68" s="49">
        <f>SUMIFS(tblRec[المبلغ],tblRec[رقم الفاتورة],tblInv[[#This Row],[رقم الفاتورة]],tblRec[التاريخ],"&lt;="&amp;AsOf)</f>
        <v/>
      </c>
      <c r="K68" s="48">
        <f>IF(tblInv[[#This Row],[تاريخ الفاتورة]]&gt;AsOf,0,ROUND(tblInv[[#This Row],[الإجمالي]]-tblInv[[#This Row],[المحصّل]],2))</f>
        <v/>
      </c>
      <c r="L68" s="56">
        <f>IF(AgingBasis="من تاريخ الفاتورة",tblInv[[#This Row],[تاريخ الفاتورة]],tblInv[[#This Row],[تاريخ الاستحقاق]])</f>
        <v/>
      </c>
      <c r="M68" s="57">
        <f>IF(tblInv[[#This Row],[المتبقي]]&lt;=0,0,MAX(0,AsOf-tblInv[[#This Row],[تاريخ الأساس]]))</f>
        <v/>
      </c>
      <c r="N6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8" s="44" t="inlineStr">
        <is>
          <t>سداد جزئي — الباقي متفق عليه الشهر الجاي</t>
        </is>
      </c>
      <c r="Q6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8" s="52">
        <f>IF(AND(tblInv[[#This Row],[كود العميل]]=StCust,tblInv[[#This Row],[تاريخ الفاتورة]]&gt;=StFrom,tblInv[[#This Row],[تاريخ الفاتورة]]&lt;=StTo),tblInv[[#This Row],[تاريخ الفاتورة]]*100000+ROW(),"")</f>
        <v/>
      </c>
      <c r="S68" s="52">
        <f>IF(tblInv[[#This Row],[مفتاح الكشف]]="","",COUNTIF(tblInv[مفتاح الكشف],"&lt;"&amp;tblInv[[#This Row],[مفتاح الكشف]])+COUNTIF(tblRec[مفتاح الكشف],"&lt;"&amp;tblInv[[#This Row],[مفتاح الكشف]])+1)</f>
        <v/>
      </c>
    </row>
    <row r="69">
      <c r="A69" s="43" t="inlineStr">
        <is>
          <t>INV-2026-0065</t>
        </is>
      </c>
      <c r="B69" s="53" t="n">
        <v>46182</v>
      </c>
      <c r="C69" s="43" t="inlineStr">
        <is>
          <t>C012</t>
        </is>
      </c>
      <c r="D69" s="52">
        <f>IF(tblInv[[#This Row],[كود العميل]]="","",IFERROR(INDEX(tblCustomers[اسم العميل],MATCH(tblInv[[#This Row],[كود العميل]],tblCustomers[كود العميل],0)),"⚠ كود غير موجود"))</f>
        <v/>
      </c>
      <c r="E69" s="54" t="n">
        <v>11600</v>
      </c>
      <c r="F69" s="49">
        <f>ROUND(tblInv[[#This Row],[المبلغ قبل الضريبة]]*VatRate,2)</f>
        <v/>
      </c>
      <c r="G69" s="48">
        <f>tblInv[[#This Row],[المبلغ قبل الضريبة]]+tblInv[[#This Row],[الضريبة]]</f>
        <v/>
      </c>
      <c r="H69" s="55">
        <f>IFERROR(IF(INDEX(tblCustomers[مدة السداد],MATCH(tblInv[[#This Row],[كود العميل]],tblCustomers[كود العميل],0))="",DefaultTerms,INDEX(tblCustomers[مدة السداد],MATCH(tblInv[[#This Row],[كود العميل]],tblCustomers[كود العميل],0))),DefaultTerms)</f>
        <v/>
      </c>
      <c r="I69" s="56">
        <f>tblInv[[#This Row],[تاريخ الفاتورة]]+tblInv[[#This Row],[مدة السداد]]</f>
        <v/>
      </c>
      <c r="J69" s="49">
        <f>SUMIFS(tblRec[المبلغ],tblRec[رقم الفاتورة],tblInv[[#This Row],[رقم الفاتورة]],tblRec[التاريخ],"&lt;="&amp;AsOf)</f>
        <v/>
      </c>
      <c r="K69" s="48">
        <f>IF(tblInv[[#This Row],[تاريخ الفاتورة]]&gt;AsOf,0,ROUND(tblInv[[#This Row],[الإجمالي]]-tblInv[[#This Row],[المحصّل]],2))</f>
        <v/>
      </c>
      <c r="L69" s="56">
        <f>IF(AgingBasis="من تاريخ الفاتورة",tblInv[[#This Row],[تاريخ الفاتورة]],tblInv[[#This Row],[تاريخ الاستحقاق]])</f>
        <v/>
      </c>
      <c r="M69" s="57">
        <f>IF(tblInv[[#This Row],[المتبقي]]&lt;=0,0,MAX(0,AsOf-tblInv[[#This Row],[تاريخ الأساس]]))</f>
        <v/>
      </c>
      <c r="N6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9" s="44" t="n"/>
      <c r="Q6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9" s="52">
        <f>IF(AND(tblInv[[#This Row],[كود العميل]]=StCust,tblInv[[#This Row],[تاريخ الفاتورة]]&gt;=StFrom,tblInv[[#This Row],[تاريخ الفاتورة]]&lt;=StTo),tblInv[[#This Row],[تاريخ الفاتورة]]*100000+ROW(),"")</f>
        <v/>
      </c>
      <c r="S69" s="52">
        <f>IF(tblInv[[#This Row],[مفتاح الكشف]]="","",COUNTIF(tblInv[مفتاح الكشف],"&lt;"&amp;tblInv[[#This Row],[مفتاح الكشف]])+COUNTIF(tblRec[مفتاح الكشف],"&lt;"&amp;tblInv[[#This Row],[مفتاح الكشف]])+1)</f>
        <v/>
      </c>
    </row>
    <row r="70">
      <c r="A70" s="43" t="inlineStr">
        <is>
          <t>INV-2026-0066</t>
        </is>
      </c>
      <c r="B70" s="53" t="n">
        <v>46183</v>
      </c>
      <c r="C70" s="43" t="inlineStr">
        <is>
          <t>C001</t>
        </is>
      </c>
      <c r="D70" s="52">
        <f>IF(tblInv[[#This Row],[كود العميل]]="","",IFERROR(INDEX(tblCustomers[اسم العميل],MATCH(tblInv[[#This Row],[كود العميل]],tblCustomers[كود العميل],0)),"⚠ كود غير موجود"))</f>
        <v/>
      </c>
      <c r="E70" s="54" t="n">
        <v>38800</v>
      </c>
      <c r="F70" s="49">
        <f>ROUND(tblInv[[#This Row],[المبلغ قبل الضريبة]]*VatRate,2)</f>
        <v/>
      </c>
      <c r="G70" s="48">
        <f>tblInv[[#This Row],[المبلغ قبل الضريبة]]+tblInv[[#This Row],[الضريبة]]</f>
        <v/>
      </c>
      <c r="H70" s="55">
        <f>IFERROR(IF(INDEX(tblCustomers[مدة السداد],MATCH(tblInv[[#This Row],[كود العميل]],tblCustomers[كود العميل],0))="",DefaultTerms,INDEX(tblCustomers[مدة السداد],MATCH(tblInv[[#This Row],[كود العميل]],tblCustomers[كود العميل],0))),DefaultTerms)</f>
        <v/>
      </c>
      <c r="I70" s="56">
        <f>tblInv[[#This Row],[تاريخ الفاتورة]]+tblInv[[#This Row],[مدة السداد]]</f>
        <v/>
      </c>
      <c r="J70" s="49">
        <f>SUMIFS(tblRec[المبلغ],tblRec[رقم الفاتورة],tblInv[[#This Row],[رقم الفاتورة]],tblRec[التاريخ],"&lt;="&amp;AsOf)</f>
        <v/>
      </c>
      <c r="K70" s="48">
        <f>IF(tblInv[[#This Row],[تاريخ الفاتورة]]&gt;AsOf,0,ROUND(tblInv[[#This Row],[الإجمالي]]-tblInv[[#This Row],[المحصّل]],2))</f>
        <v/>
      </c>
      <c r="L70" s="56">
        <f>IF(AgingBasis="من تاريخ الفاتورة",tblInv[[#This Row],[تاريخ الفاتورة]],tblInv[[#This Row],[تاريخ الاستحقاق]])</f>
        <v/>
      </c>
      <c r="M70" s="57">
        <f>IF(tblInv[[#This Row],[المتبقي]]&lt;=0,0,MAX(0,AsOf-tblInv[[#This Row],[تاريخ الأساس]]))</f>
        <v/>
      </c>
      <c r="N7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0" s="44" t="n"/>
      <c r="Q7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0" s="52">
        <f>IF(AND(tblInv[[#This Row],[كود العميل]]=StCust,tblInv[[#This Row],[تاريخ الفاتورة]]&gt;=StFrom,tblInv[[#This Row],[تاريخ الفاتورة]]&lt;=StTo),tblInv[[#This Row],[تاريخ الفاتورة]]*100000+ROW(),"")</f>
        <v/>
      </c>
      <c r="S70" s="52">
        <f>IF(tblInv[[#This Row],[مفتاح الكشف]]="","",COUNTIF(tblInv[مفتاح الكشف],"&lt;"&amp;tblInv[[#This Row],[مفتاح الكشف]])+COUNTIF(tblRec[مفتاح الكشف],"&lt;"&amp;tblInv[[#This Row],[مفتاح الكشف]])+1)</f>
        <v/>
      </c>
    </row>
    <row r="71">
      <c r="A71" s="43" t="inlineStr">
        <is>
          <t>INV-2026-0067</t>
        </is>
      </c>
      <c r="B71" s="53" t="n">
        <v>46184</v>
      </c>
      <c r="C71" s="43" t="inlineStr">
        <is>
          <t>C013</t>
        </is>
      </c>
      <c r="D71" s="52">
        <f>IF(tblInv[[#This Row],[كود العميل]]="","",IFERROR(INDEX(tblCustomers[اسم العميل],MATCH(tblInv[[#This Row],[كود العميل]],tblCustomers[كود العميل],0)),"⚠ كود غير موجود"))</f>
        <v/>
      </c>
      <c r="E71" s="54" t="n">
        <v>32750</v>
      </c>
      <c r="F71" s="49">
        <f>ROUND(tblInv[[#This Row],[المبلغ قبل الضريبة]]*VatRate,2)</f>
        <v/>
      </c>
      <c r="G71" s="48">
        <f>tblInv[[#This Row],[المبلغ قبل الضريبة]]+tblInv[[#This Row],[الضريبة]]</f>
        <v/>
      </c>
      <c r="H71" s="55">
        <f>IFERROR(IF(INDEX(tblCustomers[مدة السداد],MATCH(tblInv[[#This Row],[كود العميل]],tblCustomers[كود العميل],0))="",DefaultTerms,INDEX(tblCustomers[مدة السداد],MATCH(tblInv[[#This Row],[كود العميل]],tblCustomers[كود العميل],0))),DefaultTerms)</f>
        <v/>
      </c>
      <c r="I71" s="56">
        <f>tblInv[[#This Row],[تاريخ الفاتورة]]+tblInv[[#This Row],[مدة السداد]]</f>
        <v/>
      </c>
      <c r="J71" s="49">
        <f>SUMIFS(tblRec[المبلغ],tblRec[رقم الفاتورة],tblInv[[#This Row],[رقم الفاتورة]],tblRec[التاريخ],"&lt;="&amp;AsOf)</f>
        <v/>
      </c>
      <c r="K71" s="48">
        <f>IF(tblInv[[#This Row],[تاريخ الفاتورة]]&gt;AsOf,0,ROUND(tblInv[[#This Row],[الإجمالي]]-tblInv[[#This Row],[المحصّل]],2))</f>
        <v/>
      </c>
      <c r="L71" s="56">
        <f>IF(AgingBasis="من تاريخ الفاتورة",tblInv[[#This Row],[تاريخ الفاتورة]],tblInv[[#This Row],[تاريخ الاستحقاق]])</f>
        <v/>
      </c>
      <c r="M71" s="57">
        <f>IF(tblInv[[#This Row],[المتبقي]]&lt;=0,0,MAX(0,AsOf-tblInv[[#This Row],[تاريخ الأساس]]))</f>
        <v/>
      </c>
      <c r="N7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1" s="44" t="inlineStr">
        <is>
          <t>سداد جزئي — الباقي متفق عليه الشهر الجاي</t>
        </is>
      </c>
      <c r="Q7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1" s="52">
        <f>IF(AND(tblInv[[#This Row],[كود العميل]]=StCust,tblInv[[#This Row],[تاريخ الفاتورة]]&gt;=StFrom,tblInv[[#This Row],[تاريخ الفاتورة]]&lt;=StTo),tblInv[[#This Row],[تاريخ الفاتورة]]*100000+ROW(),"")</f>
        <v/>
      </c>
      <c r="S71" s="52">
        <f>IF(tblInv[[#This Row],[مفتاح الكشف]]="","",COUNTIF(tblInv[مفتاح الكشف],"&lt;"&amp;tblInv[[#This Row],[مفتاح الكشف]])+COUNTIF(tblRec[مفتاح الكشف],"&lt;"&amp;tblInv[[#This Row],[مفتاح الكشف]])+1)</f>
        <v/>
      </c>
    </row>
    <row r="72">
      <c r="A72" s="43" t="inlineStr">
        <is>
          <t>INV-2026-0068</t>
        </is>
      </c>
      <c r="B72" s="53" t="n">
        <v>46185</v>
      </c>
      <c r="C72" s="43" t="inlineStr">
        <is>
          <t>C002</t>
        </is>
      </c>
      <c r="D72" s="52">
        <f>IF(tblInv[[#This Row],[كود العميل]]="","",IFERROR(INDEX(tblCustomers[اسم العميل],MATCH(tblInv[[#This Row],[كود العميل]],tblCustomers[كود العميل],0)),"⚠ كود غير موجود"))</f>
        <v/>
      </c>
      <c r="E72" s="54" t="n">
        <v>33250</v>
      </c>
      <c r="F72" s="49">
        <f>ROUND(tblInv[[#This Row],[المبلغ قبل الضريبة]]*VatRate,2)</f>
        <v/>
      </c>
      <c r="G72" s="48">
        <f>tblInv[[#This Row],[المبلغ قبل الضريبة]]+tblInv[[#This Row],[الضريبة]]</f>
        <v/>
      </c>
      <c r="H72" s="55">
        <f>IFERROR(IF(INDEX(tblCustomers[مدة السداد],MATCH(tblInv[[#This Row],[كود العميل]],tblCustomers[كود العميل],0))="",DefaultTerms,INDEX(tblCustomers[مدة السداد],MATCH(tblInv[[#This Row],[كود العميل]],tblCustomers[كود العميل],0))),DefaultTerms)</f>
        <v/>
      </c>
      <c r="I72" s="56">
        <f>tblInv[[#This Row],[تاريخ الفاتورة]]+tblInv[[#This Row],[مدة السداد]]</f>
        <v/>
      </c>
      <c r="J72" s="49">
        <f>SUMIFS(tblRec[المبلغ],tblRec[رقم الفاتورة],tblInv[[#This Row],[رقم الفاتورة]],tblRec[التاريخ],"&lt;="&amp;AsOf)</f>
        <v/>
      </c>
      <c r="K72" s="48">
        <f>IF(tblInv[[#This Row],[تاريخ الفاتورة]]&gt;AsOf,0,ROUND(tblInv[[#This Row],[الإجمالي]]-tblInv[[#This Row],[المحصّل]],2))</f>
        <v/>
      </c>
      <c r="L72" s="56">
        <f>IF(AgingBasis="من تاريخ الفاتورة",tblInv[[#This Row],[تاريخ الفاتورة]],tblInv[[#This Row],[تاريخ الاستحقاق]])</f>
        <v/>
      </c>
      <c r="M72" s="57">
        <f>IF(tblInv[[#This Row],[المتبقي]]&lt;=0,0,MAX(0,AsOf-tblInv[[#This Row],[تاريخ الأساس]]))</f>
        <v/>
      </c>
      <c r="N7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2" s="44" t="n"/>
      <c r="Q7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2" s="52">
        <f>IF(AND(tblInv[[#This Row],[كود العميل]]=StCust,tblInv[[#This Row],[تاريخ الفاتورة]]&gt;=StFrom,tblInv[[#This Row],[تاريخ الفاتورة]]&lt;=StTo),tblInv[[#This Row],[تاريخ الفاتورة]]*100000+ROW(),"")</f>
        <v/>
      </c>
      <c r="S72" s="52">
        <f>IF(tblInv[[#This Row],[مفتاح الكشف]]="","",COUNTIF(tblInv[مفتاح الكشف],"&lt;"&amp;tblInv[[#This Row],[مفتاح الكشف]])+COUNTIF(tblRec[مفتاح الكشف],"&lt;"&amp;tblInv[[#This Row],[مفتاح الكشف]])+1)</f>
        <v/>
      </c>
    </row>
    <row r="73">
      <c r="A73" s="43" t="inlineStr">
        <is>
          <t>INV-2026-0069</t>
        </is>
      </c>
      <c r="B73" s="53" t="n">
        <v>46185</v>
      </c>
      <c r="C73" s="43" t="inlineStr">
        <is>
          <t>C003</t>
        </is>
      </c>
      <c r="D73" s="52">
        <f>IF(tblInv[[#This Row],[كود العميل]]="","",IFERROR(INDEX(tblCustomers[اسم العميل],MATCH(tblInv[[#This Row],[كود العميل]],tblCustomers[كود العميل],0)),"⚠ كود غير موجود"))</f>
        <v/>
      </c>
      <c r="E73" s="54" t="n">
        <v>40200</v>
      </c>
      <c r="F73" s="49">
        <f>ROUND(tblInv[[#This Row],[المبلغ قبل الضريبة]]*VatRate,2)</f>
        <v/>
      </c>
      <c r="G73" s="48">
        <f>tblInv[[#This Row],[المبلغ قبل الضريبة]]+tblInv[[#This Row],[الضريبة]]</f>
        <v/>
      </c>
      <c r="H73" s="55">
        <f>IFERROR(IF(INDEX(tblCustomers[مدة السداد],MATCH(tblInv[[#This Row],[كود العميل]],tblCustomers[كود العميل],0))="",DefaultTerms,INDEX(tblCustomers[مدة السداد],MATCH(tblInv[[#This Row],[كود العميل]],tblCustomers[كود العميل],0))),DefaultTerms)</f>
        <v/>
      </c>
      <c r="I73" s="56">
        <f>tblInv[[#This Row],[تاريخ الفاتورة]]+tblInv[[#This Row],[مدة السداد]]</f>
        <v/>
      </c>
      <c r="J73" s="49">
        <f>SUMIFS(tblRec[المبلغ],tblRec[رقم الفاتورة],tblInv[[#This Row],[رقم الفاتورة]],tblRec[التاريخ],"&lt;="&amp;AsOf)</f>
        <v/>
      </c>
      <c r="K73" s="48">
        <f>IF(tblInv[[#This Row],[تاريخ الفاتورة]]&gt;AsOf,0,ROUND(tblInv[[#This Row],[الإجمالي]]-tblInv[[#This Row],[المحصّل]],2))</f>
        <v/>
      </c>
      <c r="L73" s="56">
        <f>IF(AgingBasis="من تاريخ الفاتورة",tblInv[[#This Row],[تاريخ الفاتورة]],tblInv[[#This Row],[تاريخ الاستحقاق]])</f>
        <v/>
      </c>
      <c r="M73" s="57">
        <f>IF(tblInv[[#This Row],[المتبقي]]&lt;=0,0,MAX(0,AsOf-tblInv[[#This Row],[تاريخ الأساس]]))</f>
        <v/>
      </c>
      <c r="N7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3" s="44" t="n"/>
      <c r="Q7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3" s="52">
        <f>IF(AND(tblInv[[#This Row],[كود العميل]]=StCust,tblInv[[#This Row],[تاريخ الفاتورة]]&gt;=StFrom,tblInv[[#This Row],[تاريخ الفاتورة]]&lt;=StTo),tblInv[[#This Row],[تاريخ الفاتورة]]*100000+ROW(),"")</f>
        <v/>
      </c>
      <c r="S73" s="52">
        <f>IF(tblInv[[#This Row],[مفتاح الكشف]]="","",COUNTIF(tblInv[مفتاح الكشف],"&lt;"&amp;tblInv[[#This Row],[مفتاح الكشف]])+COUNTIF(tblRec[مفتاح الكشف],"&lt;"&amp;tblInv[[#This Row],[مفتاح الكشف]])+1)</f>
        <v/>
      </c>
    </row>
    <row r="74">
      <c r="A74" s="43" t="inlineStr">
        <is>
          <t>INV-2026-0070</t>
        </is>
      </c>
      <c r="B74" s="53" t="n">
        <v>46186</v>
      </c>
      <c r="C74" s="43" t="inlineStr">
        <is>
          <t>C012</t>
        </is>
      </c>
      <c r="D74" s="52">
        <f>IF(tblInv[[#This Row],[كود العميل]]="","",IFERROR(INDEX(tblCustomers[اسم العميل],MATCH(tblInv[[#This Row],[كود العميل]],tblCustomers[كود العميل],0)),"⚠ كود غير موجود"))</f>
        <v/>
      </c>
      <c r="E74" s="54" t="n">
        <v>31700</v>
      </c>
      <c r="F74" s="49">
        <f>ROUND(tblInv[[#This Row],[المبلغ قبل الضريبة]]*VatRate,2)</f>
        <v/>
      </c>
      <c r="G74" s="48">
        <f>tblInv[[#This Row],[المبلغ قبل الضريبة]]+tblInv[[#This Row],[الضريبة]]</f>
        <v/>
      </c>
      <c r="H74" s="55">
        <f>IFERROR(IF(INDEX(tblCustomers[مدة السداد],MATCH(tblInv[[#This Row],[كود العميل]],tblCustomers[كود العميل],0))="",DefaultTerms,INDEX(tblCustomers[مدة السداد],MATCH(tblInv[[#This Row],[كود العميل]],tblCustomers[كود العميل],0))),DefaultTerms)</f>
        <v/>
      </c>
      <c r="I74" s="56">
        <f>tblInv[[#This Row],[تاريخ الفاتورة]]+tblInv[[#This Row],[مدة السداد]]</f>
        <v/>
      </c>
      <c r="J74" s="49">
        <f>SUMIFS(tblRec[المبلغ],tblRec[رقم الفاتورة],tblInv[[#This Row],[رقم الفاتورة]],tblRec[التاريخ],"&lt;="&amp;AsOf)</f>
        <v/>
      </c>
      <c r="K74" s="48">
        <f>IF(tblInv[[#This Row],[تاريخ الفاتورة]]&gt;AsOf,0,ROUND(tblInv[[#This Row],[الإجمالي]]-tblInv[[#This Row],[المحصّل]],2))</f>
        <v/>
      </c>
      <c r="L74" s="56">
        <f>IF(AgingBasis="من تاريخ الفاتورة",tblInv[[#This Row],[تاريخ الفاتورة]],tblInv[[#This Row],[تاريخ الاستحقاق]])</f>
        <v/>
      </c>
      <c r="M74" s="57">
        <f>IF(tblInv[[#This Row],[المتبقي]]&lt;=0,0,MAX(0,AsOf-tblInv[[#This Row],[تاريخ الأساس]]))</f>
        <v/>
      </c>
      <c r="N7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4" s="44" t="n"/>
      <c r="Q7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4" s="52">
        <f>IF(AND(tblInv[[#This Row],[كود العميل]]=StCust,tblInv[[#This Row],[تاريخ الفاتورة]]&gt;=StFrom,tblInv[[#This Row],[تاريخ الفاتورة]]&lt;=StTo),tblInv[[#This Row],[تاريخ الفاتورة]]*100000+ROW(),"")</f>
        <v/>
      </c>
      <c r="S74" s="52">
        <f>IF(tblInv[[#This Row],[مفتاح الكشف]]="","",COUNTIF(tblInv[مفتاح الكشف],"&lt;"&amp;tblInv[[#This Row],[مفتاح الكشف]])+COUNTIF(tblRec[مفتاح الكشف],"&lt;"&amp;tblInv[[#This Row],[مفتاح الكشف]])+1)</f>
        <v/>
      </c>
    </row>
    <row r="75">
      <c r="A75" s="43" t="inlineStr">
        <is>
          <t>INV-2026-0071</t>
        </is>
      </c>
      <c r="B75" s="53" t="n">
        <v>46192</v>
      </c>
      <c r="C75" s="43" t="inlineStr">
        <is>
          <t>C010</t>
        </is>
      </c>
      <c r="D75" s="52">
        <f>IF(tblInv[[#This Row],[كود العميل]]="","",IFERROR(INDEX(tblCustomers[اسم العميل],MATCH(tblInv[[#This Row],[كود العميل]],tblCustomers[كود العميل],0)),"⚠ كود غير موجود"))</f>
        <v/>
      </c>
      <c r="E75" s="54" t="n">
        <v>34200</v>
      </c>
      <c r="F75" s="49">
        <f>ROUND(tblInv[[#This Row],[المبلغ قبل الضريبة]]*VatRate,2)</f>
        <v/>
      </c>
      <c r="G75" s="48">
        <f>tblInv[[#This Row],[المبلغ قبل الضريبة]]+tblInv[[#This Row],[الضريبة]]</f>
        <v/>
      </c>
      <c r="H75" s="55">
        <f>IFERROR(IF(INDEX(tblCustomers[مدة السداد],MATCH(tblInv[[#This Row],[كود العميل]],tblCustomers[كود العميل],0))="",DefaultTerms,INDEX(tblCustomers[مدة السداد],MATCH(tblInv[[#This Row],[كود العميل]],tblCustomers[كود العميل],0))),DefaultTerms)</f>
        <v/>
      </c>
      <c r="I75" s="56">
        <f>tblInv[[#This Row],[تاريخ الفاتورة]]+tblInv[[#This Row],[مدة السداد]]</f>
        <v/>
      </c>
      <c r="J75" s="49">
        <f>SUMIFS(tblRec[المبلغ],tblRec[رقم الفاتورة],tblInv[[#This Row],[رقم الفاتورة]],tblRec[التاريخ],"&lt;="&amp;AsOf)</f>
        <v/>
      </c>
      <c r="K75" s="48">
        <f>IF(tblInv[[#This Row],[تاريخ الفاتورة]]&gt;AsOf,0,ROUND(tblInv[[#This Row],[الإجمالي]]-tblInv[[#This Row],[المحصّل]],2))</f>
        <v/>
      </c>
      <c r="L75" s="56">
        <f>IF(AgingBasis="من تاريخ الفاتورة",tblInv[[#This Row],[تاريخ الفاتورة]],tblInv[[#This Row],[تاريخ الاستحقاق]])</f>
        <v/>
      </c>
      <c r="M75" s="57">
        <f>IF(tblInv[[#This Row],[المتبقي]]&lt;=0,0,MAX(0,AsOf-tblInv[[#This Row],[تاريخ الأساس]]))</f>
        <v/>
      </c>
      <c r="N7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5" s="44" t="n"/>
      <c r="Q7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5" s="52">
        <f>IF(AND(tblInv[[#This Row],[كود العميل]]=StCust,tblInv[[#This Row],[تاريخ الفاتورة]]&gt;=StFrom,tblInv[[#This Row],[تاريخ الفاتورة]]&lt;=StTo),tblInv[[#This Row],[تاريخ الفاتورة]]*100000+ROW(),"")</f>
        <v/>
      </c>
      <c r="S75" s="52">
        <f>IF(tblInv[[#This Row],[مفتاح الكشف]]="","",COUNTIF(tblInv[مفتاح الكشف],"&lt;"&amp;tblInv[[#This Row],[مفتاح الكشف]])+COUNTIF(tblRec[مفتاح الكشف],"&lt;"&amp;tblInv[[#This Row],[مفتاح الكشف]])+1)</f>
        <v/>
      </c>
    </row>
    <row r="76">
      <c r="A76" s="43" t="inlineStr">
        <is>
          <t>INV-2026-0072</t>
        </is>
      </c>
      <c r="B76" s="53" t="n">
        <v>46194</v>
      </c>
      <c r="C76" s="43" t="inlineStr">
        <is>
          <t>C002</t>
        </is>
      </c>
      <c r="D76" s="52">
        <f>IF(tblInv[[#This Row],[كود العميل]]="","",IFERROR(INDEX(tblCustomers[اسم العميل],MATCH(tblInv[[#This Row],[كود العميل]],tblCustomers[كود العميل],0)),"⚠ كود غير موجود"))</f>
        <v/>
      </c>
      <c r="E76" s="54" t="n">
        <v>32750</v>
      </c>
      <c r="F76" s="49">
        <f>ROUND(tblInv[[#This Row],[المبلغ قبل الضريبة]]*VatRate,2)</f>
        <v/>
      </c>
      <c r="G76" s="48">
        <f>tblInv[[#This Row],[المبلغ قبل الضريبة]]+tblInv[[#This Row],[الضريبة]]</f>
        <v/>
      </c>
      <c r="H76" s="55">
        <f>IFERROR(IF(INDEX(tblCustomers[مدة السداد],MATCH(tblInv[[#This Row],[كود العميل]],tblCustomers[كود العميل],0))="",DefaultTerms,INDEX(tblCustomers[مدة السداد],MATCH(tblInv[[#This Row],[كود العميل]],tblCustomers[كود العميل],0))),DefaultTerms)</f>
        <v/>
      </c>
      <c r="I76" s="56">
        <f>tblInv[[#This Row],[تاريخ الفاتورة]]+tblInv[[#This Row],[مدة السداد]]</f>
        <v/>
      </c>
      <c r="J76" s="49">
        <f>SUMIFS(tblRec[المبلغ],tblRec[رقم الفاتورة],tblInv[[#This Row],[رقم الفاتورة]],tblRec[التاريخ],"&lt;="&amp;AsOf)</f>
        <v/>
      </c>
      <c r="K76" s="48">
        <f>IF(tblInv[[#This Row],[تاريخ الفاتورة]]&gt;AsOf,0,ROUND(tblInv[[#This Row],[الإجمالي]]-tblInv[[#This Row],[المحصّل]],2))</f>
        <v/>
      </c>
      <c r="L76" s="56">
        <f>IF(AgingBasis="من تاريخ الفاتورة",tblInv[[#This Row],[تاريخ الفاتورة]],tblInv[[#This Row],[تاريخ الاستحقاق]])</f>
        <v/>
      </c>
      <c r="M76" s="57">
        <f>IF(tblInv[[#This Row],[المتبقي]]&lt;=0,0,MAX(0,AsOf-tblInv[[#This Row],[تاريخ الأساس]]))</f>
        <v/>
      </c>
      <c r="N7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6" s="44" t="n"/>
      <c r="Q7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6" s="52">
        <f>IF(AND(tblInv[[#This Row],[كود العميل]]=StCust,tblInv[[#This Row],[تاريخ الفاتورة]]&gt;=StFrom,tblInv[[#This Row],[تاريخ الفاتورة]]&lt;=StTo),tblInv[[#This Row],[تاريخ الفاتورة]]*100000+ROW(),"")</f>
        <v/>
      </c>
      <c r="S76" s="52">
        <f>IF(tblInv[[#This Row],[مفتاح الكشف]]="","",COUNTIF(tblInv[مفتاح الكشف],"&lt;"&amp;tblInv[[#This Row],[مفتاح الكشف]])+COUNTIF(tblRec[مفتاح الكشف],"&lt;"&amp;tblInv[[#This Row],[مفتاح الكشف]])+1)</f>
        <v/>
      </c>
    </row>
    <row r="77">
      <c r="A77" s="43" t="inlineStr">
        <is>
          <t>INV-2026-0073</t>
        </is>
      </c>
      <c r="B77" s="53" t="n">
        <v>46196</v>
      </c>
      <c r="C77" s="43" t="inlineStr">
        <is>
          <t>C005</t>
        </is>
      </c>
      <c r="D77" s="52">
        <f>IF(tblInv[[#This Row],[كود العميل]]="","",IFERROR(INDEX(tblCustomers[اسم العميل],MATCH(tblInv[[#This Row],[كود العميل]],tblCustomers[كود العميل],0)),"⚠ كود غير موجود"))</f>
        <v/>
      </c>
      <c r="E77" s="54" t="n">
        <v>44700</v>
      </c>
      <c r="F77" s="49">
        <f>ROUND(tblInv[[#This Row],[المبلغ قبل الضريبة]]*VatRate,2)</f>
        <v/>
      </c>
      <c r="G77" s="48">
        <f>tblInv[[#This Row],[المبلغ قبل الضريبة]]+tblInv[[#This Row],[الضريبة]]</f>
        <v/>
      </c>
      <c r="H77" s="55">
        <f>IFERROR(IF(INDEX(tblCustomers[مدة السداد],MATCH(tblInv[[#This Row],[كود العميل]],tblCustomers[كود العميل],0))="",DefaultTerms,INDEX(tblCustomers[مدة السداد],MATCH(tblInv[[#This Row],[كود العميل]],tblCustomers[كود العميل],0))),DefaultTerms)</f>
        <v/>
      </c>
      <c r="I77" s="56">
        <f>tblInv[[#This Row],[تاريخ الفاتورة]]+tblInv[[#This Row],[مدة السداد]]</f>
        <v/>
      </c>
      <c r="J77" s="49">
        <f>SUMIFS(tblRec[المبلغ],tblRec[رقم الفاتورة],tblInv[[#This Row],[رقم الفاتورة]],tblRec[التاريخ],"&lt;="&amp;AsOf)</f>
        <v/>
      </c>
      <c r="K77" s="48">
        <f>IF(tblInv[[#This Row],[تاريخ الفاتورة]]&gt;AsOf,0,ROUND(tblInv[[#This Row],[الإجمالي]]-tblInv[[#This Row],[المحصّل]],2))</f>
        <v/>
      </c>
      <c r="L77" s="56">
        <f>IF(AgingBasis="من تاريخ الفاتورة",tblInv[[#This Row],[تاريخ الفاتورة]],tblInv[[#This Row],[تاريخ الاستحقاق]])</f>
        <v/>
      </c>
      <c r="M77" s="57">
        <f>IF(tblInv[[#This Row],[المتبقي]]&lt;=0,0,MAX(0,AsOf-tblInv[[#This Row],[تاريخ الأساس]]))</f>
        <v/>
      </c>
      <c r="N7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7" s="44" t="n"/>
      <c r="Q7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7" s="52">
        <f>IF(AND(tblInv[[#This Row],[كود العميل]]=StCust,tblInv[[#This Row],[تاريخ الفاتورة]]&gt;=StFrom,tblInv[[#This Row],[تاريخ الفاتورة]]&lt;=StTo),tblInv[[#This Row],[تاريخ الفاتورة]]*100000+ROW(),"")</f>
        <v/>
      </c>
      <c r="S77" s="52">
        <f>IF(tblInv[[#This Row],[مفتاح الكشف]]="","",COUNTIF(tblInv[مفتاح الكشف],"&lt;"&amp;tblInv[[#This Row],[مفتاح الكشف]])+COUNTIF(tblRec[مفتاح الكشف],"&lt;"&amp;tblInv[[#This Row],[مفتاح الكشف]])+1)</f>
        <v/>
      </c>
    </row>
    <row r="78">
      <c r="A78" s="43" t="inlineStr">
        <is>
          <t>INV-2026-0074</t>
        </is>
      </c>
      <c r="B78" s="53" t="n">
        <v>46196</v>
      </c>
      <c r="C78" s="43" t="inlineStr">
        <is>
          <t>C004</t>
        </is>
      </c>
      <c r="D78" s="52">
        <f>IF(tblInv[[#This Row],[كود العميل]]="","",IFERROR(INDEX(tblCustomers[اسم العميل],MATCH(tblInv[[#This Row],[كود العميل]],tblCustomers[كود العميل],0)),"⚠ كود غير موجود"))</f>
        <v/>
      </c>
      <c r="E78" s="54" t="n">
        <v>28250</v>
      </c>
      <c r="F78" s="49">
        <f>ROUND(tblInv[[#This Row],[المبلغ قبل الضريبة]]*VatRate,2)</f>
        <v/>
      </c>
      <c r="G78" s="48">
        <f>tblInv[[#This Row],[المبلغ قبل الضريبة]]+tblInv[[#This Row],[الضريبة]]</f>
        <v/>
      </c>
      <c r="H78" s="55">
        <f>IFERROR(IF(INDEX(tblCustomers[مدة السداد],MATCH(tblInv[[#This Row],[كود العميل]],tblCustomers[كود العميل],0))="",DefaultTerms,INDEX(tblCustomers[مدة السداد],MATCH(tblInv[[#This Row],[كود العميل]],tblCustomers[كود العميل],0))),DefaultTerms)</f>
        <v/>
      </c>
      <c r="I78" s="56">
        <f>tblInv[[#This Row],[تاريخ الفاتورة]]+tblInv[[#This Row],[مدة السداد]]</f>
        <v/>
      </c>
      <c r="J78" s="49">
        <f>SUMIFS(tblRec[المبلغ],tblRec[رقم الفاتورة],tblInv[[#This Row],[رقم الفاتورة]],tblRec[التاريخ],"&lt;="&amp;AsOf)</f>
        <v/>
      </c>
      <c r="K78" s="48">
        <f>IF(tblInv[[#This Row],[تاريخ الفاتورة]]&gt;AsOf,0,ROUND(tblInv[[#This Row],[الإجمالي]]-tblInv[[#This Row],[المحصّل]],2))</f>
        <v/>
      </c>
      <c r="L78" s="56">
        <f>IF(AgingBasis="من تاريخ الفاتورة",tblInv[[#This Row],[تاريخ الفاتورة]],tblInv[[#This Row],[تاريخ الاستحقاق]])</f>
        <v/>
      </c>
      <c r="M78" s="57">
        <f>IF(tblInv[[#This Row],[المتبقي]]&lt;=0,0,MAX(0,AsOf-tblInv[[#This Row],[تاريخ الأساس]]))</f>
        <v/>
      </c>
      <c r="N7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8" s="44" t="n"/>
      <c r="Q7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8" s="52">
        <f>IF(AND(tblInv[[#This Row],[كود العميل]]=StCust,tblInv[[#This Row],[تاريخ الفاتورة]]&gt;=StFrom,tblInv[[#This Row],[تاريخ الفاتورة]]&lt;=StTo),tblInv[[#This Row],[تاريخ الفاتورة]]*100000+ROW(),"")</f>
        <v/>
      </c>
      <c r="S78" s="52">
        <f>IF(tblInv[[#This Row],[مفتاح الكشف]]="","",COUNTIF(tblInv[مفتاح الكشف],"&lt;"&amp;tblInv[[#This Row],[مفتاح الكشف]])+COUNTIF(tblRec[مفتاح الكشف],"&lt;"&amp;tblInv[[#This Row],[مفتاح الكشف]])+1)</f>
        <v/>
      </c>
    </row>
    <row r="79">
      <c r="A79" s="43" t="inlineStr">
        <is>
          <t>INV-2026-0075</t>
        </is>
      </c>
      <c r="B79" s="53" t="n">
        <v>46198</v>
      </c>
      <c r="C79" s="43" t="inlineStr">
        <is>
          <t>C002</t>
        </is>
      </c>
      <c r="D79" s="52">
        <f>IF(tblInv[[#This Row],[كود العميل]]="","",IFERROR(INDEX(tblCustomers[اسم العميل],MATCH(tblInv[[#This Row],[كود العميل]],tblCustomers[كود العميل],0)),"⚠ كود غير موجود"))</f>
        <v/>
      </c>
      <c r="E79" s="54" t="n">
        <v>42750</v>
      </c>
      <c r="F79" s="49">
        <f>ROUND(tblInv[[#This Row],[المبلغ قبل الضريبة]]*VatRate,2)</f>
        <v/>
      </c>
      <c r="G79" s="48">
        <f>tblInv[[#This Row],[المبلغ قبل الضريبة]]+tblInv[[#This Row],[الضريبة]]</f>
        <v/>
      </c>
      <c r="H79" s="55">
        <f>IFERROR(IF(INDEX(tblCustomers[مدة السداد],MATCH(tblInv[[#This Row],[كود العميل]],tblCustomers[كود العميل],0))="",DefaultTerms,INDEX(tblCustomers[مدة السداد],MATCH(tblInv[[#This Row],[كود العميل]],tblCustomers[كود العميل],0))),DefaultTerms)</f>
        <v/>
      </c>
      <c r="I79" s="56">
        <f>tblInv[[#This Row],[تاريخ الفاتورة]]+tblInv[[#This Row],[مدة السداد]]</f>
        <v/>
      </c>
      <c r="J79" s="49">
        <f>SUMIFS(tblRec[المبلغ],tblRec[رقم الفاتورة],tblInv[[#This Row],[رقم الفاتورة]],tblRec[التاريخ],"&lt;="&amp;AsOf)</f>
        <v/>
      </c>
      <c r="K79" s="48">
        <f>IF(tblInv[[#This Row],[تاريخ الفاتورة]]&gt;AsOf,0,ROUND(tblInv[[#This Row],[الإجمالي]]-tblInv[[#This Row],[المحصّل]],2))</f>
        <v/>
      </c>
      <c r="L79" s="56">
        <f>IF(AgingBasis="من تاريخ الفاتورة",tblInv[[#This Row],[تاريخ الفاتورة]],tblInv[[#This Row],[تاريخ الاستحقاق]])</f>
        <v/>
      </c>
      <c r="M79" s="57">
        <f>IF(tblInv[[#This Row],[المتبقي]]&lt;=0,0,MAX(0,AsOf-tblInv[[#This Row],[تاريخ الأساس]]))</f>
        <v/>
      </c>
      <c r="N7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9" s="44" t="n"/>
      <c r="Q7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9" s="52">
        <f>IF(AND(tblInv[[#This Row],[كود العميل]]=StCust,tblInv[[#This Row],[تاريخ الفاتورة]]&gt;=StFrom,tblInv[[#This Row],[تاريخ الفاتورة]]&lt;=StTo),tblInv[[#This Row],[تاريخ الفاتورة]]*100000+ROW(),"")</f>
        <v/>
      </c>
      <c r="S79" s="52">
        <f>IF(tblInv[[#This Row],[مفتاح الكشف]]="","",COUNTIF(tblInv[مفتاح الكشف],"&lt;"&amp;tblInv[[#This Row],[مفتاح الكشف]])+COUNTIF(tblRec[مفتاح الكشف],"&lt;"&amp;tblInv[[#This Row],[مفتاح الكشف]])+1)</f>
        <v/>
      </c>
    </row>
    <row r="80">
      <c r="A80" s="43" t="inlineStr">
        <is>
          <t>INV-2026-0076</t>
        </is>
      </c>
      <c r="B80" s="53" t="n">
        <v>46201</v>
      </c>
      <c r="C80" s="43" t="inlineStr">
        <is>
          <t>C005</t>
        </is>
      </c>
      <c r="D80" s="52">
        <f>IF(tblInv[[#This Row],[كود العميل]]="","",IFERROR(INDEX(tblCustomers[اسم العميل],MATCH(tblInv[[#This Row],[كود العميل]],tblCustomers[كود العميل],0)),"⚠ كود غير موجود"))</f>
        <v/>
      </c>
      <c r="E80" s="54" t="n">
        <v>16600</v>
      </c>
      <c r="F80" s="49">
        <f>ROUND(tblInv[[#This Row],[المبلغ قبل الضريبة]]*VatRate,2)</f>
        <v/>
      </c>
      <c r="G80" s="48">
        <f>tblInv[[#This Row],[المبلغ قبل الضريبة]]+tblInv[[#This Row],[الضريبة]]</f>
        <v/>
      </c>
      <c r="H80" s="55">
        <f>IFERROR(IF(INDEX(tblCustomers[مدة السداد],MATCH(tblInv[[#This Row],[كود العميل]],tblCustomers[كود العميل],0))="",DefaultTerms,INDEX(tblCustomers[مدة السداد],MATCH(tblInv[[#This Row],[كود العميل]],tblCustomers[كود العميل],0))),DefaultTerms)</f>
        <v/>
      </c>
      <c r="I80" s="56">
        <f>tblInv[[#This Row],[تاريخ الفاتورة]]+tblInv[[#This Row],[مدة السداد]]</f>
        <v/>
      </c>
      <c r="J80" s="49">
        <f>SUMIFS(tblRec[المبلغ],tblRec[رقم الفاتورة],tblInv[[#This Row],[رقم الفاتورة]],tblRec[التاريخ],"&lt;="&amp;AsOf)</f>
        <v/>
      </c>
      <c r="K80" s="48">
        <f>IF(tblInv[[#This Row],[تاريخ الفاتورة]]&gt;AsOf,0,ROUND(tblInv[[#This Row],[الإجمالي]]-tblInv[[#This Row],[المحصّل]],2))</f>
        <v/>
      </c>
      <c r="L80" s="56">
        <f>IF(AgingBasis="من تاريخ الفاتورة",tblInv[[#This Row],[تاريخ الفاتورة]],tblInv[[#This Row],[تاريخ الاستحقاق]])</f>
        <v/>
      </c>
      <c r="M80" s="57">
        <f>IF(tblInv[[#This Row],[المتبقي]]&lt;=0,0,MAX(0,AsOf-tblInv[[#This Row],[تاريخ الأساس]]))</f>
        <v/>
      </c>
      <c r="N8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0" s="44" t="n"/>
      <c r="Q8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0" s="52">
        <f>IF(AND(tblInv[[#This Row],[كود العميل]]=StCust,tblInv[[#This Row],[تاريخ الفاتورة]]&gt;=StFrom,tblInv[[#This Row],[تاريخ الفاتورة]]&lt;=StTo),tblInv[[#This Row],[تاريخ الفاتورة]]*100000+ROW(),"")</f>
        <v/>
      </c>
      <c r="S80" s="52">
        <f>IF(tblInv[[#This Row],[مفتاح الكشف]]="","",COUNTIF(tblInv[مفتاح الكشف],"&lt;"&amp;tblInv[[#This Row],[مفتاح الكشف]])+COUNTIF(tblRec[مفتاح الكشف],"&lt;"&amp;tblInv[[#This Row],[مفتاح الكشف]])+1)</f>
        <v/>
      </c>
    </row>
    <row r="81">
      <c r="A81" s="43" t="inlineStr">
        <is>
          <t>INV-2026-0077</t>
        </is>
      </c>
      <c r="B81" s="53" t="n">
        <v>46205</v>
      </c>
      <c r="C81" s="43" t="inlineStr">
        <is>
          <t>C002</t>
        </is>
      </c>
      <c r="D81" s="52">
        <f>IF(tblInv[[#This Row],[كود العميل]]="","",IFERROR(INDEX(tblCustomers[اسم العميل],MATCH(tblInv[[#This Row],[كود العميل]],tblCustomers[كود العميل],0)),"⚠ كود غير موجود"))</f>
        <v/>
      </c>
      <c r="E81" s="54" t="n">
        <v>2350</v>
      </c>
      <c r="F81" s="49">
        <f>ROUND(tblInv[[#This Row],[المبلغ قبل الضريبة]]*VatRate,2)</f>
        <v/>
      </c>
      <c r="G81" s="48">
        <f>tblInv[[#This Row],[المبلغ قبل الضريبة]]+tblInv[[#This Row],[الضريبة]]</f>
        <v/>
      </c>
      <c r="H81" s="55">
        <f>IFERROR(IF(INDEX(tblCustomers[مدة السداد],MATCH(tblInv[[#This Row],[كود العميل]],tblCustomers[كود العميل],0))="",DefaultTerms,INDEX(tblCustomers[مدة السداد],MATCH(tblInv[[#This Row],[كود العميل]],tblCustomers[كود العميل],0))),DefaultTerms)</f>
        <v/>
      </c>
      <c r="I81" s="56">
        <f>tblInv[[#This Row],[تاريخ الفاتورة]]+tblInv[[#This Row],[مدة السداد]]</f>
        <v/>
      </c>
      <c r="J81" s="49">
        <f>SUMIFS(tblRec[المبلغ],tblRec[رقم الفاتورة],tblInv[[#This Row],[رقم الفاتورة]],tblRec[التاريخ],"&lt;="&amp;AsOf)</f>
        <v/>
      </c>
      <c r="K81" s="48">
        <f>IF(tblInv[[#This Row],[تاريخ الفاتورة]]&gt;AsOf,0,ROUND(tblInv[[#This Row],[الإجمالي]]-tblInv[[#This Row],[المحصّل]],2))</f>
        <v/>
      </c>
      <c r="L81" s="56">
        <f>IF(AgingBasis="من تاريخ الفاتورة",tblInv[[#This Row],[تاريخ الفاتورة]],tblInv[[#This Row],[تاريخ الاستحقاق]])</f>
        <v/>
      </c>
      <c r="M81" s="57">
        <f>IF(tblInv[[#This Row],[المتبقي]]&lt;=0,0,MAX(0,AsOf-tblInv[[#This Row],[تاريخ الأساس]]))</f>
        <v/>
      </c>
      <c r="N8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1" s="44" t="n"/>
      <c r="Q8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1" s="52">
        <f>IF(AND(tblInv[[#This Row],[كود العميل]]=StCust,tblInv[[#This Row],[تاريخ الفاتورة]]&gt;=StFrom,tblInv[[#This Row],[تاريخ الفاتورة]]&lt;=StTo),tblInv[[#This Row],[تاريخ الفاتورة]]*100000+ROW(),"")</f>
        <v/>
      </c>
      <c r="S81" s="52">
        <f>IF(tblInv[[#This Row],[مفتاح الكشف]]="","",COUNTIF(tblInv[مفتاح الكشف],"&lt;"&amp;tblInv[[#This Row],[مفتاح الكشف]])+COUNTIF(tblRec[مفتاح الكشف],"&lt;"&amp;tblInv[[#This Row],[مفتاح الكشف]])+1)</f>
        <v/>
      </c>
    </row>
    <row r="82">
      <c r="A82" s="43" t="inlineStr">
        <is>
          <t>INV-2026-0078</t>
        </is>
      </c>
      <c r="B82" s="53" t="n">
        <v>46205</v>
      </c>
      <c r="C82" s="43" t="inlineStr">
        <is>
          <t>C010</t>
        </is>
      </c>
      <c r="D82" s="52">
        <f>IF(tblInv[[#This Row],[كود العميل]]="","",IFERROR(INDEX(tblCustomers[اسم العميل],MATCH(tblInv[[#This Row],[كود العميل]],tblCustomers[كود العميل],0)),"⚠ كود غير موجود"))</f>
        <v/>
      </c>
      <c r="E82" s="54" t="n">
        <v>37150</v>
      </c>
      <c r="F82" s="49">
        <f>ROUND(tblInv[[#This Row],[المبلغ قبل الضريبة]]*VatRate,2)</f>
        <v/>
      </c>
      <c r="G82" s="48">
        <f>tblInv[[#This Row],[المبلغ قبل الضريبة]]+tblInv[[#This Row],[الضريبة]]</f>
        <v/>
      </c>
      <c r="H82" s="55">
        <f>IFERROR(IF(INDEX(tblCustomers[مدة السداد],MATCH(tblInv[[#This Row],[كود العميل]],tblCustomers[كود العميل],0))="",DefaultTerms,INDEX(tblCustomers[مدة السداد],MATCH(tblInv[[#This Row],[كود العميل]],tblCustomers[كود العميل],0))),DefaultTerms)</f>
        <v/>
      </c>
      <c r="I82" s="56">
        <f>tblInv[[#This Row],[تاريخ الفاتورة]]+tblInv[[#This Row],[مدة السداد]]</f>
        <v/>
      </c>
      <c r="J82" s="49">
        <f>SUMIFS(tblRec[المبلغ],tblRec[رقم الفاتورة],tblInv[[#This Row],[رقم الفاتورة]],tblRec[التاريخ],"&lt;="&amp;AsOf)</f>
        <v/>
      </c>
      <c r="K82" s="48">
        <f>IF(tblInv[[#This Row],[تاريخ الفاتورة]]&gt;AsOf,0,ROUND(tblInv[[#This Row],[الإجمالي]]-tblInv[[#This Row],[المحصّل]],2))</f>
        <v/>
      </c>
      <c r="L82" s="56">
        <f>IF(AgingBasis="من تاريخ الفاتورة",tblInv[[#This Row],[تاريخ الفاتورة]],tblInv[[#This Row],[تاريخ الاستحقاق]])</f>
        <v/>
      </c>
      <c r="M82" s="57">
        <f>IF(tblInv[[#This Row],[المتبقي]]&lt;=0,0,MAX(0,AsOf-tblInv[[#This Row],[تاريخ الأساس]]))</f>
        <v/>
      </c>
      <c r="N8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2" s="44" t="n"/>
      <c r="Q8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2" s="52">
        <f>IF(AND(tblInv[[#This Row],[كود العميل]]=StCust,tblInv[[#This Row],[تاريخ الفاتورة]]&gt;=StFrom,tblInv[[#This Row],[تاريخ الفاتورة]]&lt;=StTo),tblInv[[#This Row],[تاريخ الفاتورة]]*100000+ROW(),"")</f>
        <v/>
      </c>
      <c r="S82" s="52">
        <f>IF(tblInv[[#This Row],[مفتاح الكشف]]="","",COUNTIF(tblInv[مفتاح الكشف],"&lt;"&amp;tblInv[[#This Row],[مفتاح الكشف]])+COUNTIF(tblRec[مفتاح الكشف],"&lt;"&amp;tblInv[[#This Row],[مفتاح الكشف]])+1)</f>
        <v/>
      </c>
    </row>
    <row r="83">
      <c r="A83" s="43" t="inlineStr">
        <is>
          <t>INV-2026-0079</t>
        </is>
      </c>
      <c r="B83" s="53" t="n">
        <v>46206</v>
      </c>
      <c r="C83" s="43" t="inlineStr">
        <is>
          <t>C009</t>
        </is>
      </c>
      <c r="D83" s="52">
        <f>IF(tblInv[[#This Row],[كود العميل]]="","",IFERROR(INDEX(tblCustomers[اسم العميل],MATCH(tblInv[[#This Row],[كود العميل]],tblCustomers[كود العميل],0)),"⚠ كود غير موجود"))</f>
        <v/>
      </c>
      <c r="E83" s="54" t="n">
        <v>23250</v>
      </c>
      <c r="F83" s="49">
        <f>ROUND(tblInv[[#This Row],[المبلغ قبل الضريبة]]*VatRate,2)</f>
        <v/>
      </c>
      <c r="G83" s="48">
        <f>tblInv[[#This Row],[المبلغ قبل الضريبة]]+tblInv[[#This Row],[الضريبة]]</f>
        <v/>
      </c>
      <c r="H83" s="55">
        <f>IFERROR(IF(INDEX(tblCustomers[مدة السداد],MATCH(tblInv[[#This Row],[كود العميل]],tblCustomers[كود العميل],0))="",DefaultTerms,INDEX(tblCustomers[مدة السداد],MATCH(tblInv[[#This Row],[كود العميل]],tblCustomers[كود العميل],0))),DefaultTerms)</f>
        <v/>
      </c>
      <c r="I83" s="56">
        <f>tblInv[[#This Row],[تاريخ الفاتورة]]+tblInv[[#This Row],[مدة السداد]]</f>
        <v/>
      </c>
      <c r="J83" s="49">
        <f>SUMIFS(tblRec[المبلغ],tblRec[رقم الفاتورة],tblInv[[#This Row],[رقم الفاتورة]],tblRec[التاريخ],"&lt;="&amp;AsOf)</f>
        <v/>
      </c>
      <c r="K83" s="48">
        <f>IF(tblInv[[#This Row],[تاريخ الفاتورة]]&gt;AsOf,0,ROUND(tblInv[[#This Row],[الإجمالي]]-tblInv[[#This Row],[المحصّل]],2))</f>
        <v/>
      </c>
      <c r="L83" s="56">
        <f>IF(AgingBasis="من تاريخ الفاتورة",tblInv[[#This Row],[تاريخ الفاتورة]],tblInv[[#This Row],[تاريخ الاستحقاق]])</f>
        <v/>
      </c>
      <c r="M83" s="57">
        <f>IF(tblInv[[#This Row],[المتبقي]]&lt;=0,0,MAX(0,AsOf-tblInv[[#This Row],[تاريخ الأساس]]))</f>
        <v/>
      </c>
      <c r="N8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3" s="44" t="n"/>
      <c r="Q8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3" s="52">
        <f>IF(AND(tblInv[[#This Row],[كود العميل]]=StCust,tblInv[[#This Row],[تاريخ الفاتورة]]&gt;=StFrom,tblInv[[#This Row],[تاريخ الفاتورة]]&lt;=StTo),tblInv[[#This Row],[تاريخ الفاتورة]]*100000+ROW(),"")</f>
        <v/>
      </c>
      <c r="S83" s="52">
        <f>IF(tblInv[[#This Row],[مفتاح الكشف]]="","",COUNTIF(tblInv[مفتاح الكشف],"&lt;"&amp;tblInv[[#This Row],[مفتاح الكشف]])+COUNTIF(tblRec[مفتاح الكشف],"&lt;"&amp;tblInv[[#This Row],[مفتاح الكشف]])+1)</f>
        <v/>
      </c>
    </row>
    <row r="84">
      <c r="A84" s="43" t="inlineStr">
        <is>
          <t>INV-2026-0080</t>
        </is>
      </c>
      <c r="B84" s="53" t="n">
        <v>46207</v>
      </c>
      <c r="C84" s="43" t="inlineStr">
        <is>
          <t>C007</t>
        </is>
      </c>
      <c r="D84" s="52">
        <f>IF(tblInv[[#This Row],[كود العميل]]="","",IFERROR(INDEX(tblCustomers[اسم العميل],MATCH(tblInv[[#This Row],[كود العميل]],tblCustomers[كود العميل],0)),"⚠ كود غير موجود"))</f>
        <v/>
      </c>
      <c r="E84" s="54" t="n">
        <v>30750</v>
      </c>
      <c r="F84" s="49">
        <f>ROUND(tblInv[[#This Row],[المبلغ قبل الضريبة]]*VatRate,2)</f>
        <v/>
      </c>
      <c r="G84" s="48">
        <f>tblInv[[#This Row],[المبلغ قبل الضريبة]]+tblInv[[#This Row],[الضريبة]]</f>
        <v/>
      </c>
      <c r="H84" s="55">
        <f>IFERROR(IF(INDEX(tblCustomers[مدة السداد],MATCH(tblInv[[#This Row],[كود العميل]],tblCustomers[كود العميل],0))="",DefaultTerms,INDEX(tblCustomers[مدة السداد],MATCH(tblInv[[#This Row],[كود العميل]],tblCustomers[كود العميل],0))),DefaultTerms)</f>
        <v/>
      </c>
      <c r="I84" s="56">
        <f>tblInv[[#This Row],[تاريخ الفاتورة]]+tblInv[[#This Row],[مدة السداد]]</f>
        <v/>
      </c>
      <c r="J84" s="49">
        <f>SUMIFS(tblRec[المبلغ],tblRec[رقم الفاتورة],tblInv[[#This Row],[رقم الفاتورة]],tblRec[التاريخ],"&lt;="&amp;AsOf)</f>
        <v/>
      </c>
      <c r="K84" s="48">
        <f>IF(tblInv[[#This Row],[تاريخ الفاتورة]]&gt;AsOf,0,ROUND(tblInv[[#This Row],[الإجمالي]]-tblInv[[#This Row],[المحصّل]],2))</f>
        <v/>
      </c>
      <c r="L84" s="56">
        <f>IF(AgingBasis="من تاريخ الفاتورة",tblInv[[#This Row],[تاريخ الفاتورة]],tblInv[[#This Row],[تاريخ الاستحقاق]])</f>
        <v/>
      </c>
      <c r="M84" s="57">
        <f>IF(tblInv[[#This Row],[المتبقي]]&lt;=0,0,MAX(0,AsOf-tblInv[[#This Row],[تاريخ الأساس]]))</f>
        <v/>
      </c>
      <c r="N8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4" s="44" t="n"/>
      <c r="Q8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4" s="52">
        <f>IF(AND(tblInv[[#This Row],[كود العميل]]=StCust,tblInv[[#This Row],[تاريخ الفاتورة]]&gt;=StFrom,tblInv[[#This Row],[تاريخ الفاتورة]]&lt;=StTo),tblInv[[#This Row],[تاريخ الفاتورة]]*100000+ROW(),"")</f>
        <v/>
      </c>
      <c r="S84" s="52">
        <f>IF(tblInv[[#This Row],[مفتاح الكشف]]="","",COUNTIF(tblInv[مفتاح الكشف],"&lt;"&amp;tblInv[[#This Row],[مفتاح الكشف]])+COUNTIF(tblRec[مفتاح الكشف],"&lt;"&amp;tblInv[[#This Row],[مفتاح الكشف]])+1)</f>
        <v/>
      </c>
    </row>
    <row r="85">
      <c r="A85" s="43" t="inlineStr">
        <is>
          <t>INV-2026-0081</t>
        </is>
      </c>
      <c r="B85" s="53" t="n">
        <v>46207</v>
      </c>
      <c r="C85" s="43" t="inlineStr">
        <is>
          <t>C008</t>
        </is>
      </c>
      <c r="D85" s="52">
        <f>IF(tblInv[[#This Row],[كود العميل]]="","",IFERROR(INDEX(tblCustomers[اسم العميل],MATCH(tblInv[[#This Row],[كود العميل]],tblCustomers[كود العميل],0)),"⚠ كود غير موجود"))</f>
        <v/>
      </c>
      <c r="E85" s="54" t="n">
        <v>5350</v>
      </c>
      <c r="F85" s="49">
        <f>ROUND(tblInv[[#This Row],[المبلغ قبل الضريبة]]*VatRate,2)</f>
        <v/>
      </c>
      <c r="G85" s="48">
        <f>tblInv[[#This Row],[المبلغ قبل الضريبة]]+tblInv[[#This Row],[الضريبة]]</f>
        <v/>
      </c>
      <c r="H85" s="55">
        <f>IFERROR(IF(INDEX(tblCustomers[مدة السداد],MATCH(tblInv[[#This Row],[كود العميل]],tblCustomers[كود العميل],0))="",DefaultTerms,INDEX(tblCustomers[مدة السداد],MATCH(tblInv[[#This Row],[كود العميل]],tblCustomers[كود العميل],0))),DefaultTerms)</f>
        <v/>
      </c>
      <c r="I85" s="56">
        <f>tblInv[[#This Row],[تاريخ الفاتورة]]+tblInv[[#This Row],[مدة السداد]]</f>
        <v/>
      </c>
      <c r="J85" s="49">
        <f>SUMIFS(tblRec[المبلغ],tblRec[رقم الفاتورة],tblInv[[#This Row],[رقم الفاتورة]],tblRec[التاريخ],"&lt;="&amp;AsOf)</f>
        <v/>
      </c>
      <c r="K85" s="48">
        <f>IF(tblInv[[#This Row],[تاريخ الفاتورة]]&gt;AsOf,0,ROUND(tblInv[[#This Row],[الإجمالي]]-tblInv[[#This Row],[المحصّل]],2))</f>
        <v/>
      </c>
      <c r="L85" s="56">
        <f>IF(AgingBasis="من تاريخ الفاتورة",tblInv[[#This Row],[تاريخ الفاتورة]],tblInv[[#This Row],[تاريخ الاستحقاق]])</f>
        <v/>
      </c>
      <c r="M85" s="57">
        <f>IF(tblInv[[#This Row],[المتبقي]]&lt;=0,0,MAX(0,AsOf-tblInv[[#This Row],[تاريخ الأساس]]))</f>
        <v/>
      </c>
      <c r="N8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5" s="44" t="n"/>
      <c r="Q8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5" s="52">
        <f>IF(AND(tblInv[[#This Row],[كود العميل]]=StCust,tblInv[[#This Row],[تاريخ الفاتورة]]&gt;=StFrom,tblInv[[#This Row],[تاريخ الفاتورة]]&lt;=StTo),tblInv[[#This Row],[تاريخ الفاتورة]]*100000+ROW(),"")</f>
        <v/>
      </c>
      <c r="S85" s="52">
        <f>IF(tblInv[[#This Row],[مفتاح الكشف]]="","",COUNTIF(tblInv[مفتاح الكشف],"&lt;"&amp;tblInv[[#This Row],[مفتاح الكشف]])+COUNTIF(tblRec[مفتاح الكشف],"&lt;"&amp;tblInv[[#This Row],[مفتاح الكشف]])+1)</f>
        <v/>
      </c>
    </row>
    <row r="86">
      <c r="A86" s="43" t="inlineStr">
        <is>
          <t>INV-2026-0082</t>
        </is>
      </c>
      <c r="B86" s="53" t="n">
        <v>46207</v>
      </c>
      <c r="C86" s="43" t="inlineStr">
        <is>
          <t>C011</t>
        </is>
      </c>
      <c r="D86" s="52">
        <f>IF(tblInv[[#This Row],[كود العميل]]="","",IFERROR(INDEX(tblCustomers[اسم العميل],MATCH(tblInv[[#This Row],[كود العميل]],tblCustomers[كود العميل],0)),"⚠ كود غير موجود"))</f>
        <v/>
      </c>
      <c r="E86" s="54" t="n">
        <v>39350</v>
      </c>
      <c r="F86" s="49">
        <f>ROUND(tblInv[[#This Row],[المبلغ قبل الضريبة]]*VatRate,2)</f>
        <v/>
      </c>
      <c r="G86" s="48">
        <f>tblInv[[#This Row],[المبلغ قبل الضريبة]]+tblInv[[#This Row],[الضريبة]]</f>
        <v/>
      </c>
      <c r="H86" s="55">
        <f>IFERROR(IF(INDEX(tblCustomers[مدة السداد],MATCH(tblInv[[#This Row],[كود العميل]],tblCustomers[كود العميل],0))="",DefaultTerms,INDEX(tblCustomers[مدة السداد],MATCH(tblInv[[#This Row],[كود العميل]],tblCustomers[كود العميل],0))),DefaultTerms)</f>
        <v/>
      </c>
      <c r="I86" s="56">
        <f>tblInv[[#This Row],[تاريخ الفاتورة]]+tblInv[[#This Row],[مدة السداد]]</f>
        <v/>
      </c>
      <c r="J86" s="49">
        <f>SUMIFS(tblRec[المبلغ],tblRec[رقم الفاتورة],tblInv[[#This Row],[رقم الفاتورة]],tblRec[التاريخ],"&lt;="&amp;AsOf)</f>
        <v/>
      </c>
      <c r="K86" s="48">
        <f>IF(tblInv[[#This Row],[تاريخ الفاتورة]]&gt;AsOf,0,ROUND(tblInv[[#This Row],[الإجمالي]]-tblInv[[#This Row],[المحصّل]],2))</f>
        <v/>
      </c>
      <c r="L86" s="56">
        <f>IF(AgingBasis="من تاريخ الفاتورة",tblInv[[#This Row],[تاريخ الفاتورة]],tblInv[[#This Row],[تاريخ الاستحقاق]])</f>
        <v/>
      </c>
      <c r="M86" s="57">
        <f>IF(tblInv[[#This Row],[المتبقي]]&lt;=0,0,MAX(0,AsOf-tblInv[[#This Row],[تاريخ الأساس]]))</f>
        <v/>
      </c>
      <c r="N8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6" s="44" t="n"/>
      <c r="Q8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6" s="52">
        <f>IF(AND(tblInv[[#This Row],[كود العميل]]=StCust,tblInv[[#This Row],[تاريخ الفاتورة]]&gt;=StFrom,tblInv[[#This Row],[تاريخ الفاتورة]]&lt;=StTo),tblInv[[#This Row],[تاريخ الفاتورة]]*100000+ROW(),"")</f>
        <v/>
      </c>
      <c r="S86" s="52">
        <f>IF(tblInv[[#This Row],[مفتاح الكشف]]="","",COUNTIF(tblInv[مفتاح الكشف],"&lt;"&amp;tblInv[[#This Row],[مفتاح الكشف]])+COUNTIF(tblRec[مفتاح الكشف],"&lt;"&amp;tblInv[[#This Row],[مفتاح الكشف]])+1)</f>
        <v/>
      </c>
    </row>
    <row r="87">
      <c r="A87" s="43" t="inlineStr">
        <is>
          <t>INV-2026-0083</t>
        </is>
      </c>
      <c r="B87" s="53" t="n">
        <v>46209</v>
      </c>
      <c r="C87" s="43" t="inlineStr">
        <is>
          <t>C002</t>
        </is>
      </c>
      <c r="D87" s="52">
        <f>IF(tblInv[[#This Row],[كود العميل]]="","",IFERROR(INDEX(tblCustomers[اسم العميل],MATCH(tblInv[[#This Row],[كود العميل]],tblCustomers[كود العميل],0)),"⚠ كود غير موجود"))</f>
        <v/>
      </c>
      <c r="E87" s="54" t="n">
        <v>30850</v>
      </c>
      <c r="F87" s="49">
        <f>ROUND(tblInv[[#This Row],[المبلغ قبل الضريبة]]*VatRate,2)</f>
        <v/>
      </c>
      <c r="G87" s="48">
        <f>tblInv[[#This Row],[المبلغ قبل الضريبة]]+tblInv[[#This Row],[الضريبة]]</f>
        <v/>
      </c>
      <c r="H87" s="55">
        <f>IFERROR(IF(INDEX(tblCustomers[مدة السداد],MATCH(tblInv[[#This Row],[كود العميل]],tblCustomers[كود العميل],0))="",DefaultTerms,INDEX(tblCustomers[مدة السداد],MATCH(tblInv[[#This Row],[كود العميل]],tblCustomers[كود العميل],0))),DefaultTerms)</f>
        <v/>
      </c>
      <c r="I87" s="56">
        <f>tblInv[[#This Row],[تاريخ الفاتورة]]+tblInv[[#This Row],[مدة السداد]]</f>
        <v/>
      </c>
      <c r="J87" s="49">
        <f>SUMIFS(tblRec[المبلغ],tblRec[رقم الفاتورة],tblInv[[#This Row],[رقم الفاتورة]],tblRec[التاريخ],"&lt;="&amp;AsOf)</f>
        <v/>
      </c>
      <c r="K87" s="48">
        <f>IF(tblInv[[#This Row],[تاريخ الفاتورة]]&gt;AsOf,0,ROUND(tblInv[[#This Row],[الإجمالي]]-tblInv[[#This Row],[المحصّل]],2))</f>
        <v/>
      </c>
      <c r="L87" s="56">
        <f>IF(AgingBasis="من تاريخ الفاتورة",tblInv[[#This Row],[تاريخ الفاتورة]],tblInv[[#This Row],[تاريخ الاستحقاق]])</f>
        <v/>
      </c>
      <c r="M87" s="57">
        <f>IF(tblInv[[#This Row],[المتبقي]]&lt;=0,0,MAX(0,AsOf-tblInv[[#This Row],[تاريخ الأساس]]))</f>
        <v/>
      </c>
      <c r="N8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7" s="44" t="n"/>
      <c r="Q8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7" s="52">
        <f>IF(AND(tblInv[[#This Row],[كود العميل]]=StCust,tblInv[[#This Row],[تاريخ الفاتورة]]&gt;=StFrom,tblInv[[#This Row],[تاريخ الفاتورة]]&lt;=StTo),tblInv[[#This Row],[تاريخ الفاتورة]]*100000+ROW(),"")</f>
        <v/>
      </c>
      <c r="S87" s="52">
        <f>IF(tblInv[[#This Row],[مفتاح الكشف]]="","",COUNTIF(tblInv[مفتاح الكشف],"&lt;"&amp;tblInv[[#This Row],[مفتاح الكشف]])+COUNTIF(tblRec[مفتاح الكشف],"&lt;"&amp;tblInv[[#This Row],[مفتاح الكشف]])+1)</f>
        <v/>
      </c>
    </row>
    <row r="88">
      <c r="A88" s="43" t="inlineStr">
        <is>
          <t>INV-2026-0084</t>
        </is>
      </c>
      <c r="B88" s="53" t="n">
        <v>46209</v>
      </c>
      <c r="C88" s="43" t="inlineStr">
        <is>
          <t>C006</t>
        </is>
      </c>
      <c r="D88" s="52">
        <f>IF(tblInv[[#This Row],[كود العميل]]="","",IFERROR(INDEX(tblCustomers[اسم العميل],MATCH(tblInv[[#This Row],[كود العميل]],tblCustomers[كود العميل],0)),"⚠ كود غير موجود"))</f>
        <v/>
      </c>
      <c r="E88" s="54" t="n">
        <v>36900</v>
      </c>
      <c r="F88" s="49">
        <f>ROUND(tblInv[[#This Row],[المبلغ قبل الضريبة]]*VatRate,2)</f>
        <v/>
      </c>
      <c r="G88" s="48">
        <f>tblInv[[#This Row],[المبلغ قبل الضريبة]]+tblInv[[#This Row],[الضريبة]]</f>
        <v/>
      </c>
      <c r="H88" s="55">
        <f>IFERROR(IF(INDEX(tblCustomers[مدة السداد],MATCH(tblInv[[#This Row],[كود العميل]],tblCustomers[كود العميل],0))="",DefaultTerms,INDEX(tblCustomers[مدة السداد],MATCH(tblInv[[#This Row],[كود العميل]],tblCustomers[كود العميل],0))),DefaultTerms)</f>
        <v/>
      </c>
      <c r="I88" s="56">
        <f>tblInv[[#This Row],[تاريخ الفاتورة]]+tblInv[[#This Row],[مدة السداد]]</f>
        <v/>
      </c>
      <c r="J88" s="49">
        <f>SUMIFS(tblRec[المبلغ],tblRec[رقم الفاتورة],tblInv[[#This Row],[رقم الفاتورة]],tblRec[التاريخ],"&lt;="&amp;AsOf)</f>
        <v/>
      </c>
      <c r="K88" s="48">
        <f>IF(tblInv[[#This Row],[تاريخ الفاتورة]]&gt;AsOf,0,ROUND(tblInv[[#This Row],[الإجمالي]]-tblInv[[#This Row],[المحصّل]],2))</f>
        <v/>
      </c>
      <c r="L88" s="56">
        <f>IF(AgingBasis="من تاريخ الفاتورة",tblInv[[#This Row],[تاريخ الفاتورة]],tblInv[[#This Row],[تاريخ الاستحقاق]])</f>
        <v/>
      </c>
      <c r="M88" s="57">
        <f>IF(tblInv[[#This Row],[المتبقي]]&lt;=0,0,MAX(0,AsOf-tblInv[[#This Row],[تاريخ الأساس]]))</f>
        <v/>
      </c>
      <c r="N8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8" s="44" t="n"/>
      <c r="Q8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8" s="52">
        <f>IF(AND(tblInv[[#This Row],[كود العميل]]=StCust,tblInv[[#This Row],[تاريخ الفاتورة]]&gt;=StFrom,tblInv[[#This Row],[تاريخ الفاتورة]]&lt;=StTo),tblInv[[#This Row],[تاريخ الفاتورة]]*100000+ROW(),"")</f>
        <v/>
      </c>
      <c r="S88" s="52">
        <f>IF(tblInv[[#This Row],[مفتاح الكشف]]="","",COUNTIF(tblInv[مفتاح الكشف],"&lt;"&amp;tblInv[[#This Row],[مفتاح الكشف]])+COUNTIF(tblRec[مفتاح الكشف],"&lt;"&amp;tblInv[[#This Row],[مفتاح الكشف]])+1)</f>
        <v/>
      </c>
    </row>
    <row r="89">
      <c r="A89" s="43" t="inlineStr">
        <is>
          <t>INV-2026-0085</t>
        </is>
      </c>
      <c r="B89" s="53" t="n">
        <v>46219</v>
      </c>
      <c r="C89" s="43" t="inlineStr">
        <is>
          <t>C002</t>
        </is>
      </c>
      <c r="D89" s="52">
        <f>IF(tblInv[[#This Row],[كود العميل]]="","",IFERROR(INDEX(tblCustomers[اسم العميل],MATCH(tblInv[[#This Row],[كود العميل]],tblCustomers[كود العميل],0)),"⚠ كود غير موجود"))</f>
        <v/>
      </c>
      <c r="E89" s="54" t="n">
        <v>30500</v>
      </c>
      <c r="F89" s="49">
        <f>ROUND(tblInv[[#This Row],[المبلغ قبل الضريبة]]*VatRate,2)</f>
        <v/>
      </c>
      <c r="G89" s="48">
        <f>tblInv[[#This Row],[المبلغ قبل الضريبة]]+tblInv[[#This Row],[الضريبة]]</f>
        <v/>
      </c>
      <c r="H89" s="55">
        <f>IFERROR(IF(INDEX(tblCustomers[مدة السداد],MATCH(tblInv[[#This Row],[كود العميل]],tblCustomers[كود العميل],0))="",DefaultTerms,INDEX(tblCustomers[مدة السداد],MATCH(tblInv[[#This Row],[كود العميل]],tblCustomers[كود العميل],0))),DefaultTerms)</f>
        <v/>
      </c>
      <c r="I89" s="56">
        <f>tblInv[[#This Row],[تاريخ الفاتورة]]+tblInv[[#This Row],[مدة السداد]]</f>
        <v/>
      </c>
      <c r="J89" s="49">
        <f>SUMIFS(tblRec[المبلغ],tblRec[رقم الفاتورة],tblInv[[#This Row],[رقم الفاتورة]],tblRec[التاريخ],"&lt;="&amp;AsOf)</f>
        <v/>
      </c>
      <c r="K89" s="48">
        <f>IF(tblInv[[#This Row],[تاريخ الفاتورة]]&gt;AsOf,0,ROUND(tblInv[[#This Row],[الإجمالي]]-tblInv[[#This Row],[المحصّل]],2))</f>
        <v/>
      </c>
      <c r="L89" s="56">
        <f>IF(AgingBasis="من تاريخ الفاتورة",tblInv[[#This Row],[تاريخ الفاتورة]],tblInv[[#This Row],[تاريخ الاستحقاق]])</f>
        <v/>
      </c>
      <c r="M89" s="57">
        <f>IF(tblInv[[#This Row],[المتبقي]]&lt;=0,0,MAX(0,AsOf-tblInv[[#This Row],[تاريخ الأساس]]))</f>
        <v/>
      </c>
      <c r="N8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9" s="44" t="n"/>
      <c r="Q8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9" s="52">
        <f>IF(AND(tblInv[[#This Row],[كود العميل]]=StCust,tblInv[[#This Row],[تاريخ الفاتورة]]&gt;=StFrom,tblInv[[#This Row],[تاريخ الفاتورة]]&lt;=StTo),tblInv[[#This Row],[تاريخ الفاتورة]]*100000+ROW(),"")</f>
        <v/>
      </c>
      <c r="S89" s="52">
        <f>IF(tblInv[[#This Row],[مفتاح الكشف]]="","",COUNTIF(tblInv[مفتاح الكشف],"&lt;"&amp;tblInv[[#This Row],[مفتاح الكشف]])+COUNTIF(tblRec[مفتاح الكشف],"&lt;"&amp;tblInv[[#This Row],[مفتاح الكشف]])+1)</f>
        <v/>
      </c>
    </row>
    <row r="90">
      <c r="A90" s="43" t="inlineStr">
        <is>
          <t>INV-2026-0086</t>
        </is>
      </c>
      <c r="B90" s="53" t="n">
        <v>46220</v>
      </c>
      <c r="C90" s="43" t="inlineStr">
        <is>
          <t>C013</t>
        </is>
      </c>
      <c r="D90" s="52">
        <f>IF(tblInv[[#This Row],[كود العميل]]="","",IFERROR(INDEX(tblCustomers[اسم العميل],MATCH(tblInv[[#This Row],[كود العميل]],tblCustomers[كود العميل],0)),"⚠ كود غير موجود"))</f>
        <v/>
      </c>
      <c r="E90" s="54" t="n">
        <v>15050</v>
      </c>
      <c r="F90" s="49">
        <f>ROUND(tblInv[[#This Row],[المبلغ قبل الضريبة]]*VatRate,2)</f>
        <v/>
      </c>
      <c r="G90" s="48">
        <f>tblInv[[#This Row],[المبلغ قبل الضريبة]]+tblInv[[#This Row],[الضريبة]]</f>
        <v/>
      </c>
      <c r="H90" s="55">
        <f>IFERROR(IF(INDEX(tblCustomers[مدة السداد],MATCH(tblInv[[#This Row],[كود العميل]],tblCustomers[كود العميل],0))="",DefaultTerms,INDEX(tblCustomers[مدة السداد],MATCH(tblInv[[#This Row],[كود العميل]],tblCustomers[كود العميل],0))),DefaultTerms)</f>
        <v/>
      </c>
      <c r="I90" s="56">
        <f>tblInv[[#This Row],[تاريخ الفاتورة]]+tblInv[[#This Row],[مدة السداد]]</f>
        <v/>
      </c>
      <c r="J90" s="49">
        <f>SUMIFS(tblRec[المبلغ],tblRec[رقم الفاتورة],tblInv[[#This Row],[رقم الفاتورة]],tblRec[التاريخ],"&lt;="&amp;AsOf)</f>
        <v/>
      </c>
      <c r="K90" s="48">
        <f>IF(tblInv[[#This Row],[تاريخ الفاتورة]]&gt;AsOf,0,ROUND(tblInv[[#This Row],[الإجمالي]]-tblInv[[#This Row],[المحصّل]],2))</f>
        <v/>
      </c>
      <c r="L90" s="56">
        <f>IF(AgingBasis="من تاريخ الفاتورة",tblInv[[#This Row],[تاريخ الفاتورة]],tblInv[[#This Row],[تاريخ الاستحقاق]])</f>
        <v/>
      </c>
      <c r="M90" s="57">
        <f>IF(tblInv[[#This Row],[المتبقي]]&lt;=0,0,MAX(0,AsOf-tblInv[[#This Row],[تاريخ الأساس]]))</f>
        <v/>
      </c>
      <c r="N9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0" s="44" t="inlineStr">
        <is>
          <t>سداد جزئي — الباقي متفق عليه الشهر الجاي</t>
        </is>
      </c>
      <c r="Q9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0" s="52">
        <f>IF(AND(tblInv[[#This Row],[كود العميل]]=StCust,tblInv[[#This Row],[تاريخ الفاتورة]]&gt;=StFrom,tblInv[[#This Row],[تاريخ الفاتورة]]&lt;=StTo),tblInv[[#This Row],[تاريخ الفاتورة]]*100000+ROW(),"")</f>
        <v/>
      </c>
      <c r="S90" s="52">
        <f>IF(tblInv[[#This Row],[مفتاح الكشف]]="","",COUNTIF(tblInv[مفتاح الكشف],"&lt;"&amp;tblInv[[#This Row],[مفتاح الكشف]])+COUNTIF(tblRec[مفتاح الكشف],"&lt;"&amp;tblInv[[#This Row],[مفتاح الكشف]])+1)</f>
        <v/>
      </c>
    </row>
    <row r="91">
      <c r="A91" s="43" t="inlineStr">
        <is>
          <t>INV-2026-0087</t>
        </is>
      </c>
      <c r="B91" s="53" t="n">
        <v>46220</v>
      </c>
      <c r="C91" s="43" t="inlineStr">
        <is>
          <t>C014</t>
        </is>
      </c>
      <c r="D91" s="52">
        <f>IF(tblInv[[#This Row],[كود العميل]]="","",IFERROR(INDEX(tblCustomers[اسم العميل],MATCH(tblInv[[#This Row],[كود العميل]],tblCustomers[كود العميل],0)),"⚠ كود غير موجود"))</f>
        <v/>
      </c>
      <c r="E91" s="54" t="n">
        <v>6800</v>
      </c>
      <c r="F91" s="49">
        <f>ROUND(tblInv[[#This Row],[المبلغ قبل الضريبة]]*VatRate,2)</f>
        <v/>
      </c>
      <c r="G91" s="48">
        <f>tblInv[[#This Row],[المبلغ قبل الضريبة]]+tblInv[[#This Row],[الضريبة]]</f>
        <v/>
      </c>
      <c r="H91" s="55">
        <f>IFERROR(IF(INDEX(tblCustomers[مدة السداد],MATCH(tblInv[[#This Row],[كود العميل]],tblCustomers[كود العميل],0))="",DefaultTerms,INDEX(tblCustomers[مدة السداد],MATCH(tblInv[[#This Row],[كود العميل]],tblCustomers[كود العميل],0))),DefaultTerms)</f>
        <v/>
      </c>
      <c r="I91" s="56">
        <f>tblInv[[#This Row],[تاريخ الفاتورة]]+tblInv[[#This Row],[مدة السداد]]</f>
        <v/>
      </c>
      <c r="J91" s="49">
        <f>SUMIFS(tblRec[المبلغ],tblRec[رقم الفاتورة],tblInv[[#This Row],[رقم الفاتورة]],tblRec[التاريخ],"&lt;="&amp;AsOf)</f>
        <v/>
      </c>
      <c r="K91" s="48">
        <f>IF(tblInv[[#This Row],[تاريخ الفاتورة]]&gt;AsOf,0,ROUND(tblInv[[#This Row],[الإجمالي]]-tblInv[[#This Row],[المحصّل]],2))</f>
        <v/>
      </c>
      <c r="L91" s="56">
        <f>IF(AgingBasis="من تاريخ الفاتورة",tblInv[[#This Row],[تاريخ الفاتورة]],tblInv[[#This Row],[تاريخ الاستحقاق]])</f>
        <v/>
      </c>
      <c r="M91" s="57">
        <f>IF(tblInv[[#This Row],[المتبقي]]&lt;=0,0,MAX(0,AsOf-tblInv[[#This Row],[تاريخ الأساس]]))</f>
        <v/>
      </c>
      <c r="N9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1" s="44" t="n"/>
      <c r="Q9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1" s="52">
        <f>IF(AND(tblInv[[#This Row],[كود العميل]]=StCust,tblInv[[#This Row],[تاريخ الفاتورة]]&gt;=StFrom,tblInv[[#This Row],[تاريخ الفاتورة]]&lt;=StTo),tblInv[[#This Row],[تاريخ الفاتورة]]*100000+ROW(),"")</f>
        <v/>
      </c>
      <c r="S91" s="52">
        <f>IF(tblInv[[#This Row],[مفتاح الكشف]]="","",COUNTIF(tblInv[مفتاح الكشف],"&lt;"&amp;tblInv[[#This Row],[مفتاح الكشف]])+COUNTIF(tblRec[مفتاح الكشف],"&lt;"&amp;tblInv[[#This Row],[مفتاح الكشف]])+1)</f>
        <v/>
      </c>
    </row>
    <row r="92">
      <c r="A92" s="43" t="inlineStr">
        <is>
          <t>INV-2026-0088</t>
        </is>
      </c>
      <c r="B92" s="53" t="n">
        <v>46220</v>
      </c>
      <c r="C92" s="43" t="inlineStr">
        <is>
          <t>C004</t>
        </is>
      </c>
      <c r="D92" s="52">
        <f>IF(tblInv[[#This Row],[كود العميل]]="","",IFERROR(INDEX(tblCustomers[اسم العميل],MATCH(tblInv[[#This Row],[كود العميل]],tblCustomers[كود العميل],0)),"⚠ كود غير موجود"))</f>
        <v/>
      </c>
      <c r="E92" s="54" t="n">
        <v>23500</v>
      </c>
      <c r="F92" s="49">
        <f>ROUND(tblInv[[#This Row],[المبلغ قبل الضريبة]]*VatRate,2)</f>
        <v/>
      </c>
      <c r="G92" s="48">
        <f>tblInv[[#This Row],[المبلغ قبل الضريبة]]+tblInv[[#This Row],[الضريبة]]</f>
        <v/>
      </c>
      <c r="H92" s="55">
        <f>IFERROR(IF(INDEX(tblCustomers[مدة السداد],MATCH(tblInv[[#This Row],[كود العميل]],tblCustomers[كود العميل],0))="",DefaultTerms,INDEX(tblCustomers[مدة السداد],MATCH(tblInv[[#This Row],[كود العميل]],tblCustomers[كود العميل],0))),DefaultTerms)</f>
        <v/>
      </c>
      <c r="I92" s="56">
        <f>tblInv[[#This Row],[تاريخ الفاتورة]]+tblInv[[#This Row],[مدة السداد]]</f>
        <v/>
      </c>
      <c r="J92" s="49">
        <f>SUMIFS(tblRec[المبلغ],tblRec[رقم الفاتورة],tblInv[[#This Row],[رقم الفاتورة]],tblRec[التاريخ],"&lt;="&amp;AsOf)</f>
        <v/>
      </c>
      <c r="K92" s="48">
        <f>IF(tblInv[[#This Row],[تاريخ الفاتورة]]&gt;AsOf,0,ROUND(tblInv[[#This Row],[الإجمالي]]-tblInv[[#This Row],[المحصّل]],2))</f>
        <v/>
      </c>
      <c r="L92" s="56">
        <f>IF(AgingBasis="من تاريخ الفاتورة",tblInv[[#This Row],[تاريخ الفاتورة]],tblInv[[#This Row],[تاريخ الاستحقاق]])</f>
        <v/>
      </c>
      <c r="M92" s="57">
        <f>IF(tblInv[[#This Row],[المتبقي]]&lt;=0,0,MAX(0,AsOf-tblInv[[#This Row],[تاريخ الأساس]]))</f>
        <v/>
      </c>
      <c r="N9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2" s="44" t="n"/>
      <c r="Q9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2" s="52">
        <f>IF(AND(tblInv[[#This Row],[كود العميل]]=StCust,tblInv[[#This Row],[تاريخ الفاتورة]]&gt;=StFrom,tblInv[[#This Row],[تاريخ الفاتورة]]&lt;=StTo),tblInv[[#This Row],[تاريخ الفاتورة]]*100000+ROW(),"")</f>
        <v/>
      </c>
      <c r="S92" s="52">
        <f>IF(tblInv[[#This Row],[مفتاح الكشف]]="","",COUNTIF(tblInv[مفتاح الكشف],"&lt;"&amp;tblInv[[#This Row],[مفتاح الكشف]])+COUNTIF(tblRec[مفتاح الكشف],"&lt;"&amp;tblInv[[#This Row],[مفتاح الكشف]])+1)</f>
        <v/>
      </c>
    </row>
    <row r="93">
      <c r="A93" s="43" t="inlineStr">
        <is>
          <t>INV-2026-0089</t>
        </is>
      </c>
      <c r="B93" s="53" t="n">
        <v>46225</v>
      </c>
      <c r="C93" s="43" t="inlineStr">
        <is>
          <t>C010</t>
        </is>
      </c>
      <c r="D93" s="52">
        <f>IF(tblInv[[#This Row],[كود العميل]]="","",IFERROR(INDEX(tblCustomers[اسم العميل],MATCH(tblInv[[#This Row],[كود العميل]],tblCustomers[كود العميل],0)),"⚠ كود غير موجود"))</f>
        <v/>
      </c>
      <c r="E93" s="54" t="n">
        <v>5750</v>
      </c>
      <c r="F93" s="49">
        <f>ROUND(tblInv[[#This Row],[المبلغ قبل الضريبة]]*VatRate,2)</f>
        <v/>
      </c>
      <c r="G93" s="48">
        <f>tblInv[[#This Row],[المبلغ قبل الضريبة]]+tblInv[[#This Row],[الضريبة]]</f>
        <v/>
      </c>
      <c r="H93" s="55">
        <f>IFERROR(IF(INDEX(tblCustomers[مدة السداد],MATCH(tblInv[[#This Row],[كود العميل]],tblCustomers[كود العميل],0))="",DefaultTerms,INDEX(tblCustomers[مدة السداد],MATCH(tblInv[[#This Row],[كود العميل]],tblCustomers[كود العميل],0))),DefaultTerms)</f>
        <v/>
      </c>
      <c r="I93" s="56">
        <f>tblInv[[#This Row],[تاريخ الفاتورة]]+tblInv[[#This Row],[مدة السداد]]</f>
        <v/>
      </c>
      <c r="J93" s="49">
        <f>SUMIFS(tblRec[المبلغ],tblRec[رقم الفاتورة],tblInv[[#This Row],[رقم الفاتورة]],tblRec[التاريخ],"&lt;="&amp;AsOf)</f>
        <v/>
      </c>
      <c r="K93" s="48">
        <f>IF(tblInv[[#This Row],[تاريخ الفاتورة]]&gt;AsOf,0,ROUND(tblInv[[#This Row],[الإجمالي]]-tblInv[[#This Row],[المحصّل]],2))</f>
        <v/>
      </c>
      <c r="L93" s="56">
        <f>IF(AgingBasis="من تاريخ الفاتورة",tblInv[[#This Row],[تاريخ الفاتورة]],tblInv[[#This Row],[تاريخ الاستحقاق]])</f>
        <v/>
      </c>
      <c r="M93" s="57">
        <f>IF(tblInv[[#This Row],[المتبقي]]&lt;=0,0,MAX(0,AsOf-tblInv[[#This Row],[تاريخ الأساس]]))</f>
        <v/>
      </c>
      <c r="N9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3" s="44" t="n"/>
      <c r="Q9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3" s="52">
        <f>IF(AND(tblInv[[#This Row],[كود العميل]]=StCust,tblInv[[#This Row],[تاريخ الفاتورة]]&gt;=StFrom,tblInv[[#This Row],[تاريخ الفاتورة]]&lt;=StTo),tblInv[[#This Row],[تاريخ الفاتورة]]*100000+ROW(),"")</f>
        <v/>
      </c>
      <c r="S93" s="52">
        <f>IF(tblInv[[#This Row],[مفتاح الكشف]]="","",COUNTIF(tblInv[مفتاح الكشف],"&lt;"&amp;tblInv[[#This Row],[مفتاح الكشف]])+COUNTIF(tblRec[مفتاح الكشف],"&lt;"&amp;tblInv[[#This Row],[مفتاح الكشف]])+1)</f>
        <v/>
      </c>
    </row>
    <row r="94">
      <c r="A94" s="43" t="inlineStr">
        <is>
          <t>INV-2026-0090</t>
        </is>
      </c>
      <c r="B94" s="53" t="n">
        <v>46225</v>
      </c>
      <c r="C94" s="43" t="inlineStr">
        <is>
          <t>C002</t>
        </is>
      </c>
      <c r="D94" s="52">
        <f>IF(tblInv[[#This Row],[كود العميل]]="","",IFERROR(INDEX(tblCustomers[اسم العميل],MATCH(tblInv[[#This Row],[كود العميل]],tblCustomers[كود العميل],0)),"⚠ كود غير موجود"))</f>
        <v/>
      </c>
      <c r="E94" s="54" t="n">
        <v>10550</v>
      </c>
      <c r="F94" s="49">
        <f>ROUND(tblInv[[#This Row],[المبلغ قبل الضريبة]]*VatRate,2)</f>
        <v/>
      </c>
      <c r="G94" s="48">
        <f>tblInv[[#This Row],[المبلغ قبل الضريبة]]+tblInv[[#This Row],[الضريبة]]</f>
        <v/>
      </c>
      <c r="H94" s="55">
        <f>IFERROR(IF(INDEX(tblCustomers[مدة السداد],MATCH(tblInv[[#This Row],[كود العميل]],tblCustomers[كود العميل],0))="",DefaultTerms,INDEX(tblCustomers[مدة السداد],MATCH(tblInv[[#This Row],[كود العميل]],tblCustomers[كود العميل],0))),DefaultTerms)</f>
        <v/>
      </c>
      <c r="I94" s="56">
        <f>tblInv[[#This Row],[تاريخ الفاتورة]]+tblInv[[#This Row],[مدة السداد]]</f>
        <v/>
      </c>
      <c r="J94" s="49">
        <f>SUMIFS(tblRec[المبلغ],tblRec[رقم الفاتورة],tblInv[[#This Row],[رقم الفاتورة]],tblRec[التاريخ],"&lt;="&amp;AsOf)</f>
        <v/>
      </c>
      <c r="K94" s="48">
        <f>IF(tblInv[[#This Row],[تاريخ الفاتورة]]&gt;AsOf,0,ROUND(tblInv[[#This Row],[الإجمالي]]-tblInv[[#This Row],[المحصّل]],2))</f>
        <v/>
      </c>
      <c r="L94" s="56">
        <f>IF(AgingBasis="من تاريخ الفاتورة",tblInv[[#This Row],[تاريخ الفاتورة]],tblInv[[#This Row],[تاريخ الاستحقاق]])</f>
        <v/>
      </c>
      <c r="M94" s="57">
        <f>IF(tblInv[[#This Row],[المتبقي]]&lt;=0,0,MAX(0,AsOf-tblInv[[#This Row],[تاريخ الأساس]]))</f>
        <v/>
      </c>
      <c r="N9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4" s="44" t="n"/>
      <c r="Q9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4" s="52">
        <f>IF(AND(tblInv[[#This Row],[كود العميل]]=StCust,tblInv[[#This Row],[تاريخ الفاتورة]]&gt;=StFrom,tblInv[[#This Row],[تاريخ الفاتورة]]&lt;=StTo),tblInv[[#This Row],[تاريخ الفاتورة]]*100000+ROW(),"")</f>
        <v/>
      </c>
      <c r="S94" s="52">
        <f>IF(tblInv[[#This Row],[مفتاح الكشف]]="","",COUNTIF(tblInv[مفتاح الكشف],"&lt;"&amp;tblInv[[#This Row],[مفتاح الكشف]])+COUNTIF(tblRec[مفتاح الكشف],"&lt;"&amp;tblInv[[#This Row],[مفتاح الكشف]])+1)</f>
        <v/>
      </c>
    </row>
    <row r="95">
      <c r="A95" s="43" t="inlineStr">
        <is>
          <t>INV-2026-0091</t>
        </is>
      </c>
      <c r="B95" s="53" t="n">
        <v>46227</v>
      </c>
      <c r="C95" s="43" t="inlineStr">
        <is>
          <t>C015</t>
        </is>
      </c>
      <c r="D95" s="52">
        <f>IF(tblInv[[#This Row],[كود العميل]]="","",IFERROR(INDEX(tblCustomers[اسم العميل],MATCH(tblInv[[#This Row],[كود العميل]],tblCustomers[كود العميل],0)),"⚠ كود غير موجود"))</f>
        <v/>
      </c>
      <c r="E95" s="54" t="n">
        <v>43250</v>
      </c>
      <c r="F95" s="49">
        <f>ROUND(tblInv[[#This Row],[المبلغ قبل الضريبة]]*VatRate,2)</f>
        <v/>
      </c>
      <c r="G95" s="48">
        <f>tblInv[[#This Row],[المبلغ قبل الضريبة]]+tblInv[[#This Row],[الضريبة]]</f>
        <v/>
      </c>
      <c r="H95" s="55">
        <f>IFERROR(IF(INDEX(tblCustomers[مدة السداد],MATCH(tblInv[[#This Row],[كود العميل]],tblCustomers[كود العميل],0))="",DefaultTerms,INDEX(tblCustomers[مدة السداد],MATCH(tblInv[[#This Row],[كود العميل]],tblCustomers[كود العميل],0))),DefaultTerms)</f>
        <v/>
      </c>
      <c r="I95" s="56">
        <f>tblInv[[#This Row],[تاريخ الفاتورة]]+tblInv[[#This Row],[مدة السداد]]</f>
        <v/>
      </c>
      <c r="J95" s="49">
        <f>SUMIFS(tblRec[المبلغ],tblRec[رقم الفاتورة],tblInv[[#This Row],[رقم الفاتورة]],tblRec[التاريخ],"&lt;="&amp;AsOf)</f>
        <v/>
      </c>
      <c r="K95" s="48">
        <f>IF(tblInv[[#This Row],[تاريخ الفاتورة]]&gt;AsOf,0,ROUND(tblInv[[#This Row],[الإجمالي]]-tblInv[[#This Row],[المحصّل]],2))</f>
        <v/>
      </c>
      <c r="L95" s="56">
        <f>IF(AgingBasis="من تاريخ الفاتورة",tblInv[[#This Row],[تاريخ الفاتورة]],tblInv[[#This Row],[تاريخ الاستحقاق]])</f>
        <v/>
      </c>
      <c r="M95" s="57">
        <f>IF(tblInv[[#This Row],[المتبقي]]&lt;=0,0,MAX(0,AsOf-tblInv[[#This Row],[تاريخ الأساس]]))</f>
        <v/>
      </c>
      <c r="N9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5" s="44" t="inlineStr">
        <is>
          <t>تم إرسال خطاب مطالبة</t>
        </is>
      </c>
      <c r="Q9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5" s="52">
        <f>IF(AND(tblInv[[#This Row],[كود العميل]]=StCust,tblInv[[#This Row],[تاريخ الفاتورة]]&gt;=StFrom,tblInv[[#This Row],[تاريخ الفاتورة]]&lt;=StTo),tblInv[[#This Row],[تاريخ الفاتورة]]*100000+ROW(),"")</f>
        <v/>
      </c>
      <c r="S95" s="52">
        <f>IF(tblInv[[#This Row],[مفتاح الكشف]]="","",COUNTIF(tblInv[مفتاح الكشف],"&lt;"&amp;tblInv[[#This Row],[مفتاح الكشف]])+COUNTIF(tblRec[مفتاح الكشف],"&lt;"&amp;tblInv[[#This Row],[مفتاح الكشف]])+1)</f>
        <v/>
      </c>
    </row>
    <row r="96">
      <c r="A96" s="43" t="inlineStr">
        <is>
          <t>INV-2026-0092</t>
        </is>
      </c>
      <c r="B96" s="53" t="n">
        <v>46231</v>
      </c>
      <c r="C96" s="43" t="inlineStr">
        <is>
          <t>C015</t>
        </is>
      </c>
      <c r="D96" s="52">
        <f>IF(tblInv[[#This Row],[كود العميل]]="","",IFERROR(INDEX(tblCustomers[اسم العميل],MATCH(tblInv[[#This Row],[كود العميل]],tblCustomers[كود العميل],0)),"⚠ كود غير موجود"))</f>
        <v/>
      </c>
      <c r="E96" s="54" t="n">
        <v>32050</v>
      </c>
      <c r="F96" s="49">
        <f>ROUND(tblInv[[#This Row],[المبلغ قبل الضريبة]]*VatRate,2)</f>
        <v/>
      </c>
      <c r="G96" s="48">
        <f>tblInv[[#This Row],[المبلغ قبل الضريبة]]+tblInv[[#This Row],[الضريبة]]</f>
        <v/>
      </c>
      <c r="H96" s="55">
        <f>IFERROR(IF(INDEX(tblCustomers[مدة السداد],MATCH(tblInv[[#This Row],[كود العميل]],tblCustomers[كود العميل],0))="",DefaultTerms,INDEX(tblCustomers[مدة السداد],MATCH(tblInv[[#This Row],[كود العميل]],tblCustomers[كود العميل],0))),DefaultTerms)</f>
        <v/>
      </c>
      <c r="I96" s="56">
        <f>tblInv[[#This Row],[تاريخ الفاتورة]]+tblInv[[#This Row],[مدة السداد]]</f>
        <v/>
      </c>
      <c r="J96" s="49">
        <f>SUMIFS(tblRec[المبلغ],tblRec[رقم الفاتورة],tblInv[[#This Row],[رقم الفاتورة]],tblRec[التاريخ],"&lt;="&amp;AsOf)</f>
        <v/>
      </c>
      <c r="K96" s="48">
        <f>IF(tblInv[[#This Row],[تاريخ الفاتورة]]&gt;AsOf,0,ROUND(tblInv[[#This Row],[الإجمالي]]-tblInv[[#This Row],[المحصّل]],2))</f>
        <v/>
      </c>
      <c r="L96" s="56">
        <f>IF(AgingBasis="من تاريخ الفاتورة",tblInv[[#This Row],[تاريخ الفاتورة]],tblInv[[#This Row],[تاريخ الاستحقاق]])</f>
        <v/>
      </c>
      <c r="M96" s="57">
        <f>IF(tblInv[[#This Row],[المتبقي]]&lt;=0,0,MAX(0,AsOf-tblInv[[#This Row],[تاريخ الأساس]]))</f>
        <v/>
      </c>
      <c r="N9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6" s="44" t="n"/>
      <c r="Q9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6" s="52">
        <f>IF(AND(tblInv[[#This Row],[كود العميل]]=StCust,tblInv[[#This Row],[تاريخ الفاتورة]]&gt;=StFrom,tblInv[[#This Row],[تاريخ الفاتورة]]&lt;=StTo),tblInv[[#This Row],[تاريخ الفاتورة]]*100000+ROW(),"")</f>
        <v/>
      </c>
      <c r="S96" s="52">
        <f>IF(tblInv[[#This Row],[مفتاح الكشف]]="","",COUNTIF(tblInv[مفتاح الكشف],"&lt;"&amp;tblInv[[#This Row],[مفتاح الكشف]])+COUNTIF(tblRec[مفتاح الكشف],"&lt;"&amp;tblInv[[#This Row],[مفتاح الكشف]])+1)</f>
        <v/>
      </c>
    </row>
    <row r="97">
      <c r="A97" s="43" t="inlineStr">
        <is>
          <t>INV-2026-0093</t>
        </is>
      </c>
      <c r="B97" s="53" t="n">
        <v>46232</v>
      </c>
      <c r="C97" s="43" t="inlineStr">
        <is>
          <t>C008</t>
        </is>
      </c>
      <c r="D97" s="52">
        <f>IF(tblInv[[#This Row],[كود العميل]]="","",IFERROR(INDEX(tblCustomers[اسم العميل],MATCH(tblInv[[#This Row],[كود العميل]],tblCustomers[كود العميل],0)),"⚠ كود غير موجود"))</f>
        <v/>
      </c>
      <c r="E97" s="54" t="n">
        <v>36300</v>
      </c>
      <c r="F97" s="49">
        <f>ROUND(tblInv[[#This Row],[المبلغ قبل الضريبة]]*VatRate,2)</f>
        <v/>
      </c>
      <c r="G97" s="48">
        <f>tblInv[[#This Row],[المبلغ قبل الضريبة]]+tblInv[[#This Row],[الضريبة]]</f>
        <v/>
      </c>
      <c r="H97" s="55">
        <f>IFERROR(IF(INDEX(tblCustomers[مدة السداد],MATCH(tblInv[[#This Row],[كود العميل]],tblCustomers[كود العميل],0))="",DefaultTerms,INDEX(tblCustomers[مدة السداد],MATCH(tblInv[[#This Row],[كود العميل]],tblCustomers[كود العميل],0))),DefaultTerms)</f>
        <v/>
      </c>
      <c r="I97" s="56">
        <f>tblInv[[#This Row],[تاريخ الفاتورة]]+tblInv[[#This Row],[مدة السداد]]</f>
        <v/>
      </c>
      <c r="J97" s="49">
        <f>SUMIFS(tblRec[المبلغ],tblRec[رقم الفاتورة],tblInv[[#This Row],[رقم الفاتورة]],tblRec[التاريخ],"&lt;="&amp;AsOf)</f>
        <v/>
      </c>
      <c r="K97" s="48">
        <f>IF(tblInv[[#This Row],[تاريخ الفاتورة]]&gt;AsOf,0,ROUND(tblInv[[#This Row],[الإجمالي]]-tblInv[[#This Row],[المحصّل]],2))</f>
        <v/>
      </c>
      <c r="L97" s="56">
        <f>IF(AgingBasis="من تاريخ الفاتورة",tblInv[[#This Row],[تاريخ الفاتورة]],tblInv[[#This Row],[تاريخ الاستحقاق]])</f>
        <v/>
      </c>
      <c r="M97" s="57">
        <f>IF(tblInv[[#This Row],[المتبقي]]&lt;=0,0,MAX(0,AsOf-tblInv[[#This Row],[تاريخ الأساس]]))</f>
        <v/>
      </c>
      <c r="N9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7" s="44" t="n"/>
      <c r="Q9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7" s="52">
        <f>IF(AND(tblInv[[#This Row],[كود العميل]]=StCust,tblInv[[#This Row],[تاريخ الفاتورة]]&gt;=StFrom,tblInv[[#This Row],[تاريخ الفاتورة]]&lt;=StTo),tblInv[[#This Row],[تاريخ الفاتورة]]*100000+ROW(),"")</f>
        <v/>
      </c>
      <c r="S97" s="52">
        <f>IF(tblInv[[#This Row],[مفتاح الكشف]]="","",COUNTIF(tblInv[مفتاح الكشف],"&lt;"&amp;tblInv[[#This Row],[مفتاح الكشف]])+COUNTIF(tblRec[مفتاح الكشف],"&lt;"&amp;tblInv[[#This Row],[مفتاح الكشف]])+1)</f>
        <v/>
      </c>
    </row>
    <row r="98">
      <c r="A98" s="43" t="inlineStr">
        <is>
          <t>INV-2026-0094</t>
        </is>
      </c>
      <c r="B98" s="53" t="n">
        <v>46234</v>
      </c>
      <c r="C98" s="43" t="inlineStr">
        <is>
          <t>C011</t>
        </is>
      </c>
      <c r="D98" s="52">
        <f>IF(tblInv[[#This Row],[كود العميل]]="","",IFERROR(INDEX(tblCustomers[اسم العميل],MATCH(tblInv[[#This Row],[كود العميل]],tblCustomers[كود العميل],0)),"⚠ كود غير موجود"))</f>
        <v/>
      </c>
      <c r="E98" s="54" t="n">
        <v>36800</v>
      </c>
      <c r="F98" s="49">
        <f>ROUND(tblInv[[#This Row],[المبلغ قبل الضريبة]]*VatRate,2)</f>
        <v/>
      </c>
      <c r="G98" s="48">
        <f>tblInv[[#This Row],[المبلغ قبل الضريبة]]+tblInv[[#This Row],[الضريبة]]</f>
        <v/>
      </c>
      <c r="H98" s="55">
        <f>IFERROR(IF(INDEX(tblCustomers[مدة السداد],MATCH(tblInv[[#This Row],[كود العميل]],tblCustomers[كود العميل],0))="",DefaultTerms,INDEX(tblCustomers[مدة السداد],MATCH(tblInv[[#This Row],[كود العميل]],tblCustomers[كود العميل],0))),DefaultTerms)</f>
        <v/>
      </c>
      <c r="I98" s="56">
        <f>tblInv[[#This Row],[تاريخ الفاتورة]]+tblInv[[#This Row],[مدة السداد]]</f>
        <v/>
      </c>
      <c r="J98" s="49">
        <f>SUMIFS(tblRec[المبلغ],tblRec[رقم الفاتورة],tblInv[[#This Row],[رقم الفاتورة]],tblRec[التاريخ],"&lt;="&amp;AsOf)</f>
        <v/>
      </c>
      <c r="K98" s="48">
        <f>IF(tblInv[[#This Row],[تاريخ الفاتورة]]&gt;AsOf,0,ROUND(tblInv[[#This Row],[الإجمالي]]-tblInv[[#This Row],[المحصّل]],2))</f>
        <v/>
      </c>
      <c r="L98" s="56">
        <f>IF(AgingBasis="من تاريخ الفاتورة",tblInv[[#This Row],[تاريخ الفاتورة]],tblInv[[#This Row],[تاريخ الاستحقاق]])</f>
        <v/>
      </c>
      <c r="M98" s="57">
        <f>IF(tblInv[[#This Row],[المتبقي]]&lt;=0,0,MAX(0,AsOf-tblInv[[#This Row],[تاريخ الأساس]]))</f>
        <v/>
      </c>
      <c r="N9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8" s="44" t="n"/>
      <c r="Q9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8" s="52">
        <f>IF(AND(tblInv[[#This Row],[كود العميل]]=StCust,tblInv[[#This Row],[تاريخ الفاتورة]]&gt;=StFrom,tblInv[[#This Row],[تاريخ الفاتورة]]&lt;=StTo),tblInv[[#This Row],[تاريخ الفاتورة]]*100000+ROW(),"")</f>
        <v/>
      </c>
      <c r="S98" s="52">
        <f>IF(tblInv[[#This Row],[مفتاح الكشف]]="","",COUNTIF(tblInv[مفتاح الكشف],"&lt;"&amp;tblInv[[#This Row],[مفتاح الكشف]])+COUNTIF(tblRec[مفتاح الكشف],"&lt;"&amp;tblInv[[#This Row],[مفتاح الكشف]])+1)</f>
        <v/>
      </c>
    </row>
    <row r="99">
      <c r="A99" s="43" t="inlineStr">
        <is>
          <t>INV-2026-0095</t>
        </is>
      </c>
      <c r="B99" s="53" t="n">
        <v>46235</v>
      </c>
      <c r="C99" s="43" t="inlineStr">
        <is>
          <t>C006</t>
        </is>
      </c>
      <c r="D99" s="52">
        <f>IF(tblInv[[#This Row],[كود العميل]]="","",IFERROR(INDEX(tblCustomers[اسم العميل],MATCH(tblInv[[#This Row],[كود العميل]],tblCustomers[كود العميل],0)),"⚠ كود غير موجود"))</f>
        <v/>
      </c>
      <c r="E99" s="54" t="n">
        <v>9000</v>
      </c>
      <c r="F99" s="49">
        <f>ROUND(tblInv[[#This Row],[المبلغ قبل الضريبة]]*VatRate,2)</f>
        <v/>
      </c>
      <c r="G99" s="48">
        <f>tblInv[[#This Row],[المبلغ قبل الضريبة]]+tblInv[[#This Row],[الضريبة]]</f>
        <v/>
      </c>
      <c r="H99" s="55">
        <f>IFERROR(IF(INDEX(tblCustomers[مدة السداد],MATCH(tblInv[[#This Row],[كود العميل]],tblCustomers[كود العميل],0))="",DefaultTerms,INDEX(tblCustomers[مدة السداد],MATCH(tblInv[[#This Row],[كود العميل]],tblCustomers[كود العميل],0))),DefaultTerms)</f>
        <v/>
      </c>
      <c r="I99" s="56">
        <f>tblInv[[#This Row],[تاريخ الفاتورة]]+tblInv[[#This Row],[مدة السداد]]</f>
        <v/>
      </c>
      <c r="J99" s="49">
        <f>SUMIFS(tblRec[المبلغ],tblRec[رقم الفاتورة],tblInv[[#This Row],[رقم الفاتورة]],tblRec[التاريخ],"&lt;="&amp;AsOf)</f>
        <v/>
      </c>
      <c r="K99" s="48">
        <f>IF(tblInv[[#This Row],[تاريخ الفاتورة]]&gt;AsOf,0,ROUND(tblInv[[#This Row],[الإجمالي]]-tblInv[[#This Row],[المحصّل]],2))</f>
        <v/>
      </c>
      <c r="L99" s="56">
        <f>IF(AgingBasis="من تاريخ الفاتورة",tblInv[[#This Row],[تاريخ الفاتورة]],tblInv[[#This Row],[تاريخ الاستحقاق]])</f>
        <v/>
      </c>
      <c r="M99" s="57">
        <f>IF(tblInv[[#This Row],[المتبقي]]&lt;=0,0,MAX(0,AsOf-tblInv[[#This Row],[تاريخ الأساس]]))</f>
        <v/>
      </c>
      <c r="N9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9" s="44" t="n"/>
      <c r="Q9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9" s="52">
        <f>IF(AND(tblInv[[#This Row],[كود العميل]]=StCust,tblInv[[#This Row],[تاريخ الفاتورة]]&gt;=StFrom,tblInv[[#This Row],[تاريخ الفاتورة]]&lt;=StTo),tblInv[[#This Row],[تاريخ الفاتورة]]*100000+ROW(),"")</f>
        <v/>
      </c>
      <c r="S99" s="52">
        <f>IF(tblInv[[#This Row],[مفتاح الكشف]]="","",COUNTIF(tblInv[مفتاح الكشف],"&lt;"&amp;tblInv[[#This Row],[مفتاح الكشف]])+COUNTIF(tblRec[مفتاح الكشف],"&lt;"&amp;tblInv[[#This Row],[مفتاح الكشف]])+1)</f>
        <v/>
      </c>
    </row>
    <row r="100">
      <c r="A100" s="43" t="inlineStr">
        <is>
          <t>INV-2026-0096</t>
        </is>
      </c>
      <c r="B100" s="53" t="n">
        <v>46236</v>
      </c>
      <c r="C100" s="43" t="inlineStr">
        <is>
          <t>C013</t>
        </is>
      </c>
      <c r="D100" s="52">
        <f>IF(tblInv[[#This Row],[كود العميل]]="","",IFERROR(INDEX(tblCustomers[اسم العميل],MATCH(tblInv[[#This Row],[كود العميل]],tblCustomers[كود العميل],0)),"⚠ كود غير موجود"))</f>
        <v/>
      </c>
      <c r="E100" s="54" t="n">
        <v>31950</v>
      </c>
      <c r="F100" s="49">
        <f>ROUND(tblInv[[#This Row],[المبلغ قبل الضريبة]]*VatRate,2)</f>
        <v/>
      </c>
      <c r="G100" s="48">
        <f>tblInv[[#This Row],[المبلغ قبل الضريبة]]+tblInv[[#This Row],[الضريبة]]</f>
        <v/>
      </c>
      <c r="H100" s="55">
        <f>IFERROR(IF(INDEX(tblCustomers[مدة السداد],MATCH(tblInv[[#This Row],[كود العميل]],tblCustomers[كود العميل],0))="",DefaultTerms,INDEX(tblCustomers[مدة السداد],MATCH(tblInv[[#This Row],[كود العميل]],tblCustomers[كود العميل],0))),DefaultTerms)</f>
        <v/>
      </c>
      <c r="I100" s="56">
        <f>tblInv[[#This Row],[تاريخ الفاتورة]]+tblInv[[#This Row],[مدة السداد]]</f>
        <v/>
      </c>
      <c r="J100" s="49">
        <f>SUMIFS(tblRec[المبلغ],tblRec[رقم الفاتورة],tblInv[[#This Row],[رقم الفاتورة]],tblRec[التاريخ],"&lt;="&amp;AsOf)</f>
        <v/>
      </c>
      <c r="K100" s="48">
        <f>IF(tblInv[[#This Row],[تاريخ الفاتورة]]&gt;AsOf,0,ROUND(tblInv[[#This Row],[الإجمالي]]-tblInv[[#This Row],[المحصّل]],2))</f>
        <v/>
      </c>
      <c r="L100" s="56">
        <f>IF(AgingBasis="من تاريخ الفاتورة",tblInv[[#This Row],[تاريخ الفاتورة]],tblInv[[#This Row],[تاريخ الاستحقاق]])</f>
        <v/>
      </c>
      <c r="M100" s="57">
        <f>IF(tblInv[[#This Row],[المتبقي]]&lt;=0,0,MAX(0,AsOf-tblInv[[#This Row],[تاريخ الأساس]]))</f>
        <v/>
      </c>
      <c r="N10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0" s="44" t="n"/>
      <c r="Q10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0" s="52">
        <f>IF(AND(tblInv[[#This Row],[كود العميل]]=StCust,tblInv[[#This Row],[تاريخ الفاتورة]]&gt;=StFrom,tblInv[[#This Row],[تاريخ الفاتورة]]&lt;=StTo),tblInv[[#This Row],[تاريخ الفاتورة]]*100000+ROW(),"")</f>
        <v/>
      </c>
      <c r="S100" s="52">
        <f>IF(tblInv[[#This Row],[مفتاح الكشف]]="","",COUNTIF(tblInv[مفتاح الكشف],"&lt;"&amp;tblInv[[#This Row],[مفتاح الكشف]])+COUNTIF(tblRec[مفتاح الكشف],"&lt;"&amp;tblInv[[#This Row],[مفتاح الكشف]])+1)</f>
        <v/>
      </c>
    </row>
    <row r="101">
      <c r="A101" s="43" t="inlineStr">
        <is>
          <t>INV-2026-0097</t>
        </is>
      </c>
      <c r="B101" s="53" t="n">
        <v>46239</v>
      </c>
      <c r="C101" s="43" t="inlineStr">
        <is>
          <t>C009</t>
        </is>
      </c>
      <c r="D101" s="52">
        <f>IF(tblInv[[#This Row],[كود العميل]]="","",IFERROR(INDEX(tblCustomers[اسم العميل],MATCH(tblInv[[#This Row],[كود العميل]],tblCustomers[كود العميل],0)),"⚠ كود غير موجود"))</f>
        <v/>
      </c>
      <c r="E101" s="54" t="n">
        <v>26150</v>
      </c>
      <c r="F101" s="49">
        <f>ROUND(tblInv[[#This Row],[المبلغ قبل الضريبة]]*VatRate,2)</f>
        <v/>
      </c>
      <c r="G101" s="48">
        <f>tblInv[[#This Row],[المبلغ قبل الضريبة]]+tblInv[[#This Row],[الضريبة]]</f>
        <v/>
      </c>
      <c r="H101" s="55">
        <f>IFERROR(IF(INDEX(tblCustomers[مدة السداد],MATCH(tblInv[[#This Row],[كود العميل]],tblCustomers[كود العميل],0))="",DefaultTerms,INDEX(tblCustomers[مدة السداد],MATCH(tblInv[[#This Row],[كود العميل]],tblCustomers[كود العميل],0))),DefaultTerms)</f>
        <v/>
      </c>
      <c r="I101" s="56">
        <f>tblInv[[#This Row],[تاريخ الفاتورة]]+tblInv[[#This Row],[مدة السداد]]</f>
        <v/>
      </c>
      <c r="J101" s="49">
        <f>SUMIFS(tblRec[المبلغ],tblRec[رقم الفاتورة],tblInv[[#This Row],[رقم الفاتورة]],tblRec[التاريخ],"&lt;="&amp;AsOf)</f>
        <v/>
      </c>
      <c r="K101" s="48">
        <f>IF(tblInv[[#This Row],[تاريخ الفاتورة]]&gt;AsOf,0,ROUND(tblInv[[#This Row],[الإجمالي]]-tblInv[[#This Row],[المحصّل]],2))</f>
        <v/>
      </c>
      <c r="L101" s="56">
        <f>IF(AgingBasis="من تاريخ الفاتورة",tblInv[[#This Row],[تاريخ الفاتورة]],tblInv[[#This Row],[تاريخ الاستحقاق]])</f>
        <v/>
      </c>
      <c r="M101" s="57">
        <f>IF(tblInv[[#This Row],[المتبقي]]&lt;=0,0,MAX(0,AsOf-tblInv[[#This Row],[تاريخ الأساس]]))</f>
        <v/>
      </c>
      <c r="N10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1" s="44" t="n"/>
      <c r="Q10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1" s="52">
        <f>IF(AND(tblInv[[#This Row],[كود العميل]]=StCust,tblInv[[#This Row],[تاريخ الفاتورة]]&gt;=StFrom,tblInv[[#This Row],[تاريخ الفاتورة]]&lt;=StTo),tblInv[[#This Row],[تاريخ الفاتورة]]*100000+ROW(),"")</f>
        <v/>
      </c>
      <c r="S101" s="52">
        <f>IF(tblInv[[#This Row],[مفتاح الكشف]]="","",COUNTIF(tblInv[مفتاح الكشف],"&lt;"&amp;tblInv[[#This Row],[مفتاح الكشف]])+COUNTIF(tblRec[مفتاح الكشف],"&lt;"&amp;tblInv[[#This Row],[مفتاح الكشف]])+1)</f>
        <v/>
      </c>
    </row>
    <row r="102">
      <c r="A102" s="43" t="inlineStr">
        <is>
          <t>INV-2026-0098</t>
        </is>
      </c>
      <c r="B102" s="53" t="n">
        <v>46247</v>
      </c>
      <c r="C102" s="43" t="inlineStr">
        <is>
          <t>C001</t>
        </is>
      </c>
      <c r="D102" s="52">
        <f>IF(tblInv[[#This Row],[كود العميل]]="","",IFERROR(INDEX(tblCustomers[اسم العميل],MATCH(tblInv[[#This Row],[كود العميل]],tblCustomers[كود العميل],0)),"⚠ كود غير موجود"))</f>
        <v/>
      </c>
      <c r="E102" s="54" t="n">
        <v>43050</v>
      </c>
      <c r="F102" s="49">
        <f>ROUND(tblInv[[#This Row],[المبلغ قبل الضريبة]]*VatRate,2)</f>
        <v/>
      </c>
      <c r="G102" s="48">
        <f>tblInv[[#This Row],[المبلغ قبل الضريبة]]+tblInv[[#This Row],[الضريبة]]</f>
        <v/>
      </c>
      <c r="H102" s="55">
        <f>IFERROR(IF(INDEX(tblCustomers[مدة السداد],MATCH(tblInv[[#This Row],[كود العميل]],tblCustomers[كود العميل],0))="",DefaultTerms,INDEX(tblCustomers[مدة السداد],MATCH(tblInv[[#This Row],[كود العميل]],tblCustomers[كود العميل],0))),DefaultTerms)</f>
        <v/>
      </c>
      <c r="I102" s="56">
        <f>tblInv[[#This Row],[تاريخ الفاتورة]]+tblInv[[#This Row],[مدة السداد]]</f>
        <v/>
      </c>
      <c r="J102" s="49">
        <f>SUMIFS(tblRec[المبلغ],tblRec[رقم الفاتورة],tblInv[[#This Row],[رقم الفاتورة]],tblRec[التاريخ],"&lt;="&amp;AsOf)</f>
        <v/>
      </c>
      <c r="K102" s="48">
        <f>IF(tblInv[[#This Row],[تاريخ الفاتورة]]&gt;AsOf,0,ROUND(tblInv[[#This Row],[الإجمالي]]-tblInv[[#This Row],[المحصّل]],2))</f>
        <v/>
      </c>
      <c r="L102" s="56">
        <f>IF(AgingBasis="من تاريخ الفاتورة",tblInv[[#This Row],[تاريخ الفاتورة]],tblInv[[#This Row],[تاريخ الاستحقاق]])</f>
        <v/>
      </c>
      <c r="M102" s="57">
        <f>IF(tblInv[[#This Row],[المتبقي]]&lt;=0,0,MAX(0,AsOf-tblInv[[#This Row],[تاريخ الأساس]]))</f>
        <v/>
      </c>
      <c r="N10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2" s="44" t="inlineStr">
        <is>
          <t>سداد جزئي — الباقي متفق عليه الشهر الجاي</t>
        </is>
      </c>
      <c r="Q10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2" s="52">
        <f>IF(AND(tblInv[[#This Row],[كود العميل]]=StCust,tblInv[[#This Row],[تاريخ الفاتورة]]&gt;=StFrom,tblInv[[#This Row],[تاريخ الفاتورة]]&lt;=StTo),tblInv[[#This Row],[تاريخ الفاتورة]]*100000+ROW(),"")</f>
        <v/>
      </c>
      <c r="S102" s="52">
        <f>IF(tblInv[[#This Row],[مفتاح الكشف]]="","",COUNTIF(tblInv[مفتاح الكشف],"&lt;"&amp;tblInv[[#This Row],[مفتاح الكشف]])+COUNTIF(tblRec[مفتاح الكشف],"&lt;"&amp;tblInv[[#This Row],[مفتاح الكشف]])+1)</f>
        <v/>
      </c>
    </row>
    <row r="103">
      <c r="A103" s="43" t="inlineStr">
        <is>
          <t>INV-2026-0099</t>
        </is>
      </c>
      <c r="B103" s="53" t="n">
        <v>46250</v>
      </c>
      <c r="C103" s="43" t="inlineStr">
        <is>
          <t>C001</t>
        </is>
      </c>
      <c r="D103" s="52">
        <f>IF(tblInv[[#This Row],[كود العميل]]="","",IFERROR(INDEX(tblCustomers[اسم العميل],MATCH(tblInv[[#This Row],[كود العميل]],tblCustomers[كود العميل],0)),"⚠ كود غير موجود"))</f>
        <v/>
      </c>
      <c r="E103" s="54" t="n">
        <v>14550</v>
      </c>
      <c r="F103" s="49">
        <f>ROUND(tblInv[[#This Row],[المبلغ قبل الضريبة]]*VatRate,2)</f>
        <v/>
      </c>
      <c r="G103" s="48">
        <f>tblInv[[#This Row],[المبلغ قبل الضريبة]]+tblInv[[#This Row],[الضريبة]]</f>
        <v/>
      </c>
      <c r="H103" s="55">
        <f>IFERROR(IF(INDEX(tblCustomers[مدة السداد],MATCH(tblInv[[#This Row],[كود العميل]],tblCustomers[كود العميل],0))="",DefaultTerms,INDEX(tblCustomers[مدة السداد],MATCH(tblInv[[#This Row],[كود العميل]],tblCustomers[كود العميل],0))),DefaultTerms)</f>
        <v/>
      </c>
      <c r="I103" s="56">
        <f>tblInv[[#This Row],[تاريخ الفاتورة]]+tblInv[[#This Row],[مدة السداد]]</f>
        <v/>
      </c>
      <c r="J103" s="49">
        <f>SUMIFS(tblRec[المبلغ],tblRec[رقم الفاتورة],tblInv[[#This Row],[رقم الفاتورة]],tblRec[التاريخ],"&lt;="&amp;AsOf)</f>
        <v/>
      </c>
      <c r="K103" s="48">
        <f>IF(tblInv[[#This Row],[تاريخ الفاتورة]]&gt;AsOf,0,ROUND(tblInv[[#This Row],[الإجمالي]]-tblInv[[#This Row],[المحصّل]],2))</f>
        <v/>
      </c>
      <c r="L103" s="56">
        <f>IF(AgingBasis="من تاريخ الفاتورة",tblInv[[#This Row],[تاريخ الفاتورة]],tblInv[[#This Row],[تاريخ الاستحقاق]])</f>
        <v/>
      </c>
      <c r="M103" s="57">
        <f>IF(tblInv[[#This Row],[المتبقي]]&lt;=0,0,MAX(0,AsOf-tblInv[[#This Row],[تاريخ الأساس]]))</f>
        <v/>
      </c>
      <c r="N10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3" s="44" t="n"/>
      <c r="Q10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3" s="52">
        <f>IF(AND(tblInv[[#This Row],[كود العميل]]=StCust,tblInv[[#This Row],[تاريخ الفاتورة]]&gt;=StFrom,tblInv[[#This Row],[تاريخ الفاتورة]]&lt;=StTo),tblInv[[#This Row],[تاريخ الفاتورة]]*100000+ROW(),"")</f>
        <v/>
      </c>
      <c r="S103" s="52">
        <f>IF(tblInv[[#This Row],[مفتاح الكشف]]="","",COUNTIF(tblInv[مفتاح الكشف],"&lt;"&amp;tblInv[[#This Row],[مفتاح الكشف]])+COUNTIF(tblRec[مفتاح الكشف],"&lt;"&amp;tblInv[[#This Row],[مفتاح الكشف]])+1)</f>
        <v/>
      </c>
    </row>
    <row r="104">
      <c r="A104" s="43" t="inlineStr">
        <is>
          <t>INV-2026-0100</t>
        </is>
      </c>
      <c r="B104" s="53" t="n">
        <v>46251</v>
      </c>
      <c r="C104" s="43" t="inlineStr">
        <is>
          <t>C002</t>
        </is>
      </c>
      <c r="D104" s="52">
        <f>IF(tblInv[[#This Row],[كود العميل]]="","",IFERROR(INDEX(tblCustomers[اسم العميل],MATCH(tblInv[[#This Row],[كود العميل]],tblCustomers[كود العميل],0)),"⚠ كود غير موجود"))</f>
        <v/>
      </c>
      <c r="E104" s="54" t="n">
        <v>27550</v>
      </c>
      <c r="F104" s="49">
        <f>ROUND(tblInv[[#This Row],[المبلغ قبل الضريبة]]*VatRate,2)</f>
        <v/>
      </c>
      <c r="G104" s="48">
        <f>tblInv[[#This Row],[المبلغ قبل الضريبة]]+tblInv[[#This Row],[الضريبة]]</f>
        <v/>
      </c>
      <c r="H104" s="55">
        <f>IFERROR(IF(INDEX(tblCustomers[مدة السداد],MATCH(tblInv[[#This Row],[كود العميل]],tblCustomers[كود العميل],0))="",DefaultTerms,INDEX(tblCustomers[مدة السداد],MATCH(tblInv[[#This Row],[كود العميل]],tblCustomers[كود العميل],0))),DefaultTerms)</f>
        <v/>
      </c>
      <c r="I104" s="56">
        <f>tblInv[[#This Row],[تاريخ الفاتورة]]+tblInv[[#This Row],[مدة السداد]]</f>
        <v/>
      </c>
      <c r="J104" s="49">
        <f>SUMIFS(tblRec[المبلغ],tblRec[رقم الفاتورة],tblInv[[#This Row],[رقم الفاتورة]],tblRec[التاريخ],"&lt;="&amp;AsOf)</f>
        <v/>
      </c>
      <c r="K104" s="48">
        <f>IF(tblInv[[#This Row],[تاريخ الفاتورة]]&gt;AsOf,0,ROUND(tblInv[[#This Row],[الإجمالي]]-tblInv[[#This Row],[المحصّل]],2))</f>
        <v/>
      </c>
      <c r="L104" s="56">
        <f>IF(AgingBasis="من تاريخ الفاتورة",tblInv[[#This Row],[تاريخ الفاتورة]],tblInv[[#This Row],[تاريخ الاستحقاق]])</f>
        <v/>
      </c>
      <c r="M104" s="57">
        <f>IF(tblInv[[#This Row],[المتبقي]]&lt;=0,0,MAX(0,AsOf-tblInv[[#This Row],[تاريخ الأساس]]))</f>
        <v/>
      </c>
      <c r="N10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4" s="44" t="inlineStr">
        <is>
          <t>مرتجع جزئي تحت المراجعة</t>
        </is>
      </c>
      <c r="Q10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4" s="52">
        <f>IF(AND(tblInv[[#This Row],[كود العميل]]=StCust,tblInv[[#This Row],[تاريخ الفاتورة]]&gt;=StFrom,tblInv[[#This Row],[تاريخ الفاتورة]]&lt;=StTo),tblInv[[#This Row],[تاريخ الفاتورة]]*100000+ROW(),"")</f>
        <v/>
      </c>
      <c r="S104" s="52">
        <f>IF(tblInv[[#This Row],[مفتاح الكشف]]="","",COUNTIF(tblInv[مفتاح الكشف],"&lt;"&amp;tblInv[[#This Row],[مفتاح الكشف]])+COUNTIF(tblRec[مفتاح الكشف],"&lt;"&amp;tblInv[[#This Row],[مفتاح الكشف]])+1)</f>
        <v/>
      </c>
    </row>
    <row r="105">
      <c r="A105" s="43" t="inlineStr">
        <is>
          <t>INV-2026-0101</t>
        </is>
      </c>
      <c r="B105" s="53" t="n">
        <v>46255</v>
      </c>
      <c r="C105" s="43" t="inlineStr">
        <is>
          <t>C009</t>
        </is>
      </c>
      <c r="D105" s="52">
        <f>IF(tblInv[[#This Row],[كود العميل]]="","",IFERROR(INDEX(tblCustomers[اسم العميل],MATCH(tblInv[[#This Row],[كود العميل]],tblCustomers[كود العميل],0)),"⚠ كود غير موجود"))</f>
        <v/>
      </c>
      <c r="E105" s="54" t="n">
        <v>27600</v>
      </c>
      <c r="F105" s="49">
        <f>ROUND(tblInv[[#This Row],[المبلغ قبل الضريبة]]*VatRate,2)</f>
        <v/>
      </c>
      <c r="G105" s="48">
        <f>tblInv[[#This Row],[المبلغ قبل الضريبة]]+tblInv[[#This Row],[الضريبة]]</f>
        <v/>
      </c>
      <c r="H105" s="55">
        <f>IFERROR(IF(INDEX(tblCustomers[مدة السداد],MATCH(tblInv[[#This Row],[كود العميل]],tblCustomers[كود العميل],0))="",DefaultTerms,INDEX(tblCustomers[مدة السداد],MATCH(tblInv[[#This Row],[كود العميل]],tblCustomers[كود العميل],0))),DefaultTerms)</f>
        <v/>
      </c>
      <c r="I105" s="56">
        <f>tblInv[[#This Row],[تاريخ الفاتورة]]+tblInv[[#This Row],[مدة السداد]]</f>
        <v/>
      </c>
      <c r="J105" s="49">
        <f>SUMIFS(tblRec[المبلغ],tblRec[رقم الفاتورة],tblInv[[#This Row],[رقم الفاتورة]],tblRec[التاريخ],"&lt;="&amp;AsOf)</f>
        <v/>
      </c>
      <c r="K105" s="48">
        <f>IF(tblInv[[#This Row],[تاريخ الفاتورة]]&gt;AsOf,0,ROUND(tblInv[[#This Row],[الإجمالي]]-tblInv[[#This Row],[المحصّل]],2))</f>
        <v/>
      </c>
      <c r="L105" s="56">
        <f>IF(AgingBasis="من تاريخ الفاتورة",tblInv[[#This Row],[تاريخ الفاتورة]],tblInv[[#This Row],[تاريخ الاستحقاق]])</f>
        <v/>
      </c>
      <c r="M105" s="57">
        <f>IF(tblInv[[#This Row],[المتبقي]]&lt;=0,0,MAX(0,AsOf-tblInv[[#This Row],[تاريخ الأساس]]))</f>
        <v/>
      </c>
      <c r="N10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5" s="44" t="n"/>
      <c r="Q10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5" s="52">
        <f>IF(AND(tblInv[[#This Row],[كود العميل]]=StCust,tblInv[[#This Row],[تاريخ الفاتورة]]&gt;=StFrom,tblInv[[#This Row],[تاريخ الفاتورة]]&lt;=StTo),tblInv[[#This Row],[تاريخ الفاتورة]]*100000+ROW(),"")</f>
        <v/>
      </c>
      <c r="S105" s="52">
        <f>IF(tblInv[[#This Row],[مفتاح الكشف]]="","",COUNTIF(tblInv[مفتاح الكشف],"&lt;"&amp;tblInv[[#This Row],[مفتاح الكشف]])+COUNTIF(tblRec[مفتاح الكشف],"&lt;"&amp;tblInv[[#This Row],[مفتاح الكشف]])+1)</f>
        <v/>
      </c>
    </row>
    <row r="106">
      <c r="A106" s="43" t="inlineStr">
        <is>
          <t>INV-2026-0102</t>
        </is>
      </c>
      <c r="B106" s="53" t="n">
        <v>46258</v>
      </c>
      <c r="C106" s="43" t="inlineStr">
        <is>
          <t>C011</t>
        </is>
      </c>
      <c r="D106" s="52">
        <f>IF(tblInv[[#This Row],[كود العميل]]="","",IFERROR(INDEX(tblCustomers[اسم العميل],MATCH(tblInv[[#This Row],[كود العميل]],tblCustomers[كود العميل],0)),"⚠ كود غير موجود"))</f>
        <v/>
      </c>
      <c r="E106" s="54" t="n">
        <v>37750</v>
      </c>
      <c r="F106" s="49">
        <f>ROUND(tblInv[[#This Row],[المبلغ قبل الضريبة]]*VatRate,2)</f>
        <v/>
      </c>
      <c r="G106" s="48">
        <f>tblInv[[#This Row],[المبلغ قبل الضريبة]]+tblInv[[#This Row],[الضريبة]]</f>
        <v/>
      </c>
      <c r="H106" s="55">
        <f>IFERROR(IF(INDEX(tblCustomers[مدة السداد],MATCH(tblInv[[#This Row],[كود العميل]],tblCustomers[كود العميل],0))="",DefaultTerms,INDEX(tblCustomers[مدة السداد],MATCH(tblInv[[#This Row],[كود العميل]],tblCustomers[كود العميل],0))),DefaultTerms)</f>
        <v/>
      </c>
      <c r="I106" s="56">
        <f>tblInv[[#This Row],[تاريخ الفاتورة]]+tblInv[[#This Row],[مدة السداد]]</f>
        <v/>
      </c>
      <c r="J106" s="49">
        <f>SUMIFS(tblRec[المبلغ],tblRec[رقم الفاتورة],tblInv[[#This Row],[رقم الفاتورة]],tblRec[التاريخ],"&lt;="&amp;AsOf)</f>
        <v/>
      </c>
      <c r="K106" s="48">
        <f>IF(tblInv[[#This Row],[تاريخ الفاتورة]]&gt;AsOf,0,ROUND(tblInv[[#This Row],[الإجمالي]]-tblInv[[#This Row],[المحصّل]],2))</f>
        <v/>
      </c>
      <c r="L106" s="56">
        <f>IF(AgingBasis="من تاريخ الفاتورة",tblInv[[#This Row],[تاريخ الفاتورة]],tblInv[[#This Row],[تاريخ الاستحقاق]])</f>
        <v/>
      </c>
      <c r="M106" s="57">
        <f>IF(tblInv[[#This Row],[المتبقي]]&lt;=0,0,MAX(0,AsOf-tblInv[[#This Row],[تاريخ الأساس]]))</f>
        <v/>
      </c>
      <c r="N10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6" s="44" t="n"/>
      <c r="Q10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6" s="52">
        <f>IF(AND(tblInv[[#This Row],[كود العميل]]=StCust,tblInv[[#This Row],[تاريخ الفاتورة]]&gt;=StFrom,tblInv[[#This Row],[تاريخ الفاتورة]]&lt;=StTo),tblInv[[#This Row],[تاريخ الفاتورة]]*100000+ROW(),"")</f>
        <v/>
      </c>
      <c r="S106" s="52">
        <f>IF(tblInv[[#This Row],[مفتاح الكشف]]="","",COUNTIF(tblInv[مفتاح الكشف],"&lt;"&amp;tblInv[[#This Row],[مفتاح الكشف]])+COUNTIF(tblRec[مفتاح الكشف],"&lt;"&amp;tblInv[[#This Row],[مفتاح الكشف]])+1)</f>
        <v/>
      </c>
    </row>
    <row r="107">
      <c r="A107" s="43" t="inlineStr">
        <is>
          <t>INV-2026-0103</t>
        </is>
      </c>
      <c r="B107" s="53" t="n">
        <v>46259</v>
      </c>
      <c r="C107" s="43" t="inlineStr">
        <is>
          <t>C010</t>
        </is>
      </c>
      <c r="D107" s="52">
        <f>IF(tblInv[[#This Row],[كود العميل]]="","",IFERROR(INDEX(tblCustomers[اسم العميل],MATCH(tblInv[[#This Row],[كود العميل]],tblCustomers[كود العميل],0)),"⚠ كود غير موجود"))</f>
        <v/>
      </c>
      <c r="E107" s="54" t="n">
        <v>5850</v>
      </c>
      <c r="F107" s="49">
        <f>ROUND(tblInv[[#This Row],[المبلغ قبل الضريبة]]*VatRate,2)</f>
        <v/>
      </c>
      <c r="G107" s="48">
        <f>tblInv[[#This Row],[المبلغ قبل الضريبة]]+tblInv[[#This Row],[الضريبة]]</f>
        <v/>
      </c>
      <c r="H107" s="55">
        <f>IFERROR(IF(INDEX(tblCustomers[مدة السداد],MATCH(tblInv[[#This Row],[كود العميل]],tblCustomers[كود العميل],0))="",DefaultTerms,INDEX(tblCustomers[مدة السداد],MATCH(tblInv[[#This Row],[كود العميل]],tblCustomers[كود العميل],0))),DefaultTerms)</f>
        <v/>
      </c>
      <c r="I107" s="56">
        <f>tblInv[[#This Row],[تاريخ الفاتورة]]+tblInv[[#This Row],[مدة السداد]]</f>
        <v/>
      </c>
      <c r="J107" s="49">
        <f>SUMIFS(tblRec[المبلغ],tblRec[رقم الفاتورة],tblInv[[#This Row],[رقم الفاتورة]],tblRec[التاريخ],"&lt;="&amp;AsOf)</f>
        <v/>
      </c>
      <c r="K107" s="48">
        <f>IF(tblInv[[#This Row],[تاريخ الفاتورة]]&gt;AsOf,0,ROUND(tblInv[[#This Row],[الإجمالي]]-tblInv[[#This Row],[المحصّل]],2))</f>
        <v/>
      </c>
      <c r="L107" s="56">
        <f>IF(AgingBasis="من تاريخ الفاتورة",tblInv[[#This Row],[تاريخ الفاتورة]],tblInv[[#This Row],[تاريخ الاستحقاق]])</f>
        <v/>
      </c>
      <c r="M107" s="57">
        <f>IF(tblInv[[#This Row],[المتبقي]]&lt;=0,0,MAX(0,AsOf-tblInv[[#This Row],[تاريخ الأساس]]))</f>
        <v/>
      </c>
      <c r="N10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7" s="44" t="n"/>
      <c r="Q10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7" s="52">
        <f>IF(AND(tblInv[[#This Row],[كود العميل]]=StCust,tblInv[[#This Row],[تاريخ الفاتورة]]&gt;=StFrom,tblInv[[#This Row],[تاريخ الفاتورة]]&lt;=StTo),tblInv[[#This Row],[تاريخ الفاتورة]]*100000+ROW(),"")</f>
        <v/>
      </c>
      <c r="S107" s="52">
        <f>IF(tblInv[[#This Row],[مفتاح الكشف]]="","",COUNTIF(tblInv[مفتاح الكشف],"&lt;"&amp;tblInv[[#This Row],[مفتاح الكشف]])+COUNTIF(tblRec[مفتاح الكشف],"&lt;"&amp;tblInv[[#This Row],[مفتاح الكشف]])+1)</f>
        <v/>
      </c>
    </row>
    <row r="108">
      <c r="A108" s="43" t="inlineStr">
        <is>
          <t>INV-2026-0104</t>
        </is>
      </c>
      <c r="B108" s="53" t="n">
        <v>46259</v>
      </c>
      <c r="C108" s="43" t="inlineStr">
        <is>
          <t>C001</t>
        </is>
      </c>
      <c r="D108" s="52">
        <f>IF(tblInv[[#This Row],[كود العميل]]="","",IFERROR(INDEX(tblCustomers[اسم العميل],MATCH(tblInv[[#This Row],[كود العميل]],tblCustomers[كود العميل],0)),"⚠ كود غير موجود"))</f>
        <v/>
      </c>
      <c r="E108" s="54" t="n">
        <v>40050</v>
      </c>
      <c r="F108" s="49">
        <f>ROUND(tblInv[[#This Row],[المبلغ قبل الضريبة]]*VatRate,2)</f>
        <v/>
      </c>
      <c r="G108" s="48">
        <f>tblInv[[#This Row],[المبلغ قبل الضريبة]]+tblInv[[#This Row],[الضريبة]]</f>
        <v/>
      </c>
      <c r="H108" s="55">
        <f>IFERROR(IF(INDEX(tblCustomers[مدة السداد],MATCH(tblInv[[#This Row],[كود العميل]],tblCustomers[كود العميل],0))="",DefaultTerms,INDEX(tblCustomers[مدة السداد],MATCH(tblInv[[#This Row],[كود العميل]],tblCustomers[كود العميل],0))),DefaultTerms)</f>
        <v/>
      </c>
      <c r="I108" s="56">
        <f>tblInv[[#This Row],[تاريخ الفاتورة]]+tblInv[[#This Row],[مدة السداد]]</f>
        <v/>
      </c>
      <c r="J108" s="49">
        <f>SUMIFS(tblRec[المبلغ],tblRec[رقم الفاتورة],tblInv[[#This Row],[رقم الفاتورة]],tblRec[التاريخ],"&lt;="&amp;AsOf)</f>
        <v/>
      </c>
      <c r="K108" s="48">
        <f>IF(tblInv[[#This Row],[تاريخ الفاتورة]]&gt;AsOf,0,ROUND(tblInv[[#This Row],[الإجمالي]]-tblInv[[#This Row],[المحصّل]],2))</f>
        <v/>
      </c>
      <c r="L108" s="56">
        <f>IF(AgingBasis="من تاريخ الفاتورة",tblInv[[#This Row],[تاريخ الفاتورة]],tblInv[[#This Row],[تاريخ الاستحقاق]])</f>
        <v/>
      </c>
      <c r="M108" s="57">
        <f>IF(tblInv[[#This Row],[المتبقي]]&lt;=0,0,MAX(0,AsOf-tblInv[[#This Row],[تاريخ الأساس]]))</f>
        <v/>
      </c>
      <c r="N10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8" s="44" t="n"/>
      <c r="Q10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8" s="52">
        <f>IF(AND(tblInv[[#This Row],[كود العميل]]=StCust,tblInv[[#This Row],[تاريخ الفاتورة]]&gt;=StFrom,tblInv[[#This Row],[تاريخ الفاتورة]]&lt;=StTo),tblInv[[#This Row],[تاريخ الفاتورة]]*100000+ROW(),"")</f>
        <v/>
      </c>
      <c r="S108" s="52">
        <f>IF(tblInv[[#This Row],[مفتاح الكشف]]="","",COUNTIF(tblInv[مفتاح الكشف],"&lt;"&amp;tblInv[[#This Row],[مفتاح الكشف]])+COUNTIF(tblRec[مفتاح الكشف],"&lt;"&amp;tblInv[[#This Row],[مفتاح الكشف]])+1)</f>
        <v/>
      </c>
    </row>
    <row r="109">
      <c r="A109" s="43" t="inlineStr">
        <is>
          <t>INV-2026-0105</t>
        </is>
      </c>
      <c r="B109" s="53" t="n">
        <v>46259</v>
      </c>
      <c r="C109" s="43" t="inlineStr">
        <is>
          <t>C001</t>
        </is>
      </c>
      <c r="D109" s="52">
        <f>IF(tblInv[[#This Row],[كود العميل]]="","",IFERROR(INDEX(tblCustomers[اسم العميل],MATCH(tblInv[[#This Row],[كود العميل]],tblCustomers[كود العميل],0)),"⚠ كود غير موجود"))</f>
        <v/>
      </c>
      <c r="E109" s="54" t="n">
        <v>3450</v>
      </c>
      <c r="F109" s="49">
        <f>ROUND(tblInv[[#This Row],[المبلغ قبل الضريبة]]*VatRate,2)</f>
        <v/>
      </c>
      <c r="G109" s="48">
        <f>tblInv[[#This Row],[المبلغ قبل الضريبة]]+tblInv[[#This Row],[الضريبة]]</f>
        <v/>
      </c>
      <c r="H109" s="55">
        <f>IFERROR(IF(INDEX(tblCustomers[مدة السداد],MATCH(tblInv[[#This Row],[كود العميل]],tblCustomers[كود العميل],0))="",DefaultTerms,INDEX(tblCustomers[مدة السداد],MATCH(tblInv[[#This Row],[كود العميل]],tblCustomers[كود العميل],0))),DefaultTerms)</f>
        <v/>
      </c>
      <c r="I109" s="56">
        <f>tblInv[[#This Row],[تاريخ الفاتورة]]+tblInv[[#This Row],[مدة السداد]]</f>
        <v/>
      </c>
      <c r="J109" s="49">
        <f>SUMIFS(tblRec[المبلغ],tblRec[رقم الفاتورة],tblInv[[#This Row],[رقم الفاتورة]],tblRec[التاريخ],"&lt;="&amp;AsOf)</f>
        <v/>
      </c>
      <c r="K109" s="48">
        <f>IF(tblInv[[#This Row],[تاريخ الفاتورة]]&gt;AsOf,0,ROUND(tblInv[[#This Row],[الإجمالي]]-tblInv[[#This Row],[المحصّل]],2))</f>
        <v/>
      </c>
      <c r="L109" s="56">
        <f>IF(AgingBasis="من تاريخ الفاتورة",tblInv[[#This Row],[تاريخ الفاتورة]],tblInv[[#This Row],[تاريخ الاستحقاق]])</f>
        <v/>
      </c>
      <c r="M109" s="57">
        <f>IF(tblInv[[#This Row],[المتبقي]]&lt;=0,0,MAX(0,AsOf-tblInv[[#This Row],[تاريخ الأساس]]))</f>
        <v/>
      </c>
      <c r="N10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9" s="44" t="n"/>
      <c r="Q10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9" s="52">
        <f>IF(AND(tblInv[[#This Row],[كود العميل]]=StCust,tblInv[[#This Row],[تاريخ الفاتورة]]&gt;=StFrom,tblInv[[#This Row],[تاريخ الفاتورة]]&lt;=StTo),tblInv[[#This Row],[تاريخ الفاتورة]]*100000+ROW(),"")</f>
        <v/>
      </c>
      <c r="S109" s="52">
        <f>IF(tblInv[[#This Row],[مفتاح الكشف]]="","",COUNTIF(tblInv[مفتاح الكشف],"&lt;"&amp;tblInv[[#This Row],[مفتاح الكشف]])+COUNTIF(tblRec[مفتاح الكشف],"&lt;"&amp;tblInv[[#This Row],[مفتاح الكشف]])+1)</f>
        <v/>
      </c>
    </row>
    <row r="110">
      <c r="A110" s="43" t="inlineStr">
        <is>
          <t>INV-2026-0106</t>
        </is>
      </c>
      <c r="B110" s="53" t="n">
        <v>46262</v>
      </c>
      <c r="C110" s="43" t="inlineStr">
        <is>
          <t>C011</t>
        </is>
      </c>
      <c r="D110" s="52">
        <f>IF(tblInv[[#This Row],[كود العميل]]="","",IFERROR(INDEX(tblCustomers[اسم العميل],MATCH(tblInv[[#This Row],[كود العميل]],tblCustomers[كود العميل],0)),"⚠ كود غير موجود"))</f>
        <v/>
      </c>
      <c r="E110" s="54" t="n">
        <v>37650</v>
      </c>
      <c r="F110" s="49">
        <f>ROUND(tblInv[[#This Row],[المبلغ قبل الضريبة]]*VatRate,2)</f>
        <v/>
      </c>
      <c r="G110" s="48">
        <f>tblInv[[#This Row],[المبلغ قبل الضريبة]]+tblInv[[#This Row],[الضريبة]]</f>
        <v/>
      </c>
      <c r="H110" s="55">
        <f>IFERROR(IF(INDEX(tblCustomers[مدة السداد],MATCH(tblInv[[#This Row],[كود العميل]],tblCustomers[كود العميل],0))="",DefaultTerms,INDEX(tblCustomers[مدة السداد],MATCH(tblInv[[#This Row],[كود العميل]],tblCustomers[كود العميل],0))),DefaultTerms)</f>
        <v/>
      </c>
      <c r="I110" s="56">
        <f>tblInv[[#This Row],[تاريخ الفاتورة]]+tblInv[[#This Row],[مدة السداد]]</f>
        <v/>
      </c>
      <c r="J110" s="49">
        <f>SUMIFS(tblRec[المبلغ],tblRec[رقم الفاتورة],tblInv[[#This Row],[رقم الفاتورة]],tblRec[التاريخ],"&lt;="&amp;AsOf)</f>
        <v/>
      </c>
      <c r="K110" s="48">
        <f>IF(tblInv[[#This Row],[تاريخ الفاتورة]]&gt;AsOf,0,ROUND(tblInv[[#This Row],[الإجمالي]]-tblInv[[#This Row],[المحصّل]],2))</f>
        <v/>
      </c>
      <c r="L110" s="56">
        <f>IF(AgingBasis="من تاريخ الفاتورة",tblInv[[#This Row],[تاريخ الفاتورة]],tblInv[[#This Row],[تاريخ الاستحقاق]])</f>
        <v/>
      </c>
      <c r="M110" s="57">
        <f>IF(tblInv[[#This Row],[المتبقي]]&lt;=0,0,MAX(0,AsOf-tblInv[[#This Row],[تاريخ الأساس]]))</f>
        <v/>
      </c>
      <c r="N11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0" s="44" t="n"/>
      <c r="Q11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0" s="52">
        <f>IF(AND(tblInv[[#This Row],[كود العميل]]=StCust,tblInv[[#This Row],[تاريخ الفاتورة]]&gt;=StFrom,tblInv[[#This Row],[تاريخ الفاتورة]]&lt;=StTo),tblInv[[#This Row],[تاريخ الفاتورة]]*100000+ROW(),"")</f>
        <v/>
      </c>
      <c r="S110" s="52">
        <f>IF(tblInv[[#This Row],[مفتاح الكشف]]="","",COUNTIF(tblInv[مفتاح الكشف],"&lt;"&amp;tblInv[[#This Row],[مفتاح الكشف]])+COUNTIF(tblRec[مفتاح الكشف],"&lt;"&amp;tblInv[[#This Row],[مفتاح الكشف]])+1)</f>
        <v/>
      </c>
    </row>
    <row r="111">
      <c r="A111" s="43" t="inlineStr">
        <is>
          <t>INV-2026-0107</t>
        </is>
      </c>
      <c r="B111" s="53" t="n">
        <v>46263</v>
      </c>
      <c r="C111" s="43" t="inlineStr">
        <is>
          <t>C006</t>
        </is>
      </c>
      <c r="D111" s="52">
        <f>IF(tblInv[[#This Row],[كود العميل]]="","",IFERROR(INDEX(tblCustomers[اسم العميل],MATCH(tblInv[[#This Row],[كود العميل]],tblCustomers[كود العميل],0)),"⚠ كود غير موجود"))</f>
        <v/>
      </c>
      <c r="E111" s="54" t="n">
        <v>29250</v>
      </c>
      <c r="F111" s="49">
        <f>ROUND(tblInv[[#This Row],[المبلغ قبل الضريبة]]*VatRate,2)</f>
        <v/>
      </c>
      <c r="G111" s="48">
        <f>tblInv[[#This Row],[المبلغ قبل الضريبة]]+tblInv[[#This Row],[الضريبة]]</f>
        <v/>
      </c>
      <c r="H111" s="55">
        <f>IFERROR(IF(INDEX(tblCustomers[مدة السداد],MATCH(tblInv[[#This Row],[كود العميل]],tblCustomers[كود العميل],0))="",DefaultTerms,INDEX(tblCustomers[مدة السداد],MATCH(tblInv[[#This Row],[كود العميل]],tblCustomers[كود العميل],0))),DefaultTerms)</f>
        <v/>
      </c>
      <c r="I111" s="56">
        <f>tblInv[[#This Row],[تاريخ الفاتورة]]+tblInv[[#This Row],[مدة السداد]]</f>
        <v/>
      </c>
      <c r="J111" s="49">
        <f>SUMIFS(tblRec[المبلغ],tblRec[رقم الفاتورة],tblInv[[#This Row],[رقم الفاتورة]],tblRec[التاريخ],"&lt;="&amp;AsOf)</f>
        <v/>
      </c>
      <c r="K111" s="48">
        <f>IF(tblInv[[#This Row],[تاريخ الفاتورة]]&gt;AsOf,0,ROUND(tblInv[[#This Row],[الإجمالي]]-tblInv[[#This Row],[المحصّل]],2))</f>
        <v/>
      </c>
      <c r="L111" s="56">
        <f>IF(AgingBasis="من تاريخ الفاتورة",tblInv[[#This Row],[تاريخ الفاتورة]],tblInv[[#This Row],[تاريخ الاستحقاق]])</f>
        <v/>
      </c>
      <c r="M111" s="57">
        <f>IF(tblInv[[#This Row],[المتبقي]]&lt;=0,0,MAX(0,AsOf-tblInv[[#This Row],[تاريخ الأساس]]))</f>
        <v/>
      </c>
      <c r="N11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1" s="44" t="n"/>
      <c r="Q11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1" s="52">
        <f>IF(AND(tblInv[[#This Row],[كود العميل]]=StCust,tblInv[[#This Row],[تاريخ الفاتورة]]&gt;=StFrom,tblInv[[#This Row],[تاريخ الفاتورة]]&lt;=StTo),tblInv[[#This Row],[تاريخ الفاتورة]]*100000+ROW(),"")</f>
        <v/>
      </c>
      <c r="S111" s="52">
        <f>IF(tblInv[[#This Row],[مفتاح الكشف]]="","",COUNTIF(tblInv[مفتاح الكشف],"&lt;"&amp;tblInv[[#This Row],[مفتاح الكشف]])+COUNTIF(tblRec[مفتاح الكشف],"&lt;"&amp;tblInv[[#This Row],[مفتاح الكشف]])+1)</f>
        <v/>
      </c>
    </row>
    <row r="112">
      <c r="A112" s="43" t="inlineStr">
        <is>
          <t>INV-2026-0108</t>
        </is>
      </c>
      <c r="B112" s="53" t="n">
        <v>46263</v>
      </c>
      <c r="C112" s="43" t="inlineStr">
        <is>
          <t>C002</t>
        </is>
      </c>
      <c r="D112" s="52">
        <f>IF(tblInv[[#This Row],[كود العميل]]="","",IFERROR(INDEX(tblCustomers[اسم العميل],MATCH(tblInv[[#This Row],[كود العميل]],tblCustomers[كود العميل],0)),"⚠ كود غير موجود"))</f>
        <v/>
      </c>
      <c r="E112" s="54" t="n">
        <v>26050</v>
      </c>
      <c r="F112" s="49">
        <f>ROUND(tblInv[[#This Row],[المبلغ قبل الضريبة]]*VatRate,2)</f>
        <v/>
      </c>
      <c r="G112" s="48">
        <f>tblInv[[#This Row],[المبلغ قبل الضريبة]]+tblInv[[#This Row],[الضريبة]]</f>
        <v/>
      </c>
      <c r="H112" s="55">
        <f>IFERROR(IF(INDEX(tblCustomers[مدة السداد],MATCH(tblInv[[#This Row],[كود العميل]],tblCustomers[كود العميل],0))="",DefaultTerms,INDEX(tblCustomers[مدة السداد],MATCH(tblInv[[#This Row],[كود العميل]],tblCustomers[كود العميل],0))),DefaultTerms)</f>
        <v/>
      </c>
      <c r="I112" s="56">
        <f>tblInv[[#This Row],[تاريخ الفاتورة]]+tblInv[[#This Row],[مدة السداد]]</f>
        <v/>
      </c>
      <c r="J112" s="49">
        <f>SUMIFS(tblRec[المبلغ],tblRec[رقم الفاتورة],tblInv[[#This Row],[رقم الفاتورة]],tblRec[التاريخ],"&lt;="&amp;AsOf)</f>
        <v/>
      </c>
      <c r="K112" s="48">
        <f>IF(tblInv[[#This Row],[تاريخ الفاتورة]]&gt;AsOf,0,ROUND(tblInv[[#This Row],[الإجمالي]]-tblInv[[#This Row],[المحصّل]],2))</f>
        <v/>
      </c>
      <c r="L112" s="56">
        <f>IF(AgingBasis="من تاريخ الفاتورة",tblInv[[#This Row],[تاريخ الفاتورة]],tblInv[[#This Row],[تاريخ الاستحقاق]])</f>
        <v/>
      </c>
      <c r="M112" s="57">
        <f>IF(tblInv[[#This Row],[المتبقي]]&lt;=0,0,MAX(0,AsOf-tblInv[[#This Row],[تاريخ الأساس]]))</f>
        <v/>
      </c>
      <c r="N11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2" s="44" t="n"/>
      <c r="Q11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2" s="52">
        <f>IF(AND(tblInv[[#This Row],[كود العميل]]=StCust,tblInv[[#This Row],[تاريخ الفاتورة]]&gt;=StFrom,tblInv[[#This Row],[تاريخ الفاتورة]]&lt;=StTo),tblInv[[#This Row],[تاريخ الفاتورة]]*100000+ROW(),"")</f>
        <v/>
      </c>
      <c r="S112" s="52">
        <f>IF(tblInv[[#This Row],[مفتاح الكشف]]="","",COUNTIF(tblInv[مفتاح الكشف],"&lt;"&amp;tblInv[[#This Row],[مفتاح الكشف]])+COUNTIF(tblRec[مفتاح الكشف],"&lt;"&amp;tblInv[[#This Row],[مفتاح الكشف]])+1)</f>
        <v/>
      </c>
    </row>
    <row r="113">
      <c r="A113" s="43" t="inlineStr">
        <is>
          <t>INV-2026-0109</t>
        </is>
      </c>
      <c r="B113" s="53" t="n">
        <v>46265</v>
      </c>
      <c r="C113" s="43" t="inlineStr">
        <is>
          <t>C003</t>
        </is>
      </c>
      <c r="D113" s="52">
        <f>IF(tblInv[[#This Row],[كود العميل]]="","",IFERROR(INDEX(tblCustomers[اسم العميل],MATCH(tblInv[[#This Row],[كود العميل]],tblCustomers[كود العميل],0)),"⚠ كود غير موجود"))</f>
        <v/>
      </c>
      <c r="E113" s="54" t="n">
        <v>14750</v>
      </c>
      <c r="F113" s="49">
        <f>ROUND(tblInv[[#This Row],[المبلغ قبل الضريبة]]*VatRate,2)</f>
        <v/>
      </c>
      <c r="G113" s="48">
        <f>tblInv[[#This Row],[المبلغ قبل الضريبة]]+tblInv[[#This Row],[الضريبة]]</f>
        <v/>
      </c>
      <c r="H113" s="55">
        <f>IFERROR(IF(INDEX(tblCustomers[مدة السداد],MATCH(tblInv[[#This Row],[كود العميل]],tblCustomers[كود العميل],0))="",DefaultTerms,INDEX(tblCustomers[مدة السداد],MATCH(tblInv[[#This Row],[كود العميل]],tblCustomers[كود العميل],0))),DefaultTerms)</f>
        <v/>
      </c>
      <c r="I113" s="56">
        <f>tblInv[[#This Row],[تاريخ الفاتورة]]+tblInv[[#This Row],[مدة السداد]]</f>
        <v/>
      </c>
      <c r="J113" s="49">
        <f>SUMIFS(tblRec[المبلغ],tblRec[رقم الفاتورة],tblInv[[#This Row],[رقم الفاتورة]],tblRec[التاريخ],"&lt;="&amp;AsOf)</f>
        <v/>
      </c>
      <c r="K113" s="48">
        <f>IF(tblInv[[#This Row],[تاريخ الفاتورة]]&gt;AsOf,0,ROUND(tblInv[[#This Row],[الإجمالي]]-tblInv[[#This Row],[المحصّل]],2))</f>
        <v/>
      </c>
      <c r="L113" s="56">
        <f>IF(AgingBasis="من تاريخ الفاتورة",tblInv[[#This Row],[تاريخ الفاتورة]],tblInv[[#This Row],[تاريخ الاستحقاق]])</f>
        <v/>
      </c>
      <c r="M113" s="57">
        <f>IF(tblInv[[#This Row],[المتبقي]]&lt;=0,0,MAX(0,AsOf-tblInv[[#This Row],[تاريخ الأساس]]))</f>
        <v/>
      </c>
      <c r="N11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3" s="44" t="n"/>
      <c r="Q11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3" s="52">
        <f>IF(AND(tblInv[[#This Row],[كود العميل]]=StCust,tblInv[[#This Row],[تاريخ الفاتورة]]&gt;=StFrom,tblInv[[#This Row],[تاريخ الفاتورة]]&lt;=StTo),tblInv[[#This Row],[تاريخ الفاتورة]]*100000+ROW(),"")</f>
        <v/>
      </c>
      <c r="S113" s="52">
        <f>IF(tblInv[[#This Row],[مفتاح الكشف]]="","",COUNTIF(tblInv[مفتاح الكشف],"&lt;"&amp;tblInv[[#This Row],[مفتاح الكشف]])+COUNTIF(tblRec[مفتاح الكشف],"&lt;"&amp;tblInv[[#This Row],[مفتاح الكشف]])+1)</f>
        <v/>
      </c>
    </row>
    <row r="114">
      <c r="A114" s="43" t="inlineStr">
        <is>
          <t>INV-2026-0110</t>
        </is>
      </c>
      <c r="B114" s="53" t="n">
        <v>46268</v>
      </c>
      <c r="C114" s="43" t="inlineStr">
        <is>
          <t>C015</t>
        </is>
      </c>
      <c r="D114" s="52">
        <f>IF(tblInv[[#This Row],[كود العميل]]="","",IFERROR(INDEX(tblCustomers[اسم العميل],MATCH(tblInv[[#This Row],[كود العميل]],tblCustomers[كود العميل],0)),"⚠ كود غير موجود"))</f>
        <v/>
      </c>
      <c r="E114" s="54" t="n">
        <v>5600</v>
      </c>
      <c r="F114" s="49">
        <f>ROUND(tblInv[[#This Row],[المبلغ قبل الضريبة]]*VatRate,2)</f>
        <v/>
      </c>
      <c r="G114" s="48">
        <f>tblInv[[#This Row],[المبلغ قبل الضريبة]]+tblInv[[#This Row],[الضريبة]]</f>
        <v/>
      </c>
      <c r="H114" s="55">
        <f>IFERROR(IF(INDEX(tblCustomers[مدة السداد],MATCH(tblInv[[#This Row],[كود العميل]],tblCustomers[كود العميل],0))="",DefaultTerms,INDEX(tblCustomers[مدة السداد],MATCH(tblInv[[#This Row],[كود العميل]],tblCustomers[كود العميل],0))),DefaultTerms)</f>
        <v/>
      </c>
      <c r="I114" s="56">
        <f>tblInv[[#This Row],[تاريخ الفاتورة]]+tblInv[[#This Row],[مدة السداد]]</f>
        <v/>
      </c>
      <c r="J114" s="49">
        <f>SUMIFS(tblRec[المبلغ],tblRec[رقم الفاتورة],tblInv[[#This Row],[رقم الفاتورة]],tblRec[التاريخ],"&lt;="&amp;AsOf)</f>
        <v/>
      </c>
      <c r="K114" s="48">
        <f>IF(tblInv[[#This Row],[تاريخ الفاتورة]]&gt;AsOf,0,ROUND(tblInv[[#This Row],[الإجمالي]]-tblInv[[#This Row],[المحصّل]],2))</f>
        <v/>
      </c>
      <c r="L114" s="56">
        <f>IF(AgingBasis="من تاريخ الفاتورة",tblInv[[#This Row],[تاريخ الفاتورة]],tblInv[[#This Row],[تاريخ الاستحقاق]])</f>
        <v/>
      </c>
      <c r="M114" s="57">
        <f>IF(tblInv[[#This Row],[المتبقي]]&lt;=0,0,MAX(0,AsOf-tblInv[[#This Row],[تاريخ الأساس]]))</f>
        <v/>
      </c>
      <c r="N11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4" s="44" t="inlineStr">
        <is>
          <t>مرتجع جزئي تحت المراجعة</t>
        </is>
      </c>
      <c r="Q11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4" s="52">
        <f>IF(AND(tblInv[[#This Row],[كود العميل]]=StCust,tblInv[[#This Row],[تاريخ الفاتورة]]&gt;=StFrom,tblInv[[#This Row],[تاريخ الفاتورة]]&lt;=StTo),tblInv[[#This Row],[تاريخ الفاتورة]]*100000+ROW(),"")</f>
        <v/>
      </c>
      <c r="S114" s="52">
        <f>IF(tblInv[[#This Row],[مفتاح الكشف]]="","",COUNTIF(tblInv[مفتاح الكشف],"&lt;"&amp;tblInv[[#This Row],[مفتاح الكشف]])+COUNTIF(tblRec[مفتاح الكشف],"&lt;"&amp;tblInv[[#This Row],[مفتاح الكشف]])+1)</f>
        <v/>
      </c>
    </row>
    <row r="115">
      <c r="A115" s="43" t="inlineStr">
        <is>
          <t>INV-2026-0111</t>
        </is>
      </c>
      <c r="B115" s="53" t="n">
        <v>46271</v>
      </c>
      <c r="C115" s="43" t="inlineStr">
        <is>
          <t>C003</t>
        </is>
      </c>
      <c r="D115" s="52">
        <f>IF(tblInv[[#This Row],[كود العميل]]="","",IFERROR(INDEX(tblCustomers[اسم العميل],MATCH(tblInv[[#This Row],[كود العميل]],tblCustomers[كود العميل],0)),"⚠ كود غير موجود"))</f>
        <v/>
      </c>
      <c r="E115" s="54" t="n">
        <v>40500</v>
      </c>
      <c r="F115" s="49">
        <f>ROUND(tblInv[[#This Row],[المبلغ قبل الضريبة]]*VatRate,2)</f>
        <v/>
      </c>
      <c r="G115" s="48">
        <f>tblInv[[#This Row],[المبلغ قبل الضريبة]]+tblInv[[#This Row],[الضريبة]]</f>
        <v/>
      </c>
      <c r="H115" s="55">
        <f>IFERROR(IF(INDEX(tblCustomers[مدة السداد],MATCH(tblInv[[#This Row],[كود العميل]],tblCustomers[كود العميل],0))="",DefaultTerms,INDEX(tblCustomers[مدة السداد],MATCH(tblInv[[#This Row],[كود العميل]],tblCustomers[كود العميل],0))),DefaultTerms)</f>
        <v/>
      </c>
      <c r="I115" s="56">
        <f>tblInv[[#This Row],[تاريخ الفاتورة]]+tblInv[[#This Row],[مدة السداد]]</f>
        <v/>
      </c>
      <c r="J115" s="49">
        <f>SUMIFS(tblRec[المبلغ],tblRec[رقم الفاتورة],tblInv[[#This Row],[رقم الفاتورة]],tblRec[التاريخ],"&lt;="&amp;AsOf)</f>
        <v/>
      </c>
      <c r="K115" s="48">
        <f>IF(tblInv[[#This Row],[تاريخ الفاتورة]]&gt;AsOf,0,ROUND(tblInv[[#This Row],[الإجمالي]]-tblInv[[#This Row],[المحصّل]],2))</f>
        <v/>
      </c>
      <c r="L115" s="56">
        <f>IF(AgingBasis="من تاريخ الفاتورة",tblInv[[#This Row],[تاريخ الفاتورة]],tblInv[[#This Row],[تاريخ الاستحقاق]])</f>
        <v/>
      </c>
      <c r="M115" s="57">
        <f>IF(tblInv[[#This Row],[المتبقي]]&lt;=0,0,MAX(0,AsOf-tblInv[[#This Row],[تاريخ الأساس]]))</f>
        <v/>
      </c>
      <c r="N115"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5"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5" s="44" t="n"/>
      <c r="Q115"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5" s="52">
        <f>IF(AND(tblInv[[#This Row],[كود العميل]]=StCust,tblInv[[#This Row],[تاريخ الفاتورة]]&gt;=StFrom,tblInv[[#This Row],[تاريخ الفاتورة]]&lt;=StTo),tblInv[[#This Row],[تاريخ الفاتورة]]*100000+ROW(),"")</f>
        <v/>
      </c>
      <c r="S115" s="52">
        <f>IF(tblInv[[#This Row],[مفتاح الكشف]]="","",COUNTIF(tblInv[مفتاح الكشف],"&lt;"&amp;tblInv[[#This Row],[مفتاح الكشف]])+COUNTIF(tblRec[مفتاح الكشف],"&lt;"&amp;tblInv[[#This Row],[مفتاح الكشف]])+1)</f>
        <v/>
      </c>
    </row>
    <row r="116">
      <c r="A116" s="43" t="inlineStr">
        <is>
          <t>INV-2026-0112</t>
        </is>
      </c>
      <c r="B116" s="53" t="n">
        <v>46271</v>
      </c>
      <c r="C116" s="43" t="inlineStr">
        <is>
          <t>C005</t>
        </is>
      </c>
      <c r="D116" s="52">
        <f>IF(tblInv[[#This Row],[كود العميل]]="","",IFERROR(INDEX(tblCustomers[اسم العميل],MATCH(tblInv[[#This Row],[كود العميل]],tblCustomers[كود العميل],0)),"⚠ كود غير موجود"))</f>
        <v/>
      </c>
      <c r="E116" s="54" t="n">
        <v>22150</v>
      </c>
      <c r="F116" s="49">
        <f>ROUND(tblInv[[#This Row],[المبلغ قبل الضريبة]]*VatRate,2)</f>
        <v/>
      </c>
      <c r="G116" s="48">
        <f>tblInv[[#This Row],[المبلغ قبل الضريبة]]+tblInv[[#This Row],[الضريبة]]</f>
        <v/>
      </c>
      <c r="H116" s="55">
        <f>IFERROR(IF(INDEX(tblCustomers[مدة السداد],MATCH(tblInv[[#This Row],[كود العميل]],tblCustomers[كود العميل],0))="",DefaultTerms,INDEX(tblCustomers[مدة السداد],MATCH(tblInv[[#This Row],[كود العميل]],tblCustomers[كود العميل],0))),DefaultTerms)</f>
        <v/>
      </c>
      <c r="I116" s="56">
        <f>tblInv[[#This Row],[تاريخ الفاتورة]]+tblInv[[#This Row],[مدة السداد]]</f>
        <v/>
      </c>
      <c r="J116" s="49">
        <f>SUMIFS(tblRec[المبلغ],tblRec[رقم الفاتورة],tblInv[[#This Row],[رقم الفاتورة]],tblRec[التاريخ],"&lt;="&amp;AsOf)</f>
        <v/>
      </c>
      <c r="K116" s="48">
        <f>IF(tblInv[[#This Row],[تاريخ الفاتورة]]&gt;AsOf,0,ROUND(tblInv[[#This Row],[الإجمالي]]-tblInv[[#This Row],[المحصّل]],2))</f>
        <v/>
      </c>
      <c r="L116" s="56">
        <f>IF(AgingBasis="من تاريخ الفاتورة",tblInv[[#This Row],[تاريخ الفاتورة]],tblInv[[#This Row],[تاريخ الاستحقاق]])</f>
        <v/>
      </c>
      <c r="M116" s="57">
        <f>IF(tblInv[[#This Row],[المتبقي]]&lt;=0,0,MAX(0,AsOf-tblInv[[#This Row],[تاريخ الأساس]]))</f>
        <v/>
      </c>
      <c r="N116"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6"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6" s="44" t="n"/>
      <c r="Q116"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6" s="52">
        <f>IF(AND(tblInv[[#This Row],[كود العميل]]=StCust,tblInv[[#This Row],[تاريخ الفاتورة]]&gt;=StFrom,tblInv[[#This Row],[تاريخ الفاتورة]]&lt;=StTo),tblInv[[#This Row],[تاريخ الفاتورة]]*100000+ROW(),"")</f>
        <v/>
      </c>
      <c r="S116" s="52">
        <f>IF(tblInv[[#This Row],[مفتاح الكشف]]="","",COUNTIF(tblInv[مفتاح الكشف],"&lt;"&amp;tblInv[[#This Row],[مفتاح الكشف]])+COUNTIF(tblRec[مفتاح الكشف],"&lt;"&amp;tblInv[[#This Row],[مفتاح الكشف]])+1)</f>
        <v/>
      </c>
    </row>
    <row r="117">
      <c r="A117" s="43" t="inlineStr">
        <is>
          <t>INV-2026-0113</t>
        </is>
      </c>
      <c r="B117" s="53" t="n">
        <v>46274</v>
      </c>
      <c r="C117" s="43" t="inlineStr">
        <is>
          <t>C005</t>
        </is>
      </c>
      <c r="D117" s="52">
        <f>IF(tblInv[[#This Row],[كود العميل]]="","",IFERROR(INDEX(tblCustomers[اسم العميل],MATCH(tblInv[[#This Row],[كود العميل]],tblCustomers[كود العميل],0)),"⚠ كود غير موجود"))</f>
        <v/>
      </c>
      <c r="E117" s="54" t="n">
        <v>33850</v>
      </c>
      <c r="F117" s="49">
        <f>ROUND(tblInv[[#This Row],[المبلغ قبل الضريبة]]*VatRate,2)</f>
        <v/>
      </c>
      <c r="G117" s="48">
        <f>tblInv[[#This Row],[المبلغ قبل الضريبة]]+tblInv[[#This Row],[الضريبة]]</f>
        <v/>
      </c>
      <c r="H117" s="55">
        <f>IFERROR(IF(INDEX(tblCustomers[مدة السداد],MATCH(tblInv[[#This Row],[كود العميل]],tblCustomers[كود العميل],0))="",DefaultTerms,INDEX(tblCustomers[مدة السداد],MATCH(tblInv[[#This Row],[كود العميل]],tblCustomers[كود العميل],0))),DefaultTerms)</f>
        <v/>
      </c>
      <c r="I117" s="56">
        <f>tblInv[[#This Row],[تاريخ الفاتورة]]+tblInv[[#This Row],[مدة السداد]]</f>
        <v/>
      </c>
      <c r="J117" s="49">
        <f>SUMIFS(tblRec[المبلغ],tblRec[رقم الفاتورة],tblInv[[#This Row],[رقم الفاتورة]],tblRec[التاريخ],"&lt;="&amp;AsOf)</f>
        <v/>
      </c>
      <c r="K117" s="48">
        <f>IF(tblInv[[#This Row],[تاريخ الفاتورة]]&gt;AsOf,0,ROUND(tblInv[[#This Row],[الإجمالي]]-tblInv[[#This Row],[المحصّل]],2))</f>
        <v/>
      </c>
      <c r="L117" s="56">
        <f>IF(AgingBasis="من تاريخ الفاتورة",tblInv[[#This Row],[تاريخ الفاتورة]],tblInv[[#This Row],[تاريخ الاستحقاق]])</f>
        <v/>
      </c>
      <c r="M117" s="57">
        <f>IF(tblInv[[#This Row],[المتبقي]]&lt;=0,0,MAX(0,AsOf-tblInv[[#This Row],[تاريخ الأساس]]))</f>
        <v/>
      </c>
      <c r="N117"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7"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7" s="44" t="n"/>
      <c r="Q117"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7" s="52">
        <f>IF(AND(tblInv[[#This Row],[كود العميل]]=StCust,tblInv[[#This Row],[تاريخ الفاتورة]]&gt;=StFrom,tblInv[[#This Row],[تاريخ الفاتورة]]&lt;=StTo),tblInv[[#This Row],[تاريخ الفاتورة]]*100000+ROW(),"")</f>
        <v/>
      </c>
      <c r="S117" s="52">
        <f>IF(tblInv[[#This Row],[مفتاح الكشف]]="","",COUNTIF(tblInv[مفتاح الكشف],"&lt;"&amp;tblInv[[#This Row],[مفتاح الكشف]])+COUNTIF(tblRec[مفتاح الكشف],"&lt;"&amp;tblInv[[#This Row],[مفتاح الكشف]])+1)</f>
        <v/>
      </c>
    </row>
    <row r="118">
      <c r="A118" s="43" t="inlineStr">
        <is>
          <t>INV-2026-0114</t>
        </is>
      </c>
      <c r="B118" s="53" t="n">
        <v>46276</v>
      </c>
      <c r="C118" s="43" t="inlineStr">
        <is>
          <t>C006</t>
        </is>
      </c>
      <c r="D118" s="52">
        <f>IF(tblInv[[#This Row],[كود العميل]]="","",IFERROR(INDEX(tblCustomers[اسم العميل],MATCH(tblInv[[#This Row],[كود العميل]],tblCustomers[كود العميل],0)),"⚠ كود غير موجود"))</f>
        <v/>
      </c>
      <c r="E118" s="54" t="n">
        <v>16200</v>
      </c>
      <c r="F118" s="49">
        <f>ROUND(tblInv[[#This Row],[المبلغ قبل الضريبة]]*VatRate,2)</f>
        <v/>
      </c>
      <c r="G118" s="48">
        <f>tblInv[[#This Row],[المبلغ قبل الضريبة]]+tblInv[[#This Row],[الضريبة]]</f>
        <v/>
      </c>
      <c r="H118" s="55">
        <f>IFERROR(IF(INDEX(tblCustomers[مدة السداد],MATCH(tblInv[[#This Row],[كود العميل]],tblCustomers[كود العميل],0))="",DefaultTerms,INDEX(tblCustomers[مدة السداد],MATCH(tblInv[[#This Row],[كود العميل]],tblCustomers[كود العميل],0))),DefaultTerms)</f>
        <v/>
      </c>
      <c r="I118" s="56">
        <f>tblInv[[#This Row],[تاريخ الفاتورة]]+tblInv[[#This Row],[مدة السداد]]</f>
        <v/>
      </c>
      <c r="J118" s="49">
        <f>SUMIFS(tblRec[المبلغ],tblRec[رقم الفاتورة],tblInv[[#This Row],[رقم الفاتورة]],tblRec[التاريخ],"&lt;="&amp;AsOf)</f>
        <v/>
      </c>
      <c r="K118" s="48">
        <f>IF(tblInv[[#This Row],[تاريخ الفاتورة]]&gt;AsOf,0,ROUND(tblInv[[#This Row],[الإجمالي]]-tblInv[[#This Row],[المحصّل]],2))</f>
        <v/>
      </c>
      <c r="L118" s="56">
        <f>IF(AgingBasis="من تاريخ الفاتورة",tblInv[[#This Row],[تاريخ الفاتورة]],tblInv[[#This Row],[تاريخ الاستحقاق]])</f>
        <v/>
      </c>
      <c r="M118" s="57">
        <f>IF(tblInv[[#This Row],[المتبقي]]&lt;=0,0,MAX(0,AsOf-tblInv[[#This Row],[تاريخ الأساس]]))</f>
        <v/>
      </c>
      <c r="N118"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8"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8" s="44" t="n"/>
      <c r="Q118"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8" s="52">
        <f>IF(AND(tblInv[[#This Row],[كود العميل]]=StCust,tblInv[[#This Row],[تاريخ الفاتورة]]&gt;=StFrom,tblInv[[#This Row],[تاريخ الفاتورة]]&lt;=StTo),tblInv[[#This Row],[تاريخ الفاتورة]]*100000+ROW(),"")</f>
        <v/>
      </c>
      <c r="S118" s="52">
        <f>IF(tblInv[[#This Row],[مفتاح الكشف]]="","",COUNTIF(tblInv[مفتاح الكشف],"&lt;"&amp;tblInv[[#This Row],[مفتاح الكشف]])+COUNTIF(tblRec[مفتاح الكشف],"&lt;"&amp;tblInv[[#This Row],[مفتاح الكشف]])+1)</f>
        <v/>
      </c>
    </row>
    <row r="119">
      <c r="A119" s="43" t="inlineStr">
        <is>
          <t>INV-2026-0115</t>
        </is>
      </c>
      <c r="B119" s="53" t="n">
        <v>46277</v>
      </c>
      <c r="C119" s="43" t="inlineStr">
        <is>
          <t>C013</t>
        </is>
      </c>
      <c r="D119" s="52">
        <f>IF(tblInv[[#This Row],[كود العميل]]="","",IFERROR(INDEX(tblCustomers[اسم العميل],MATCH(tblInv[[#This Row],[كود العميل]],tblCustomers[كود العميل],0)),"⚠ كود غير موجود"))</f>
        <v/>
      </c>
      <c r="E119" s="54" t="n">
        <v>35700</v>
      </c>
      <c r="F119" s="49">
        <f>ROUND(tblInv[[#This Row],[المبلغ قبل الضريبة]]*VatRate,2)</f>
        <v/>
      </c>
      <c r="G119" s="48">
        <f>tblInv[[#This Row],[المبلغ قبل الضريبة]]+tblInv[[#This Row],[الضريبة]]</f>
        <v/>
      </c>
      <c r="H119" s="55">
        <f>IFERROR(IF(INDEX(tblCustomers[مدة السداد],MATCH(tblInv[[#This Row],[كود العميل]],tblCustomers[كود العميل],0))="",DefaultTerms,INDEX(tblCustomers[مدة السداد],MATCH(tblInv[[#This Row],[كود العميل]],tblCustomers[كود العميل],0))),DefaultTerms)</f>
        <v/>
      </c>
      <c r="I119" s="56">
        <f>tblInv[[#This Row],[تاريخ الفاتورة]]+tblInv[[#This Row],[مدة السداد]]</f>
        <v/>
      </c>
      <c r="J119" s="49">
        <f>SUMIFS(tblRec[المبلغ],tblRec[رقم الفاتورة],tblInv[[#This Row],[رقم الفاتورة]],tblRec[التاريخ],"&lt;="&amp;AsOf)</f>
        <v/>
      </c>
      <c r="K119" s="48">
        <f>IF(tblInv[[#This Row],[تاريخ الفاتورة]]&gt;AsOf,0,ROUND(tblInv[[#This Row],[الإجمالي]]-tblInv[[#This Row],[المحصّل]],2))</f>
        <v/>
      </c>
      <c r="L119" s="56">
        <f>IF(AgingBasis="من تاريخ الفاتورة",tblInv[[#This Row],[تاريخ الفاتورة]],tblInv[[#This Row],[تاريخ الاستحقاق]])</f>
        <v/>
      </c>
      <c r="M119" s="57">
        <f>IF(tblInv[[#This Row],[المتبقي]]&lt;=0,0,MAX(0,AsOf-tblInv[[#This Row],[تاريخ الأساس]]))</f>
        <v/>
      </c>
      <c r="N119"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9"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9" s="44" t="n"/>
      <c r="Q119"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9" s="52">
        <f>IF(AND(tblInv[[#This Row],[كود العميل]]=StCust,tblInv[[#This Row],[تاريخ الفاتورة]]&gt;=StFrom,tblInv[[#This Row],[تاريخ الفاتورة]]&lt;=StTo),tblInv[[#This Row],[تاريخ الفاتورة]]*100000+ROW(),"")</f>
        <v/>
      </c>
      <c r="S119" s="52">
        <f>IF(tblInv[[#This Row],[مفتاح الكشف]]="","",COUNTIF(tblInv[مفتاح الكشف],"&lt;"&amp;tblInv[[#This Row],[مفتاح الكشف]])+COUNTIF(tblRec[مفتاح الكشف],"&lt;"&amp;tblInv[[#This Row],[مفتاح الكشف]])+1)</f>
        <v/>
      </c>
    </row>
    <row r="120">
      <c r="A120" s="43" t="inlineStr">
        <is>
          <t>INV-2026-0116</t>
        </is>
      </c>
      <c r="B120" s="53" t="n">
        <v>46279</v>
      </c>
      <c r="C120" s="43" t="inlineStr">
        <is>
          <t>C015</t>
        </is>
      </c>
      <c r="D120" s="52">
        <f>IF(tblInv[[#This Row],[كود العميل]]="","",IFERROR(INDEX(tblCustomers[اسم العميل],MATCH(tblInv[[#This Row],[كود العميل]],tblCustomers[كود العميل],0)),"⚠ كود غير موجود"))</f>
        <v/>
      </c>
      <c r="E120" s="54" t="n">
        <v>35000</v>
      </c>
      <c r="F120" s="49">
        <f>ROUND(tblInv[[#This Row],[المبلغ قبل الضريبة]]*VatRate,2)</f>
        <v/>
      </c>
      <c r="G120" s="48">
        <f>tblInv[[#This Row],[المبلغ قبل الضريبة]]+tblInv[[#This Row],[الضريبة]]</f>
        <v/>
      </c>
      <c r="H120" s="55">
        <f>IFERROR(IF(INDEX(tblCustomers[مدة السداد],MATCH(tblInv[[#This Row],[كود العميل]],tblCustomers[كود العميل],0))="",DefaultTerms,INDEX(tblCustomers[مدة السداد],MATCH(tblInv[[#This Row],[كود العميل]],tblCustomers[كود العميل],0))),DefaultTerms)</f>
        <v/>
      </c>
      <c r="I120" s="56">
        <f>tblInv[[#This Row],[تاريخ الفاتورة]]+tblInv[[#This Row],[مدة السداد]]</f>
        <v/>
      </c>
      <c r="J120" s="49">
        <f>SUMIFS(tblRec[المبلغ],tblRec[رقم الفاتورة],tblInv[[#This Row],[رقم الفاتورة]],tblRec[التاريخ],"&lt;="&amp;AsOf)</f>
        <v/>
      </c>
      <c r="K120" s="48">
        <f>IF(tblInv[[#This Row],[تاريخ الفاتورة]]&gt;AsOf,0,ROUND(tblInv[[#This Row],[الإجمالي]]-tblInv[[#This Row],[المحصّل]],2))</f>
        <v/>
      </c>
      <c r="L120" s="56">
        <f>IF(AgingBasis="من تاريخ الفاتورة",tblInv[[#This Row],[تاريخ الفاتورة]],tblInv[[#This Row],[تاريخ الاستحقاق]])</f>
        <v/>
      </c>
      <c r="M120" s="57">
        <f>IF(tblInv[[#This Row],[المتبقي]]&lt;=0,0,MAX(0,AsOf-tblInv[[#This Row],[تاريخ الأساس]]))</f>
        <v/>
      </c>
      <c r="N120"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0"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0" s="44" t="n"/>
      <c r="Q120"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0" s="52">
        <f>IF(AND(tblInv[[#This Row],[كود العميل]]=StCust,tblInv[[#This Row],[تاريخ الفاتورة]]&gt;=StFrom,tblInv[[#This Row],[تاريخ الفاتورة]]&lt;=StTo),tblInv[[#This Row],[تاريخ الفاتورة]]*100000+ROW(),"")</f>
        <v/>
      </c>
      <c r="S120" s="52">
        <f>IF(tblInv[[#This Row],[مفتاح الكشف]]="","",COUNTIF(tblInv[مفتاح الكشف],"&lt;"&amp;tblInv[[#This Row],[مفتاح الكشف]])+COUNTIF(tblRec[مفتاح الكشف],"&lt;"&amp;tblInv[[#This Row],[مفتاح الكشف]])+1)</f>
        <v/>
      </c>
    </row>
    <row r="121">
      <c r="A121" s="43" t="inlineStr">
        <is>
          <t>INV-2026-0117</t>
        </is>
      </c>
      <c r="B121" s="53" t="n">
        <v>46280</v>
      </c>
      <c r="C121" s="43" t="inlineStr">
        <is>
          <t>C015</t>
        </is>
      </c>
      <c r="D121" s="52">
        <f>IF(tblInv[[#This Row],[كود العميل]]="","",IFERROR(INDEX(tblCustomers[اسم العميل],MATCH(tblInv[[#This Row],[كود العميل]],tblCustomers[كود العميل],0)),"⚠ كود غير موجود"))</f>
        <v/>
      </c>
      <c r="E121" s="54" t="n">
        <v>5200</v>
      </c>
      <c r="F121" s="49">
        <f>ROUND(tblInv[[#This Row],[المبلغ قبل الضريبة]]*VatRate,2)</f>
        <v/>
      </c>
      <c r="G121" s="48">
        <f>tblInv[[#This Row],[المبلغ قبل الضريبة]]+tblInv[[#This Row],[الضريبة]]</f>
        <v/>
      </c>
      <c r="H121" s="55">
        <f>IFERROR(IF(INDEX(tblCustomers[مدة السداد],MATCH(tblInv[[#This Row],[كود العميل]],tblCustomers[كود العميل],0))="",DefaultTerms,INDEX(tblCustomers[مدة السداد],MATCH(tblInv[[#This Row],[كود العميل]],tblCustomers[كود العميل],0))),DefaultTerms)</f>
        <v/>
      </c>
      <c r="I121" s="56">
        <f>tblInv[[#This Row],[تاريخ الفاتورة]]+tblInv[[#This Row],[مدة السداد]]</f>
        <v/>
      </c>
      <c r="J121" s="49">
        <f>SUMIFS(tblRec[المبلغ],tblRec[رقم الفاتورة],tblInv[[#This Row],[رقم الفاتورة]],tblRec[التاريخ],"&lt;="&amp;AsOf)</f>
        <v/>
      </c>
      <c r="K121" s="48">
        <f>IF(tblInv[[#This Row],[تاريخ الفاتورة]]&gt;AsOf,0,ROUND(tblInv[[#This Row],[الإجمالي]]-tblInv[[#This Row],[المحصّل]],2))</f>
        <v/>
      </c>
      <c r="L121" s="56">
        <f>IF(AgingBasis="من تاريخ الفاتورة",tblInv[[#This Row],[تاريخ الفاتورة]],tblInv[[#This Row],[تاريخ الاستحقاق]])</f>
        <v/>
      </c>
      <c r="M121" s="57">
        <f>IF(tblInv[[#This Row],[المتبقي]]&lt;=0,0,MAX(0,AsOf-tblInv[[#This Row],[تاريخ الأساس]]))</f>
        <v/>
      </c>
      <c r="N121"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1"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1" s="44" t="n"/>
      <c r="Q121"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1" s="52">
        <f>IF(AND(tblInv[[#This Row],[كود العميل]]=StCust,tblInv[[#This Row],[تاريخ الفاتورة]]&gt;=StFrom,tblInv[[#This Row],[تاريخ الفاتورة]]&lt;=StTo),tblInv[[#This Row],[تاريخ الفاتورة]]*100000+ROW(),"")</f>
        <v/>
      </c>
      <c r="S121" s="52">
        <f>IF(tblInv[[#This Row],[مفتاح الكشف]]="","",COUNTIF(tblInv[مفتاح الكشف],"&lt;"&amp;tblInv[[#This Row],[مفتاح الكشف]])+COUNTIF(tblRec[مفتاح الكشف],"&lt;"&amp;tblInv[[#This Row],[مفتاح الكشف]])+1)</f>
        <v/>
      </c>
    </row>
    <row r="122">
      <c r="A122" s="43" t="inlineStr">
        <is>
          <t>INV-2026-0118</t>
        </is>
      </c>
      <c r="B122" s="53" t="n">
        <v>46284</v>
      </c>
      <c r="C122" s="43" t="inlineStr">
        <is>
          <t>C010</t>
        </is>
      </c>
      <c r="D122" s="52">
        <f>IF(tblInv[[#This Row],[كود العميل]]="","",IFERROR(INDEX(tblCustomers[اسم العميل],MATCH(tblInv[[#This Row],[كود العميل]],tblCustomers[كود العميل],0)),"⚠ كود غير موجود"))</f>
        <v/>
      </c>
      <c r="E122" s="54" t="n">
        <v>42350</v>
      </c>
      <c r="F122" s="49">
        <f>ROUND(tblInv[[#This Row],[المبلغ قبل الضريبة]]*VatRate,2)</f>
        <v/>
      </c>
      <c r="G122" s="48">
        <f>tblInv[[#This Row],[المبلغ قبل الضريبة]]+tblInv[[#This Row],[الضريبة]]</f>
        <v/>
      </c>
      <c r="H122" s="55">
        <f>IFERROR(IF(INDEX(tblCustomers[مدة السداد],MATCH(tblInv[[#This Row],[كود العميل]],tblCustomers[كود العميل],0))="",DefaultTerms,INDEX(tblCustomers[مدة السداد],MATCH(tblInv[[#This Row],[كود العميل]],tblCustomers[كود العميل],0))),DefaultTerms)</f>
        <v/>
      </c>
      <c r="I122" s="56">
        <f>tblInv[[#This Row],[تاريخ الفاتورة]]+tblInv[[#This Row],[مدة السداد]]</f>
        <v/>
      </c>
      <c r="J122" s="49">
        <f>SUMIFS(tblRec[المبلغ],tblRec[رقم الفاتورة],tblInv[[#This Row],[رقم الفاتورة]],tblRec[التاريخ],"&lt;="&amp;AsOf)</f>
        <v/>
      </c>
      <c r="K122" s="48">
        <f>IF(tblInv[[#This Row],[تاريخ الفاتورة]]&gt;AsOf,0,ROUND(tblInv[[#This Row],[الإجمالي]]-tblInv[[#This Row],[المحصّل]],2))</f>
        <v/>
      </c>
      <c r="L122" s="56">
        <f>IF(AgingBasis="من تاريخ الفاتورة",tblInv[[#This Row],[تاريخ الفاتورة]],tblInv[[#This Row],[تاريخ الاستحقاق]])</f>
        <v/>
      </c>
      <c r="M122" s="57">
        <f>IF(tblInv[[#This Row],[المتبقي]]&lt;=0,0,MAX(0,AsOf-tblInv[[#This Row],[تاريخ الأساس]]))</f>
        <v/>
      </c>
      <c r="N122"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2"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2" s="44" t="n"/>
      <c r="Q122"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2" s="52">
        <f>IF(AND(tblInv[[#This Row],[كود العميل]]=StCust,tblInv[[#This Row],[تاريخ الفاتورة]]&gt;=StFrom,tblInv[[#This Row],[تاريخ الفاتورة]]&lt;=StTo),tblInv[[#This Row],[تاريخ الفاتورة]]*100000+ROW(),"")</f>
        <v/>
      </c>
      <c r="S122" s="52">
        <f>IF(tblInv[[#This Row],[مفتاح الكشف]]="","",COUNTIF(tblInv[مفتاح الكشف],"&lt;"&amp;tblInv[[#This Row],[مفتاح الكشف]])+COUNTIF(tblRec[مفتاح الكشف],"&lt;"&amp;tblInv[[#This Row],[مفتاح الكشف]])+1)</f>
        <v/>
      </c>
    </row>
    <row r="123">
      <c r="A123" s="43" t="inlineStr">
        <is>
          <t>INV-2026-0119</t>
        </is>
      </c>
      <c r="B123" s="53" t="n">
        <v>46285</v>
      </c>
      <c r="C123" s="43" t="inlineStr">
        <is>
          <t>C002</t>
        </is>
      </c>
      <c r="D123" s="52">
        <f>IF(tblInv[[#This Row],[كود العميل]]="","",IFERROR(INDEX(tblCustomers[اسم العميل],MATCH(tblInv[[#This Row],[كود العميل]],tblCustomers[كود العميل],0)),"⚠ كود غير موجود"))</f>
        <v/>
      </c>
      <c r="E123" s="54" t="n">
        <v>27500</v>
      </c>
      <c r="F123" s="49">
        <f>ROUND(tblInv[[#This Row],[المبلغ قبل الضريبة]]*VatRate,2)</f>
        <v/>
      </c>
      <c r="G123" s="48">
        <f>tblInv[[#This Row],[المبلغ قبل الضريبة]]+tblInv[[#This Row],[الضريبة]]</f>
        <v/>
      </c>
      <c r="H123" s="55">
        <f>IFERROR(IF(INDEX(tblCustomers[مدة السداد],MATCH(tblInv[[#This Row],[كود العميل]],tblCustomers[كود العميل],0))="",DefaultTerms,INDEX(tblCustomers[مدة السداد],MATCH(tblInv[[#This Row],[كود العميل]],tblCustomers[كود العميل],0))),DefaultTerms)</f>
        <v/>
      </c>
      <c r="I123" s="56">
        <f>tblInv[[#This Row],[تاريخ الفاتورة]]+tblInv[[#This Row],[مدة السداد]]</f>
        <v/>
      </c>
      <c r="J123" s="49">
        <f>SUMIFS(tblRec[المبلغ],tblRec[رقم الفاتورة],tblInv[[#This Row],[رقم الفاتورة]],tblRec[التاريخ],"&lt;="&amp;AsOf)</f>
        <v/>
      </c>
      <c r="K123" s="48">
        <f>IF(tblInv[[#This Row],[تاريخ الفاتورة]]&gt;AsOf,0,ROUND(tblInv[[#This Row],[الإجمالي]]-tblInv[[#This Row],[المحصّل]],2))</f>
        <v/>
      </c>
      <c r="L123" s="56">
        <f>IF(AgingBasis="من تاريخ الفاتورة",tblInv[[#This Row],[تاريخ الفاتورة]],tblInv[[#This Row],[تاريخ الاستحقاق]])</f>
        <v/>
      </c>
      <c r="M123" s="57">
        <f>IF(tblInv[[#This Row],[المتبقي]]&lt;=0,0,MAX(0,AsOf-tblInv[[#This Row],[تاريخ الأساس]]))</f>
        <v/>
      </c>
      <c r="N123"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3"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3" s="44" t="n"/>
      <c r="Q123"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3" s="52">
        <f>IF(AND(tblInv[[#This Row],[كود العميل]]=StCust,tblInv[[#This Row],[تاريخ الفاتورة]]&gt;=StFrom,tblInv[[#This Row],[تاريخ الفاتورة]]&lt;=StTo),tblInv[[#This Row],[تاريخ الفاتورة]]*100000+ROW(),"")</f>
        <v/>
      </c>
      <c r="S123" s="52">
        <f>IF(tblInv[[#This Row],[مفتاح الكشف]]="","",COUNTIF(tblInv[مفتاح الكشف],"&lt;"&amp;tblInv[[#This Row],[مفتاح الكشف]])+COUNTIF(tblRec[مفتاح الكشف],"&lt;"&amp;tblInv[[#This Row],[مفتاح الكشف]])+1)</f>
        <v/>
      </c>
    </row>
    <row r="124">
      <c r="A124" s="43" t="inlineStr">
        <is>
          <t>INV-2026-0120</t>
        </is>
      </c>
      <c r="B124" s="53" t="n">
        <v>46286</v>
      </c>
      <c r="C124" s="43" t="inlineStr">
        <is>
          <t>C015</t>
        </is>
      </c>
      <c r="D124" s="52">
        <f>IF(tblInv[[#This Row],[كود العميل]]="","",IFERROR(INDEX(tblCustomers[اسم العميل],MATCH(tblInv[[#This Row],[كود العميل]],tblCustomers[كود العميل],0)),"⚠ كود غير موجود"))</f>
        <v/>
      </c>
      <c r="E124" s="54" t="n">
        <v>10050</v>
      </c>
      <c r="F124" s="49">
        <f>ROUND(tblInv[[#This Row],[المبلغ قبل الضريبة]]*VatRate,2)</f>
        <v/>
      </c>
      <c r="G124" s="48">
        <f>tblInv[[#This Row],[المبلغ قبل الضريبة]]+tblInv[[#This Row],[الضريبة]]</f>
        <v/>
      </c>
      <c r="H124" s="55">
        <f>IFERROR(IF(INDEX(tblCustomers[مدة السداد],MATCH(tblInv[[#This Row],[كود العميل]],tblCustomers[كود العميل],0))="",DefaultTerms,INDEX(tblCustomers[مدة السداد],MATCH(tblInv[[#This Row],[كود العميل]],tblCustomers[كود العميل],0))),DefaultTerms)</f>
        <v/>
      </c>
      <c r="I124" s="56">
        <f>tblInv[[#This Row],[تاريخ الفاتورة]]+tblInv[[#This Row],[مدة السداد]]</f>
        <v/>
      </c>
      <c r="J124" s="49">
        <f>SUMIFS(tblRec[المبلغ],tblRec[رقم الفاتورة],tblInv[[#This Row],[رقم الفاتورة]],tblRec[التاريخ],"&lt;="&amp;AsOf)</f>
        <v/>
      </c>
      <c r="K124" s="48">
        <f>IF(tblInv[[#This Row],[تاريخ الفاتورة]]&gt;AsOf,0,ROUND(tblInv[[#This Row],[الإجمالي]]-tblInv[[#This Row],[المحصّل]],2))</f>
        <v/>
      </c>
      <c r="L124" s="56">
        <f>IF(AgingBasis="من تاريخ الفاتورة",tblInv[[#This Row],[تاريخ الفاتورة]],tblInv[[#This Row],[تاريخ الاستحقاق]])</f>
        <v/>
      </c>
      <c r="M124" s="57">
        <f>IF(tblInv[[#This Row],[المتبقي]]&lt;=0,0,MAX(0,AsOf-tblInv[[#This Row],[تاريخ الأساس]]))</f>
        <v/>
      </c>
      <c r="N124" s="58">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4" s="58">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4" s="44" t="n"/>
      <c r="Q124" s="52">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4" s="52">
        <f>IF(AND(tblInv[[#This Row],[كود العميل]]=StCust,tblInv[[#This Row],[تاريخ الفاتورة]]&gt;=StFrom,tblInv[[#This Row],[تاريخ الفاتورة]]&lt;=StTo),tblInv[[#This Row],[تاريخ الفاتورة]]*100000+ROW(),"")</f>
        <v/>
      </c>
      <c r="S124" s="52">
        <f>IF(tblInv[[#This Row],[مفتاح الكشف]]="","",COUNTIF(tblInv[مفتاح الكشف],"&lt;"&amp;tblInv[[#This Row],[مفتاح الكشف]])+COUNTIF(tblRec[مفتاح الكشف],"&lt;"&amp;tblInv[[#This Row],[مفتاح الكشف]])+1)</f>
        <v/>
      </c>
    </row>
  </sheetData>
  <mergeCells count="2">
    <mergeCell ref="A1:P1"/>
    <mergeCell ref="A2:P2"/>
  </mergeCells>
  <conditionalFormatting sqref="O5:O5004">
    <cfRule type="expression" priority="1" dxfId="2">
      <formula>ISNUMBER(SEARCH("✓",O5))</formula>
    </cfRule>
    <cfRule type="expression" priority="2" dxfId="0">
      <formula>ISNUMBER(SEARCH("⚠",O5))</formula>
    </cfRule>
    <cfRule type="expression" priority="3" dxfId="0">
      <formula>ISNUMBER(SEARCH("⛔",O5))</formula>
    </cfRule>
    <cfRule type="expression" priority="4" dxfId="3">
      <formula>ISNUMBER(SEARCH("↺",O5))</formula>
    </cfRule>
    <cfRule type="expression" priority="5" dxfId="0">
      <formula>ISNUMBER(SEARCH("●",O5))</formula>
    </cfRule>
    <cfRule type="expression" priority="6" dxfId="3">
      <formula>ISNUMBER(SEARCH("◐",O5))</formula>
    </cfRule>
  </conditionalFormatting>
  <conditionalFormatting sqref="D5:D5004">
    <cfRule type="expression" priority="7" dxfId="4">
      <formula>LEFT(D5,1)="⚠"</formula>
    </cfRule>
  </conditionalFormatting>
  <conditionalFormatting sqref="N5:N5004">
    <cfRule type="expression" priority="8" dxfId="5">
      <formula>N5='الإعدادات'!$C$14</formula>
    </cfRule>
    <cfRule type="expression" priority="9" dxfId="6">
      <formula>N5='الإعدادات'!$C$15</formula>
    </cfRule>
    <cfRule type="expression" priority="10" dxfId="7">
      <formula>N5='الإعدادات'!$C$16</formula>
    </cfRule>
    <cfRule type="expression" priority="11" dxfId="8">
      <formula>N5='الإعدادات'!$C$17</formula>
    </cfRule>
    <cfRule type="expression" priority="12" dxfId="9">
      <formula>N5='الإعدادات'!$C$18</formula>
    </cfRule>
    <cfRule type="expression" priority="13" dxfId="10">
      <formula>N5='الإعدادات'!$C$19</formula>
    </cfRule>
    <cfRule type="expression" priority="14" dxfId="11">
      <formula>N5='الإعدادات'!$C$20</formula>
    </cfRule>
    <cfRule type="expression" priority="15" dxfId="0">
      <formula>LEFT(N5,1)="⚠"</formula>
    </cfRule>
  </conditionalFormatting>
  <conditionalFormatting sqref="M5:M5004">
    <cfRule type="expression" priority="16" dxfId="4">
      <formula>M5&gt;90</formula>
    </cfRule>
  </conditionalFormatting>
  <dataValidations count="4">
    <dataValidation sqref="A5:A5004" showDropDown="0" showInputMessage="0" showErrorMessage="1" allowBlank="1" errorTitle="قيمة غير صحيحة" error="رقم الفاتورة متكرر" type="custom" errorStyle="stop">
      <formula1>AND(COUNTIF($A$5:$A$6004,A5)=1)</formula1>
    </dataValidation>
    <dataValidation sqref="B5:B5004" showDropDown="0" showInputMessage="0" showErrorMessage="1" allowBlank="1" errorTitle="قيمة غير صحيحة" error="لازم يكون تاريخ صحيح" type="date" errorStyle="stop" operator="greaterThan">
      <formula1>36526</formula1>
    </dataValidation>
    <dataValidation sqref="C5:C5004" showDropDown="0" showInputMessage="1" showErrorMessage="1" allowBlank="1" errorTitle="قيمة غير مسموحة" error="من فضلك اختر قيمة من القائمة المنسدلة." promptTitle="تنبيه" prompt="اختار كود العميل من القائمة" type="list" errorStyle="stop">
      <formula1>CustCodes</formula1>
    </dataValidation>
    <dataValidation sqref="E5:E5004" showDropDown="0" showInputMessage="0" showErrorMessage="1" allowBlank="1" errorTitle="قيمة غير صحيحة" error="المبلغ لازم يكون أكبر من صفر" type="decimal" errorStyle="stop" operator="greaterThan">
      <formula1>0</formula1>
    </dataValidation>
  </dataValidations>
  <hyperlinks>
    <hyperlink ref="A3" location="'التعليمات'!A1" display="📘 التعليمات"/>
    <hyperlink ref="B3" location="'الإعدادات'!A1" display="⚙ الإعدادات"/>
    <hyperlink ref="C3" location="'العملاء'!A1" display="👥 العملاء"/>
    <hyperlink ref="D3" location="'التحصيلات'!A1" display="💵 التحصيلات"/>
    <hyperlink ref="E3" location="'تقرير الأعمار'!A1" display="📊 تقرير الأعمار"/>
    <hyperlink ref="F3" location="'المخصص'!A1" display="🛡 المخصص"/>
    <hyperlink ref="G3" location="'كشف حساب عميل'!A1" display="📄 كشف حساب"/>
    <hyperlink ref="H3" location="'لوحة التحكم'!A1" display="📈 لوحة التحكم"/>
  </hyperlinks>
  <printOptions horizontalCentered="1"/>
  <pageMargins left="0.4" right="0.4" top="0.5" bottom="0.5" header="0.5" footer="0.5"/>
  <pageSetup orientation="landscape" paperSize="9" fitToHeight="0" fitToWidth="1"/>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2E7D7A"/>
    <outlinePr summaryBelow="1" summaryRight="1"/>
    <pageSetUpPr fitToPage="1"/>
  </sheetPr>
  <dimension ref="A1:K87"/>
  <sheetViews>
    <sheetView showGridLines="0"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0" customWidth="1" min="3" max="3"/>
    <col width="28" customWidth="1" min="4" max="4"/>
    <col width="15" customWidth="1" min="5" max="5"/>
    <col width="14" customWidth="1" min="6" max="6"/>
    <col width="14" customWidth="1" min="7" max="7"/>
    <col width="12" customWidth="1" min="8" max="8"/>
    <col width="26" customWidth="1" min="9" max="9"/>
    <col hidden="1" width="8" customWidth="1" min="10" max="10"/>
    <col hidden="1" width="8" customWidth="1" min="11" max="11"/>
  </cols>
  <sheetData>
    <row r="1" ht="34" customHeight="1">
      <c r="A1" s="1" t="inlineStr">
        <is>
          <t>💵 التحصيلات</t>
        </is>
      </c>
      <c r="B1" s="1" t="n"/>
      <c r="C1" s="1" t="n"/>
      <c r="D1" s="1" t="n"/>
      <c r="E1" s="1" t="n"/>
      <c r="F1" s="1" t="n"/>
      <c r="G1" s="1" t="n"/>
      <c r="H1" s="1" t="n"/>
      <c r="I1" s="1" t="n"/>
    </row>
    <row r="2" ht="20" customHeight="1">
      <c r="A2" s="2" t="inlineStr">
        <is>
          <t>كل تحصيل أو إشعار دائن أو خصم أو شطب — اربطه برقم الفاتورة، أو سيبه فاضي لو دفعة على الحساب</t>
        </is>
      </c>
      <c r="B2" s="2" t="n"/>
      <c r="C2" s="2" t="n"/>
      <c r="D2" s="2" t="n"/>
      <c r="E2" s="2" t="n"/>
      <c r="F2" s="2" t="n"/>
      <c r="G2" s="2" t="n"/>
      <c r="H2" s="2" t="n"/>
      <c r="I2" s="2" t="n"/>
    </row>
    <row r="3" ht="22" customHeight="1">
      <c r="A3" s="18" t="inlineStr">
        <is>
          <t>📘 التعليمات</t>
        </is>
      </c>
      <c r="B3" s="3" t="inlineStr">
        <is>
          <t>⚙ الإعدادات</t>
        </is>
      </c>
      <c r="C3" s="3" t="inlineStr">
        <is>
          <t>👥 العملاء</t>
        </is>
      </c>
      <c r="D3" s="3" t="inlineStr">
        <is>
          <t>🧾 الفواتير</t>
        </is>
      </c>
      <c r="E3" s="5" t="inlineStr">
        <is>
          <t>📊 تقرير الأعمار</t>
        </is>
      </c>
      <c r="F3" s="5" t="inlineStr">
        <is>
          <t>🛡 المخصص</t>
        </is>
      </c>
      <c r="G3" s="5" t="inlineStr">
        <is>
          <t>📄 كشف حساب</t>
        </is>
      </c>
      <c r="H3" s="5" t="inlineStr">
        <is>
          <t>📈 لوحة التحكم</t>
        </is>
      </c>
    </row>
    <row r="4" ht="36" customHeight="1">
      <c r="A4" s="27" t="inlineStr">
        <is>
          <t>رقم السند</t>
        </is>
      </c>
      <c r="B4" s="27" t="inlineStr">
        <is>
          <t>التاريخ</t>
        </is>
      </c>
      <c r="C4" s="27" t="inlineStr">
        <is>
          <t>كود العميل</t>
        </is>
      </c>
      <c r="D4" s="41" t="inlineStr">
        <is>
          <t>اسم العميل</t>
        </is>
      </c>
      <c r="E4" s="27" t="inlineStr">
        <is>
          <t>رقم الفاتورة</t>
        </is>
      </c>
      <c r="F4" s="27" t="inlineStr">
        <is>
          <t>النوع</t>
        </is>
      </c>
      <c r="G4" s="27" t="inlineStr">
        <is>
          <t>المبلغ</t>
        </is>
      </c>
      <c r="H4" s="27" t="inlineStr">
        <is>
          <t>طريقة الدفع</t>
        </is>
      </c>
      <c r="I4" s="41" t="inlineStr">
        <is>
          <t>فحص</t>
        </is>
      </c>
      <c r="J4" s="42" t="inlineStr">
        <is>
          <t>مفتاح الكشف</t>
        </is>
      </c>
      <c r="K4" s="42" t="inlineStr">
        <is>
          <t>ترتيب الكشف</t>
        </is>
      </c>
    </row>
    <row r="5">
      <c r="A5" s="43" t="inlineStr">
        <is>
          <t>RV-0001</t>
        </is>
      </c>
      <c r="B5" s="53" t="n">
        <v>45943</v>
      </c>
      <c r="C5" s="43" t="inlineStr">
        <is>
          <t>C007</t>
        </is>
      </c>
      <c r="D5" s="52">
        <f>IF(tblRec[[#This Row],[كود العميل]]="","",IFERROR(INDEX(tblCustomers[اسم العميل],MATCH(tblRec[[#This Row],[كود العميل]],tblCustomers[كود العميل],0)),"⚠ كود غير موجود"))</f>
        <v/>
      </c>
      <c r="E5" s="43" t="inlineStr">
        <is>
          <t>INV-2025-0004</t>
        </is>
      </c>
      <c r="F5" s="43" t="inlineStr">
        <is>
          <t>تحصيل</t>
        </is>
      </c>
      <c r="G5" s="54" t="n">
        <v>27600</v>
      </c>
      <c r="H5" s="43" t="inlineStr">
        <is>
          <t>نقدي</t>
        </is>
      </c>
      <c r="I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 s="52">
        <f>IF(AND(tblRec[[#This Row],[كود العميل]]=StCust,tblRec[[#This Row],[التاريخ]]&gt;=StFrom,tblRec[[#This Row],[التاريخ]]&lt;=StTo),tblRec[[#This Row],[التاريخ]]*100000+50000+ROW(),"")</f>
        <v/>
      </c>
      <c r="K5" s="52">
        <f>IF(tblRec[[#This Row],[مفتاح الكشف]]="","",COUNTIF(tblInv[مفتاح الكشف],"&lt;"&amp;tblRec[[#This Row],[مفتاح الكشف]])+COUNTIF(tblRec[مفتاح الكشف],"&lt;"&amp;tblRec[[#This Row],[مفتاح الكشف]])+1)</f>
        <v/>
      </c>
    </row>
    <row r="6">
      <c r="A6" s="43" t="inlineStr">
        <is>
          <t>RV-0002</t>
        </is>
      </c>
      <c r="B6" s="53" t="n">
        <v>45966</v>
      </c>
      <c r="C6" s="43" t="inlineStr">
        <is>
          <t>C008</t>
        </is>
      </c>
      <c r="D6" s="52">
        <f>IF(tblRec[[#This Row],[كود العميل]]="","",IFERROR(INDEX(tblCustomers[اسم العميل],MATCH(tblRec[[#This Row],[كود العميل]],tblCustomers[كود العميل],0)),"⚠ كود غير موجود"))</f>
        <v/>
      </c>
      <c r="E6" s="43" t="inlineStr">
        <is>
          <t>INV-2025-0002</t>
        </is>
      </c>
      <c r="F6" s="43" t="inlineStr">
        <is>
          <t>تحصيل</t>
        </is>
      </c>
      <c r="G6" s="54" t="n">
        <v>36627.5</v>
      </c>
      <c r="H6" s="43" t="inlineStr">
        <is>
          <t>تحويل</t>
        </is>
      </c>
      <c r="I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 s="52">
        <f>IF(AND(tblRec[[#This Row],[كود العميل]]=StCust,tblRec[[#This Row],[التاريخ]]&gt;=StFrom,tblRec[[#This Row],[التاريخ]]&lt;=StTo),tblRec[[#This Row],[التاريخ]]*100000+50000+ROW(),"")</f>
        <v/>
      </c>
      <c r="K6" s="52">
        <f>IF(tblRec[[#This Row],[مفتاح الكشف]]="","",COUNTIF(tblInv[مفتاح الكشف],"&lt;"&amp;tblRec[[#This Row],[مفتاح الكشف]])+COUNTIF(tblRec[مفتاح الكشف],"&lt;"&amp;tblRec[[#This Row],[مفتاح الكشف]])+1)</f>
        <v/>
      </c>
    </row>
    <row r="7">
      <c r="A7" s="43" t="inlineStr">
        <is>
          <t>RV-0003</t>
        </is>
      </c>
      <c r="B7" s="53" t="n">
        <v>45980</v>
      </c>
      <c r="C7" s="43" t="inlineStr">
        <is>
          <t>C007</t>
        </is>
      </c>
      <c r="D7" s="52">
        <f>IF(tblRec[[#This Row],[كود العميل]]="","",IFERROR(INDEX(tblCustomers[اسم العميل],MATCH(tblRec[[#This Row],[كود العميل]],tblCustomers[كود العميل],0)),"⚠ كود غير موجود"))</f>
        <v/>
      </c>
      <c r="E7" s="43" t="inlineStr">
        <is>
          <t>INV-2025-0010</t>
        </is>
      </c>
      <c r="F7" s="43" t="inlineStr">
        <is>
          <t>تحصيل</t>
        </is>
      </c>
      <c r="G7" s="54" t="n">
        <v>38065</v>
      </c>
      <c r="H7" s="43" t="inlineStr">
        <is>
          <t>نقاط بيع</t>
        </is>
      </c>
      <c r="I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 s="52">
        <f>IF(AND(tblRec[[#This Row],[كود العميل]]=StCust,tblRec[[#This Row],[التاريخ]]&gt;=StFrom,tblRec[[#This Row],[التاريخ]]&lt;=StTo),tblRec[[#This Row],[التاريخ]]*100000+50000+ROW(),"")</f>
        <v/>
      </c>
      <c r="K7" s="52">
        <f>IF(tblRec[[#This Row],[مفتاح الكشف]]="","",COUNTIF(tblInv[مفتاح الكشف],"&lt;"&amp;tblRec[[#This Row],[مفتاح الكشف]])+COUNTIF(tblRec[مفتاح الكشف],"&lt;"&amp;tblRec[[#This Row],[مفتاح الكشف]])+1)</f>
        <v/>
      </c>
    </row>
    <row r="8">
      <c r="A8" s="43" t="inlineStr">
        <is>
          <t>RV-0004</t>
        </is>
      </c>
      <c r="B8" s="53" t="n">
        <v>45983</v>
      </c>
      <c r="C8" s="43" t="inlineStr">
        <is>
          <t>C002</t>
        </is>
      </c>
      <c r="D8" s="52">
        <f>IF(tblRec[[#This Row],[كود العميل]]="","",IFERROR(INDEX(tblCustomers[اسم العميل],MATCH(tblRec[[#This Row],[كود العميل]],tblCustomers[كود العميل],0)),"⚠ كود غير موجود"))</f>
        <v/>
      </c>
      <c r="E8" s="43" t="inlineStr">
        <is>
          <t>INV-2025-0005</t>
        </is>
      </c>
      <c r="F8" s="43" t="inlineStr">
        <is>
          <t>تحصيل</t>
        </is>
      </c>
      <c r="G8" s="54" t="n">
        <v>49450</v>
      </c>
      <c r="H8" s="43" t="inlineStr">
        <is>
          <t>نقاط بيع</t>
        </is>
      </c>
      <c r="I8"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 s="52">
        <f>IF(AND(tblRec[[#This Row],[كود العميل]]=StCust,tblRec[[#This Row],[التاريخ]]&gt;=StFrom,tblRec[[#This Row],[التاريخ]]&lt;=StTo),tblRec[[#This Row],[التاريخ]]*100000+50000+ROW(),"")</f>
        <v/>
      </c>
      <c r="K8" s="52">
        <f>IF(tblRec[[#This Row],[مفتاح الكشف]]="","",COUNTIF(tblInv[مفتاح الكشف],"&lt;"&amp;tblRec[[#This Row],[مفتاح الكشف]])+COUNTIF(tblRec[مفتاح الكشف],"&lt;"&amp;tblRec[[#This Row],[مفتاح الكشف]])+1)</f>
        <v/>
      </c>
    </row>
    <row r="9">
      <c r="A9" s="43" t="inlineStr">
        <is>
          <t>RV-0005</t>
        </is>
      </c>
      <c r="B9" s="53" t="n">
        <v>45991</v>
      </c>
      <c r="C9" s="43" t="inlineStr">
        <is>
          <t>C002</t>
        </is>
      </c>
      <c r="D9" s="52">
        <f>IF(tblRec[[#This Row],[كود العميل]]="","",IFERROR(INDEX(tblCustomers[اسم العميل],MATCH(tblRec[[#This Row],[كود العميل]],tblCustomers[كود العميل],0)),"⚠ كود غير موجود"))</f>
        <v/>
      </c>
      <c r="E9" s="43" t="inlineStr">
        <is>
          <t>INV-2025-0008</t>
        </is>
      </c>
      <c r="F9" s="43" t="inlineStr">
        <is>
          <t>تحصيل</t>
        </is>
      </c>
      <c r="G9" s="54" t="n">
        <v>14600</v>
      </c>
      <c r="H9" s="43" t="inlineStr">
        <is>
          <t>شيك</t>
        </is>
      </c>
      <c r="I9"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9" s="52">
        <f>IF(AND(tblRec[[#This Row],[كود العميل]]=StCust,tblRec[[#This Row],[التاريخ]]&gt;=StFrom,tblRec[[#This Row],[التاريخ]]&lt;=StTo),tblRec[[#This Row],[التاريخ]]*100000+50000+ROW(),"")</f>
        <v/>
      </c>
      <c r="K9" s="52">
        <f>IF(tblRec[[#This Row],[مفتاح الكشف]]="","",COUNTIF(tblInv[مفتاح الكشف],"&lt;"&amp;tblRec[[#This Row],[مفتاح الكشف]])+COUNTIF(tblRec[مفتاح الكشف],"&lt;"&amp;tblRec[[#This Row],[مفتاح الكشف]])+1)</f>
        <v/>
      </c>
    </row>
    <row r="10">
      <c r="A10" s="43" t="inlineStr">
        <is>
          <t>RV-0006</t>
        </is>
      </c>
      <c r="B10" s="53" t="n">
        <v>46017</v>
      </c>
      <c r="C10" s="43" t="inlineStr">
        <is>
          <t>C015</t>
        </is>
      </c>
      <c r="D10" s="52">
        <f>IF(tblRec[[#This Row],[كود العميل]]="","",IFERROR(INDEX(tblCustomers[اسم العميل],MATCH(tblRec[[#This Row],[كود العميل]],tblCustomers[كود العميل],0)),"⚠ كود غير موجود"))</f>
        <v/>
      </c>
      <c r="E10" s="43" t="inlineStr">
        <is>
          <t>INV-2025-0003</t>
        </is>
      </c>
      <c r="F10" s="43" t="inlineStr">
        <is>
          <t>تحصيل</t>
        </is>
      </c>
      <c r="G10" s="54" t="n">
        <v>26680</v>
      </c>
      <c r="H10" s="43" t="inlineStr">
        <is>
          <t>نقاط بيع</t>
        </is>
      </c>
      <c r="I10"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0" s="52">
        <f>IF(AND(tblRec[[#This Row],[كود العميل]]=StCust,tblRec[[#This Row],[التاريخ]]&gt;=StFrom,tblRec[[#This Row],[التاريخ]]&lt;=StTo),tblRec[[#This Row],[التاريخ]]*100000+50000+ROW(),"")</f>
        <v/>
      </c>
      <c r="K10" s="52">
        <f>IF(tblRec[[#This Row],[مفتاح الكشف]]="","",COUNTIF(tblInv[مفتاح الكشف],"&lt;"&amp;tblRec[[#This Row],[مفتاح الكشف]])+COUNTIF(tblRec[مفتاح الكشف],"&lt;"&amp;tblRec[[#This Row],[مفتاح الكشف]])+1)</f>
        <v/>
      </c>
    </row>
    <row r="11">
      <c r="A11" s="43" t="inlineStr">
        <is>
          <t>RV-0007</t>
        </is>
      </c>
      <c r="B11" s="53" t="n">
        <v>46018</v>
      </c>
      <c r="C11" s="43" t="inlineStr">
        <is>
          <t>C008</t>
        </is>
      </c>
      <c r="D11" s="52">
        <f>IF(tblRec[[#This Row],[كود العميل]]="","",IFERROR(INDEX(tblCustomers[اسم العميل],MATCH(tblRec[[#This Row],[كود العميل]],tblCustomers[كود العميل],0)),"⚠ كود غير موجود"))</f>
        <v/>
      </c>
      <c r="E11" s="43" t="inlineStr">
        <is>
          <t>INV-2025-0015</t>
        </is>
      </c>
      <c r="F11" s="43" t="inlineStr">
        <is>
          <t>تحصيل</t>
        </is>
      </c>
      <c r="G11" s="54" t="n">
        <v>32085</v>
      </c>
      <c r="H11" s="43" t="inlineStr">
        <is>
          <t>نقاط بيع</t>
        </is>
      </c>
      <c r="I11"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1" s="52">
        <f>IF(AND(tblRec[[#This Row],[كود العميل]]=StCust,tblRec[[#This Row],[التاريخ]]&gt;=StFrom,tblRec[[#This Row],[التاريخ]]&lt;=StTo),tblRec[[#This Row],[التاريخ]]*100000+50000+ROW(),"")</f>
        <v/>
      </c>
      <c r="K11" s="52">
        <f>IF(tblRec[[#This Row],[مفتاح الكشف]]="","",COUNTIF(tblInv[مفتاح الكشف],"&lt;"&amp;tblRec[[#This Row],[مفتاح الكشف]])+COUNTIF(tblRec[مفتاح الكشف],"&lt;"&amp;tblRec[[#This Row],[مفتاح الكشف]])+1)</f>
        <v/>
      </c>
    </row>
    <row r="12">
      <c r="A12" s="43" t="inlineStr">
        <is>
          <t>RV-0008</t>
        </is>
      </c>
      <c r="B12" s="53" t="n">
        <v>46022</v>
      </c>
      <c r="C12" s="43" t="inlineStr">
        <is>
          <t>C008</t>
        </is>
      </c>
      <c r="D12" s="52">
        <f>IF(tblRec[[#This Row],[كود العميل]]="","",IFERROR(INDEX(tblCustomers[اسم العميل],MATCH(tblRec[[#This Row],[كود العميل]],tblCustomers[كود العميل],0)),"⚠ كود غير موجود"))</f>
        <v/>
      </c>
      <c r="E12" s="43" t="inlineStr">
        <is>
          <t>INV-2025-0012</t>
        </is>
      </c>
      <c r="F12" s="43" t="inlineStr">
        <is>
          <t>تحصيل</t>
        </is>
      </c>
      <c r="G12" s="54" t="n">
        <v>11845</v>
      </c>
      <c r="H12" s="43" t="inlineStr">
        <is>
          <t>شيك</t>
        </is>
      </c>
      <c r="I12"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2" s="52">
        <f>IF(AND(tblRec[[#This Row],[كود العميل]]=StCust,tblRec[[#This Row],[التاريخ]]&gt;=StFrom,tblRec[[#This Row],[التاريخ]]&lt;=StTo),tblRec[[#This Row],[التاريخ]]*100000+50000+ROW(),"")</f>
        <v/>
      </c>
      <c r="K12" s="52">
        <f>IF(tblRec[[#This Row],[مفتاح الكشف]]="","",COUNTIF(tblInv[مفتاح الكشف],"&lt;"&amp;tblRec[[#This Row],[مفتاح الكشف]])+COUNTIF(tblRec[مفتاح الكشف],"&lt;"&amp;tblRec[[#This Row],[مفتاح الكشف]])+1)</f>
        <v/>
      </c>
    </row>
    <row r="13">
      <c r="A13" s="43" t="inlineStr">
        <is>
          <t>RV-0009</t>
        </is>
      </c>
      <c r="B13" s="53" t="n">
        <v>46024</v>
      </c>
      <c r="C13" s="43" t="inlineStr">
        <is>
          <t>C012</t>
        </is>
      </c>
      <c r="D13" s="52">
        <f>IF(tblRec[[#This Row],[كود العميل]]="","",IFERROR(INDEX(tblCustomers[اسم العميل],MATCH(tblRec[[#This Row],[كود العميل]],tblCustomers[كود العميل],0)),"⚠ كود غير موجود"))</f>
        <v/>
      </c>
      <c r="E13" s="43" t="inlineStr">
        <is>
          <t>INV-2025-0006</t>
        </is>
      </c>
      <c r="F13" s="43" t="inlineStr">
        <is>
          <t>تحصيل</t>
        </is>
      </c>
      <c r="G13" s="54" t="n">
        <v>42435</v>
      </c>
      <c r="H13" s="43" t="inlineStr">
        <is>
          <t>نقدي</t>
        </is>
      </c>
      <c r="I13"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3" s="52">
        <f>IF(AND(tblRec[[#This Row],[كود العميل]]=StCust,tblRec[[#This Row],[التاريخ]]&gt;=StFrom,tblRec[[#This Row],[التاريخ]]&lt;=StTo),tblRec[[#This Row],[التاريخ]]*100000+50000+ROW(),"")</f>
        <v/>
      </c>
      <c r="K13" s="52">
        <f>IF(tblRec[[#This Row],[مفتاح الكشف]]="","",COUNTIF(tblInv[مفتاح الكشف],"&lt;"&amp;tblRec[[#This Row],[مفتاح الكشف]])+COUNTIF(tblRec[مفتاح الكشف],"&lt;"&amp;tblRec[[#This Row],[مفتاح الكشف]])+1)</f>
        <v/>
      </c>
    </row>
    <row r="14">
      <c r="A14" s="43" t="inlineStr">
        <is>
          <t>RV-0010</t>
        </is>
      </c>
      <c r="B14" s="53" t="n">
        <v>46026</v>
      </c>
      <c r="C14" s="43" t="inlineStr">
        <is>
          <t>C005</t>
        </is>
      </c>
      <c r="D14" s="52">
        <f>IF(tblRec[[#This Row],[كود العميل]]="","",IFERROR(INDEX(tblCustomers[اسم العميل],MATCH(tblRec[[#This Row],[كود العميل]],tblCustomers[كود العميل],0)),"⚠ كود غير موجود"))</f>
        <v/>
      </c>
      <c r="E14" s="43" t="inlineStr">
        <is>
          <t>INV-2025-0013</t>
        </is>
      </c>
      <c r="F14" s="43" t="inlineStr">
        <is>
          <t>تحصيل</t>
        </is>
      </c>
      <c r="G14" s="54" t="n">
        <v>44620</v>
      </c>
      <c r="H14" s="43" t="inlineStr">
        <is>
          <t>نقاط بيع</t>
        </is>
      </c>
      <c r="I14"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4" s="52">
        <f>IF(AND(tblRec[[#This Row],[كود العميل]]=StCust,tblRec[[#This Row],[التاريخ]]&gt;=StFrom,tblRec[[#This Row],[التاريخ]]&lt;=StTo),tblRec[[#This Row],[التاريخ]]*100000+50000+ROW(),"")</f>
        <v/>
      </c>
      <c r="K14" s="52">
        <f>IF(tblRec[[#This Row],[مفتاح الكشف]]="","",COUNTIF(tblInv[مفتاح الكشف],"&lt;"&amp;tblRec[[#This Row],[مفتاح الكشف]])+COUNTIF(tblRec[مفتاح الكشف],"&lt;"&amp;tblRec[[#This Row],[مفتاح الكشف]])+1)</f>
        <v/>
      </c>
    </row>
    <row r="15">
      <c r="A15" s="43" t="inlineStr">
        <is>
          <t>RV-0011</t>
        </is>
      </c>
      <c r="B15" s="53" t="n">
        <v>46042</v>
      </c>
      <c r="C15" s="43" t="inlineStr">
        <is>
          <t>C002</t>
        </is>
      </c>
      <c r="D15" s="52">
        <f>IF(tblRec[[#This Row],[كود العميل]]="","",IFERROR(INDEX(tblCustomers[اسم العميل],MATCH(tblRec[[#This Row],[كود العميل]],tblCustomers[كود العميل],0)),"⚠ كود غير موجود"))</f>
        <v/>
      </c>
      <c r="E15" s="43" t="inlineStr">
        <is>
          <t>INV-2025-0014</t>
        </is>
      </c>
      <c r="F15" s="43" t="inlineStr">
        <is>
          <t>تحصيل</t>
        </is>
      </c>
      <c r="G15" s="54" t="n">
        <v>10120</v>
      </c>
      <c r="H15" s="43" t="inlineStr">
        <is>
          <t>شيك</t>
        </is>
      </c>
      <c r="I1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5" s="52">
        <f>IF(AND(tblRec[[#This Row],[كود العميل]]=StCust,tblRec[[#This Row],[التاريخ]]&gt;=StFrom,tblRec[[#This Row],[التاريخ]]&lt;=StTo),tblRec[[#This Row],[التاريخ]]*100000+50000+ROW(),"")</f>
        <v/>
      </c>
      <c r="K15" s="52">
        <f>IF(tblRec[[#This Row],[مفتاح الكشف]]="","",COUNTIF(tblInv[مفتاح الكشف],"&lt;"&amp;tblRec[[#This Row],[مفتاح الكشف]])+COUNTIF(tblRec[مفتاح الكشف],"&lt;"&amp;tblRec[[#This Row],[مفتاح الكشف]])+1)</f>
        <v/>
      </c>
    </row>
    <row r="16">
      <c r="A16" s="43" t="inlineStr">
        <is>
          <t>RV-0012</t>
        </is>
      </c>
      <c r="B16" s="53" t="n">
        <v>46044</v>
      </c>
      <c r="C16" s="43" t="inlineStr">
        <is>
          <t>C007</t>
        </is>
      </c>
      <c r="D16" s="52">
        <f>IF(tblRec[[#This Row],[كود العميل]]="","",IFERROR(INDEX(tblCustomers[اسم العميل],MATCH(tblRec[[#This Row],[كود العميل]],tblCustomers[كود العميل],0)),"⚠ كود غير موجود"))</f>
        <v/>
      </c>
      <c r="E16" s="43" t="inlineStr">
        <is>
          <t>INV-2026-0022</t>
        </is>
      </c>
      <c r="F16" s="43" t="inlineStr">
        <is>
          <t>تحصيل</t>
        </is>
      </c>
      <c r="G16" s="54" t="n">
        <v>21965</v>
      </c>
      <c r="H16" s="43" t="inlineStr">
        <is>
          <t>نقاط بيع</t>
        </is>
      </c>
      <c r="I1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6" s="52">
        <f>IF(AND(tblRec[[#This Row],[كود العميل]]=StCust,tblRec[[#This Row],[التاريخ]]&gt;=StFrom,tblRec[[#This Row],[التاريخ]]&lt;=StTo),tblRec[[#This Row],[التاريخ]]*100000+50000+ROW(),"")</f>
        <v/>
      </c>
      <c r="K16" s="52">
        <f>IF(tblRec[[#This Row],[مفتاح الكشف]]="","",COUNTIF(tblInv[مفتاح الكشف],"&lt;"&amp;tblRec[[#This Row],[مفتاح الكشف]])+COUNTIF(tblRec[مفتاح الكشف],"&lt;"&amp;tblRec[[#This Row],[مفتاح الكشف]])+1)</f>
        <v/>
      </c>
    </row>
    <row r="17">
      <c r="A17" s="43" t="inlineStr">
        <is>
          <t>RV-0013</t>
        </is>
      </c>
      <c r="B17" s="53" t="n">
        <v>46048</v>
      </c>
      <c r="C17" s="43" t="inlineStr">
        <is>
          <t>C012</t>
        </is>
      </c>
      <c r="D17" s="52">
        <f>IF(tblRec[[#This Row],[كود العميل]]="","",IFERROR(INDEX(tblCustomers[اسم العميل],MATCH(tblRec[[#This Row],[كود العميل]],tblCustomers[كود العميل],0)),"⚠ كود غير موجود"))</f>
        <v/>
      </c>
      <c r="E17" s="43" t="inlineStr">
        <is>
          <t>INV-2025-0009</t>
        </is>
      </c>
      <c r="F17" s="43" t="inlineStr">
        <is>
          <t>تحصيل</t>
        </is>
      </c>
      <c r="G17" s="54" t="n">
        <v>5865</v>
      </c>
      <c r="H17" s="43" t="inlineStr">
        <is>
          <t>شيك</t>
        </is>
      </c>
      <c r="I1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7" s="52">
        <f>IF(AND(tblRec[[#This Row],[كود العميل]]=StCust,tblRec[[#This Row],[التاريخ]]&gt;=StFrom,tblRec[[#This Row],[التاريخ]]&lt;=StTo),tblRec[[#This Row],[التاريخ]]*100000+50000+ROW(),"")</f>
        <v/>
      </c>
      <c r="K17" s="52">
        <f>IF(tblRec[[#This Row],[مفتاح الكشف]]="","",COUNTIF(tblInv[مفتاح الكشف],"&lt;"&amp;tblRec[[#This Row],[مفتاح الكشف]])+COUNTIF(tblRec[مفتاح الكشف],"&lt;"&amp;tblRec[[#This Row],[مفتاح الكشف]])+1)</f>
        <v/>
      </c>
    </row>
    <row r="18">
      <c r="A18" s="43" t="inlineStr">
        <is>
          <t>RV-0014</t>
        </is>
      </c>
      <c r="B18" s="53" t="n">
        <v>46049</v>
      </c>
      <c r="C18" s="43" t="inlineStr">
        <is>
          <t>C006</t>
        </is>
      </c>
      <c r="D18" s="52">
        <f>IF(tblRec[[#This Row],[كود العميل]]="","",IFERROR(INDEX(tblCustomers[اسم العميل],MATCH(tblRec[[#This Row],[كود العميل]],tblCustomers[كود العميل],0)),"⚠ كود غير موجود"))</f>
        <v/>
      </c>
      <c r="E18" s="43" t="inlineStr">
        <is>
          <t>INV-2025-0011</t>
        </is>
      </c>
      <c r="F18" s="43" t="inlineStr">
        <is>
          <t>تحصيل</t>
        </is>
      </c>
      <c r="G18" s="54" t="n">
        <v>29727.5</v>
      </c>
      <c r="H18" s="43" t="inlineStr">
        <is>
          <t>نقاط بيع</t>
        </is>
      </c>
      <c r="I18"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8" s="52">
        <f>IF(AND(tblRec[[#This Row],[كود العميل]]=StCust,tblRec[[#This Row],[التاريخ]]&gt;=StFrom,tblRec[[#This Row],[التاريخ]]&lt;=StTo),tblRec[[#This Row],[التاريخ]]*100000+50000+ROW(),"")</f>
        <v/>
      </c>
      <c r="K18" s="52">
        <f>IF(tblRec[[#This Row],[مفتاح الكشف]]="","",COUNTIF(tblInv[مفتاح الكشف],"&lt;"&amp;tblRec[[#This Row],[مفتاح الكشف]])+COUNTIF(tblRec[مفتاح الكشف],"&lt;"&amp;tblRec[[#This Row],[مفتاح الكشف]])+1)</f>
        <v/>
      </c>
    </row>
    <row r="19">
      <c r="A19" s="43" t="inlineStr">
        <is>
          <t>RV-0015</t>
        </is>
      </c>
      <c r="B19" s="53" t="n">
        <v>46073</v>
      </c>
      <c r="C19" s="43" t="inlineStr">
        <is>
          <t>C005</t>
        </is>
      </c>
      <c r="D19" s="52">
        <f>IF(tblRec[[#This Row],[كود العميل]]="","",IFERROR(INDEX(tblCustomers[اسم العميل],MATCH(tblRec[[#This Row],[كود العميل]],tblCustomers[كود العميل],0)),"⚠ كود غير موجود"))</f>
        <v/>
      </c>
      <c r="E19" s="43" t="inlineStr">
        <is>
          <t>INV-2026-0024</t>
        </is>
      </c>
      <c r="F19" s="43" t="inlineStr">
        <is>
          <t>تحصيل</t>
        </is>
      </c>
      <c r="G19" s="54" t="n">
        <v>24437.5</v>
      </c>
      <c r="H19" s="43" t="inlineStr">
        <is>
          <t>تحويل</t>
        </is>
      </c>
      <c r="I19"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9" s="52">
        <f>IF(AND(tblRec[[#This Row],[كود العميل]]=StCust,tblRec[[#This Row],[التاريخ]]&gt;=StFrom,tblRec[[#This Row],[التاريخ]]&lt;=StTo),tblRec[[#This Row],[التاريخ]]*100000+50000+ROW(),"")</f>
        <v/>
      </c>
      <c r="K19" s="52">
        <f>IF(tblRec[[#This Row],[مفتاح الكشف]]="","",COUNTIF(tblInv[مفتاح الكشف],"&lt;"&amp;tblRec[[#This Row],[مفتاح الكشف]])+COUNTIF(tblRec[مفتاح الكشف],"&lt;"&amp;tblRec[[#This Row],[مفتاح الكشف]])+1)</f>
        <v/>
      </c>
    </row>
    <row r="20">
      <c r="A20" s="43" t="inlineStr">
        <is>
          <t>RV-0016</t>
        </is>
      </c>
      <c r="B20" s="53" t="n">
        <v>46076</v>
      </c>
      <c r="C20" s="43" t="inlineStr">
        <is>
          <t>C002</t>
        </is>
      </c>
      <c r="D20" s="52">
        <f>IF(tblRec[[#This Row],[كود العميل]]="","",IFERROR(INDEX(tblCustomers[اسم العميل],MATCH(tblRec[[#This Row],[كود العميل]],tblCustomers[كود العميل],0)),"⚠ كود غير موجود"))</f>
        <v/>
      </c>
      <c r="E20" s="43" t="inlineStr">
        <is>
          <t>INV-2026-0021</t>
        </is>
      </c>
      <c r="F20" s="43" t="inlineStr">
        <is>
          <t>تحصيل</t>
        </is>
      </c>
      <c r="G20" s="54" t="n">
        <v>47322.5</v>
      </c>
      <c r="H20" s="43" t="inlineStr">
        <is>
          <t>نقاط بيع</t>
        </is>
      </c>
      <c r="I20"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0" s="52">
        <f>IF(AND(tblRec[[#This Row],[كود العميل]]=StCust,tblRec[[#This Row],[التاريخ]]&gt;=StFrom,tblRec[[#This Row],[التاريخ]]&lt;=StTo),tblRec[[#This Row],[التاريخ]]*100000+50000+ROW(),"")</f>
        <v/>
      </c>
      <c r="K20" s="52">
        <f>IF(tblRec[[#This Row],[مفتاح الكشف]]="","",COUNTIF(tblInv[مفتاح الكشف],"&lt;"&amp;tblRec[[#This Row],[مفتاح الكشف]])+COUNTIF(tblRec[مفتاح الكشف],"&lt;"&amp;tblRec[[#This Row],[مفتاح الكشف]])+1)</f>
        <v/>
      </c>
    </row>
    <row r="21">
      <c r="A21" s="43" t="inlineStr">
        <is>
          <t>RV-0017</t>
        </is>
      </c>
      <c r="B21" s="53" t="n">
        <v>46092</v>
      </c>
      <c r="C21" s="43" t="inlineStr">
        <is>
          <t>C002</t>
        </is>
      </c>
      <c r="D21" s="52">
        <f>IF(tblRec[[#This Row],[كود العميل]]="","",IFERROR(INDEX(tblCustomers[اسم العميل],MATCH(tblRec[[#This Row],[كود العميل]],tblCustomers[كود العميل],0)),"⚠ كود غير موجود"))</f>
        <v/>
      </c>
      <c r="E21" s="43" t="inlineStr">
        <is>
          <t>INV-2026-0026</t>
        </is>
      </c>
      <c r="F21" s="43" t="inlineStr">
        <is>
          <t>تحصيل</t>
        </is>
      </c>
      <c r="G21" s="54" t="n">
        <v>12880</v>
      </c>
      <c r="H21" s="43" t="inlineStr">
        <is>
          <t>نقاط بيع</t>
        </is>
      </c>
      <c r="I21"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1" s="52">
        <f>IF(AND(tblRec[[#This Row],[كود العميل]]=StCust,tblRec[[#This Row],[التاريخ]]&gt;=StFrom,tblRec[[#This Row],[التاريخ]]&lt;=StTo),tblRec[[#This Row],[التاريخ]]*100000+50000+ROW(),"")</f>
        <v/>
      </c>
      <c r="K21" s="52">
        <f>IF(tblRec[[#This Row],[مفتاح الكشف]]="","",COUNTIF(tblInv[مفتاح الكشف],"&lt;"&amp;tblRec[[#This Row],[مفتاح الكشف]])+COUNTIF(tblRec[مفتاح الكشف],"&lt;"&amp;tblRec[[#This Row],[مفتاح الكشف]])+1)</f>
        <v/>
      </c>
    </row>
    <row r="22">
      <c r="A22" s="43" t="inlineStr">
        <is>
          <t>RV-0018</t>
        </is>
      </c>
      <c r="B22" s="53" t="n">
        <v>46101</v>
      </c>
      <c r="C22" s="43" t="inlineStr">
        <is>
          <t>C006</t>
        </is>
      </c>
      <c r="D22" s="52">
        <f>IF(tblRec[[#This Row],[كود العميل]]="","",IFERROR(INDEX(tblCustomers[اسم العميل],MATCH(tblRec[[#This Row],[كود العميل]],tblCustomers[كود العميل],0)),"⚠ كود غير موجود"))</f>
        <v/>
      </c>
      <c r="E22" s="43" t="inlineStr">
        <is>
          <t>INV-2025-0017</t>
        </is>
      </c>
      <c r="F22" s="43" t="inlineStr">
        <is>
          <t>تحصيل</t>
        </is>
      </c>
      <c r="G22" s="54" t="n">
        <v>39157.5</v>
      </c>
      <c r="H22" s="43" t="inlineStr">
        <is>
          <t>تحويل</t>
        </is>
      </c>
      <c r="I22"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2" s="52">
        <f>IF(AND(tblRec[[#This Row],[كود العميل]]=StCust,tblRec[[#This Row],[التاريخ]]&gt;=StFrom,tblRec[[#This Row],[التاريخ]]&lt;=StTo),tblRec[[#This Row],[التاريخ]]*100000+50000+ROW(),"")</f>
        <v/>
      </c>
      <c r="K22" s="52">
        <f>IF(tblRec[[#This Row],[مفتاح الكشف]]="","",COUNTIF(tblInv[مفتاح الكشف],"&lt;"&amp;tblRec[[#This Row],[مفتاح الكشف]])+COUNTIF(tblRec[مفتاح الكشف],"&lt;"&amp;tblRec[[#This Row],[مفتاح الكشف]])+1)</f>
        <v/>
      </c>
    </row>
    <row r="23">
      <c r="A23" s="43" t="inlineStr">
        <is>
          <t>RV-0019</t>
        </is>
      </c>
      <c r="B23" s="53" t="n">
        <v>46103</v>
      </c>
      <c r="C23" s="43" t="inlineStr">
        <is>
          <t>C015</t>
        </is>
      </c>
      <c r="D23" s="52">
        <f>IF(tblRec[[#This Row],[كود العميل]]="","",IFERROR(INDEX(tblCustomers[اسم العميل],MATCH(tblRec[[#This Row],[كود العميل]],tblCustomers[كود العميل],0)),"⚠ كود غير موجود"))</f>
        <v/>
      </c>
      <c r="E23" s="43" t="inlineStr">
        <is>
          <t>INV-2025-0018</t>
        </is>
      </c>
      <c r="F23" s="43" t="inlineStr">
        <is>
          <t>تحصيل</t>
        </is>
      </c>
      <c r="G23" s="54" t="n">
        <v>43470</v>
      </c>
      <c r="H23" s="43" t="inlineStr">
        <is>
          <t>تحويل</t>
        </is>
      </c>
      <c r="I23"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3" s="52">
        <f>IF(AND(tblRec[[#This Row],[كود العميل]]=StCust,tblRec[[#This Row],[التاريخ]]&gt;=StFrom,tblRec[[#This Row],[التاريخ]]&lt;=StTo),tblRec[[#This Row],[التاريخ]]*100000+50000+ROW(),"")</f>
        <v/>
      </c>
      <c r="K23" s="52">
        <f>IF(tblRec[[#This Row],[مفتاح الكشف]]="","",COUNTIF(tblInv[مفتاح الكشف],"&lt;"&amp;tblRec[[#This Row],[مفتاح الكشف]])+COUNTIF(tblRec[مفتاح الكشف],"&lt;"&amp;tblRec[[#This Row],[مفتاح الكشف]])+1)</f>
        <v/>
      </c>
    </row>
    <row r="24">
      <c r="A24" s="43" t="inlineStr">
        <is>
          <t>RV-0020</t>
        </is>
      </c>
      <c r="B24" s="53" t="n">
        <v>46107</v>
      </c>
      <c r="C24" s="43" t="inlineStr">
        <is>
          <t>C011</t>
        </is>
      </c>
      <c r="D24" s="52">
        <f>IF(tblRec[[#This Row],[كود العميل]]="","",IFERROR(INDEX(tblCustomers[اسم العميل],MATCH(tblRec[[#This Row],[كود العميل]],tblCustomers[كود العميل],0)),"⚠ كود غير موجود"))</f>
        <v/>
      </c>
      <c r="E24" s="43" t="inlineStr">
        <is>
          <t>INV-2025-0016</t>
        </is>
      </c>
      <c r="F24" s="43" t="inlineStr">
        <is>
          <t>تحصيل</t>
        </is>
      </c>
      <c r="G24" s="54" t="n">
        <v>31970</v>
      </c>
      <c r="H24" s="43" t="inlineStr">
        <is>
          <t>نقدي</t>
        </is>
      </c>
      <c r="I24"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4" s="52">
        <f>IF(AND(tblRec[[#This Row],[كود العميل]]=StCust,tblRec[[#This Row],[التاريخ]]&gt;=StFrom,tblRec[[#This Row],[التاريخ]]&lt;=StTo),tblRec[[#This Row],[التاريخ]]*100000+50000+ROW(),"")</f>
        <v/>
      </c>
      <c r="K24" s="52">
        <f>IF(tblRec[[#This Row],[مفتاح الكشف]]="","",COUNTIF(tblInv[مفتاح الكشف],"&lt;"&amp;tblRec[[#This Row],[مفتاح الكشف]])+COUNTIF(tblRec[مفتاح الكشف],"&lt;"&amp;tblRec[[#This Row],[مفتاح الكشف]])+1)</f>
        <v/>
      </c>
    </row>
    <row r="25">
      <c r="A25" s="43" t="inlineStr">
        <is>
          <t>RV-0021</t>
        </is>
      </c>
      <c r="B25" s="53" t="n">
        <v>46109</v>
      </c>
      <c r="C25" s="43" t="inlineStr">
        <is>
          <t>C008</t>
        </is>
      </c>
      <c r="D25" s="52">
        <f>IF(tblRec[[#This Row],[كود العميل]]="","",IFERROR(INDEX(tblCustomers[اسم العميل],MATCH(tblRec[[#This Row],[كود العميل]],tblCustomers[كود العميل],0)),"⚠ كود غير موجود"))</f>
        <v/>
      </c>
      <c r="E25" s="43" t="inlineStr">
        <is>
          <t>INV-2026-0030</t>
        </is>
      </c>
      <c r="F25" s="43" t="inlineStr">
        <is>
          <t>تحصيل</t>
        </is>
      </c>
      <c r="G25" s="54" t="n">
        <v>45942.5</v>
      </c>
      <c r="H25" s="43" t="inlineStr">
        <is>
          <t>تحويل</t>
        </is>
      </c>
      <c r="I2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5" s="52">
        <f>IF(AND(tblRec[[#This Row],[كود العميل]]=StCust,tblRec[[#This Row],[التاريخ]]&gt;=StFrom,tblRec[[#This Row],[التاريخ]]&lt;=StTo),tblRec[[#This Row],[التاريخ]]*100000+50000+ROW(),"")</f>
        <v/>
      </c>
      <c r="K25" s="52">
        <f>IF(tblRec[[#This Row],[مفتاح الكشف]]="","",COUNTIF(tblInv[مفتاح الكشف],"&lt;"&amp;tblRec[[#This Row],[مفتاح الكشف]])+COUNTIF(tblRec[مفتاح الكشف],"&lt;"&amp;tblRec[[#This Row],[مفتاح الكشف]])+1)</f>
        <v/>
      </c>
    </row>
    <row r="26">
      <c r="A26" s="43" t="inlineStr">
        <is>
          <t>RV-0022</t>
        </is>
      </c>
      <c r="B26" s="53" t="n">
        <v>46120</v>
      </c>
      <c r="C26" s="43" t="inlineStr">
        <is>
          <t>C015</t>
        </is>
      </c>
      <c r="D26" s="52">
        <f>IF(tblRec[[#This Row],[كود العميل]]="","",IFERROR(INDEX(tblCustomers[اسم العميل],MATCH(tblRec[[#This Row],[كود العميل]],tblCustomers[كود العميل],0)),"⚠ كود غير موجود"))</f>
        <v/>
      </c>
      <c r="E26" s="43" t="inlineStr">
        <is>
          <t>INV-2026-0025</t>
        </is>
      </c>
      <c r="F26" s="43" t="inlineStr">
        <is>
          <t>تحصيل</t>
        </is>
      </c>
      <c r="G26" s="54" t="n">
        <v>27197.5</v>
      </c>
      <c r="H26" s="43" t="inlineStr">
        <is>
          <t>نقدي</t>
        </is>
      </c>
      <c r="I2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6" s="52">
        <f>IF(AND(tblRec[[#This Row],[كود العميل]]=StCust,tblRec[[#This Row],[التاريخ]]&gt;=StFrom,tblRec[[#This Row],[التاريخ]]&lt;=StTo),tblRec[[#This Row],[التاريخ]]*100000+50000+ROW(),"")</f>
        <v/>
      </c>
      <c r="K26" s="52">
        <f>IF(tblRec[[#This Row],[مفتاح الكشف]]="","",COUNTIF(tblInv[مفتاح الكشف],"&lt;"&amp;tblRec[[#This Row],[مفتاح الكشف]])+COUNTIF(tblRec[مفتاح الكشف],"&lt;"&amp;tblRec[[#This Row],[مفتاح الكشف]])+1)</f>
        <v/>
      </c>
    </row>
    <row r="27">
      <c r="A27" s="43" t="inlineStr">
        <is>
          <t>RV-0023</t>
        </is>
      </c>
      <c r="B27" s="53" t="n">
        <v>46134</v>
      </c>
      <c r="C27" s="43" t="inlineStr">
        <is>
          <t>C008</t>
        </is>
      </c>
      <c r="D27" s="52">
        <f>IF(tblRec[[#This Row],[كود العميل]]="","",IFERROR(INDEX(tblCustomers[اسم العميل],MATCH(tblRec[[#This Row],[كود العميل]],tblCustomers[كود العميل],0)),"⚠ كود غير موجود"))</f>
        <v/>
      </c>
      <c r="E27" s="43" t="inlineStr">
        <is>
          <t>INV-2026-0032</t>
        </is>
      </c>
      <c r="F27" s="43" t="inlineStr">
        <is>
          <t>تحصيل</t>
        </is>
      </c>
      <c r="G27" s="54" t="n">
        <v>44505</v>
      </c>
      <c r="H27" s="43" t="inlineStr">
        <is>
          <t>نقاط بيع</t>
        </is>
      </c>
      <c r="I2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7" s="52">
        <f>IF(AND(tblRec[[#This Row],[كود العميل]]=StCust,tblRec[[#This Row],[التاريخ]]&gt;=StFrom,tblRec[[#This Row],[التاريخ]]&lt;=StTo),tblRec[[#This Row],[التاريخ]]*100000+50000+ROW(),"")</f>
        <v/>
      </c>
      <c r="K27" s="52">
        <f>IF(tblRec[[#This Row],[مفتاح الكشف]]="","",COUNTIF(tblInv[مفتاح الكشف],"&lt;"&amp;tblRec[[#This Row],[مفتاح الكشف]])+COUNTIF(tblRec[مفتاح الكشف],"&lt;"&amp;tblRec[[#This Row],[مفتاح الكشف]])+1)</f>
        <v/>
      </c>
    </row>
    <row r="28">
      <c r="A28" s="43" t="inlineStr">
        <is>
          <t>RV-0024</t>
        </is>
      </c>
      <c r="B28" s="53" t="n">
        <v>46137</v>
      </c>
      <c r="C28" s="43" t="inlineStr">
        <is>
          <t>C005</t>
        </is>
      </c>
      <c r="D28" s="52">
        <f>IF(tblRec[[#This Row],[كود العميل]]="","",IFERROR(INDEX(tblCustomers[اسم العميل],MATCH(tblRec[[#This Row],[كود العميل]],tblCustomers[كود العميل],0)),"⚠ كود غير موجود"))</f>
        <v/>
      </c>
      <c r="E28" s="43" t="inlineStr">
        <is>
          <t>INV-2026-0037</t>
        </is>
      </c>
      <c r="F28" s="43" t="inlineStr">
        <is>
          <t>تحصيل</t>
        </is>
      </c>
      <c r="G28" s="54" t="n">
        <v>39962.5</v>
      </c>
      <c r="H28" s="43" t="inlineStr">
        <is>
          <t>تحويل</t>
        </is>
      </c>
      <c r="I28"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8" s="52">
        <f>IF(AND(tblRec[[#This Row],[كود العميل]]=StCust,tblRec[[#This Row],[التاريخ]]&gt;=StFrom,tblRec[[#This Row],[التاريخ]]&lt;=StTo),tblRec[[#This Row],[التاريخ]]*100000+50000+ROW(),"")</f>
        <v/>
      </c>
      <c r="K28" s="52">
        <f>IF(tblRec[[#This Row],[مفتاح الكشف]]="","",COUNTIF(tblInv[مفتاح الكشف],"&lt;"&amp;tblRec[[#This Row],[مفتاح الكشف]])+COUNTIF(tblRec[مفتاح الكشف],"&lt;"&amp;tblRec[[#This Row],[مفتاح الكشف]])+1)</f>
        <v/>
      </c>
    </row>
    <row r="29">
      <c r="A29" s="43" t="inlineStr">
        <is>
          <t>RV-0025</t>
        </is>
      </c>
      <c r="B29" s="53" t="n">
        <v>46142</v>
      </c>
      <c r="C29" s="43" t="inlineStr">
        <is>
          <t>C002</t>
        </is>
      </c>
      <c r="D29" s="52">
        <f>IF(tblRec[[#This Row],[كود العميل]]="","",IFERROR(INDEX(tblCustomers[اسم العميل],MATCH(tblRec[[#This Row],[كود العميل]],tblCustomers[كود العميل],0)),"⚠ كود غير موجود"))</f>
        <v/>
      </c>
      <c r="E29" s="43" t="inlineStr">
        <is>
          <t>INV-2026-0029</t>
        </is>
      </c>
      <c r="F29" s="43" t="inlineStr">
        <is>
          <t>تحصيل</t>
        </is>
      </c>
      <c r="G29" s="54" t="n">
        <v>49220</v>
      </c>
      <c r="H29" s="43" t="inlineStr">
        <is>
          <t>نقاط بيع</t>
        </is>
      </c>
      <c r="I29"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9" s="52">
        <f>IF(AND(tblRec[[#This Row],[كود العميل]]=StCust,tblRec[[#This Row],[التاريخ]]&gt;=StFrom,tblRec[[#This Row],[التاريخ]]&lt;=StTo),tblRec[[#This Row],[التاريخ]]*100000+50000+ROW(),"")</f>
        <v/>
      </c>
      <c r="K29" s="52">
        <f>IF(tblRec[[#This Row],[مفتاح الكشف]]="","",COUNTIF(tblInv[مفتاح الكشف],"&lt;"&amp;tblRec[[#This Row],[مفتاح الكشف]])+COUNTIF(tblRec[مفتاح الكشف],"&lt;"&amp;tblRec[[#This Row],[مفتاح الكشف]])+1)</f>
        <v/>
      </c>
    </row>
    <row r="30">
      <c r="A30" s="43" t="inlineStr">
        <is>
          <t>RV-0026</t>
        </is>
      </c>
      <c r="B30" s="53" t="n">
        <v>46146</v>
      </c>
      <c r="C30" s="43" t="inlineStr">
        <is>
          <t>C005</t>
        </is>
      </c>
      <c r="D30" s="52">
        <f>IF(tblRec[[#This Row],[كود العميل]]="","",IFERROR(INDEX(tblCustomers[اسم العميل],MATCH(tblRec[[#This Row],[كود العميل]],tblCustomers[كود العميل],0)),"⚠ كود غير موجود"))</f>
        <v/>
      </c>
      <c r="E30" s="43" t="inlineStr">
        <is>
          <t>INV-2026-0041</t>
        </is>
      </c>
      <c r="F30" s="43" t="inlineStr">
        <is>
          <t>تحصيل</t>
        </is>
      </c>
      <c r="G30" s="54" t="n">
        <v>33120</v>
      </c>
      <c r="H30" s="43" t="inlineStr">
        <is>
          <t>نقدي</t>
        </is>
      </c>
      <c r="I30"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0" s="52">
        <f>IF(AND(tblRec[[#This Row],[كود العميل]]=StCust,tblRec[[#This Row],[التاريخ]]&gt;=StFrom,tblRec[[#This Row],[التاريخ]]&lt;=StTo),tblRec[[#This Row],[التاريخ]]*100000+50000+ROW(),"")</f>
        <v/>
      </c>
      <c r="K30" s="52">
        <f>IF(tblRec[[#This Row],[مفتاح الكشف]]="","",COUNTIF(tblInv[مفتاح الكشف],"&lt;"&amp;tblRec[[#This Row],[مفتاح الكشف]])+COUNTIF(tblRec[مفتاح الكشف],"&lt;"&amp;tblRec[[#This Row],[مفتاح الكشف]])+1)</f>
        <v/>
      </c>
    </row>
    <row r="31">
      <c r="A31" s="43" t="inlineStr">
        <is>
          <t>RV-0027</t>
        </is>
      </c>
      <c r="B31" s="53" t="n">
        <v>46149</v>
      </c>
      <c r="C31" s="43" t="inlineStr">
        <is>
          <t>C006</t>
        </is>
      </c>
      <c r="D31" s="52">
        <f>IF(tblRec[[#This Row],[كود العميل]]="","",IFERROR(INDEX(tblCustomers[اسم العميل],MATCH(tblRec[[#This Row],[كود العميل]],tblCustomers[كود العميل],0)),"⚠ كود غير موجود"))</f>
        <v/>
      </c>
      <c r="E31" s="43" t="inlineStr">
        <is>
          <t>INV-2026-0023</t>
        </is>
      </c>
      <c r="F31" s="43" t="inlineStr">
        <is>
          <t>تحصيل</t>
        </is>
      </c>
      <c r="G31" s="54" t="n">
        <v>16560</v>
      </c>
      <c r="H31" s="43" t="inlineStr">
        <is>
          <t>نقدي</t>
        </is>
      </c>
      <c r="I31"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1" s="52">
        <f>IF(AND(tblRec[[#This Row],[كود العميل]]=StCust,tblRec[[#This Row],[التاريخ]]&gt;=StFrom,tblRec[[#This Row],[التاريخ]]&lt;=StTo),tblRec[[#This Row],[التاريخ]]*100000+50000+ROW(),"")</f>
        <v/>
      </c>
      <c r="K31" s="52">
        <f>IF(tblRec[[#This Row],[مفتاح الكشف]]="","",COUNTIF(tblInv[مفتاح الكشف],"&lt;"&amp;tblRec[[#This Row],[مفتاح الكشف]])+COUNTIF(tblRec[مفتاح الكشف],"&lt;"&amp;tblRec[[#This Row],[مفتاح الكشف]])+1)</f>
        <v/>
      </c>
    </row>
    <row r="32">
      <c r="A32" s="43" t="inlineStr">
        <is>
          <t>RV-0028</t>
        </is>
      </c>
      <c r="B32" s="53" t="n">
        <v>46153</v>
      </c>
      <c r="C32" s="43" t="inlineStr">
        <is>
          <t>C011</t>
        </is>
      </c>
      <c r="D32" s="52">
        <f>IF(tblRec[[#This Row],[كود العميل]]="","",IFERROR(INDEX(tblCustomers[اسم العميل],MATCH(tblRec[[#This Row],[كود العميل]],tblCustomers[كود العميل],0)),"⚠ كود غير موجود"))</f>
        <v/>
      </c>
      <c r="E32" s="43" t="inlineStr">
        <is>
          <t>INV-2026-0027</t>
        </is>
      </c>
      <c r="F32" s="43" t="inlineStr">
        <is>
          <t>تحصيل</t>
        </is>
      </c>
      <c r="G32" s="54" t="n">
        <v>26392.5</v>
      </c>
      <c r="H32" s="43" t="inlineStr">
        <is>
          <t>شيك</t>
        </is>
      </c>
      <c r="I32"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2" s="52">
        <f>IF(AND(tblRec[[#This Row],[كود العميل]]=StCust,tblRec[[#This Row],[التاريخ]]&gt;=StFrom,tblRec[[#This Row],[التاريخ]]&lt;=StTo),tblRec[[#This Row],[التاريخ]]*100000+50000+ROW(),"")</f>
        <v/>
      </c>
      <c r="K32" s="52">
        <f>IF(tblRec[[#This Row],[مفتاح الكشف]]="","",COUNTIF(tblInv[مفتاح الكشف],"&lt;"&amp;tblRec[[#This Row],[مفتاح الكشف]])+COUNTIF(tblRec[مفتاح الكشف],"&lt;"&amp;tblRec[[#This Row],[مفتاح الكشف]])+1)</f>
        <v/>
      </c>
    </row>
    <row r="33">
      <c r="A33" s="43" t="inlineStr">
        <is>
          <t>RV-0029</t>
        </is>
      </c>
      <c r="B33" s="53" t="n">
        <v>46162</v>
      </c>
      <c r="C33" s="43" t="inlineStr">
        <is>
          <t>C011</t>
        </is>
      </c>
      <c r="D33" s="52">
        <f>IF(tblRec[[#This Row],[كود العميل]]="","",IFERROR(INDEX(tblCustomers[اسم العميل],MATCH(tblRec[[#This Row],[كود العميل]],tblCustomers[كود العميل],0)),"⚠ كود غير موجود"))</f>
        <v/>
      </c>
      <c r="E33" s="43" t="inlineStr">
        <is>
          <t>INV-2026-0031</t>
        </is>
      </c>
      <c r="F33" s="43" t="inlineStr">
        <is>
          <t>تحصيل</t>
        </is>
      </c>
      <c r="G33" s="54" t="n">
        <v>14835</v>
      </c>
      <c r="H33" s="43" t="inlineStr">
        <is>
          <t>نقدي</t>
        </is>
      </c>
      <c r="I33"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3" s="52">
        <f>IF(AND(tblRec[[#This Row],[كود العميل]]=StCust,tblRec[[#This Row],[التاريخ]]&gt;=StFrom,tblRec[[#This Row],[التاريخ]]&lt;=StTo),tblRec[[#This Row],[التاريخ]]*100000+50000+ROW(),"")</f>
        <v/>
      </c>
      <c r="K33" s="52">
        <f>IF(tblRec[[#This Row],[مفتاح الكشف]]="","",COUNTIF(tblInv[مفتاح الكشف],"&lt;"&amp;tblRec[[#This Row],[مفتاح الكشف]])+COUNTIF(tblRec[مفتاح الكشف],"&lt;"&amp;tblRec[[#This Row],[مفتاح الكشف]])+1)</f>
        <v/>
      </c>
    </row>
    <row r="34">
      <c r="A34" s="43" t="inlineStr">
        <is>
          <t>RV-0030</t>
        </is>
      </c>
      <c r="B34" s="53" t="n">
        <v>46165</v>
      </c>
      <c r="C34" s="43" t="inlineStr">
        <is>
          <t>C009</t>
        </is>
      </c>
      <c r="D34" s="52">
        <f>IF(tblRec[[#This Row],[كود العميل]]="","",IFERROR(INDEX(tblCustomers[اسم العميل],MATCH(tblRec[[#This Row],[كود العميل]],tblCustomers[كود العميل],0)),"⚠ كود غير موجود"))</f>
        <v/>
      </c>
      <c r="E34" s="43" t="inlineStr">
        <is>
          <t>INV-2026-0035</t>
        </is>
      </c>
      <c r="F34" s="43" t="inlineStr">
        <is>
          <t>تحصيل</t>
        </is>
      </c>
      <c r="G34" s="54" t="n">
        <v>34097.5</v>
      </c>
      <c r="H34" s="43" t="inlineStr">
        <is>
          <t>شيك</t>
        </is>
      </c>
      <c r="I34"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4" s="52">
        <f>IF(AND(tblRec[[#This Row],[كود العميل]]=StCust,tblRec[[#This Row],[التاريخ]]&gt;=StFrom,tblRec[[#This Row],[التاريخ]]&lt;=StTo),tblRec[[#This Row],[التاريخ]]*100000+50000+ROW(),"")</f>
        <v/>
      </c>
      <c r="K34" s="52">
        <f>IF(tblRec[[#This Row],[مفتاح الكشف]]="","",COUNTIF(tblInv[مفتاح الكشف],"&lt;"&amp;tblRec[[#This Row],[مفتاح الكشف]])+COUNTIF(tblRec[مفتاح الكشف],"&lt;"&amp;tblRec[[#This Row],[مفتاح الكشف]])+1)</f>
        <v/>
      </c>
    </row>
    <row r="35">
      <c r="A35" s="43" t="inlineStr">
        <is>
          <t>RV-0031</t>
        </is>
      </c>
      <c r="B35" s="53" t="n">
        <v>46166</v>
      </c>
      <c r="C35" s="43" t="inlineStr">
        <is>
          <t>C008</t>
        </is>
      </c>
      <c r="D35" s="52">
        <f>IF(tblRec[[#This Row],[كود العميل]]="","",IFERROR(INDEX(tblCustomers[اسم العميل],MATCH(tblRec[[#This Row],[كود العميل]],tblCustomers[كود العميل],0)),"⚠ كود غير موجود"))</f>
        <v/>
      </c>
      <c r="E35" s="43" t="inlineStr">
        <is>
          <t>INV-2026-0048</t>
        </is>
      </c>
      <c r="F35" s="43" t="inlineStr">
        <is>
          <t>تحصيل</t>
        </is>
      </c>
      <c r="G35" s="54" t="n">
        <v>25932.5</v>
      </c>
      <c r="H35" s="43" t="inlineStr">
        <is>
          <t>شيك</t>
        </is>
      </c>
      <c r="I3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5" s="52">
        <f>IF(AND(tblRec[[#This Row],[كود العميل]]=StCust,tblRec[[#This Row],[التاريخ]]&gt;=StFrom,tblRec[[#This Row],[التاريخ]]&lt;=StTo),tblRec[[#This Row],[التاريخ]]*100000+50000+ROW(),"")</f>
        <v/>
      </c>
      <c r="K35" s="52">
        <f>IF(tblRec[[#This Row],[مفتاح الكشف]]="","",COUNTIF(tblInv[مفتاح الكشف],"&lt;"&amp;tblRec[[#This Row],[مفتاح الكشف]])+COUNTIF(tblRec[مفتاح الكشف],"&lt;"&amp;tblRec[[#This Row],[مفتاح الكشف]])+1)</f>
        <v/>
      </c>
    </row>
    <row r="36">
      <c r="A36" s="43" t="inlineStr">
        <is>
          <t>RV-0032</t>
        </is>
      </c>
      <c r="B36" s="53" t="n">
        <v>46174</v>
      </c>
      <c r="C36" s="43" t="inlineStr">
        <is>
          <t>C015</t>
        </is>
      </c>
      <c r="D36" s="52">
        <f>IF(tblRec[[#This Row],[كود العميل]]="","",IFERROR(INDEX(tblCustomers[اسم العميل],MATCH(tblRec[[#This Row],[كود العميل]],tblCustomers[كود العميل],0)),"⚠ كود غير موجود"))</f>
        <v/>
      </c>
      <c r="E36" s="43" t="inlineStr">
        <is>
          <t>INV-2026-0034</t>
        </is>
      </c>
      <c r="F36" s="43" t="inlineStr">
        <is>
          <t>تحصيل</t>
        </is>
      </c>
      <c r="G36" s="54" t="n">
        <v>8337.5</v>
      </c>
      <c r="H36" s="43" t="inlineStr">
        <is>
          <t>نقدي</t>
        </is>
      </c>
      <c r="I3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6" s="52">
        <f>IF(AND(tblRec[[#This Row],[كود العميل]]=StCust,tblRec[[#This Row],[التاريخ]]&gt;=StFrom,tblRec[[#This Row],[التاريخ]]&lt;=StTo),tblRec[[#This Row],[التاريخ]]*100000+50000+ROW(),"")</f>
        <v/>
      </c>
      <c r="K36" s="52">
        <f>IF(tblRec[[#This Row],[مفتاح الكشف]]="","",COUNTIF(tblInv[مفتاح الكشف],"&lt;"&amp;tblRec[[#This Row],[مفتاح الكشف]])+COUNTIF(tblRec[مفتاح الكشف],"&lt;"&amp;tblRec[[#This Row],[مفتاح الكشف]])+1)</f>
        <v/>
      </c>
    </row>
    <row r="37">
      <c r="A37" s="43" t="inlineStr">
        <is>
          <t>RV-0033</t>
        </is>
      </c>
      <c r="B37" s="53" t="n">
        <v>46174</v>
      </c>
      <c r="C37" s="43" t="inlineStr">
        <is>
          <t>C002</t>
        </is>
      </c>
      <c r="D37" s="52">
        <f>IF(tblRec[[#This Row],[كود العميل]]="","",IFERROR(INDEX(tblCustomers[اسم العميل],MATCH(tblRec[[#This Row],[كود العميل]],tblCustomers[كود العميل],0)),"⚠ كود غير موجود"))</f>
        <v/>
      </c>
      <c r="E37" s="43" t="inlineStr">
        <is>
          <t>INV-2026-0042</t>
        </is>
      </c>
      <c r="F37" s="43" t="inlineStr">
        <is>
          <t>تحصيل</t>
        </is>
      </c>
      <c r="G37" s="54" t="n">
        <v>46172.5</v>
      </c>
      <c r="H37" s="43" t="inlineStr">
        <is>
          <t>نقاط بيع</t>
        </is>
      </c>
      <c r="I3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7" s="52">
        <f>IF(AND(tblRec[[#This Row],[كود العميل]]=StCust,tblRec[[#This Row],[التاريخ]]&gt;=StFrom,tblRec[[#This Row],[التاريخ]]&lt;=StTo),tblRec[[#This Row],[التاريخ]]*100000+50000+ROW(),"")</f>
        <v/>
      </c>
      <c r="K37" s="52">
        <f>IF(tblRec[[#This Row],[مفتاح الكشف]]="","",COUNTIF(tblInv[مفتاح الكشف],"&lt;"&amp;tblRec[[#This Row],[مفتاح الكشف]])+COUNTIF(tblRec[مفتاح الكشف],"&lt;"&amp;tblRec[[#This Row],[مفتاح الكشف]])+1)</f>
        <v/>
      </c>
    </row>
    <row r="38">
      <c r="A38" s="43" t="inlineStr">
        <is>
          <t>RV-0034</t>
        </is>
      </c>
      <c r="B38" s="53" t="n">
        <v>46182</v>
      </c>
      <c r="C38" s="43" t="inlineStr">
        <is>
          <t>C007</t>
        </is>
      </c>
      <c r="D38" s="52">
        <f>IF(tblRec[[#This Row],[كود العميل]]="","",IFERROR(INDEX(tblCustomers[اسم العميل],MATCH(tblRec[[#This Row],[كود العميل]],tblCustomers[كود العميل],0)),"⚠ كود غير موجود"))</f>
        <v/>
      </c>
      <c r="E38" s="43" t="inlineStr">
        <is>
          <t>INV-2026-0057</t>
        </is>
      </c>
      <c r="F38" s="43" t="inlineStr">
        <is>
          <t>تحصيل</t>
        </is>
      </c>
      <c r="G38" s="54" t="n">
        <v>25800</v>
      </c>
      <c r="H38" s="43" t="inlineStr">
        <is>
          <t>تحويل</t>
        </is>
      </c>
      <c r="I38"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8" s="52">
        <f>IF(AND(tblRec[[#This Row],[كود العميل]]=StCust,tblRec[[#This Row],[التاريخ]]&gt;=StFrom,tblRec[[#This Row],[التاريخ]]&lt;=StTo),tblRec[[#This Row],[التاريخ]]*100000+50000+ROW(),"")</f>
        <v/>
      </c>
      <c r="K38" s="52">
        <f>IF(tblRec[[#This Row],[مفتاح الكشف]]="","",COUNTIF(tblInv[مفتاح الكشف],"&lt;"&amp;tblRec[[#This Row],[مفتاح الكشف]])+COUNTIF(tblRec[مفتاح الكشف],"&lt;"&amp;tblRec[[#This Row],[مفتاح الكشف]])+1)</f>
        <v/>
      </c>
    </row>
    <row r="39">
      <c r="A39" s="43" t="inlineStr">
        <is>
          <t>RV-0035</t>
        </is>
      </c>
      <c r="B39" s="53" t="n">
        <v>46184</v>
      </c>
      <c r="C39" s="43" t="inlineStr">
        <is>
          <t>C003</t>
        </is>
      </c>
      <c r="D39" s="52">
        <f>IF(tblRec[[#This Row],[كود العميل]]="","",IFERROR(INDEX(tblCustomers[اسم العميل],MATCH(tblRec[[#This Row],[كود العميل]],tblCustomers[كود العميل],0)),"⚠ كود غير موجود"))</f>
        <v/>
      </c>
      <c r="E39" s="43" t="inlineStr">
        <is>
          <t>INV-2026-0046</t>
        </is>
      </c>
      <c r="F39" s="43" t="inlineStr">
        <is>
          <t>تحصيل</t>
        </is>
      </c>
      <c r="G39" s="54" t="n">
        <v>6785</v>
      </c>
      <c r="H39" s="43" t="inlineStr">
        <is>
          <t>شيك</t>
        </is>
      </c>
      <c r="I39"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9" s="52">
        <f>IF(AND(tblRec[[#This Row],[كود العميل]]=StCust,tblRec[[#This Row],[التاريخ]]&gt;=StFrom,tblRec[[#This Row],[التاريخ]]&lt;=StTo),tblRec[[#This Row],[التاريخ]]*100000+50000+ROW(),"")</f>
        <v/>
      </c>
      <c r="K39" s="52">
        <f>IF(tblRec[[#This Row],[مفتاح الكشف]]="","",COUNTIF(tblInv[مفتاح الكشف],"&lt;"&amp;tblRec[[#This Row],[مفتاح الكشف]])+COUNTIF(tblRec[مفتاح الكشف],"&lt;"&amp;tblRec[[#This Row],[مفتاح الكشف]])+1)</f>
        <v/>
      </c>
    </row>
    <row r="40">
      <c r="A40" s="43" t="inlineStr">
        <is>
          <t>RV-0036</t>
        </is>
      </c>
      <c r="B40" s="53" t="n">
        <v>46191</v>
      </c>
      <c r="C40" s="43" t="inlineStr">
        <is>
          <t>C009</t>
        </is>
      </c>
      <c r="D40" s="52">
        <f>IF(tblRec[[#This Row],[كود العميل]]="","",IFERROR(INDEX(tblCustomers[اسم العميل],MATCH(tblRec[[#This Row],[كود العميل]],tblCustomers[كود العميل],0)),"⚠ كود غير موجود"))</f>
        <v/>
      </c>
      <c r="E40" s="43" t="inlineStr">
        <is>
          <t>INV-2026-0050</t>
        </is>
      </c>
      <c r="F40" s="43" t="inlineStr">
        <is>
          <t>تحصيل</t>
        </is>
      </c>
      <c r="G40" s="54" t="n">
        <v>12822.5</v>
      </c>
      <c r="H40" s="43" t="inlineStr">
        <is>
          <t>نقاط بيع</t>
        </is>
      </c>
      <c r="I40"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0" s="52">
        <f>IF(AND(tblRec[[#This Row],[كود العميل]]=StCust,tblRec[[#This Row],[التاريخ]]&gt;=StFrom,tblRec[[#This Row],[التاريخ]]&lt;=StTo),tblRec[[#This Row],[التاريخ]]*100000+50000+ROW(),"")</f>
        <v/>
      </c>
      <c r="K40" s="52">
        <f>IF(tblRec[[#This Row],[مفتاح الكشف]]="","",COUNTIF(tblInv[مفتاح الكشف],"&lt;"&amp;tblRec[[#This Row],[مفتاح الكشف]])+COUNTIF(tblRec[مفتاح الكشف],"&lt;"&amp;tblRec[[#This Row],[مفتاح الكشف]])+1)</f>
        <v/>
      </c>
    </row>
    <row r="41">
      <c r="A41" s="43" t="inlineStr">
        <is>
          <t>RV-0037</t>
        </is>
      </c>
      <c r="B41" s="53" t="n">
        <v>46191</v>
      </c>
      <c r="C41" s="43" t="inlineStr">
        <is>
          <t>C007</t>
        </is>
      </c>
      <c r="D41" s="52">
        <f>IF(tblRec[[#This Row],[كود العميل]]="","",IFERROR(INDEX(tblCustomers[اسم العميل],MATCH(tblRec[[#This Row],[كود العميل]],tblCustomers[كود العميل],0)),"⚠ كود غير موجود"))</f>
        <v/>
      </c>
      <c r="E41" s="43" t="inlineStr">
        <is>
          <t>INV-2026-0062</t>
        </is>
      </c>
      <c r="F41" s="43" t="inlineStr">
        <is>
          <t>تحصيل</t>
        </is>
      </c>
      <c r="G41" s="54" t="n">
        <v>30187.5</v>
      </c>
      <c r="H41" s="43" t="inlineStr">
        <is>
          <t>تحويل</t>
        </is>
      </c>
      <c r="I41"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1" s="52">
        <f>IF(AND(tblRec[[#This Row],[كود العميل]]=StCust,tblRec[[#This Row],[التاريخ]]&gt;=StFrom,tblRec[[#This Row],[التاريخ]]&lt;=StTo),tblRec[[#This Row],[التاريخ]]*100000+50000+ROW(),"")</f>
        <v/>
      </c>
      <c r="K41" s="52">
        <f>IF(tblRec[[#This Row],[مفتاح الكشف]]="","",COUNTIF(tblInv[مفتاح الكشف],"&lt;"&amp;tblRec[[#This Row],[مفتاح الكشف]])+COUNTIF(tblRec[مفتاح الكشف],"&lt;"&amp;tblRec[[#This Row],[مفتاح الكشف]])+1)</f>
        <v/>
      </c>
    </row>
    <row r="42">
      <c r="A42" s="43" t="inlineStr">
        <is>
          <t>RV-0038</t>
        </is>
      </c>
      <c r="B42" s="53" t="n">
        <v>46194</v>
      </c>
      <c r="C42" s="43" t="inlineStr">
        <is>
          <t>C011</t>
        </is>
      </c>
      <c r="D42" s="52">
        <f>IF(tblRec[[#This Row],[كود العميل]]="","",IFERROR(INDEX(tblCustomers[اسم العميل],MATCH(tblRec[[#This Row],[كود العميل]],tblCustomers[كود العميل],0)),"⚠ كود غير موجود"))</f>
        <v/>
      </c>
      <c r="E42" s="43" t="inlineStr">
        <is>
          <t>INV-2026-0043</t>
        </is>
      </c>
      <c r="F42" s="43" t="inlineStr">
        <is>
          <t>تحصيل</t>
        </is>
      </c>
      <c r="G42" s="54" t="n">
        <v>35535</v>
      </c>
      <c r="H42" s="43" t="inlineStr">
        <is>
          <t>تحويل</t>
        </is>
      </c>
      <c r="I42"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2" s="52">
        <f>IF(AND(tblRec[[#This Row],[كود العميل]]=StCust,tblRec[[#This Row],[التاريخ]]&gt;=StFrom,tblRec[[#This Row],[التاريخ]]&lt;=StTo),tblRec[[#This Row],[التاريخ]]*100000+50000+ROW(),"")</f>
        <v/>
      </c>
      <c r="K42" s="52">
        <f>IF(tblRec[[#This Row],[مفتاح الكشف]]="","",COUNTIF(tblInv[مفتاح الكشف],"&lt;"&amp;tblRec[[#This Row],[مفتاح الكشف]])+COUNTIF(tblRec[مفتاح الكشف],"&lt;"&amp;tblRec[[#This Row],[مفتاح الكشف]])+1)</f>
        <v/>
      </c>
    </row>
    <row r="43">
      <c r="A43" s="43" t="inlineStr">
        <is>
          <t>RV-0039</t>
        </is>
      </c>
      <c r="B43" s="53" t="n">
        <v>46194</v>
      </c>
      <c r="C43" s="43" t="inlineStr">
        <is>
          <t>C003</t>
        </is>
      </c>
      <c r="D43" s="52">
        <f>IF(tblRec[[#This Row],[كود العميل]]="","",IFERROR(INDEX(tblCustomers[اسم العميل],MATCH(tblRec[[#This Row],[كود العميل]],tblCustomers[كود العميل],0)),"⚠ كود غير موجود"))</f>
        <v/>
      </c>
      <c r="E43" s="43" t="inlineStr">
        <is>
          <t>INV-2026-0044</t>
        </is>
      </c>
      <c r="F43" s="43" t="inlineStr">
        <is>
          <t>تحصيل</t>
        </is>
      </c>
      <c r="G43" s="54" t="n">
        <v>12190</v>
      </c>
      <c r="H43" s="43" t="inlineStr">
        <is>
          <t>تحويل</t>
        </is>
      </c>
      <c r="I43"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3" s="52">
        <f>IF(AND(tblRec[[#This Row],[كود العميل]]=StCust,tblRec[[#This Row],[التاريخ]]&gt;=StFrom,tblRec[[#This Row],[التاريخ]]&lt;=StTo),tblRec[[#This Row],[التاريخ]]*100000+50000+ROW(),"")</f>
        <v/>
      </c>
      <c r="K43" s="52">
        <f>IF(tblRec[[#This Row],[مفتاح الكشف]]="","",COUNTIF(tblInv[مفتاح الكشف],"&lt;"&amp;tblRec[[#This Row],[مفتاح الكشف]])+COUNTIF(tblRec[مفتاح الكشف],"&lt;"&amp;tblRec[[#This Row],[مفتاح الكشف]])+1)</f>
        <v/>
      </c>
    </row>
    <row r="44">
      <c r="A44" s="43" t="inlineStr">
        <is>
          <t>RV-0040</t>
        </is>
      </c>
      <c r="B44" s="53" t="n">
        <v>46200</v>
      </c>
      <c r="C44" s="43" t="inlineStr">
        <is>
          <t>C002</t>
        </is>
      </c>
      <c r="D44" s="52">
        <f>IF(tblRec[[#This Row],[كود العميل]]="","",IFERROR(INDEX(tblCustomers[اسم العميل],MATCH(tblRec[[#This Row],[كود العميل]],tblCustomers[كود العميل],0)),"⚠ كود غير موجود"))</f>
        <v/>
      </c>
      <c r="E44" s="43" t="inlineStr">
        <is>
          <t>INV-2026-0047</t>
        </is>
      </c>
      <c r="F44" s="43" t="inlineStr">
        <is>
          <t>تحصيل</t>
        </is>
      </c>
      <c r="G44" s="54" t="n">
        <v>8107.5</v>
      </c>
      <c r="H44" s="43" t="inlineStr">
        <is>
          <t>تحويل</t>
        </is>
      </c>
      <c r="I44"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4" s="52">
        <f>IF(AND(tblRec[[#This Row],[كود العميل]]=StCust,tblRec[[#This Row],[التاريخ]]&gt;=StFrom,tblRec[[#This Row],[التاريخ]]&lt;=StTo),tblRec[[#This Row],[التاريخ]]*100000+50000+ROW(),"")</f>
        <v/>
      </c>
      <c r="K44" s="52">
        <f>IF(tblRec[[#This Row],[مفتاح الكشف]]="","",COUNTIF(tblInv[مفتاح الكشف],"&lt;"&amp;tblRec[[#This Row],[مفتاح الكشف]])+COUNTIF(tblRec[مفتاح الكشف],"&lt;"&amp;tblRec[[#This Row],[مفتاح الكشف]])+1)</f>
        <v/>
      </c>
    </row>
    <row r="45">
      <c r="A45" s="43" t="inlineStr">
        <is>
          <t>RV-0041</t>
        </is>
      </c>
      <c r="B45" s="53" t="n">
        <v>46203</v>
      </c>
      <c r="C45" s="43" t="inlineStr">
        <is>
          <t>C015</t>
        </is>
      </c>
      <c r="D45" s="52">
        <f>IF(tblRec[[#This Row],[كود العميل]]="","",IFERROR(INDEX(tblCustomers[اسم العميل],MATCH(tblRec[[#This Row],[كود العميل]],tblCustomers[كود العميل],0)),"⚠ كود غير موجود"))</f>
        <v/>
      </c>
      <c r="E45" s="43" t="inlineStr">
        <is>
          <t>INV-2025-0007</t>
        </is>
      </c>
      <c r="F45" s="43" t="inlineStr">
        <is>
          <t>شطب دين</t>
        </is>
      </c>
      <c r="G45" s="54" t="n">
        <v>25012.5</v>
      </c>
      <c r="H45" s="43" t="n"/>
      <c r="I4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5" s="52">
        <f>IF(AND(tblRec[[#This Row],[كود العميل]]=StCust,tblRec[[#This Row],[التاريخ]]&gt;=StFrom,tblRec[[#This Row],[التاريخ]]&lt;=StTo),tblRec[[#This Row],[التاريخ]]*100000+50000+ROW(),"")</f>
        <v/>
      </c>
      <c r="K45" s="52">
        <f>IF(tblRec[[#This Row],[مفتاح الكشف]]="","",COUNTIF(tblInv[مفتاح الكشف],"&lt;"&amp;tblRec[[#This Row],[مفتاح الكشف]])+COUNTIF(tblRec[مفتاح الكشف],"&lt;"&amp;tblRec[[#This Row],[مفتاح الكشف]])+1)</f>
        <v/>
      </c>
    </row>
    <row r="46">
      <c r="A46" s="43" t="inlineStr">
        <is>
          <t>RV-0042</t>
        </is>
      </c>
      <c r="B46" s="53" t="n">
        <v>46208</v>
      </c>
      <c r="C46" s="43" t="inlineStr">
        <is>
          <t>C004</t>
        </is>
      </c>
      <c r="D46" s="52">
        <f>IF(tblRec[[#This Row],[كود العميل]]="","",IFERROR(INDEX(tblCustomers[اسم العميل],MATCH(tblRec[[#This Row],[كود العميل]],tblCustomers[كود العميل],0)),"⚠ كود غير موجود"))</f>
        <v/>
      </c>
      <c r="E46" s="43" t="inlineStr">
        <is>
          <t>INV-2026-0074</t>
        </is>
      </c>
      <c r="F46" s="43" t="inlineStr">
        <is>
          <t>إشعار دائن</t>
        </is>
      </c>
      <c r="G46" s="54" t="n">
        <v>3248.75</v>
      </c>
      <c r="H46" s="43" t="n"/>
      <c r="I4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6" s="52">
        <f>IF(AND(tblRec[[#This Row],[كود العميل]]=StCust,tblRec[[#This Row],[التاريخ]]&gt;=StFrom,tblRec[[#This Row],[التاريخ]]&lt;=StTo),tblRec[[#This Row],[التاريخ]]*100000+50000+ROW(),"")</f>
        <v/>
      </c>
      <c r="K46" s="52">
        <f>IF(tblRec[[#This Row],[مفتاح الكشف]]="","",COUNTIF(tblInv[مفتاح الكشف],"&lt;"&amp;tblRec[[#This Row],[مفتاح الكشف]])+COUNTIF(tblRec[مفتاح الكشف],"&lt;"&amp;tblRec[[#This Row],[مفتاح الكشف]])+1)</f>
        <v/>
      </c>
    </row>
    <row r="47">
      <c r="A47" s="43" t="inlineStr">
        <is>
          <t>RV-0043</t>
        </is>
      </c>
      <c r="B47" s="53" t="n">
        <v>46208</v>
      </c>
      <c r="C47" s="43" t="inlineStr">
        <is>
          <t>C004</t>
        </is>
      </c>
      <c r="D47" s="52">
        <f>IF(tblRec[[#This Row],[كود العميل]]="","",IFERROR(INDEX(tblCustomers[اسم العميل],MATCH(tblRec[[#This Row],[كود العميل]],tblCustomers[كود العميل],0)),"⚠ كود غير موجود"))</f>
        <v/>
      </c>
      <c r="E47" s="43" t="n"/>
      <c r="F47" s="43" t="inlineStr">
        <is>
          <t>تحصيل</t>
        </is>
      </c>
      <c r="G47" s="54" t="n">
        <v>5000</v>
      </c>
      <c r="H47" s="43" t="inlineStr">
        <is>
          <t>تحويل</t>
        </is>
      </c>
      <c r="I4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7" s="52">
        <f>IF(AND(tblRec[[#This Row],[كود العميل]]=StCust,tblRec[[#This Row],[التاريخ]]&gt;=StFrom,tblRec[[#This Row],[التاريخ]]&lt;=StTo),tblRec[[#This Row],[التاريخ]]*100000+50000+ROW(),"")</f>
        <v/>
      </c>
      <c r="K47" s="52">
        <f>IF(tblRec[[#This Row],[مفتاح الكشف]]="","",COUNTIF(tblInv[مفتاح الكشف],"&lt;"&amp;tblRec[[#This Row],[مفتاح الكشف]])+COUNTIF(tblRec[مفتاح الكشف],"&lt;"&amp;tblRec[[#This Row],[مفتاح الكشف]])+1)</f>
        <v/>
      </c>
    </row>
    <row r="48">
      <c r="A48" s="43" t="inlineStr">
        <is>
          <t>RV-0044</t>
        </is>
      </c>
      <c r="B48" s="53" t="n">
        <v>46210</v>
      </c>
      <c r="C48" s="43" t="inlineStr">
        <is>
          <t>C013</t>
        </is>
      </c>
      <c r="D48" s="52">
        <f>IF(tblRec[[#This Row],[كود العميل]]="","",IFERROR(INDEX(tblCustomers[اسم العميل],MATCH(tblRec[[#This Row],[كود العميل]],tblCustomers[كود العميل],0)),"⚠ كود غير موجود"))</f>
        <v/>
      </c>
      <c r="E48" s="43" t="inlineStr">
        <is>
          <t>INV-2026-0067</t>
        </is>
      </c>
      <c r="F48" s="43" t="inlineStr">
        <is>
          <t>تحصيل</t>
        </is>
      </c>
      <c r="G48" s="54" t="n">
        <v>18800</v>
      </c>
      <c r="H48" s="43" t="inlineStr">
        <is>
          <t>شيك</t>
        </is>
      </c>
      <c r="I48"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8" s="52">
        <f>IF(AND(tblRec[[#This Row],[كود العميل]]=StCust,tblRec[[#This Row],[التاريخ]]&gt;=StFrom,tblRec[[#This Row],[التاريخ]]&lt;=StTo),tblRec[[#This Row],[التاريخ]]*100000+50000+ROW(),"")</f>
        <v/>
      </c>
      <c r="K48" s="52">
        <f>IF(tblRec[[#This Row],[مفتاح الكشف]]="","",COUNTIF(tblInv[مفتاح الكشف],"&lt;"&amp;tblRec[[#This Row],[مفتاح الكشف]])+COUNTIF(tblRec[مفتاح الكشف],"&lt;"&amp;tblRec[[#This Row],[مفتاح الكشف]])+1)</f>
        <v/>
      </c>
    </row>
    <row r="49">
      <c r="A49" s="43" t="inlineStr">
        <is>
          <t>RV-0045</t>
        </is>
      </c>
      <c r="B49" s="53" t="n">
        <v>46215</v>
      </c>
      <c r="C49" s="43" t="inlineStr">
        <is>
          <t>C001</t>
        </is>
      </c>
      <c r="D49" s="52">
        <f>IF(tblRec[[#This Row],[كود العميل]]="","",IFERROR(INDEX(tblCustomers[اسم العميل],MATCH(tblRec[[#This Row],[كود العميل]],tblCustomers[كود العميل],0)),"⚠ كود غير موجود"))</f>
        <v/>
      </c>
      <c r="E49" s="43" t="inlineStr">
        <is>
          <t>INV-2026-0066</t>
        </is>
      </c>
      <c r="F49" s="43" t="inlineStr">
        <is>
          <t>تحصيل</t>
        </is>
      </c>
      <c r="G49" s="54" t="n">
        <v>44620</v>
      </c>
      <c r="H49" s="43" t="inlineStr">
        <is>
          <t>شيك</t>
        </is>
      </c>
      <c r="I49"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9" s="52">
        <f>IF(AND(tblRec[[#This Row],[كود العميل]]=StCust,tblRec[[#This Row],[التاريخ]]&gt;=StFrom,tblRec[[#This Row],[التاريخ]]&lt;=StTo),tblRec[[#This Row],[التاريخ]]*100000+50000+ROW(),"")</f>
        <v/>
      </c>
      <c r="K49" s="52">
        <f>IF(tblRec[[#This Row],[مفتاح الكشف]]="","",COUNTIF(tblInv[مفتاح الكشف],"&lt;"&amp;tblRec[[#This Row],[مفتاح الكشف]])+COUNTIF(tblRec[مفتاح الكشف],"&lt;"&amp;tblRec[[#This Row],[مفتاح الكشف]])+1)</f>
        <v/>
      </c>
    </row>
    <row r="50">
      <c r="A50" s="43" t="inlineStr">
        <is>
          <t>RV-0046</t>
        </is>
      </c>
      <c r="B50" s="53" t="n">
        <v>46217</v>
      </c>
      <c r="C50" s="43" t="inlineStr">
        <is>
          <t>C010</t>
        </is>
      </c>
      <c r="D50" s="52">
        <f>IF(tblRec[[#This Row],[كود العميل]]="","",IFERROR(INDEX(tblCustomers[اسم العميل],MATCH(tblRec[[#This Row],[كود العميل]],tblCustomers[كود العميل],0)),"⚠ كود غير موجود"))</f>
        <v/>
      </c>
      <c r="E50" s="43" t="inlineStr">
        <is>
          <t>INV-2026-0053</t>
        </is>
      </c>
      <c r="F50" s="43" t="inlineStr">
        <is>
          <t>تحصيل</t>
        </is>
      </c>
      <c r="G50" s="54" t="n">
        <v>26162.5</v>
      </c>
      <c r="H50" s="43" t="inlineStr">
        <is>
          <t>شيك</t>
        </is>
      </c>
      <c r="I50"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0" s="52">
        <f>IF(AND(tblRec[[#This Row],[كود العميل]]=StCust,tblRec[[#This Row],[التاريخ]]&gt;=StFrom,tblRec[[#This Row],[التاريخ]]&lt;=StTo),tblRec[[#This Row],[التاريخ]]*100000+50000+ROW(),"")</f>
        <v/>
      </c>
      <c r="K50" s="52">
        <f>IF(tblRec[[#This Row],[مفتاح الكشف]]="","",COUNTIF(tblInv[مفتاح الكشف],"&lt;"&amp;tblRec[[#This Row],[مفتاح الكشف]])+COUNTIF(tblRec[مفتاح الكشف],"&lt;"&amp;tblRec[[#This Row],[مفتاح الكشف]])+1)</f>
        <v/>
      </c>
    </row>
    <row r="51">
      <c r="A51" s="43" t="inlineStr">
        <is>
          <t>RV-0047</t>
        </is>
      </c>
      <c r="B51" s="53" t="n">
        <v>46217</v>
      </c>
      <c r="C51" s="43" t="inlineStr">
        <is>
          <t>C002</t>
        </is>
      </c>
      <c r="D51" s="52">
        <f>IF(tblRec[[#This Row],[كود العميل]]="","",IFERROR(INDEX(tblCustomers[اسم العميل],MATCH(tblRec[[#This Row],[كود العميل]],tblCustomers[كود العميل],0)),"⚠ كود غير موجود"))</f>
        <v/>
      </c>
      <c r="E51" s="43" t="inlineStr">
        <is>
          <t>INV-2026-0077</t>
        </is>
      </c>
      <c r="F51" s="43" t="inlineStr">
        <is>
          <t>إشعار دائن</t>
        </is>
      </c>
      <c r="G51" s="54" t="n">
        <v>270.25</v>
      </c>
      <c r="H51" s="43" t="n"/>
      <c r="I51"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1" s="52">
        <f>IF(AND(tblRec[[#This Row],[كود العميل]]=StCust,tblRec[[#This Row],[التاريخ]]&gt;=StFrom,tblRec[[#This Row],[التاريخ]]&lt;=StTo),tblRec[[#This Row],[التاريخ]]*100000+50000+ROW(),"")</f>
        <v/>
      </c>
      <c r="K51" s="52">
        <f>IF(tblRec[[#This Row],[مفتاح الكشف]]="","",COUNTIF(tblInv[مفتاح الكشف],"&lt;"&amp;tblRec[[#This Row],[مفتاح الكشف]])+COUNTIF(tblRec[مفتاح الكشف],"&lt;"&amp;tblRec[[#This Row],[مفتاح الكشف]])+1)</f>
        <v/>
      </c>
    </row>
    <row r="52">
      <c r="A52" s="43" t="inlineStr">
        <is>
          <t>RV-0048</t>
        </is>
      </c>
      <c r="B52" s="53" t="n">
        <v>46219</v>
      </c>
      <c r="C52" s="43" t="inlineStr">
        <is>
          <t>C006</t>
        </is>
      </c>
      <c r="D52" s="52">
        <f>IF(tblRec[[#This Row],[كود العميل]]="","",IFERROR(INDEX(tblCustomers[اسم العميل],MATCH(tblRec[[#This Row],[كود العميل]],tblCustomers[كود العميل],0)),"⚠ كود غير موجود"))</f>
        <v/>
      </c>
      <c r="E52" s="43" t="inlineStr">
        <is>
          <t>INV-2026-0036</t>
        </is>
      </c>
      <c r="F52" s="43" t="inlineStr">
        <is>
          <t>تحصيل</t>
        </is>
      </c>
      <c r="G52" s="54" t="n">
        <v>47092.5</v>
      </c>
      <c r="H52" s="43" t="inlineStr">
        <is>
          <t>نقدي</t>
        </is>
      </c>
      <c r="I52"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2" s="52">
        <f>IF(AND(tblRec[[#This Row],[كود العميل]]=StCust,tblRec[[#This Row],[التاريخ]]&gt;=StFrom,tblRec[[#This Row],[التاريخ]]&lt;=StTo),tblRec[[#This Row],[التاريخ]]*100000+50000+ROW(),"")</f>
        <v/>
      </c>
      <c r="K52" s="52">
        <f>IF(tblRec[[#This Row],[مفتاح الكشف]]="","",COUNTIF(tblInv[مفتاح الكشف],"&lt;"&amp;tblRec[[#This Row],[مفتاح الكشف]])+COUNTIF(tblRec[مفتاح الكشف],"&lt;"&amp;tblRec[[#This Row],[مفتاح الكشف]])+1)</f>
        <v/>
      </c>
    </row>
    <row r="53">
      <c r="A53" s="43" t="inlineStr">
        <is>
          <t>RV-0049</t>
        </is>
      </c>
      <c r="B53" s="53" t="n">
        <v>46224</v>
      </c>
      <c r="C53" s="43" t="inlineStr">
        <is>
          <t>C009</t>
        </is>
      </c>
      <c r="D53" s="52">
        <f>IF(tblRec[[#This Row],[كود العميل]]="","",IFERROR(INDEX(tblCustomers[اسم العميل],MATCH(tblRec[[#This Row],[كود العميل]],tblCustomers[كود العميل],0)),"⚠ كود غير موجود"))</f>
        <v/>
      </c>
      <c r="E53" s="43" t="inlineStr">
        <is>
          <t>INV-2026-0039</t>
        </is>
      </c>
      <c r="F53" s="43" t="inlineStr">
        <is>
          <t>تحصيل</t>
        </is>
      </c>
      <c r="G53" s="54" t="n">
        <v>29555</v>
      </c>
      <c r="H53" s="43" t="inlineStr">
        <is>
          <t>شيك</t>
        </is>
      </c>
      <c r="I53"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3" s="52">
        <f>IF(AND(tblRec[[#This Row],[كود العميل]]=StCust,tblRec[[#This Row],[التاريخ]]&gt;=StFrom,tblRec[[#This Row],[التاريخ]]&lt;=StTo),tblRec[[#This Row],[التاريخ]]*100000+50000+ROW(),"")</f>
        <v/>
      </c>
      <c r="K53" s="52">
        <f>IF(tblRec[[#This Row],[مفتاح الكشف]]="","",COUNTIF(tblInv[مفتاح الكشف],"&lt;"&amp;tblRec[[#This Row],[مفتاح الكشف]])+COUNTIF(tblRec[مفتاح الكشف],"&lt;"&amp;tblRec[[#This Row],[مفتاح الكشف]])+1)</f>
        <v/>
      </c>
    </row>
    <row r="54">
      <c r="A54" s="43" t="inlineStr">
        <is>
          <t>RV-0050</t>
        </is>
      </c>
      <c r="B54" s="53" t="n">
        <v>46225</v>
      </c>
      <c r="C54" s="43" t="inlineStr">
        <is>
          <t>C005</t>
        </is>
      </c>
      <c r="D54" s="52">
        <f>IF(tblRec[[#This Row],[كود العميل]]="","",IFERROR(INDEX(tblCustomers[اسم العميل],MATCH(tblRec[[#This Row],[كود العميل]],tblCustomers[كود العميل],0)),"⚠ كود غير موجود"))</f>
        <v/>
      </c>
      <c r="E54" s="43" t="inlineStr">
        <is>
          <t>INV-2026-0063</t>
        </is>
      </c>
      <c r="F54" s="43" t="inlineStr">
        <is>
          <t>تحصيل</t>
        </is>
      </c>
      <c r="G54" s="54" t="n">
        <v>15500</v>
      </c>
      <c r="H54" s="43" t="inlineStr">
        <is>
          <t>نقدي</t>
        </is>
      </c>
      <c r="I54"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4" s="52">
        <f>IF(AND(tblRec[[#This Row],[كود العميل]]=StCust,tblRec[[#This Row],[التاريخ]]&gt;=StFrom,tblRec[[#This Row],[التاريخ]]&lt;=StTo),tblRec[[#This Row],[التاريخ]]*100000+50000+ROW(),"")</f>
        <v/>
      </c>
      <c r="K54" s="52">
        <f>IF(tblRec[[#This Row],[مفتاح الكشف]]="","",COUNTIF(tblInv[مفتاح الكشف],"&lt;"&amp;tblRec[[#This Row],[مفتاح الكشف]])+COUNTIF(tblRec[مفتاح الكشف],"&lt;"&amp;tblRec[[#This Row],[مفتاح الكشف]])+1)</f>
        <v/>
      </c>
    </row>
    <row r="55">
      <c r="A55" s="43" t="inlineStr">
        <is>
          <t>RV-0051</t>
        </is>
      </c>
      <c r="B55" s="53" t="n">
        <v>46226</v>
      </c>
      <c r="C55" s="43" t="inlineStr">
        <is>
          <t>C009</t>
        </is>
      </c>
      <c r="D55" s="52">
        <f>IF(tblRec[[#This Row],[كود العميل]]="","",IFERROR(INDEX(tblCustomers[اسم العميل],MATCH(tblRec[[#This Row],[كود العميل]],tblCustomers[كود العميل],0)),"⚠ كود غير موجود"))</f>
        <v/>
      </c>
      <c r="E55" s="43" t="inlineStr">
        <is>
          <t>INV-2026-0079</t>
        </is>
      </c>
      <c r="F55" s="43" t="inlineStr">
        <is>
          <t>خصم مسموح به</t>
        </is>
      </c>
      <c r="G55" s="54" t="n">
        <v>534.75</v>
      </c>
      <c r="H55" s="43" t="n"/>
      <c r="I5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5" s="52">
        <f>IF(AND(tblRec[[#This Row],[كود العميل]]=StCust,tblRec[[#This Row],[التاريخ]]&gt;=StFrom,tblRec[[#This Row],[التاريخ]]&lt;=StTo),tblRec[[#This Row],[التاريخ]]*100000+50000+ROW(),"")</f>
        <v/>
      </c>
      <c r="K55" s="52">
        <f>IF(tblRec[[#This Row],[مفتاح الكشف]]="","",COUNTIF(tblInv[مفتاح الكشف],"&lt;"&amp;tblRec[[#This Row],[مفتاح الكشف]])+COUNTIF(tblRec[مفتاح الكشف],"&lt;"&amp;tblRec[[#This Row],[مفتاح الكشف]])+1)</f>
        <v/>
      </c>
    </row>
    <row r="56">
      <c r="A56" s="43" t="inlineStr">
        <is>
          <t>RV-0052</t>
        </is>
      </c>
      <c r="B56" s="53" t="n">
        <v>46227</v>
      </c>
      <c r="C56" s="43" t="inlineStr">
        <is>
          <t>C012</t>
        </is>
      </c>
      <c r="D56" s="52">
        <f>IF(tblRec[[#This Row],[كود العميل]]="","",IFERROR(INDEX(tblCustomers[اسم العميل],MATCH(tblRec[[#This Row],[كود العميل]],tblCustomers[كود العميل],0)),"⚠ كود غير موجود"))</f>
        <v/>
      </c>
      <c r="E56" s="43" t="inlineStr">
        <is>
          <t>INV-2026-0065</t>
        </is>
      </c>
      <c r="F56" s="43" t="inlineStr">
        <is>
          <t>تحصيل</t>
        </is>
      </c>
      <c r="G56" s="54" t="n">
        <v>13340</v>
      </c>
      <c r="H56" s="43" t="inlineStr">
        <is>
          <t>شيك</t>
        </is>
      </c>
      <c r="I5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6" s="52">
        <f>IF(AND(tblRec[[#This Row],[كود العميل]]=StCust,tblRec[[#This Row],[التاريخ]]&gt;=StFrom,tblRec[[#This Row],[التاريخ]]&lt;=StTo),tblRec[[#This Row],[التاريخ]]*100000+50000+ROW(),"")</f>
        <v/>
      </c>
      <c r="K56" s="52">
        <f>IF(tblRec[[#This Row],[مفتاح الكشف]]="","",COUNTIF(tblInv[مفتاح الكشف],"&lt;"&amp;tblRec[[#This Row],[مفتاح الكشف]])+COUNTIF(tblRec[مفتاح الكشف],"&lt;"&amp;tblRec[[#This Row],[مفتاح الكشف]])+1)</f>
        <v/>
      </c>
    </row>
    <row r="57">
      <c r="A57" s="43" t="inlineStr">
        <is>
          <t>RV-0053</t>
        </is>
      </c>
      <c r="B57" s="53" t="n">
        <v>46227</v>
      </c>
      <c r="C57" s="43" t="inlineStr">
        <is>
          <t>C011</t>
        </is>
      </c>
      <c r="D57" s="52">
        <f>IF(tblRec[[#This Row],[كود العميل]]="","",IFERROR(INDEX(tblCustomers[اسم العميل],MATCH(tblRec[[#This Row],[كود العميل]],tblCustomers[كود العميل],0)),"⚠ كود غير موجود"))</f>
        <v/>
      </c>
      <c r="E57" s="43" t="inlineStr">
        <is>
          <t>INV-2026-0082</t>
        </is>
      </c>
      <c r="F57" s="43" t="inlineStr">
        <is>
          <t>خصم مسموح به</t>
        </is>
      </c>
      <c r="G57" s="54" t="n">
        <v>905.05</v>
      </c>
      <c r="H57" s="43" t="n"/>
      <c r="I5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7" s="52">
        <f>IF(AND(tblRec[[#This Row],[كود العميل]]=StCust,tblRec[[#This Row],[التاريخ]]&gt;=StFrom,tblRec[[#This Row],[التاريخ]]&lt;=StTo),tblRec[[#This Row],[التاريخ]]*100000+50000+ROW(),"")</f>
        <v/>
      </c>
      <c r="K57" s="52">
        <f>IF(tblRec[[#This Row],[مفتاح الكشف]]="","",COUNTIF(tblInv[مفتاح الكشف],"&lt;"&amp;tblRec[[#This Row],[مفتاح الكشف]])+COUNTIF(tblRec[مفتاح الكشف],"&lt;"&amp;tblRec[[#This Row],[مفتاح الكشف]])+1)</f>
        <v/>
      </c>
    </row>
    <row r="58">
      <c r="A58" s="43" t="inlineStr">
        <is>
          <t>RV-0054</t>
        </is>
      </c>
      <c r="B58" s="53" t="n">
        <v>46228</v>
      </c>
      <c r="C58" s="43" t="inlineStr">
        <is>
          <t>C007</t>
        </is>
      </c>
      <c r="D58" s="52">
        <f>IF(tblRec[[#This Row],[كود العميل]]="","",IFERROR(INDEX(tblCustomers[اسم العميل],MATCH(tblRec[[#This Row],[كود العميل]],tblCustomers[كود العميل],0)),"⚠ كود غير موجود"))</f>
        <v/>
      </c>
      <c r="E58" s="43" t="inlineStr">
        <is>
          <t>INV-2026-0080</t>
        </is>
      </c>
      <c r="F58" s="43" t="inlineStr">
        <is>
          <t>تحصيل</t>
        </is>
      </c>
      <c r="G58" s="54" t="n">
        <v>35362.5</v>
      </c>
      <c r="H58" s="43" t="inlineStr">
        <is>
          <t>تحويل</t>
        </is>
      </c>
      <c r="I58"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8" s="52">
        <f>IF(AND(tblRec[[#This Row],[كود العميل]]=StCust,tblRec[[#This Row],[التاريخ]]&gt;=StFrom,tblRec[[#This Row],[التاريخ]]&lt;=StTo),tblRec[[#This Row],[التاريخ]]*100000+50000+ROW(),"")</f>
        <v/>
      </c>
      <c r="K58" s="52">
        <f>IF(tblRec[[#This Row],[مفتاح الكشف]]="","",COUNTIF(tblInv[مفتاح الكشف],"&lt;"&amp;tblRec[[#This Row],[مفتاح الكشف]])+COUNTIF(tblRec[مفتاح الكشف],"&lt;"&amp;tblRec[[#This Row],[مفتاح الكشف]])+1)</f>
        <v/>
      </c>
    </row>
    <row r="59">
      <c r="A59" s="43" t="inlineStr">
        <is>
          <t>RV-0055</t>
        </is>
      </c>
      <c r="B59" s="53" t="n">
        <v>46229</v>
      </c>
      <c r="C59" s="43" t="inlineStr">
        <is>
          <t>C011</t>
        </is>
      </c>
      <c r="D59" s="52">
        <f>IF(tblRec[[#This Row],[كود العميل]]="","",IFERROR(INDEX(tblCustomers[اسم العميل],MATCH(tblRec[[#This Row],[كود العميل]],tblCustomers[كود العميل],0)),"⚠ كود غير موجود"))</f>
        <v/>
      </c>
      <c r="E59" s="43" t="inlineStr">
        <is>
          <t>INV-2026-0051</t>
        </is>
      </c>
      <c r="F59" s="43" t="inlineStr">
        <is>
          <t>تحصيل</t>
        </is>
      </c>
      <c r="G59" s="54" t="n">
        <v>8337.5</v>
      </c>
      <c r="H59" s="43" t="inlineStr">
        <is>
          <t>نقاط بيع</t>
        </is>
      </c>
      <c r="I59"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9" s="52">
        <f>IF(AND(tblRec[[#This Row],[كود العميل]]=StCust,tblRec[[#This Row],[التاريخ]]&gt;=StFrom,tblRec[[#This Row],[التاريخ]]&lt;=StTo),tblRec[[#This Row],[التاريخ]]*100000+50000+ROW(),"")</f>
        <v/>
      </c>
      <c r="K59" s="52">
        <f>IF(tblRec[[#This Row],[مفتاح الكشف]]="","",COUNTIF(tblInv[مفتاح الكشف],"&lt;"&amp;tblRec[[#This Row],[مفتاح الكشف]])+COUNTIF(tblRec[مفتاح الكشف],"&lt;"&amp;tblRec[[#This Row],[مفتاح الكشف]])+1)</f>
        <v/>
      </c>
    </row>
    <row r="60">
      <c r="A60" s="43" t="inlineStr">
        <is>
          <t>RV-0056</t>
        </is>
      </c>
      <c r="B60" s="53" t="n">
        <v>46231</v>
      </c>
      <c r="C60" s="43" t="inlineStr">
        <is>
          <t>C003</t>
        </is>
      </c>
      <c r="D60" s="52">
        <f>IF(tblRec[[#This Row],[كود العميل]]="","",IFERROR(INDEX(tblCustomers[اسم العميل],MATCH(tblRec[[#This Row],[كود العميل]],tblCustomers[كود العميل],0)),"⚠ كود غير موجود"))</f>
        <v/>
      </c>
      <c r="E60" s="43" t="inlineStr">
        <is>
          <t>INV-2026-0061</t>
        </is>
      </c>
      <c r="F60" s="43" t="inlineStr">
        <is>
          <t>تحصيل</t>
        </is>
      </c>
      <c r="G60" s="54" t="n">
        <v>9500</v>
      </c>
      <c r="H60" s="43" t="inlineStr">
        <is>
          <t>تحويل</t>
        </is>
      </c>
      <c r="I60"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0" s="52">
        <f>IF(AND(tblRec[[#This Row],[كود العميل]]=StCust,tblRec[[#This Row],[التاريخ]]&gt;=StFrom,tblRec[[#This Row],[التاريخ]]&lt;=StTo),tblRec[[#This Row],[التاريخ]]*100000+50000+ROW(),"")</f>
        <v/>
      </c>
      <c r="K60" s="52">
        <f>IF(tblRec[[#This Row],[مفتاح الكشف]]="","",COUNTIF(tblInv[مفتاح الكشف],"&lt;"&amp;tblRec[[#This Row],[مفتاح الكشف]])+COUNTIF(tblRec[مفتاح الكشف],"&lt;"&amp;tblRec[[#This Row],[مفتاح الكشف]])+1)</f>
        <v/>
      </c>
    </row>
    <row r="61">
      <c r="A61" s="43" t="inlineStr">
        <is>
          <t>RV-0057</t>
        </is>
      </c>
      <c r="B61" s="53" t="n">
        <v>46233</v>
      </c>
      <c r="C61" s="43" t="inlineStr">
        <is>
          <t>C015</t>
        </is>
      </c>
      <c r="D61" s="52">
        <f>IF(tblRec[[#This Row],[كود العميل]]="","",IFERROR(INDEX(tblCustomers[اسم العميل],MATCH(tblRec[[#This Row],[كود العميل]],tblCustomers[كود العميل],0)),"⚠ كود غير موجود"))</f>
        <v/>
      </c>
      <c r="E61" s="43" t="inlineStr">
        <is>
          <t>INV-2026-0045</t>
        </is>
      </c>
      <c r="F61" s="43" t="inlineStr">
        <is>
          <t>تحصيل</t>
        </is>
      </c>
      <c r="G61" s="54" t="n">
        <v>49335</v>
      </c>
      <c r="H61" s="43" t="inlineStr">
        <is>
          <t>نقاط بيع</t>
        </is>
      </c>
      <c r="I61"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1" s="52">
        <f>IF(AND(tblRec[[#This Row],[كود العميل]]=StCust,tblRec[[#This Row],[التاريخ]]&gt;=StFrom,tblRec[[#This Row],[التاريخ]]&lt;=StTo),tblRec[[#This Row],[التاريخ]]*100000+50000+ROW(),"")</f>
        <v/>
      </c>
      <c r="K61" s="52">
        <f>IF(tblRec[[#This Row],[مفتاح الكشف]]="","",COUNTIF(tblInv[مفتاح الكشف],"&lt;"&amp;tblRec[[#This Row],[مفتاح الكشف]])+COUNTIF(tblRec[مفتاح الكشف],"&lt;"&amp;tblRec[[#This Row],[مفتاح الكشف]])+1)</f>
        <v/>
      </c>
    </row>
    <row r="62">
      <c r="A62" s="43" t="inlineStr">
        <is>
          <t>RV-0058</t>
        </is>
      </c>
      <c r="B62" s="53" t="n">
        <v>46233</v>
      </c>
      <c r="C62" s="43" t="inlineStr">
        <is>
          <t>C003</t>
        </is>
      </c>
      <c r="D62" s="52">
        <f>IF(tblRec[[#This Row],[كود العميل]]="","",IFERROR(INDEX(tblCustomers[اسم العميل],MATCH(tblRec[[#This Row],[كود العميل]],tblCustomers[كود العميل],0)),"⚠ كود غير موجود"))</f>
        <v/>
      </c>
      <c r="E62" s="43" t="inlineStr">
        <is>
          <t>INV-2026-0056</t>
        </is>
      </c>
      <c r="F62" s="43" t="inlineStr">
        <is>
          <t>تحصيل</t>
        </is>
      </c>
      <c r="G62" s="54" t="n">
        <v>48990</v>
      </c>
      <c r="H62" s="43" t="inlineStr">
        <is>
          <t>تحويل</t>
        </is>
      </c>
      <c r="I62"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2" s="52">
        <f>IF(AND(tblRec[[#This Row],[كود العميل]]=StCust,tblRec[[#This Row],[التاريخ]]&gt;=StFrom,tblRec[[#This Row],[التاريخ]]&lt;=StTo),tblRec[[#This Row],[التاريخ]]*100000+50000+ROW(),"")</f>
        <v/>
      </c>
      <c r="K62" s="52">
        <f>IF(tblRec[[#This Row],[مفتاح الكشف]]="","",COUNTIF(tblInv[مفتاح الكشف],"&lt;"&amp;tblRec[[#This Row],[مفتاح الكشف]])+COUNTIF(tblRec[مفتاح الكشف],"&lt;"&amp;tblRec[[#This Row],[مفتاح الكشف]])+1)</f>
        <v/>
      </c>
    </row>
    <row r="63">
      <c r="A63" s="43" t="inlineStr">
        <is>
          <t>RV-0059</t>
        </is>
      </c>
      <c r="B63" s="53" t="n">
        <v>46234</v>
      </c>
      <c r="C63" s="43" t="inlineStr">
        <is>
          <t>C006</t>
        </is>
      </c>
      <c r="D63" s="52">
        <f>IF(tblRec[[#This Row],[كود العميل]]="","",IFERROR(INDEX(tblCustomers[اسم العميل],MATCH(tblRec[[#This Row],[كود العميل]],tblCustomers[كود العميل],0)),"⚠ كود غير موجود"))</f>
        <v/>
      </c>
      <c r="E63" s="43" t="inlineStr">
        <is>
          <t>INV-2026-0055</t>
        </is>
      </c>
      <c r="F63" s="43" t="inlineStr">
        <is>
          <t>تحصيل</t>
        </is>
      </c>
      <c r="G63" s="54" t="n">
        <v>50370</v>
      </c>
      <c r="H63" s="43" t="inlineStr">
        <is>
          <t>نقدي</t>
        </is>
      </c>
      <c r="I63"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3" s="52">
        <f>IF(AND(tblRec[[#This Row],[كود العميل]]=StCust,tblRec[[#This Row],[التاريخ]]&gt;=StFrom,tblRec[[#This Row],[التاريخ]]&lt;=StTo),tblRec[[#This Row],[التاريخ]]*100000+50000+ROW(),"")</f>
        <v/>
      </c>
      <c r="K63" s="52">
        <f>IF(tblRec[[#This Row],[مفتاح الكشف]]="","",COUNTIF(tblInv[مفتاح الكشف],"&lt;"&amp;tblRec[[#This Row],[مفتاح الكشف]])+COUNTIF(tblRec[مفتاح الكشف],"&lt;"&amp;tblRec[[#This Row],[مفتاح الكشف]])+1)</f>
        <v/>
      </c>
    </row>
    <row r="64">
      <c r="A64" s="43" t="inlineStr">
        <is>
          <t>RV-0060</t>
        </is>
      </c>
      <c r="B64" s="53" t="n">
        <v>46235</v>
      </c>
      <c r="C64" s="43" t="inlineStr">
        <is>
          <t>C005</t>
        </is>
      </c>
      <c r="D64" s="52">
        <f>IF(tblRec[[#This Row],[كود العميل]]="","",IFERROR(INDEX(tblCustomers[اسم العميل],MATCH(tblRec[[#This Row],[كود العميل]],tblCustomers[كود العميل],0)),"⚠ كود غير موجود"))</f>
        <v/>
      </c>
      <c r="E64" s="43" t="inlineStr">
        <is>
          <t>INV-2026-0076</t>
        </is>
      </c>
      <c r="F64" s="43" t="inlineStr">
        <is>
          <t>تحصيل</t>
        </is>
      </c>
      <c r="G64" s="54" t="n">
        <v>19090</v>
      </c>
      <c r="H64" s="43" t="inlineStr">
        <is>
          <t>تحويل</t>
        </is>
      </c>
      <c r="I64"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4" s="52">
        <f>IF(AND(tblRec[[#This Row],[كود العميل]]=StCust,tblRec[[#This Row],[التاريخ]]&gt;=StFrom,tblRec[[#This Row],[التاريخ]]&lt;=StTo),tblRec[[#This Row],[التاريخ]]*100000+50000+ROW(),"")</f>
        <v/>
      </c>
      <c r="K64" s="52">
        <f>IF(tblRec[[#This Row],[مفتاح الكشف]]="","",COUNTIF(tblInv[مفتاح الكشف],"&lt;"&amp;tblRec[[#This Row],[مفتاح الكشف]])+COUNTIF(tblRec[مفتاح الكشف],"&lt;"&amp;tblRec[[#This Row],[مفتاح الكشف]])+1)</f>
        <v/>
      </c>
    </row>
    <row r="65">
      <c r="A65" s="43" t="inlineStr">
        <is>
          <t>RV-0061</t>
        </is>
      </c>
      <c r="B65" s="53" t="n">
        <v>46239</v>
      </c>
      <c r="C65" s="43" t="inlineStr">
        <is>
          <t>C005</t>
        </is>
      </c>
      <c r="D65" s="52">
        <f>IF(tblRec[[#This Row],[كود العميل]]="","",IFERROR(INDEX(tblCustomers[اسم العميل],MATCH(tblRec[[#This Row],[كود العميل]],tblCustomers[كود العميل],0)),"⚠ كود غير موجود"))</f>
        <v/>
      </c>
      <c r="E65" s="43" t="inlineStr">
        <is>
          <t>INV-2026-0073</t>
        </is>
      </c>
      <c r="F65" s="43" t="inlineStr">
        <is>
          <t>تحصيل</t>
        </is>
      </c>
      <c r="G65" s="54" t="n">
        <v>51405</v>
      </c>
      <c r="H65" s="43" t="inlineStr">
        <is>
          <t>نقاط بيع</t>
        </is>
      </c>
      <c r="I6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5" s="52">
        <f>IF(AND(tblRec[[#This Row],[كود العميل]]=StCust,tblRec[[#This Row],[التاريخ]]&gt;=StFrom,tblRec[[#This Row],[التاريخ]]&lt;=StTo),tblRec[[#This Row],[التاريخ]]*100000+50000+ROW(),"")</f>
        <v/>
      </c>
      <c r="K65" s="52">
        <f>IF(tblRec[[#This Row],[مفتاح الكشف]]="","",COUNTIF(tblInv[مفتاح الكشف],"&lt;"&amp;tblRec[[#This Row],[مفتاح الكشف]])+COUNTIF(tblRec[مفتاح الكشف],"&lt;"&amp;tblRec[[#This Row],[مفتاح الكشف]])+1)</f>
        <v/>
      </c>
    </row>
    <row r="66">
      <c r="A66" s="43" t="inlineStr">
        <is>
          <t>RV-0062</t>
        </is>
      </c>
      <c r="B66" s="53" t="n">
        <v>46240</v>
      </c>
      <c r="C66" s="43" t="inlineStr">
        <is>
          <t>C003</t>
        </is>
      </c>
      <c r="D66" s="52">
        <f>IF(tblRec[[#This Row],[كود العميل]]="","",IFERROR(INDEX(tblCustomers[اسم العميل],MATCH(tblRec[[#This Row],[كود العميل]],tblCustomers[كود العميل],0)),"⚠ كود غير موجود"))</f>
        <v/>
      </c>
      <c r="E66" s="43" t="inlineStr">
        <is>
          <t>INV-2026-0060</t>
        </is>
      </c>
      <c r="F66" s="43" t="inlineStr">
        <is>
          <t>تحصيل</t>
        </is>
      </c>
      <c r="G66" s="54" t="n">
        <v>15985</v>
      </c>
      <c r="H66" s="43" t="inlineStr">
        <is>
          <t>شيك</t>
        </is>
      </c>
      <c r="I6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6" s="52">
        <f>IF(AND(tblRec[[#This Row],[كود العميل]]=StCust,tblRec[[#This Row],[التاريخ]]&gt;=StFrom,tblRec[[#This Row],[التاريخ]]&lt;=StTo),tblRec[[#This Row],[التاريخ]]*100000+50000+ROW(),"")</f>
        <v/>
      </c>
      <c r="K66" s="52">
        <f>IF(tblRec[[#This Row],[مفتاح الكشف]]="","",COUNTIF(tblInv[مفتاح الكشف],"&lt;"&amp;tblRec[[#This Row],[مفتاح الكشف]])+COUNTIF(tblRec[مفتاح الكشف],"&lt;"&amp;tblRec[[#This Row],[مفتاح الكشف]])+1)</f>
        <v/>
      </c>
    </row>
    <row r="67">
      <c r="A67" s="43" t="inlineStr">
        <is>
          <t>RV-0063</t>
        </is>
      </c>
      <c r="B67" s="53" t="n">
        <v>46243</v>
      </c>
      <c r="C67" s="43" t="inlineStr">
        <is>
          <t>C010</t>
        </is>
      </c>
      <c r="D67" s="52">
        <f>IF(tblRec[[#This Row],[كود العميل]]="","",IFERROR(INDEX(tblCustomers[اسم العميل],MATCH(tblRec[[#This Row],[كود العميل]],tblCustomers[كود العميل],0)),"⚠ كود غير موجود"))</f>
        <v/>
      </c>
      <c r="E67" s="43" t="inlineStr">
        <is>
          <t>INV-2026-0071</t>
        </is>
      </c>
      <c r="F67" s="43" t="inlineStr">
        <is>
          <t>تحصيل</t>
        </is>
      </c>
      <c r="G67" s="54" t="n">
        <v>39330</v>
      </c>
      <c r="H67" s="43" t="inlineStr">
        <is>
          <t>شيك</t>
        </is>
      </c>
      <c r="I6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7" s="52">
        <f>IF(AND(tblRec[[#This Row],[كود العميل]]=StCust,tblRec[[#This Row],[التاريخ]]&gt;=StFrom,tblRec[[#This Row],[التاريخ]]&lt;=StTo),tblRec[[#This Row],[التاريخ]]*100000+50000+ROW(),"")</f>
        <v/>
      </c>
      <c r="K67" s="52">
        <f>IF(tblRec[[#This Row],[مفتاح الكشف]]="","",COUNTIF(tblInv[مفتاح الكشف],"&lt;"&amp;tblRec[[#This Row],[مفتاح الكشف]])+COUNTIF(tblRec[مفتاح الكشف],"&lt;"&amp;tblRec[[#This Row],[مفتاح الكشف]])+1)</f>
        <v/>
      </c>
    </row>
    <row r="68">
      <c r="A68" s="43" t="inlineStr">
        <is>
          <t>RV-0064</t>
        </is>
      </c>
      <c r="B68" s="53" t="n">
        <v>46244</v>
      </c>
      <c r="C68" s="43" t="inlineStr">
        <is>
          <t>C004</t>
        </is>
      </c>
      <c r="D68" s="52">
        <f>IF(tblRec[[#This Row],[كود العميل]]="","",IFERROR(INDEX(tblCustomers[اسم العميل],MATCH(tblRec[[#This Row],[كود العميل]],tblCustomers[كود العميل],0)),"⚠ كود غير موجود"))</f>
        <v/>
      </c>
      <c r="E68" s="43" t="inlineStr">
        <is>
          <t>INV-2026-0054</t>
        </is>
      </c>
      <c r="F68" s="43" t="inlineStr">
        <is>
          <t>تحصيل</t>
        </is>
      </c>
      <c r="G68" s="54" t="n">
        <v>37145</v>
      </c>
      <c r="H68" s="43" t="inlineStr">
        <is>
          <t>نقاط بيع</t>
        </is>
      </c>
      <c r="I68"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8" s="52">
        <f>IF(AND(tblRec[[#This Row],[كود العميل]]=StCust,tblRec[[#This Row],[التاريخ]]&gt;=StFrom,tblRec[[#This Row],[التاريخ]]&lt;=StTo),tblRec[[#This Row],[التاريخ]]*100000+50000+ROW(),"")</f>
        <v/>
      </c>
      <c r="K68" s="52">
        <f>IF(tblRec[[#This Row],[مفتاح الكشف]]="","",COUNTIF(tblInv[مفتاح الكشف],"&lt;"&amp;tblRec[[#This Row],[مفتاح الكشف]])+COUNTIF(tblRec[مفتاح الكشف],"&lt;"&amp;tblRec[[#This Row],[مفتاح الكشف]])+1)</f>
        <v/>
      </c>
    </row>
    <row r="69">
      <c r="A69" s="43" t="inlineStr">
        <is>
          <t>RV-0065</t>
        </is>
      </c>
      <c r="B69" s="53" t="n">
        <v>46244</v>
      </c>
      <c r="C69" s="43" t="inlineStr">
        <is>
          <t>C003</t>
        </is>
      </c>
      <c r="D69" s="52">
        <f>IF(tblRec[[#This Row],[كود العميل]]="","",IFERROR(INDEX(tblCustomers[اسم العميل],MATCH(tblRec[[#This Row],[كود العميل]],tblCustomers[كود العميل],0)),"⚠ كود غير موجود"))</f>
        <v/>
      </c>
      <c r="E69" s="43" t="inlineStr">
        <is>
          <t>INV-2026-0058</t>
        </is>
      </c>
      <c r="F69" s="43" t="inlineStr">
        <is>
          <t>تحصيل</t>
        </is>
      </c>
      <c r="G69" s="54" t="n">
        <v>37087.5</v>
      </c>
      <c r="H69" s="43" t="inlineStr">
        <is>
          <t>نقاط بيع</t>
        </is>
      </c>
      <c r="I69"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9" s="52">
        <f>IF(AND(tblRec[[#This Row],[كود العميل]]=StCust,tblRec[[#This Row],[التاريخ]]&gt;=StFrom,tblRec[[#This Row],[التاريخ]]&lt;=StTo),tblRec[[#This Row],[التاريخ]]*100000+50000+ROW(),"")</f>
        <v/>
      </c>
      <c r="K69" s="52">
        <f>IF(tblRec[[#This Row],[مفتاح الكشف]]="","",COUNTIF(tblInv[مفتاح الكشف],"&lt;"&amp;tblRec[[#This Row],[مفتاح الكشف]])+COUNTIF(tblRec[مفتاح الكشف],"&lt;"&amp;tblRec[[#This Row],[مفتاح الكشف]])+1)</f>
        <v/>
      </c>
    </row>
    <row r="70">
      <c r="A70" s="43" t="inlineStr">
        <is>
          <t>RV-0066</t>
        </is>
      </c>
      <c r="B70" s="53" t="n">
        <v>46244</v>
      </c>
      <c r="C70" s="43" t="inlineStr">
        <is>
          <t>C008</t>
        </is>
      </c>
      <c r="D70" s="52">
        <f>IF(tblRec[[#This Row],[كود العميل]]="","",IFERROR(INDEX(tblCustomers[اسم العميل],MATCH(tblRec[[#This Row],[كود العميل]],tblCustomers[كود العميل],0)),"⚠ كود غير موجود"))</f>
        <v/>
      </c>
      <c r="E70" s="43" t="inlineStr">
        <is>
          <t>INV-2026-0081</t>
        </is>
      </c>
      <c r="F70" s="43" t="inlineStr">
        <is>
          <t>تحصيل</t>
        </is>
      </c>
      <c r="G70" s="54" t="n">
        <v>6152.5</v>
      </c>
      <c r="H70" s="43" t="inlineStr">
        <is>
          <t>نقاط بيع</t>
        </is>
      </c>
      <c r="I70"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0" s="52">
        <f>IF(AND(tblRec[[#This Row],[كود العميل]]=StCust,tblRec[[#This Row],[التاريخ]]&gt;=StFrom,tblRec[[#This Row],[التاريخ]]&lt;=StTo),tblRec[[#This Row],[التاريخ]]*100000+50000+ROW(),"")</f>
        <v/>
      </c>
      <c r="K70" s="52">
        <f>IF(tblRec[[#This Row],[مفتاح الكشف]]="","",COUNTIF(tblInv[مفتاح الكشف],"&lt;"&amp;tblRec[[#This Row],[مفتاح الكشف]])+COUNTIF(tblRec[مفتاح الكشف],"&lt;"&amp;tblRec[[#This Row],[مفتاح الكشف]])+1)</f>
        <v/>
      </c>
    </row>
    <row r="71">
      <c r="A71" s="43" t="inlineStr">
        <is>
          <t>RV-0067</t>
        </is>
      </c>
      <c r="B71" s="53" t="n">
        <v>46246</v>
      </c>
      <c r="C71" s="43" t="inlineStr">
        <is>
          <t>C003</t>
        </is>
      </c>
      <c r="D71" s="52">
        <f>IF(tblRec[[#This Row],[كود العميل]]="","",IFERROR(INDEX(tblCustomers[اسم العميل],MATCH(tblRec[[#This Row],[كود العميل]],tblCustomers[كود العميل],0)),"⚠ كود غير موجود"))</f>
        <v/>
      </c>
      <c r="E71" s="43" t="inlineStr">
        <is>
          <t>INV-2026-0069</t>
        </is>
      </c>
      <c r="F71" s="43" t="inlineStr">
        <is>
          <t>تحصيل</t>
        </is>
      </c>
      <c r="G71" s="54" t="n">
        <v>46230</v>
      </c>
      <c r="H71" s="43" t="inlineStr">
        <is>
          <t>نقاط بيع</t>
        </is>
      </c>
      <c r="I71"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1" s="52">
        <f>IF(AND(tblRec[[#This Row],[كود العميل]]=StCust,tblRec[[#This Row],[التاريخ]]&gt;=StFrom,tblRec[[#This Row],[التاريخ]]&lt;=StTo),tblRec[[#This Row],[التاريخ]]*100000+50000+ROW(),"")</f>
        <v/>
      </c>
      <c r="K71" s="52">
        <f>IF(tblRec[[#This Row],[مفتاح الكشف]]="","",COUNTIF(tblInv[مفتاح الكشف],"&lt;"&amp;tblRec[[#This Row],[مفتاح الكشف]])+COUNTIF(tblRec[مفتاح الكشف],"&lt;"&amp;tblRec[[#This Row],[مفتاح الكشف]])+1)</f>
        <v/>
      </c>
    </row>
    <row r="72">
      <c r="A72" s="43" t="inlineStr">
        <is>
          <t>RV-0068</t>
        </is>
      </c>
      <c r="B72" s="53" t="n">
        <v>46252</v>
      </c>
      <c r="C72" s="43" t="inlineStr">
        <is>
          <t>C012</t>
        </is>
      </c>
      <c r="D72" s="52">
        <f>IF(tblRec[[#This Row],[كود العميل]]="","",IFERROR(INDEX(tblCustomers[اسم العميل],MATCH(tblRec[[#This Row],[كود العميل]],tblCustomers[كود العميل],0)),"⚠ كود غير موجود"))</f>
        <v/>
      </c>
      <c r="E72" s="43" t="inlineStr">
        <is>
          <t>INV-2026-0070</t>
        </is>
      </c>
      <c r="F72" s="43" t="inlineStr">
        <is>
          <t>تحصيل</t>
        </is>
      </c>
      <c r="G72" s="54" t="n">
        <v>36455</v>
      </c>
      <c r="H72" s="43" t="inlineStr">
        <is>
          <t>تحويل</t>
        </is>
      </c>
      <c r="I72"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2" s="52">
        <f>IF(AND(tblRec[[#This Row],[كود العميل]]=StCust,tblRec[[#This Row],[التاريخ]]&gt;=StFrom,tblRec[[#This Row],[التاريخ]]&lt;=StTo),tblRec[[#This Row],[التاريخ]]*100000+50000+ROW(),"")</f>
        <v/>
      </c>
      <c r="K72" s="52">
        <f>IF(tblRec[[#This Row],[مفتاح الكشف]]="","",COUNTIF(tblInv[مفتاح الكشف],"&lt;"&amp;tblRec[[#This Row],[مفتاح الكشف]])+COUNTIF(tblRec[مفتاح الكشف],"&lt;"&amp;tblRec[[#This Row],[مفتاح الكشف]])+1)</f>
        <v/>
      </c>
    </row>
    <row r="73">
      <c r="A73" s="43" t="inlineStr">
        <is>
          <t>RV-0069</t>
        </is>
      </c>
      <c r="B73" s="53" t="n">
        <v>46254</v>
      </c>
      <c r="C73" s="43" t="inlineStr">
        <is>
          <t>C002</t>
        </is>
      </c>
      <c r="D73" s="52">
        <f>IF(tblRec[[#This Row],[كود العميل]]="","",IFERROR(INDEX(tblCustomers[اسم العميل],MATCH(tblRec[[#This Row],[كود العميل]],tblCustomers[كود العميل],0)),"⚠ كود غير موجود"))</f>
        <v/>
      </c>
      <c r="E73" s="43" t="inlineStr">
        <is>
          <t>INV-2026-0072</t>
        </is>
      </c>
      <c r="F73" s="43" t="inlineStr">
        <is>
          <t>تحصيل</t>
        </is>
      </c>
      <c r="G73" s="54" t="n">
        <v>37662.5</v>
      </c>
      <c r="H73" s="43" t="inlineStr">
        <is>
          <t>نقدي</t>
        </is>
      </c>
      <c r="I73"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3" s="52">
        <f>IF(AND(tblRec[[#This Row],[كود العميل]]=StCust,tblRec[[#This Row],[التاريخ]]&gt;=StFrom,tblRec[[#This Row],[التاريخ]]&lt;=StTo),tblRec[[#This Row],[التاريخ]]*100000+50000+ROW(),"")</f>
        <v/>
      </c>
      <c r="K73" s="52">
        <f>IF(tblRec[[#This Row],[مفتاح الكشف]]="","",COUNTIF(tblInv[مفتاح الكشف],"&lt;"&amp;tblRec[[#This Row],[مفتاح الكشف]])+COUNTIF(tblRec[مفتاح الكشف],"&lt;"&amp;tblRec[[#This Row],[مفتاح الكشف]])+1)</f>
        <v/>
      </c>
    </row>
    <row r="74">
      <c r="A74" s="43" t="inlineStr">
        <is>
          <t>RV-0070</t>
        </is>
      </c>
      <c r="B74" s="53" t="n">
        <v>46254</v>
      </c>
      <c r="C74" s="43" t="inlineStr">
        <is>
          <t>C006</t>
        </is>
      </c>
      <c r="D74" s="52">
        <f>IF(tblRec[[#This Row],[كود العميل]]="","",IFERROR(INDEX(tblCustomers[اسم العميل],MATCH(tblRec[[#This Row],[كود العميل]],tblCustomers[كود العميل],0)),"⚠ كود غير موجود"))</f>
        <v/>
      </c>
      <c r="E74" s="43" t="n"/>
      <c r="F74" s="43" t="inlineStr">
        <is>
          <t>تحصيل</t>
        </is>
      </c>
      <c r="G74" s="54" t="n">
        <v>15000</v>
      </c>
      <c r="H74" s="43" t="inlineStr">
        <is>
          <t>تحويل</t>
        </is>
      </c>
      <c r="I74"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4" s="52">
        <f>IF(AND(tblRec[[#This Row],[كود العميل]]=StCust,tblRec[[#This Row],[التاريخ]]&gt;=StFrom,tblRec[[#This Row],[التاريخ]]&lt;=StTo),tblRec[[#This Row],[التاريخ]]*100000+50000+ROW(),"")</f>
        <v/>
      </c>
      <c r="K74" s="52">
        <f>IF(tblRec[[#This Row],[مفتاح الكشف]]="","",COUNTIF(tblInv[مفتاح الكشف],"&lt;"&amp;tblRec[[#This Row],[مفتاح الكشف]])+COUNTIF(tblRec[مفتاح الكشف],"&lt;"&amp;tblRec[[#This Row],[مفتاح الكشف]])+1)</f>
        <v/>
      </c>
    </row>
    <row r="75">
      <c r="A75" s="43" t="inlineStr">
        <is>
          <t>RV-0071</t>
        </is>
      </c>
      <c r="B75" s="53" t="n">
        <v>46257</v>
      </c>
      <c r="C75" s="43" t="inlineStr">
        <is>
          <t>C002</t>
        </is>
      </c>
      <c r="D75" s="52">
        <f>IF(tblRec[[#This Row],[كود العميل]]="","",IFERROR(INDEX(tblCustomers[اسم العميل],MATCH(tblRec[[#This Row],[كود العميل]],tblCustomers[كود العميل],0)),"⚠ كود غير موجود"))</f>
        <v/>
      </c>
      <c r="E75" s="43" t="inlineStr">
        <is>
          <t>INV-2026-0075</t>
        </is>
      </c>
      <c r="F75" s="43" t="inlineStr">
        <is>
          <t>تحصيل</t>
        </is>
      </c>
      <c r="G75" s="54" t="n">
        <v>49162.5</v>
      </c>
      <c r="H75" s="43" t="inlineStr">
        <is>
          <t>نقدي</t>
        </is>
      </c>
      <c r="I7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5" s="52">
        <f>IF(AND(tblRec[[#This Row],[كود العميل]]=StCust,tblRec[[#This Row],[التاريخ]]&gt;=StFrom,tblRec[[#This Row],[التاريخ]]&lt;=StTo),tblRec[[#This Row],[التاريخ]]*100000+50000+ROW(),"")</f>
        <v/>
      </c>
      <c r="K75" s="52">
        <f>IF(tblRec[[#This Row],[مفتاح الكشف]]="","",COUNTIF(tblInv[مفتاح الكشف],"&lt;"&amp;tblRec[[#This Row],[مفتاح الكشف]])+COUNTIF(tblRec[مفتاح الكشف],"&lt;"&amp;tblRec[[#This Row],[مفتاح الكشف]])+1)</f>
        <v/>
      </c>
    </row>
    <row r="76">
      <c r="A76" s="43" t="inlineStr">
        <is>
          <t>RV-0072</t>
        </is>
      </c>
      <c r="B76" s="53" t="n">
        <v>46268</v>
      </c>
      <c r="C76" s="43" t="inlineStr">
        <is>
          <t>C010</t>
        </is>
      </c>
      <c r="D76" s="52">
        <f>IF(tblRec[[#This Row],[كود العميل]]="","",IFERROR(INDEX(tblCustomers[اسم العميل],MATCH(tblRec[[#This Row],[كود العميل]],tblCustomers[كود العميل],0)),"⚠ كود غير موجود"))</f>
        <v/>
      </c>
      <c r="E76" s="43" t="inlineStr">
        <is>
          <t>INV-2026-0078</t>
        </is>
      </c>
      <c r="F76" s="43" t="inlineStr">
        <is>
          <t>تحصيل</t>
        </is>
      </c>
      <c r="G76" s="54" t="n">
        <v>42722.5</v>
      </c>
      <c r="H76" s="43" t="inlineStr">
        <is>
          <t>نقاط بيع</t>
        </is>
      </c>
      <c r="I7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6" s="52">
        <f>IF(AND(tblRec[[#This Row],[كود العميل]]=StCust,tblRec[[#This Row],[التاريخ]]&gt;=StFrom,tblRec[[#This Row],[التاريخ]]&lt;=StTo),tblRec[[#This Row],[التاريخ]]*100000+50000+ROW(),"")</f>
        <v/>
      </c>
      <c r="K76" s="52">
        <f>IF(tblRec[[#This Row],[مفتاح الكشف]]="","",COUNTIF(tblInv[مفتاح الكشف],"&lt;"&amp;tblRec[[#This Row],[مفتاح الكشف]])+COUNTIF(tblRec[مفتاح الكشف],"&lt;"&amp;tblRec[[#This Row],[مفتاح الكشف]])+1)</f>
        <v/>
      </c>
    </row>
    <row r="77">
      <c r="A77" s="43" t="inlineStr">
        <is>
          <t>RV-0073</t>
        </is>
      </c>
      <c r="B77" s="53" t="n">
        <v>46269</v>
      </c>
      <c r="C77" s="43" t="inlineStr">
        <is>
          <t>C002</t>
        </is>
      </c>
      <c r="D77" s="52">
        <f>IF(tblRec[[#This Row],[كود العميل]]="","",IFERROR(INDEX(tblCustomers[اسم العميل],MATCH(tblRec[[#This Row],[كود العميل]],tblCustomers[كود العميل],0)),"⚠ كود غير موجود"))</f>
        <v/>
      </c>
      <c r="E77" s="43" t="inlineStr">
        <is>
          <t>INV-2026-0068</t>
        </is>
      </c>
      <c r="F77" s="43" t="inlineStr">
        <is>
          <t>تحصيل</t>
        </is>
      </c>
      <c r="G77" s="54" t="n">
        <v>38237.5</v>
      </c>
      <c r="H77" s="43" t="inlineStr">
        <is>
          <t>تحويل</t>
        </is>
      </c>
      <c r="I7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7" s="52">
        <f>IF(AND(tblRec[[#This Row],[كود العميل]]=StCust,tblRec[[#This Row],[التاريخ]]&gt;=StFrom,tblRec[[#This Row],[التاريخ]]&lt;=StTo),tblRec[[#This Row],[التاريخ]]*100000+50000+ROW(),"")</f>
        <v/>
      </c>
      <c r="K77" s="52">
        <f>IF(tblRec[[#This Row],[مفتاح الكشف]]="","",COUNTIF(tblInv[مفتاح الكشف],"&lt;"&amp;tblRec[[#This Row],[مفتاح الكشف]])+COUNTIF(tblRec[مفتاح الكشف],"&lt;"&amp;tblRec[[#This Row],[مفتاح الكشف]])+1)</f>
        <v/>
      </c>
    </row>
    <row r="78">
      <c r="A78" s="43" t="inlineStr">
        <is>
          <t>RV-0074</t>
        </is>
      </c>
      <c r="B78" s="53" t="n">
        <v>46270</v>
      </c>
      <c r="C78" s="43" t="inlineStr">
        <is>
          <t>C006</t>
        </is>
      </c>
      <c r="D78" s="52">
        <f>IF(tblRec[[#This Row],[كود العميل]]="","",IFERROR(INDEX(tblCustomers[اسم العميل],MATCH(tblRec[[#This Row],[كود العميل]],tblCustomers[كود العميل],0)),"⚠ كود غير موجود"))</f>
        <v/>
      </c>
      <c r="E78" s="43" t="inlineStr">
        <is>
          <t>INV-2026-0049</t>
        </is>
      </c>
      <c r="F78" s="43" t="inlineStr">
        <is>
          <t>تحصيل</t>
        </is>
      </c>
      <c r="G78" s="54" t="n">
        <v>38237.5</v>
      </c>
      <c r="H78" s="43" t="inlineStr">
        <is>
          <t>تحويل</t>
        </is>
      </c>
      <c r="I78"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8" s="52">
        <f>IF(AND(tblRec[[#This Row],[كود العميل]]=StCust,tblRec[[#This Row],[التاريخ]]&gt;=StFrom,tblRec[[#This Row],[التاريخ]]&lt;=StTo),tblRec[[#This Row],[التاريخ]]*100000+50000+ROW(),"")</f>
        <v/>
      </c>
      <c r="K78" s="52">
        <f>IF(tblRec[[#This Row],[مفتاح الكشف]]="","",COUNTIF(tblInv[مفتاح الكشف],"&lt;"&amp;tblRec[[#This Row],[مفتاح الكشف]])+COUNTIF(tblRec[مفتاح الكشف],"&lt;"&amp;tblRec[[#This Row],[مفتاح الكشف]])+1)</f>
        <v/>
      </c>
    </row>
    <row r="79">
      <c r="A79" s="43" t="inlineStr">
        <is>
          <t>RV-0075</t>
        </is>
      </c>
      <c r="B79" s="53" t="n">
        <v>46270</v>
      </c>
      <c r="C79" s="43" t="inlineStr">
        <is>
          <t>C002</t>
        </is>
      </c>
      <c r="D79" s="52">
        <f>IF(tblRec[[#This Row],[كود العميل]]="","",IFERROR(INDEX(tblCustomers[اسم العميل],MATCH(tblRec[[#This Row],[كود العميل]],tblCustomers[كود العميل],0)),"⚠ كود غير موجود"))</f>
        <v/>
      </c>
      <c r="E79" s="43" t="inlineStr">
        <is>
          <t>INV-2026-0083</t>
        </is>
      </c>
      <c r="F79" s="43" t="inlineStr">
        <is>
          <t>تحصيل</t>
        </is>
      </c>
      <c r="G79" s="54" t="n">
        <v>35477.5</v>
      </c>
      <c r="H79" s="43" t="inlineStr">
        <is>
          <t>نقاط بيع</t>
        </is>
      </c>
      <c r="I79"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9" s="52">
        <f>IF(AND(tblRec[[#This Row],[كود العميل]]=StCust,tblRec[[#This Row],[التاريخ]]&gt;=StFrom,tblRec[[#This Row],[التاريخ]]&lt;=StTo),tblRec[[#This Row],[التاريخ]]*100000+50000+ROW(),"")</f>
        <v/>
      </c>
      <c r="K79" s="52">
        <f>IF(tblRec[[#This Row],[مفتاح الكشف]]="","",COUNTIF(tblInv[مفتاح الكشف],"&lt;"&amp;tblRec[[#This Row],[مفتاح الكشف]])+COUNTIF(tblRec[مفتاح الكشف],"&lt;"&amp;tblRec[[#This Row],[مفتاح الكشف]])+1)</f>
        <v/>
      </c>
    </row>
    <row r="80">
      <c r="A80" s="43" t="inlineStr">
        <is>
          <t>RV-0076</t>
        </is>
      </c>
      <c r="B80" s="53" t="n">
        <v>46270</v>
      </c>
      <c r="C80" s="43" t="inlineStr">
        <is>
          <t>C001</t>
        </is>
      </c>
      <c r="D80" s="52">
        <f>IF(tblRec[[#This Row],[كود العميل]]="","",IFERROR(INDEX(tblCustomers[اسم العميل],MATCH(tblRec[[#This Row],[كود العميل]],tblCustomers[كود العميل],0)),"⚠ كود غير موجود"))</f>
        <v/>
      </c>
      <c r="E80" s="43" t="inlineStr">
        <is>
          <t>INV-2026-0098</t>
        </is>
      </c>
      <c r="F80" s="43" t="inlineStr">
        <is>
          <t>تحصيل</t>
        </is>
      </c>
      <c r="G80" s="54" t="n">
        <v>29700</v>
      </c>
      <c r="H80" s="43" t="inlineStr">
        <is>
          <t>نقدي</t>
        </is>
      </c>
      <c r="I80"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0" s="52">
        <f>IF(AND(tblRec[[#This Row],[كود العميل]]=StCust,tblRec[[#This Row],[التاريخ]]&gt;=StFrom,tblRec[[#This Row],[التاريخ]]&lt;=StTo),tblRec[[#This Row],[التاريخ]]*100000+50000+ROW(),"")</f>
        <v/>
      </c>
      <c r="K80" s="52">
        <f>IF(tblRec[[#This Row],[مفتاح الكشف]]="","",COUNTIF(tblInv[مفتاح الكشف],"&lt;"&amp;tblRec[[#This Row],[مفتاح الكشف]])+COUNTIF(tblRec[مفتاح الكشف],"&lt;"&amp;tblRec[[#This Row],[مفتاح الكشف]])+1)</f>
        <v/>
      </c>
    </row>
    <row r="81">
      <c r="A81" s="43" t="inlineStr">
        <is>
          <t>RV-0077</t>
        </is>
      </c>
      <c r="B81" s="53" t="n">
        <v>46274</v>
      </c>
      <c r="C81" s="43" t="inlineStr">
        <is>
          <t>C015</t>
        </is>
      </c>
      <c r="D81" s="52">
        <f>IF(tblRec[[#This Row],[كود العميل]]="","",IFERROR(INDEX(tblCustomers[اسم العميل],MATCH(tblRec[[#This Row],[كود العميل]],tblCustomers[كود العميل],0)),"⚠ كود غير موجود"))</f>
        <v/>
      </c>
      <c r="E81" s="43" t="inlineStr">
        <is>
          <t>INV-2026-0059</t>
        </is>
      </c>
      <c r="F81" s="43" t="inlineStr">
        <is>
          <t>تحصيل</t>
        </is>
      </c>
      <c r="G81" s="54" t="n">
        <v>6400</v>
      </c>
      <c r="H81" s="43" t="inlineStr">
        <is>
          <t>نقاط بيع</t>
        </is>
      </c>
      <c r="I81"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1" s="52">
        <f>IF(AND(tblRec[[#This Row],[كود العميل]]=StCust,tblRec[[#This Row],[التاريخ]]&gt;=StFrom,tblRec[[#This Row],[التاريخ]]&lt;=StTo),tblRec[[#This Row],[التاريخ]]*100000+50000+ROW(),"")</f>
        <v/>
      </c>
      <c r="K81" s="52">
        <f>IF(tblRec[[#This Row],[مفتاح الكشف]]="","",COUNTIF(tblInv[مفتاح الكشف],"&lt;"&amp;tblRec[[#This Row],[مفتاح الكشف]])+COUNTIF(tblRec[مفتاح الكشف],"&lt;"&amp;tblRec[[#This Row],[مفتاح الكشف]])+1)</f>
        <v/>
      </c>
    </row>
    <row r="82">
      <c r="A82" s="43" t="inlineStr">
        <is>
          <t>RV-0078</t>
        </is>
      </c>
      <c r="B82" s="53" t="n">
        <v>46276</v>
      </c>
      <c r="C82" s="43" t="inlineStr">
        <is>
          <t>C013</t>
        </is>
      </c>
      <c r="D82" s="52">
        <f>IF(tblRec[[#This Row],[كود العميل]]="","",IFERROR(INDEX(tblCustomers[اسم العميل],MATCH(tblRec[[#This Row],[كود العميل]],tblCustomers[كود العميل],0)),"⚠ كود غير موجود"))</f>
        <v/>
      </c>
      <c r="E82" s="43" t="inlineStr">
        <is>
          <t>INV-2026-0096</t>
        </is>
      </c>
      <c r="F82" s="43" t="inlineStr">
        <is>
          <t>تحصيل</t>
        </is>
      </c>
      <c r="G82" s="54" t="n">
        <v>36742.5</v>
      </c>
      <c r="H82" s="43" t="inlineStr">
        <is>
          <t>نقاط بيع</t>
        </is>
      </c>
      <c r="I82"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2" s="52">
        <f>IF(AND(tblRec[[#This Row],[كود العميل]]=StCust,tblRec[[#This Row],[التاريخ]]&gt;=StFrom,tblRec[[#This Row],[التاريخ]]&lt;=StTo),tblRec[[#This Row],[التاريخ]]*100000+50000+ROW(),"")</f>
        <v/>
      </c>
      <c r="K82" s="52">
        <f>IF(tblRec[[#This Row],[مفتاح الكشف]]="","",COUNTIF(tblInv[مفتاح الكشف],"&lt;"&amp;tblRec[[#This Row],[مفتاح الكشف]])+COUNTIF(tblRec[مفتاح الكشف],"&lt;"&amp;tblRec[[#This Row],[مفتاح الكشف]])+1)</f>
        <v/>
      </c>
    </row>
    <row r="83">
      <c r="A83" s="43" t="inlineStr">
        <is>
          <t>RV-0079</t>
        </is>
      </c>
      <c r="B83" s="53" t="n">
        <v>46279</v>
      </c>
      <c r="C83" s="43" t="inlineStr">
        <is>
          <t>C002</t>
        </is>
      </c>
      <c r="D83" s="52">
        <f>IF(tblRec[[#This Row],[كود العميل]]="","",IFERROR(INDEX(tblCustomers[اسم العميل],MATCH(tblRec[[#This Row],[كود العميل]],tblCustomers[كود العميل],0)),"⚠ كود غير موجود"))</f>
        <v/>
      </c>
      <c r="E83" s="43" t="n"/>
      <c r="F83" s="43" t="inlineStr">
        <is>
          <t>تحصيل</t>
        </is>
      </c>
      <c r="G83" s="54" t="n">
        <v>25000</v>
      </c>
      <c r="H83" s="43" t="inlineStr">
        <is>
          <t>تحويل</t>
        </is>
      </c>
      <c r="I83"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3" s="52">
        <f>IF(AND(tblRec[[#This Row],[كود العميل]]=StCust,tblRec[[#This Row],[التاريخ]]&gt;=StFrom,tblRec[[#This Row],[التاريخ]]&lt;=StTo),tblRec[[#This Row],[التاريخ]]*100000+50000+ROW(),"")</f>
        <v/>
      </c>
      <c r="K83" s="52">
        <f>IF(tblRec[[#This Row],[مفتاح الكشف]]="","",COUNTIF(tblInv[مفتاح الكشف],"&lt;"&amp;tblRec[[#This Row],[مفتاح الكشف]])+COUNTIF(tblRec[مفتاح الكشف],"&lt;"&amp;tblRec[[#This Row],[مفتاح الكشف]])+1)</f>
        <v/>
      </c>
    </row>
    <row r="84">
      <c r="A84" s="43" t="inlineStr">
        <is>
          <t>RV-0080</t>
        </is>
      </c>
      <c r="B84" s="53" t="n">
        <v>46286</v>
      </c>
      <c r="C84" s="43" t="inlineStr">
        <is>
          <t>C009</t>
        </is>
      </c>
      <c r="D84" s="52">
        <f>IF(tblRec[[#This Row],[كود العميل]]="","",IFERROR(INDEX(tblCustomers[اسم العميل],MATCH(tblRec[[#This Row],[كود العميل]],tblCustomers[كود العميل],0)),"⚠ كود غير موجود"))</f>
        <v/>
      </c>
      <c r="E84" s="43" t="inlineStr">
        <is>
          <t>INV-2026-0064</t>
        </is>
      </c>
      <c r="F84" s="43" t="inlineStr">
        <is>
          <t>تحصيل</t>
        </is>
      </c>
      <c r="G84" s="54" t="n">
        <v>17000</v>
      </c>
      <c r="H84" s="43" t="inlineStr">
        <is>
          <t>نقاط بيع</t>
        </is>
      </c>
      <c r="I84"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4" s="52">
        <f>IF(AND(tblRec[[#This Row],[كود العميل]]=StCust,tblRec[[#This Row],[التاريخ]]&gt;=StFrom,tblRec[[#This Row],[التاريخ]]&lt;=StTo),tblRec[[#This Row],[التاريخ]]*100000+50000+ROW(),"")</f>
        <v/>
      </c>
      <c r="K84" s="52">
        <f>IF(tblRec[[#This Row],[مفتاح الكشف]]="","",COUNTIF(tblInv[مفتاح الكشف],"&lt;"&amp;tblRec[[#This Row],[مفتاح الكشف]])+COUNTIF(tblRec[مفتاح الكشف],"&lt;"&amp;tblRec[[#This Row],[مفتاح الكشف]])+1)</f>
        <v/>
      </c>
    </row>
    <row r="85">
      <c r="A85" s="43" t="inlineStr">
        <is>
          <t>RV-0081</t>
        </is>
      </c>
      <c r="B85" s="53" t="n">
        <v>46289</v>
      </c>
      <c r="C85" s="43" t="inlineStr">
        <is>
          <t>C001</t>
        </is>
      </c>
      <c r="D85" s="52">
        <f>IF(tblRec[[#This Row],[كود العميل]]="","",IFERROR(INDEX(tblCustomers[اسم العميل],MATCH(tblRec[[#This Row],[كود العميل]],tblCustomers[كود العميل],0)),"⚠ كود غير موجود"))</f>
        <v/>
      </c>
      <c r="E85" s="43" t="inlineStr">
        <is>
          <t>INV-2026-0104</t>
        </is>
      </c>
      <c r="F85" s="43" t="inlineStr">
        <is>
          <t>تحصيل</t>
        </is>
      </c>
      <c r="G85" s="54" t="n">
        <v>46057.5</v>
      </c>
      <c r="H85" s="43" t="inlineStr">
        <is>
          <t>شيك</t>
        </is>
      </c>
      <c r="I85"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5" s="52">
        <f>IF(AND(tblRec[[#This Row],[كود العميل]]=StCust,tblRec[[#This Row],[التاريخ]]&gt;=StFrom,tblRec[[#This Row],[التاريخ]]&lt;=StTo),tblRec[[#This Row],[التاريخ]]*100000+50000+ROW(),"")</f>
        <v/>
      </c>
      <c r="K85" s="52">
        <f>IF(tblRec[[#This Row],[مفتاح الكشف]]="","",COUNTIF(tblInv[مفتاح الكشف],"&lt;"&amp;tblRec[[#This Row],[مفتاح الكشف]])+COUNTIF(tblRec[مفتاح الكشف],"&lt;"&amp;tblRec[[#This Row],[مفتاح الكشف]])+1)</f>
        <v/>
      </c>
    </row>
    <row r="86">
      <c r="A86" s="43" t="inlineStr">
        <is>
          <t>RV-0082</t>
        </is>
      </c>
      <c r="B86" s="53" t="n">
        <v>46290</v>
      </c>
      <c r="C86" s="43" t="inlineStr">
        <is>
          <t>C011</t>
        </is>
      </c>
      <c r="D86" s="52">
        <f>IF(tblRec[[#This Row],[كود العميل]]="","",IFERROR(INDEX(tblCustomers[اسم العميل],MATCH(tblRec[[#This Row],[كود العميل]],tblCustomers[كود العميل],0)),"⚠ كود غير موجود"))</f>
        <v/>
      </c>
      <c r="E86" s="43" t="n"/>
      <c r="F86" s="43" t="inlineStr">
        <is>
          <t>تحصيل</t>
        </is>
      </c>
      <c r="G86" s="54" t="n">
        <v>8000</v>
      </c>
      <c r="H86" s="43" t="inlineStr">
        <is>
          <t>تحويل</t>
        </is>
      </c>
      <c r="I86"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6" s="52">
        <f>IF(AND(tblRec[[#This Row],[كود العميل]]=StCust,tblRec[[#This Row],[التاريخ]]&gt;=StFrom,tblRec[[#This Row],[التاريخ]]&lt;=StTo),tblRec[[#This Row],[التاريخ]]*100000+50000+ROW(),"")</f>
        <v/>
      </c>
      <c r="K86" s="52">
        <f>IF(tblRec[[#This Row],[مفتاح الكشف]]="","",COUNTIF(tblInv[مفتاح الكشف],"&lt;"&amp;tblRec[[#This Row],[مفتاح الكشف]])+COUNTIF(tblRec[مفتاح الكشف],"&lt;"&amp;tblRec[[#This Row],[مفتاح الكشف]])+1)</f>
        <v/>
      </c>
    </row>
    <row r="87">
      <c r="A87" s="43" t="inlineStr">
        <is>
          <t>RV-0083</t>
        </is>
      </c>
      <c r="B87" s="53" t="n">
        <v>46292</v>
      </c>
      <c r="C87" s="43" t="inlineStr">
        <is>
          <t>C002</t>
        </is>
      </c>
      <c r="D87" s="52">
        <f>IF(tblRec[[#This Row],[كود العميل]]="","",IFERROR(INDEX(tblCustomers[اسم العميل],MATCH(tblRec[[#This Row],[كود العميل]],tblCustomers[كود العميل],0)),"⚠ كود غير موجود"))</f>
        <v/>
      </c>
      <c r="E87" s="43" t="inlineStr">
        <is>
          <t>INV-2026-0090</t>
        </is>
      </c>
      <c r="F87" s="43" t="inlineStr">
        <is>
          <t>تحصيل</t>
        </is>
      </c>
      <c r="G87" s="54" t="n">
        <v>12132.5</v>
      </c>
      <c r="H87" s="43" t="inlineStr">
        <is>
          <t>شيك</t>
        </is>
      </c>
      <c r="I87" s="52">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7" s="52">
        <f>IF(AND(tblRec[[#This Row],[كود العميل]]=StCust,tblRec[[#This Row],[التاريخ]]&gt;=StFrom,tblRec[[#This Row],[التاريخ]]&lt;=StTo),tblRec[[#This Row],[التاريخ]]*100000+50000+ROW(),"")</f>
        <v/>
      </c>
      <c r="K87" s="52">
        <f>IF(tblRec[[#This Row],[مفتاح الكشف]]="","",COUNTIF(tblInv[مفتاح الكشف],"&lt;"&amp;tblRec[[#This Row],[مفتاح الكشف]])+COUNTIF(tblRec[مفتاح الكشف],"&lt;"&amp;tblRec[[#This Row],[مفتاح الكشف]])+1)</f>
        <v/>
      </c>
    </row>
  </sheetData>
  <mergeCells count="2">
    <mergeCell ref="A1:I1"/>
    <mergeCell ref="A2:I2"/>
  </mergeCells>
  <conditionalFormatting sqref="I5:I10004">
    <cfRule type="expression" priority="1" dxfId="2">
      <formula>ISNUMBER(SEARCH("✓",I5))</formula>
    </cfRule>
    <cfRule type="expression" priority="2" dxfId="0">
      <formula>ISNUMBER(SEARCH("⚠",I5))</formula>
    </cfRule>
    <cfRule type="expression" priority="3" dxfId="0">
      <formula>ISNUMBER(SEARCH("⛔",I5))</formula>
    </cfRule>
    <cfRule type="expression" priority="4" dxfId="3">
      <formula>ISNUMBER(SEARCH("↺",I5))</formula>
    </cfRule>
    <cfRule type="expression" priority="5" dxfId="0">
      <formula>ISNUMBER(SEARCH("●",I5))</formula>
    </cfRule>
    <cfRule type="expression" priority="6" dxfId="3">
      <formula>ISNUMBER(SEARCH("◐",I5))</formula>
    </cfRule>
  </conditionalFormatting>
  <dataValidations count="6">
    <dataValidation sqref="B5:B10004" showDropDown="0" showInputMessage="0" showErrorMessage="1" allowBlank="1" errorTitle="قيمة غير صحيحة" error="لازم يكون تاريخ صحيح" type="date" errorStyle="stop" operator="greaterThan">
      <formula1>36526</formula1>
    </dataValidation>
    <dataValidation sqref="C5:C10004" showDropDown="0" showInputMessage="1" showErrorMessage="1" allowBlank="1" errorTitle="قيمة غير مسموحة" error="من فضلك اختر قيمة من القائمة المنسدلة." promptTitle="تنبيه" prompt="اختار كود العميل" type="list" errorStyle="stop">
      <formula1>CustCodes</formula1>
    </dataValidation>
    <dataValidation sqref="E5:E10004" showDropDown="0" showInputMessage="1" showErrorMessage="1" allowBlank="1" errorTitle="قيمة غير مسموحة" error="من فضلك اختر قيمة من القائمة المنسدلة." promptTitle="تنبيه" prompt="رقم الفاتورة (فاضي = دفعة على الحساب)" type="list" errorStyle="warning">
      <formula1>InvNos</formula1>
    </dataValidation>
    <dataValidation sqref="F5:F10004" showDropDown="0" showInputMessage="0" showErrorMessage="1" allowBlank="1" errorTitle="قيمة غير مسموحة" error="من فضلك اختر قيمة من القائمة المنسدلة." type="list" errorStyle="stop">
      <formula1>"تحصيل,إشعار دائن,خصم مسموح به,شطب دين"</formula1>
    </dataValidation>
    <dataValidation sqref="G5:G10004" showDropDown="0" showInputMessage="0" showErrorMessage="1" allowBlank="1" errorTitle="قيمة غير صحيحة" error="المبلغ لازم يكون موجب" type="decimal" errorStyle="stop" operator="greaterThan">
      <formula1>0</formula1>
    </dataValidation>
    <dataValidation sqref="H5:H10004" showDropDown="0" showInputMessage="0" showErrorMessage="1" allowBlank="1" errorTitle="قيمة غير مسموحة" error="من فضلك اختر قيمة من القائمة المنسدلة." type="list" errorStyle="stop">
      <formula1>"تحويل,نقدي,شيك,نقاط بيع"</formula1>
    </dataValidation>
  </dataValidations>
  <hyperlinks>
    <hyperlink ref="A3" location="'التعليمات'!A1" display="📘 التعليمات"/>
    <hyperlink ref="B3" location="'الإعدادات'!A1" display="⚙ الإعدادات"/>
    <hyperlink ref="C3" location="'العملاء'!A1" display="👥 العملاء"/>
    <hyperlink ref="D3" location="'الفواتير'!A1" display="🧾 الفواتير"/>
    <hyperlink ref="E3" location="'تقرير الأعمار'!A1" display="📊 تقرير الأعمار"/>
    <hyperlink ref="F3" location="'المخصص'!A1" display="🛡 المخصص"/>
    <hyperlink ref="G3" location="'كشف حساب عميل'!A1" display="📄 كشف حساب"/>
    <hyperlink ref="H3" location="'لوحة التحكم'!A1" display="📈 لوحة التحكم"/>
  </hyperlinks>
  <printOptions horizontalCentered="1"/>
  <pageMargins left="0.4" right="0.4" top="0.5" bottom="0.5" header="0.5" footer="0.5"/>
  <pageSetup orientation="landscape" paperSize="9" fitToHeight="0" fitToWidth="1"/>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2C5282"/>
    <outlinePr summaryBelow="1" summaryRight="1"/>
    <pageSetUpPr fitToPage="1"/>
  </sheetPr>
  <dimension ref="A1:O509"/>
  <sheetViews>
    <sheetView showGridLines="0" rightToLeft="1" zoomScale="90" workbookViewId="0">
      <pane xSplit="2" ySplit="9" topLeftCell="C10"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5" customWidth="1" min="10" max="10"/>
    <col width="14" customWidth="1" min="11" max="11"/>
    <col width="16" customWidth="1" min="12" max="12"/>
    <col width="10" customWidth="1" min="13" max="13"/>
    <col width="14" customWidth="1" min="14" max="14"/>
    <col width="8" customWidth="1" min="15" max="15"/>
    <col width="6" customWidth="1" min="17" max="17"/>
  </cols>
  <sheetData>
    <row r="1" ht="34" customHeight="1">
      <c r="A1" s="1">
        <f>"تقرير أعمار الذمم المدينة كما في "&amp;TEXT(AsOf,"dd/mm/yyyy")</f>
        <v/>
      </c>
      <c r="B1" s="1" t="n"/>
      <c r="C1" s="1" t="n"/>
      <c r="D1" s="1" t="n"/>
      <c r="E1" s="1" t="n"/>
      <c r="F1" s="1" t="n"/>
      <c r="G1" s="1" t="n"/>
      <c r="H1" s="1" t="n"/>
      <c r="I1" s="1" t="n"/>
      <c r="J1" s="1" t="n"/>
      <c r="K1" s="1" t="n"/>
      <c r="L1" s="1" t="n"/>
      <c r="M1" s="1" t="n"/>
      <c r="N1" s="1" t="n"/>
      <c r="O1" s="1" t="n"/>
    </row>
    <row r="2" ht="20" customHeight="1">
      <c r="A2" s="2">
        <f>CompanyName&amp;"   |   تاريخ التقرير: "&amp;TEXT(AsOf,"dd/mm/yyyy")&amp;"   |   المبالغ بـ "&amp;Currency</f>
        <v/>
      </c>
      <c r="B2" s="2" t="n"/>
      <c r="C2" s="2" t="n"/>
      <c r="D2" s="2" t="n"/>
      <c r="E2" s="2" t="n"/>
      <c r="F2" s="2" t="n"/>
      <c r="G2" s="2" t="n"/>
      <c r="H2" s="2" t="n"/>
      <c r="I2" s="2" t="n"/>
      <c r="J2" s="2" t="n"/>
      <c r="K2" s="2" t="n"/>
      <c r="L2" s="2" t="n"/>
      <c r="M2" s="2" t="n"/>
      <c r="N2" s="2" t="n"/>
      <c r="O2" s="2" t="n"/>
    </row>
    <row r="3" ht="22" customHeight="1">
      <c r="A3" s="18" t="inlineStr">
        <is>
          <t>📘 التعليمات</t>
        </is>
      </c>
      <c r="B3" s="3" t="inlineStr">
        <is>
          <t>⚙ الإعدادات</t>
        </is>
      </c>
      <c r="C3" s="3" t="inlineStr">
        <is>
          <t>👥 العملاء</t>
        </is>
      </c>
      <c r="D3" s="3" t="inlineStr">
        <is>
          <t>🧾 الفواتير</t>
        </is>
      </c>
      <c r="E3" s="3" t="inlineStr">
        <is>
          <t>💵 التحصيلات</t>
        </is>
      </c>
      <c r="F3" s="5" t="inlineStr">
        <is>
          <t>🛡 المخصص</t>
        </is>
      </c>
      <c r="G3" s="5" t="inlineStr">
        <is>
          <t>📄 كشف حساب</t>
        </is>
      </c>
      <c r="H3" s="5" t="inlineStr">
        <is>
          <t>📈 لوحة التحكم</t>
        </is>
      </c>
    </row>
    <row r="4" ht="20" customHeight="1">
      <c r="A4" s="59" t="inlineStr">
        <is>
          <t>المندوب</t>
        </is>
      </c>
      <c r="B4" s="59" t="n"/>
      <c r="C4" s="59" t="inlineStr">
        <is>
          <t>المدينة</t>
        </is>
      </c>
      <c r="D4" s="59" t="n"/>
      <c r="F4" s="60" t="inlineStr">
        <is>
          <t>المطابقة ◄</t>
        </is>
      </c>
      <c r="G4" s="61" t="inlineStr">
        <is>
          <t>إجمالي تقرير الأعمار</t>
        </is>
      </c>
      <c r="H4" s="61" t="n"/>
      <c r="I4" s="61" t="inlineStr">
        <is>
          <t>رصيد دفتر الأستاذ</t>
        </is>
      </c>
      <c r="J4" s="61" t="n"/>
      <c r="K4" s="61" t="inlineStr">
        <is>
          <t>الفرق</t>
        </is>
      </c>
      <c r="L4" s="61" t="n"/>
      <c r="M4" s="62">
        <f>IF(OR(RepF&lt;&gt;"الكل",CityF&lt;&gt;"الكل"),"⚠ الفلتر شغال — المطابقة بتتعمل على «الكل»",IF(ROUND(K5,2)=0,"✓ مطابق","⚠ فيه فرق — راجع"))</f>
        <v/>
      </c>
      <c r="N4" s="62" t="n"/>
      <c r="O4" s="62" t="n"/>
    </row>
    <row r="5" ht="26" customHeight="1">
      <c r="A5" s="20" t="inlineStr">
        <is>
          <t>الكل</t>
        </is>
      </c>
      <c r="B5" s="20" t="n"/>
      <c r="C5" s="20" t="inlineStr">
        <is>
          <t>الكل</t>
        </is>
      </c>
      <c r="D5" s="20" t="n"/>
      <c r="F5" s="60" t="n"/>
      <c r="G5" s="63">
        <f>L8</f>
        <v/>
      </c>
      <c r="H5" s="63" t="n"/>
      <c r="I5" s="63">
        <f>GLBalance</f>
        <v/>
      </c>
      <c r="J5" s="63" t="n"/>
      <c r="K5" s="63">
        <f>G5-I5</f>
        <v/>
      </c>
      <c r="L5" s="63" t="n"/>
      <c r="M5" s="62" t="n"/>
      <c r="N5" s="62" t="n"/>
      <c r="O5" s="62" t="n"/>
    </row>
    <row r="6" ht="6" customHeight="1"/>
    <row r="7" ht="34" customHeight="1">
      <c r="A7" s="27" t="inlineStr">
        <is>
          <t>كود</t>
        </is>
      </c>
      <c r="B7" s="27" t="inlineStr">
        <is>
          <t>اسم العميل</t>
        </is>
      </c>
      <c r="C7" s="64">
        <f>INDEX(tblBuckets[الفترة],1)</f>
        <v/>
      </c>
      <c r="D7" s="65">
        <f>INDEX(tblBuckets[الفترة],2)</f>
        <v/>
      </c>
      <c r="E7" s="66">
        <f>INDEX(tblBuckets[الفترة],3)</f>
        <v/>
      </c>
      <c r="F7" s="67">
        <f>INDEX(tblBuckets[الفترة],4)</f>
        <v/>
      </c>
      <c r="G7" s="68">
        <f>INDEX(tblBuckets[الفترة],5)</f>
        <v/>
      </c>
      <c r="H7" s="69">
        <f>INDEX(tblBuckets[الفترة],6)</f>
        <v/>
      </c>
      <c r="I7" s="70">
        <f>INDEX(tblBuckets[الفترة],7)</f>
        <v/>
      </c>
      <c r="J7" s="27" t="inlineStr">
        <is>
          <t>إجمالي الفواتير</t>
        </is>
      </c>
      <c r="K7" s="27" t="inlineStr">
        <is>
          <t>دفعات غير مخصصة</t>
        </is>
      </c>
      <c r="L7" s="27" t="inlineStr">
        <is>
          <t>الصافي</t>
        </is>
      </c>
      <c r="M7" s="27" t="inlineStr">
        <is>
          <t>% من الإجمالي</t>
        </is>
      </c>
      <c r="N7" s="27" t="inlineStr">
        <is>
          <t>حد الائتمان</t>
        </is>
      </c>
      <c r="O7" s="27" t="inlineStr">
        <is>
          <t>تجاوز؟</t>
        </is>
      </c>
    </row>
    <row r="8">
      <c r="A8" s="71" t="inlineStr">
        <is>
          <t>الإجمالي</t>
        </is>
      </c>
      <c r="B8" s="71" t="n"/>
      <c r="C8" s="72">
        <f>SUM(C10:C509)</f>
        <v/>
      </c>
      <c r="D8" s="72">
        <f>SUM(D10:D509)</f>
        <v/>
      </c>
      <c r="E8" s="72">
        <f>SUM(E10:E509)</f>
        <v/>
      </c>
      <c r="F8" s="72">
        <f>SUM(F10:F509)</f>
        <v/>
      </c>
      <c r="G8" s="72">
        <f>SUM(G10:G509)</f>
        <v/>
      </c>
      <c r="H8" s="72">
        <f>SUM(H10:H509)</f>
        <v/>
      </c>
      <c r="I8" s="72">
        <f>SUM(I10:I509)</f>
        <v/>
      </c>
      <c r="J8" s="72">
        <f>SUM(J10:J509)</f>
        <v/>
      </c>
      <c r="K8" s="72">
        <f>SUM(K10:K509)</f>
        <v/>
      </c>
      <c r="L8" s="72">
        <f>SUM(L10:L509)</f>
        <v/>
      </c>
      <c r="M8" s="73">
        <f>IF(L8=0,0,1)</f>
        <v/>
      </c>
      <c r="N8" s="72">
        <f>SUM(N10:N509)</f>
        <v/>
      </c>
      <c r="O8" s="74">
        <f>COUNTIF(O10:O509,"⛔")</f>
        <v/>
      </c>
    </row>
    <row r="9">
      <c r="A9" s="75" t="inlineStr">
        <is>
          <t>النسبة من الإجمالي</t>
        </is>
      </c>
      <c r="B9" s="75" t="n"/>
      <c r="C9" s="76">
        <f>IFERROR(C8/$L$8,0)</f>
        <v/>
      </c>
      <c r="D9" s="76">
        <f>IFERROR(D8/$L$8,0)</f>
        <v/>
      </c>
      <c r="E9" s="76">
        <f>IFERROR(E8/$L$8,0)</f>
        <v/>
      </c>
      <c r="F9" s="76">
        <f>IFERROR(F8/$L$8,0)</f>
        <v/>
      </c>
      <c r="G9" s="76">
        <f>IFERROR(G8/$L$8,0)</f>
        <v/>
      </c>
      <c r="H9" s="76">
        <f>IFERROR(H8/$L$8,0)</f>
        <v/>
      </c>
      <c r="I9" s="76">
        <f>IFERROR(I8/$L$8,0)</f>
        <v/>
      </c>
      <c r="J9" s="76">
        <f>IFERROR(J8/$L$8,0)</f>
        <v/>
      </c>
      <c r="K9" s="76">
        <f>IFERROR(K8/$L$8,0)</f>
        <v/>
      </c>
      <c r="L9" s="76">
        <f>IFERROR(L8/$L$8,0)</f>
        <v/>
      </c>
      <c r="M9" s="77" t="n"/>
      <c r="N9" s="77" t="n"/>
      <c r="O9" s="77" t="n"/>
    </row>
    <row r="10">
      <c r="A10" s="78">
        <f>IFERROR(INDEX(tblCustomers[كود العميل],MATCH(1,tblCustomers[ترتيب],0)),"")</f>
        <v/>
      </c>
      <c r="B10" s="79">
        <f>IF($A10="","",INDEX(tblCustomers[اسم العميل],MATCH($A10,tblCustomers[كود العميل],0)))</f>
        <v/>
      </c>
      <c r="C10" s="80">
        <f>IF($A10="","",SUMIFS(tblInv[المتبقي],tblInv[كود العميل],$A10,tblInv[الفترة],C$7))</f>
        <v/>
      </c>
      <c r="D10" s="80">
        <f>IF($A10="","",SUMIFS(tblInv[المتبقي],tblInv[كود العميل],$A10,tblInv[الفترة],D$7))</f>
        <v/>
      </c>
      <c r="E10" s="80">
        <f>IF($A10="","",SUMIFS(tblInv[المتبقي],tblInv[كود العميل],$A10,tblInv[الفترة],E$7))</f>
        <v/>
      </c>
      <c r="F10" s="80">
        <f>IF($A10="","",SUMIFS(tblInv[المتبقي],tblInv[كود العميل],$A10,tblInv[الفترة],F$7))</f>
        <v/>
      </c>
      <c r="G10" s="80">
        <f>IF($A10="","",SUMIFS(tblInv[المتبقي],tblInv[كود العميل],$A10,tblInv[الفترة],G$7))</f>
        <v/>
      </c>
      <c r="H10" s="80">
        <f>IF($A10="","",SUMIFS(tblInv[المتبقي],tblInv[كود العميل],$A10,tblInv[الفترة],H$7))</f>
        <v/>
      </c>
      <c r="I10" s="80">
        <f>IF($A10="","",SUMIFS(tblInv[المتبقي],tblInv[كود العميل],$A10,tblInv[الفترة],I$7))</f>
        <v/>
      </c>
      <c r="J10" s="80">
        <f>IF($A10="","",SUM(C10:I10))</f>
        <v/>
      </c>
      <c r="K10" s="80">
        <f>IF($A10="","",-SUMIFS(tblRec[المبلغ],tblRec[كود العميل],$A10,tblRec[رقم الفاتورة],"",tblRec[التاريخ],"&lt;="&amp;AsOf)+SUMIFS(tblInv[المتبقي],tblInv[كود العميل],$A10,tblInv[المتبقي],"&lt;0"))</f>
        <v/>
      </c>
      <c r="L10" s="81">
        <f>IF($A10="","",J10+K10)</f>
        <v/>
      </c>
      <c r="M10" s="82">
        <f>IF($A10="","",IFERROR(L10/$L$8,0))</f>
        <v/>
      </c>
      <c r="N10" s="80">
        <f>IF($A10="","",INDEX(tblCustomers[حد الائتمان],MATCH($A10,tblCustomers[كود العميل],0)))</f>
        <v/>
      </c>
      <c r="O10" s="83">
        <f>IF($A10="","",IF(AND(N10&gt;0,L10&gt;N10),"⛔",""))</f>
        <v/>
      </c>
    </row>
    <row r="11">
      <c r="A11" s="78">
        <f>IFERROR(INDEX(tblCustomers[كود العميل],MATCH(2,tblCustomers[ترتيب],0)),"")</f>
        <v/>
      </c>
      <c r="B11" s="79">
        <f>IF($A11="","",INDEX(tblCustomers[اسم العميل],MATCH($A11,tblCustomers[كود العميل],0)))</f>
        <v/>
      </c>
      <c r="C11" s="80">
        <f>IF($A11="","",SUMIFS(tblInv[المتبقي],tblInv[كود العميل],$A11,tblInv[الفترة],C$7))</f>
        <v/>
      </c>
      <c r="D11" s="80">
        <f>IF($A11="","",SUMIFS(tblInv[المتبقي],tblInv[كود العميل],$A11,tblInv[الفترة],D$7))</f>
        <v/>
      </c>
      <c r="E11" s="80">
        <f>IF($A11="","",SUMIFS(tblInv[المتبقي],tblInv[كود العميل],$A11,tblInv[الفترة],E$7))</f>
        <v/>
      </c>
      <c r="F11" s="80">
        <f>IF($A11="","",SUMIFS(tblInv[المتبقي],tblInv[كود العميل],$A11,tblInv[الفترة],F$7))</f>
        <v/>
      </c>
      <c r="G11" s="80">
        <f>IF($A11="","",SUMIFS(tblInv[المتبقي],tblInv[كود العميل],$A11,tblInv[الفترة],G$7))</f>
        <v/>
      </c>
      <c r="H11" s="80">
        <f>IF($A11="","",SUMIFS(tblInv[المتبقي],tblInv[كود العميل],$A11,tblInv[الفترة],H$7))</f>
        <v/>
      </c>
      <c r="I11" s="80">
        <f>IF($A11="","",SUMIFS(tblInv[المتبقي],tblInv[كود العميل],$A11,tblInv[الفترة],I$7))</f>
        <v/>
      </c>
      <c r="J11" s="80">
        <f>IF($A11="","",SUM(C11:I11))</f>
        <v/>
      </c>
      <c r="K11" s="80">
        <f>IF($A11="","",-SUMIFS(tblRec[المبلغ],tblRec[كود العميل],$A11,tblRec[رقم الفاتورة],"",tblRec[التاريخ],"&lt;="&amp;AsOf)+SUMIFS(tblInv[المتبقي],tblInv[كود العميل],$A11,tblInv[المتبقي],"&lt;0"))</f>
        <v/>
      </c>
      <c r="L11" s="81">
        <f>IF($A11="","",J11+K11)</f>
        <v/>
      </c>
      <c r="M11" s="82">
        <f>IF($A11="","",IFERROR(L11/$L$8,0))</f>
        <v/>
      </c>
      <c r="N11" s="80">
        <f>IF($A11="","",INDEX(tblCustomers[حد الائتمان],MATCH($A11,tblCustomers[كود العميل],0)))</f>
        <v/>
      </c>
      <c r="O11" s="83">
        <f>IF($A11="","",IF(AND(N11&gt;0,L11&gt;N11),"⛔",""))</f>
        <v/>
      </c>
    </row>
    <row r="12">
      <c r="A12" s="78">
        <f>IFERROR(INDEX(tblCustomers[كود العميل],MATCH(3,tblCustomers[ترتيب],0)),"")</f>
        <v/>
      </c>
      <c r="B12" s="79">
        <f>IF($A12="","",INDEX(tblCustomers[اسم العميل],MATCH($A12,tblCustomers[كود العميل],0)))</f>
        <v/>
      </c>
      <c r="C12" s="80">
        <f>IF($A12="","",SUMIFS(tblInv[المتبقي],tblInv[كود العميل],$A12,tblInv[الفترة],C$7))</f>
        <v/>
      </c>
      <c r="D12" s="80">
        <f>IF($A12="","",SUMIFS(tblInv[المتبقي],tblInv[كود العميل],$A12,tblInv[الفترة],D$7))</f>
        <v/>
      </c>
      <c r="E12" s="80">
        <f>IF($A12="","",SUMIFS(tblInv[المتبقي],tblInv[كود العميل],$A12,tblInv[الفترة],E$7))</f>
        <v/>
      </c>
      <c r="F12" s="80">
        <f>IF($A12="","",SUMIFS(tblInv[المتبقي],tblInv[كود العميل],$A12,tblInv[الفترة],F$7))</f>
        <v/>
      </c>
      <c r="G12" s="80">
        <f>IF($A12="","",SUMIFS(tblInv[المتبقي],tblInv[كود العميل],$A12,tblInv[الفترة],G$7))</f>
        <v/>
      </c>
      <c r="H12" s="80">
        <f>IF($A12="","",SUMIFS(tblInv[المتبقي],tblInv[كود العميل],$A12,tblInv[الفترة],H$7))</f>
        <v/>
      </c>
      <c r="I12" s="80">
        <f>IF($A12="","",SUMIFS(tblInv[المتبقي],tblInv[كود العميل],$A12,tblInv[الفترة],I$7))</f>
        <v/>
      </c>
      <c r="J12" s="80">
        <f>IF($A12="","",SUM(C12:I12))</f>
        <v/>
      </c>
      <c r="K12" s="80">
        <f>IF($A12="","",-SUMIFS(tblRec[المبلغ],tblRec[كود العميل],$A12,tblRec[رقم الفاتورة],"",tblRec[التاريخ],"&lt;="&amp;AsOf)+SUMIFS(tblInv[المتبقي],tblInv[كود العميل],$A12,tblInv[المتبقي],"&lt;0"))</f>
        <v/>
      </c>
      <c r="L12" s="81">
        <f>IF($A12="","",J12+K12)</f>
        <v/>
      </c>
      <c r="M12" s="82">
        <f>IF($A12="","",IFERROR(L12/$L$8,0))</f>
        <v/>
      </c>
      <c r="N12" s="80">
        <f>IF($A12="","",INDEX(tblCustomers[حد الائتمان],MATCH($A12,tblCustomers[كود العميل],0)))</f>
        <v/>
      </c>
      <c r="O12" s="83">
        <f>IF($A12="","",IF(AND(N12&gt;0,L12&gt;N12),"⛔",""))</f>
        <v/>
      </c>
    </row>
    <row r="13">
      <c r="A13" s="78">
        <f>IFERROR(INDEX(tblCustomers[كود العميل],MATCH(4,tblCustomers[ترتيب],0)),"")</f>
        <v/>
      </c>
      <c r="B13" s="79">
        <f>IF($A13="","",INDEX(tblCustomers[اسم العميل],MATCH($A13,tblCustomers[كود العميل],0)))</f>
        <v/>
      </c>
      <c r="C13" s="80">
        <f>IF($A13="","",SUMIFS(tblInv[المتبقي],tblInv[كود العميل],$A13,tblInv[الفترة],C$7))</f>
        <v/>
      </c>
      <c r="D13" s="80">
        <f>IF($A13="","",SUMIFS(tblInv[المتبقي],tblInv[كود العميل],$A13,tblInv[الفترة],D$7))</f>
        <v/>
      </c>
      <c r="E13" s="80">
        <f>IF($A13="","",SUMIFS(tblInv[المتبقي],tblInv[كود العميل],$A13,tblInv[الفترة],E$7))</f>
        <v/>
      </c>
      <c r="F13" s="80">
        <f>IF($A13="","",SUMIFS(tblInv[المتبقي],tblInv[كود العميل],$A13,tblInv[الفترة],F$7))</f>
        <v/>
      </c>
      <c r="G13" s="80">
        <f>IF($A13="","",SUMIFS(tblInv[المتبقي],tblInv[كود العميل],$A13,tblInv[الفترة],G$7))</f>
        <v/>
      </c>
      <c r="H13" s="80">
        <f>IF($A13="","",SUMIFS(tblInv[المتبقي],tblInv[كود العميل],$A13,tblInv[الفترة],H$7))</f>
        <v/>
      </c>
      <c r="I13" s="80">
        <f>IF($A13="","",SUMIFS(tblInv[المتبقي],tblInv[كود العميل],$A13,tblInv[الفترة],I$7))</f>
        <v/>
      </c>
      <c r="J13" s="80">
        <f>IF($A13="","",SUM(C13:I13))</f>
        <v/>
      </c>
      <c r="K13" s="80">
        <f>IF($A13="","",-SUMIFS(tblRec[المبلغ],tblRec[كود العميل],$A13,tblRec[رقم الفاتورة],"",tblRec[التاريخ],"&lt;="&amp;AsOf)+SUMIFS(tblInv[المتبقي],tblInv[كود العميل],$A13,tblInv[المتبقي],"&lt;0"))</f>
        <v/>
      </c>
      <c r="L13" s="81">
        <f>IF($A13="","",J13+K13)</f>
        <v/>
      </c>
      <c r="M13" s="82">
        <f>IF($A13="","",IFERROR(L13/$L$8,0))</f>
        <v/>
      </c>
      <c r="N13" s="80">
        <f>IF($A13="","",INDEX(tblCustomers[حد الائتمان],MATCH($A13,tblCustomers[كود العميل],0)))</f>
        <v/>
      </c>
      <c r="O13" s="83">
        <f>IF($A13="","",IF(AND(N13&gt;0,L13&gt;N13),"⛔",""))</f>
        <v/>
      </c>
    </row>
    <row r="14">
      <c r="A14" s="78">
        <f>IFERROR(INDEX(tblCustomers[كود العميل],MATCH(5,tblCustomers[ترتيب],0)),"")</f>
        <v/>
      </c>
      <c r="B14" s="79">
        <f>IF($A14="","",INDEX(tblCustomers[اسم العميل],MATCH($A14,tblCustomers[كود العميل],0)))</f>
        <v/>
      </c>
      <c r="C14" s="80">
        <f>IF($A14="","",SUMIFS(tblInv[المتبقي],tblInv[كود العميل],$A14,tblInv[الفترة],C$7))</f>
        <v/>
      </c>
      <c r="D14" s="80">
        <f>IF($A14="","",SUMIFS(tblInv[المتبقي],tblInv[كود العميل],$A14,tblInv[الفترة],D$7))</f>
        <v/>
      </c>
      <c r="E14" s="80">
        <f>IF($A14="","",SUMIFS(tblInv[المتبقي],tblInv[كود العميل],$A14,tblInv[الفترة],E$7))</f>
        <v/>
      </c>
      <c r="F14" s="80">
        <f>IF($A14="","",SUMIFS(tblInv[المتبقي],tblInv[كود العميل],$A14,tblInv[الفترة],F$7))</f>
        <v/>
      </c>
      <c r="G14" s="80">
        <f>IF($A14="","",SUMIFS(tblInv[المتبقي],tblInv[كود العميل],$A14,tblInv[الفترة],G$7))</f>
        <v/>
      </c>
      <c r="H14" s="80">
        <f>IF($A14="","",SUMIFS(tblInv[المتبقي],tblInv[كود العميل],$A14,tblInv[الفترة],H$7))</f>
        <v/>
      </c>
      <c r="I14" s="80">
        <f>IF($A14="","",SUMIFS(tblInv[المتبقي],tblInv[كود العميل],$A14,tblInv[الفترة],I$7))</f>
        <v/>
      </c>
      <c r="J14" s="80">
        <f>IF($A14="","",SUM(C14:I14))</f>
        <v/>
      </c>
      <c r="K14" s="80">
        <f>IF($A14="","",-SUMIFS(tblRec[المبلغ],tblRec[كود العميل],$A14,tblRec[رقم الفاتورة],"",tblRec[التاريخ],"&lt;="&amp;AsOf)+SUMIFS(tblInv[المتبقي],tblInv[كود العميل],$A14,tblInv[المتبقي],"&lt;0"))</f>
        <v/>
      </c>
      <c r="L14" s="81">
        <f>IF($A14="","",J14+K14)</f>
        <v/>
      </c>
      <c r="M14" s="82">
        <f>IF($A14="","",IFERROR(L14/$L$8,0))</f>
        <v/>
      </c>
      <c r="N14" s="80">
        <f>IF($A14="","",INDEX(tblCustomers[حد الائتمان],MATCH($A14,tblCustomers[كود العميل],0)))</f>
        <v/>
      </c>
      <c r="O14" s="83">
        <f>IF($A14="","",IF(AND(N14&gt;0,L14&gt;N14),"⛔",""))</f>
        <v/>
      </c>
    </row>
    <row r="15">
      <c r="A15" s="78">
        <f>IFERROR(INDEX(tblCustomers[كود العميل],MATCH(6,tblCustomers[ترتيب],0)),"")</f>
        <v/>
      </c>
      <c r="B15" s="79">
        <f>IF($A15="","",INDEX(tblCustomers[اسم العميل],MATCH($A15,tblCustomers[كود العميل],0)))</f>
        <v/>
      </c>
      <c r="C15" s="80">
        <f>IF($A15="","",SUMIFS(tblInv[المتبقي],tblInv[كود العميل],$A15,tblInv[الفترة],C$7))</f>
        <v/>
      </c>
      <c r="D15" s="80">
        <f>IF($A15="","",SUMIFS(tblInv[المتبقي],tblInv[كود العميل],$A15,tblInv[الفترة],D$7))</f>
        <v/>
      </c>
      <c r="E15" s="80">
        <f>IF($A15="","",SUMIFS(tblInv[المتبقي],tblInv[كود العميل],$A15,tblInv[الفترة],E$7))</f>
        <v/>
      </c>
      <c r="F15" s="80">
        <f>IF($A15="","",SUMIFS(tblInv[المتبقي],tblInv[كود العميل],$A15,tblInv[الفترة],F$7))</f>
        <v/>
      </c>
      <c r="G15" s="80">
        <f>IF($A15="","",SUMIFS(tblInv[المتبقي],tblInv[كود العميل],$A15,tblInv[الفترة],G$7))</f>
        <v/>
      </c>
      <c r="H15" s="80">
        <f>IF($A15="","",SUMIFS(tblInv[المتبقي],tblInv[كود العميل],$A15,tblInv[الفترة],H$7))</f>
        <v/>
      </c>
      <c r="I15" s="80">
        <f>IF($A15="","",SUMIFS(tblInv[المتبقي],tblInv[كود العميل],$A15,tblInv[الفترة],I$7))</f>
        <v/>
      </c>
      <c r="J15" s="80">
        <f>IF($A15="","",SUM(C15:I15))</f>
        <v/>
      </c>
      <c r="K15" s="80">
        <f>IF($A15="","",-SUMIFS(tblRec[المبلغ],tblRec[كود العميل],$A15,tblRec[رقم الفاتورة],"",tblRec[التاريخ],"&lt;="&amp;AsOf)+SUMIFS(tblInv[المتبقي],tblInv[كود العميل],$A15,tblInv[المتبقي],"&lt;0"))</f>
        <v/>
      </c>
      <c r="L15" s="81">
        <f>IF($A15="","",J15+K15)</f>
        <v/>
      </c>
      <c r="M15" s="82">
        <f>IF($A15="","",IFERROR(L15/$L$8,0))</f>
        <v/>
      </c>
      <c r="N15" s="80">
        <f>IF($A15="","",INDEX(tblCustomers[حد الائتمان],MATCH($A15,tblCustomers[كود العميل],0)))</f>
        <v/>
      </c>
      <c r="O15" s="83">
        <f>IF($A15="","",IF(AND(N15&gt;0,L15&gt;N15),"⛔",""))</f>
        <v/>
      </c>
    </row>
    <row r="16">
      <c r="A16" s="78">
        <f>IFERROR(INDEX(tblCustomers[كود العميل],MATCH(7,tblCustomers[ترتيب],0)),"")</f>
        <v/>
      </c>
      <c r="B16" s="79">
        <f>IF($A16="","",INDEX(tblCustomers[اسم العميل],MATCH($A16,tblCustomers[كود العميل],0)))</f>
        <v/>
      </c>
      <c r="C16" s="80">
        <f>IF($A16="","",SUMIFS(tblInv[المتبقي],tblInv[كود العميل],$A16,tblInv[الفترة],C$7))</f>
        <v/>
      </c>
      <c r="D16" s="80">
        <f>IF($A16="","",SUMIFS(tblInv[المتبقي],tblInv[كود العميل],$A16,tblInv[الفترة],D$7))</f>
        <v/>
      </c>
      <c r="E16" s="80">
        <f>IF($A16="","",SUMIFS(tblInv[المتبقي],tblInv[كود العميل],$A16,tblInv[الفترة],E$7))</f>
        <v/>
      </c>
      <c r="F16" s="80">
        <f>IF($A16="","",SUMIFS(tblInv[المتبقي],tblInv[كود العميل],$A16,tblInv[الفترة],F$7))</f>
        <v/>
      </c>
      <c r="G16" s="80">
        <f>IF($A16="","",SUMIFS(tblInv[المتبقي],tblInv[كود العميل],$A16,tblInv[الفترة],G$7))</f>
        <v/>
      </c>
      <c r="H16" s="80">
        <f>IF($A16="","",SUMIFS(tblInv[المتبقي],tblInv[كود العميل],$A16,tblInv[الفترة],H$7))</f>
        <v/>
      </c>
      <c r="I16" s="80">
        <f>IF($A16="","",SUMIFS(tblInv[المتبقي],tblInv[كود العميل],$A16,tblInv[الفترة],I$7))</f>
        <v/>
      </c>
      <c r="J16" s="80">
        <f>IF($A16="","",SUM(C16:I16))</f>
        <v/>
      </c>
      <c r="K16" s="80">
        <f>IF($A16="","",-SUMIFS(tblRec[المبلغ],tblRec[كود العميل],$A16,tblRec[رقم الفاتورة],"",tblRec[التاريخ],"&lt;="&amp;AsOf)+SUMIFS(tblInv[المتبقي],tblInv[كود العميل],$A16,tblInv[المتبقي],"&lt;0"))</f>
        <v/>
      </c>
      <c r="L16" s="81">
        <f>IF($A16="","",J16+K16)</f>
        <v/>
      </c>
      <c r="M16" s="82">
        <f>IF($A16="","",IFERROR(L16/$L$8,0))</f>
        <v/>
      </c>
      <c r="N16" s="80">
        <f>IF($A16="","",INDEX(tblCustomers[حد الائتمان],MATCH($A16,tblCustomers[كود العميل],0)))</f>
        <v/>
      </c>
      <c r="O16" s="83">
        <f>IF($A16="","",IF(AND(N16&gt;0,L16&gt;N16),"⛔",""))</f>
        <v/>
      </c>
    </row>
    <row r="17">
      <c r="A17" s="78">
        <f>IFERROR(INDEX(tblCustomers[كود العميل],MATCH(8,tblCustomers[ترتيب],0)),"")</f>
        <v/>
      </c>
      <c r="B17" s="79">
        <f>IF($A17="","",INDEX(tblCustomers[اسم العميل],MATCH($A17,tblCustomers[كود العميل],0)))</f>
        <v/>
      </c>
      <c r="C17" s="80">
        <f>IF($A17="","",SUMIFS(tblInv[المتبقي],tblInv[كود العميل],$A17,tblInv[الفترة],C$7))</f>
        <v/>
      </c>
      <c r="D17" s="80">
        <f>IF($A17="","",SUMIFS(tblInv[المتبقي],tblInv[كود العميل],$A17,tblInv[الفترة],D$7))</f>
        <v/>
      </c>
      <c r="E17" s="80">
        <f>IF($A17="","",SUMIFS(tblInv[المتبقي],tblInv[كود العميل],$A17,tblInv[الفترة],E$7))</f>
        <v/>
      </c>
      <c r="F17" s="80">
        <f>IF($A17="","",SUMIFS(tblInv[المتبقي],tblInv[كود العميل],$A17,tblInv[الفترة],F$7))</f>
        <v/>
      </c>
      <c r="G17" s="80">
        <f>IF($A17="","",SUMIFS(tblInv[المتبقي],tblInv[كود العميل],$A17,tblInv[الفترة],G$7))</f>
        <v/>
      </c>
      <c r="H17" s="80">
        <f>IF($A17="","",SUMIFS(tblInv[المتبقي],tblInv[كود العميل],$A17,tblInv[الفترة],H$7))</f>
        <v/>
      </c>
      <c r="I17" s="80">
        <f>IF($A17="","",SUMIFS(tblInv[المتبقي],tblInv[كود العميل],$A17,tblInv[الفترة],I$7))</f>
        <v/>
      </c>
      <c r="J17" s="80">
        <f>IF($A17="","",SUM(C17:I17))</f>
        <v/>
      </c>
      <c r="K17" s="80">
        <f>IF($A17="","",-SUMIFS(tblRec[المبلغ],tblRec[كود العميل],$A17,tblRec[رقم الفاتورة],"",tblRec[التاريخ],"&lt;="&amp;AsOf)+SUMIFS(tblInv[المتبقي],tblInv[كود العميل],$A17,tblInv[المتبقي],"&lt;0"))</f>
        <v/>
      </c>
      <c r="L17" s="81">
        <f>IF($A17="","",J17+K17)</f>
        <v/>
      </c>
      <c r="M17" s="82">
        <f>IF($A17="","",IFERROR(L17/$L$8,0))</f>
        <v/>
      </c>
      <c r="N17" s="80">
        <f>IF($A17="","",INDEX(tblCustomers[حد الائتمان],MATCH($A17,tblCustomers[كود العميل],0)))</f>
        <v/>
      </c>
      <c r="O17" s="83">
        <f>IF($A17="","",IF(AND(N17&gt;0,L17&gt;N17),"⛔",""))</f>
        <v/>
      </c>
    </row>
    <row r="18">
      <c r="A18" s="78">
        <f>IFERROR(INDEX(tblCustomers[كود العميل],MATCH(9,tblCustomers[ترتيب],0)),"")</f>
        <v/>
      </c>
      <c r="B18" s="79">
        <f>IF($A18="","",INDEX(tblCustomers[اسم العميل],MATCH($A18,tblCustomers[كود العميل],0)))</f>
        <v/>
      </c>
      <c r="C18" s="80">
        <f>IF($A18="","",SUMIFS(tblInv[المتبقي],tblInv[كود العميل],$A18,tblInv[الفترة],C$7))</f>
        <v/>
      </c>
      <c r="D18" s="80">
        <f>IF($A18="","",SUMIFS(tblInv[المتبقي],tblInv[كود العميل],$A18,tblInv[الفترة],D$7))</f>
        <v/>
      </c>
      <c r="E18" s="80">
        <f>IF($A18="","",SUMIFS(tblInv[المتبقي],tblInv[كود العميل],$A18,tblInv[الفترة],E$7))</f>
        <v/>
      </c>
      <c r="F18" s="80">
        <f>IF($A18="","",SUMIFS(tblInv[المتبقي],tblInv[كود العميل],$A18,tblInv[الفترة],F$7))</f>
        <v/>
      </c>
      <c r="G18" s="80">
        <f>IF($A18="","",SUMIFS(tblInv[المتبقي],tblInv[كود العميل],$A18,tblInv[الفترة],G$7))</f>
        <v/>
      </c>
      <c r="H18" s="80">
        <f>IF($A18="","",SUMIFS(tblInv[المتبقي],tblInv[كود العميل],$A18,tblInv[الفترة],H$7))</f>
        <v/>
      </c>
      <c r="I18" s="80">
        <f>IF($A18="","",SUMIFS(tblInv[المتبقي],tblInv[كود العميل],$A18,tblInv[الفترة],I$7))</f>
        <v/>
      </c>
      <c r="J18" s="80">
        <f>IF($A18="","",SUM(C18:I18))</f>
        <v/>
      </c>
      <c r="K18" s="80">
        <f>IF($A18="","",-SUMIFS(tblRec[المبلغ],tblRec[كود العميل],$A18,tblRec[رقم الفاتورة],"",tblRec[التاريخ],"&lt;="&amp;AsOf)+SUMIFS(tblInv[المتبقي],tblInv[كود العميل],$A18,tblInv[المتبقي],"&lt;0"))</f>
        <v/>
      </c>
      <c r="L18" s="81">
        <f>IF($A18="","",J18+K18)</f>
        <v/>
      </c>
      <c r="M18" s="82">
        <f>IF($A18="","",IFERROR(L18/$L$8,0))</f>
        <v/>
      </c>
      <c r="N18" s="80">
        <f>IF($A18="","",INDEX(tblCustomers[حد الائتمان],MATCH($A18,tblCustomers[كود العميل],0)))</f>
        <v/>
      </c>
      <c r="O18" s="83">
        <f>IF($A18="","",IF(AND(N18&gt;0,L18&gt;N18),"⛔",""))</f>
        <v/>
      </c>
    </row>
    <row r="19">
      <c r="A19" s="78">
        <f>IFERROR(INDEX(tblCustomers[كود العميل],MATCH(10,tblCustomers[ترتيب],0)),"")</f>
        <v/>
      </c>
      <c r="B19" s="79">
        <f>IF($A19="","",INDEX(tblCustomers[اسم العميل],MATCH($A19,tblCustomers[كود العميل],0)))</f>
        <v/>
      </c>
      <c r="C19" s="80">
        <f>IF($A19="","",SUMIFS(tblInv[المتبقي],tblInv[كود العميل],$A19,tblInv[الفترة],C$7))</f>
        <v/>
      </c>
      <c r="D19" s="80">
        <f>IF($A19="","",SUMIFS(tblInv[المتبقي],tblInv[كود العميل],$A19,tblInv[الفترة],D$7))</f>
        <v/>
      </c>
      <c r="E19" s="80">
        <f>IF($A19="","",SUMIFS(tblInv[المتبقي],tblInv[كود العميل],$A19,tblInv[الفترة],E$7))</f>
        <v/>
      </c>
      <c r="F19" s="80">
        <f>IF($A19="","",SUMIFS(tblInv[المتبقي],tblInv[كود العميل],$A19,tblInv[الفترة],F$7))</f>
        <v/>
      </c>
      <c r="G19" s="80">
        <f>IF($A19="","",SUMIFS(tblInv[المتبقي],tblInv[كود العميل],$A19,tblInv[الفترة],G$7))</f>
        <v/>
      </c>
      <c r="H19" s="80">
        <f>IF($A19="","",SUMIFS(tblInv[المتبقي],tblInv[كود العميل],$A19,tblInv[الفترة],H$7))</f>
        <v/>
      </c>
      <c r="I19" s="80">
        <f>IF($A19="","",SUMIFS(tblInv[المتبقي],tblInv[كود العميل],$A19,tblInv[الفترة],I$7))</f>
        <v/>
      </c>
      <c r="J19" s="80">
        <f>IF($A19="","",SUM(C19:I19))</f>
        <v/>
      </c>
      <c r="K19" s="80">
        <f>IF($A19="","",-SUMIFS(tblRec[المبلغ],tblRec[كود العميل],$A19,tblRec[رقم الفاتورة],"",tblRec[التاريخ],"&lt;="&amp;AsOf)+SUMIFS(tblInv[المتبقي],tblInv[كود العميل],$A19,tblInv[المتبقي],"&lt;0"))</f>
        <v/>
      </c>
      <c r="L19" s="81">
        <f>IF($A19="","",J19+K19)</f>
        <v/>
      </c>
      <c r="M19" s="82">
        <f>IF($A19="","",IFERROR(L19/$L$8,0))</f>
        <v/>
      </c>
      <c r="N19" s="80">
        <f>IF($A19="","",INDEX(tblCustomers[حد الائتمان],MATCH($A19,tblCustomers[كود العميل],0)))</f>
        <v/>
      </c>
      <c r="O19" s="83">
        <f>IF($A19="","",IF(AND(N19&gt;0,L19&gt;N19),"⛔",""))</f>
        <v/>
      </c>
    </row>
    <row r="20">
      <c r="A20" s="78">
        <f>IFERROR(INDEX(tblCustomers[كود العميل],MATCH(11,tblCustomers[ترتيب],0)),"")</f>
        <v/>
      </c>
      <c r="B20" s="79">
        <f>IF($A20="","",INDEX(tblCustomers[اسم العميل],MATCH($A20,tblCustomers[كود العميل],0)))</f>
        <v/>
      </c>
      <c r="C20" s="80">
        <f>IF($A20="","",SUMIFS(tblInv[المتبقي],tblInv[كود العميل],$A20,tblInv[الفترة],C$7))</f>
        <v/>
      </c>
      <c r="D20" s="80">
        <f>IF($A20="","",SUMIFS(tblInv[المتبقي],tblInv[كود العميل],$A20,tblInv[الفترة],D$7))</f>
        <v/>
      </c>
      <c r="E20" s="80">
        <f>IF($A20="","",SUMIFS(tblInv[المتبقي],tblInv[كود العميل],$A20,tblInv[الفترة],E$7))</f>
        <v/>
      </c>
      <c r="F20" s="80">
        <f>IF($A20="","",SUMIFS(tblInv[المتبقي],tblInv[كود العميل],$A20,tblInv[الفترة],F$7))</f>
        <v/>
      </c>
      <c r="G20" s="80">
        <f>IF($A20="","",SUMIFS(tblInv[المتبقي],tblInv[كود العميل],$A20,tblInv[الفترة],G$7))</f>
        <v/>
      </c>
      <c r="H20" s="80">
        <f>IF($A20="","",SUMIFS(tblInv[المتبقي],tblInv[كود العميل],$A20,tblInv[الفترة],H$7))</f>
        <v/>
      </c>
      <c r="I20" s="80">
        <f>IF($A20="","",SUMIFS(tblInv[المتبقي],tblInv[كود العميل],$A20,tblInv[الفترة],I$7))</f>
        <v/>
      </c>
      <c r="J20" s="80">
        <f>IF($A20="","",SUM(C20:I20))</f>
        <v/>
      </c>
      <c r="K20" s="80">
        <f>IF($A20="","",-SUMIFS(tblRec[المبلغ],tblRec[كود العميل],$A20,tblRec[رقم الفاتورة],"",tblRec[التاريخ],"&lt;="&amp;AsOf)+SUMIFS(tblInv[المتبقي],tblInv[كود العميل],$A20,tblInv[المتبقي],"&lt;0"))</f>
        <v/>
      </c>
      <c r="L20" s="81">
        <f>IF($A20="","",J20+K20)</f>
        <v/>
      </c>
      <c r="M20" s="82">
        <f>IF($A20="","",IFERROR(L20/$L$8,0))</f>
        <v/>
      </c>
      <c r="N20" s="80">
        <f>IF($A20="","",INDEX(tblCustomers[حد الائتمان],MATCH($A20,tblCustomers[كود العميل],0)))</f>
        <v/>
      </c>
      <c r="O20" s="83">
        <f>IF($A20="","",IF(AND(N20&gt;0,L20&gt;N20),"⛔",""))</f>
        <v/>
      </c>
    </row>
    <row r="21">
      <c r="A21" s="78">
        <f>IFERROR(INDEX(tblCustomers[كود العميل],MATCH(12,tblCustomers[ترتيب],0)),"")</f>
        <v/>
      </c>
      <c r="B21" s="79">
        <f>IF($A21="","",INDEX(tblCustomers[اسم العميل],MATCH($A21,tblCustomers[كود العميل],0)))</f>
        <v/>
      </c>
      <c r="C21" s="80">
        <f>IF($A21="","",SUMIFS(tblInv[المتبقي],tblInv[كود العميل],$A21,tblInv[الفترة],C$7))</f>
        <v/>
      </c>
      <c r="D21" s="80">
        <f>IF($A21="","",SUMIFS(tblInv[المتبقي],tblInv[كود العميل],$A21,tblInv[الفترة],D$7))</f>
        <v/>
      </c>
      <c r="E21" s="80">
        <f>IF($A21="","",SUMIFS(tblInv[المتبقي],tblInv[كود العميل],$A21,tblInv[الفترة],E$7))</f>
        <v/>
      </c>
      <c r="F21" s="80">
        <f>IF($A21="","",SUMIFS(tblInv[المتبقي],tblInv[كود العميل],$A21,tblInv[الفترة],F$7))</f>
        <v/>
      </c>
      <c r="G21" s="80">
        <f>IF($A21="","",SUMIFS(tblInv[المتبقي],tblInv[كود العميل],$A21,tblInv[الفترة],G$7))</f>
        <v/>
      </c>
      <c r="H21" s="80">
        <f>IF($A21="","",SUMIFS(tblInv[المتبقي],tblInv[كود العميل],$A21,tblInv[الفترة],H$7))</f>
        <v/>
      </c>
      <c r="I21" s="80">
        <f>IF($A21="","",SUMIFS(tblInv[المتبقي],tblInv[كود العميل],$A21,tblInv[الفترة],I$7))</f>
        <v/>
      </c>
      <c r="J21" s="80">
        <f>IF($A21="","",SUM(C21:I21))</f>
        <v/>
      </c>
      <c r="K21" s="80">
        <f>IF($A21="","",-SUMIFS(tblRec[المبلغ],tblRec[كود العميل],$A21,tblRec[رقم الفاتورة],"",tblRec[التاريخ],"&lt;="&amp;AsOf)+SUMIFS(tblInv[المتبقي],tblInv[كود العميل],$A21,tblInv[المتبقي],"&lt;0"))</f>
        <v/>
      </c>
      <c r="L21" s="81">
        <f>IF($A21="","",J21+K21)</f>
        <v/>
      </c>
      <c r="M21" s="82">
        <f>IF($A21="","",IFERROR(L21/$L$8,0))</f>
        <v/>
      </c>
      <c r="N21" s="80">
        <f>IF($A21="","",INDEX(tblCustomers[حد الائتمان],MATCH($A21,tblCustomers[كود العميل],0)))</f>
        <v/>
      </c>
      <c r="O21" s="83">
        <f>IF($A21="","",IF(AND(N21&gt;0,L21&gt;N21),"⛔",""))</f>
        <v/>
      </c>
    </row>
    <row r="22">
      <c r="A22" s="78">
        <f>IFERROR(INDEX(tblCustomers[كود العميل],MATCH(13,tblCustomers[ترتيب],0)),"")</f>
        <v/>
      </c>
      <c r="B22" s="79">
        <f>IF($A22="","",INDEX(tblCustomers[اسم العميل],MATCH($A22,tblCustomers[كود العميل],0)))</f>
        <v/>
      </c>
      <c r="C22" s="80">
        <f>IF($A22="","",SUMIFS(tblInv[المتبقي],tblInv[كود العميل],$A22,tblInv[الفترة],C$7))</f>
        <v/>
      </c>
      <c r="D22" s="80">
        <f>IF($A22="","",SUMIFS(tblInv[المتبقي],tblInv[كود العميل],$A22,tblInv[الفترة],D$7))</f>
        <v/>
      </c>
      <c r="E22" s="80">
        <f>IF($A22="","",SUMIFS(tblInv[المتبقي],tblInv[كود العميل],$A22,tblInv[الفترة],E$7))</f>
        <v/>
      </c>
      <c r="F22" s="80">
        <f>IF($A22="","",SUMIFS(tblInv[المتبقي],tblInv[كود العميل],$A22,tblInv[الفترة],F$7))</f>
        <v/>
      </c>
      <c r="G22" s="80">
        <f>IF($A22="","",SUMIFS(tblInv[المتبقي],tblInv[كود العميل],$A22,tblInv[الفترة],G$7))</f>
        <v/>
      </c>
      <c r="H22" s="80">
        <f>IF($A22="","",SUMIFS(tblInv[المتبقي],tblInv[كود العميل],$A22,tblInv[الفترة],H$7))</f>
        <v/>
      </c>
      <c r="I22" s="80">
        <f>IF($A22="","",SUMIFS(tblInv[المتبقي],tblInv[كود العميل],$A22,tblInv[الفترة],I$7))</f>
        <v/>
      </c>
      <c r="J22" s="80">
        <f>IF($A22="","",SUM(C22:I22))</f>
        <v/>
      </c>
      <c r="K22" s="80">
        <f>IF($A22="","",-SUMIFS(tblRec[المبلغ],tblRec[كود العميل],$A22,tblRec[رقم الفاتورة],"",tblRec[التاريخ],"&lt;="&amp;AsOf)+SUMIFS(tblInv[المتبقي],tblInv[كود العميل],$A22,tblInv[المتبقي],"&lt;0"))</f>
        <v/>
      </c>
      <c r="L22" s="81">
        <f>IF($A22="","",J22+K22)</f>
        <v/>
      </c>
      <c r="M22" s="82">
        <f>IF($A22="","",IFERROR(L22/$L$8,0))</f>
        <v/>
      </c>
      <c r="N22" s="80">
        <f>IF($A22="","",INDEX(tblCustomers[حد الائتمان],MATCH($A22,tblCustomers[كود العميل],0)))</f>
        <v/>
      </c>
      <c r="O22" s="83">
        <f>IF($A22="","",IF(AND(N22&gt;0,L22&gt;N22),"⛔",""))</f>
        <v/>
      </c>
    </row>
    <row r="23">
      <c r="A23" s="78">
        <f>IFERROR(INDEX(tblCustomers[كود العميل],MATCH(14,tblCustomers[ترتيب],0)),"")</f>
        <v/>
      </c>
      <c r="B23" s="79">
        <f>IF($A23="","",INDEX(tblCustomers[اسم العميل],MATCH($A23,tblCustomers[كود العميل],0)))</f>
        <v/>
      </c>
      <c r="C23" s="80">
        <f>IF($A23="","",SUMIFS(tblInv[المتبقي],tblInv[كود العميل],$A23,tblInv[الفترة],C$7))</f>
        <v/>
      </c>
      <c r="D23" s="80">
        <f>IF($A23="","",SUMIFS(tblInv[المتبقي],tblInv[كود العميل],$A23,tblInv[الفترة],D$7))</f>
        <v/>
      </c>
      <c r="E23" s="80">
        <f>IF($A23="","",SUMIFS(tblInv[المتبقي],tblInv[كود العميل],$A23,tblInv[الفترة],E$7))</f>
        <v/>
      </c>
      <c r="F23" s="80">
        <f>IF($A23="","",SUMIFS(tblInv[المتبقي],tblInv[كود العميل],$A23,tblInv[الفترة],F$7))</f>
        <v/>
      </c>
      <c r="G23" s="80">
        <f>IF($A23="","",SUMIFS(tblInv[المتبقي],tblInv[كود العميل],$A23,tblInv[الفترة],G$7))</f>
        <v/>
      </c>
      <c r="H23" s="80">
        <f>IF($A23="","",SUMIFS(tblInv[المتبقي],tblInv[كود العميل],$A23,tblInv[الفترة],H$7))</f>
        <v/>
      </c>
      <c r="I23" s="80">
        <f>IF($A23="","",SUMIFS(tblInv[المتبقي],tblInv[كود العميل],$A23,tblInv[الفترة],I$7))</f>
        <v/>
      </c>
      <c r="J23" s="80">
        <f>IF($A23="","",SUM(C23:I23))</f>
        <v/>
      </c>
      <c r="K23" s="80">
        <f>IF($A23="","",-SUMIFS(tblRec[المبلغ],tblRec[كود العميل],$A23,tblRec[رقم الفاتورة],"",tblRec[التاريخ],"&lt;="&amp;AsOf)+SUMIFS(tblInv[المتبقي],tblInv[كود العميل],$A23,tblInv[المتبقي],"&lt;0"))</f>
        <v/>
      </c>
      <c r="L23" s="81">
        <f>IF($A23="","",J23+K23)</f>
        <v/>
      </c>
      <c r="M23" s="82">
        <f>IF($A23="","",IFERROR(L23/$L$8,0))</f>
        <v/>
      </c>
      <c r="N23" s="80">
        <f>IF($A23="","",INDEX(tblCustomers[حد الائتمان],MATCH($A23,tblCustomers[كود العميل],0)))</f>
        <v/>
      </c>
      <c r="O23" s="83">
        <f>IF($A23="","",IF(AND(N23&gt;0,L23&gt;N23),"⛔",""))</f>
        <v/>
      </c>
    </row>
    <row r="24">
      <c r="A24" s="78">
        <f>IFERROR(INDEX(tblCustomers[كود العميل],MATCH(15,tblCustomers[ترتيب],0)),"")</f>
        <v/>
      </c>
      <c r="B24" s="79">
        <f>IF($A24="","",INDEX(tblCustomers[اسم العميل],MATCH($A24,tblCustomers[كود العميل],0)))</f>
        <v/>
      </c>
      <c r="C24" s="80">
        <f>IF($A24="","",SUMIFS(tblInv[المتبقي],tblInv[كود العميل],$A24,tblInv[الفترة],C$7))</f>
        <v/>
      </c>
      <c r="D24" s="80">
        <f>IF($A24="","",SUMIFS(tblInv[المتبقي],tblInv[كود العميل],$A24,tblInv[الفترة],D$7))</f>
        <v/>
      </c>
      <c r="E24" s="80">
        <f>IF($A24="","",SUMIFS(tblInv[المتبقي],tblInv[كود العميل],$A24,tblInv[الفترة],E$7))</f>
        <v/>
      </c>
      <c r="F24" s="80">
        <f>IF($A24="","",SUMIFS(tblInv[المتبقي],tblInv[كود العميل],$A24,tblInv[الفترة],F$7))</f>
        <v/>
      </c>
      <c r="G24" s="80">
        <f>IF($A24="","",SUMIFS(tblInv[المتبقي],tblInv[كود العميل],$A24,tblInv[الفترة],G$7))</f>
        <v/>
      </c>
      <c r="H24" s="80">
        <f>IF($A24="","",SUMIFS(tblInv[المتبقي],tblInv[كود العميل],$A24,tblInv[الفترة],H$7))</f>
        <v/>
      </c>
      <c r="I24" s="80">
        <f>IF($A24="","",SUMIFS(tblInv[المتبقي],tblInv[كود العميل],$A24,tblInv[الفترة],I$7))</f>
        <v/>
      </c>
      <c r="J24" s="80">
        <f>IF($A24="","",SUM(C24:I24))</f>
        <v/>
      </c>
      <c r="K24" s="80">
        <f>IF($A24="","",-SUMIFS(tblRec[المبلغ],tblRec[كود العميل],$A24,tblRec[رقم الفاتورة],"",tblRec[التاريخ],"&lt;="&amp;AsOf)+SUMIFS(tblInv[المتبقي],tblInv[كود العميل],$A24,tblInv[المتبقي],"&lt;0"))</f>
        <v/>
      </c>
      <c r="L24" s="81">
        <f>IF($A24="","",J24+K24)</f>
        <v/>
      </c>
      <c r="M24" s="82">
        <f>IF($A24="","",IFERROR(L24/$L$8,0))</f>
        <v/>
      </c>
      <c r="N24" s="80">
        <f>IF($A24="","",INDEX(tblCustomers[حد الائتمان],MATCH($A24,tblCustomers[كود العميل],0)))</f>
        <v/>
      </c>
      <c r="O24" s="83">
        <f>IF($A24="","",IF(AND(N24&gt;0,L24&gt;N24),"⛔",""))</f>
        <v/>
      </c>
    </row>
    <row r="25">
      <c r="A25" s="78">
        <f>IFERROR(INDEX(tblCustomers[كود العميل],MATCH(16,tblCustomers[ترتيب],0)),"")</f>
        <v/>
      </c>
      <c r="B25" s="79">
        <f>IF($A25="","",INDEX(tblCustomers[اسم العميل],MATCH($A25,tblCustomers[كود العميل],0)))</f>
        <v/>
      </c>
      <c r="C25" s="80">
        <f>IF($A25="","",SUMIFS(tblInv[المتبقي],tblInv[كود العميل],$A25,tblInv[الفترة],C$7))</f>
        <v/>
      </c>
      <c r="D25" s="80">
        <f>IF($A25="","",SUMIFS(tblInv[المتبقي],tblInv[كود العميل],$A25,tblInv[الفترة],D$7))</f>
        <v/>
      </c>
      <c r="E25" s="80">
        <f>IF($A25="","",SUMIFS(tblInv[المتبقي],tblInv[كود العميل],$A25,tblInv[الفترة],E$7))</f>
        <v/>
      </c>
      <c r="F25" s="80">
        <f>IF($A25="","",SUMIFS(tblInv[المتبقي],tblInv[كود العميل],$A25,tblInv[الفترة],F$7))</f>
        <v/>
      </c>
      <c r="G25" s="80">
        <f>IF($A25="","",SUMIFS(tblInv[المتبقي],tblInv[كود العميل],$A25,tblInv[الفترة],G$7))</f>
        <v/>
      </c>
      <c r="H25" s="80">
        <f>IF($A25="","",SUMIFS(tblInv[المتبقي],tblInv[كود العميل],$A25,tblInv[الفترة],H$7))</f>
        <v/>
      </c>
      <c r="I25" s="80">
        <f>IF($A25="","",SUMIFS(tblInv[المتبقي],tblInv[كود العميل],$A25,tblInv[الفترة],I$7))</f>
        <v/>
      </c>
      <c r="J25" s="80">
        <f>IF($A25="","",SUM(C25:I25))</f>
        <v/>
      </c>
      <c r="K25" s="80">
        <f>IF($A25="","",-SUMIFS(tblRec[المبلغ],tblRec[كود العميل],$A25,tblRec[رقم الفاتورة],"",tblRec[التاريخ],"&lt;="&amp;AsOf)+SUMIFS(tblInv[المتبقي],tblInv[كود العميل],$A25,tblInv[المتبقي],"&lt;0"))</f>
        <v/>
      </c>
      <c r="L25" s="81">
        <f>IF($A25="","",J25+K25)</f>
        <v/>
      </c>
      <c r="M25" s="82">
        <f>IF($A25="","",IFERROR(L25/$L$8,0))</f>
        <v/>
      </c>
      <c r="N25" s="80">
        <f>IF($A25="","",INDEX(tblCustomers[حد الائتمان],MATCH($A25,tblCustomers[كود العميل],0)))</f>
        <v/>
      </c>
      <c r="O25" s="83">
        <f>IF($A25="","",IF(AND(N25&gt;0,L25&gt;N25),"⛔",""))</f>
        <v/>
      </c>
    </row>
    <row r="26">
      <c r="A26" s="78">
        <f>IFERROR(INDEX(tblCustomers[كود العميل],MATCH(17,tblCustomers[ترتيب],0)),"")</f>
        <v/>
      </c>
      <c r="B26" s="79">
        <f>IF($A26="","",INDEX(tblCustomers[اسم العميل],MATCH($A26,tblCustomers[كود العميل],0)))</f>
        <v/>
      </c>
      <c r="C26" s="80">
        <f>IF($A26="","",SUMIFS(tblInv[المتبقي],tblInv[كود العميل],$A26,tblInv[الفترة],C$7))</f>
        <v/>
      </c>
      <c r="D26" s="80">
        <f>IF($A26="","",SUMIFS(tblInv[المتبقي],tblInv[كود العميل],$A26,tblInv[الفترة],D$7))</f>
        <v/>
      </c>
      <c r="E26" s="80">
        <f>IF($A26="","",SUMIFS(tblInv[المتبقي],tblInv[كود العميل],$A26,tblInv[الفترة],E$7))</f>
        <v/>
      </c>
      <c r="F26" s="80">
        <f>IF($A26="","",SUMIFS(tblInv[المتبقي],tblInv[كود العميل],$A26,tblInv[الفترة],F$7))</f>
        <v/>
      </c>
      <c r="G26" s="80">
        <f>IF($A26="","",SUMIFS(tblInv[المتبقي],tblInv[كود العميل],$A26,tblInv[الفترة],G$7))</f>
        <v/>
      </c>
      <c r="H26" s="80">
        <f>IF($A26="","",SUMIFS(tblInv[المتبقي],tblInv[كود العميل],$A26,tblInv[الفترة],H$7))</f>
        <v/>
      </c>
      <c r="I26" s="80">
        <f>IF($A26="","",SUMIFS(tblInv[المتبقي],tblInv[كود العميل],$A26,tblInv[الفترة],I$7))</f>
        <v/>
      </c>
      <c r="J26" s="80">
        <f>IF($A26="","",SUM(C26:I26))</f>
        <v/>
      </c>
      <c r="K26" s="80">
        <f>IF($A26="","",-SUMIFS(tblRec[المبلغ],tblRec[كود العميل],$A26,tblRec[رقم الفاتورة],"",tblRec[التاريخ],"&lt;="&amp;AsOf)+SUMIFS(tblInv[المتبقي],tblInv[كود العميل],$A26,tblInv[المتبقي],"&lt;0"))</f>
        <v/>
      </c>
      <c r="L26" s="81">
        <f>IF($A26="","",J26+K26)</f>
        <v/>
      </c>
      <c r="M26" s="82">
        <f>IF($A26="","",IFERROR(L26/$L$8,0))</f>
        <v/>
      </c>
      <c r="N26" s="80">
        <f>IF($A26="","",INDEX(tblCustomers[حد الائتمان],MATCH($A26,tblCustomers[كود العميل],0)))</f>
        <v/>
      </c>
      <c r="O26" s="83">
        <f>IF($A26="","",IF(AND(N26&gt;0,L26&gt;N26),"⛔",""))</f>
        <v/>
      </c>
    </row>
    <row r="27">
      <c r="A27" s="78">
        <f>IFERROR(INDEX(tblCustomers[كود العميل],MATCH(18,tblCustomers[ترتيب],0)),"")</f>
        <v/>
      </c>
      <c r="B27" s="79">
        <f>IF($A27="","",INDEX(tblCustomers[اسم العميل],MATCH($A27,tblCustomers[كود العميل],0)))</f>
        <v/>
      </c>
      <c r="C27" s="80">
        <f>IF($A27="","",SUMIFS(tblInv[المتبقي],tblInv[كود العميل],$A27,tblInv[الفترة],C$7))</f>
        <v/>
      </c>
      <c r="D27" s="80">
        <f>IF($A27="","",SUMIFS(tblInv[المتبقي],tblInv[كود العميل],$A27,tblInv[الفترة],D$7))</f>
        <v/>
      </c>
      <c r="E27" s="80">
        <f>IF($A27="","",SUMIFS(tblInv[المتبقي],tblInv[كود العميل],$A27,tblInv[الفترة],E$7))</f>
        <v/>
      </c>
      <c r="F27" s="80">
        <f>IF($A27="","",SUMIFS(tblInv[المتبقي],tblInv[كود العميل],$A27,tblInv[الفترة],F$7))</f>
        <v/>
      </c>
      <c r="G27" s="80">
        <f>IF($A27="","",SUMIFS(tblInv[المتبقي],tblInv[كود العميل],$A27,tblInv[الفترة],G$7))</f>
        <v/>
      </c>
      <c r="H27" s="80">
        <f>IF($A27="","",SUMIFS(tblInv[المتبقي],tblInv[كود العميل],$A27,tblInv[الفترة],H$7))</f>
        <v/>
      </c>
      <c r="I27" s="80">
        <f>IF($A27="","",SUMIFS(tblInv[المتبقي],tblInv[كود العميل],$A27,tblInv[الفترة],I$7))</f>
        <v/>
      </c>
      <c r="J27" s="80">
        <f>IF($A27="","",SUM(C27:I27))</f>
        <v/>
      </c>
      <c r="K27" s="80">
        <f>IF($A27="","",-SUMIFS(tblRec[المبلغ],tblRec[كود العميل],$A27,tblRec[رقم الفاتورة],"",tblRec[التاريخ],"&lt;="&amp;AsOf)+SUMIFS(tblInv[المتبقي],tblInv[كود العميل],$A27,tblInv[المتبقي],"&lt;0"))</f>
        <v/>
      </c>
      <c r="L27" s="81">
        <f>IF($A27="","",J27+K27)</f>
        <v/>
      </c>
      <c r="M27" s="82">
        <f>IF($A27="","",IFERROR(L27/$L$8,0))</f>
        <v/>
      </c>
      <c r="N27" s="80">
        <f>IF($A27="","",INDEX(tblCustomers[حد الائتمان],MATCH($A27,tblCustomers[كود العميل],0)))</f>
        <v/>
      </c>
      <c r="O27" s="83">
        <f>IF($A27="","",IF(AND(N27&gt;0,L27&gt;N27),"⛔",""))</f>
        <v/>
      </c>
    </row>
    <row r="28">
      <c r="A28" s="78">
        <f>IFERROR(INDEX(tblCustomers[كود العميل],MATCH(19,tblCustomers[ترتيب],0)),"")</f>
        <v/>
      </c>
      <c r="B28" s="79">
        <f>IF($A28="","",INDEX(tblCustomers[اسم العميل],MATCH($A28,tblCustomers[كود العميل],0)))</f>
        <v/>
      </c>
      <c r="C28" s="80">
        <f>IF($A28="","",SUMIFS(tblInv[المتبقي],tblInv[كود العميل],$A28,tblInv[الفترة],C$7))</f>
        <v/>
      </c>
      <c r="D28" s="80">
        <f>IF($A28="","",SUMIFS(tblInv[المتبقي],tblInv[كود العميل],$A28,tblInv[الفترة],D$7))</f>
        <v/>
      </c>
      <c r="E28" s="80">
        <f>IF($A28="","",SUMIFS(tblInv[المتبقي],tblInv[كود العميل],$A28,tblInv[الفترة],E$7))</f>
        <v/>
      </c>
      <c r="F28" s="80">
        <f>IF($A28="","",SUMIFS(tblInv[المتبقي],tblInv[كود العميل],$A28,tblInv[الفترة],F$7))</f>
        <v/>
      </c>
      <c r="G28" s="80">
        <f>IF($A28="","",SUMIFS(tblInv[المتبقي],tblInv[كود العميل],$A28,tblInv[الفترة],G$7))</f>
        <v/>
      </c>
      <c r="H28" s="80">
        <f>IF($A28="","",SUMIFS(tblInv[المتبقي],tblInv[كود العميل],$A28,tblInv[الفترة],H$7))</f>
        <v/>
      </c>
      <c r="I28" s="80">
        <f>IF($A28="","",SUMIFS(tblInv[المتبقي],tblInv[كود العميل],$A28,tblInv[الفترة],I$7))</f>
        <v/>
      </c>
      <c r="J28" s="80">
        <f>IF($A28="","",SUM(C28:I28))</f>
        <v/>
      </c>
      <c r="K28" s="80">
        <f>IF($A28="","",-SUMIFS(tblRec[المبلغ],tblRec[كود العميل],$A28,tblRec[رقم الفاتورة],"",tblRec[التاريخ],"&lt;="&amp;AsOf)+SUMIFS(tblInv[المتبقي],tblInv[كود العميل],$A28,tblInv[المتبقي],"&lt;0"))</f>
        <v/>
      </c>
      <c r="L28" s="81">
        <f>IF($A28="","",J28+K28)</f>
        <v/>
      </c>
      <c r="M28" s="82">
        <f>IF($A28="","",IFERROR(L28/$L$8,0))</f>
        <v/>
      </c>
      <c r="N28" s="80">
        <f>IF($A28="","",INDEX(tblCustomers[حد الائتمان],MATCH($A28,tblCustomers[كود العميل],0)))</f>
        <v/>
      </c>
      <c r="O28" s="83">
        <f>IF($A28="","",IF(AND(N28&gt;0,L28&gt;N28),"⛔",""))</f>
        <v/>
      </c>
    </row>
    <row r="29">
      <c r="A29" s="78">
        <f>IFERROR(INDEX(tblCustomers[كود العميل],MATCH(20,tblCustomers[ترتيب],0)),"")</f>
        <v/>
      </c>
      <c r="B29" s="79">
        <f>IF($A29="","",INDEX(tblCustomers[اسم العميل],MATCH($A29,tblCustomers[كود العميل],0)))</f>
        <v/>
      </c>
      <c r="C29" s="80">
        <f>IF($A29="","",SUMIFS(tblInv[المتبقي],tblInv[كود العميل],$A29,tblInv[الفترة],C$7))</f>
        <v/>
      </c>
      <c r="D29" s="80">
        <f>IF($A29="","",SUMIFS(tblInv[المتبقي],tblInv[كود العميل],$A29,tblInv[الفترة],D$7))</f>
        <v/>
      </c>
      <c r="E29" s="80">
        <f>IF($A29="","",SUMIFS(tblInv[المتبقي],tblInv[كود العميل],$A29,tblInv[الفترة],E$7))</f>
        <v/>
      </c>
      <c r="F29" s="80">
        <f>IF($A29="","",SUMIFS(tblInv[المتبقي],tblInv[كود العميل],$A29,tblInv[الفترة],F$7))</f>
        <v/>
      </c>
      <c r="G29" s="80">
        <f>IF($A29="","",SUMIFS(tblInv[المتبقي],tblInv[كود العميل],$A29,tblInv[الفترة],G$7))</f>
        <v/>
      </c>
      <c r="H29" s="80">
        <f>IF($A29="","",SUMIFS(tblInv[المتبقي],tblInv[كود العميل],$A29,tblInv[الفترة],H$7))</f>
        <v/>
      </c>
      <c r="I29" s="80">
        <f>IF($A29="","",SUMIFS(tblInv[المتبقي],tblInv[كود العميل],$A29,tblInv[الفترة],I$7))</f>
        <v/>
      </c>
      <c r="J29" s="80">
        <f>IF($A29="","",SUM(C29:I29))</f>
        <v/>
      </c>
      <c r="K29" s="80">
        <f>IF($A29="","",-SUMIFS(tblRec[المبلغ],tblRec[كود العميل],$A29,tblRec[رقم الفاتورة],"",tblRec[التاريخ],"&lt;="&amp;AsOf)+SUMIFS(tblInv[المتبقي],tblInv[كود العميل],$A29,tblInv[المتبقي],"&lt;0"))</f>
        <v/>
      </c>
      <c r="L29" s="81">
        <f>IF($A29="","",J29+K29)</f>
        <v/>
      </c>
      <c r="M29" s="82">
        <f>IF($A29="","",IFERROR(L29/$L$8,0))</f>
        <v/>
      </c>
      <c r="N29" s="80">
        <f>IF($A29="","",INDEX(tblCustomers[حد الائتمان],MATCH($A29,tblCustomers[كود العميل],0)))</f>
        <v/>
      </c>
      <c r="O29" s="83">
        <f>IF($A29="","",IF(AND(N29&gt;0,L29&gt;N29),"⛔",""))</f>
        <v/>
      </c>
    </row>
    <row r="30">
      <c r="A30" s="78">
        <f>IFERROR(INDEX(tblCustomers[كود العميل],MATCH(21,tblCustomers[ترتيب],0)),"")</f>
        <v/>
      </c>
      <c r="B30" s="79">
        <f>IF($A30="","",INDEX(tblCustomers[اسم العميل],MATCH($A30,tblCustomers[كود العميل],0)))</f>
        <v/>
      </c>
      <c r="C30" s="80">
        <f>IF($A30="","",SUMIFS(tblInv[المتبقي],tblInv[كود العميل],$A30,tblInv[الفترة],C$7))</f>
        <v/>
      </c>
      <c r="D30" s="80">
        <f>IF($A30="","",SUMIFS(tblInv[المتبقي],tblInv[كود العميل],$A30,tblInv[الفترة],D$7))</f>
        <v/>
      </c>
      <c r="E30" s="80">
        <f>IF($A30="","",SUMIFS(tblInv[المتبقي],tblInv[كود العميل],$A30,tblInv[الفترة],E$7))</f>
        <v/>
      </c>
      <c r="F30" s="80">
        <f>IF($A30="","",SUMIFS(tblInv[المتبقي],tblInv[كود العميل],$A30,tblInv[الفترة],F$7))</f>
        <v/>
      </c>
      <c r="G30" s="80">
        <f>IF($A30="","",SUMIFS(tblInv[المتبقي],tblInv[كود العميل],$A30,tblInv[الفترة],G$7))</f>
        <v/>
      </c>
      <c r="H30" s="80">
        <f>IF($A30="","",SUMIFS(tblInv[المتبقي],tblInv[كود العميل],$A30,tblInv[الفترة],H$7))</f>
        <v/>
      </c>
      <c r="I30" s="80">
        <f>IF($A30="","",SUMIFS(tblInv[المتبقي],tblInv[كود العميل],$A30,tblInv[الفترة],I$7))</f>
        <v/>
      </c>
      <c r="J30" s="80">
        <f>IF($A30="","",SUM(C30:I30))</f>
        <v/>
      </c>
      <c r="K30" s="80">
        <f>IF($A30="","",-SUMIFS(tblRec[المبلغ],tblRec[كود العميل],$A30,tblRec[رقم الفاتورة],"",tblRec[التاريخ],"&lt;="&amp;AsOf)+SUMIFS(tblInv[المتبقي],tblInv[كود العميل],$A30,tblInv[المتبقي],"&lt;0"))</f>
        <v/>
      </c>
      <c r="L30" s="81">
        <f>IF($A30="","",J30+K30)</f>
        <v/>
      </c>
      <c r="M30" s="82">
        <f>IF($A30="","",IFERROR(L30/$L$8,0))</f>
        <v/>
      </c>
      <c r="N30" s="80">
        <f>IF($A30="","",INDEX(tblCustomers[حد الائتمان],MATCH($A30,tblCustomers[كود العميل],0)))</f>
        <v/>
      </c>
      <c r="O30" s="83">
        <f>IF($A30="","",IF(AND(N30&gt;0,L30&gt;N30),"⛔",""))</f>
        <v/>
      </c>
    </row>
    <row r="31">
      <c r="A31" s="78">
        <f>IFERROR(INDEX(tblCustomers[كود العميل],MATCH(22,tblCustomers[ترتيب],0)),"")</f>
        <v/>
      </c>
      <c r="B31" s="79">
        <f>IF($A31="","",INDEX(tblCustomers[اسم العميل],MATCH($A31,tblCustomers[كود العميل],0)))</f>
        <v/>
      </c>
      <c r="C31" s="80">
        <f>IF($A31="","",SUMIFS(tblInv[المتبقي],tblInv[كود العميل],$A31,tblInv[الفترة],C$7))</f>
        <v/>
      </c>
      <c r="D31" s="80">
        <f>IF($A31="","",SUMIFS(tblInv[المتبقي],tblInv[كود العميل],$A31,tblInv[الفترة],D$7))</f>
        <v/>
      </c>
      <c r="E31" s="80">
        <f>IF($A31="","",SUMIFS(tblInv[المتبقي],tblInv[كود العميل],$A31,tblInv[الفترة],E$7))</f>
        <v/>
      </c>
      <c r="F31" s="80">
        <f>IF($A31="","",SUMIFS(tblInv[المتبقي],tblInv[كود العميل],$A31,tblInv[الفترة],F$7))</f>
        <v/>
      </c>
      <c r="G31" s="80">
        <f>IF($A31="","",SUMIFS(tblInv[المتبقي],tblInv[كود العميل],$A31,tblInv[الفترة],G$7))</f>
        <v/>
      </c>
      <c r="H31" s="80">
        <f>IF($A31="","",SUMIFS(tblInv[المتبقي],tblInv[كود العميل],$A31,tblInv[الفترة],H$7))</f>
        <v/>
      </c>
      <c r="I31" s="80">
        <f>IF($A31="","",SUMIFS(tblInv[المتبقي],tblInv[كود العميل],$A31,tblInv[الفترة],I$7))</f>
        <v/>
      </c>
      <c r="J31" s="80">
        <f>IF($A31="","",SUM(C31:I31))</f>
        <v/>
      </c>
      <c r="K31" s="80">
        <f>IF($A31="","",-SUMIFS(tblRec[المبلغ],tblRec[كود العميل],$A31,tblRec[رقم الفاتورة],"",tblRec[التاريخ],"&lt;="&amp;AsOf)+SUMIFS(tblInv[المتبقي],tblInv[كود العميل],$A31,tblInv[المتبقي],"&lt;0"))</f>
        <v/>
      </c>
      <c r="L31" s="81">
        <f>IF($A31="","",J31+K31)</f>
        <v/>
      </c>
      <c r="M31" s="82">
        <f>IF($A31="","",IFERROR(L31/$L$8,0))</f>
        <v/>
      </c>
      <c r="N31" s="80">
        <f>IF($A31="","",INDEX(tblCustomers[حد الائتمان],MATCH($A31,tblCustomers[كود العميل],0)))</f>
        <v/>
      </c>
      <c r="O31" s="83">
        <f>IF($A31="","",IF(AND(N31&gt;0,L31&gt;N31),"⛔",""))</f>
        <v/>
      </c>
    </row>
    <row r="32">
      <c r="A32" s="78">
        <f>IFERROR(INDEX(tblCustomers[كود العميل],MATCH(23,tblCustomers[ترتيب],0)),"")</f>
        <v/>
      </c>
      <c r="B32" s="79">
        <f>IF($A32="","",INDEX(tblCustomers[اسم العميل],MATCH($A32,tblCustomers[كود العميل],0)))</f>
        <v/>
      </c>
      <c r="C32" s="80">
        <f>IF($A32="","",SUMIFS(tblInv[المتبقي],tblInv[كود العميل],$A32,tblInv[الفترة],C$7))</f>
        <v/>
      </c>
      <c r="D32" s="80">
        <f>IF($A32="","",SUMIFS(tblInv[المتبقي],tblInv[كود العميل],$A32,tblInv[الفترة],D$7))</f>
        <v/>
      </c>
      <c r="E32" s="80">
        <f>IF($A32="","",SUMIFS(tblInv[المتبقي],tblInv[كود العميل],$A32,tblInv[الفترة],E$7))</f>
        <v/>
      </c>
      <c r="F32" s="80">
        <f>IF($A32="","",SUMIFS(tblInv[المتبقي],tblInv[كود العميل],$A32,tblInv[الفترة],F$7))</f>
        <v/>
      </c>
      <c r="G32" s="80">
        <f>IF($A32="","",SUMIFS(tblInv[المتبقي],tblInv[كود العميل],$A32,tblInv[الفترة],G$7))</f>
        <v/>
      </c>
      <c r="H32" s="80">
        <f>IF($A32="","",SUMIFS(tblInv[المتبقي],tblInv[كود العميل],$A32,tblInv[الفترة],H$7))</f>
        <v/>
      </c>
      <c r="I32" s="80">
        <f>IF($A32="","",SUMIFS(tblInv[المتبقي],tblInv[كود العميل],$A32,tblInv[الفترة],I$7))</f>
        <v/>
      </c>
      <c r="J32" s="80">
        <f>IF($A32="","",SUM(C32:I32))</f>
        <v/>
      </c>
      <c r="K32" s="80">
        <f>IF($A32="","",-SUMIFS(tblRec[المبلغ],tblRec[كود العميل],$A32,tblRec[رقم الفاتورة],"",tblRec[التاريخ],"&lt;="&amp;AsOf)+SUMIFS(tblInv[المتبقي],tblInv[كود العميل],$A32,tblInv[المتبقي],"&lt;0"))</f>
        <v/>
      </c>
      <c r="L32" s="81">
        <f>IF($A32="","",J32+K32)</f>
        <v/>
      </c>
      <c r="M32" s="82">
        <f>IF($A32="","",IFERROR(L32/$L$8,0))</f>
        <v/>
      </c>
      <c r="N32" s="80">
        <f>IF($A32="","",INDEX(tblCustomers[حد الائتمان],MATCH($A32,tblCustomers[كود العميل],0)))</f>
        <v/>
      </c>
      <c r="O32" s="83">
        <f>IF($A32="","",IF(AND(N32&gt;0,L32&gt;N32),"⛔",""))</f>
        <v/>
      </c>
    </row>
    <row r="33">
      <c r="A33" s="78">
        <f>IFERROR(INDEX(tblCustomers[كود العميل],MATCH(24,tblCustomers[ترتيب],0)),"")</f>
        <v/>
      </c>
      <c r="B33" s="79">
        <f>IF($A33="","",INDEX(tblCustomers[اسم العميل],MATCH($A33,tblCustomers[كود العميل],0)))</f>
        <v/>
      </c>
      <c r="C33" s="80">
        <f>IF($A33="","",SUMIFS(tblInv[المتبقي],tblInv[كود العميل],$A33,tblInv[الفترة],C$7))</f>
        <v/>
      </c>
      <c r="D33" s="80">
        <f>IF($A33="","",SUMIFS(tblInv[المتبقي],tblInv[كود العميل],$A33,tblInv[الفترة],D$7))</f>
        <v/>
      </c>
      <c r="E33" s="80">
        <f>IF($A33="","",SUMIFS(tblInv[المتبقي],tblInv[كود العميل],$A33,tblInv[الفترة],E$7))</f>
        <v/>
      </c>
      <c r="F33" s="80">
        <f>IF($A33="","",SUMIFS(tblInv[المتبقي],tblInv[كود العميل],$A33,tblInv[الفترة],F$7))</f>
        <v/>
      </c>
      <c r="G33" s="80">
        <f>IF($A33="","",SUMIFS(tblInv[المتبقي],tblInv[كود العميل],$A33,tblInv[الفترة],G$7))</f>
        <v/>
      </c>
      <c r="H33" s="80">
        <f>IF($A33="","",SUMIFS(tblInv[المتبقي],tblInv[كود العميل],$A33,tblInv[الفترة],H$7))</f>
        <v/>
      </c>
      <c r="I33" s="80">
        <f>IF($A33="","",SUMIFS(tblInv[المتبقي],tblInv[كود العميل],$A33,tblInv[الفترة],I$7))</f>
        <v/>
      </c>
      <c r="J33" s="80">
        <f>IF($A33="","",SUM(C33:I33))</f>
        <v/>
      </c>
      <c r="K33" s="80">
        <f>IF($A33="","",-SUMIFS(tblRec[المبلغ],tblRec[كود العميل],$A33,tblRec[رقم الفاتورة],"",tblRec[التاريخ],"&lt;="&amp;AsOf)+SUMIFS(tblInv[المتبقي],tblInv[كود العميل],$A33,tblInv[المتبقي],"&lt;0"))</f>
        <v/>
      </c>
      <c r="L33" s="81">
        <f>IF($A33="","",J33+K33)</f>
        <v/>
      </c>
      <c r="M33" s="82">
        <f>IF($A33="","",IFERROR(L33/$L$8,0))</f>
        <v/>
      </c>
      <c r="N33" s="80">
        <f>IF($A33="","",INDEX(tblCustomers[حد الائتمان],MATCH($A33,tblCustomers[كود العميل],0)))</f>
        <v/>
      </c>
      <c r="O33" s="83">
        <f>IF($A33="","",IF(AND(N33&gt;0,L33&gt;N33),"⛔",""))</f>
        <v/>
      </c>
    </row>
    <row r="34">
      <c r="A34" s="78">
        <f>IFERROR(INDEX(tblCustomers[كود العميل],MATCH(25,tblCustomers[ترتيب],0)),"")</f>
        <v/>
      </c>
      <c r="B34" s="79">
        <f>IF($A34="","",INDEX(tblCustomers[اسم العميل],MATCH($A34,tblCustomers[كود العميل],0)))</f>
        <v/>
      </c>
      <c r="C34" s="80">
        <f>IF($A34="","",SUMIFS(tblInv[المتبقي],tblInv[كود العميل],$A34,tblInv[الفترة],C$7))</f>
        <v/>
      </c>
      <c r="D34" s="80">
        <f>IF($A34="","",SUMIFS(tblInv[المتبقي],tblInv[كود العميل],$A34,tblInv[الفترة],D$7))</f>
        <v/>
      </c>
      <c r="E34" s="80">
        <f>IF($A34="","",SUMIFS(tblInv[المتبقي],tblInv[كود العميل],$A34,tblInv[الفترة],E$7))</f>
        <v/>
      </c>
      <c r="F34" s="80">
        <f>IF($A34="","",SUMIFS(tblInv[المتبقي],tblInv[كود العميل],$A34,tblInv[الفترة],F$7))</f>
        <v/>
      </c>
      <c r="G34" s="80">
        <f>IF($A34="","",SUMIFS(tblInv[المتبقي],tblInv[كود العميل],$A34,tblInv[الفترة],G$7))</f>
        <v/>
      </c>
      <c r="H34" s="80">
        <f>IF($A34="","",SUMIFS(tblInv[المتبقي],tblInv[كود العميل],$A34,tblInv[الفترة],H$7))</f>
        <v/>
      </c>
      <c r="I34" s="80">
        <f>IF($A34="","",SUMIFS(tblInv[المتبقي],tblInv[كود العميل],$A34,tblInv[الفترة],I$7))</f>
        <v/>
      </c>
      <c r="J34" s="80">
        <f>IF($A34="","",SUM(C34:I34))</f>
        <v/>
      </c>
      <c r="K34" s="80">
        <f>IF($A34="","",-SUMIFS(tblRec[المبلغ],tblRec[كود العميل],$A34,tblRec[رقم الفاتورة],"",tblRec[التاريخ],"&lt;="&amp;AsOf)+SUMIFS(tblInv[المتبقي],tblInv[كود العميل],$A34,tblInv[المتبقي],"&lt;0"))</f>
        <v/>
      </c>
      <c r="L34" s="81">
        <f>IF($A34="","",J34+K34)</f>
        <v/>
      </c>
      <c r="M34" s="82">
        <f>IF($A34="","",IFERROR(L34/$L$8,0))</f>
        <v/>
      </c>
      <c r="N34" s="80">
        <f>IF($A34="","",INDEX(tblCustomers[حد الائتمان],MATCH($A34,tblCustomers[كود العميل],0)))</f>
        <v/>
      </c>
      <c r="O34" s="83">
        <f>IF($A34="","",IF(AND(N34&gt;0,L34&gt;N34),"⛔",""))</f>
        <v/>
      </c>
    </row>
    <row r="35">
      <c r="A35" s="78">
        <f>IFERROR(INDEX(tblCustomers[كود العميل],MATCH(26,tblCustomers[ترتيب],0)),"")</f>
        <v/>
      </c>
      <c r="B35" s="79">
        <f>IF($A35="","",INDEX(tblCustomers[اسم العميل],MATCH($A35,tblCustomers[كود العميل],0)))</f>
        <v/>
      </c>
      <c r="C35" s="80">
        <f>IF($A35="","",SUMIFS(tblInv[المتبقي],tblInv[كود العميل],$A35,tblInv[الفترة],C$7))</f>
        <v/>
      </c>
      <c r="D35" s="80">
        <f>IF($A35="","",SUMIFS(tblInv[المتبقي],tblInv[كود العميل],$A35,tblInv[الفترة],D$7))</f>
        <v/>
      </c>
      <c r="E35" s="80">
        <f>IF($A35="","",SUMIFS(tblInv[المتبقي],tblInv[كود العميل],$A35,tblInv[الفترة],E$7))</f>
        <v/>
      </c>
      <c r="F35" s="80">
        <f>IF($A35="","",SUMIFS(tblInv[المتبقي],tblInv[كود العميل],$A35,tblInv[الفترة],F$7))</f>
        <v/>
      </c>
      <c r="G35" s="80">
        <f>IF($A35="","",SUMIFS(tblInv[المتبقي],tblInv[كود العميل],$A35,tblInv[الفترة],G$7))</f>
        <v/>
      </c>
      <c r="H35" s="80">
        <f>IF($A35="","",SUMIFS(tblInv[المتبقي],tblInv[كود العميل],$A35,tblInv[الفترة],H$7))</f>
        <v/>
      </c>
      <c r="I35" s="80">
        <f>IF($A35="","",SUMIFS(tblInv[المتبقي],tblInv[كود العميل],$A35,tblInv[الفترة],I$7))</f>
        <v/>
      </c>
      <c r="J35" s="80">
        <f>IF($A35="","",SUM(C35:I35))</f>
        <v/>
      </c>
      <c r="K35" s="80">
        <f>IF($A35="","",-SUMIFS(tblRec[المبلغ],tblRec[كود العميل],$A35,tblRec[رقم الفاتورة],"",tblRec[التاريخ],"&lt;="&amp;AsOf)+SUMIFS(tblInv[المتبقي],tblInv[كود العميل],$A35,tblInv[المتبقي],"&lt;0"))</f>
        <v/>
      </c>
      <c r="L35" s="81">
        <f>IF($A35="","",J35+K35)</f>
        <v/>
      </c>
      <c r="M35" s="82">
        <f>IF($A35="","",IFERROR(L35/$L$8,0))</f>
        <v/>
      </c>
      <c r="N35" s="80">
        <f>IF($A35="","",INDEX(tblCustomers[حد الائتمان],MATCH($A35,tblCustomers[كود العميل],0)))</f>
        <v/>
      </c>
      <c r="O35" s="83">
        <f>IF($A35="","",IF(AND(N35&gt;0,L35&gt;N35),"⛔",""))</f>
        <v/>
      </c>
    </row>
    <row r="36">
      <c r="A36" s="78">
        <f>IFERROR(INDEX(tblCustomers[كود العميل],MATCH(27,tblCustomers[ترتيب],0)),"")</f>
        <v/>
      </c>
      <c r="B36" s="79">
        <f>IF($A36="","",INDEX(tblCustomers[اسم العميل],MATCH($A36,tblCustomers[كود العميل],0)))</f>
        <v/>
      </c>
      <c r="C36" s="80">
        <f>IF($A36="","",SUMIFS(tblInv[المتبقي],tblInv[كود العميل],$A36,tblInv[الفترة],C$7))</f>
        <v/>
      </c>
      <c r="D36" s="80">
        <f>IF($A36="","",SUMIFS(tblInv[المتبقي],tblInv[كود العميل],$A36,tblInv[الفترة],D$7))</f>
        <v/>
      </c>
      <c r="E36" s="80">
        <f>IF($A36="","",SUMIFS(tblInv[المتبقي],tblInv[كود العميل],$A36,tblInv[الفترة],E$7))</f>
        <v/>
      </c>
      <c r="F36" s="80">
        <f>IF($A36="","",SUMIFS(tblInv[المتبقي],tblInv[كود العميل],$A36,tblInv[الفترة],F$7))</f>
        <v/>
      </c>
      <c r="G36" s="80">
        <f>IF($A36="","",SUMIFS(tblInv[المتبقي],tblInv[كود العميل],$A36,tblInv[الفترة],G$7))</f>
        <v/>
      </c>
      <c r="H36" s="80">
        <f>IF($A36="","",SUMIFS(tblInv[المتبقي],tblInv[كود العميل],$A36,tblInv[الفترة],H$7))</f>
        <v/>
      </c>
      <c r="I36" s="80">
        <f>IF($A36="","",SUMIFS(tblInv[المتبقي],tblInv[كود العميل],$A36,tblInv[الفترة],I$7))</f>
        <v/>
      </c>
      <c r="J36" s="80">
        <f>IF($A36="","",SUM(C36:I36))</f>
        <v/>
      </c>
      <c r="K36" s="80">
        <f>IF($A36="","",-SUMIFS(tblRec[المبلغ],tblRec[كود العميل],$A36,tblRec[رقم الفاتورة],"",tblRec[التاريخ],"&lt;="&amp;AsOf)+SUMIFS(tblInv[المتبقي],tblInv[كود العميل],$A36,tblInv[المتبقي],"&lt;0"))</f>
        <v/>
      </c>
      <c r="L36" s="81">
        <f>IF($A36="","",J36+K36)</f>
        <v/>
      </c>
      <c r="M36" s="82">
        <f>IF($A36="","",IFERROR(L36/$L$8,0))</f>
        <v/>
      </c>
      <c r="N36" s="80">
        <f>IF($A36="","",INDEX(tblCustomers[حد الائتمان],MATCH($A36,tblCustomers[كود العميل],0)))</f>
        <v/>
      </c>
      <c r="O36" s="83">
        <f>IF($A36="","",IF(AND(N36&gt;0,L36&gt;N36),"⛔",""))</f>
        <v/>
      </c>
    </row>
    <row r="37">
      <c r="A37" s="78">
        <f>IFERROR(INDEX(tblCustomers[كود العميل],MATCH(28,tblCustomers[ترتيب],0)),"")</f>
        <v/>
      </c>
      <c r="B37" s="79">
        <f>IF($A37="","",INDEX(tblCustomers[اسم العميل],MATCH($A37,tblCustomers[كود العميل],0)))</f>
        <v/>
      </c>
      <c r="C37" s="80">
        <f>IF($A37="","",SUMIFS(tblInv[المتبقي],tblInv[كود العميل],$A37,tblInv[الفترة],C$7))</f>
        <v/>
      </c>
      <c r="D37" s="80">
        <f>IF($A37="","",SUMIFS(tblInv[المتبقي],tblInv[كود العميل],$A37,tblInv[الفترة],D$7))</f>
        <v/>
      </c>
      <c r="E37" s="80">
        <f>IF($A37="","",SUMIFS(tblInv[المتبقي],tblInv[كود العميل],$A37,tblInv[الفترة],E$7))</f>
        <v/>
      </c>
      <c r="F37" s="80">
        <f>IF($A37="","",SUMIFS(tblInv[المتبقي],tblInv[كود العميل],$A37,tblInv[الفترة],F$7))</f>
        <v/>
      </c>
      <c r="G37" s="80">
        <f>IF($A37="","",SUMIFS(tblInv[المتبقي],tblInv[كود العميل],$A37,tblInv[الفترة],G$7))</f>
        <v/>
      </c>
      <c r="H37" s="80">
        <f>IF($A37="","",SUMIFS(tblInv[المتبقي],tblInv[كود العميل],$A37,tblInv[الفترة],H$7))</f>
        <v/>
      </c>
      <c r="I37" s="80">
        <f>IF($A37="","",SUMIFS(tblInv[المتبقي],tblInv[كود العميل],$A37,tblInv[الفترة],I$7))</f>
        <v/>
      </c>
      <c r="J37" s="80">
        <f>IF($A37="","",SUM(C37:I37))</f>
        <v/>
      </c>
      <c r="K37" s="80">
        <f>IF($A37="","",-SUMIFS(tblRec[المبلغ],tblRec[كود العميل],$A37,tblRec[رقم الفاتورة],"",tblRec[التاريخ],"&lt;="&amp;AsOf)+SUMIFS(tblInv[المتبقي],tblInv[كود العميل],$A37,tblInv[المتبقي],"&lt;0"))</f>
        <v/>
      </c>
      <c r="L37" s="81">
        <f>IF($A37="","",J37+K37)</f>
        <v/>
      </c>
      <c r="M37" s="82">
        <f>IF($A37="","",IFERROR(L37/$L$8,0))</f>
        <v/>
      </c>
      <c r="N37" s="80">
        <f>IF($A37="","",INDEX(tblCustomers[حد الائتمان],MATCH($A37,tblCustomers[كود العميل],0)))</f>
        <v/>
      </c>
      <c r="O37" s="83">
        <f>IF($A37="","",IF(AND(N37&gt;0,L37&gt;N37),"⛔",""))</f>
        <v/>
      </c>
    </row>
    <row r="38">
      <c r="A38" s="78">
        <f>IFERROR(INDEX(tblCustomers[كود العميل],MATCH(29,tblCustomers[ترتيب],0)),"")</f>
        <v/>
      </c>
      <c r="B38" s="79">
        <f>IF($A38="","",INDEX(tblCustomers[اسم العميل],MATCH($A38,tblCustomers[كود العميل],0)))</f>
        <v/>
      </c>
      <c r="C38" s="80">
        <f>IF($A38="","",SUMIFS(tblInv[المتبقي],tblInv[كود العميل],$A38,tblInv[الفترة],C$7))</f>
        <v/>
      </c>
      <c r="D38" s="80">
        <f>IF($A38="","",SUMIFS(tblInv[المتبقي],tblInv[كود العميل],$A38,tblInv[الفترة],D$7))</f>
        <v/>
      </c>
      <c r="E38" s="80">
        <f>IF($A38="","",SUMIFS(tblInv[المتبقي],tblInv[كود العميل],$A38,tblInv[الفترة],E$7))</f>
        <v/>
      </c>
      <c r="F38" s="80">
        <f>IF($A38="","",SUMIFS(tblInv[المتبقي],tblInv[كود العميل],$A38,tblInv[الفترة],F$7))</f>
        <v/>
      </c>
      <c r="G38" s="80">
        <f>IF($A38="","",SUMIFS(tblInv[المتبقي],tblInv[كود العميل],$A38,tblInv[الفترة],G$7))</f>
        <v/>
      </c>
      <c r="H38" s="80">
        <f>IF($A38="","",SUMIFS(tblInv[المتبقي],tblInv[كود العميل],$A38,tblInv[الفترة],H$7))</f>
        <v/>
      </c>
      <c r="I38" s="80">
        <f>IF($A38="","",SUMIFS(tblInv[المتبقي],tblInv[كود العميل],$A38,tblInv[الفترة],I$7))</f>
        <v/>
      </c>
      <c r="J38" s="80">
        <f>IF($A38="","",SUM(C38:I38))</f>
        <v/>
      </c>
      <c r="K38" s="80">
        <f>IF($A38="","",-SUMIFS(tblRec[المبلغ],tblRec[كود العميل],$A38,tblRec[رقم الفاتورة],"",tblRec[التاريخ],"&lt;="&amp;AsOf)+SUMIFS(tblInv[المتبقي],tblInv[كود العميل],$A38,tblInv[المتبقي],"&lt;0"))</f>
        <v/>
      </c>
      <c r="L38" s="81">
        <f>IF($A38="","",J38+K38)</f>
        <v/>
      </c>
      <c r="M38" s="82">
        <f>IF($A38="","",IFERROR(L38/$L$8,0))</f>
        <v/>
      </c>
      <c r="N38" s="80">
        <f>IF($A38="","",INDEX(tblCustomers[حد الائتمان],MATCH($A38,tblCustomers[كود العميل],0)))</f>
        <v/>
      </c>
      <c r="O38" s="83">
        <f>IF($A38="","",IF(AND(N38&gt;0,L38&gt;N38),"⛔",""))</f>
        <v/>
      </c>
    </row>
    <row r="39">
      <c r="A39" s="78">
        <f>IFERROR(INDEX(tblCustomers[كود العميل],MATCH(30,tblCustomers[ترتيب],0)),"")</f>
        <v/>
      </c>
      <c r="B39" s="79">
        <f>IF($A39="","",INDEX(tblCustomers[اسم العميل],MATCH($A39,tblCustomers[كود العميل],0)))</f>
        <v/>
      </c>
      <c r="C39" s="80">
        <f>IF($A39="","",SUMIFS(tblInv[المتبقي],tblInv[كود العميل],$A39,tblInv[الفترة],C$7))</f>
        <v/>
      </c>
      <c r="D39" s="80">
        <f>IF($A39="","",SUMIFS(tblInv[المتبقي],tblInv[كود العميل],$A39,tblInv[الفترة],D$7))</f>
        <v/>
      </c>
      <c r="E39" s="80">
        <f>IF($A39="","",SUMIFS(tblInv[المتبقي],tblInv[كود العميل],$A39,tblInv[الفترة],E$7))</f>
        <v/>
      </c>
      <c r="F39" s="80">
        <f>IF($A39="","",SUMIFS(tblInv[المتبقي],tblInv[كود العميل],$A39,tblInv[الفترة],F$7))</f>
        <v/>
      </c>
      <c r="G39" s="80">
        <f>IF($A39="","",SUMIFS(tblInv[المتبقي],tblInv[كود العميل],$A39,tblInv[الفترة],G$7))</f>
        <v/>
      </c>
      <c r="H39" s="80">
        <f>IF($A39="","",SUMIFS(tblInv[المتبقي],tblInv[كود العميل],$A39,tblInv[الفترة],H$7))</f>
        <v/>
      </c>
      <c r="I39" s="80">
        <f>IF($A39="","",SUMIFS(tblInv[المتبقي],tblInv[كود العميل],$A39,tblInv[الفترة],I$7))</f>
        <v/>
      </c>
      <c r="J39" s="80">
        <f>IF($A39="","",SUM(C39:I39))</f>
        <v/>
      </c>
      <c r="K39" s="80">
        <f>IF($A39="","",-SUMIFS(tblRec[المبلغ],tblRec[كود العميل],$A39,tblRec[رقم الفاتورة],"",tblRec[التاريخ],"&lt;="&amp;AsOf)+SUMIFS(tblInv[المتبقي],tblInv[كود العميل],$A39,tblInv[المتبقي],"&lt;0"))</f>
        <v/>
      </c>
      <c r="L39" s="81">
        <f>IF($A39="","",J39+K39)</f>
        <v/>
      </c>
      <c r="M39" s="82">
        <f>IF($A39="","",IFERROR(L39/$L$8,0))</f>
        <v/>
      </c>
      <c r="N39" s="80">
        <f>IF($A39="","",INDEX(tblCustomers[حد الائتمان],MATCH($A39,tblCustomers[كود العميل],0)))</f>
        <v/>
      </c>
      <c r="O39" s="83">
        <f>IF($A39="","",IF(AND(N39&gt;0,L39&gt;N39),"⛔",""))</f>
        <v/>
      </c>
    </row>
    <row r="40">
      <c r="A40" s="78">
        <f>IFERROR(INDEX(tblCustomers[كود العميل],MATCH(31,tblCustomers[ترتيب],0)),"")</f>
        <v/>
      </c>
      <c r="B40" s="79">
        <f>IF($A40="","",INDEX(tblCustomers[اسم العميل],MATCH($A40,tblCustomers[كود العميل],0)))</f>
        <v/>
      </c>
      <c r="C40" s="80">
        <f>IF($A40="","",SUMIFS(tblInv[المتبقي],tblInv[كود العميل],$A40,tblInv[الفترة],C$7))</f>
        <v/>
      </c>
      <c r="D40" s="80">
        <f>IF($A40="","",SUMIFS(tblInv[المتبقي],tblInv[كود العميل],$A40,tblInv[الفترة],D$7))</f>
        <v/>
      </c>
      <c r="E40" s="80">
        <f>IF($A40="","",SUMIFS(tblInv[المتبقي],tblInv[كود العميل],$A40,tblInv[الفترة],E$7))</f>
        <v/>
      </c>
      <c r="F40" s="80">
        <f>IF($A40="","",SUMIFS(tblInv[المتبقي],tblInv[كود العميل],$A40,tblInv[الفترة],F$7))</f>
        <v/>
      </c>
      <c r="G40" s="80">
        <f>IF($A40="","",SUMIFS(tblInv[المتبقي],tblInv[كود العميل],$A40,tblInv[الفترة],G$7))</f>
        <v/>
      </c>
      <c r="H40" s="80">
        <f>IF($A40="","",SUMIFS(tblInv[المتبقي],tblInv[كود العميل],$A40,tblInv[الفترة],H$7))</f>
        <v/>
      </c>
      <c r="I40" s="80">
        <f>IF($A40="","",SUMIFS(tblInv[المتبقي],tblInv[كود العميل],$A40,tblInv[الفترة],I$7))</f>
        <v/>
      </c>
      <c r="J40" s="80">
        <f>IF($A40="","",SUM(C40:I40))</f>
        <v/>
      </c>
      <c r="K40" s="80">
        <f>IF($A40="","",-SUMIFS(tblRec[المبلغ],tblRec[كود العميل],$A40,tblRec[رقم الفاتورة],"",tblRec[التاريخ],"&lt;="&amp;AsOf)+SUMIFS(tblInv[المتبقي],tblInv[كود العميل],$A40,tblInv[المتبقي],"&lt;0"))</f>
        <v/>
      </c>
      <c r="L40" s="81">
        <f>IF($A40="","",J40+K40)</f>
        <v/>
      </c>
      <c r="M40" s="82">
        <f>IF($A40="","",IFERROR(L40/$L$8,0))</f>
        <v/>
      </c>
      <c r="N40" s="80">
        <f>IF($A40="","",INDEX(tblCustomers[حد الائتمان],MATCH($A40,tblCustomers[كود العميل],0)))</f>
        <v/>
      </c>
      <c r="O40" s="83">
        <f>IF($A40="","",IF(AND(N40&gt;0,L40&gt;N40),"⛔",""))</f>
        <v/>
      </c>
    </row>
    <row r="41">
      <c r="A41" s="78">
        <f>IFERROR(INDEX(tblCustomers[كود العميل],MATCH(32,tblCustomers[ترتيب],0)),"")</f>
        <v/>
      </c>
      <c r="B41" s="79">
        <f>IF($A41="","",INDEX(tblCustomers[اسم العميل],MATCH($A41,tblCustomers[كود العميل],0)))</f>
        <v/>
      </c>
      <c r="C41" s="80">
        <f>IF($A41="","",SUMIFS(tblInv[المتبقي],tblInv[كود العميل],$A41,tblInv[الفترة],C$7))</f>
        <v/>
      </c>
      <c r="D41" s="80">
        <f>IF($A41="","",SUMIFS(tblInv[المتبقي],tblInv[كود العميل],$A41,tblInv[الفترة],D$7))</f>
        <v/>
      </c>
      <c r="E41" s="80">
        <f>IF($A41="","",SUMIFS(tblInv[المتبقي],tblInv[كود العميل],$A41,tblInv[الفترة],E$7))</f>
        <v/>
      </c>
      <c r="F41" s="80">
        <f>IF($A41="","",SUMIFS(tblInv[المتبقي],tblInv[كود العميل],$A41,tblInv[الفترة],F$7))</f>
        <v/>
      </c>
      <c r="G41" s="80">
        <f>IF($A41="","",SUMIFS(tblInv[المتبقي],tblInv[كود العميل],$A41,tblInv[الفترة],G$7))</f>
        <v/>
      </c>
      <c r="H41" s="80">
        <f>IF($A41="","",SUMIFS(tblInv[المتبقي],tblInv[كود العميل],$A41,tblInv[الفترة],H$7))</f>
        <v/>
      </c>
      <c r="I41" s="80">
        <f>IF($A41="","",SUMIFS(tblInv[المتبقي],tblInv[كود العميل],$A41,tblInv[الفترة],I$7))</f>
        <v/>
      </c>
      <c r="J41" s="80">
        <f>IF($A41="","",SUM(C41:I41))</f>
        <v/>
      </c>
      <c r="K41" s="80">
        <f>IF($A41="","",-SUMIFS(tblRec[المبلغ],tblRec[كود العميل],$A41,tblRec[رقم الفاتورة],"",tblRec[التاريخ],"&lt;="&amp;AsOf)+SUMIFS(tblInv[المتبقي],tblInv[كود العميل],$A41,tblInv[المتبقي],"&lt;0"))</f>
        <v/>
      </c>
      <c r="L41" s="81">
        <f>IF($A41="","",J41+K41)</f>
        <v/>
      </c>
      <c r="M41" s="82">
        <f>IF($A41="","",IFERROR(L41/$L$8,0))</f>
        <v/>
      </c>
      <c r="N41" s="80">
        <f>IF($A41="","",INDEX(tblCustomers[حد الائتمان],MATCH($A41,tblCustomers[كود العميل],0)))</f>
        <v/>
      </c>
      <c r="O41" s="83">
        <f>IF($A41="","",IF(AND(N41&gt;0,L41&gt;N41),"⛔",""))</f>
        <v/>
      </c>
    </row>
    <row r="42">
      <c r="A42" s="78">
        <f>IFERROR(INDEX(tblCustomers[كود العميل],MATCH(33,tblCustomers[ترتيب],0)),"")</f>
        <v/>
      </c>
      <c r="B42" s="79">
        <f>IF($A42="","",INDEX(tblCustomers[اسم العميل],MATCH($A42,tblCustomers[كود العميل],0)))</f>
        <v/>
      </c>
      <c r="C42" s="80">
        <f>IF($A42="","",SUMIFS(tblInv[المتبقي],tblInv[كود العميل],$A42,tblInv[الفترة],C$7))</f>
        <v/>
      </c>
      <c r="D42" s="80">
        <f>IF($A42="","",SUMIFS(tblInv[المتبقي],tblInv[كود العميل],$A42,tblInv[الفترة],D$7))</f>
        <v/>
      </c>
      <c r="E42" s="80">
        <f>IF($A42="","",SUMIFS(tblInv[المتبقي],tblInv[كود العميل],$A42,tblInv[الفترة],E$7))</f>
        <v/>
      </c>
      <c r="F42" s="80">
        <f>IF($A42="","",SUMIFS(tblInv[المتبقي],tblInv[كود العميل],$A42,tblInv[الفترة],F$7))</f>
        <v/>
      </c>
      <c r="G42" s="80">
        <f>IF($A42="","",SUMIFS(tblInv[المتبقي],tblInv[كود العميل],$A42,tblInv[الفترة],G$7))</f>
        <v/>
      </c>
      <c r="H42" s="80">
        <f>IF($A42="","",SUMIFS(tblInv[المتبقي],tblInv[كود العميل],$A42,tblInv[الفترة],H$7))</f>
        <v/>
      </c>
      <c r="I42" s="80">
        <f>IF($A42="","",SUMIFS(tblInv[المتبقي],tblInv[كود العميل],$A42,tblInv[الفترة],I$7))</f>
        <v/>
      </c>
      <c r="J42" s="80">
        <f>IF($A42="","",SUM(C42:I42))</f>
        <v/>
      </c>
      <c r="K42" s="80">
        <f>IF($A42="","",-SUMIFS(tblRec[المبلغ],tblRec[كود العميل],$A42,tblRec[رقم الفاتورة],"",tblRec[التاريخ],"&lt;="&amp;AsOf)+SUMIFS(tblInv[المتبقي],tblInv[كود العميل],$A42,tblInv[المتبقي],"&lt;0"))</f>
        <v/>
      </c>
      <c r="L42" s="81">
        <f>IF($A42="","",J42+K42)</f>
        <v/>
      </c>
      <c r="M42" s="82">
        <f>IF($A42="","",IFERROR(L42/$L$8,0))</f>
        <v/>
      </c>
      <c r="N42" s="80">
        <f>IF($A42="","",INDEX(tblCustomers[حد الائتمان],MATCH($A42,tblCustomers[كود العميل],0)))</f>
        <v/>
      </c>
      <c r="O42" s="83">
        <f>IF($A42="","",IF(AND(N42&gt;0,L42&gt;N42),"⛔",""))</f>
        <v/>
      </c>
    </row>
    <row r="43">
      <c r="A43" s="78">
        <f>IFERROR(INDEX(tblCustomers[كود العميل],MATCH(34,tblCustomers[ترتيب],0)),"")</f>
        <v/>
      </c>
      <c r="B43" s="79">
        <f>IF($A43="","",INDEX(tblCustomers[اسم العميل],MATCH($A43,tblCustomers[كود العميل],0)))</f>
        <v/>
      </c>
      <c r="C43" s="80">
        <f>IF($A43="","",SUMIFS(tblInv[المتبقي],tblInv[كود العميل],$A43,tblInv[الفترة],C$7))</f>
        <v/>
      </c>
      <c r="D43" s="80">
        <f>IF($A43="","",SUMIFS(tblInv[المتبقي],tblInv[كود العميل],$A43,tblInv[الفترة],D$7))</f>
        <v/>
      </c>
      <c r="E43" s="80">
        <f>IF($A43="","",SUMIFS(tblInv[المتبقي],tblInv[كود العميل],$A43,tblInv[الفترة],E$7))</f>
        <v/>
      </c>
      <c r="F43" s="80">
        <f>IF($A43="","",SUMIFS(tblInv[المتبقي],tblInv[كود العميل],$A43,tblInv[الفترة],F$7))</f>
        <v/>
      </c>
      <c r="G43" s="80">
        <f>IF($A43="","",SUMIFS(tblInv[المتبقي],tblInv[كود العميل],$A43,tblInv[الفترة],G$7))</f>
        <v/>
      </c>
      <c r="H43" s="80">
        <f>IF($A43="","",SUMIFS(tblInv[المتبقي],tblInv[كود العميل],$A43,tblInv[الفترة],H$7))</f>
        <v/>
      </c>
      <c r="I43" s="80">
        <f>IF($A43="","",SUMIFS(tblInv[المتبقي],tblInv[كود العميل],$A43,tblInv[الفترة],I$7))</f>
        <v/>
      </c>
      <c r="J43" s="80">
        <f>IF($A43="","",SUM(C43:I43))</f>
        <v/>
      </c>
      <c r="K43" s="80">
        <f>IF($A43="","",-SUMIFS(tblRec[المبلغ],tblRec[كود العميل],$A43,tblRec[رقم الفاتورة],"",tblRec[التاريخ],"&lt;="&amp;AsOf)+SUMIFS(tblInv[المتبقي],tblInv[كود العميل],$A43,tblInv[المتبقي],"&lt;0"))</f>
        <v/>
      </c>
      <c r="L43" s="81">
        <f>IF($A43="","",J43+K43)</f>
        <v/>
      </c>
      <c r="M43" s="82">
        <f>IF($A43="","",IFERROR(L43/$L$8,0))</f>
        <v/>
      </c>
      <c r="N43" s="80">
        <f>IF($A43="","",INDEX(tblCustomers[حد الائتمان],MATCH($A43,tblCustomers[كود العميل],0)))</f>
        <v/>
      </c>
      <c r="O43" s="83">
        <f>IF($A43="","",IF(AND(N43&gt;0,L43&gt;N43),"⛔",""))</f>
        <v/>
      </c>
    </row>
    <row r="44">
      <c r="A44" s="78">
        <f>IFERROR(INDEX(tblCustomers[كود العميل],MATCH(35,tblCustomers[ترتيب],0)),"")</f>
        <v/>
      </c>
      <c r="B44" s="79">
        <f>IF($A44="","",INDEX(tblCustomers[اسم العميل],MATCH($A44,tblCustomers[كود العميل],0)))</f>
        <v/>
      </c>
      <c r="C44" s="80">
        <f>IF($A44="","",SUMIFS(tblInv[المتبقي],tblInv[كود العميل],$A44,tblInv[الفترة],C$7))</f>
        <v/>
      </c>
      <c r="D44" s="80">
        <f>IF($A44="","",SUMIFS(tblInv[المتبقي],tblInv[كود العميل],$A44,tblInv[الفترة],D$7))</f>
        <v/>
      </c>
      <c r="E44" s="80">
        <f>IF($A44="","",SUMIFS(tblInv[المتبقي],tblInv[كود العميل],$A44,tblInv[الفترة],E$7))</f>
        <v/>
      </c>
      <c r="F44" s="80">
        <f>IF($A44="","",SUMIFS(tblInv[المتبقي],tblInv[كود العميل],$A44,tblInv[الفترة],F$7))</f>
        <v/>
      </c>
      <c r="G44" s="80">
        <f>IF($A44="","",SUMIFS(tblInv[المتبقي],tblInv[كود العميل],$A44,tblInv[الفترة],G$7))</f>
        <v/>
      </c>
      <c r="H44" s="80">
        <f>IF($A44="","",SUMIFS(tblInv[المتبقي],tblInv[كود العميل],$A44,tblInv[الفترة],H$7))</f>
        <v/>
      </c>
      <c r="I44" s="80">
        <f>IF($A44="","",SUMIFS(tblInv[المتبقي],tblInv[كود العميل],$A44,tblInv[الفترة],I$7))</f>
        <v/>
      </c>
      <c r="J44" s="80">
        <f>IF($A44="","",SUM(C44:I44))</f>
        <v/>
      </c>
      <c r="K44" s="80">
        <f>IF($A44="","",-SUMIFS(tblRec[المبلغ],tblRec[كود العميل],$A44,tblRec[رقم الفاتورة],"",tblRec[التاريخ],"&lt;="&amp;AsOf)+SUMIFS(tblInv[المتبقي],tblInv[كود العميل],$A44,tblInv[المتبقي],"&lt;0"))</f>
        <v/>
      </c>
      <c r="L44" s="81">
        <f>IF($A44="","",J44+K44)</f>
        <v/>
      </c>
      <c r="M44" s="82">
        <f>IF($A44="","",IFERROR(L44/$L$8,0))</f>
        <v/>
      </c>
      <c r="N44" s="80">
        <f>IF($A44="","",INDEX(tblCustomers[حد الائتمان],MATCH($A44,tblCustomers[كود العميل],0)))</f>
        <v/>
      </c>
      <c r="O44" s="83">
        <f>IF($A44="","",IF(AND(N44&gt;0,L44&gt;N44),"⛔",""))</f>
        <v/>
      </c>
    </row>
    <row r="45">
      <c r="A45" s="78">
        <f>IFERROR(INDEX(tblCustomers[كود العميل],MATCH(36,tblCustomers[ترتيب],0)),"")</f>
        <v/>
      </c>
      <c r="B45" s="79">
        <f>IF($A45="","",INDEX(tblCustomers[اسم العميل],MATCH($A45,tblCustomers[كود العميل],0)))</f>
        <v/>
      </c>
      <c r="C45" s="80">
        <f>IF($A45="","",SUMIFS(tblInv[المتبقي],tblInv[كود العميل],$A45,tblInv[الفترة],C$7))</f>
        <v/>
      </c>
      <c r="D45" s="80">
        <f>IF($A45="","",SUMIFS(tblInv[المتبقي],tblInv[كود العميل],$A45,tblInv[الفترة],D$7))</f>
        <v/>
      </c>
      <c r="E45" s="80">
        <f>IF($A45="","",SUMIFS(tblInv[المتبقي],tblInv[كود العميل],$A45,tblInv[الفترة],E$7))</f>
        <v/>
      </c>
      <c r="F45" s="80">
        <f>IF($A45="","",SUMIFS(tblInv[المتبقي],tblInv[كود العميل],$A45,tblInv[الفترة],F$7))</f>
        <v/>
      </c>
      <c r="G45" s="80">
        <f>IF($A45="","",SUMIFS(tblInv[المتبقي],tblInv[كود العميل],$A45,tblInv[الفترة],G$7))</f>
        <v/>
      </c>
      <c r="H45" s="80">
        <f>IF($A45="","",SUMIFS(tblInv[المتبقي],tblInv[كود العميل],$A45,tblInv[الفترة],H$7))</f>
        <v/>
      </c>
      <c r="I45" s="80">
        <f>IF($A45="","",SUMIFS(tblInv[المتبقي],tblInv[كود العميل],$A45,tblInv[الفترة],I$7))</f>
        <v/>
      </c>
      <c r="J45" s="80">
        <f>IF($A45="","",SUM(C45:I45))</f>
        <v/>
      </c>
      <c r="K45" s="80">
        <f>IF($A45="","",-SUMIFS(tblRec[المبلغ],tblRec[كود العميل],$A45,tblRec[رقم الفاتورة],"",tblRec[التاريخ],"&lt;="&amp;AsOf)+SUMIFS(tblInv[المتبقي],tblInv[كود العميل],$A45,tblInv[المتبقي],"&lt;0"))</f>
        <v/>
      </c>
      <c r="L45" s="81">
        <f>IF($A45="","",J45+K45)</f>
        <v/>
      </c>
      <c r="M45" s="82">
        <f>IF($A45="","",IFERROR(L45/$L$8,0))</f>
        <v/>
      </c>
      <c r="N45" s="80">
        <f>IF($A45="","",INDEX(tblCustomers[حد الائتمان],MATCH($A45,tblCustomers[كود العميل],0)))</f>
        <v/>
      </c>
      <c r="O45" s="83">
        <f>IF($A45="","",IF(AND(N45&gt;0,L45&gt;N45),"⛔",""))</f>
        <v/>
      </c>
    </row>
    <row r="46">
      <c r="A46" s="78">
        <f>IFERROR(INDEX(tblCustomers[كود العميل],MATCH(37,tblCustomers[ترتيب],0)),"")</f>
        <v/>
      </c>
      <c r="B46" s="79">
        <f>IF($A46="","",INDEX(tblCustomers[اسم العميل],MATCH($A46,tblCustomers[كود العميل],0)))</f>
        <v/>
      </c>
      <c r="C46" s="80">
        <f>IF($A46="","",SUMIFS(tblInv[المتبقي],tblInv[كود العميل],$A46,tblInv[الفترة],C$7))</f>
        <v/>
      </c>
      <c r="D46" s="80">
        <f>IF($A46="","",SUMIFS(tblInv[المتبقي],tblInv[كود العميل],$A46,tblInv[الفترة],D$7))</f>
        <v/>
      </c>
      <c r="E46" s="80">
        <f>IF($A46="","",SUMIFS(tblInv[المتبقي],tblInv[كود العميل],$A46,tblInv[الفترة],E$7))</f>
        <v/>
      </c>
      <c r="F46" s="80">
        <f>IF($A46="","",SUMIFS(tblInv[المتبقي],tblInv[كود العميل],$A46,tblInv[الفترة],F$7))</f>
        <v/>
      </c>
      <c r="G46" s="80">
        <f>IF($A46="","",SUMIFS(tblInv[المتبقي],tblInv[كود العميل],$A46,tblInv[الفترة],G$7))</f>
        <v/>
      </c>
      <c r="H46" s="80">
        <f>IF($A46="","",SUMIFS(tblInv[المتبقي],tblInv[كود العميل],$A46,tblInv[الفترة],H$7))</f>
        <v/>
      </c>
      <c r="I46" s="80">
        <f>IF($A46="","",SUMIFS(tblInv[المتبقي],tblInv[كود العميل],$A46,tblInv[الفترة],I$7))</f>
        <v/>
      </c>
      <c r="J46" s="80">
        <f>IF($A46="","",SUM(C46:I46))</f>
        <v/>
      </c>
      <c r="K46" s="80">
        <f>IF($A46="","",-SUMIFS(tblRec[المبلغ],tblRec[كود العميل],$A46,tblRec[رقم الفاتورة],"",tblRec[التاريخ],"&lt;="&amp;AsOf)+SUMIFS(tblInv[المتبقي],tblInv[كود العميل],$A46,tblInv[المتبقي],"&lt;0"))</f>
        <v/>
      </c>
      <c r="L46" s="81">
        <f>IF($A46="","",J46+K46)</f>
        <v/>
      </c>
      <c r="M46" s="82">
        <f>IF($A46="","",IFERROR(L46/$L$8,0))</f>
        <v/>
      </c>
      <c r="N46" s="80">
        <f>IF($A46="","",INDEX(tblCustomers[حد الائتمان],MATCH($A46,tblCustomers[كود العميل],0)))</f>
        <v/>
      </c>
      <c r="O46" s="83">
        <f>IF($A46="","",IF(AND(N46&gt;0,L46&gt;N46),"⛔",""))</f>
        <v/>
      </c>
    </row>
    <row r="47">
      <c r="A47" s="78">
        <f>IFERROR(INDEX(tblCustomers[كود العميل],MATCH(38,tblCustomers[ترتيب],0)),"")</f>
        <v/>
      </c>
      <c r="B47" s="79">
        <f>IF($A47="","",INDEX(tblCustomers[اسم العميل],MATCH($A47,tblCustomers[كود العميل],0)))</f>
        <v/>
      </c>
      <c r="C47" s="80">
        <f>IF($A47="","",SUMIFS(tblInv[المتبقي],tblInv[كود العميل],$A47,tblInv[الفترة],C$7))</f>
        <v/>
      </c>
      <c r="D47" s="80">
        <f>IF($A47="","",SUMIFS(tblInv[المتبقي],tblInv[كود العميل],$A47,tblInv[الفترة],D$7))</f>
        <v/>
      </c>
      <c r="E47" s="80">
        <f>IF($A47="","",SUMIFS(tblInv[المتبقي],tblInv[كود العميل],$A47,tblInv[الفترة],E$7))</f>
        <v/>
      </c>
      <c r="F47" s="80">
        <f>IF($A47="","",SUMIFS(tblInv[المتبقي],tblInv[كود العميل],$A47,tblInv[الفترة],F$7))</f>
        <v/>
      </c>
      <c r="G47" s="80">
        <f>IF($A47="","",SUMIFS(tblInv[المتبقي],tblInv[كود العميل],$A47,tblInv[الفترة],G$7))</f>
        <v/>
      </c>
      <c r="H47" s="80">
        <f>IF($A47="","",SUMIFS(tblInv[المتبقي],tblInv[كود العميل],$A47,tblInv[الفترة],H$7))</f>
        <v/>
      </c>
      <c r="I47" s="80">
        <f>IF($A47="","",SUMIFS(tblInv[المتبقي],tblInv[كود العميل],$A47,tblInv[الفترة],I$7))</f>
        <v/>
      </c>
      <c r="J47" s="80">
        <f>IF($A47="","",SUM(C47:I47))</f>
        <v/>
      </c>
      <c r="K47" s="80">
        <f>IF($A47="","",-SUMIFS(tblRec[المبلغ],tblRec[كود العميل],$A47,tblRec[رقم الفاتورة],"",tblRec[التاريخ],"&lt;="&amp;AsOf)+SUMIFS(tblInv[المتبقي],tblInv[كود العميل],$A47,tblInv[المتبقي],"&lt;0"))</f>
        <v/>
      </c>
      <c r="L47" s="81">
        <f>IF($A47="","",J47+K47)</f>
        <v/>
      </c>
      <c r="M47" s="82">
        <f>IF($A47="","",IFERROR(L47/$L$8,0))</f>
        <v/>
      </c>
      <c r="N47" s="80">
        <f>IF($A47="","",INDEX(tblCustomers[حد الائتمان],MATCH($A47,tblCustomers[كود العميل],0)))</f>
        <v/>
      </c>
      <c r="O47" s="83">
        <f>IF($A47="","",IF(AND(N47&gt;0,L47&gt;N47),"⛔",""))</f>
        <v/>
      </c>
    </row>
    <row r="48">
      <c r="A48" s="78">
        <f>IFERROR(INDEX(tblCustomers[كود العميل],MATCH(39,tblCustomers[ترتيب],0)),"")</f>
        <v/>
      </c>
      <c r="B48" s="79">
        <f>IF($A48="","",INDEX(tblCustomers[اسم العميل],MATCH($A48,tblCustomers[كود العميل],0)))</f>
        <v/>
      </c>
      <c r="C48" s="80">
        <f>IF($A48="","",SUMIFS(tblInv[المتبقي],tblInv[كود العميل],$A48,tblInv[الفترة],C$7))</f>
        <v/>
      </c>
      <c r="D48" s="80">
        <f>IF($A48="","",SUMIFS(tblInv[المتبقي],tblInv[كود العميل],$A48,tblInv[الفترة],D$7))</f>
        <v/>
      </c>
      <c r="E48" s="80">
        <f>IF($A48="","",SUMIFS(tblInv[المتبقي],tblInv[كود العميل],$A48,tblInv[الفترة],E$7))</f>
        <v/>
      </c>
      <c r="F48" s="80">
        <f>IF($A48="","",SUMIFS(tblInv[المتبقي],tblInv[كود العميل],$A48,tblInv[الفترة],F$7))</f>
        <v/>
      </c>
      <c r="G48" s="80">
        <f>IF($A48="","",SUMIFS(tblInv[المتبقي],tblInv[كود العميل],$A48,tblInv[الفترة],G$7))</f>
        <v/>
      </c>
      <c r="H48" s="80">
        <f>IF($A48="","",SUMIFS(tblInv[المتبقي],tblInv[كود العميل],$A48,tblInv[الفترة],H$7))</f>
        <v/>
      </c>
      <c r="I48" s="80">
        <f>IF($A48="","",SUMIFS(tblInv[المتبقي],tblInv[كود العميل],$A48,tblInv[الفترة],I$7))</f>
        <v/>
      </c>
      <c r="J48" s="80">
        <f>IF($A48="","",SUM(C48:I48))</f>
        <v/>
      </c>
      <c r="K48" s="80">
        <f>IF($A48="","",-SUMIFS(tblRec[المبلغ],tblRec[كود العميل],$A48,tblRec[رقم الفاتورة],"",tblRec[التاريخ],"&lt;="&amp;AsOf)+SUMIFS(tblInv[المتبقي],tblInv[كود العميل],$A48,tblInv[المتبقي],"&lt;0"))</f>
        <v/>
      </c>
      <c r="L48" s="81">
        <f>IF($A48="","",J48+K48)</f>
        <v/>
      </c>
      <c r="M48" s="82">
        <f>IF($A48="","",IFERROR(L48/$L$8,0))</f>
        <v/>
      </c>
      <c r="N48" s="80">
        <f>IF($A48="","",INDEX(tblCustomers[حد الائتمان],MATCH($A48,tblCustomers[كود العميل],0)))</f>
        <v/>
      </c>
      <c r="O48" s="83">
        <f>IF($A48="","",IF(AND(N48&gt;0,L48&gt;N48),"⛔",""))</f>
        <v/>
      </c>
    </row>
    <row r="49">
      <c r="A49" s="78">
        <f>IFERROR(INDEX(tblCustomers[كود العميل],MATCH(40,tblCustomers[ترتيب],0)),"")</f>
        <v/>
      </c>
      <c r="B49" s="79">
        <f>IF($A49="","",INDEX(tblCustomers[اسم العميل],MATCH($A49,tblCustomers[كود العميل],0)))</f>
        <v/>
      </c>
      <c r="C49" s="80">
        <f>IF($A49="","",SUMIFS(tblInv[المتبقي],tblInv[كود العميل],$A49,tblInv[الفترة],C$7))</f>
        <v/>
      </c>
      <c r="D49" s="80">
        <f>IF($A49="","",SUMIFS(tblInv[المتبقي],tblInv[كود العميل],$A49,tblInv[الفترة],D$7))</f>
        <v/>
      </c>
      <c r="E49" s="80">
        <f>IF($A49="","",SUMIFS(tblInv[المتبقي],tblInv[كود العميل],$A49,tblInv[الفترة],E$7))</f>
        <v/>
      </c>
      <c r="F49" s="80">
        <f>IF($A49="","",SUMIFS(tblInv[المتبقي],tblInv[كود العميل],$A49,tblInv[الفترة],F$7))</f>
        <v/>
      </c>
      <c r="G49" s="80">
        <f>IF($A49="","",SUMIFS(tblInv[المتبقي],tblInv[كود العميل],$A49,tblInv[الفترة],G$7))</f>
        <v/>
      </c>
      <c r="H49" s="80">
        <f>IF($A49="","",SUMIFS(tblInv[المتبقي],tblInv[كود العميل],$A49,tblInv[الفترة],H$7))</f>
        <v/>
      </c>
      <c r="I49" s="80">
        <f>IF($A49="","",SUMIFS(tblInv[المتبقي],tblInv[كود العميل],$A49,tblInv[الفترة],I$7))</f>
        <v/>
      </c>
      <c r="J49" s="80">
        <f>IF($A49="","",SUM(C49:I49))</f>
        <v/>
      </c>
      <c r="K49" s="80">
        <f>IF($A49="","",-SUMIFS(tblRec[المبلغ],tblRec[كود العميل],$A49,tblRec[رقم الفاتورة],"",tblRec[التاريخ],"&lt;="&amp;AsOf)+SUMIFS(tblInv[المتبقي],tblInv[كود العميل],$A49,tblInv[المتبقي],"&lt;0"))</f>
        <v/>
      </c>
      <c r="L49" s="81">
        <f>IF($A49="","",J49+K49)</f>
        <v/>
      </c>
      <c r="M49" s="82">
        <f>IF($A49="","",IFERROR(L49/$L$8,0))</f>
        <v/>
      </c>
      <c r="N49" s="80">
        <f>IF($A49="","",INDEX(tblCustomers[حد الائتمان],MATCH($A49,tblCustomers[كود العميل],0)))</f>
        <v/>
      </c>
      <c r="O49" s="83">
        <f>IF($A49="","",IF(AND(N49&gt;0,L49&gt;N49),"⛔",""))</f>
        <v/>
      </c>
    </row>
    <row r="50">
      <c r="A50" s="78">
        <f>IFERROR(INDEX(tblCustomers[كود العميل],MATCH(41,tblCustomers[ترتيب],0)),"")</f>
        <v/>
      </c>
      <c r="B50" s="79">
        <f>IF($A50="","",INDEX(tblCustomers[اسم العميل],MATCH($A50,tblCustomers[كود العميل],0)))</f>
        <v/>
      </c>
      <c r="C50" s="80">
        <f>IF($A50="","",SUMIFS(tblInv[المتبقي],tblInv[كود العميل],$A50,tblInv[الفترة],C$7))</f>
        <v/>
      </c>
      <c r="D50" s="80">
        <f>IF($A50="","",SUMIFS(tblInv[المتبقي],tblInv[كود العميل],$A50,tblInv[الفترة],D$7))</f>
        <v/>
      </c>
      <c r="E50" s="80">
        <f>IF($A50="","",SUMIFS(tblInv[المتبقي],tblInv[كود العميل],$A50,tblInv[الفترة],E$7))</f>
        <v/>
      </c>
      <c r="F50" s="80">
        <f>IF($A50="","",SUMIFS(tblInv[المتبقي],tblInv[كود العميل],$A50,tblInv[الفترة],F$7))</f>
        <v/>
      </c>
      <c r="G50" s="80">
        <f>IF($A50="","",SUMIFS(tblInv[المتبقي],tblInv[كود العميل],$A50,tblInv[الفترة],G$7))</f>
        <v/>
      </c>
      <c r="H50" s="80">
        <f>IF($A50="","",SUMIFS(tblInv[المتبقي],tblInv[كود العميل],$A50,tblInv[الفترة],H$7))</f>
        <v/>
      </c>
      <c r="I50" s="80">
        <f>IF($A50="","",SUMIFS(tblInv[المتبقي],tblInv[كود العميل],$A50,tblInv[الفترة],I$7))</f>
        <v/>
      </c>
      <c r="J50" s="80">
        <f>IF($A50="","",SUM(C50:I50))</f>
        <v/>
      </c>
      <c r="K50" s="80">
        <f>IF($A50="","",-SUMIFS(tblRec[المبلغ],tblRec[كود العميل],$A50,tblRec[رقم الفاتورة],"",tblRec[التاريخ],"&lt;="&amp;AsOf)+SUMIFS(tblInv[المتبقي],tblInv[كود العميل],$A50,tblInv[المتبقي],"&lt;0"))</f>
        <v/>
      </c>
      <c r="L50" s="81">
        <f>IF($A50="","",J50+K50)</f>
        <v/>
      </c>
      <c r="M50" s="82">
        <f>IF($A50="","",IFERROR(L50/$L$8,0))</f>
        <v/>
      </c>
      <c r="N50" s="80">
        <f>IF($A50="","",INDEX(tblCustomers[حد الائتمان],MATCH($A50,tblCustomers[كود العميل],0)))</f>
        <v/>
      </c>
      <c r="O50" s="83">
        <f>IF($A50="","",IF(AND(N50&gt;0,L50&gt;N50),"⛔",""))</f>
        <v/>
      </c>
    </row>
    <row r="51">
      <c r="A51" s="78">
        <f>IFERROR(INDEX(tblCustomers[كود العميل],MATCH(42,tblCustomers[ترتيب],0)),"")</f>
        <v/>
      </c>
      <c r="B51" s="79">
        <f>IF($A51="","",INDEX(tblCustomers[اسم العميل],MATCH($A51,tblCustomers[كود العميل],0)))</f>
        <v/>
      </c>
      <c r="C51" s="80">
        <f>IF($A51="","",SUMIFS(tblInv[المتبقي],tblInv[كود العميل],$A51,tblInv[الفترة],C$7))</f>
        <v/>
      </c>
      <c r="D51" s="80">
        <f>IF($A51="","",SUMIFS(tblInv[المتبقي],tblInv[كود العميل],$A51,tblInv[الفترة],D$7))</f>
        <v/>
      </c>
      <c r="E51" s="80">
        <f>IF($A51="","",SUMIFS(tblInv[المتبقي],tblInv[كود العميل],$A51,tblInv[الفترة],E$7))</f>
        <v/>
      </c>
      <c r="F51" s="80">
        <f>IF($A51="","",SUMIFS(tblInv[المتبقي],tblInv[كود العميل],$A51,tblInv[الفترة],F$7))</f>
        <v/>
      </c>
      <c r="G51" s="80">
        <f>IF($A51="","",SUMIFS(tblInv[المتبقي],tblInv[كود العميل],$A51,tblInv[الفترة],G$7))</f>
        <v/>
      </c>
      <c r="H51" s="80">
        <f>IF($A51="","",SUMIFS(tblInv[المتبقي],tblInv[كود العميل],$A51,tblInv[الفترة],H$7))</f>
        <v/>
      </c>
      <c r="I51" s="80">
        <f>IF($A51="","",SUMIFS(tblInv[المتبقي],tblInv[كود العميل],$A51,tblInv[الفترة],I$7))</f>
        <v/>
      </c>
      <c r="J51" s="80">
        <f>IF($A51="","",SUM(C51:I51))</f>
        <v/>
      </c>
      <c r="K51" s="80">
        <f>IF($A51="","",-SUMIFS(tblRec[المبلغ],tblRec[كود العميل],$A51,tblRec[رقم الفاتورة],"",tblRec[التاريخ],"&lt;="&amp;AsOf)+SUMIFS(tblInv[المتبقي],tblInv[كود العميل],$A51,tblInv[المتبقي],"&lt;0"))</f>
        <v/>
      </c>
      <c r="L51" s="81">
        <f>IF($A51="","",J51+K51)</f>
        <v/>
      </c>
      <c r="M51" s="82">
        <f>IF($A51="","",IFERROR(L51/$L$8,0))</f>
        <v/>
      </c>
      <c r="N51" s="80">
        <f>IF($A51="","",INDEX(tblCustomers[حد الائتمان],MATCH($A51,tblCustomers[كود العميل],0)))</f>
        <v/>
      </c>
      <c r="O51" s="83">
        <f>IF($A51="","",IF(AND(N51&gt;0,L51&gt;N51),"⛔",""))</f>
        <v/>
      </c>
    </row>
    <row r="52">
      <c r="A52" s="78">
        <f>IFERROR(INDEX(tblCustomers[كود العميل],MATCH(43,tblCustomers[ترتيب],0)),"")</f>
        <v/>
      </c>
      <c r="B52" s="79">
        <f>IF($A52="","",INDEX(tblCustomers[اسم العميل],MATCH($A52,tblCustomers[كود العميل],0)))</f>
        <v/>
      </c>
      <c r="C52" s="80">
        <f>IF($A52="","",SUMIFS(tblInv[المتبقي],tblInv[كود العميل],$A52,tblInv[الفترة],C$7))</f>
        <v/>
      </c>
      <c r="D52" s="80">
        <f>IF($A52="","",SUMIFS(tblInv[المتبقي],tblInv[كود العميل],$A52,tblInv[الفترة],D$7))</f>
        <v/>
      </c>
      <c r="E52" s="80">
        <f>IF($A52="","",SUMIFS(tblInv[المتبقي],tblInv[كود العميل],$A52,tblInv[الفترة],E$7))</f>
        <v/>
      </c>
      <c r="F52" s="80">
        <f>IF($A52="","",SUMIFS(tblInv[المتبقي],tblInv[كود العميل],$A52,tblInv[الفترة],F$7))</f>
        <v/>
      </c>
      <c r="G52" s="80">
        <f>IF($A52="","",SUMIFS(tblInv[المتبقي],tblInv[كود العميل],$A52,tblInv[الفترة],G$7))</f>
        <v/>
      </c>
      <c r="H52" s="80">
        <f>IF($A52="","",SUMIFS(tblInv[المتبقي],tblInv[كود العميل],$A52,tblInv[الفترة],H$7))</f>
        <v/>
      </c>
      <c r="I52" s="80">
        <f>IF($A52="","",SUMIFS(tblInv[المتبقي],tblInv[كود العميل],$A52,tblInv[الفترة],I$7))</f>
        <v/>
      </c>
      <c r="J52" s="80">
        <f>IF($A52="","",SUM(C52:I52))</f>
        <v/>
      </c>
      <c r="K52" s="80">
        <f>IF($A52="","",-SUMIFS(tblRec[المبلغ],tblRec[كود العميل],$A52,tblRec[رقم الفاتورة],"",tblRec[التاريخ],"&lt;="&amp;AsOf)+SUMIFS(tblInv[المتبقي],tblInv[كود العميل],$A52,tblInv[المتبقي],"&lt;0"))</f>
        <v/>
      </c>
      <c r="L52" s="81">
        <f>IF($A52="","",J52+K52)</f>
        <v/>
      </c>
      <c r="M52" s="82">
        <f>IF($A52="","",IFERROR(L52/$L$8,0))</f>
        <v/>
      </c>
      <c r="N52" s="80">
        <f>IF($A52="","",INDEX(tblCustomers[حد الائتمان],MATCH($A52,tblCustomers[كود العميل],0)))</f>
        <v/>
      </c>
      <c r="O52" s="83">
        <f>IF($A52="","",IF(AND(N52&gt;0,L52&gt;N52),"⛔",""))</f>
        <v/>
      </c>
    </row>
    <row r="53">
      <c r="A53" s="78">
        <f>IFERROR(INDEX(tblCustomers[كود العميل],MATCH(44,tblCustomers[ترتيب],0)),"")</f>
        <v/>
      </c>
      <c r="B53" s="79">
        <f>IF($A53="","",INDEX(tblCustomers[اسم العميل],MATCH($A53,tblCustomers[كود العميل],0)))</f>
        <v/>
      </c>
      <c r="C53" s="80">
        <f>IF($A53="","",SUMIFS(tblInv[المتبقي],tblInv[كود العميل],$A53,tblInv[الفترة],C$7))</f>
        <v/>
      </c>
      <c r="D53" s="80">
        <f>IF($A53="","",SUMIFS(tblInv[المتبقي],tblInv[كود العميل],$A53,tblInv[الفترة],D$7))</f>
        <v/>
      </c>
      <c r="E53" s="80">
        <f>IF($A53="","",SUMIFS(tblInv[المتبقي],tblInv[كود العميل],$A53,tblInv[الفترة],E$7))</f>
        <v/>
      </c>
      <c r="F53" s="80">
        <f>IF($A53="","",SUMIFS(tblInv[المتبقي],tblInv[كود العميل],$A53,tblInv[الفترة],F$7))</f>
        <v/>
      </c>
      <c r="G53" s="80">
        <f>IF($A53="","",SUMIFS(tblInv[المتبقي],tblInv[كود العميل],$A53,tblInv[الفترة],G$7))</f>
        <v/>
      </c>
      <c r="H53" s="80">
        <f>IF($A53="","",SUMIFS(tblInv[المتبقي],tblInv[كود العميل],$A53,tblInv[الفترة],H$7))</f>
        <v/>
      </c>
      <c r="I53" s="80">
        <f>IF($A53="","",SUMIFS(tblInv[المتبقي],tblInv[كود العميل],$A53,tblInv[الفترة],I$7))</f>
        <v/>
      </c>
      <c r="J53" s="80">
        <f>IF($A53="","",SUM(C53:I53))</f>
        <v/>
      </c>
      <c r="K53" s="80">
        <f>IF($A53="","",-SUMIFS(tblRec[المبلغ],tblRec[كود العميل],$A53,tblRec[رقم الفاتورة],"",tblRec[التاريخ],"&lt;="&amp;AsOf)+SUMIFS(tblInv[المتبقي],tblInv[كود العميل],$A53,tblInv[المتبقي],"&lt;0"))</f>
        <v/>
      </c>
      <c r="L53" s="81">
        <f>IF($A53="","",J53+K53)</f>
        <v/>
      </c>
      <c r="M53" s="82">
        <f>IF($A53="","",IFERROR(L53/$L$8,0))</f>
        <v/>
      </c>
      <c r="N53" s="80">
        <f>IF($A53="","",INDEX(tblCustomers[حد الائتمان],MATCH($A53,tblCustomers[كود العميل],0)))</f>
        <v/>
      </c>
      <c r="O53" s="83">
        <f>IF($A53="","",IF(AND(N53&gt;0,L53&gt;N53),"⛔",""))</f>
        <v/>
      </c>
    </row>
    <row r="54">
      <c r="A54" s="78">
        <f>IFERROR(INDEX(tblCustomers[كود العميل],MATCH(45,tblCustomers[ترتيب],0)),"")</f>
        <v/>
      </c>
      <c r="B54" s="79">
        <f>IF($A54="","",INDEX(tblCustomers[اسم العميل],MATCH($A54,tblCustomers[كود العميل],0)))</f>
        <v/>
      </c>
      <c r="C54" s="80">
        <f>IF($A54="","",SUMIFS(tblInv[المتبقي],tblInv[كود العميل],$A54,tblInv[الفترة],C$7))</f>
        <v/>
      </c>
      <c r="D54" s="80">
        <f>IF($A54="","",SUMIFS(tblInv[المتبقي],tblInv[كود العميل],$A54,tblInv[الفترة],D$7))</f>
        <v/>
      </c>
      <c r="E54" s="80">
        <f>IF($A54="","",SUMIFS(tblInv[المتبقي],tblInv[كود العميل],$A54,tblInv[الفترة],E$7))</f>
        <v/>
      </c>
      <c r="F54" s="80">
        <f>IF($A54="","",SUMIFS(tblInv[المتبقي],tblInv[كود العميل],$A54,tblInv[الفترة],F$7))</f>
        <v/>
      </c>
      <c r="G54" s="80">
        <f>IF($A54="","",SUMIFS(tblInv[المتبقي],tblInv[كود العميل],$A54,tblInv[الفترة],G$7))</f>
        <v/>
      </c>
      <c r="H54" s="80">
        <f>IF($A54="","",SUMIFS(tblInv[المتبقي],tblInv[كود العميل],$A54,tblInv[الفترة],H$7))</f>
        <v/>
      </c>
      <c r="I54" s="80">
        <f>IF($A54="","",SUMIFS(tblInv[المتبقي],tblInv[كود العميل],$A54,tblInv[الفترة],I$7))</f>
        <v/>
      </c>
      <c r="J54" s="80">
        <f>IF($A54="","",SUM(C54:I54))</f>
        <v/>
      </c>
      <c r="K54" s="80">
        <f>IF($A54="","",-SUMIFS(tblRec[المبلغ],tblRec[كود العميل],$A54,tblRec[رقم الفاتورة],"",tblRec[التاريخ],"&lt;="&amp;AsOf)+SUMIFS(tblInv[المتبقي],tblInv[كود العميل],$A54,tblInv[المتبقي],"&lt;0"))</f>
        <v/>
      </c>
      <c r="L54" s="81">
        <f>IF($A54="","",J54+K54)</f>
        <v/>
      </c>
      <c r="M54" s="82">
        <f>IF($A54="","",IFERROR(L54/$L$8,0))</f>
        <v/>
      </c>
      <c r="N54" s="80">
        <f>IF($A54="","",INDEX(tblCustomers[حد الائتمان],MATCH($A54,tblCustomers[كود العميل],0)))</f>
        <v/>
      </c>
      <c r="O54" s="83">
        <f>IF($A54="","",IF(AND(N54&gt;0,L54&gt;N54),"⛔",""))</f>
        <v/>
      </c>
    </row>
    <row r="55">
      <c r="A55" s="78">
        <f>IFERROR(INDEX(tblCustomers[كود العميل],MATCH(46,tblCustomers[ترتيب],0)),"")</f>
        <v/>
      </c>
      <c r="B55" s="79">
        <f>IF($A55="","",INDEX(tblCustomers[اسم العميل],MATCH($A55,tblCustomers[كود العميل],0)))</f>
        <v/>
      </c>
      <c r="C55" s="80">
        <f>IF($A55="","",SUMIFS(tblInv[المتبقي],tblInv[كود العميل],$A55,tblInv[الفترة],C$7))</f>
        <v/>
      </c>
      <c r="D55" s="80">
        <f>IF($A55="","",SUMIFS(tblInv[المتبقي],tblInv[كود العميل],$A55,tblInv[الفترة],D$7))</f>
        <v/>
      </c>
      <c r="E55" s="80">
        <f>IF($A55="","",SUMIFS(tblInv[المتبقي],tblInv[كود العميل],$A55,tblInv[الفترة],E$7))</f>
        <v/>
      </c>
      <c r="F55" s="80">
        <f>IF($A55="","",SUMIFS(tblInv[المتبقي],tblInv[كود العميل],$A55,tblInv[الفترة],F$7))</f>
        <v/>
      </c>
      <c r="G55" s="80">
        <f>IF($A55="","",SUMIFS(tblInv[المتبقي],tblInv[كود العميل],$A55,tblInv[الفترة],G$7))</f>
        <v/>
      </c>
      <c r="H55" s="80">
        <f>IF($A55="","",SUMIFS(tblInv[المتبقي],tblInv[كود العميل],$A55,tblInv[الفترة],H$7))</f>
        <v/>
      </c>
      <c r="I55" s="80">
        <f>IF($A55="","",SUMIFS(tblInv[المتبقي],tblInv[كود العميل],$A55,tblInv[الفترة],I$7))</f>
        <v/>
      </c>
      <c r="J55" s="80">
        <f>IF($A55="","",SUM(C55:I55))</f>
        <v/>
      </c>
      <c r="K55" s="80">
        <f>IF($A55="","",-SUMIFS(tblRec[المبلغ],tblRec[كود العميل],$A55,tblRec[رقم الفاتورة],"",tblRec[التاريخ],"&lt;="&amp;AsOf)+SUMIFS(tblInv[المتبقي],tblInv[كود العميل],$A55,tblInv[المتبقي],"&lt;0"))</f>
        <v/>
      </c>
      <c r="L55" s="81">
        <f>IF($A55="","",J55+K55)</f>
        <v/>
      </c>
      <c r="M55" s="82">
        <f>IF($A55="","",IFERROR(L55/$L$8,0))</f>
        <v/>
      </c>
      <c r="N55" s="80">
        <f>IF($A55="","",INDEX(tblCustomers[حد الائتمان],MATCH($A55,tblCustomers[كود العميل],0)))</f>
        <v/>
      </c>
      <c r="O55" s="83">
        <f>IF($A55="","",IF(AND(N55&gt;0,L55&gt;N55),"⛔",""))</f>
        <v/>
      </c>
    </row>
    <row r="56">
      <c r="A56" s="78">
        <f>IFERROR(INDEX(tblCustomers[كود العميل],MATCH(47,tblCustomers[ترتيب],0)),"")</f>
        <v/>
      </c>
      <c r="B56" s="79">
        <f>IF($A56="","",INDEX(tblCustomers[اسم العميل],MATCH($A56,tblCustomers[كود العميل],0)))</f>
        <v/>
      </c>
      <c r="C56" s="80">
        <f>IF($A56="","",SUMIFS(tblInv[المتبقي],tblInv[كود العميل],$A56,tblInv[الفترة],C$7))</f>
        <v/>
      </c>
      <c r="D56" s="80">
        <f>IF($A56="","",SUMIFS(tblInv[المتبقي],tblInv[كود العميل],$A56,tblInv[الفترة],D$7))</f>
        <v/>
      </c>
      <c r="E56" s="80">
        <f>IF($A56="","",SUMIFS(tblInv[المتبقي],tblInv[كود العميل],$A56,tblInv[الفترة],E$7))</f>
        <v/>
      </c>
      <c r="F56" s="80">
        <f>IF($A56="","",SUMIFS(tblInv[المتبقي],tblInv[كود العميل],$A56,tblInv[الفترة],F$7))</f>
        <v/>
      </c>
      <c r="G56" s="80">
        <f>IF($A56="","",SUMIFS(tblInv[المتبقي],tblInv[كود العميل],$A56,tblInv[الفترة],G$7))</f>
        <v/>
      </c>
      <c r="H56" s="80">
        <f>IF($A56="","",SUMIFS(tblInv[المتبقي],tblInv[كود العميل],$A56,tblInv[الفترة],H$7))</f>
        <v/>
      </c>
      <c r="I56" s="80">
        <f>IF($A56="","",SUMIFS(tblInv[المتبقي],tblInv[كود العميل],$A56,tblInv[الفترة],I$7))</f>
        <v/>
      </c>
      <c r="J56" s="80">
        <f>IF($A56="","",SUM(C56:I56))</f>
        <v/>
      </c>
      <c r="K56" s="80">
        <f>IF($A56="","",-SUMIFS(tblRec[المبلغ],tblRec[كود العميل],$A56,tblRec[رقم الفاتورة],"",tblRec[التاريخ],"&lt;="&amp;AsOf)+SUMIFS(tblInv[المتبقي],tblInv[كود العميل],$A56,tblInv[المتبقي],"&lt;0"))</f>
        <v/>
      </c>
      <c r="L56" s="81">
        <f>IF($A56="","",J56+K56)</f>
        <v/>
      </c>
      <c r="M56" s="82">
        <f>IF($A56="","",IFERROR(L56/$L$8,0))</f>
        <v/>
      </c>
      <c r="N56" s="80">
        <f>IF($A56="","",INDEX(tblCustomers[حد الائتمان],MATCH($A56,tblCustomers[كود العميل],0)))</f>
        <v/>
      </c>
      <c r="O56" s="83">
        <f>IF($A56="","",IF(AND(N56&gt;0,L56&gt;N56),"⛔",""))</f>
        <v/>
      </c>
    </row>
    <row r="57">
      <c r="A57" s="78">
        <f>IFERROR(INDEX(tblCustomers[كود العميل],MATCH(48,tblCustomers[ترتيب],0)),"")</f>
        <v/>
      </c>
      <c r="B57" s="79">
        <f>IF($A57="","",INDEX(tblCustomers[اسم العميل],MATCH($A57,tblCustomers[كود العميل],0)))</f>
        <v/>
      </c>
      <c r="C57" s="80">
        <f>IF($A57="","",SUMIFS(tblInv[المتبقي],tblInv[كود العميل],$A57,tblInv[الفترة],C$7))</f>
        <v/>
      </c>
      <c r="D57" s="80">
        <f>IF($A57="","",SUMIFS(tblInv[المتبقي],tblInv[كود العميل],$A57,tblInv[الفترة],D$7))</f>
        <v/>
      </c>
      <c r="E57" s="80">
        <f>IF($A57="","",SUMIFS(tblInv[المتبقي],tblInv[كود العميل],$A57,tblInv[الفترة],E$7))</f>
        <v/>
      </c>
      <c r="F57" s="80">
        <f>IF($A57="","",SUMIFS(tblInv[المتبقي],tblInv[كود العميل],$A57,tblInv[الفترة],F$7))</f>
        <v/>
      </c>
      <c r="G57" s="80">
        <f>IF($A57="","",SUMIFS(tblInv[المتبقي],tblInv[كود العميل],$A57,tblInv[الفترة],G$7))</f>
        <v/>
      </c>
      <c r="H57" s="80">
        <f>IF($A57="","",SUMIFS(tblInv[المتبقي],tblInv[كود العميل],$A57,tblInv[الفترة],H$7))</f>
        <v/>
      </c>
      <c r="I57" s="80">
        <f>IF($A57="","",SUMIFS(tblInv[المتبقي],tblInv[كود العميل],$A57,tblInv[الفترة],I$7))</f>
        <v/>
      </c>
      <c r="J57" s="80">
        <f>IF($A57="","",SUM(C57:I57))</f>
        <v/>
      </c>
      <c r="K57" s="80">
        <f>IF($A57="","",-SUMIFS(tblRec[المبلغ],tblRec[كود العميل],$A57,tblRec[رقم الفاتورة],"",tblRec[التاريخ],"&lt;="&amp;AsOf)+SUMIFS(tblInv[المتبقي],tblInv[كود العميل],$A57,tblInv[المتبقي],"&lt;0"))</f>
        <v/>
      </c>
      <c r="L57" s="81">
        <f>IF($A57="","",J57+K57)</f>
        <v/>
      </c>
      <c r="M57" s="82">
        <f>IF($A57="","",IFERROR(L57/$L$8,0))</f>
        <v/>
      </c>
      <c r="N57" s="80">
        <f>IF($A57="","",INDEX(tblCustomers[حد الائتمان],MATCH($A57,tblCustomers[كود العميل],0)))</f>
        <v/>
      </c>
      <c r="O57" s="83">
        <f>IF($A57="","",IF(AND(N57&gt;0,L57&gt;N57),"⛔",""))</f>
        <v/>
      </c>
    </row>
    <row r="58">
      <c r="A58" s="78">
        <f>IFERROR(INDEX(tblCustomers[كود العميل],MATCH(49,tblCustomers[ترتيب],0)),"")</f>
        <v/>
      </c>
      <c r="B58" s="79">
        <f>IF($A58="","",INDEX(tblCustomers[اسم العميل],MATCH($A58,tblCustomers[كود العميل],0)))</f>
        <v/>
      </c>
      <c r="C58" s="80">
        <f>IF($A58="","",SUMIFS(tblInv[المتبقي],tblInv[كود العميل],$A58,tblInv[الفترة],C$7))</f>
        <v/>
      </c>
      <c r="D58" s="80">
        <f>IF($A58="","",SUMIFS(tblInv[المتبقي],tblInv[كود العميل],$A58,tblInv[الفترة],D$7))</f>
        <v/>
      </c>
      <c r="E58" s="80">
        <f>IF($A58="","",SUMIFS(tblInv[المتبقي],tblInv[كود العميل],$A58,tblInv[الفترة],E$7))</f>
        <v/>
      </c>
      <c r="F58" s="80">
        <f>IF($A58="","",SUMIFS(tblInv[المتبقي],tblInv[كود العميل],$A58,tblInv[الفترة],F$7))</f>
        <v/>
      </c>
      <c r="G58" s="80">
        <f>IF($A58="","",SUMIFS(tblInv[المتبقي],tblInv[كود العميل],$A58,tblInv[الفترة],G$7))</f>
        <v/>
      </c>
      <c r="H58" s="80">
        <f>IF($A58="","",SUMIFS(tblInv[المتبقي],tblInv[كود العميل],$A58,tblInv[الفترة],H$7))</f>
        <v/>
      </c>
      <c r="I58" s="80">
        <f>IF($A58="","",SUMIFS(tblInv[المتبقي],tblInv[كود العميل],$A58,tblInv[الفترة],I$7))</f>
        <v/>
      </c>
      <c r="J58" s="80">
        <f>IF($A58="","",SUM(C58:I58))</f>
        <v/>
      </c>
      <c r="K58" s="80">
        <f>IF($A58="","",-SUMIFS(tblRec[المبلغ],tblRec[كود العميل],$A58,tblRec[رقم الفاتورة],"",tblRec[التاريخ],"&lt;="&amp;AsOf)+SUMIFS(tblInv[المتبقي],tblInv[كود العميل],$A58,tblInv[المتبقي],"&lt;0"))</f>
        <v/>
      </c>
      <c r="L58" s="81">
        <f>IF($A58="","",J58+K58)</f>
        <v/>
      </c>
      <c r="M58" s="82">
        <f>IF($A58="","",IFERROR(L58/$L$8,0))</f>
        <v/>
      </c>
      <c r="N58" s="80">
        <f>IF($A58="","",INDEX(tblCustomers[حد الائتمان],MATCH($A58,tblCustomers[كود العميل],0)))</f>
        <v/>
      </c>
      <c r="O58" s="83">
        <f>IF($A58="","",IF(AND(N58&gt;0,L58&gt;N58),"⛔",""))</f>
        <v/>
      </c>
    </row>
    <row r="59">
      <c r="A59" s="78">
        <f>IFERROR(INDEX(tblCustomers[كود العميل],MATCH(50,tblCustomers[ترتيب],0)),"")</f>
        <v/>
      </c>
      <c r="B59" s="79">
        <f>IF($A59="","",INDEX(tblCustomers[اسم العميل],MATCH($A59,tblCustomers[كود العميل],0)))</f>
        <v/>
      </c>
      <c r="C59" s="80">
        <f>IF($A59="","",SUMIFS(tblInv[المتبقي],tblInv[كود العميل],$A59,tblInv[الفترة],C$7))</f>
        <v/>
      </c>
      <c r="D59" s="80">
        <f>IF($A59="","",SUMIFS(tblInv[المتبقي],tblInv[كود العميل],$A59,tblInv[الفترة],D$7))</f>
        <v/>
      </c>
      <c r="E59" s="80">
        <f>IF($A59="","",SUMIFS(tblInv[المتبقي],tblInv[كود العميل],$A59,tblInv[الفترة],E$7))</f>
        <v/>
      </c>
      <c r="F59" s="80">
        <f>IF($A59="","",SUMIFS(tblInv[المتبقي],tblInv[كود العميل],$A59,tblInv[الفترة],F$7))</f>
        <v/>
      </c>
      <c r="G59" s="80">
        <f>IF($A59="","",SUMIFS(tblInv[المتبقي],tblInv[كود العميل],$A59,tblInv[الفترة],G$7))</f>
        <v/>
      </c>
      <c r="H59" s="80">
        <f>IF($A59="","",SUMIFS(tblInv[المتبقي],tblInv[كود العميل],$A59,tblInv[الفترة],H$7))</f>
        <v/>
      </c>
      <c r="I59" s="80">
        <f>IF($A59="","",SUMIFS(tblInv[المتبقي],tblInv[كود العميل],$A59,tblInv[الفترة],I$7))</f>
        <v/>
      </c>
      <c r="J59" s="80">
        <f>IF($A59="","",SUM(C59:I59))</f>
        <v/>
      </c>
      <c r="K59" s="80">
        <f>IF($A59="","",-SUMIFS(tblRec[المبلغ],tblRec[كود العميل],$A59,tblRec[رقم الفاتورة],"",tblRec[التاريخ],"&lt;="&amp;AsOf)+SUMIFS(tblInv[المتبقي],tblInv[كود العميل],$A59,tblInv[المتبقي],"&lt;0"))</f>
        <v/>
      </c>
      <c r="L59" s="81">
        <f>IF($A59="","",J59+K59)</f>
        <v/>
      </c>
      <c r="M59" s="82">
        <f>IF($A59="","",IFERROR(L59/$L$8,0))</f>
        <v/>
      </c>
      <c r="N59" s="80">
        <f>IF($A59="","",INDEX(tblCustomers[حد الائتمان],MATCH($A59,tblCustomers[كود العميل],0)))</f>
        <v/>
      </c>
      <c r="O59" s="83">
        <f>IF($A59="","",IF(AND(N59&gt;0,L59&gt;N59),"⛔",""))</f>
        <v/>
      </c>
    </row>
    <row r="60">
      <c r="A60" s="78">
        <f>IFERROR(INDEX(tblCustomers[كود العميل],MATCH(51,tblCustomers[ترتيب],0)),"")</f>
        <v/>
      </c>
      <c r="B60" s="79">
        <f>IF($A60="","",INDEX(tblCustomers[اسم العميل],MATCH($A60,tblCustomers[كود العميل],0)))</f>
        <v/>
      </c>
      <c r="C60" s="80">
        <f>IF($A60="","",SUMIFS(tblInv[المتبقي],tblInv[كود العميل],$A60,tblInv[الفترة],C$7))</f>
        <v/>
      </c>
      <c r="D60" s="80">
        <f>IF($A60="","",SUMIFS(tblInv[المتبقي],tblInv[كود العميل],$A60,tblInv[الفترة],D$7))</f>
        <v/>
      </c>
      <c r="E60" s="80">
        <f>IF($A60="","",SUMIFS(tblInv[المتبقي],tblInv[كود العميل],$A60,tblInv[الفترة],E$7))</f>
        <v/>
      </c>
      <c r="F60" s="80">
        <f>IF($A60="","",SUMIFS(tblInv[المتبقي],tblInv[كود العميل],$A60,tblInv[الفترة],F$7))</f>
        <v/>
      </c>
      <c r="G60" s="80">
        <f>IF($A60="","",SUMIFS(tblInv[المتبقي],tblInv[كود العميل],$A60,tblInv[الفترة],G$7))</f>
        <v/>
      </c>
      <c r="H60" s="80">
        <f>IF($A60="","",SUMIFS(tblInv[المتبقي],tblInv[كود العميل],$A60,tblInv[الفترة],H$7))</f>
        <v/>
      </c>
      <c r="I60" s="80">
        <f>IF($A60="","",SUMIFS(tblInv[المتبقي],tblInv[كود العميل],$A60,tblInv[الفترة],I$7))</f>
        <v/>
      </c>
      <c r="J60" s="80">
        <f>IF($A60="","",SUM(C60:I60))</f>
        <v/>
      </c>
      <c r="K60" s="80">
        <f>IF($A60="","",-SUMIFS(tblRec[المبلغ],tblRec[كود العميل],$A60,tblRec[رقم الفاتورة],"",tblRec[التاريخ],"&lt;="&amp;AsOf)+SUMIFS(tblInv[المتبقي],tblInv[كود العميل],$A60,tblInv[المتبقي],"&lt;0"))</f>
        <v/>
      </c>
      <c r="L60" s="81">
        <f>IF($A60="","",J60+K60)</f>
        <v/>
      </c>
      <c r="M60" s="82">
        <f>IF($A60="","",IFERROR(L60/$L$8,0))</f>
        <v/>
      </c>
      <c r="N60" s="80">
        <f>IF($A60="","",INDEX(tblCustomers[حد الائتمان],MATCH($A60,tblCustomers[كود العميل],0)))</f>
        <v/>
      </c>
      <c r="O60" s="83">
        <f>IF($A60="","",IF(AND(N60&gt;0,L60&gt;N60),"⛔",""))</f>
        <v/>
      </c>
    </row>
    <row r="61">
      <c r="A61" s="78">
        <f>IFERROR(INDEX(tblCustomers[كود العميل],MATCH(52,tblCustomers[ترتيب],0)),"")</f>
        <v/>
      </c>
      <c r="B61" s="79">
        <f>IF($A61="","",INDEX(tblCustomers[اسم العميل],MATCH($A61,tblCustomers[كود العميل],0)))</f>
        <v/>
      </c>
      <c r="C61" s="80">
        <f>IF($A61="","",SUMIFS(tblInv[المتبقي],tblInv[كود العميل],$A61,tblInv[الفترة],C$7))</f>
        <v/>
      </c>
      <c r="D61" s="80">
        <f>IF($A61="","",SUMIFS(tblInv[المتبقي],tblInv[كود العميل],$A61,tblInv[الفترة],D$7))</f>
        <v/>
      </c>
      <c r="E61" s="80">
        <f>IF($A61="","",SUMIFS(tblInv[المتبقي],tblInv[كود العميل],$A61,tblInv[الفترة],E$7))</f>
        <v/>
      </c>
      <c r="F61" s="80">
        <f>IF($A61="","",SUMIFS(tblInv[المتبقي],tblInv[كود العميل],$A61,tblInv[الفترة],F$7))</f>
        <v/>
      </c>
      <c r="G61" s="80">
        <f>IF($A61="","",SUMIFS(tblInv[المتبقي],tblInv[كود العميل],$A61,tblInv[الفترة],G$7))</f>
        <v/>
      </c>
      <c r="H61" s="80">
        <f>IF($A61="","",SUMIFS(tblInv[المتبقي],tblInv[كود العميل],$A61,tblInv[الفترة],H$7))</f>
        <v/>
      </c>
      <c r="I61" s="80">
        <f>IF($A61="","",SUMIFS(tblInv[المتبقي],tblInv[كود العميل],$A61,tblInv[الفترة],I$7))</f>
        <v/>
      </c>
      <c r="J61" s="80">
        <f>IF($A61="","",SUM(C61:I61))</f>
        <v/>
      </c>
      <c r="K61" s="80">
        <f>IF($A61="","",-SUMIFS(tblRec[المبلغ],tblRec[كود العميل],$A61,tblRec[رقم الفاتورة],"",tblRec[التاريخ],"&lt;="&amp;AsOf)+SUMIFS(tblInv[المتبقي],tblInv[كود العميل],$A61,tblInv[المتبقي],"&lt;0"))</f>
        <v/>
      </c>
      <c r="L61" s="81">
        <f>IF($A61="","",J61+K61)</f>
        <v/>
      </c>
      <c r="M61" s="82">
        <f>IF($A61="","",IFERROR(L61/$L$8,0))</f>
        <v/>
      </c>
      <c r="N61" s="80">
        <f>IF($A61="","",INDEX(tblCustomers[حد الائتمان],MATCH($A61,tblCustomers[كود العميل],0)))</f>
        <v/>
      </c>
      <c r="O61" s="83">
        <f>IF($A61="","",IF(AND(N61&gt;0,L61&gt;N61),"⛔",""))</f>
        <v/>
      </c>
    </row>
    <row r="62">
      <c r="A62" s="78">
        <f>IFERROR(INDEX(tblCustomers[كود العميل],MATCH(53,tblCustomers[ترتيب],0)),"")</f>
        <v/>
      </c>
      <c r="B62" s="79">
        <f>IF($A62="","",INDEX(tblCustomers[اسم العميل],MATCH($A62,tblCustomers[كود العميل],0)))</f>
        <v/>
      </c>
      <c r="C62" s="80">
        <f>IF($A62="","",SUMIFS(tblInv[المتبقي],tblInv[كود العميل],$A62,tblInv[الفترة],C$7))</f>
        <v/>
      </c>
      <c r="D62" s="80">
        <f>IF($A62="","",SUMIFS(tblInv[المتبقي],tblInv[كود العميل],$A62,tblInv[الفترة],D$7))</f>
        <v/>
      </c>
      <c r="E62" s="80">
        <f>IF($A62="","",SUMIFS(tblInv[المتبقي],tblInv[كود العميل],$A62,tblInv[الفترة],E$7))</f>
        <v/>
      </c>
      <c r="F62" s="80">
        <f>IF($A62="","",SUMIFS(tblInv[المتبقي],tblInv[كود العميل],$A62,tblInv[الفترة],F$7))</f>
        <v/>
      </c>
      <c r="G62" s="80">
        <f>IF($A62="","",SUMIFS(tblInv[المتبقي],tblInv[كود العميل],$A62,tblInv[الفترة],G$7))</f>
        <v/>
      </c>
      <c r="H62" s="80">
        <f>IF($A62="","",SUMIFS(tblInv[المتبقي],tblInv[كود العميل],$A62,tblInv[الفترة],H$7))</f>
        <v/>
      </c>
      <c r="I62" s="80">
        <f>IF($A62="","",SUMIFS(tblInv[المتبقي],tblInv[كود العميل],$A62,tblInv[الفترة],I$7))</f>
        <v/>
      </c>
      <c r="J62" s="80">
        <f>IF($A62="","",SUM(C62:I62))</f>
        <v/>
      </c>
      <c r="K62" s="80">
        <f>IF($A62="","",-SUMIFS(tblRec[المبلغ],tblRec[كود العميل],$A62,tblRec[رقم الفاتورة],"",tblRec[التاريخ],"&lt;="&amp;AsOf)+SUMIFS(tblInv[المتبقي],tblInv[كود العميل],$A62,tblInv[المتبقي],"&lt;0"))</f>
        <v/>
      </c>
      <c r="L62" s="81">
        <f>IF($A62="","",J62+K62)</f>
        <v/>
      </c>
      <c r="M62" s="82">
        <f>IF($A62="","",IFERROR(L62/$L$8,0))</f>
        <v/>
      </c>
      <c r="N62" s="80">
        <f>IF($A62="","",INDEX(tblCustomers[حد الائتمان],MATCH($A62,tblCustomers[كود العميل],0)))</f>
        <v/>
      </c>
      <c r="O62" s="83">
        <f>IF($A62="","",IF(AND(N62&gt;0,L62&gt;N62),"⛔",""))</f>
        <v/>
      </c>
    </row>
    <row r="63">
      <c r="A63" s="78">
        <f>IFERROR(INDEX(tblCustomers[كود العميل],MATCH(54,tblCustomers[ترتيب],0)),"")</f>
        <v/>
      </c>
      <c r="B63" s="79">
        <f>IF($A63="","",INDEX(tblCustomers[اسم العميل],MATCH($A63,tblCustomers[كود العميل],0)))</f>
        <v/>
      </c>
      <c r="C63" s="80">
        <f>IF($A63="","",SUMIFS(tblInv[المتبقي],tblInv[كود العميل],$A63,tblInv[الفترة],C$7))</f>
        <v/>
      </c>
      <c r="D63" s="80">
        <f>IF($A63="","",SUMIFS(tblInv[المتبقي],tblInv[كود العميل],$A63,tblInv[الفترة],D$7))</f>
        <v/>
      </c>
      <c r="E63" s="80">
        <f>IF($A63="","",SUMIFS(tblInv[المتبقي],tblInv[كود العميل],$A63,tblInv[الفترة],E$7))</f>
        <v/>
      </c>
      <c r="F63" s="80">
        <f>IF($A63="","",SUMIFS(tblInv[المتبقي],tblInv[كود العميل],$A63,tblInv[الفترة],F$7))</f>
        <v/>
      </c>
      <c r="G63" s="80">
        <f>IF($A63="","",SUMIFS(tblInv[المتبقي],tblInv[كود العميل],$A63,tblInv[الفترة],G$7))</f>
        <v/>
      </c>
      <c r="H63" s="80">
        <f>IF($A63="","",SUMIFS(tblInv[المتبقي],tblInv[كود العميل],$A63,tblInv[الفترة],H$7))</f>
        <v/>
      </c>
      <c r="I63" s="80">
        <f>IF($A63="","",SUMIFS(tblInv[المتبقي],tblInv[كود العميل],$A63,tblInv[الفترة],I$7))</f>
        <v/>
      </c>
      <c r="J63" s="80">
        <f>IF($A63="","",SUM(C63:I63))</f>
        <v/>
      </c>
      <c r="K63" s="80">
        <f>IF($A63="","",-SUMIFS(tblRec[المبلغ],tblRec[كود العميل],$A63,tblRec[رقم الفاتورة],"",tblRec[التاريخ],"&lt;="&amp;AsOf)+SUMIFS(tblInv[المتبقي],tblInv[كود العميل],$A63,tblInv[المتبقي],"&lt;0"))</f>
        <v/>
      </c>
      <c r="L63" s="81">
        <f>IF($A63="","",J63+K63)</f>
        <v/>
      </c>
      <c r="M63" s="82">
        <f>IF($A63="","",IFERROR(L63/$L$8,0))</f>
        <v/>
      </c>
      <c r="N63" s="80">
        <f>IF($A63="","",INDEX(tblCustomers[حد الائتمان],MATCH($A63,tblCustomers[كود العميل],0)))</f>
        <v/>
      </c>
      <c r="O63" s="83">
        <f>IF($A63="","",IF(AND(N63&gt;0,L63&gt;N63),"⛔",""))</f>
        <v/>
      </c>
    </row>
    <row r="64">
      <c r="A64" s="78">
        <f>IFERROR(INDEX(tblCustomers[كود العميل],MATCH(55,tblCustomers[ترتيب],0)),"")</f>
        <v/>
      </c>
      <c r="B64" s="79">
        <f>IF($A64="","",INDEX(tblCustomers[اسم العميل],MATCH($A64,tblCustomers[كود العميل],0)))</f>
        <v/>
      </c>
      <c r="C64" s="80">
        <f>IF($A64="","",SUMIFS(tblInv[المتبقي],tblInv[كود العميل],$A64,tblInv[الفترة],C$7))</f>
        <v/>
      </c>
      <c r="D64" s="80">
        <f>IF($A64="","",SUMIFS(tblInv[المتبقي],tblInv[كود العميل],$A64,tblInv[الفترة],D$7))</f>
        <v/>
      </c>
      <c r="E64" s="80">
        <f>IF($A64="","",SUMIFS(tblInv[المتبقي],tblInv[كود العميل],$A64,tblInv[الفترة],E$7))</f>
        <v/>
      </c>
      <c r="F64" s="80">
        <f>IF($A64="","",SUMIFS(tblInv[المتبقي],tblInv[كود العميل],$A64,tblInv[الفترة],F$7))</f>
        <v/>
      </c>
      <c r="G64" s="80">
        <f>IF($A64="","",SUMIFS(tblInv[المتبقي],tblInv[كود العميل],$A64,tblInv[الفترة],G$7))</f>
        <v/>
      </c>
      <c r="H64" s="80">
        <f>IF($A64="","",SUMIFS(tblInv[المتبقي],tblInv[كود العميل],$A64,tblInv[الفترة],H$7))</f>
        <v/>
      </c>
      <c r="I64" s="80">
        <f>IF($A64="","",SUMIFS(tblInv[المتبقي],tblInv[كود العميل],$A64,tblInv[الفترة],I$7))</f>
        <v/>
      </c>
      <c r="J64" s="80">
        <f>IF($A64="","",SUM(C64:I64))</f>
        <v/>
      </c>
      <c r="K64" s="80">
        <f>IF($A64="","",-SUMIFS(tblRec[المبلغ],tblRec[كود العميل],$A64,tblRec[رقم الفاتورة],"",tblRec[التاريخ],"&lt;="&amp;AsOf)+SUMIFS(tblInv[المتبقي],tblInv[كود العميل],$A64,tblInv[المتبقي],"&lt;0"))</f>
        <v/>
      </c>
      <c r="L64" s="81">
        <f>IF($A64="","",J64+K64)</f>
        <v/>
      </c>
      <c r="M64" s="82">
        <f>IF($A64="","",IFERROR(L64/$L$8,0))</f>
        <v/>
      </c>
      <c r="N64" s="80">
        <f>IF($A64="","",INDEX(tblCustomers[حد الائتمان],MATCH($A64,tblCustomers[كود العميل],0)))</f>
        <v/>
      </c>
      <c r="O64" s="83">
        <f>IF($A64="","",IF(AND(N64&gt;0,L64&gt;N64),"⛔",""))</f>
        <v/>
      </c>
    </row>
    <row r="65">
      <c r="A65" s="78">
        <f>IFERROR(INDEX(tblCustomers[كود العميل],MATCH(56,tblCustomers[ترتيب],0)),"")</f>
        <v/>
      </c>
      <c r="B65" s="79">
        <f>IF($A65="","",INDEX(tblCustomers[اسم العميل],MATCH($A65,tblCustomers[كود العميل],0)))</f>
        <v/>
      </c>
      <c r="C65" s="80">
        <f>IF($A65="","",SUMIFS(tblInv[المتبقي],tblInv[كود العميل],$A65,tblInv[الفترة],C$7))</f>
        <v/>
      </c>
      <c r="D65" s="80">
        <f>IF($A65="","",SUMIFS(tblInv[المتبقي],tblInv[كود العميل],$A65,tblInv[الفترة],D$7))</f>
        <v/>
      </c>
      <c r="E65" s="80">
        <f>IF($A65="","",SUMIFS(tblInv[المتبقي],tblInv[كود العميل],$A65,tblInv[الفترة],E$7))</f>
        <v/>
      </c>
      <c r="F65" s="80">
        <f>IF($A65="","",SUMIFS(tblInv[المتبقي],tblInv[كود العميل],$A65,tblInv[الفترة],F$7))</f>
        <v/>
      </c>
      <c r="G65" s="80">
        <f>IF($A65="","",SUMIFS(tblInv[المتبقي],tblInv[كود العميل],$A65,tblInv[الفترة],G$7))</f>
        <v/>
      </c>
      <c r="H65" s="80">
        <f>IF($A65="","",SUMIFS(tblInv[المتبقي],tblInv[كود العميل],$A65,tblInv[الفترة],H$7))</f>
        <v/>
      </c>
      <c r="I65" s="80">
        <f>IF($A65="","",SUMIFS(tblInv[المتبقي],tblInv[كود العميل],$A65,tblInv[الفترة],I$7))</f>
        <v/>
      </c>
      <c r="J65" s="80">
        <f>IF($A65="","",SUM(C65:I65))</f>
        <v/>
      </c>
      <c r="K65" s="80">
        <f>IF($A65="","",-SUMIFS(tblRec[المبلغ],tblRec[كود العميل],$A65,tblRec[رقم الفاتورة],"",tblRec[التاريخ],"&lt;="&amp;AsOf)+SUMIFS(tblInv[المتبقي],tblInv[كود العميل],$A65,tblInv[المتبقي],"&lt;0"))</f>
        <v/>
      </c>
      <c r="L65" s="81">
        <f>IF($A65="","",J65+K65)</f>
        <v/>
      </c>
      <c r="M65" s="82">
        <f>IF($A65="","",IFERROR(L65/$L$8,0))</f>
        <v/>
      </c>
      <c r="N65" s="80">
        <f>IF($A65="","",INDEX(tblCustomers[حد الائتمان],MATCH($A65,tblCustomers[كود العميل],0)))</f>
        <v/>
      </c>
      <c r="O65" s="83">
        <f>IF($A65="","",IF(AND(N65&gt;0,L65&gt;N65),"⛔",""))</f>
        <v/>
      </c>
    </row>
    <row r="66">
      <c r="A66" s="78">
        <f>IFERROR(INDEX(tblCustomers[كود العميل],MATCH(57,tblCustomers[ترتيب],0)),"")</f>
        <v/>
      </c>
      <c r="B66" s="79">
        <f>IF($A66="","",INDEX(tblCustomers[اسم العميل],MATCH($A66,tblCustomers[كود العميل],0)))</f>
        <v/>
      </c>
      <c r="C66" s="80">
        <f>IF($A66="","",SUMIFS(tblInv[المتبقي],tblInv[كود العميل],$A66,tblInv[الفترة],C$7))</f>
        <v/>
      </c>
      <c r="D66" s="80">
        <f>IF($A66="","",SUMIFS(tblInv[المتبقي],tblInv[كود العميل],$A66,tblInv[الفترة],D$7))</f>
        <v/>
      </c>
      <c r="E66" s="80">
        <f>IF($A66="","",SUMIFS(tblInv[المتبقي],tblInv[كود العميل],$A66,tblInv[الفترة],E$7))</f>
        <v/>
      </c>
      <c r="F66" s="80">
        <f>IF($A66="","",SUMIFS(tblInv[المتبقي],tblInv[كود العميل],$A66,tblInv[الفترة],F$7))</f>
        <v/>
      </c>
      <c r="G66" s="80">
        <f>IF($A66="","",SUMIFS(tblInv[المتبقي],tblInv[كود العميل],$A66,tblInv[الفترة],G$7))</f>
        <v/>
      </c>
      <c r="H66" s="80">
        <f>IF($A66="","",SUMIFS(tblInv[المتبقي],tblInv[كود العميل],$A66,tblInv[الفترة],H$7))</f>
        <v/>
      </c>
      <c r="I66" s="80">
        <f>IF($A66="","",SUMIFS(tblInv[المتبقي],tblInv[كود العميل],$A66,tblInv[الفترة],I$7))</f>
        <v/>
      </c>
      <c r="J66" s="80">
        <f>IF($A66="","",SUM(C66:I66))</f>
        <v/>
      </c>
      <c r="K66" s="80">
        <f>IF($A66="","",-SUMIFS(tblRec[المبلغ],tblRec[كود العميل],$A66,tblRec[رقم الفاتورة],"",tblRec[التاريخ],"&lt;="&amp;AsOf)+SUMIFS(tblInv[المتبقي],tblInv[كود العميل],$A66,tblInv[المتبقي],"&lt;0"))</f>
        <v/>
      </c>
      <c r="L66" s="81">
        <f>IF($A66="","",J66+K66)</f>
        <v/>
      </c>
      <c r="M66" s="82">
        <f>IF($A66="","",IFERROR(L66/$L$8,0))</f>
        <v/>
      </c>
      <c r="N66" s="80">
        <f>IF($A66="","",INDEX(tblCustomers[حد الائتمان],MATCH($A66,tblCustomers[كود العميل],0)))</f>
        <v/>
      </c>
      <c r="O66" s="83">
        <f>IF($A66="","",IF(AND(N66&gt;0,L66&gt;N66),"⛔",""))</f>
        <v/>
      </c>
    </row>
    <row r="67">
      <c r="A67" s="78">
        <f>IFERROR(INDEX(tblCustomers[كود العميل],MATCH(58,tblCustomers[ترتيب],0)),"")</f>
        <v/>
      </c>
      <c r="B67" s="79">
        <f>IF($A67="","",INDEX(tblCustomers[اسم العميل],MATCH($A67,tblCustomers[كود العميل],0)))</f>
        <v/>
      </c>
      <c r="C67" s="80">
        <f>IF($A67="","",SUMIFS(tblInv[المتبقي],tblInv[كود العميل],$A67,tblInv[الفترة],C$7))</f>
        <v/>
      </c>
      <c r="D67" s="80">
        <f>IF($A67="","",SUMIFS(tblInv[المتبقي],tblInv[كود العميل],$A67,tblInv[الفترة],D$7))</f>
        <v/>
      </c>
      <c r="E67" s="80">
        <f>IF($A67="","",SUMIFS(tblInv[المتبقي],tblInv[كود العميل],$A67,tblInv[الفترة],E$7))</f>
        <v/>
      </c>
      <c r="F67" s="80">
        <f>IF($A67="","",SUMIFS(tblInv[المتبقي],tblInv[كود العميل],$A67,tblInv[الفترة],F$7))</f>
        <v/>
      </c>
      <c r="G67" s="80">
        <f>IF($A67="","",SUMIFS(tblInv[المتبقي],tblInv[كود العميل],$A67,tblInv[الفترة],G$7))</f>
        <v/>
      </c>
      <c r="H67" s="80">
        <f>IF($A67="","",SUMIFS(tblInv[المتبقي],tblInv[كود العميل],$A67,tblInv[الفترة],H$7))</f>
        <v/>
      </c>
      <c r="I67" s="80">
        <f>IF($A67="","",SUMIFS(tblInv[المتبقي],tblInv[كود العميل],$A67,tblInv[الفترة],I$7))</f>
        <v/>
      </c>
      <c r="J67" s="80">
        <f>IF($A67="","",SUM(C67:I67))</f>
        <v/>
      </c>
      <c r="K67" s="80">
        <f>IF($A67="","",-SUMIFS(tblRec[المبلغ],tblRec[كود العميل],$A67,tblRec[رقم الفاتورة],"",tblRec[التاريخ],"&lt;="&amp;AsOf)+SUMIFS(tblInv[المتبقي],tblInv[كود العميل],$A67,tblInv[المتبقي],"&lt;0"))</f>
        <v/>
      </c>
      <c r="L67" s="81">
        <f>IF($A67="","",J67+K67)</f>
        <v/>
      </c>
      <c r="M67" s="82">
        <f>IF($A67="","",IFERROR(L67/$L$8,0))</f>
        <v/>
      </c>
      <c r="N67" s="80">
        <f>IF($A67="","",INDEX(tblCustomers[حد الائتمان],MATCH($A67,tblCustomers[كود العميل],0)))</f>
        <v/>
      </c>
      <c r="O67" s="83">
        <f>IF($A67="","",IF(AND(N67&gt;0,L67&gt;N67),"⛔",""))</f>
        <v/>
      </c>
    </row>
    <row r="68">
      <c r="A68" s="78">
        <f>IFERROR(INDEX(tblCustomers[كود العميل],MATCH(59,tblCustomers[ترتيب],0)),"")</f>
        <v/>
      </c>
      <c r="B68" s="79">
        <f>IF($A68="","",INDEX(tblCustomers[اسم العميل],MATCH($A68,tblCustomers[كود العميل],0)))</f>
        <v/>
      </c>
      <c r="C68" s="80">
        <f>IF($A68="","",SUMIFS(tblInv[المتبقي],tblInv[كود العميل],$A68,tblInv[الفترة],C$7))</f>
        <v/>
      </c>
      <c r="D68" s="80">
        <f>IF($A68="","",SUMIFS(tblInv[المتبقي],tblInv[كود العميل],$A68,tblInv[الفترة],D$7))</f>
        <v/>
      </c>
      <c r="E68" s="80">
        <f>IF($A68="","",SUMIFS(tblInv[المتبقي],tblInv[كود العميل],$A68,tblInv[الفترة],E$7))</f>
        <v/>
      </c>
      <c r="F68" s="80">
        <f>IF($A68="","",SUMIFS(tblInv[المتبقي],tblInv[كود العميل],$A68,tblInv[الفترة],F$7))</f>
        <v/>
      </c>
      <c r="G68" s="80">
        <f>IF($A68="","",SUMIFS(tblInv[المتبقي],tblInv[كود العميل],$A68,tblInv[الفترة],G$7))</f>
        <v/>
      </c>
      <c r="H68" s="80">
        <f>IF($A68="","",SUMIFS(tblInv[المتبقي],tblInv[كود العميل],$A68,tblInv[الفترة],H$7))</f>
        <v/>
      </c>
      <c r="I68" s="80">
        <f>IF($A68="","",SUMIFS(tblInv[المتبقي],tblInv[كود العميل],$A68,tblInv[الفترة],I$7))</f>
        <v/>
      </c>
      <c r="J68" s="80">
        <f>IF($A68="","",SUM(C68:I68))</f>
        <v/>
      </c>
      <c r="K68" s="80">
        <f>IF($A68="","",-SUMIFS(tblRec[المبلغ],tblRec[كود العميل],$A68,tblRec[رقم الفاتورة],"",tblRec[التاريخ],"&lt;="&amp;AsOf)+SUMIFS(tblInv[المتبقي],tblInv[كود العميل],$A68,tblInv[المتبقي],"&lt;0"))</f>
        <v/>
      </c>
      <c r="L68" s="81">
        <f>IF($A68="","",J68+K68)</f>
        <v/>
      </c>
      <c r="M68" s="82">
        <f>IF($A68="","",IFERROR(L68/$L$8,0))</f>
        <v/>
      </c>
      <c r="N68" s="80">
        <f>IF($A68="","",INDEX(tblCustomers[حد الائتمان],MATCH($A68,tblCustomers[كود العميل],0)))</f>
        <v/>
      </c>
      <c r="O68" s="83">
        <f>IF($A68="","",IF(AND(N68&gt;0,L68&gt;N68),"⛔",""))</f>
        <v/>
      </c>
    </row>
    <row r="69">
      <c r="A69" s="78">
        <f>IFERROR(INDEX(tblCustomers[كود العميل],MATCH(60,tblCustomers[ترتيب],0)),"")</f>
        <v/>
      </c>
      <c r="B69" s="79">
        <f>IF($A69="","",INDEX(tblCustomers[اسم العميل],MATCH($A69,tblCustomers[كود العميل],0)))</f>
        <v/>
      </c>
      <c r="C69" s="80">
        <f>IF($A69="","",SUMIFS(tblInv[المتبقي],tblInv[كود العميل],$A69,tblInv[الفترة],C$7))</f>
        <v/>
      </c>
      <c r="D69" s="80">
        <f>IF($A69="","",SUMIFS(tblInv[المتبقي],tblInv[كود العميل],$A69,tblInv[الفترة],D$7))</f>
        <v/>
      </c>
      <c r="E69" s="80">
        <f>IF($A69="","",SUMIFS(tblInv[المتبقي],tblInv[كود العميل],$A69,tblInv[الفترة],E$7))</f>
        <v/>
      </c>
      <c r="F69" s="80">
        <f>IF($A69="","",SUMIFS(tblInv[المتبقي],tblInv[كود العميل],$A69,tblInv[الفترة],F$7))</f>
        <v/>
      </c>
      <c r="G69" s="80">
        <f>IF($A69="","",SUMIFS(tblInv[المتبقي],tblInv[كود العميل],$A69,tblInv[الفترة],G$7))</f>
        <v/>
      </c>
      <c r="H69" s="80">
        <f>IF($A69="","",SUMIFS(tblInv[المتبقي],tblInv[كود العميل],$A69,tblInv[الفترة],H$7))</f>
        <v/>
      </c>
      <c r="I69" s="80">
        <f>IF($A69="","",SUMIFS(tblInv[المتبقي],tblInv[كود العميل],$A69,tblInv[الفترة],I$7))</f>
        <v/>
      </c>
      <c r="J69" s="80">
        <f>IF($A69="","",SUM(C69:I69))</f>
        <v/>
      </c>
      <c r="K69" s="80">
        <f>IF($A69="","",-SUMIFS(tblRec[المبلغ],tblRec[كود العميل],$A69,tblRec[رقم الفاتورة],"",tblRec[التاريخ],"&lt;="&amp;AsOf)+SUMIFS(tblInv[المتبقي],tblInv[كود العميل],$A69,tblInv[المتبقي],"&lt;0"))</f>
        <v/>
      </c>
      <c r="L69" s="81">
        <f>IF($A69="","",J69+K69)</f>
        <v/>
      </c>
      <c r="M69" s="82">
        <f>IF($A69="","",IFERROR(L69/$L$8,0))</f>
        <v/>
      </c>
      <c r="N69" s="80">
        <f>IF($A69="","",INDEX(tblCustomers[حد الائتمان],MATCH($A69,tblCustomers[كود العميل],0)))</f>
        <v/>
      </c>
      <c r="O69" s="83">
        <f>IF($A69="","",IF(AND(N69&gt;0,L69&gt;N69),"⛔",""))</f>
        <v/>
      </c>
    </row>
    <row r="70">
      <c r="A70" s="78">
        <f>IFERROR(INDEX(tblCustomers[كود العميل],MATCH(61,tblCustomers[ترتيب],0)),"")</f>
        <v/>
      </c>
      <c r="B70" s="79">
        <f>IF($A70="","",INDEX(tblCustomers[اسم العميل],MATCH($A70,tblCustomers[كود العميل],0)))</f>
        <v/>
      </c>
      <c r="C70" s="80">
        <f>IF($A70="","",SUMIFS(tblInv[المتبقي],tblInv[كود العميل],$A70,tblInv[الفترة],C$7))</f>
        <v/>
      </c>
      <c r="D70" s="80">
        <f>IF($A70="","",SUMIFS(tblInv[المتبقي],tblInv[كود العميل],$A70,tblInv[الفترة],D$7))</f>
        <v/>
      </c>
      <c r="E70" s="80">
        <f>IF($A70="","",SUMIFS(tblInv[المتبقي],tblInv[كود العميل],$A70,tblInv[الفترة],E$7))</f>
        <v/>
      </c>
      <c r="F70" s="80">
        <f>IF($A70="","",SUMIFS(tblInv[المتبقي],tblInv[كود العميل],$A70,tblInv[الفترة],F$7))</f>
        <v/>
      </c>
      <c r="G70" s="80">
        <f>IF($A70="","",SUMIFS(tblInv[المتبقي],tblInv[كود العميل],$A70,tblInv[الفترة],G$7))</f>
        <v/>
      </c>
      <c r="H70" s="80">
        <f>IF($A70="","",SUMIFS(tblInv[المتبقي],tblInv[كود العميل],$A70,tblInv[الفترة],H$7))</f>
        <v/>
      </c>
      <c r="I70" s="80">
        <f>IF($A70="","",SUMIFS(tblInv[المتبقي],tblInv[كود العميل],$A70,tblInv[الفترة],I$7))</f>
        <v/>
      </c>
      <c r="J70" s="80">
        <f>IF($A70="","",SUM(C70:I70))</f>
        <v/>
      </c>
      <c r="K70" s="80">
        <f>IF($A70="","",-SUMIFS(tblRec[المبلغ],tblRec[كود العميل],$A70,tblRec[رقم الفاتورة],"",tblRec[التاريخ],"&lt;="&amp;AsOf)+SUMIFS(tblInv[المتبقي],tblInv[كود العميل],$A70,tblInv[المتبقي],"&lt;0"))</f>
        <v/>
      </c>
      <c r="L70" s="81">
        <f>IF($A70="","",J70+K70)</f>
        <v/>
      </c>
      <c r="M70" s="82">
        <f>IF($A70="","",IFERROR(L70/$L$8,0))</f>
        <v/>
      </c>
      <c r="N70" s="80">
        <f>IF($A70="","",INDEX(tblCustomers[حد الائتمان],MATCH($A70,tblCustomers[كود العميل],0)))</f>
        <v/>
      </c>
      <c r="O70" s="83">
        <f>IF($A70="","",IF(AND(N70&gt;0,L70&gt;N70),"⛔",""))</f>
        <v/>
      </c>
    </row>
    <row r="71">
      <c r="A71" s="78">
        <f>IFERROR(INDEX(tblCustomers[كود العميل],MATCH(62,tblCustomers[ترتيب],0)),"")</f>
        <v/>
      </c>
      <c r="B71" s="79">
        <f>IF($A71="","",INDEX(tblCustomers[اسم العميل],MATCH($A71,tblCustomers[كود العميل],0)))</f>
        <v/>
      </c>
      <c r="C71" s="80">
        <f>IF($A71="","",SUMIFS(tblInv[المتبقي],tblInv[كود العميل],$A71,tblInv[الفترة],C$7))</f>
        <v/>
      </c>
      <c r="D71" s="80">
        <f>IF($A71="","",SUMIFS(tblInv[المتبقي],tblInv[كود العميل],$A71,tblInv[الفترة],D$7))</f>
        <v/>
      </c>
      <c r="E71" s="80">
        <f>IF($A71="","",SUMIFS(tblInv[المتبقي],tblInv[كود العميل],$A71,tblInv[الفترة],E$7))</f>
        <v/>
      </c>
      <c r="F71" s="80">
        <f>IF($A71="","",SUMIFS(tblInv[المتبقي],tblInv[كود العميل],$A71,tblInv[الفترة],F$7))</f>
        <v/>
      </c>
      <c r="G71" s="80">
        <f>IF($A71="","",SUMIFS(tblInv[المتبقي],tblInv[كود العميل],$A71,tblInv[الفترة],G$7))</f>
        <v/>
      </c>
      <c r="H71" s="80">
        <f>IF($A71="","",SUMIFS(tblInv[المتبقي],tblInv[كود العميل],$A71,tblInv[الفترة],H$7))</f>
        <v/>
      </c>
      <c r="I71" s="80">
        <f>IF($A71="","",SUMIFS(tblInv[المتبقي],tblInv[كود العميل],$A71,tblInv[الفترة],I$7))</f>
        <v/>
      </c>
      <c r="J71" s="80">
        <f>IF($A71="","",SUM(C71:I71))</f>
        <v/>
      </c>
      <c r="K71" s="80">
        <f>IF($A71="","",-SUMIFS(tblRec[المبلغ],tblRec[كود العميل],$A71,tblRec[رقم الفاتورة],"",tblRec[التاريخ],"&lt;="&amp;AsOf)+SUMIFS(tblInv[المتبقي],tblInv[كود العميل],$A71,tblInv[المتبقي],"&lt;0"))</f>
        <v/>
      </c>
      <c r="L71" s="81">
        <f>IF($A71="","",J71+K71)</f>
        <v/>
      </c>
      <c r="M71" s="82">
        <f>IF($A71="","",IFERROR(L71/$L$8,0))</f>
        <v/>
      </c>
      <c r="N71" s="80">
        <f>IF($A71="","",INDEX(tblCustomers[حد الائتمان],MATCH($A71,tblCustomers[كود العميل],0)))</f>
        <v/>
      </c>
      <c r="O71" s="83">
        <f>IF($A71="","",IF(AND(N71&gt;0,L71&gt;N71),"⛔",""))</f>
        <v/>
      </c>
    </row>
    <row r="72">
      <c r="A72" s="78">
        <f>IFERROR(INDEX(tblCustomers[كود العميل],MATCH(63,tblCustomers[ترتيب],0)),"")</f>
        <v/>
      </c>
      <c r="B72" s="79">
        <f>IF($A72="","",INDEX(tblCustomers[اسم العميل],MATCH($A72,tblCustomers[كود العميل],0)))</f>
        <v/>
      </c>
      <c r="C72" s="80">
        <f>IF($A72="","",SUMIFS(tblInv[المتبقي],tblInv[كود العميل],$A72,tblInv[الفترة],C$7))</f>
        <v/>
      </c>
      <c r="D72" s="80">
        <f>IF($A72="","",SUMIFS(tblInv[المتبقي],tblInv[كود العميل],$A72,tblInv[الفترة],D$7))</f>
        <v/>
      </c>
      <c r="E72" s="80">
        <f>IF($A72="","",SUMIFS(tblInv[المتبقي],tblInv[كود العميل],$A72,tblInv[الفترة],E$7))</f>
        <v/>
      </c>
      <c r="F72" s="80">
        <f>IF($A72="","",SUMIFS(tblInv[المتبقي],tblInv[كود العميل],$A72,tblInv[الفترة],F$7))</f>
        <v/>
      </c>
      <c r="G72" s="80">
        <f>IF($A72="","",SUMIFS(tblInv[المتبقي],tblInv[كود العميل],$A72,tblInv[الفترة],G$7))</f>
        <v/>
      </c>
      <c r="H72" s="80">
        <f>IF($A72="","",SUMIFS(tblInv[المتبقي],tblInv[كود العميل],$A72,tblInv[الفترة],H$7))</f>
        <v/>
      </c>
      <c r="I72" s="80">
        <f>IF($A72="","",SUMIFS(tblInv[المتبقي],tblInv[كود العميل],$A72,tblInv[الفترة],I$7))</f>
        <v/>
      </c>
      <c r="J72" s="80">
        <f>IF($A72="","",SUM(C72:I72))</f>
        <v/>
      </c>
      <c r="K72" s="80">
        <f>IF($A72="","",-SUMIFS(tblRec[المبلغ],tblRec[كود العميل],$A72,tblRec[رقم الفاتورة],"",tblRec[التاريخ],"&lt;="&amp;AsOf)+SUMIFS(tblInv[المتبقي],tblInv[كود العميل],$A72,tblInv[المتبقي],"&lt;0"))</f>
        <v/>
      </c>
      <c r="L72" s="81">
        <f>IF($A72="","",J72+K72)</f>
        <v/>
      </c>
      <c r="M72" s="82">
        <f>IF($A72="","",IFERROR(L72/$L$8,0))</f>
        <v/>
      </c>
      <c r="N72" s="80">
        <f>IF($A72="","",INDEX(tblCustomers[حد الائتمان],MATCH($A72,tblCustomers[كود العميل],0)))</f>
        <v/>
      </c>
      <c r="O72" s="83">
        <f>IF($A72="","",IF(AND(N72&gt;0,L72&gt;N72),"⛔",""))</f>
        <v/>
      </c>
    </row>
    <row r="73">
      <c r="A73" s="78">
        <f>IFERROR(INDEX(tblCustomers[كود العميل],MATCH(64,tblCustomers[ترتيب],0)),"")</f>
        <v/>
      </c>
      <c r="B73" s="79">
        <f>IF($A73="","",INDEX(tblCustomers[اسم العميل],MATCH($A73,tblCustomers[كود العميل],0)))</f>
        <v/>
      </c>
      <c r="C73" s="80">
        <f>IF($A73="","",SUMIFS(tblInv[المتبقي],tblInv[كود العميل],$A73,tblInv[الفترة],C$7))</f>
        <v/>
      </c>
      <c r="D73" s="80">
        <f>IF($A73="","",SUMIFS(tblInv[المتبقي],tblInv[كود العميل],$A73,tblInv[الفترة],D$7))</f>
        <v/>
      </c>
      <c r="E73" s="80">
        <f>IF($A73="","",SUMIFS(tblInv[المتبقي],tblInv[كود العميل],$A73,tblInv[الفترة],E$7))</f>
        <v/>
      </c>
      <c r="F73" s="80">
        <f>IF($A73="","",SUMIFS(tblInv[المتبقي],tblInv[كود العميل],$A73,tblInv[الفترة],F$7))</f>
        <v/>
      </c>
      <c r="G73" s="80">
        <f>IF($A73="","",SUMIFS(tblInv[المتبقي],tblInv[كود العميل],$A73,tblInv[الفترة],G$7))</f>
        <v/>
      </c>
      <c r="H73" s="80">
        <f>IF($A73="","",SUMIFS(tblInv[المتبقي],tblInv[كود العميل],$A73,tblInv[الفترة],H$7))</f>
        <v/>
      </c>
      <c r="I73" s="80">
        <f>IF($A73="","",SUMIFS(tblInv[المتبقي],tblInv[كود العميل],$A73,tblInv[الفترة],I$7))</f>
        <v/>
      </c>
      <c r="J73" s="80">
        <f>IF($A73="","",SUM(C73:I73))</f>
        <v/>
      </c>
      <c r="K73" s="80">
        <f>IF($A73="","",-SUMIFS(tblRec[المبلغ],tblRec[كود العميل],$A73,tblRec[رقم الفاتورة],"",tblRec[التاريخ],"&lt;="&amp;AsOf)+SUMIFS(tblInv[المتبقي],tblInv[كود العميل],$A73,tblInv[المتبقي],"&lt;0"))</f>
        <v/>
      </c>
      <c r="L73" s="81">
        <f>IF($A73="","",J73+K73)</f>
        <v/>
      </c>
      <c r="M73" s="82">
        <f>IF($A73="","",IFERROR(L73/$L$8,0))</f>
        <v/>
      </c>
      <c r="N73" s="80">
        <f>IF($A73="","",INDEX(tblCustomers[حد الائتمان],MATCH($A73,tblCustomers[كود العميل],0)))</f>
        <v/>
      </c>
      <c r="O73" s="83">
        <f>IF($A73="","",IF(AND(N73&gt;0,L73&gt;N73),"⛔",""))</f>
        <v/>
      </c>
    </row>
    <row r="74">
      <c r="A74" s="78">
        <f>IFERROR(INDEX(tblCustomers[كود العميل],MATCH(65,tblCustomers[ترتيب],0)),"")</f>
        <v/>
      </c>
      <c r="B74" s="79">
        <f>IF($A74="","",INDEX(tblCustomers[اسم العميل],MATCH($A74,tblCustomers[كود العميل],0)))</f>
        <v/>
      </c>
      <c r="C74" s="80">
        <f>IF($A74="","",SUMIFS(tblInv[المتبقي],tblInv[كود العميل],$A74,tblInv[الفترة],C$7))</f>
        <v/>
      </c>
      <c r="D74" s="80">
        <f>IF($A74="","",SUMIFS(tblInv[المتبقي],tblInv[كود العميل],$A74,tblInv[الفترة],D$7))</f>
        <v/>
      </c>
      <c r="E74" s="80">
        <f>IF($A74="","",SUMIFS(tblInv[المتبقي],tblInv[كود العميل],$A74,tblInv[الفترة],E$7))</f>
        <v/>
      </c>
      <c r="F74" s="80">
        <f>IF($A74="","",SUMIFS(tblInv[المتبقي],tblInv[كود العميل],$A74,tblInv[الفترة],F$7))</f>
        <v/>
      </c>
      <c r="G74" s="80">
        <f>IF($A74="","",SUMIFS(tblInv[المتبقي],tblInv[كود العميل],$A74,tblInv[الفترة],G$7))</f>
        <v/>
      </c>
      <c r="H74" s="80">
        <f>IF($A74="","",SUMIFS(tblInv[المتبقي],tblInv[كود العميل],$A74,tblInv[الفترة],H$7))</f>
        <v/>
      </c>
      <c r="I74" s="80">
        <f>IF($A74="","",SUMIFS(tblInv[المتبقي],tblInv[كود العميل],$A74,tblInv[الفترة],I$7))</f>
        <v/>
      </c>
      <c r="J74" s="80">
        <f>IF($A74="","",SUM(C74:I74))</f>
        <v/>
      </c>
      <c r="K74" s="80">
        <f>IF($A74="","",-SUMIFS(tblRec[المبلغ],tblRec[كود العميل],$A74,tblRec[رقم الفاتورة],"",tblRec[التاريخ],"&lt;="&amp;AsOf)+SUMIFS(tblInv[المتبقي],tblInv[كود العميل],$A74,tblInv[المتبقي],"&lt;0"))</f>
        <v/>
      </c>
      <c r="L74" s="81">
        <f>IF($A74="","",J74+K74)</f>
        <v/>
      </c>
      <c r="M74" s="82">
        <f>IF($A74="","",IFERROR(L74/$L$8,0))</f>
        <v/>
      </c>
      <c r="N74" s="80">
        <f>IF($A74="","",INDEX(tblCustomers[حد الائتمان],MATCH($A74,tblCustomers[كود العميل],0)))</f>
        <v/>
      </c>
      <c r="O74" s="83">
        <f>IF($A74="","",IF(AND(N74&gt;0,L74&gt;N74),"⛔",""))</f>
        <v/>
      </c>
    </row>
    <row r="75">
      <c r="A75" s="78">
        <f>IFERROR(INDEX(tblCustomers[كود العميل],MATCH(66,tblCustomers[ترتيب],0)),"")</f>
        <v/>
      </c>
      <c r="B75" s="79">
        <f>IF($A75="","",INDEX(tblCustomers[اسم العميل],MATCH($A75,tblCustomers[كود العميل],0)))</f>
        <v/>
      </c>
      <c r="C75" s="80">
        <f>IF($A75="","",SUMIFS(tblInv[المتبقي],tblInv[كود العميل],$A75,tblInv[الفترة],C$7))</f>
        <v/>
      </c>
      <c r="D75" s="80">
        <f>IF($A75="","",SUMIFS(tblInv[المتبقي],tblInv[كود العميل],$A75,tblInv[الفترة],D$7))</f>
        <v/>
      </c>
      <c r="E75" s="80">
        <f>IF($A75="","",SUMIFS(tblInv[المتبقي],tblInv[كود العميل],$A75,tblInv[الفترة],E$7))</f>
        <v/>
      </c>
      <c r="F75" s="80">
        <f>IF($A75="","",SUMIFS(tblInv[المتبقي],tblInv[كود العميل],$A75,tblInv[الفترة],F$7))</f>
        <v/>
      </c>
      <c r="G75" s="80">
        <f>IF($A75="","",SUMIFS(tblInv[المتبقي],tblInv[كود العميل],$A75,tblInv[الفترة],G$7))</f>
        <v/>
      </c>
      <c r="H75" s="80">
        <f>IF($A75="","",SUMIFS(tblInv[المتبقي],tblInv[كود العميل],$A75,tblInv[الفترة],H$7))</f>
        <v/>
      </c>
      <c r="I75" s="80">
        <f>IF($A75="","",SUMIFS(tblInv[المتبقي],tblInv[كود العميل],$A75,tblInv[الفترة],I$7))</f>
        <v/>
      </c>
      <c r="J75" s="80">
        <f>IF($A75="","",SUM(C75:I75))</f>
        <v/>
      </c>
      <c r="K75" s="80">
        <f>IF($A75="","",-SUMIFS(tblRec[المبلغ],tblRec[كود العميل],$A75,tblRec[رقم الفاتورة],"",tblRec[التاريخ],"&lt;="&amp;AsOf)+SUMIFS(tblInv[المتبقي],tblInv[كود العميل],$A75,tblInv[المتبقي],"&lt;0"))</f>
        <v/>
      </c>
      <c r="L75" s="81">
        <f>IF($A75="","",J75+K75)</f>
        <v/>
      </c>
      <c r="M75" s="82">
        <f>IF($A75="","",IFERROR(L75/$L$8,0))</f>
        <v/>
      </c>
      <c r="N75" s="80">
        <f>IF($A75="","",INDEX(tblCustomers[حد الائتمان],MATCH($A75,tblCustomers[كود العميل],0)))</f>
        <v/>
      </c>
      <c r="O75" s="83">
        <f>IF($A75="","",IF(AND(N75&gt;0,L75&gt;N75),"⛔",""))</f>
        <v/>
      </c>
    </row>
    <row r="76">
      <c r="A76" s="78">
        <f>IFERROR(INDEX(tblCustomers[كود العميل],MATCH(67,tblCustomers[ترتيب],0)),"")</f>
        <v/>
      </c>
      <c r="B76" s="79">
        <f>IF($A76="","",INDEX(tblCustomers[اسم العميل],MATCH($A76,tblCustomers[كود العميل],0)))</f>
        <v/>
      </c>
      <c r="C76" s="80">
        <f>IF($A76="","",SUMIFS(tblInv[المتبقي],tblInv[كود العميل],$A76,tblInv[الفترة],C$7))</f>
        <v/>
      </c>
      <c r="D76" s="80">
        <f>IF($A76="","",SUMIFS(tblInv[المتبقي],tblInv[كود العميل],$A76,tblInv[الفترة],D$7))</f>
        <v/>
      </c>
      <c r="E76" s="80">
        <f>IF($A76="","",SUMIFS(tblInv[المتبقي],tblInv[كود العميل],$A76,tblInv[الفترة],E$7))</f>
        <v/>
      </c>
      <c r="F76" s="80">
        <f>IF($A76="","",SUMIFS(tblInv[المتبقي],tblInv[كود العميل],$A76,tblInv[الفترة],F$7))</f>
        <v/>
      </c>
      <c r="G76" s="80">
        <f>IF($A76="","",SUMIFS(tblInv[المتبقي],tblInv[كود العميل],$A76,tblInv[الفترة],G$7))</f>
        <v/>
      </c>
      <c r="H76" s="80">
        <f>IF($A76="","",SUMIFS(tblInv[المتبقي],tblInv[كود العميل],$A76,tblInv[الفترة],H$7))</f>
        <v/>
      </c>
      <c r="I76" s="80">
        <f>IF($A76="","",SUMIFS(tblInv[المتبقي],tblInv[كود العميل],$A76,tblInv[الفترة],I$7))</f>
        <v/>
      </c>
      <c r="J76" s="80">
        <f>IF($A76="","",SUM(C76:I76))</f>
        <v/>
      </c>
      <c r="K76" s="80">
        <f>IF($A76="","",-SUMIFS(tblRec[المبلغ],tblRec[كود العميل],$A76,tblRec[رقم الفاتورة],"",tblRec[التاريخ],"&lt;="&amp;AsOf)+SUMIFS(tblInv[المتبقي],tblInv[كود العميل],$A76,tblInv[المتبقي],"&lt;0"))</f>
        <v/>
      </c>
      <c r="L76" s="81">
        <f>IF($A76="","",J76+K76)</f>
        <v/>
      </c>
      <c r="M76" s="82">
        <f>IF($A76="","",IFERROR(L76/$L$8,0))</f>
        <v/>
      </c>
      <c r="N76" s="80">
        <f>IF($A76="","",INDEX(tblCustomers[حد الائتمان],MATCH($A76,tblCustomers[كود العميل],0)))</f>
        <v/>
      </c>
      <c r="O76" s="83">
        <f>IF($A76="","",IF(AND(N76&gt;0,L76&gt;N76),"⛔",""))</f>
        <v/>
      </c>
    </row>
    <row r="77">
      <c r="A77" s="78">
        <f>IFERROR(INDEX(tblCustomers[كود العميل],MATCH(68,tblCustomers[ترتيب],0)),"")</f>
        <v/>
      </c>
      <c r="B77" s="79">
        <f>IF($A77="","",INDEX(tblCustomers[اسم العميل],MATCH($A77,tblCustomers[كود العميل],0)))</f>
        <v/>
      </c>
      <c r="C77" s="80">
        <f>IF($A77="","",SUMIFS(tblInv[المتبقي],tblInv[كود العميل],$A77,tblInv[الفترة],C$7))</f>
        <v/>
      </c>
      <c r="D77" s="80">
        <f>IF($A77="","",SUMIFS(tblInv[المتبقي],tblInv[كود العميل],$A77,tblInv[الفترة],D$7))</f>
        <v/>
      </c>
      <c r="E77" s="80">
        <f>IF($A77="","",SUMIFS(tblInv[المتبقي],tblInv[كود العميل],$A77,tblInv[الفترة],E$7))</f>
        <v/>
      </c>
      <c r="F77" s="80">
        <f>IF($A77="","",SUMIFS(tblInv[المتبقي],tblInv[كود العميل],$A77,tblInv[الفترة],F$7))</f>
        <v/>
      </c>
      <c r="G77" s="80">
        <f>IF($A77="","",SUMIFS(tblInv[المتبقي],tblInv[كود العميل],$A77,tblInv[الفترة],G$7))</f>
        <v/>
      </c>
      <c r="H77" s="80">
        <f>IF($A77="","",SUMIFS(tblInv[المتبقي],tblInv[كود العميل],$A77,tblInv[الفترة],H$7))</f>
        <v/>
      </c>
      <c r="I77" s="80">
        <f>IF($A77="","",SUMIFS(tblInv[المتبقي],tblInv[كود العميل],$A77,tblInv[الفترة],I$7))</f>
        <v/>
      </c>
      <c r="J77" s="80">
        <f>IF($A77="","",SUM(C77:I77))</f>
        <v/>
      </c>
      <c r="K77" s="80">
        <f>IF($A77="","",-SUMIFS(tblRec[المبلغ],tblRec[كود العميل],$A77,tblRec[رقم الفاتورة],"",tblRec[التاريخ],"&lt;="&amp;AsOf)+SUMIFS(tblInv[المتبقي],tblInv[كود العميل],$A77,tblInv[المتبقي],"&lt;0"))</f>
        <v/>
      </c>
      <c r="L77" s="81">
        <f>IF($A77="","",J77+K77)</f>
        <v/>
      </c>
      <c r="M77" s="82">
        <f>IF($A77="","",IFERROR(L77/$L$8,0))</f>
        <v/>
      </c>
      <c r="N77" s="80">
        <f>IF($A77="","",INDEX(tblCustomers[حد الائتمان],MATCH($A77,tblCustomers[كود العميل],0)))</f>
        <v/>
      </c>
      <c r="O77" s="83">
        <f>IF($A77="","",IF(AND(N77&gt;0,L77&gt;N77),"⛔",""))</f>
        <v/>
      </c>
    </row>
    <row r="78">
      <c r="A78" s="78">
        <f>IFERROR(INDEX(tblCustomers[كود العميل],MATCH(69,tblCustomers[ترتيب],0)),"")</f>
        <v/>
      </c>
      <c r="B78" s="79">
        <f>IF($A78="","",INDEX(tblCustomers[اسم العميل],MATCH($A78,tblCustomers[كود العميل],0)))</f>
        <v/>
      </c>
      <c r="C78" s="80">
        <f>IF($A78="","",SUMIFS(tblInv[المتبقي],tblInv[كود العميل],$A78,tblInv[الفترة],C$7))</f>
        <v/>
      </c>
      <c r="D78" s="80">
        <f>IF($A78="","",SUMIFS(tblInv[المتبقي],tblInv[كود العميل],$A78,tblInv[الفترة],D$7))</f>
        <v/>
      </c>
      <c r="E78" s="80">
        <f>IF($A78="","",SUMIFS(tblInv[المتبقي],tblInv[كود العميل],$A78,tblInv[الفترة],E$7))</f>
        <v/>
      </c>
      <c r="F78" s="80">
        <f>IF($A78="","",SUMIFS(tblInv[المتبقي],tblInv[كود العميل],$A78,tblInv[الفترة],F$7))</f>
        <v/>
      </c>
      <c r="G78" s="80">
        <f>IF($A78="","",SUMIFS(tblInv[المتبقي],tblInv[كود العميل],$A78,tblInv[الفترة],G$7))</f>
        <v/>
      </c>
      <c r="H78" s="80">
        <f>IF($A78="","",SUMIFS(tblInv[المتبقي],tblInv[كود العميل],$A78,tblInv[الفترة],H$7))</f>
        <v/>
      </c>
      <c r="I78" s="80">
        <f>IF($A78="","",SUMIFS(tblInv[المتبقي],tblInv[كود العميل],$A78,tblInv[الفترة],I$7))</f>
        <v/>
      </c>
      <c r="J78" s="80">
        <f>IF($A78="","",SUM(C78:I78))</f>
        <v/>
      </c>
      <c r="K78" s="80">
        <f>IF($A78="","",-SUMIFS(tblRec[المبلغ],tblRec[كود العميل],$A78,tblRec[رقم الفاتورة],"",tblRec[التاريخ],"&lt;="&amp;AsOf)+SUMIFS(tblInv[المتبقي],tblInv[كود العميل],$A78,tblInv[المتبقي],"&lt;0"))</f>
        <v/>
      </c>
      <c r="L78" s="81">
        <f>IF($A78="","",J78+K78)</f>
        <v/>
      </c>
      <c r="M78" s="82">
        <f>IF($A78="","",IFERROR(L78/$L$8,0))</f>
        <v/>
      </c>
      <c r="N78" s="80">
        <f>IF($A78="","",INDEX(tblCustomers[حد الائتمان],MATCH($A78,tblCustomers[كود العميل],0)))</f>
        <v/>
      </c>
      <c r="O78" s="83">
        <f>IF($A78="","",IF(AND(N78&gt;0,L78&gt;N78),"⛔",""))</f>
        <v/>
      </c>
    </row>
    <row r="79">
      <c r="A79" s="78">
        <f>IFERROR(INDEX(tblCustomers[كود العميل],MATCH(70,tblCustomers[ترتيب],0)),"")</f>
        <v/>
      </c>
      <c r="B79" s="79">
        <f>IF($A79="","",INDEX(tblCustomers[اسم العميل],MATCH($A79,tblCustomers[كود العميل],0)))</f>
        <v/>
      </c>
      <c r="C79" s="80">
        <f>IF($A79="","",SUMIFS(tblInv[المتبقي],tblInv[كود العميل],$A79,tblInv[الفترة],C$7))</f>
        <v/>
      </c>
      <c r="D79" s="80">
        <f>IF($A79="","",SUMIFS(tblInv[المتبقي],tblInv[كود العميل],$A79,tblInv[الفترة],D$7))</f>
        <v/>
      </c>
      <c r="E79" s="80">
        <f>IF($A79="","",SUMIFS(tblInv[المتبقي],tblInv[كود العميل],$A79,tblInv[الفترة],E$7))</f>
        <v/>
      </c>
      <c r="F79" s="80">
        <f>IF($A79="","",SUMIFS(tblInv[المتبقي],tblInv[كود العميل],$A79,tblInv[الفترة],F$7))</f>
        <v/>
      </c>
      <c r="G79" s="80">
        <f>IF($A79="","",SUMIFS(tblInv[المتبقي],tblInv[كود العميل],$A79,tblInv[الفترة],G$7))</f>
        <v/>
      </c>
      <c r="H79" s="80">
        <f>IF($A79="","",SUMIFS(tblInv[المتبقي],tblInv[كود العميل],$A79,tblInv[الفترة],H$7))</f>
        <v/>
      </c>
      <c r="I79" s="80">
        <f>IF($A79="","",SUMIFS(tblInv[المتبقي],tblInv[كود العميل],$A79,tblInv[الفترة],I$7))</f>
        <v/>
      </c>
      <c r="J79" s="80">
        <f>IF($A79="","",SUM(C79:I79))</f>
        <v/>
      </c>
      <c r="K79" s="80">
        <f>IF($A79="","",-SUMIFS(tblRec[المبلغ],tblRec[كود العميل],$A79,tblRec[رقم الفاتورة],"",tblRec[التاريخ],"&lt;="&amp;AsOf)+SUMIFS(tblInv[المتبقي],tblInv[كود العميل],$A79,tblInv[المتبقي],"&lt;0"))</f>
        <v/>
      </c>
      <c r="L79" s="81">
        <f>IF($A79="","",J79+K79)</f>
        <v/>
      </c>
      <c r="M79" s="82">
        <f>IF($A79="","",IFERROR(L79/$L$8,0))</f>
        <v/>
      </c>
      <c r="N79" s="80">
        <f>IF($A79="","",INDEX(tblCustomers[حد الائتمان],MATCH($A79,tblCustomers[كود العميل],0)))</f>
        <v/>
      </c>
      <c r="O79" s="83">
        <f>IF($A79="","",IF(AND(N79&gt;0,L79&gt;N79),"⛔",""))</f>
        <v/>
      </c>
    </row>
    <row r="80">
      <c r="A80" s="78">
        <f>IFERROR(INDEX(tblCustomers[كود العميل],MATCH(71,tblCustomers[ترتيب],0)),"")</f>
        <v/>
      </c>
      <c r="B80" s="79">
        <f>IF($A80="","",INDEX(tblCustomers[اسم العميل],MATCH($A80,tblCustomers[كود العميل],0)))</f>
        <v/>
      </c>
      <c r="C80" s="80">
        <f>IF($A80="","",SUMIFS(tblInv[المتبقي],tblInv[كود العميل],$A80,tblInv[الفترة],C$7))</f>
        <v/>
      </c>
      <c r="D80" s="80">
        <f>IF($A80="","",SUMIFS(tblInv[المتبقي],tblInv[كود العميل],$A80,tblInv[الفترة],D$7))</f>
        <v/>
      </c>
      <c r="E80" s="80">
        <f>IF($A80="","",SUMIFS(tblInv[المتبقي],tblInv[كود العميل],$A80,tblInv[الفترة],E$7))</f>
        <v/>
      </c>
      <c r="F80" s="80">
        <f>IF($A80="","",SUMIFS(tblInv[المتبقي],tblInv[كود العميل],$A80,tblInv[الفترة],F$7))</f>
        <v/>
      </c>
      <c r="G80" s="80">
        <f>IF($A80="","",SUMIFS(tblInv[المتبقي],tblInv[كود العميل],$A80,tblInv[الفترة],G$7))</f>
        <v/>
      </c>
      <c r="H80" s="80">
        <f>IF($A80="","",SUMIFS(tblInv[المتبقي],tblInv[كود العميل],$A80,tblInv[الفترة],H$7))</f>
        <v/>
      </c>
      <c r="I80" s="80">
        <f>IF($A80="","",SUMIFS(tblInv[المتبقي],tblInv[كود العميل],$A80,tblInv[الفترة],I$7))</f>
        <v/>
      </c>
      <c r="J80" s="80">
        <f>IF($A80="","",SUM(C80:I80))</f>
        <v/>
      </c>
      <c r="K80" s="80">
        <f>IF($A80="","",-SUMIFS(tblRec[المبلغ],tblRec[كود العميل],$A80,tblRec[رقم الفاتورة],"",tblRec[التاريخ],"&lt;="&amp;AsOf)+SUMIFS(tblInv[المتبقي],tblInv[كود العميل],$A80,tblInv[المتبقي],"&lt;0"))</f>
        <v/>
      </c>
      <c r="L80" s="81">
        <f>IF($A80="","",J80+K80)</f>
        <v/>
      </c>
      <c r="M80" s="82">
        <f>IF($A80="","",IFERROR(L80/$L$8,0))</f>
        <v/>
      </c>
      <c r="N80" s="80">
        <f>IF($A80="","",INDEX(tblCustomers[حد الائتمان],MATCH($A80,tblCustomers[كود العميل],0)))</f>
        <v/>
      </c>
      <c r="O80" s="83">
        <f>IF($A80="","",IF(AND(N80&gt;0,L80&gt;N80),"⛔",""))</f>
        <v/>
      </c>
    </row>
    <row r="81">
      <c r="A81" s="78">
        <f>IFERROR(INDEX(tblCustomers[كود العميل],MATCH(72,tblCustomers[ترتيب],0)),"")</f>
        <v/>
      </c>
      <c r="B81" s="79">
        <f>IF($A81="","",INDEX(tblCustomers[اسم العميل],MATCH($A81,tblCustomers[كود العميل],0)))</f>
        <v/>
      </c>
      <c r="C81" s="80">
        <f>IF($A81="","",SUMIFS(tblInv[المتبقي],tblInv[كود العميل],$A81,tblInv[الفترة],C$7))</f>
        <v/>
      </c>
      <c r="D81" s="80">
        <f>IF($A81="","",SUMIFS(tblInv[المتبقي],tblInv[كود العميل],$A81,tblInv[الفترة],D$7))</f>
        <v/>
      </c>
      <c r="E81" s="80">
        <f>IF($A81="","",SUMIFS(tblInv[المتبقي],tblInv[كود العميل],$A81,tblInv[الفترة],E$7))</f>
        <v/>
      </c>
      <c r="F81" s="80">
        <f>IF($A81="","",SUMIFS(tblInv[المتبقي],tblInv[كود العميل],$A81,tblInv[الفترة],F$7))</f>
        <v/>
      </c>
      <c r="G81" s="80">
        <f>IF($A81="","",SUMIFS(tblInv[المتبقي],tblInv[كود العميل],$A81,tblInv[الفترة],G$7))</f>
        <v/>
      </c>
      <c r="H81" s="80">
        <f>IF($A81="","",SUMIFS(tblInv[المتبقي],tblInv[كود العميل],$A81,tblInv[الفترة],H$7))</f>
        <v/>
      </c>
      <c r="I81" s="80">
        <f>IF($A81="","",SUMIFS(tblInv[المتبقي],tblInv[كود العميل],$A81,tblInv[الفترة],I$7))</f>
        <v/>
      </c>
      <c r="J81" s="80">
        <f>IF($A81="","",SUM(C81:I81))</f>
        <v/>
      </c>
      <c r="K81" s="80">
        <f>IF($A81="","",-SUMIFS(tblRec[المبلغ],tblRec[كود العميل],$A81,tblRec[رقم الفاتورة],"",tblRec[التاريخ],"&lt;="&amp;AsOf)+SUMIFS(tblInv[المتبقي],tblInv[كود العميل],$A81,tblInv[المتبقي],"&lt;0"))</f>
        <v/>
      </c>
      <c r="L81" s="81">
        <f>IF($A81="","",J81+K81)</f>
        <v/>
      </c>
      <c r="M81" s="82">
        <f>IF($A81="","",IFERROR(L81/$L$8,0))</f>
        <v/>
      </c>
      <c r="N81" s="80">
        <f>IF($A81="","",INDEX(tblCustomers[حد الائتمان],MATCH($A81,tblCustomers[كود العميل],0)))</f>
        <v/>
      </c>
      <c r="O81" s="83">
        <f>IF($A81="","",IF(AND(N81&gt;0,L81&gt;N81),"⛔",""))</f>
        <v/>
      </c>
    </row>
    <row r="82">
      <c r="A82" s="78">
        <f>IFERROR(INDEX(tblCustomers[كود العميل],MATCH(73,tblCustomers[ترتيب],0)),"")</f>
        <v/>
      </c>
      <c r="B82" s="79">
        <f>IF($A82="","",INDEX(tblCustomers[اسم العميل],MATCH($A82,tblCustomers[كود العميل],0)))</f>
        <v/>
      </c>
      <c r="C82" s="80">
        <f>IF($A82="","",SUMIFS(tblInv[المتبقي],tblInv[كود العميل],$A82,tblInv[الفترة],C$7))</f>
        <v/>
      </c>
      <c r="D82" s="80">
        <f>IF($A82="","",SUMIFS(tblInv[المتبقي],tblInv[كود العميل],$A82,tblInv[الفترة],D$7))</f>
        <v/>
      </c>
      <c r="E82" s="80">
        <f>IF($A82="","",SUMIFS(tblInv[المتبقي],tblInv[كود العميل],$A82,tblInv[الفترة],E$7))</f>
        <v/>
      </c>
      <c r="F82" s="80">
        <f>IF($A82="","",SUMIFS(tblInv[المتبقي],tblInv[كود العميل],$A82,tblInv[الفترة],F$7))</f>
        <v/>
      </c>
      <c r="G82" s="80">
        <f>IF($A82="","",SUMIFS(tblInv[المتبقي],tblInv[كود العميل],$A82,tblInv[الفترة],G$7))</f>
        <v/>
      </c>
      <c r="H82" s="80">
        <f>IF($A82="","",SUMIFS(tblInv[المتبقي],tblInv[كود العميل],$A82,tblInv[الفترة],H$7))</f>
        <v/>
      </c>
      <c r="I82" s="80">
        <f>IF($A82="","",SUMIFS(tblInv[المتبقي],tblInv[كود العميل],$A82,tblInv[الفترة],I$7))</f>
        <v/>
      </c>
      <c r="J82" s="80">
        <f>IF($A82="","",SUM(C82:I82))</f>
        <v/>
      </c>
      <c r="K82" s="80">
        <f>IF($A82="","",-SUMIFS(tblRec[المبلغ],tblRec[كود العميل],$A82,tblRec[رقم الفاتورة],"",tblRec[التاريخ],"&lt;="&amp;AsOf)+SUMIFS(tblInv[المتبقي],tblInv[كود العميل],$A82,tblInv[المتبقي],"&lt;0"))</f>
        <v/>
      </c>
      <c r="L82" s="81">
        <f>IF($A82="","",J82+K82)</f>
        <v/>
      </c>
      <c r="M82" s="82">
        <f>IF($A82="","",IFERROR(L82/$L$8,0))</f>
        <v/>
      </c>
      <c r="N82" s="80">
        <f>IF($A82="","",INDEX(tblCustomers[حد الائتمان],MATCH($A82,tblCustomers[كود العميل],0)))</f>
        <v/>
      </c>
      <c r="O82" s="83">
        <f>IF($A82="","",IF(AND(N82&gt;0,L82&gt;N82),"⛔",""))</f>
        <v/>
      </c>
    </row>
    <row r="83">
      <c r="A83" s="78">
        <f>IFERROR(INDEX(tblCustomers[كود العميل],MATCH(74,tblCustomers[ترتيب],0)),"")</f>
        <v/>
      </c>
      <c r="B83" s="79">
        <f>IF($A83="","",INDEX(tblCustomers[اسم العميل],MATCH($A83,tblCustomers[كود العميل],0)))</f>
        <v/>
      </c>
      <c r="C83" s="80">
        <f>IF($A83="","",SUMIFS(tblInv[المتبقي],tblInv[كود العميل],$A83,tblInv[الفترة],C$7))</f>
        <v/>
      </c>
      <c r="D83" s="80">
        <f>IF($A83="","",SUMIFS(tblInv[المتبقي],tblInv[كود العميل],$A83,tblInv[الفترة],D$7))</f>
        <v/>
      </c>
      <c r="E83" s="80">
        <f>IF($A83="","",SUMIFS(tblInv[المتبقي],tblInv[كود العميل],$A83,tblInv[الفترة],E$7))</f>
        <v/>
      </c>
      <c r="F83" s="80">
        <f>IF($A83="","",SUMIFS(tblInv[المتبقي],tblInv[كود العميل],$A83,tblInv[الفترة],F$7))</f>
        <v/>
      </c>
      <c r="G83" s="80">
        <f>IF($A83="","",SUMIFS(tblInv[المتبقي],tblInv[كود العميل],$A83,tblInv[الفترة],G$7))</f>
        <v/>
      </c>
      <c r="H83" s="80">
        <f>IF($A83="","",SUMIFS(tblInv[المتبقي],tblInv[كود العميل],$A83,tblInv[الفترة],H$7))</f>
        <v/>
      </c>
      <c r="I83" s="80">
        <f>IF($A83="","",SUMIFS(tblInv[المتبقي],tblInv[كود العميل],$A83,tblInv[الفترة],I$7))</f>
        <v/>
      </c>
      <c r="J83" s="80">
        <f>IF($A83="","",SUM(C83:I83))</f>
        <v/>
      </c>
      <c r="K83" s="80">
        <f>IF($A83="","",-SUMIFS(tblRec[المبلغ],tblRec[كود العميل],$A83,tblRec[رقم الفاتورة],"",tblRec[التاريخ],"&lt;="&amp;AsOf)+SUMIFS(tblInv[المتبقي],tblInv[كود العميل],$A83,tblInv[المتبقي],"&lt;0"))</f>
        <v/>
      </c>
      <c r="L83" s="81">
        <f>IF($A83="","",J83+K83)</f>
        <v/>
      </c>
      <c r="M83" s="82">
        <f>IF($A83="","",IFERROR(L83/$L$8,0))</f>
        <v/>
      </c>
      <c r="N83" s="80">
        <f>IF($A83="","",INDEX(tblCustomers[حد الائتمان],MATCH($A83,tblCustomers[كود العميل],0)))</f>
        <v/>
      </c>
      <c r="O83" s="83">
        <f>IF($A83="","",IF(AND(N83&gt;0,L83&gt;N83),"⛔",""))</f>
        <v/>
      </c>
    </row>
    <row r="84">
      <c r="A84" s="78">
        <f>IFERROR(INDEX(tblCustomers[كود العميل],MATCH(75,tblCustomers[ترتيب],0)),"")</f>
        <v/>
      </c>
      <c r="B84" s="79">
        <f>IF($A84="","",INDEX(tblCustomers[اسم العميل],MATCH($A84,tblCustomers[كود العميل],0)))</f>
        <v/>
      </c>
      <c r="C84" s="80">
        <f>IF($A84="","",SUMIFS(tblInv[المتبقي],tblInv[كود العميل],$A84,tblInv[الفترة],C$7))</f>
        <v/>
      </c>
      <c r="D84" s="80">
        <f>IF($A84="","",SUMIFS(tblInv[المتبقي],tblInv[كود العميل],$A84,tblInv[الفترة],D$7))</f>
        <v/>
      </c>
      <c r="E84" s="80">
        <f>IF($A84="","",SUMIFS(tblInv[المتبقي],tblInv[كود العميل],$A84,tblInv[الفترة],E$7))</f>
        <v/>
      </c>
      <c r="F84" s="80">
        <f>IF($A84="","",SUMIFS(tblInv[المتبقي],tblInv[كود العميل],$A84,tblInv[الفترة],F$7))</f>
        <v/>
      </c>
      <c r="G84" s="80">
        <f>IF($A84="","",SUMIFS(tblInv[المتبقي],tblInv[كود العميل],$A84,tblInv[الفترة],G$7))</f>
        <v/>
      </c>
      <c r="H84" s="80">
        <f>IF($A84="","",SUMIFS(tblInv[المتبقي],tblInv[كود العميل],$A84,tblInv[الفترة],H$7))</f>
        <v/>
      </c>
      <c r="I84" s="80">
        <f>IF($A84="","",SUMIFS(tblInv[المتبقي],tblInv[كود العميل],$A84,tblInv[الفترة],I$7))</f>
        <v/>
      </c>
      <c r="J84" s="80">
        <f>IF($A84="","",SUM(C84:I84))</f>
        <v/>
      </c>
      <c r="K84" s="80">
        <f>IF($A84="","",-SUMIFS(tblRec[المبلغ],tblRec[كود العميل],$A84,tblRec[رقم الفاتورة],"",tblRec[التاريخ],"&lt;="&amp;AsOf)+SUMIFS(tblInv[المتبقي],tblInv[كود العميل],$A84,tblInv[المتبقي],"&lt;0"))</f>
        <v/>
      </c>
      <c r="L84" s="81">
        <f>IF($A84="","",J84+K84)</f>
        <v/>
      </c>
      <c r="M84" s="82">
        <f>IF($A84="","",IFERROR(L84/$L$8,0))</f>
        <v/>
      </c>
      <c r="N84" s="80">
        <f>IF($A84="","",INDEX(tblCustomers[حد الائتمان],MATCH($A84,tblCustomers[كود العميل],0)))</f>
        <v/>
      </c>
      <c r="O84" s="83">
        <f>IF($A84="","",IF(AND(N84&gt;0,L84&gt;N84),"⛔",""))</f>
        <v/>
      </c>
    </row>
    <row r="85">
      <c r="A85" s="78">
        <f>IFERROR(INDEX(tblCustomers[كود العميل],MATCH(76,tblCustomers[ترتيب],0)),"")</f>
        <v/>
      </c>
      <c r="B85" s="79">
        <f>IF($A85="","",INDEX(tblCustomers[اسم العميل],MATCH($A85,tblCustomers[كود العميل],0)))</f>
        <v/>
      </c>
      <c r="C85" s="80">
        <f>IF($A85="","",SUMIFS(tblInv[المتبقي],tblInv[كود العميل],$A85,tblInv[الفترة],C$7))</f>
        <v/>
      </c>
      <c r="D85" s="80">
        <f>IF($A85="","",SUMIFS(tblInv[المتبقي],tblInv[كود العميل],$A85,tblInv[الفترة],D$7))</f>
        <v/>
      </c>
      <c r="E85" s="80">
        <f>IF($A85="","",SUMIFS(tblInv[المتبقي],tblInv[كود العميل],$A85,tblInv[الفترة],E$7))</f>
        <v/>
      </c>
      <c r="F85" s="80">
        <f>IF($A85="","",SUMIFS(tblInv[المتبقي],tblInv[كود العميل],$A85,tblInv[الفترة],F$7))</f>
        <v/>
      </c>
      <c r="G85" s="80">
        <f>IF($A85="","",SUMIFS(tblInv[المتبقي],tblInv[كود العميل],$A85,tblInv[الفترة],G$7))</f>
        <v/>
      </c>
      <c r="H85" s="80">
        <f>IF($A85="","",SUMIFS(tblInv[المتبقي],tblInv[كود العميل],$A85,tblInv[الفترة],H$7))</f>
        <v/>
      </c>
      <c r="I85" s="80">
        <f>IF($A85="","",SUMIFS(tblInv[المتبقي],tblInv[كود العميل],$A85,tblInv[الفترة],I$7))</f>
        <v/>
      </c>
      <c r="J85" s="80">
        <f>IF($A85="","",SUM(C85:I85))</f>
        <v/>
      </c>
      <c r="K85" s="80">
        <f>IF($A85="","",-SUMIFS(tblRec[المبلغ],tblRec[كود العميل],$A85,tblRec[رقم الفاتورة],"",tblRec[التاريخ],"&lt;="&amp;AsOf)+SUMIFS(tblInv[المتبقي],tblInv[كود العميل],$A85,tblInv[المتبقي],"&lt;0"))</f>
        <v/>
      </c>
      <c r="L85" s="81">
        <f>IF($A85="","",J85+K85)</f>
        <v/>
      </c>
      <c r="M85" s="82">
        <f>IF($A85="","",IFERROR(L85/$L$8,0))</f>
        <v/>
      </c>
      <c r="N85" s="80">
        <f>IF($A85="","",INDEX(tblCustomers[حد الائتمان],MATCH($A85,tblCustomers[كود العميل],0)))</f>
        <v/>
      </c>
      <c r="O85" s="83">
        <f>IF($A85="","",IF(AND(N85&gt;0,L85&gt;N85),"⛔",""))</f>
        <v/>
      </c>
    </row>
    <row r="86">
      <c r="A86" s="78">
        <f>IFERROR(INDEX(tblCustomers[كود العميل],MATCH(77,tblCustomers[ترتيب],0)),"")</f>
        <v/>
      </c>
      <c r="B86" s="79">
        <f>IF($A86="","",INDEX(tblCustomers[اسم العميل],MATCH($A86,tblCustomers[كود العميل],0)))</f>
        <v/>
      </c>
      <c r="C86" s="80">
        <f>IF($A86="","",SUMIFS(tblInv[المتبقي],tblInv[كود العميل],$A86,tblInv[الفترة],C$7))</f>
        <v/>
      </c>
      <c r="D86" s="80">
        <f>IF($A86="","",SUMIFS(tblInv[المتبقي],tblInv[كود العميل],$A86,tblInv[الفترة],D$7))</f>
        <v/>
      </c>
      <c r="E86" s="80">
        <f>IF($A86="","",SUMIFS(tblInv[المتبقي],tblInv[كود العميل],$A86,tblInv[الفترة],E$7))</f>
        <v/>
      </c>
      <c r="F86" s="80">
        <f>IF($A86="","",SUMIFS(tblInv[المتبقي],tblInv[كود العميل],$A86,tblInv[الفترة],F$7))</f>
        <v/>
      </c>
      <c r="G86" s="80">
        <f>IF($A86="","",SUMIFS(tblInv[المتبقي],tblInv[كود العميل],$A86,tblInv[الفترة],G$7))</f>
        <v/>
      </c>
      <c r="H86" s="80">
        <f>IF($A86="","",SUMIFS(tblInv[المتبقي],tblInv[كود العميل],$A86,tblInv[الفترة],H$7))</f>
        <v/>
      </c>
      <c r="I86" s="80">
        <f>IF($A86="","",SUMIFS(tblInv[المتبقي],tblInv[كود العميل],$A86,tblInv[الفترة],I$7))</f>
        <v/>
      </c>
      <c r="J86" s="80">
        <f>IF($A86="","",SUM(C86:I86))</f>
        <v/>
      </c>
      <c r="K86" s="80">
        <f>IF($A86="","",-SUMIFS(tblRec[المبلغ],tblRec[كود العميل],$A86,tblRec[رقم الفاتورة],"",tblRec[التاريخ],"&lt;="&amp;AsOf)+SUMIFS(tblInv[المتبقي],tblInv[كود العميل],$A86,tblInv[المتبقي],"&lt;0"))</f>
        <v/>
      </c>
      <c r="L86" s="81">
        <f>IF($A86="","",J86+K86)</f>
        <v/>
      </c>
      <c r="M86" s="82">
        <f>IF($A86="","",IFERROR(L86/$L$8,0))</f>
        <v/>
      </c>
      <c r="N86" s="80">
        <f>IF($A86="","",INDEX(tblCustomers[حد الائتمان],MATCH($A86,tblCustomers[كود العميل],0)))</f>
        <v/>
      </c>
      <c r="O86" s="83">
        <f>IF($A86="","",IF(AND(N86&gt;0,L86&gt;N86),"⛔",""))</f>
        <v/>
      </c>
    </row>
    <row r="87">
      <c r="A87" s="78">
        <f>IFERROR(INDEX(tblCustomers[كود العميل],MATCH(78,tblCustomers[ترتيب],0)),"")</f>
        <v/>
      </c>
      <c r="B87" s="79">
        <f>IF($A87="","",INDEX(tblCustomers[اسم العميل],MATCH($A87,tblCustomers[كود العميل],0)))</f>
        <v/>
      </c>
      <c r="C87" s="80">
        <f>IF($A87="","",SUMIFS(tblInv[المتبقي],tblInv[كود العميل],$A87,tblInv[الفترة],C$7))</f>
        <v/>
      </c>
      <c r="D87" s="80">
        <f>IF($A87="","",SUMIFS(tblInv[المتبقي],tblInv[كود العميل],$A87,tblInv[الفترة],D$7))</f>
        <v/>
      </c>
      <c r="E87" s="80">
        <f>IF($A87="","",SUMIFS(tblInv[المتبقي],tblInv[كود العميل],$A87,tblInv[الفترة],E$7))</f>
        <v/>
      </c>
      <c r="F87" s="80">
        <f>IF($A87="","",SUMIFS(tblInv[المتبقي],tblInv[كود العميل],$A87,tblInv[الفترة],F$7))</f>
        <v/>
      </c>
      <c r="G87" s="80">
        <f>IF($A87="","",SUMIFS(tblInv[المتبقي],tblInv[كود العميل],$A87,tblInv[الفترة],G$7))</f>
        <v/>
      </c>
      <c r="H87" s="80">
        <f>IF($A87="","",SUMIFS(tblInv[المتبقي],tblInv[كود العميل],$A87,tblInv[الفترة],H$7))</f>
        <v/>
      </c>
      <c r="I87" s="80">
        <f>IF($A87="","",SUMIFS(tblInv[المتبقي],tblInv[كود العميل],$A87,tblInv[الفترة],I$7))</f>
        <v/>
      </c>
      <c r="J87" s="80">
        <f>IF($A87="","",SUM(C87:I87))</f>
        <v/>
      </c>
      <c r="K87" s="80">
        <f>IF($A87="","",-SUMIFS(tblRec[المبلغ],tblRec[كود العميل],$A87,tblRec[رقم الفاتورة],"",tblRec[التاريخ],"&lt;="&amp;AsOf)+SUMIFS(tblInv[المتبقي],tblInv[كود العميل],$A87,tblInv[المتبقي],"&lt;0"))</f>
        <v/>
      </c>
      <c r="L87" s="81">
        <f>IF($A87="","",J87+K87)</f>
        <v/>
      </c>
      <c r="M87" s="82">
        <f>IF($A87="","",IFERROR(L87/$L$8,0))</f>
        <v/>
      </c>
      <c r="N87" s="80">
        <f>IF($A87="","",INDEX(tblCustomers[حد الائتمان],MATCH($A87,tblCustomers[كود العميل],0)))</f>
        <v/>
      </c>
      <c r="O87" s="83">
        <f>IF($A87="","",IF(AND(N87&gt;0,L87&gt;N87),"⛔",""))</f>
        <v/>
      </c>
    </row>
    <row r="88">
      <c r="A88" s="78">
        <f>IFERROR(INDEX(tblCustomers[كود العميل],MATCH(79,tblCustomers[ترتيب],0)),"")</f>
        <v/>
      </c>
      <c r="B88" s="79">
        <f>IF($A88="","",INDEX(tblCustomers[اسم العميل],MATCH($A88,tblCustomers[كود العميل],0)))</f>
        <v/>
      </c>
      <c r="C88" s="80">
        <f>IF($A88="","",SUMIFS(tblInv[المتبقي],tblInv[كود العميل],$A88,tblInv[الفترة],C$7))</f>
        <v/>
      </c>
      <c r="D88" s="80">
        <f>IF($A88="","",SUMIFS(tblInv[المتبقي],tblInv[كود العميل],$A88,tblInv[الفترة],D$7))</f>
        <v/>
      </c>
      <c r="E88" s="80">
        <f>IF($A88="","",SUMIFS(tblInv[المتبقي],tblInv[كود العميل],$A88,tblInv[الفترة],E$7))</f>
        <v/>
      </c>
      <c r="F88" s="80">
        <f>IF($A88="","",SUMIFS(tblInv[المتبقي],tblInv[كود العميل],$A88,tblInv[الفترة],F$7))</f>
        <v/>
      </c>
      <c r="G88" s="80">
        <f>IF($A88="","",SUMIFS(tblInv[المتبقي],tblInv[كود العميل],$A88,tblInv[الفترة],G$7))</f>
        <v/>
      </c>
      <c r="H88" s="80">
        <f>IF($A88="","",SUMIFS(tblInv[المتبقي],tblInv[كود العميل],$A88,tblInv[الفترة],H$7))</f>
        <v/>
      </c>
      <c r="I88" s="80">
        <f>IF($A88="","",SUMIFS(tblInv[المتبقي],tblInv[كود العميل],$A88,tblInv[الفترة],I$7))</f>
        <v/>
      </c>
      <c r="J88" s="80">
        <f>IF($A88="","",SUM(C88:I88))</f>
        <v/>
      </c>
      <c r="K88" s="80">
        <f>IF($A88="","",-SUMIFS(tblRec[المبلغ],tblRec[كود العميل],$A88,tblRec[رقم الفاتورة],"",tblRec[التاريخ],"&lt;="&amp;AsOf)+SUMIFS(tblInv[المتبقي],tblInv[كود العميل],$A88,tblInv[المتبقي],"&lt;0"))</f>
        <v/>
      </c>
      <c r="L88" s="81">
        <f>IF($A88="","",J88+K88)</f>
        <v/>
      </c>
      <c r="M88" s="82">
        <f>IF($A88="","",IFERROR(L88/$L$8,0))</f>
        <v/>
      </c>
      <c r="N88" s="80">
        <f>IF($A88="","",INDEX(tblCustomers[حد الائتمان],MATCH($A88,tblCustomers[كود العميل],0)))</f>
        <v/>
      </c>
      <c r="O88" s="83">
        <f>IF($A88="","",IF(AND(N88&gt;0,L88&gt;N88),"⛔",""))</f>
        <v/>
      </c>
    </row>
    <row r="89">
      <c r="A89" s="78">
        <f>IFERROR(INDEX(tblCustomers[كود العميل],MATCH(80,tblCustomers[ترتيب],0)),"")</f>
        <v/>
      </c>
      <c r="B89" s="79">
        <f>IF($A89="","",INDEX(tblCustomers[اسم العميل],MATCH($A89,tblCustomers[كود العميل],0)))</f>
        <v/>
      </c>
      <c r="C89" s="80">
        <f>IF($A89="","",SUMIFS(tblInv[المتبقي],tblInv[كود العميل],$A89,tblInv[الفترة],C$7))</f>
        <v/>
      </c>
      <c r="D89" s="80">
        <f>IF($A89="","",SUMIFS(tblInv[المتبقي],tblInv[كود العميل],$A89,tblInv[الفترة],D$7))</f>
        <v/>
      </c>
      <c r="E89" s="80">
        <f>IF($A89="","",SUMIFS(tblInv[المتبقي],tblInv[كود العميل],$A89,tblInv[الفترة],E$7))</f>
        <v/>
      </c>
      <c r="F89" s="80">
        <f>IF($A89="","",SUMIFS(tblInv[المتبقي],tblInv[كود العميل],$A89,tblInv[الفترة],F$7))</f>
        <v/>
      </c>
      <c r="G89" s="80">
        <f>IF($A89="","",SUMIFS(tblInv[المتبقي],tblInv[كود العميل],$A89,tblInv[الفترة],G$7))</f>
        <v/>
      </c>
      <c r="H89" s="80">
        <f>IF($A89="","",SUMIFS(tblInv[المتبقي],tblInv[كود العميل],$A89,tblInv[الفترة],H$7))</f>
        <v/>
      </c>
      <c r="I89" s="80">
        <f>IF($A89="","",SUMIFS(tblInv[المتبقي],tblInv[كود العميل],$A89,tblInv[الفترة],I$7))</f>
        <v/>
      </c>
      <c r="J89" s="80">
        <f>IF($A89="","",SUM(C89:I89))</f>
        <v/>
      </c>
      <c r="K89" s="80">
        <f>IF($A89="","",-SUMIFS(tblRec[المبلغ],tblRec[كود العميل],$A89,tblRec[رقم الفاتورة],"",tblRec[التاريخ],"&lt;="&amp;AsOf)+SUMIFS(tblInv[المتبقي],tblInv[كود العميل],$A89,tblInv[المتبقي],"&lt;0"))</f>
        <v/>
      </c>
      <c r="L89" s="81">
        <f>IF($A89="","",J89+K89)</f>
        <v/>
      </c>
      <c r="M89" s="82">
        <f>IF($A89="","",IFERROR(L89/$L$8,0))</f>
        <v/>
      </c>
      <c r="N89" s="80">
        <f>IF($A89="","",INDEX(tblCustomers[حد الائتمان],MATCH($A89,tblCustomers[كود العميل],0)))</f>
        <v/>
      </c>
      <c r="O89" s="83">
        <f>IF($A89="","",IF(AND(N89&gt;0,L89&gt;N89),"⛔",""))</f>
        <v/>
      </c>
    </row>
    <row r="90">
      <c r="A90" s="78">
        <f>IFERROR(INDEX(tblCustomers[كود العميل],MATCH(81,tblCustomers[ترتيب],0)),"")</f>
        <v/>
      </c>
      <c r="B90" s="79">
        <f>IF($A90="","",INDEX(tblCustomers[اسم العميل],MATCH($A90,tblCustomers[كود العميل],0)))</f>
        <v/>
      </c>
      <c r="C90" s="80">
        <f>IF($A90="","",SUMIFS(tblInv[المتبقي],tblInv[كود العميل],$A90,tblInv[الفترة],C$7))</f>
        <v/>
      </c>
      <c r="D90" s="80">
        <f>IF($A90="","",SUMIFS(tblInv[المتبقي],tblInv[كود العميل],$A90,tblInv[الفترة],D$7))</f>
        <v/>
      </c>
      <c r="E90" s="80">
        <f>IF($A90="","",SUMIFS(tblInv[المتبقي],tblInv[كود العميل],$A90,tblInv[الفترة],E$7))</f>
        <v/>
      </c>
      <c r="F90" s="80">
        <f>IF($A90="","",SUMIFS(tblInv[المتبقي],tblInv[كود العميل],$A90,tblInv[الفترة],F$7))</f>
        <v/>
      </c>
      <c r="G90" s="80">
        <f>IF($A90="","",SUMIFS(tblInv[المتبقي],tblInv[كود العميل],$A90,tblInv[الفترة],G$7))</f>
        <v/>
      </c>
      <c r="H90" s="80">
        <f>IF($A90="","",SUMIFS(tblInv[المتبقي],tblInv[كود العميل],$A90,tblInv[الفترة],H$7))</f>
        <v/>
      </c>
      <c r="I90" s="80">
        <f>IF($A90="","",SUMIFS(tblInv[المتبقي],tblInv[كود العميل],$A90,tblInv[الفترة],I$7))</f>
        <v/>
      </c>
      <c r="J90" s="80">
        <f>IF($A90="","",SUM(C90:I90))</f>
        <v/>
      </c>
      <c r="K90" s="80">
        <f>IF($A90="","",-SUMIFS(tblRec[المبلغ],tblRec[كود العميل],$A90,tblRec[رقم الفاتورة],"",tblRec[التاريخ],"&lt;="&amp;AsOf)+SUMIFS(tblInv[المتبقي],tblInv[كود العميل],$A90,tblInv[المتبقي],"&lt;0"))</f>
        <v/>
      </c>
      <c r="L90" s="81">
        <f>IF($A90="","",J90+K90)</f>
        <v/>
      </c>
      <c r="M90" s="82">
        <f>IF($A90="","",IFERROR(L90/$L$8,0))</f>
        <v/>
      </c>
      <c r="N90" s="80">
        <f>IF($A90="","",INDEX(tblCustomers[حد الائتمان],MATCH($A90,tblCustomers[كود العميل],0)))</f>
        <v/>
      </c>
      <c r="O90" s="83">
        <f>IF($A90="","",IF(AND(N90&gt;0,L90&gt;N90),"⛔",""))</f>
        <v/>
      </c>
    </row>
    <row r="91">
      <c r="A91" s="78">
        <f>IFERROR(INDEX(tblCustomers[كود العميل],MATCH(82,tblCustomers[ترتيب],0)),"")</f>
        <v/>
      </c>
      <c r="B91" s="79">
        <f>IF($A91="","",INDEX(tblCustomers[اسم العميل],MATCH($A91,tblCustomers[كود العميل],0)))</f>
        <v/>
      </c>
      <c r="C91" s="80">
        <f>IF($A91="","",SUMIFS(tblInv[المتبقي],tblInv[كود العميل],$A91,tblInv[الفترة],C$7))</f>
        <v/>
      </c>
      <c r="D91" s="80">
        <f>IF($A91="","",SUMIFS(tblInv[المتبقي],tblInv[كود العميل],$A91,tblInv[الفترة],D$7))</f>
        <v/>
      </c>
      <c r="E91" s="80">
        <f>IF($A91="","",SUMIFS(tblInv[المتبقي],tblInv[كود العميل],$A91,tblInv[الفترة],E$7))</f>
        <v/>
      </c>
      <c r="F91" s="80">
        <f>IF($A91="","",SUMIFS(tblInv[المتبقي],tblInv[كود العميل],$A91,tblInv[الفترة],F$7))</f>
        <v/>
      </c>
      <c r="G91" s="80">
        <f>IF($A91="","",SUMIFS(tblInv[المتبقي],tblInv[كود العميل],$A91,tblInv[الفترة],G$7))</f>
        <v/>
      </c>
      <c r="H91" s="80">
        <f>IF($A91="","",SUMIFS(tblInv[المتبقي],tblInv[كود العميل],$A91,tblInv[الفترة],H$7))</f>
        <v/>
      </c>
      <c r="I91" s="80">
        <f>IF($A91="","",SUMIFS(tblInv[المتبقي],tblInv[كود العميل],$A91,tblInv[الفترة],I$7))</f>
        <v/>
      </c>
      <c r="J91" s="80">
        <f>IF($A91="","",SUM(C91:I91))</f>
        <v/>
      </c>
      <c r="K91" s="80">
        <f>IF($A91="","",-SUMIFS(tblRec[المبلغ],tblRec[كود العميل],$A91,tblRec[رقم الفاتورة],"",tblRec[التاريخ],"&lt;="&amp;AsOf)+SUMIFS(tblInv[المتبقي],tblInv[كود العميل],$A91,tblInv[المتبقي],"&lt;0"))</f>
        <v/>
      </c>
      <c r="L91" s="81">
        <f>IF($A91="","",J91+K91)</f>
        <v/>
      </c>
      <c r="M91" s="82">
        <f>IF($A91="","",IFERROR(L91/$L$8,0))</f>
        <v/>
      </c>
      <c r="N91" s="80">
        <f>IF($A91="","",INDEX(tblCustomers[حد الائتمان],MATCH($A91,tblCustomers[كود العميل],0)))</f>
        <v/>
      </c>
      <c r="O91" s="83">
        <f>IF($A91="","",IF(AND(N91&gt;0,L91&gt;N91),"⛔",""))</f>
        <v/>
      </c>
    </row>
    <row r="92">
      <c r="A92" s="78">
        <f>IFERROR(INDEX(tblCustomers[كود العميل],MATCH(83,tblCustomers[ترتيب],0)),"")</f>
        <v/>
      </c>
      <c r="B92" s="79">
        <f>IF($A92="","",INDEX(tblCustomers[اسم العميل],MATCH($A92,tblCustomers[كود العميل],0)))</f>
        <v/>
      </c>
      <c r="C92" s="80">
        <f>IF($A92="","",SUMIFS(tblInv[المتبقي],tblInv[كود العميل],$A92,tblInv[الفترة],C$7))</f>
        <v/>
      </c>
      <c r="D92" s="80">
        <f>IF($A92="","",SUMIFS(tblInv[المتبقي],tblInv[كود العميل],$A92,tblInv[الفترة],D$7))</f>
        <v/>
      </c>
      <c r="E92" s="80">
        <f>IF($A92="","",SUMIFS(tblInv[المتبقي],tblInv[كود العميل],$A92,tblInv[الفترة],E$7))</f>
        <v/>
      </c>
      <c r="F92" s="80">
        <f>IF($A92="","",SUMIFS(tblInv[المتبقي],tblInv[كود العميل],$A92,tblInv[الفترة],F$7))</f>
        <v/>
      </c>
      <c r="G92" s="80">
        <f>IF($A92="","",SUMIFS(tblInv[المتبقي],tblInv[كود العميل],$A92,tblInv[الفترة],G$7))</f>
        <v/>
      </c>
      <c r="H92" s="80">
        <f>IF($A92="","",SUMIFS(tblInv[المتبقي],tblInv[كود العميل],$A92,tblInv[الفترة],H$7))</f>
        <v/>
      </c>
      <c r="I92" s="80">
        <f>IF($A92="","",SUMIFS(tblInv[المتبقي],tblInv[كود العميل],$A92,tblInv[الفترة],I$7))</f>
        <v/>
      </c>
      <c r="J92" s="80">
        <f>IF($A92="","",SUM(C92:I92))</f>
        <v/>
      </c>
      <c r="K92" s="80">
        <f>IF($A92="","",-SUMIFS(tblRec[المبلغ],tblRec[كود العميل],$A92,tblRec[رقم الفاتورة],"",tblRec[التاريخ],"&lt;="&amp;AsOf)+SUMIFS(tblInv[المتبقي],tblInv[كود العميل],$A92,tblInv[المتبقي],"&lt;0"))</f>
        <v/>
      </c>
      <c r="L92" s="81">
        <f>IF($A92="","",J92+K92)</f>
        <v/>
      </c>
      <c r="M92" s="82">
        <f>IF($A92="","",IFERROR(L92/$L$8,0))</f>
        <v/>
      </c>
      <c r="N92" s="80">
        <f>IF($A92="","",INDEX(tblCustomers[حد الائتمان],MATCH($A92,tblCustomers[كود العميل],0)))</f>
        <v/>
      </c>
      <c r="O92" s="83">
        <f>IF($A92="","",IF(AND(N92&gt;0,L92&gt;N92),"⛔",""))</f>
        <v/>
      </c>
    </row>
    <row r="93">
      <c r="A93" s="78">
        <f>IFERROR(INDEX(tblCustomers[كود العميل],MATCH(84,tblCustomers[ترتيب],0)),"")</f>
        <v/>
      </c>
      <c r="B93" s="79">
        <f>IF($A93="","",INDEX(tblCustomers[اسم العميل],MATCH($A93,tblCustomers[كود العميل],0)))</f>
        <v/>
      </c>
      <c r="C93" s="80">
        <f>IF($A93="","",SUMIFS(tblInv[المتبقي],tblInv[كود العميل],$A93,tblInv[الفترة],C$7))</f>
        <v/>
      </c>
      <c r="D93" s="80">
        <f>IF($A93="","",SUMIFS(tblInv[المتبقي],tblInv[كود العميل],$A93,tblInv[الفترة],D$7))</f>
        <v/>
      </c>
      <c r="E93" s="80">
        <f>IF($A93="","",SUMIFS(tblInv[المتبقي],tblInv[كود العميل],$A93,tblInv[الفترة],E$7))</f>
        <v/>
      </c>
      <c r="F93" s="80">
        <f>IF($A93="","",SUMIFS(tblInv[المتبقي],tblInv[كود العميل],$A93,tblInv[الفترة],F$7))</f>
        <v/>
      </c>
      <c r="G93" s="80">
        <f>IF($A93="","",SUMIFS(tblInv[المتبقي],tblInv[كود العميل],$A93,tblInv[الفترة],G$7))</f>
        <v/>
      </c>
      <c r="H93" s="80">
        <f>IF($A93="","",SUMIFS(tblInv[المتبقي],tblInv[كود العميل],$A93,tblInv[الفترة],H$7))</f>
        <v/>
      </c>
      <c r="I93" s="80">
        <f>IF($A93="","",SUMIFS(tblInv[المتبقي],tblInv[كود العميل],$A93,tblInv[الفترة],I$7))</f>
        <v/>
      </c>
      <c r="J93" s="80">
        <f>IF($A93="","",SUM(C93:I93))</f>
        <v/>
      </c>
      <c r="K93" s="80">
        <f>IF($A93="","",-SUMIFS(tblRec[المبلغ],tblRec[كود العميل],$A93,tblRec[رقم الفاتورة],"",tblRec[التاريخ],"&lt;="&amp;AsOf)+SUMIFS(tblInv[المتبقي],tblInv[كود العميل],$A93,tblInv[المتبقي],"&lt;0"))</f>
        <v/>
      </c>
      <c r="L93" s="81">
        <f>IF($A93="","",J93+K93)</f>
        <v/>
      </c>
      <c r="M93" s="82">
        <f>IF($A93="","",IFERROR(L93/$L$8,0))</f>
        <v/>
      </c>
      <c r="N93" s="80">
        <f>IF($A93="","",INDEX(tblCustomers[حد الائتمان],MATCH($A93,tblCustomers[كود العميل],0)))</f>
        <v/>
      </c>
      <c r="O93" s="83">
        <f>IF($A93="","",IF(AND(N93&gt;0,L93&gt;N93),"⛔",""))</f>
        <v/>
      </c>
    </row>
    <row r="94">
      <c r="A94" s="78">
        <f>IFERROR(INDEX(tblCustomers[كود العميل],MATCH(85,tblCustomers[ترتيب],0)),"")</f>
        <v/>
      </c>
      <c r="B94" s="79">
        <f>IF($A94="","",INDEX(tblCustomers[اسم العميل],MATCH($A94,tblCustomers[كود العميل],0)))</f>
        <v/>
      </c>
      <c r="C94" s="80">
        <f>IF($A94="","",SUMIFS(tblInv[المتبقي],tblInv[كود العميل],$A94,tblInv[الفترة],C$7))</f>
        <v/>
      </c>
      <c r="D94" s="80">
        <f>IF($A94="","",SUMIFS(tblInv[المتبقي],tblInv[كود العميل],$A94,tblInv[الفترة],D$7))</f>
        <v/>
      </c>
      <c r="E94" s="80">
        <f>IF($A94="","",SUMIFS(tblInv[المتبقي],tblInv[كود العميل],$A94,tblInv[الفترة],E$7))</f>
        <v/>
      </c>
      <c r="F94" s="80">
        <f>IF($A94="","",SUMIFS(tblInv[المتبقي],tblInv[كود العميل],$A94,tblInv[الفترة],F$7))</f>
        <v/>
      </c>
      <c r="G94" s="80">
        <f>IF($A94="","",SUMIFS(tblInv[المتبقي],tblInv[كود العميل],$A94,tblInv[الفترة],G$7))</f>
        <v/>
      </c>
      <c r="H94" s="80">
        <f>IF($A94="","",SUMIFS(tblInv[المتبقي],tblInv[كود العميل],$A94,tblInv[الفترة],H$7))</f>
        <v/>
      </c>
      <c r="I94" s="80">
        <f>IF($A94="","",SUMIFS(tblInv[المتبقي],tblInv[كود العميل],$A94,tblInv[الفترة],I$7))</f>
        <v/>
      </c>
      <c r="J94" s="80">
        <f>IF($A94="","",SUM(C94:I94))</f>
        <v/>
      </c>
      <c r="K94" s="80">
        <f>IF($A94="","",-SUMIFS(tblRec[المبلغ],tblRec[كود العميل],$A94,tblRec[رقم الفاتورة],"",tblRec[التاريخ],"&lt;="&amp;AsOf)+SUMIFS(tblInv[المتبقي],tblInv[كود العميل],$A94,tblInv[المتبقي],"&lt;0"))</f>
        <v/>
      </c>
      <c r="L94" s="81">
        <f>IF($A94="","",J94+K94)</f>
        <v/>
      </c>
      <c r="M94" s="82">
        <f>IF($A94="","",IFERROR(L94/$L$8,0))</f>
        <v/>
      </c>
      <c r="N94" s="80">
        <f>IF($A94="","",INDEX(tblCustomers[حد الائتمان],MATCH($A94,tblCustomers[كود العميل],0)))</f>
        <v/>
      </c>
      <c r="O94" s="83">
        <f>IF($A94="","",IF(AND(N94&gt;0,L94&gt;N94),"⛔",""))</f>
        <v/>
      </c>
    </row>
    <row r="95">
      <c r="A95" s="78">
        <f>IFERROR(INDEX(tblCustomers[كود العميل],MATCH(86,tblCustomers[ترتيب],0)),"")</f>
        <v/>
      </c>
      <c r="B95" s="79">
        <f>IF($A95="","",INDEX(tblCustomers[اسم العميل],MATCH($A95,tblCustomers[كود العميل],0)))</f>
        <v/>
      </c>
      <c r="C95" s="80">
        <f>IF($A95="","",SUMIFS(tblInv[المتبقي],tblInv[كود العميل],$A95,tblInv[الفترة],C$7))</f>
        <v/>
      </c>
      <c r="D95" s="80">
        <f>IF($A95="","",SUMIFS(tblInv[المتبقي],tblInv[كود العميل],$A95,tblInv[الفترة],D$7))</f>
        <v/>
      </c>
      <c r="E95" s="80">
        <f>IF($A95="","",SUMIFS(tblInv[المتبقي],tblInv[كود العميل],$A95,tblInv[الفترة],E$7))</f>
        <v/>
      </c>
      <c r="F95" s="80">
        <f>IF($A95="","",SUMIFS(tblInv[المتبقي],tblInv[كود العميل],$A95,tblInv[الفترة],F$7))</f>
        <v/>
      </c>
      <c r="G95" s="80">
        <f>IF($A95="","",SUMIFS(tblInv[المتبقي],tblInv[كود العميل],$A95,tblInv[الفترة],G$7))</f>
        <v/>
      </c>
      <c r="H95" s="80">
        <f>IF($A95="","",SUMIFS(tblInv[المتبقي],tblInv[كود العميل],$A95,tblInv[الفترة],H$7))</f>
        <v/>
      </c>
      <c r="I95" s="80">
        <f>IF($A95="","",SUMIFS(tblInv[المتبقي],tblInv[كود العميل],$A95,tblInv[الفترة],I$7))</f>
        <v/>
      </c>
      <c r="J95" s="80">
        <f>IF($A95="","",SUM(C95:I95))</f>
        <v/>
      </c>
      <c r="K95" s="80">
        <f>IF($A95="","",-SUMIFS(tblRec[المبلغ],tblRec[كود العميل],$A95,tblRec[رقم الفاتورة],"",tblRec[التاريخ],"&lt;="&amp;AsOf)+SUMIFS(tblInv[المتبقي],tblInv[كود العميل],$A95,tblInv[المتبقي],"&lt;0"))</f>
        <v/>
      </c>
      <c r="L95" s="81">
        <f>IF($A95="","",J95+K95)</f>
        <v/>
      </c>
      <c r="M95" s="82">
        <f>IF($A95="","",IFERROR(L95/$L$8,0))</f>
        <v/>
      </c>
      <c r="N95" s="80">
        <f>IF($A95="","",INDEX(tblCustomers[حد الائتمان],MATCH($A95,tblCustomers[كود العميل],0)))</f>
        <v/>
      </c>
      <c r="O95" s="83">
        <f>IF($A95="","",IF(AND(N95&gt;0,L95&gt;N95),"⛔",""))</f>
        <v/>
      </c>
    </row>
    <row r="96">
      <c r="A96" s="78">
        <f>IFERROR(INDEX(tblCustomers[كود العميل],MATCH(87,tblCustomers[ترتيب],0)),"")</f>
        <v/>
      </c>
      <c r="B96" s="79">
        <f>IF($A96="","",INDEX(tblCustomers[اسم العميل],MATCH($A96,tblCustomers[كود العميل],0)))</f>
        <v/>
      </c>
      <c r="C96" s="80">
        <f>IF($A96="","",SUMIFS(tblInv[المتبقي],tblInv[كود العميل],$A96,tblInv[الفترة],C$7))</f>
        <v/>
      </c>
      <c r="D96" s="80">
        <f>IF($A96="","",SUMIFS(tblInv[المتبقي],tblInv[كود العميل],$A96,tblInv[الفترة],D$7))</f>
        <v/>
      </c>
      <c r="E96" s="80">
        <f>IF($A96="","",SUMIFS(tblInv[المتبقي],tblInv[كود العميل],$A96,tblInv[الفترة],E$7))</f>
        <v/>
      </c>
      <c r="F96" s="80">
        <f>IF($A96="","",SUMIFS(tblInv[المتبقي],tblInv[كود العميل],$A96,tblInv[الفترة],F$7))</f>
        <v/>
      </c>
      <c r="G96" s="80">
        <f>IF($A96="","",SUMIFS(tblInv[المتبقي],tblInv[كود العميل],$A96,tblInv[الفترة],G$7))</f>
        <v/>
      </c>
      <c r="H96" s="80">
        <f>IF($A96="","",SUMIFS(tblInv[المتبقي],tblInv[كود العميل],$A96,tblInv[الفترة],H$7))</f>
        <v/>
      </c>
      <c r="I96" s="80">
        <f>IF($A96="","",SUMIFS(tblInv[المتبقي],tblInv[كود العميل],$A96,tblInv[الفترة],I$7))</f>
        <v/>
      </c>
      <c r="J96" s="80">
        <f>IF($A96="","",SUM(C96:I96))</f>
        <v/>
      </c>
      <c r="K96" s="80">
        <f>IF($A96="","",-SUMIFS(tblRec[المبلغ],tblRec[كود العميل],$A96,tblRec[رقم الفاتورة],"",tblRec[التاريخ],"&lt;="&amp;AsOf)+SUMIFS(tblInv[المتبقي],tblInv[كود العميل],$A96,tblInv[المتبقي],"&lt;0"))</f>
        <v/>
      </c>
      <c r="L96" s="81">
        <f>IF($A96="","",J96+K96)</f>
        <v/>
      </c>
      <c r="M96" s="82">
        <f>IF($A96="","",IFERROR(L96/$L$8,0))</f>
        <v/>
      </c>
      <c r="N96" s="80">
        <f>IF($A96="","",INDEX(tblCustomers[حد الائتمان],MATCH($A96,tblCustomers[كود العميل],0)))</f>
        <v/>
      </c>
      <c r="O96" s="83">
        <f>IF($A96="","",IF(AND(N96&gt;0,L96&gt;N96),"⛔",""))</f>
        <v/>
      </c>
    </row>
    <row r="97">
      <c r="A97" s="78">
        <f>IFERROR(INDEX(tblCustomers[كود العميل],MATCH(88,tblCustomers[ترتيب],0)),"")</f>
        <v/>
      </c>
      <c r="B97" s="79">
        <f>IF($A97="","",INDEX(tblCustomers[اسم العميل],MATCH($A97,tblCustomers[كود العميل],0)))</f>
        <v/>
      </c>
      <c r="C97" s="80">
        <f>IF($A97="","",SUMIFS(tblInv[المتبقي],tblInv[كود العميل],$A97,tblInv[الفترة],C$7))</f>
        <v/>
      </c>
      <c r="D97" s="80">
        <f>IF($A97="","",SUMIFS(tblInv[المتبقي],tblInv[كود العميل],$A97,tblInv[الفترة],D$7))</f>
        <v/>
      </c>
      <c r="E97" s="80">
        <f>IF($A97="","",SUMIFS(tblInv[المتبقي],tblInv[كود العميل],$A97,tblInv[الفترة],E$7))</f>
        <v/>
      </c>
      <c r="F97" s="80">
        <f>IF($A97="","",SUMIFS(tblInv[المتبقي],tblInv[كود العميل],$A97,tblInv[الفترة],F$7))</f>
        <v/>
      </c>
      <c r="G97" s="80">
        <f>IF($A97="","",SUMIFS(tblInv[المتبقي],tblInv[كود العميل],$A97,tblInv[الفترة],G$7))</f>
        <v/>
      </c>
      <c r="H97" s="80">
        <f>IF($A97="","",SUMIFS(tblInv[المتبقي],tblInv[كود العميل],$A97,tblInv[الفترة],H$7))</f>
        <v/>
      </c>
      <c r="I97" s="80">
        <f>IF($A97="","",SUMIFS(tblInv[المتبقي],tblInv[كود العميل],$A97,tblInv[الفترة],I$7))</f>
        <v/>
      </c>
      <c r="J97" s="80">
        <f>IF($A97="","",SUM(C97:I97))</f>
        <v/>
      </c>
      <c r="K97" s="80">
        <f>IF($A97="","",-SUMIFS(tblRec[المبلغ],tblRec[كود العميل],$A97,tblRec[رقم الفاتورة],"",tblRec[التاريخ],"&lt;="&amp;AsOf)+SUMIFS(tblInv[المتبقي],tblInv[كود العميل],$A97,tblInv[المتبقي],"&lt;0"))</f>
        <v/>
      </c>
      <c r="L97" s="81">
        <f>IF($A97="","",J97+K97)</f>
        <v/>
      </c>
      <c r="M97" s="82">
        <f>IF($A97="","",IFERROR(L97/$L$8,0))</f>
        <v/>
      </c>
      <c r="N97" s="80">
        <f>IF($A97="","",INDEX(tblCustomers[حد الائتمان],MATCH($A97,tblCustomers[كود العميل],0)))</f>
        <v/>
      </c>
      <c r="O97" s="83">
        <f>IF($A97="","",IF(AND(N97&gt;0,L97&gt;N97),"⛔",""))</f>
        <v/>
      </c>
    </row>
    <row r="98">
      <c r="A98" s="78">
        <f>IFERROR(INDEX(tblCustomers[كود العميل],MATCH(89,tblCustomers[ترتيب],0)),"")</f>
        <v/>
      </c>
      <c r="B98" s="79">
        <f>IF($A98="","",INDEX(tblCustomers[اسم العميل],MATCH($A98,tblCustomers[كود العميل],0)))</f>
        <v/>
      </c>
      <c r="C98" s="80">
        <f>IF($A98="","",SUMIFS(tblInv[المتبقي],tblInv[كود العميل],$A98,tblInv[الفترة],C$7))</f>
        <v/>
      </c>
      <c r="D98" s="80">
        <f>IF($A98="","",SUMIFS(tblInv[المتبقي],tblInv[كود العميل],$A98,tblInv[الفترة],D$7))</f>
        <v/>
      </c>
      <c r="E98" s="80">
        <f>IF($A98="","",SUMIFS(tblInv[المتبقي],tblInv[كود العميل],$A98,tblInv[الفترة],E$7))</f>
        <v/>
      </c>
      <c r="F98" s="80">
        <f>IF($A98="","",SUMIFS(tblInv[المتبقي],tblInv[كود العميل],$A98,tblInv[الفترة],F$7))</f>
        <v/>
      </c>
      <c r="G98" s="80">
        <f>IF($A98="","",SUMIFS(tblInv[المتبقي],tblInv[كود العميل],$A98,tblInv[الفترة],G$7))</f>
        <v/>
      </c>
      <c r="H98" s="80">
        <f>IF($A98="","",SUMIFS(tblInv[المتبقي],tblInv[كود العميل],$A98,tblInv[الفترة],H$7))</f>
        <v/>
      </c>
      <c r="I98" s="80">
        <f>IF($A98="","",SUMIFS(tblInv[المتبقي],tblInv[كود العميل],$A98,tblInv[الفترة],I$7))</f>
        <v/>
      </c>
      <c r="J98" s="80">
        <f>IF($A98="","",SUM(C98:I98))</f>
        <v/>
      </c>
      <c r="K98" s="80">
        <f>IF($A98="","",-SUMIFS(tblRec[المبلغ],tblRec[كود العميل],$A98,tblRec[رقم الفاتورة],"",tblRec[التاريخ],"&lt;="&amp;AsOf)+SUMIFS(tblInv[المتبقي],tblInv[كود العميل],$A98,tblInv[المتبقي],"&lt;0"))</f>
        <v/>
      </c>
      <c r="L98" s="81">
        <f>IF($A98="","",J98+K98)</f>
        <v/>
      </c>
      <c r="M98" s="82">
        <f>IF($A98="","",IFERROR(L98/$L$8,0))</f>
        <v/>
      </c>
      <c r="N98" s="80">
        <f>IF($A98="","",INDEX(tblCustomers[حد الائتمان],MATCH($A98,tblCustomers[كود العميل],0)))</f>
        <v/>
      </c>
      <c r="O98" s="83">
        <f>IF($A98="","",IF(AND(N98&gt;0,L98&gt;N98),"⛔",""))</f>
        <v/>
      </c>
    </row>
    <row r="99">
      <c r="A99" s="78">
        <f>IFERROR(INDEX(tblCustomers[كود العميل],MATCH(90,tblCustomers[ترتيب],0)),"")</f>
        <v/>
      </c>
      <c r="B99" s="79">
        <f>IF($A99="","",INDEX(tblCustomers[اسم العميل],MATCH($A99,tblCustomers[كود العميل],0)))</f>
        <v/>
      </c>
      <c r="C99" s="80">
        <f>IF($A99="","",SUMIFS(tblInv[المتبقي],tblInv[كود العميل],$A99,tblInv[الفترة],C$7))</f>
        <v/>
      </c>
      <c r="D99" s="80">
        <f>IF($A99="","",SUMIFS(tblInv[المتبقي],tblInv[كود العميل],$A99,tblInv[الفترة],D$7))</f>
        <v/>
      </c>
      <c r="E99" s="80">
        <f>IF($A99="","",SUMIFS(tblInv[المتبقي],tblInv[كود العميل],$A99,tblInv[الفترة],E$7))</f>
        <v/>
      </c>
      <c r="F99" s="80">
        <f>IF($A99="","",SUMIFS(tblInv[المتبقي],tblInv[كود العميل],$A99,tblInv[الفترة],F$7))</f>
        <v/>
      </c>
      <c r="G99" s="80">
        <f>IF($A99="","",SUMIFS(tblInv[المتبقي],tblInv[كود العميل],$A99,tblInv[الفترة],G$7))</f>
        <v/>
      </c>
      <c r="H99" s="80">
        <f>IF($A99="","",SUMIFS(tblInv[المتبقي],tblInv[كود العميل],$A99,tblInv[الفترة],H$7))</f>
        <v/>
      </c>
      <c r="I99" s="80">
        <f>IF($A99="","",SUMIFS(tblInv[المتبقي],tblInv[كود العميل],$A99,tblInv[الفترة],I$7))</f>
        <v/>
      </c>
      <c r="J99" s="80">
        <f>IF($A99="","",SUM(C99:I99))</f>
        <v/>
      </c>
      <c r="K99" s="80">
        <f>IF($A99="","",-SUMIFS(tblRec[المبلغ],tblRec[كود العميل],$A99,tblRec[رقم الفاتورة],"",tblRec[التاريخ],"&lt;="&amp;AsOf)+SUMIFS(tblInv[المتبقي],tblInv[كود العميل],$A99,tblInv[المتبقي],"&lt;0"))</f>
        <v/>
      </c>
      <c r="L99" s="81">
        <f>IF($A99="","",J99+K99)</f>
        <v/>
      </c>
      <c r="M99" s="82">
        <f>IF($A99="","",IFERROR(L99/$L$8,0))</f>
        <v/>
      </c>
      <c r="N99" s="80">
        <f>IF($A99="","",INDEX(tblCustomers[حد الائتمان],MATCH($A99,tblCustomers[كود العميل],0)))</f>
        <v/>
      </c>
      <c r="O99" s="83">
        <f>IF($A99="","",IF(AND(N99&gt;0,L99&gt;N99),"⛔",""))</f>
        <v/>
      </c>
    </row>
    <row r="100">
      <c r="A100" s="78">
        <f>IFERROR(INDEX(tblCustomers[كود العميل],MATCH(91,tblCustomers[ترتيب],0)),"")</f>
        <v/>
      </c>
      <c r="B100" s="79">
        <f>IF($A100="","",INDEX(tblCustomers[اسم العميل],MATCH($A100,tblCustomers[كود العميل],0)))</f>
        <v/>
      </c>
      <c r="C100" s="80">
        <f>IF($A100="","",SUMIFS(tblInv[المتبقي],tblInv[كود العميل],$A100,tblInv[الفترة],C$7))</f>
        <v/>
      </c>
      <c r="D100" s="80">
        <f>IF($A100="","",SUMIFS(tblInv[المتبقي],tblInv[كود العميل],$A100,tblInv[الفترة],D$7))</f>
        <v/>
      </c>
      <c r="E100" s="80">
        <f>IF($A100="","",SUMIFS(tblInv[المتبقي],tblInv[كود العميل],$A100,tblInv[الفترة],E$7))</f>
        <v/>
      </c>
      <c r="F100" s="80">
        <f>IF($A100="","",SUMIFS(tblInv[المتبقي],tblInv[كود العميل],$A100,tblInv[الفترة],F$7))</f>
        <v/>
      </c>
      <c r="G100" s="80">
        <f>IF($A100="","",SUMIFS(tblInv[المتبقي],tblInv[كود العميل],$A100,tblInv[الفترة],G$7))</f>
        <v/>
      </c>
      <c r="H100" s="80">
        <f>IF($A100="","",SUMIFS(tblInv[المتبقي],tblInv[كود العميل],$A100,tblInv[الفترة],H$7))</f>
        <v/>
      </c>
      <c r="I100" s="80">
        <f>IF($A100="","",SUMIFS(tblInv[المتبقي],tblInv[كود العميل],$A100,tblInv[الفترة],I$7))</f>
        <v/>
      </c>
      <c r="J100" s="80">
        <f>IF($A100="","",SUM(C100:I100))</f>
        <v/>
      </c>
      <c r="K100" s="80">
        <f>IF($A100="","",-SUMIFS(tblRec[المبلغ],tblRec[كود العميل],$A100,tblRec[رقم الفاتورة],"",tblRec[التاريخ],"&lt;="&amp;AsOf)+SUMIFS(tblInv[المتبقي],tblInv[كود العميل],$A100,tblInv[المتبقي],"&lt;0"))</f>
        <v/>
      </c>
      <c r="L100" s="81">
        <f>IF($A100="","",J100+K100)</f>
        <v/>
      </c>
      <c r="M100" s="82">
        <f>IF($A100="","",IFERROR(L100/$L$8,0))</f>
        <v/>
      </c>
      <c r="N100" s="80">
        <f>IF($A100="","",INDEX(tblCustomers[حد الائتمان],MATCH($A100,tblCustomers[كود العميل],0)))</f>
        <v/>
      </c>
      <c r="O100" s="83">
        <f>IF($A100="","",IF(AND(N100&gt;0,L100&gt;N100),"⛔",""))</f>
        <v/>
      </c>
    </row>
    <row r="101">
      <c r="A101" s="78">
        <f>IFERROR(INDEX(tblCustomers[كود العميل],MATCH(92,tblCustomers[ترتيب],0)),"")</f>
        <v/>
      </c>
      <c r="B101" s="79">
        <f>IF($A101="","",INDEX(tblCustomers[اسم العميل],MATCH($A101,tblCustomers[كود العميل],0)))</f>
        <v/>
      </c>
      <c r="C101" s="80">
        <f>IF($A101="","",SUMIFS(tblInv[المتبقي],tblInv[كود العميل],$A101,tblInv[الفترة],C$7))</f>
        <v/>
      </c>
      <c r="D101" s="80">
        <f>IF($A101="","",SUMIFS(tblInv[المتبقي],tblInv[كود العميل],$A101,tblInv[الفترة],D$7))</f>
        <v/>
      </c>
      <c r="E101" s="80">
        <f>IF($A101="","",SUMIFS(tblInv[المتبقي],tblInv[كود العميل],$A101,tblInv[الفترة],E$7))</f>
        <v/>
      </c>
      <c r="F101" s="80">
        <f>IF($A101="","",SUMIFS(tblInv[المتبقي],tblInv[كود العميل],$A101,tblInv[الفترة],F$7))</f>
        <v/>
      </c>
      <c r="G101" s="80">
        <f>IF($A101="","",SUMIFS(tblInv[المتبقي],tblInv[كود العميل],$A101,tblInv[الفترة],G$7))</f>
        <v/>
      </c>
      <c r="H101" s="80">
        <f>IF($A101="","",SUMIFS(tblInv[المتبقي],tblInv[كود العميل],$A101,tblInv[الفترة],H$7))</f>
        <v/>
      </c>
      <c r="I101" s="80">
        <f>IF($A101="","",SUMIFS(tblInv[المتبقي],tblInv[كود العميل],$A101,tblInv[الفترة],I$7))</f>
        <v/>
      </c>
      <c r="J101" s="80">
        <f>IF($A101="","",SUM(C101:I101))</f>
        <v/>
      </c>
      <c r="K101" s="80">
        <f>IF($A101="","",-SUMIFS(tblRec[المبلغ],tblRec[كود العميل],$A101,tblRec[رقم الفاتورة],"",tblRec[التاريخ],"&lt;="&amp;AsOf)+SUMIFS(tblInv[المتبقي],tblInv[كود العميل],$A101,tblInv[المتبقي],"&lt;0"))</f>
        <v/>
      </c>
      <c r="L101" s="81">
        <f>IF($A101="","",J101+K101)</f>
        <v/>
      </c>
      <c r="M101" s="82">
        <f>IF($A101="","",IFERROR(L101/$L$8,0))</f>
        <v/>
      </c>
      <c r="N101" s="80">
        <f>IF($A101="","",INDEX(tblCustomers[حد الائتمان],MATCH($A101,tblCustomers[كود العميل],0)))</f>
        <v/>
      </c>
      <c r="O101" s="83">
        <f>IF($A101="","",IF(AND(N101&gt;0,L101&gt;N101),"⛔",""))</f>
        <v/>
      </c>
    </row>
    <row r="102">
      <c r="A102" s="78">
        <f>IFERROR(INDEX(tblCustomers[كود العميل],MATCH(93,tblCustomers[ترتيب],0)),"")</f>
        <v/>
      </c>
      <c r="B102" s="79">
        <f>IF($A102="","",INDEX(tblCustomers[اسم العميل],MATCH($A102,tblCustomers[كود العميل],0)))</f>
        <v/>
      </c>
      <c r="C102" s="80">
        <f>IF($A102="","",SUMIFS(tblInv[المتبقي],tblInv[كود العميل],$A102,tblInv[الفترة],C$7))</f>
        <v/>
      </c>
      <c r="D102" s="80">
        <f>IF($A102="","",SUMIFS(tblInv[المتبقي],tblInv[كود العميل],$A102,tblInv[الفترة],D$7))</f>
        <v/>
      </c>
      <c r="E102" s="80">
        <f>IF($A102="","",SUMIFS(tblInv[المتبقي],tblInv[كود العميل],$A102,tblInv[الفترة],E$7))</f>
        <v/>
      </c>
      <c r="F102" s="80">
        <f>IF($A102="","",SUMIFS(tblInv[المتبقي],tblInv[كود العميل],$A102,tblInv[الفترة],F$7))</f>
        <v/>
      </c>
      <c r="G102" s="80">
        <f>IF($A102="","",SUMIFS(tblInv[المتبقي],tblInv[كود العميل],$A102,tblInv[الفترة],G$7))</f>
        <v/>
      </c>
      <c r="H102" s="80">
        <f>IF($A102="","",SUMIFS(tblInv[المتبقي],tblInv[كود العميل],$A102,tblInv[الفترة],H$7))</f>
        <v/>
      </c>
      <c r="I102" s="80">
        <f>IF($A102="","",SUMIFS(tblInv[المتبقي],tblInv[كود العميل],$A102,tblInv[الفترة],I$7))</f>
        <v/>
      </c>
      <c r="J102" s="80">
        <f>IF($A102="","",SUM(C102:I102))</f>
        <v/>
      </c>
      <c r="K102" s="80">
        <f>IF($A102="","",-SUMIFS(tblRec[المبلغ],tblRec[كود العميل],$A102,tblRec[رقم الفاتورة],"",tblRec[التاريخ],"&lt;="&amp;AsOf)+SUMIFS(tblInv[المتبقي],tblInv[كود العميل],$A102,tblInv[المتبقي],"&lt;0"))</f>
        <v/>
      </c>
      <c r="L102" s="81">
        <f>IF($A102="","",J102+K102)</f>
        <v/>
      </c>
      <c r="M102" s="82">
        <f>IF($A102="","",IFERROR(L102/$L$8,0))</f>
        <v/>
      </c>
      <c r="N102" s="80">
        <f>IF($A102="","",INDEX(tblCustomers[حد الائتمان],MATCH($A102,tblCustomers[كود العميل],0)))</f>
        <v/>
      </c>
      <c r="O102" s="83">
        <f>IF($A102="","",IF(AND(N102&gt;0,L102&gt;N102),"⛔",""))</f>
        <v/>
      </c>
    </row>
    <row r="103">
      <c r="A103" s="78">
        <f>IFERROR(INDEX(tblCustomers[كود العميل],MATCH(94,tblCustomers[ترتيب],0)),"")</f>
        <v/>
      </c>
      <c r="B103" s="79">
        <f>IF($A103="","",INDEX(tblCustomers[اسم العميل],MATCH($A103,tblCustomers[كود العميل],0)))</f>
        <v/>
      </c>
      <c r="C103" s="80">
        <f>IF($A103="","",SUMIFS(tblInv[المتبقي],tblInv[كود العميل],$A103,tblInv[الفترة],C$7))</f>
        <v/>
      </c>
      <c r="D103" s="80">
        <f>IF($A103="","",SUMIFS(tblInv[المتبقي],tblInv[كود العميل],$A103,tblInv[الفترة],D$7))</f>
        <v/>
      </c>
      <c r="E103" s="80">
        <f>IF($A103="","",SUMIFS(tblInv[المتبقي],tblInv[كود العميل],$A103,tblInv[الفترة],E$7))</f>
        <v/>
      </c>
      <c r="F103" s="80">
        <f>IF($A103="","",SUMIFS(tblInv[المتبقي],tblInv[كود العميل],$A103,tblInv[الفترة],F$7))</f>
        <v/>
      </c>
      <c r="G103" s="80">
        <f>IF($A103="","",SUMIFS(tblInv[المتبقي],tblInv[كود العميل],$A103,tblInv[الفترة],G$7))</f>
        <v/>
      </c>
      <c r="H103" s="80">
        <f>IF($A103="","",SUMIFS(tblInv[المتبقي],tblInv[كود العميل],$A103,tblInv[الفترة],H$7))</f>
        <v/>
      </c>
      <c r="I103" s="80">
        <f>IF($A103="","",SUMIFS(tblInv[المتبقي],tblInv[كود العميل],$A103,tblInv[الفترة],I$7))</f>
        <v/>
      </c>
      <c r="J103" s="80">
        <f>IF($A103="","",SUM(C103:I103))</f>
        <v/>
      </c>
      <c r="K103" s="80">
        <f>IF($A103="","",-SUMIFS(tblRec[المبلغ],tblRec[كود العميل],$A103,tblRec[رقم الفاتورة],"",tblRec[التاريخ],"&lt;="&amp;AsOf)+SUMIFS(tblInv[المتبقي],tblInv[كود العميل],$A103,tblInv[المتبقي],"&lt;0"))</f>
        <v/>
      </c>
      <c r="L103" s="81">
        <f>IF($A103="","",J103+K103)</f>
        <v/>
      </c>
      <c r="M103" s="82">
        <f>IF($A103="","",IFERROR(L103/$L$8,0))</f>
        <v/>
      </c>
      <c r="N103" s="80">
        <f>IF($A103="","",INDEX(tblCustomers[حد الائتمان],MATCH($A103,tblCustomers[كود العميل],0)))</f>
        <v/>
      </c>
      <c r="O103" s="83">
        <f>IF($A103="","",IF(AND(N103&gt;0,L103&gt;N103),"⛔",""))</f>
        <v/>
      </c>
    </row>
    <row r="104">
      <c r="A104" s="78">
        <f>IFERROR(INDEX(tblCustomers[كود العميل],MATCH(95,tblCustomers[ترتيب],0)),"")</f>
        <v/>
      </c>
      <c r="B104" s="79">
        <f>IF($A104="","",INDEX(tblCustomers[اسم العميل],MATCH($A104,tblCustomers[كود العميل],0)))</f>
        <v/>
      </c>
      <c r="C104" s="80">
        <f>IF($A104="","",SUMIFS(tblInv[المتبقي],tblInv[كود العميل],$A104,tblInv[الفترة],C$7))</f>
        <v/>
      </c>
      <c r="D104" s="80">
        <f>IF($A104="","",SUMIFS(tblInv[المتبقي],tblInv[كود العميل],$A104,tblInv[الفترة],D$7))</f>
        <v/>
      </c>
      <c r="E104" s="80">
        <f>IF($A104="","",SUMIFS(tblInv[المتبقي],tblInv[كود العميل],$A104,tblInv[الفترة],E$7))</f>
        <v/>
      </c>
      <c r="F104" s="80">
        <f>IF($A104="","",SUMIFS(tblInv[المتبقي],tblInv[كود العميل],$A104,tblInv[الفترة],F$7))</f>
        <v/>
      </c>
      <c r="G104" s="80">
        <f>IF($A104="","",SUMIFS(tblInv[المتبقي],tblInv[كود العميل],$A104,tblInv[الفترة],G$7))</f>
        <v/>
      </c>
      <c r="H104" s="80">
        <f>IF($A104="","",SUMIFS(tblInv[المتبقي],tblInv[كود العميل],$A104,tblInv[الفترة],H$7))</f>
        <v/>
      </c>
      <c r="I104" s="80">
        <f>IF($A104="","",SUMIFS(tblInv[المتبقي],tblInv[كود العميل],$A104,tblInv[الفترة],I$7))</f>
        <v/>
      </c>
      <c r="J104" s="80">
        <f>IF($A104="","",SUM(C104:I104))</f>
        <v/>
      </c>
      <c r="K104" s="80">
        <f>IF($A104="","",-SUMIFS(tblRec[المبلغ],tblRec[كود العميل],$A104,tblRec[رقم الفاتورة],"",tblRec[التاريخ],"&lt;="&amp;AsOf)+SUMIFS(tblInv[المتبقي],tblInv[كود العميل],$A104,tblInv[المتبقي],"&lt;0"))</f>
        <v/>
      </c>
      <c r="L104" s="81">
        <f>IF($A104="","",J104+K104)</f>
        <v/>
      </c>
      <c r="M104" s="82">
        <f>IF($A104="","",IFERROR(L104/$L$8,0))</f>
        <v/>
      </c>
      <c r="N104" s="80">
        <f>IF($A104="","",INDEX(tblCustomers[حد الائتمان],MATCH($A104,tblCustomers[كود العميل],0)))</f>
        <v/>
      </c>
      <c r="O104" s="83">
        <f>IF($A104="","",IF(AND(N104&gt;0,L104&gt;N104),"⛔",""))</f>
        <v/>
      </c>
    </row>
    <row r="105">
      <c r="A105" s="78">
        <f>IFERROR(INDEX(tblCustomers[كود العميل],MATCH(96,tblCustomers[ترتيب],0)),"")</f>
        <v/>
      </c>
      <c r="B105" s="79">
        <f>IF($A105="","",INDEX(tblCustomers[اسم العميل],MATCH($A105,tblCustomers[كود العميل],0)))</f>
        <v/>
      </c>
      <c r="C105" s="80">
        <f>IF($A105="","",SUMIFS(tblInv[المتبقي],tblInv[كود العميل],$A105,tblInv[الفترة],C$7))</f>
        <v/>
      </c>
      <c r="D105" s="80">
        <f>IF($A105="","",SUMIFS(tblInv[المتبقي],tblInv[كود العميل],$A105,tblInv[الفترة],D$7))</f>
        <v/>
      </c>
      <c r="E105" s="80">
        <f>IF($A105="","",SUMIFS(tblInv[المتبقي],tblInv[كود العميل],$A105,tblInv[الفترة],E$7))</f>
        <v/>
      </c>
      <c r="F105" s="80">
        <f>IF($A105="","",SUMIFS(tblInv[المتبقي],tblInv[كود العميل],$A105,tblInv[الفترة],F$7))</f>
        <v/>
      </c>
      <c r="G105" s="80">
        <f>IF($A105="","",SUMIFS(tblInv[المتبقي],tblInv[كود العميل],$A105,tblInv[الفترة],G$7))</f>
        <v/>
      </c>
      <c r="H105" s="80">
        <f>IF($A105="","",SUMIFS(tblInv[المتبقي],tblInv[كود العميل],$A105,tblInv[الفترة],H$7))</f>
        <v/>
      </c>
      <c r="I105" s="80">
        <f>IF($A105="","",SUMIFS(tblInv[المتبقي],tblInv[كود العميل],$A105,tblInv[الفترة],I$7))</f>
        <v/>
      </c>
      <c r="J105" s="80">
        <f>IF($A105="","",SUM(C105:I105))</f>
        <v/>
      </c>
      <c r="K105" s="80">
        <f>IF($A105="","",-SUMIFS(tblRec[المبلغ],tblRec[كود العميل],$A105,tblRec[رقم الفاتورة],"",tblRec[التاريخ],"&lt;="&amp;AsOf)+SUMIFS(tblInv[المتبقي],tblInv[كود العميل],$A105,tblInv[المتبقي],"&lt;0"))</f>
        <v/>
      </c>
      <c r="L105" s="81">
        <f>IF($A105="","",J105+K105)</f>
        <v/>
      </c>
      <c r="M105" s="82">
        <f>IF($A105="","",IFERROR(L105/$L$8,0))</f>
        <v/>
      </c>
      <c r="N105" s="80">
        <f>IF($A105="","",INDEX(tblCustomers[حد الائتمان],MATCH($A105,tblCustomers[كود العميل],0)))</f>
        <v/>
      </c>
      <c r="O105" s="83">
        <f>IF($A105="","",IF(AND(N105&gt;0,L105&gt;N105),"⛔",""))</f>
        <v/>
      </c>
    </row>
    <row r="106">
      <c r="A106" s="78">
        <f>IFERROR(INDEX(tblCustomers[كود العميل],MATCH(97,tblCustomers[ترتيب],0)),"")</f>
        <v/>
      </c>
      <c r="B106" s="79">
        <f>IF($A106="","",INDEX(tblCustomers[اسم العميل],MATCH($A106,tblCustomers[كود العميل],0)))</f>
        <v/>
      </c>
      <c r="C106" s="80">
        <f>IF($A106="","",SUMIFS(tblInv[المتبقي],tblInv[كود العميل],$A106,tblInv[الفترة],C$7))</f>
        <v/>
      </c>
      <c r="D106" s="80">
        <f>IF($A106="","",SUMIFS(tblInv[المتبقي],tblInv[كود العميل],$A106,tblInv[الفترة],D$7))</f>
        <v/>
      </c>
      <c r="E106" s="80">
        <f>IF($A106="","",SUMIFS(tblInv[المتبقي],tblInv[كود العميل],$A106,tblInv[الفترة],E$7))</f>
        <v/>
      </c>
      <c r="F106" s="80">
        <f>IF($A106="","",SUMIFS(tblInv[المتبقي],tblInv[كود العميل],$A106,tblInv[الفترة],F$7))</f>
        <v/>
      </c>
      <c r="G106" s="80">
        <f>IF($A106="","",SUMIFS(tblInv[المتبقي],tblInv[كود العميل],$A106,tblInv[الفترة],G$7))</f>
        <v/>
      </c>
      <c r="H106" s="80">
        <f>IF($A106="","",SUMIFS(tblInv[المتبقي],tblInv[كود العميل],$A106,tblInv[الفترة],H$7))</f>
        <v/>
      </c>
      <c r="I106" s="80">
        <f>IF($A106="","",SUMIFS(tblInv[المتبقي],tblInv[كود العميل],$A106,tblInv[الفترة],I$7))</f>
        <v/>
      </c>
      <c r="J106" s="80">
        <f>IF($A106="","",SUM(C106:I106))</f>
        <v/>
      </c>
      <c r="K106" s="80">
        <f>IF($A106="","",-SUMIFS(tblRec[المبلغ],tblRec[كود العميل],$A106,tblRec[رقم الفاتورة],"",tblRec[التاريخ],"&lt;="&amp;AsOf)+SUMIFS(tblInv[المتبقي],tblInv[كود العميل],$A106,tblInv[المتبقي],"&lt;0"))</f>
        <v/>
      </c>
      <c r="L106" s="81">
        <f>IF($A106="","",J106+K106)</f>
        <v/>
      </c>
      <c r="M106" s="82">
        <f>IF($A106="","",IFERROR(L106/$L$8,0))</f>
        <v/>
      </c>
      <c r="N106" s="80">
        <f>IF($A106="","",INDEX(tblCustomers[حد الائتمان],MATCH($A106,tblCustomers[كود العميل],0)))</f>
        <v/>
      </c>
      <c r="O106" s="83">
        <f>IF($A106="","",IF(AND(N106&gt;0,L106&gt;N106),"⛔",""))</f>
        <v/>
      </c>
    </row>
    <row r="107">
      <c r="A107" s="78">
        <f>IFERROR(INDEX(tblCustomers[كود العميل],MATCH(98,tblCustomers[ترتيب],0)),"")</f>
        <v/>
      </c>
      <c r="B107" s="79">
        <f>IF($A107="","",INDEX(tblCustomers[اسم العميل],MATCH($A107,tblCustomers[كود العميل],0)))</f>
        <v/>
      </c>
      <c r="C107" s="80">
        <f>IF($A107="","",SUMIFS(tblInv[المتبقي],tblInv[كود العميل],$A107,tblInv[الفترة],C$7))</f>
        <v/>
      </c>
      <c r="D107" s="80">
        <f>IF($A107="","",SUMIFS(tblInv[المتبقي],tblInv[كود العميل],$A107,tblInv[الفترة],D$7))</f>
        <v/>
      </c>
      <c r="E107" s="80">
        <f>IF($A107="","",SUMIFS(tblInv[المتبقي],tblInv[كود العميل],$A107,tblInv[الفترة],E$7))</f>
        <v/>
      </c>
      <c r="F107" s="80">
        <f>IF($A107="","",SUMIFS(tblInv[المتبقي],tblInv[كود العميل],$A107,tblInv[الفترة],F$7))</f>
        <v/>
      </c>
      <c r="G107" s="80">
        <f>IF($A107="","",SUMIFS(tblInv[المتبقي],tblInv[كود العميل],$A107,tblInv[الفترة],G$7))</f>
        <v/>
      </c>
      <c r="H107" s="80">
        <f>IF($A107="","",SUMIFS(tblInv[المتبقي],tblInv[كود العميل],$A107,tblInv[الفترة],H$7))</f>
        <v/>
      </c>
      <c r="I107" s="80">
        <f>IF($A107="","",SUMIFS(tblInv[المتبقي],tblInv[كود العميل],$A107,tblInv[الفترة],I$7))</f>
        <v/>
      </c>
      <c r="J107" s="80">
        <f>IF($A107="","",SUM(C107:I107))</f>
        <v/>
      </c>
      <c r="K107" s="80">
        <f>IF($A107="","",-SUMIFS(tblRec[المبلغ],tblRec[كود العميل],$A107,tblRec[رقم الفاتورة],"",tblRec[التاريخ],"&lt;="&amp;AsOf)+SUMIFS(tblInv[المتبقي],tblInv[كود العميل],$A107,tblInv[المتبقي],"&lt;0"))</f>
        <v/>
      </c>
      <c r="L107" s="81">
        <f>IF($A107="","",J107+K107)</f>
        <v/>
      </c>
      <c r="M107" s="82">
        <f>IF($A107="","",IFERROR(L107/$L$8,0))</f>
        <v/>
      </c>
      <c r="N107" s="80">
        <f>IF($A107="","",INDEX(tblCustomers[حد الائتمان],MATCH($A107,tblCustomers[كود العميل],0)))</f>
        <v/>
      </c>
      <c r="O107" s="83">
        <f>IF($A107="","",IF(AND(N107&gt;0,L107&gt;N107),"⛔",""))</f>
        <v/>
      </c>
    </row>
    <row r="108">
      <c r="A108" s="78">
        <f>IFERROR(INDEX(tblCustomers[كود العميل],MATCH(99,tblCustomers[ترتيب],0)),"")</f>
        <v/>
      </c>
      <c r="B108" s="79">
        <f>IF($A108="","",INDEX(tblCustomers[اسم العميل],MATCH($A108,tblCustomers[كود العميل],0)))</f>
        <v/>
      </c>
      <c r="C108" s="80">
        <f>IF($A108="","",SUMIFS(tblInv[المتبقي],tblInv[كود العميل],$A108,tblInv[الفترة],C$7))</f>
        <v/>
      </c>
      <c r="D108" s="80">
        <f>IF($A108="","",SUMIFS(tblInv[المتبقي],tblInv[كود العميل],$A108,tblInv[الفترة],D$7))</f>
        <v/>
      </c>
      <c r="E108" s="80">
        <f>IF($A108="","",SUMIFS(tblInv[المتبقي],tblInv[كود العميل],$A108,tblInv[الفترة],E$7))</f>
        <v/>
      </c>
      <c r="F108" s="80">
        <f>IF($A108="","",SUMIFS(tblInv[المتبقي],tblInv[كود العميل],$A108,tblInv[الفترة],F$7))</f>
        <v/>
      </c>
      <c r="G108" s="80">
        <f>IF($A108="","",SUMIFS(tblInv[المتبقي],tblInv[كود العميل],$A108,tblInv[الفترة],G$7))</f>
        <v/>
      </c>
      <c r="H108" s="80">
        <f>IF($A108="","",SUMIFS(tblInv[المتبقي],tblInv[كود العميل],$A108,tblInv[الفترة],H$7))</f>
        <v/>
      </c>
      <c r="I108" s="80">
        <f>IF($A108="","",SUMIFS(tblInv[المتبقي],tblInv[كود العميل],$A108,tblInv[الفترة],I$7))</f>
        <v/>
      </c>
      <c r="J108" s="80">
        <f>IF($A108="","",SUM(C108:I108))</f>
        <v/>
      </c>
      <c r="K108" s="80">
        <f>IF($A108="","",-SUMIFS(tblRec[المبلغ],tblRec[كود العميل],$A108,tblRec[رقم الفاتورة],"",tblRec[التاريخ],"&lt;="&amp;AsOf)+SUMIFS(tblInv[المتبقي],tblInv[كود العميل],$A108,tblInv[المتبقي],"&lt;0"))</f>
        <v/>
      </c>
      <c r="L108" s="81">
        <f>IF($A108="","",J108+K108)</f>
        <v/>
      </c>
      <c r="M108" s="82">
        <f>IF($A108="","",IFERROR(L108/$L$8,0))</f>
        <v/>
      </c>
      <c r="N108" s="80">
        <f>IF($A108="","",INDEX(tblCustomers[حد الائتمان],MATCH($A108,tblCustomers[كود العميل],0)))</f>
        <v/>
      </c>
      <c r="O108" s="83">
        <f>IF($A108="","",IF(AND(N108&gt;0,L108&gt;N108),"⛔",""))</f>
        <v/>
      </c>
    </row>
    <row r="109">
      <c r="A109" s="78">
        <f>IFERROR(INDEX(tblCustomers[كود العميل],MATCH(100,tblCustomers[ترتيب],0)),"")</f>
        <v/>
      </c>
      <c r="B109" s="79">
        <f>IF($A109="","",INDEX(tblCustomers[اسم العميل],MATCH($A109,tblCustomers[كود العميل],0)))</f>
        <v/>
      </c>
      <c r="C109" s="80">
        <f>IF($A109="","",SUMIFS(tblInv[المتبقي],tblInv[كود العميل],$A109,tblInv[الفترة],C$7))</f>
        <v/>
      </c>
      <c r="D109" s="80">
        <f>IF($A109="","",SUMIFS(tblInv[المتبقي],tblInv[كود العميل],$A109,tblInv[الفترة],D$7))</f>
        <v/>
      </c>
      <c r="E109" s="80">
        <f>IF($A109="","",SUMIFS(tblInv[المتبقي],tblInv[كود العميل],$A109,tblInv[الفترة],E$7))</f>
        <v/>
      </c>
      <c r="F109" s="80">
        <f>IF($A109="","",SUMIFS(tblInv[المتبقي],tblInv[كود العميل],$A109,tblInv[الفترة],F$7))</f>
        <v/>
      </c>
      <c r="G109" s="80">
        <f>IF($A109="","",SUMIFS(tblInv[المتبقي],tblInv[كود العميل],$A109,tblInv[الفترة],G$7))</f>
        <v/>
      </c>
      <c r="H109" s="80">
        <f>IF($A109="","",SUMIFS(tblInv[المتبقي],tblInv[كود العميل],$A109,tblInv[الفترة],H$7))</f>
        <v/>
      </c>
      <c r="I109" s="80">
        <f>IF($A109="","",SUMIFS(tblInv[المتبقي],tblInv[كود العميل],$A109,tblInv[الفترة],I$7))</f>
        <v/>
      </c>
      <c r="J109" s="80">
        <f>IF($A109="","",SUM(C109:I109))</f>
        <v/>
      </c>
      <c r="K109" s="80">
        <f>IF($A109="","",-SUMIFS(tblRec[المبلغ],tblRec[كود العميل],$A109,tblRec[رقم الفاتورة],"",tblRec[التاريخ],"&lt;="&amp;AsOf)+SUMIFS(tblInv[المتبقي],tblInv[كود العميل],$A109,tblInv[المتبقي],"&lt;0"))</f>
        <v/>
      </c>
      <c r="L109" s="81">
        <f>IF($A109="","",J109+K109)</f>
        <v/>
      </c>
      <c r="M109" s="82">
        <f>IF($A109="","",IFERROR(L109/$L$8,0))</f>
        <v/>
      </c>
      <c r="N109" s="80">
        <f>IF($A109="","",INDEX(tblCustomers[حد الائتمان],MATCH($A109,tblCustomers[كود العميل],0)))</f>
        <v/>
      </c>
      <c r="O109" s="83">
        <f>IF($A109="","",IF(AND(N109&gt;0,L109&gt;N109),"⛔",""))</f>
        <v/>
      </c>
    </row>
    <row r="110">
      <c r="A110" s="78">
        <f>IFERROR(INDEX(tblCustomers[كود العميل],MATCH(101,tblCustomers[ترتيب],0)),"")</f>
        <v/>
      </c>
      <c r="B110" s="79">
        <f>IF($A110="","",INDEX(tblCustomers[اسم العميل],MATCH($A110,tblCustomers[كود العميل],0)))</f>
        <v/>
      </c>
      <c r="C110" s="80">
        <f>IF($A110="","",SUMIFS(tblInv[المتبقي],tblInv[كود العميل],$A110,tblInv[الفترة],C$7))</f>
        <v/>
      </c>
      <c r="D110" s="80">
        <f>IF($A110="","",SUMIFS(tblInv[المتبقي],tblInv[كود العميل],$A110,tblInv[الفترة],D$7))</f>
        <v/>
      </c>
      <c r="E110" s="80">
        <f>IF($A110="","",SUMIFS(tblInv[المتبقي],tblInv[كود العميل],$A110,tblInv[الفترة],E$7))</f>
        <v/>
      </c>
      <c r="F110" s="80">
        <f>IF($A110="","",SUMIFS(tblInv[المتبقي],tblInv[كود العميل],$A110,tblInv[الفترة],F$7))</f>
        <v/>
      </c>
      <c r="G110" s="80">
        <f>IF($A110="","",SUMIFS(tblInv[المتبقي],tblInv[كود العميل],$A110,tblInv[الفترة],G$7))</f>
        <v/>
      </c>
      <c r="H110" s="80">
        <f>IF($A110="","",SUMIFS(tblInv[المتبقي],tblInv[كود العميل],$A110,tblInv[الفترة],H$7))</f>
        <v/>
      </c>
      <c r="I110" s="80">
        <f>IF($A110="","",SUMIFS(tblInv[المتبقي],tblInv[كود العميل],$A110,tblInv[الفترة],I$7))</f>
        <v/>
      </c>
      <c r="J110" s="80">
        <f>IF($A110="","",SUM(C110:I110))</f>
        <v/>
      </c>
      <c r="K110" s="80">
        <f>IF($A110="","",-SUMIFS(tblRec[المبلغ],tblRec[كود العميل],$A110,tblRec[رقم الفاتورة],"",tblRec[التاريخ],"&lt;="&amp;AsOf)+SUMIFS(tblInv[المتبقي],tblInv[كود العميل],$A110,tblInv[المتبقي],"&lt;0"))</f>
        <v/>
      </c>
      <c r="L110" s="81">
        <f>IF($A110="","",J110+K110)</f>
        <v/>
      </c>
      <c r="M110" s="82">
        <f>IF($A110="","",IFERROR(L110/$L$8,0))</f>
        <v/>
      </c>
      <c r="N110" s="80">
        <f>IF($A110="","",INDEX(tblCustomers[حد الائتمان],MATCH($A110,tblCustomers[كود العميل],0)))</f>
        <v/>
      </c>
      <c r="O110" s="83">
        <f>IF($A110="","",IF(AND(N110&gt;0,L110&gt;N110),"⛔",""))</f>
        <v/>
      </c>
    </row>
    <row r="111">
      <c r="A111" s="78">
        <f>IFERROR(INDEX(tblCustomers[كود العميل],MATCH(102,tblCustomers[ترتيب],0)),"")</f>
        <v/>
      </c>
      <c r="B111" s="79">
        <f>IF($A111="","",INDEX(tblCustomers[اسم العميل],MATCH($A111,tblCustomers[كود العميل],0)))</f>
        <v/>
      </c>
      <c r="C111" s="80">
        <f>IF($A111="","",SUMIFS(tblInv[المتبقي],tblInv[كود العميل],$A111,tblInv[الفترة],C$7))</f>
        <v/>
      </c>
      <c r="D111" s="80">
        <f>IF($A111="","",SUMIFS(tblInv[المتبقي],tblInv[كود العميل],$A111,tblInv[الفترة],D$7))</f>
        <v/>
      </c>
      <c r="E111" s="80">
        <f>IF($A111="","",SUMIFS(tblInv[المتبقي],tblInv[كود العميل],$A111,tblInv[الفترة],E$7))</f>
        <v/>
      </c>
      <c r="F111" s="80">
        <f>IF($A111="","",SUMIFS(tblInv[المتبقي],tblInv[كود العميل],$A111,tblInv[الفترة],F$7))</f>
        <v/>
      </c>
      <c r="G111" s="80">
        <f>IF($A111="","",SUMIFS(tblInv[المتبقي],tblInv[كود العميل],$A111,tblInv[الفترة],G$7))</f>
        <v/>
      </c>
      <c r="H111" s="80">
        <f>IF($A111="","",SUMIFS(tblInv[المتبقي],tblInv[كود العميل],$A111,tblInv[الفترة],H$7))</f>
        <v/>
      </c>
      <c r="I111" s="80">
        <f>IF($A111="","",SUMIFS(tblInv[المتبقي],tblInv[كود العميل],$A111,tblInv[الفترة],I$7))</f>
        <v/>
      </c>
      <c r="J111" s="80">
        <f>IF($A111="","",SUM(C111:I111))</f>
        <v/>
      </c>
      <c r="K111" s="80">
        <f>IF($A111="","",-SUMIFS(tblRec[المبلغ],tblRec[كود العميل],$A111,tblRec[رقم الفاتورة],"",tblRec[التاريخ],"&lt;="&amp;AsOf)+SUMIFS(tblInv[المتبقي],tblInv[كود العميل],$A111,tblInv[المتبقي],"&lt;0"))</f>
        <v/>
      </c>
      <c r="L111" s="81">
        <f>IF($A111="","",J111+K111)</f>
        <v/>
      </c>
      <c r="M111" s="82">
        <f>IF($A111="","",IFERROR(L111/$L$8,0))</f>
        <v/>
      </c>
      <c r="N111" s="80">
        <f>IF($A111="","",INDEX(tblCustomers[حد الائتمان],MATCH($A111,tblCustomers[كود العميل],0)))</f>
        <v/>
      </c>
      <c r="O111" s="83">
        <f>IF($A111="","",IF(AND(N111&gt;0,L111&gt;N111),"⛔",""))</f>
        <v/>
      </c>
    </row>
    <row r="112">
      <c r="A112" s="78">
        <f>IFERROR(INDEX(tblCustomers[كود العميل],MATCH(103,tblCustomers[ترتيب],0)),"")</f>
        <v/>
      </c>
      <c r="B112" s="79">
        <f>IF($A112="","",INDEX(tblCustomers[اسم العميل],MATCH($A112,tblCustomers[كود العميل],0)))</f>
        <v/>
      </c>
      <c r="C112" s="80">
        <f>IF($A112="","",SUMIFS(tblInv[المتبقي],tblInv[كود العميل],$A112,tblInv[الفترة],C$7))</f>
        <v/>
      </c>
      <c r="D112" s="80">
        <f>IF($A112="","",SUMIFS(tblInv[المتبقي],tblInv[كود العميل],$A112,tblInv[الفترة],D$7))</f>
        <v/>
      </c>
      <c r="E112" s="80">
        <f>IF($A112="","",SUMIFS(tblInv[المتبقي],tblInv[كود العميل],$A112,tblInv[الفترة],E$7))</f>
        <v/>
      </c>
      <c r="F112" s="80">
        <f>IF($A112="","",SUMIFS(tblInv[المتبقي],tblInv[كود العميل],$A112,tblInv[الفترة],F$7))</f>
        <v/>
      </c>
      <c r="G112" s="80">
        <f>IF($A112="","",SUMIFS(tblInv[المتبقي],tblInv[كود العميل],$A112,tblInv[الفترة],G$7))</f>
        <v/>
      </c>
      <c r="H112" s="80">
        <f>IF($A112="","",SUMIFS(tblInv[المتبقي],tblInv[كود العميل],$A112,tblInv[الفترة],H$7))</f>
        <v/>
      </c>
      <c r="I112" s="80">
        <f>IF($A112="","",SUMIFS(tblInv[المتبقي],tblInv[كود العميل],$A112,tblInv[الفترة],I$7))</f>
        <v/>
      </c>
      <c r="J112" s="80">
        <f>IF($A112="","",SUM(C112:I112))</f>
        <v/>
      </c>
      <c r="K112" s="80">
        <f>IF($A112="","",-SUMIFS(tblRec[المبلغ],tblRec[كود العميل],$A112,tblRec[رقم الفاتورة],"",tblRec[التاريخ],"&lt;="&amp;AsOf)+SUMIFS(tblInv[المتبقي],tblInv[كود العميل],$A112,tblInv[المتبقي],"&lt;0"))</f>
        <v/>
      </c>
      <c r="L112" s="81">
        <f>IF($A112="","",J112+K112)</f>
        <v/>
      </c>
      <c r="M112" s="82">
        <f>IF($A112="","",IFERROR(L112/$L$8,0))</f>
        <v/>
      </c>
      <c r="N112" s="80">
        <f>IF($A112="","",INDEX(tblCustomers[حد الائتمان],MATCH($A112,tblCustomers[كود العميل],0)))</f>
        <v/>
      </c>
      <c r="O112" s="83">
        <f>IF($A112="","",IF(AND(N112&gt;0,L112&gt;N112),"⛔",""))</f>
        <v/>
      </c>
    </row>
    <row r="113">
      <c r="A113" s="78">
        <f>IFERROR(INDEX(tblCustomers[كود العميل],MATCH(104,tblCustomers[ترتيب],0)),"")</f>
        <v/>
      </c>
      <c r="B113" s="79">
        <f>IF($A113="","",INDEX(tblCustomers[اسم العميل],MATCH($A113,tblCustomers[كود العميل],0)))</f>
        <v/>
      </c>
      <c r="C113" s="80">
        <f>IF($A113="","",SUMIFS(tblInv[المتبقي],tblInv[كود العميل],$A113,tblInv[الفترة],C$7))</f>
        <v/>
      </c>
      <c r="D113" s="80">
        <f>IF($A113="","",SUMIFS(tblInv[المتبقي],tblInv[كود العميل],$A113,tblInv[الفترة],D$7))</f>
        <v/>
      </c>
      <c r="E113" s="80">
        <f>IF($A113="","",SUMIFS(tblInv[المتبقي],tblInv[كود العميل],$A113,tblInv[الفترة],E$7))</f>
        <v/>
      </c>
      <c r="F113" s="80">
        <f>IF($A113="","",SUMIFS(tblInv[المتبقي],tblInv[كود العميل],$A113,tblInv[الفترة],F$7))</f>
        <v/>
      </c>
      <c r="G113" s="80">
        <f>IF($A113="","",SUMIFS(tblInv[المتبقي],tblInv[كود العميل],$A113,tblInv[الفترة],G$7))</f>
        <v/>
      </c>
      <c r="H113" s="80">
        <f>IF($A113="","",SUMIFS(tblInv[المتبقي],tblInv[كود العميل],$A113,tblInv[الفترة],H$7))</f>
        <v/>
      </c>
      <c r="I113" s="80">
        <f>IF($A113="","",SUMIFS(tblInv[المتبقي],tblInv[كود العميل],$A113,tblInv[الفترة],I$7))</f>
        <v/>
      </c>
      <c r="J113" s="80">
        <f>IF($A113="","",SUM(C113:I113))</f>
        <v/>
      </c>
      <c r="K113" s="80">
        <f>IF($A113="","",-SUMIFS(tblRec[المبلغ],tblRec[كود العميل],$A113,tblRec[رقم الفاتورة],"",tblRec[التاريخ],"&lt;="&amp;AsOf)+SUMIFS(tblInv[المتبقي],tblInv[كود العميل],$A113,tblInv[المتبقي],"&lt;0"))</f>
        <v/>
      </c>
      <c r="L113" s="81">
        <f>IF($A113="","",J113+K113)</f>
        <v/>
      </c>
      <c r="M113" s="82">
        <f>IF($A113="","",IFERROR(L113/$L$8,0))</f>
        <v/>
      </c>
      <c r="N113" s="80">
        <f>IF($A113="","",INDEX(tblCustomers[حد الائتمان],MATCH($A113,tblCustomers[كود العميل],0)))</f>
        <v/>
      </c>
      <c r="O113" s="83">
        <f>IF($A113="","",IF(AND(N113&gt;0,L113&gt;N113),"⛔",""))</f>
        <v/>
      </c>
    </row>
    <row r="114">
      <c r="A114" s="78">
        <f>IFERROR(INDEX(tblCustomers[كود العميل],MATCH(105,tblCustomers[ترتيب],0)),"")</f>
        <v/>
      </c>
      <c r="B114" s="79">
        <f>IF($A114="","",INDEX(tblCustomers[اسم العميل],MATCH($A114,tblCustomers[كود العميل],0)))</f>
        <v/>
      </c>
      <c r="C114" s="80">
        <f>IF($A114="","",SUMIFS(tblInv[المتبقي],tblInv[كود العميل],$A114,tblInv[الفترة],C$7))</f>
        <v/>
      </c>
      <c r="D114" s="80">
        <f>IF($A114="","",SUMIFS(tblInv[المتبقي],tblInv[كود العميل],$A114,tblInv[الفترة],D$7))</f>
        <v/>
      </c>
      <c r="E114" s="80">
        <f>IF($A114="","",SUMIFS(tblInv[المتبقي],tblInv[كود العميل],$A114,tblInv[الفترة],E$7))</f>
        <v/>
      </c>
      <c r="F114" s="80">
        <f>IF($A114="","",SUMIFS(tblInv[المتبقي],tblInv[كود العميل],$A114,tblInv[الفترة],F$7))</f>
        <v/>
      </c>
      <c r="G114" s="80">
        <f>IF($A114="","",SUMIFS(tblInv[المتبقي],tblInv[كود العميل],$A114,tblInv[الفترة],G$7))</f>
        <v/>
      </c>
      <c r="H114" s="80">
        <f>IF($A114="","",SUMIFS(tblInv[المتبقي],tblInv[كود العميل],$A114,tblInv[الفترة],H$7))</f>
        <v/>
      </c>
      <c r="I114" s="80">
        <f>IF($A114="","",SUMIFS(tblInv[المتبقي],tblInv[كود العميل],$A114,tblInv[الفترة],I$7))</f>
        <v/>
      </c>
      <c r="J114" s="80">
        <f>IF($A114="","",SUM(C114:I114))</f>
        <v/>
      </c>
      <c r="K114" s="80">
        <f>IF($A114="","",-SUMIFS(tblRec[المبلغ],tblRec[كود العميل],$A114,tblRec[رقم الفاتورة],"",tblRec[التاريخ],"&lt;="&amp;AsOf)+SUMIFS(tblInv[المتبقي],tblInv[كود العميل],$A114,tblInv[المتبقي],"&lt;0"))</f>
        <v/>
      </c>
      <c r="L114" s="81">
        <f>IF($A114="","",J114+K114)</f>
        <v/>
      </c>
      <c r="M114" s="82">
        <f>IF($A114="","",IFERROR(L114/$L$8,0))</f>
        <v/>
      </c>
      <c r="N114" s="80">
        <f>IF($A114="","",INDEX(tblCustomers[حد الائتمان],MATCH($A114,tblCustomers[كود العميل],0)))</f>
        <v/>
      </c>
      <c r="O114" s="83">
        <f>IF($A114="","",IF(AND(N114&gt;0,L114&gt;N114),"⛔",""))</f>
        <v/>
      </c>
    </row>
    <row r="115">
      <c r="A115" s="78">
        <f>IFERROR(INDEX(tblCustomers[كود العميل],MATCH(106,tblCustomers[ترتيب],0)),"")</f>
        <v/>
      </c>
      <c r="B115" s="79">
        <f>IF($A115="","",INDEX(tblCustomers[اسم العميل],MATCH($A115,tblCustomers[كود العميل],0)))</f>
        <v/>
      </c>
      <c r="C115" s="80">
        <f>IF($A115="","",SUMIFS(tblInv[المتبقي],tblInv[كود العميل],$A115,tblInv[الفترة],C$7))</f>
        <v/>
      </c>
      <c r="D115" s="80">
        <f>IF($A115="","",SUMIFS(tblInv[المتبقي],tblInv[كود العميل],$A115,tblInv[الفترة],D$7))</f>
        <v/>
      </c>
      <c r="E115" s="80">
        <f>IF($A115="","",SUMIFS(tblInv[المتبقي],tblInv[كود العميل],$A115,tblInv[الفترة],E$7))</f>
        <v/>
      </c>
      <c r="F115" s="80">
        <f>IF($A115="","",SUMIFS(tblInv[المتبقي],tblInv[كود العميل],$A115,tblInv[الفترة],F$7))</f>
        <v/>
      </c>
      <c r="G115" s="80">
        <f>IF($A115="","",SUMIFS(tblInv[المتبقي],tblInv[كود العميل],$A115,tblInv[الفترة],G$7))</f>
        <v/>
      </c>
      <c r="H115" s="80">
        <f>IF($A115="","",SUMIFS(tblInv[المتبقي],tblInv[كود العميل],$A115,tblInv[الفترة],H$7))</f>
        <v/>
      </c>
      <c r="I115" s="80">
        <f>IF($A115="","",SUMIFS(tblInv[المتبقي],tblInv[كود العميل],$A115,tblInv[الفترة],I$7))</f>
        <v/>
      </c>
      <c r="J115" s="80">
        <f>IF($A115="","",SUM(C115:I115))</f>
        <v/>
      </c>
      <c r="K115" s="80">
        <f>IF($A115="","",-SUMIFS(tblRec[المبلغ],tblRec[كود العميل],$A115,tblRec[رقم الفاتورة],"",tblRec[التاريخ],"&lt;="&amp;AsOf)+SUMIFS(tblInv[المتبقي],tblInv[كود العميل],$A115,tblInv[المتبقي],"&lt;0"))</f>
        <v/>
      </c>
      <c r="L115" s="81">
        <f>IF($A115="","",J115+K115)</f>
        <v/>
      </c>
      <c r="M115" s="82">
        <f>IF($A115="","",IFERROR(L115/$L$8,0))</f>
        <v/>
      </c>
      <c r="N115" s="80">
        <f>IF($A115="","",INDEX(tblCustomers[حد الائتمان],MATCH($A115,tblCustomers[كود العميل],0)))</f>
        <v/>
      </c>
      <c r="O115" s="83">
        <f>IF($A115="","",IF(AND(N115&gt;0,L115&gt;N115),"⛔",""))</f>
        <v/>
      </c>
    </row>
    <row r="116">
      <c r="A116" s="78">
        <f>IFERROR(INDEX(tblCustomers[كود العميل],MATCH(107,tblCustomers[ترتيب],0)),"")</f>
        <v/>
      </c>
      <c r="B116" s="79">
        <f>IF($A116="","",INDEX(tblCustomers[اسم العميل],MATCH($A116,tblCustomers[كود العميل],0)))</f>
        <v/>
      </c>
      <c r="C116" s="80">
        <f>IF($A116="","",SUMIFS(tblInv[المتبقي],tblInv[كود العميل],$A116,tblInv[الفترة],C$7))</f>
        <v/>
      </c>
      <c r="D116" s="80">
        <f>IF($A116="","",SUMIFS(tblInv[المتبقي],tblInv[كود العميل],$A116,tblInv[الفترة],D$7))</f>
        <v/>
      </c>
      <c r="E116" s="80">
        <f>IF($A116="","",SUMIFS(tblInv[المتبقي],tblInv[كود العميل],$A116,tblInv[الفترة],E$7))</f>
        <v/>
      </c>
      <c r="F116" s="80">
        <f>IF($A116="","",SUMIFS(tblInv[المتبقي],tblInv[كود العميل],$A116,tblInv[الفترة],F$7))</f>
        <v/>
      </c>
      <c r="G116" s="80">
        <f>IF($A116="","",SUMIFS(tblInv[المتبقي],tblInv[كود العميل],$A116,tblInv[الفترة],G$7))</f>
        <v/>
      </c>
      <c r="H116" s="80">
        <f>IF($A116="","",SUMIFS(tblInv[المتبقي],tblInv[كود العميل],$A116,tblInv[الفترة],H$7))</f>
        <v/>
      </c>
      <c r="I116" s="80">
        <f>IF($A116="","",SUMIFS(tblInv[المتبقي],tblInv[كود العميل],$A116,tblInv[الفترة],I$7))</f>
        <v/>
      </c>
      <c r="J116" s="80">
        <f>IF($A116="","",SUM(C116:I116))</f>
        <v/>
      </c>
      <c r="K116" s="80">
        <f>IF($A116="","",-SUMIFS(tblRec[المبلغ],tblRec[كود العميل],$A116,tblRec[رقم الفاتورة],"",tblRec[التاريخ],"&lt;="&amp;AsOf)+SUMIFS(tblInv[المتبقي],tblInv[كود العميل],$A116,tblInv[المتبقي],"&lt;0"))</f>
        <v/>
      </c>
      <c r="L116" s="81">
        <f>IF($A116="","",J116+K116)</f>
        <v/>
      </c>
      <c r="M116" s="82">
        <f>IF($A116="","",IFERROR(L116/$L$8,0))</f>
        <v/>
      </c>
      <c r="N116" s="80">
        <f>IF($A116="","",INDEX(tblCustomers[حد الائتمان],MATCH($A116,tblCustomers[كود العميل],0)))</f>
        <v/>
      </c>
      <c r="O116" s="83">
        <f>IF($A116="","",IF(AND(N116&gt;0,L116&gt;N116),"⛔",""))</f>
        <v/>
      </c>
    </row>
    <row r="117">
      <c r="A117" s="78">
        <f>IFERROR(INDEX(tblCustomers[كود العميل],MATCH(108,tblCustomers[ترتيب],0)),"")</f>
        <v/>
      </c>
      <c r="B117" s="79">
        <f>IF($A117="","",INDEX(tblCustomers[اسم العميل],MATCH($A117,tblCustomers[كود العميل],0)))</f>
        <v/>
      </c>
      <c r="C117" s="80">
        <f>IF($A117="","",SUMIFS(tblInv[المتبقي],tblInv[كود العميل],$A117,tblInv[الفترة],C$7))</f>
        <v/>
      </c>
      <c r="D117" s="80">
        <f>IF($A117="","",SUMIFS(tblInv[المتبقي],tblInv[كود العميل],$A117,tblInv[الفترة],D$7))</f>
        <v/>
      </c>
      <c r="E117" s="80">
        <f>IF($A117="","",SUMIFS(tblInv[المتبقي],tblInv[كود العميل],$A117,tblInv[الفترة],E$7))</f>
        <v/>
      </c>
      <c r="F117" s="80">
        <f>IF($A117="","",SUMIFS(tblInv[المتبقي],tblInv[كود العميل],$A117,tblInv[الفترة],F$7))</f>
        <v/>
      </c>
      <c r="G117" s="80">
        <f>IF($A117="","",SUMIFS(tblInv[المتبقي],tblInv[كود العميل],$A117,tblInv[الفترة],G$7))</f>
        <v/>
      </c>
      <c r="H117" s="80">
        <f>IF($A117="","",SUMIFS(tblInv[المتبقي],tblInv[كود العميل],$A117,tblInv[الفترة],H$7))</f>
        <v/>
      </c>
      <c r="I117" s="80">
        <f>IF($A117="","",SUMIFS(tblInv[المتبقي],tblInv[كود العميل],$A117,tblInv[الفترة],I$7))</f>
        <v/>
      </c>
      <c r="J117" s="80">
        <f>IF($A117="","",SUM(C117:I117))</f>
        <v/>
      </c>
      <c r="K117" s="80">
        <f>IF($A117="","",-SUMIFS(tblRec[المبلغ],tblRec[كود العميل],$A117,tblRec[رقم الفاتورة],"",tblRec[التاريخ],"&lt;="&amp;AsOf)+SUMIFS(tblInv[المتبقي],tblInv[كود العميل],$A117,tblInv[المتبقي],"&lt;0"))</f>
        <v/>
      </c>
      <c r="L117" s="81">
        <f>IF($A117="","",J117+K117)</f>
        <v/>
      </c>
      <c r="M117" s="82">
        <f>IF($A117="","",IFERROR(L117/$L$8,0))</f>
        <v/>
      </c>
      <c r="N117" s="80">
        <f>IF($A117="","",INDEX(tblCustomers[حد الائتمان],MATCH($A117,tblCustomers[كود العميل],0)))</f>
        <v/>
      </c>
      <c r="O117" s="83">
        <f>IF($A117="","",IF(AND(N117&gt;0,L117&gt;N117),"⛔",""))</f>
        <v/>
      </c>
    </row>
    <row r="118">
      <c r="A118" s="78">
        <f>IFERROR(INDEX(tblCustomers[كود العميل],MATCH(109,tblCustomers[ترتيب],0)),"")</f>
        <v/>
      </c>
      <c r="B118" s="79">
        <f>IF($A118="","",INDEX(tblCustomers[اسم العميل],MATCH($A118,tblCustomers[كود العميل],0)))</f>
        <v/>
      </c>
      <c r="C118" s="80">
        <f>IF($A118="","",SUMIFS(tblInv[المتبقي],tblInv[كود العميل],$A118,tblInv[الفترة],C$7))</f>
        <v/>
      </c>
      <c r="D118" s="80">
        <f>IF($A118="","",SUMIFS(tblInv[المتبقي],tblInv[كود العميل],$A118,tblInv[الفترة],D$7))</f>
        <v/>
      </c>
      <c r="E118" s="80">
        <f>IF($A118="","",SUMIFS(tblInv[المتبقي],tblInv[كود العميل],$A118,tblInv[الفترة],E$7))</f>
        <v/>
      </c>
      <c r="F118" s="80">
        <f>IF($A118="","",SUMIFS(tblInv[المتبقي],tblInv[كود العميل],$A118,tblInv[الفترة],F$7))</f>
        <v/>
      </c>
      <c r="G118" s="80">
        <f>IF($A118="","",SUMIFS(tblInv[المتبقي],tblInv[كود العميل],$A118,tblInv[الفترة],G$7))</f>
        <v/>
      </c>
      <c r="H118" s="80">
        <f>IF($A118="","",SUMIFS(tblInv[المتبقي],tblInv[كود العميل],$A118,tblInv[الفترة],H$7))</f>
        <v/>
      </c>
      <c r="I118" s="80">
        <f>IF($A118="","",SUMIFS(tblInv[المتبقي],tblInv[كود العميل],$A118,tblInv[الفترة],I$7))</f>
        <v/>
      </c>
      <c r="J118" s="80">
        <f>IF($A118="","",SUM(C118:I118))</f>
        <v/>
      </c>
      <c r="K118" s="80">
        <f>IF($A118="","",-SUMIFS(tblRec[المبلغ],tblRec[كود العميل],$A118,tblRec[رقم الفاتورة],"",tblRec[التاريخ],"&lt;="&amp;AsOf)+SUMIFS(tblInv[المتبقي],tblInv[كود العميل],$A118,tblInv[المتبقي],"&lt;0"))</f>
        <v/>
      </c>
      <c r="L118" s="81">
        <f>IF($A118="","",J118+K118)</f>
        <v/>
      </c>
      <c r="M118" s="82">
        <f>IF($A118="","",IFERROR(L118/$L$8,0))</f>
        <v/>
      </c>
      <c r="N118" s="80">
        <f>IF($A118="","",INDEX(tblCustomers[حد الائتمان],MATCH($A118,tblCustomers[كود العميل],0)))</f>
        <v/>
      </c>
      <c r="O118" s="83">
        <f>IF($A118="","",IF(AND(N118&gt;0,L118&gt;N118),"⛔",""))</f>
        <v/>
      </c>
    </row>
    <row r="119">
      <c r="A119" s="78">
        <f>IFERROR(INDEX(tblCustomers[كود العميل],MATCH(110,tblCustomers[ترتيب],0)),"")</f>
        <v/>
      </c>
      <c r="B119" s="79">
        <f>IF($A119="","",INDEX(tblCustomers[اسم العميل],MATCH($A119,tblCustomers[كود العميل],0)))</f>
        <v/>
      </c>
      <c r="C119" s="80">
        <f>IF($A119="","",SUMIFS(tblInv[المتبقي],tblInv[كود العميل],$A119,tblInv[الفترة],C$7))</f>
        <v/>
      </c>
      <c r="D119" s="80">
        <f>IF($A119="","",SUMIFS(tblInv[المتبقي],tblInv[كود العميل],$A119,tblInv[الفترة],D$7))</f>
        <v/>
      </c>
      <c r="E119" s="80">
        <f>IF($A119="","",SUMIFS(tblInv[المتبقي],tblInv[كود العميل],$A119,tblInv[الفترة],E$7))</f>
        <v/>
      </c>
      <c r="F119" s="80">
        <f>IF($A119="","",SUMIFS(tblInv[المتبقي],tblInv[كود العميل],$A119,tblInv[الفترة],F$7))</f>
        <v/>
      </c>
      <c r="G119" s="80">
        <f>IF($A119="","",SUMIFS(tblInv[المتبقي],tblInv[كود العميل],$A119,tblInv[الفترة],G$7))</f>
        <v/>
      </c>
      <c r="H119" s="80">
        <f>IF($A119="","",SUMIFS(tblInv[المتبقي],tblInv[كود العميل],$A119,tblInv[الفترة],H$7))</f>
        <v/>
      </c>
      <c r="I119" s="80">
        <f>IF($A119="","",SUMIFS(tblInv[المتبقي],tblInv[كود العميل],$A119,tblInv[الفترة],I$7))</f>
        <v/>
      </c>
      <c r="J119" s="80">
        <f>IF($A119="","",SUM(C119:I119))</f>
        <v/>
      </c>
      <c r="K119" s="80">
        <f>IF($A119="","",-SUMIFS(tblRec[المبلغ],tblRec[كود العميل],$A119,tblRec[رقم الفاتورة],"",tblRec[التاريخ],"&lt;="&amp;AsOf)+SUMIFS(tblInv[المتبقي],tblInv[كود العميل],$A119,tblInv[المتبقي],"&lt;0"))</f>
        <v/>
      </c>
      <c r="L119" s="81">
        <f>IF($A119="","",J119+K119)</f>
        <v/>
      </c>
      <c r="M119" s="82">
        <f>IF($A119="","",IFERROR(L119/$L$8,0))</f>
        <v/>
      </c>
      <c r="N119" s="80">
        <f>IF($A119="","",INDEX(tblCustomers[حد الائتمان],MATCH($A119,tblCustomers[كود العميل],0)))</f>
        <v/>
      </c>
      <c r="O119" s="83">
        <f>IF($A119="","",IF(AND(N119&gt;0,L119&gt;N119),"⛔",""))</f>
        <v/>
      </c>
    </row>
    <row r="120">
      <c r="A120" s="78">
        <f>IFERROR(INDEX(tblCustomers[كود العميل],MATCH(111,tblCustomers[ترتيب],0)),"")</f>
        <v/>
      </c>
      <c r="B120" s="79">
        <f>IF($A120="","",INDEX(tblCustomers[اسم العميل],MATCH($A120,tblCustomers[كود العميل],0)))</f>
        <v/>
      </c>
      <c r="C120" s="80">
        <f>IF($A120="","",SUMIFS(tblInv[المتبقي],tblInv[كود العميل],$A120,tblInv[الفترة],C$7))</f>
        <v/>
      </c>
      <c r="D120" s="80">
        <f>IF($A120="","",SUMIFS(tblInv[المتبقي],tblInv[كود العميل],$A120,tblInv[الفترة],D$7))</f>
        <v/>
      </c>
      <c r="E120" s="80">
        <f>IF($A120="","",SUMIFS(tblInv[المتبقي],tblInv[كود العميل],$A120,tblInv[الفترة],E$7))</f>
        <v/>
      </c>
      <c r="F120" s="80">
        <f>IF($A120="","",SUMIFS(tblInv[المتبقي],tblInv[كود العميل],$A120,tblInv[الفترة],F$7))</f>
        <v/>
      </c>
      <c r="G120" s="80">
        <f>IF($A120="","",SUMIFS(tblInv[المتبقي],tblInv[كود العميل],$A120,tblInv[الفترة],G$7))</f>
        <v/>
      </c>
      <c r="H120" s="80">
        <f>IF($A120="","",SUMIFS(tblInv[المتبقي],tblInv[كود العميل],$A120,tblInv[الفترة],H$7))</f>
        <v/>
      </c>
      <c r="I120" s="80">
        <f>IF($A120="","",SUMIFS(tblInv[المتبقي],tblInv[كود العميل],$A120,tblInv[الفترة],I$7))</f>
        <v/>
      </c>
      <c r="J120" s="80">
        <f>IF($A120="","",SUM(C120:I120))</f>
        <v/>
      </c>
      <c r="K120" s="80">
        <f>IF($A120="","",-SUMIFS(tblRec[المبلغ],tblRec[كود العميل],$A120,tblRec[رقم الفاتورة],"",tblRec[التاريخ],"&lt;="&amp;AsOf)+SUMIFS(tblInv[المتبقي],tblInv[كود العميل],$A120,tblInv[المتبقي],"&lt;0"))</f>
        <v/>
      </c>
      <c r="L120" s="81">
        <f>IF($A120="","",J120+K120)</f>
        <v/>
      </c>
      <c r="M120" s="82">
        <f>IF($A120="","",IFERROR(L120/$L$8,0))</f>
        <v/>
      </c>
      <c r="N120" s="80">
        <f>IF($A120="","",INDEX(tblCustomers[حد الائتمان],MATCH($A120,tblCustomers[كود العميل],0)))</f>
        <v/>
      </c>
      <c r="O120" s="83">
        <f>IF($A120="","",IF(AND(N120&gt;0,L120&gt;N120),"⛔",""))</f>
        <v/>
      </c>
    </row>
    <row r="121">
      <c r="A121" s="78">
        <f>IFERROR(INDEX(tblCustomers[كود العميل],MATCH(112,tblCustomers[ترتيب],0)),"")</f>
        <v/>
      </c>
      <c r="B121" s="79">
        <f>IF($A121="","",INDEX(tblCustomers[اسم العميل],MATCH($A121,tblCustomers[كود العميل],0)))</f>
        <v/>
      </c>
      <c r="C121" s="80">
        <f>IF($A121="","",SUMIFS(tblInv[المتبقي],tblInv[كود العميل],$A121,tblInv[الفترة],C$7))</f>
        <v/>
      </c>
      <c r="D121" s="80">
        <f>IF($A121="","",SUMIFS(tblInv[المتبقي],tblInv[كود العميل],$A121,tblInv[الفترة],D$7))</f>
        <v/>
      </c>
      <c r="E121" s="80">
        <f>IF($A121="","",SUMIFS(tblInv[المتبقي],tblInv[كود العميل],$A121,tblInv[الفترة],E$7))</f>
        <v/>
      </c>
      <c r="F121" s="80">
        <f>IF($A121="","",SUMIFS(tblInv[المتبقي],tblInv[كود العميل],$A121,tblInv[الفترة],F$7))</f>
        <v/>
      </c>
      <c r="G121" s="80">
        <f>IF($A121="","",SUMIFS(tblInv[المتبقي],tblInv[كود العميل],$A121,tblInv[الفترة],G$7))</f>
        <v/>
      </c>
      <c r="H121" s="80">
        <f>IF($A121="","",SUMIFS(tblInv[المتبقي],tblInv[كود العميل],$A121,tblInv[الفترة],H$7))</f>
        <v/>
      </c>
      <c r="I121" s="80">
        <f>IF($A121="","",SUMIFS(tblInv[المتبقي],tblInv[كود العميل],$A121,tblInv[الفترة],I$7))</f>
        <v/>
      </c>
      <c r="J121" s="80">
        <f>IF($A121="","",SUM(C121:I121))</f>
        <v/>
      </c>
      <c r="K121" s="80">
        <f>IF($A121="","",-SUMIFS(tblRec[المبلغ],tblRec[كود العميل],$A121,tblRec[رقم الفاتورة],"",tblRec[التاريخ],"&lt;="&amp;AsOf)+SUMIFS(tblInv[المتبقي],tblInv[كود العميل],$A121,tblInv[المتبقي],"&lt;0"))</f>
        <v/>
      </c>
      <c r="L121" s="81">
        <f>IF($A121="","",J121+K121)</f>
        <v/>
      </c>
      <c r="M121" s="82">
        <f>IF($A121="","",IFERROR(L121/$L$8,0))</f>
        <v/>
      </c>
      <c r="N121" s="80">
        <f>IF($A121="","",INDEX(tblCustomers[حد الائتمان],MATCH($A121,tblCustomers[كود العميل],0)))</f>
        <v/>
      </c>
      <c r="O121" s="83">
        <f>IF($A121="","",IF(AND(N121&gt;0,L121&gt;N121),"⛔",""))</f>
        <v/>
      </c>
    </row>
    <row r="122">
      <c r="A122" s="78">
        <f>IFERROR(INDEX(tblCustomers[كود العميل],MATCH(113,tblCustomers[ترتيب],0)),"")</f>
        <v/>
      </c>
      <c r="B122" s="79">
        <f>IF($A122="","",INDEX(tblCustomers[اسم العميل],MATCH($A122,tblCustomers[كود العميل],0)))</f>
        <v/>
      </c>
      <c r="C122" s="80">
        <f>IF($A122="","",SUMIFS(tblInv[المتبقي],tblInv[كود العميل],$A122,tblInv[الفترة],C$7))</f>
        <v/>
      </c>
      <c r="D122" s="80">
        <f>IF($A122="","",SUMIFS(tblInv[المتبقي],tblInv[كود العميل],$A122,tblInv[الفترة],D$7))</f>
        <v/>
      </c>
      <c r="E122" s="80">
        <f>IF($A122="","",SUMIFS(tblInv[المتبقي],tblInv[كود العميل],$A122,tblInv[الفترة],E$7))</f>
        <v/>
      </c>
      <c r="F122" s="80">
        <f>IF($A122="","",SUMIFS(tblInv[المتبقي],tblInv[كود العميل],$A122,tblInv[الفترة],F$7))</f>
        <v/>
      </c>
      <c r="G122" s="80">
        <f>IF($A122="","",SUMIFS(tblInv[المتبقي],tblInv[كود العميل],$A122,tblInv[الفترة],G$7))</f>
        <v/>
      </c>
      <c r="H122" s="80">
        <f>IF($A122="","",SUMIFS(tblInv[المتبقي],tblInv[كود العميل],$A122,tblInv[الفترة],H$7))</f>
        <v/>
      </c>
      <c r="I122" s="80">
        <f>IF($A122="","",SUMIFS(tblInv[المتبقي],tblInv[كود العميل],$A122,tblInv[الفترة],I$7))</f>
        <v/>
      </c>
      <c r="J122" s="80">
        <f>IF($A122="","",SUM(C122:I122))</f>
        <v/>
      </c>
      <c r="K122" s="80">
        <f>IF($A122="","",-SUMIFS(tblRec[المبلغ],tblRec[كود العميل],$A122,tblRec[رقم الفاتورة],"",tblRec[التاريخ],"&lt;="&amp;AsOf)+SUMIFS(tblInv[المتبقي],tblInv[كود العميل],$A122,tblInv[المتبقي],"&lt;0"))</f>
        <v/>
      </c>
      <c r="L122" s="81">
        <f>IF($A122="","",J122+K122)</f>
        <v/>
      </c>
      <c r="M122" s="82">
        <f>IF($A122="","",IFERROR(L122/$L$8,0))</f>
        <v/>
      </c>
      <c r="N122" s="80">
        <f>IF($A122="","",INDEX(tblCustomers[حد الائتمان],MATCH($A122,tblCustomers[كود العميل],0)))</f>
        <v/>
      </c>
      <c r="O122" s="83">
        <f>IF($A122="","",IF(AND(N122&gt;0,L122&gt;N122),"⛔",""))</f>
        <v/>
      </c>
    </row>
    <row r="123">
      <c r="A123" s="78">
        <f>IFERROR(INDEX(tblCustomers[كود العميل],MATCH(114,tblCustomers[ترتيب],0)),"")</f>
        <v/>
      </c>
      <c r="B123" s="79">
        <f>IF($A123="","",INDEX(tblCustomers[اسم العميل],MATCH($A123,tblCustomers[كود العميل],0)))</f>
        <v/>
      </c>
      <c r="C123" s="80">
        <f>IF($A123="","",SUMIFS(tblInv[المتبقي],tblInv[كود العميل],$A123,tblInv[الفترة],C$7))</f>
        <v/>
      </c>
      <c r="D123" s="80">
        <f>IF($A123="","",SUMIFS(tblInv[المتبقي],tblInv[كود العميل],$A123,tblInv[الفترة],D$7))</f>
        <v/>
      </c>
      <c r="E123" s="80">
        <f>IF($A123="","",SUMIFS(tblInv[المتبقي],tblInv[كود العميل],$A123,tblInv[الفترة],E$7))</f>
        <v/>
      </c>
      <c r="F123" s="80">
        <f>IF($A123="","",SUMIFS(tblInv[المتبقي],tblInv[كود العميل],$A123,tblInv[الفترة],F$7))</f>
        <v/>
      </c>
      <c r="G123" s="80">
        <f>IF($A123="","",SUMIFS(tblInv[المتبقي],tblInv[كود العميل],$A123,tblInv[الفترة],G$7))</f>
        <v/>
      </c>
      <c r="H123" s="80">
        <f>IF($A123="","",SUMIFS(tblInv[المتبقي],tblInv[كود العميل],$A123,tblInv[الفترة],H$7))</f>
        <v/>
      </c>
      <c r="I123" s="80">
        <f>IF($A123="","",SUMIFS(tblInv[المتبقي],tblInv[كود العميل],$A123,tblInv[الفترة],I$7))</f>
        <v/>
      </c>
      <c r="J123" s="80">
        <f>IF($A123="","",SUM(C123:I123))</f>
        <v/>
      </c>
      <c r="K123" s="80">
        <f>IF($A123="","",-SUMIFS(tblRec[المبلغ],tblRec[كود العميل],$A123,tblRec[رقم الفاتورة],"",tblRec[التاريخ],"&lt;="&amp;AsOf)+SUMIFS(tblInv[المتبقي],tblInv[كود العميل],$A123,tblInv[المتبقي],"&lt;0"))</f>
        <v/>
      </c>
      <c r="L123" s="81">
        <f>IF($A123="","",J123+K123)</f>
        <v/>
      </c>
      <c r="M123" s="82">
        <f>IF($A123="","",IFERROR(L123/$L$8,0))</f>
        <v/>
      </c>
      <c r="N123" s="80">
        <f>IF($A123="","",INDEX(tblCustomers[حد الائتمان],MATCH($A123,tblCustomers[كود العميل],0)))</f>
        <v/>
      </c>
      <c r="O123" s="83">
        <f>IF($A123="","",IF(AND(N123&gt;0,L123&gt;N123),"⛔",""))</f>
        <v/>
      </c>
    </row>
    <row r="124">
      <c r="A124" s="78">
        <f>IFERROR(INDEX(tblCustomers[كود العميل],MATCH(115,tblCustomers[ترتيب],0)),"")</f>
        <v/>
      </c>
      <c r="B124" s="79">
        <f>IF($A124="","",INDEX(tblCustomers[اسم العميل],MATCH($A124,tblCustomers[كود العميل],0)))</f>
        <v/>
      </c>
      <c r="C124" s="80">
        <f>IF($A124="","",SUMIFS(tblInv[المتبقي],tblInv[كود العميل],$A124,tblInv[الفترة],C$7))</f>
        <v/>
      </c>
      <c r="D124" s="80">
        <f>IF($A124="","",SUMIFS(tblInv[المتبقي],tblInv[كود العميل],$A124,tblInv[الفترة],D$7))</f>
        <v/>
      </c>
      <c r="E124" s="80">
        <f>IF($A124="","",SUMIFS(tblInv[المتبقي],tblInv[كود العميل],$A124,tblInv[الفترة],E$7))</f>
        <v/>
      </c>
      <c r="F124" s="80">
        <f>IF($A124="","",SUMIFS(tblInv[المتبقي],tblInv[كود العميل],$A124,tblInv[الفترة],F$7))</f>
        <v/>
      </c>
      <c r="G124" s="80">
        <f>IF($A124="","",SUMIFS(tblInv[المتبقي],tblInv[كود العميل],$A124,tblInv[الفترة],G$7))</f>
        <v/>
      </c>
      <c r="H124" s="80">
        <f>IF($A124="","",SUMIFS(tblInv[المتبقي],tblInv[كود العميل],$A124,tblInv[الفترة],H$7))</f>
        <v/>
      </c>
      <c r="I124" s="80">
        <f>IF($A124="","",SUMIFS(tblInv[المتبقي],tblInv[كود العميل],$A124,tblInv[الفترة],I$7))</f>
        <v/>
      </c>
      <c r="J124" s="80">
        <f>IF($A124="","",SUM(C124:I124))</f>
        <v/>
      </c>
      <c r="K124" s="80">
        <f>IF($A124="","",-SUMIFS(tblRec[المبلغ],tblRec[كود العميل],$A124,tblRec[رقم الفاتورة],"",tblRec[التاريخ],"&lt;="&amp;AsOf)+SUMIFS(tblInv[المتبقي],tblInv[كود العميل],$A124,tblInv[المتبقي],"&lt;0"))</f>
        <v/>
      </c>
      <c r="L124" s="81">
        <f>IF($A124="","",J124+K124)</f>
        <v/>
      </c>
      <c r="M124" s="82">
        <f>IF($A124="","",IFERROR(L124/$L$8,0))</f>
        <v/>
      </c>
      <c r="N124" s="80">
        <f>IF($A124="","",INDEX(tblCustomers[حد الائتمان],MATCH($A124,tblCustomers[كود العميل],0)))</f>
        <v/>
      </c>
      <c r="O124" s="83">
        <f>IF($A124="","",IF(AND(N124&gt;0,L124&gt;N124),"⛔",""))</f>
        <v/>
      </c>
    </row>
    <row r="125">
      <c r="A125" s="78">
        <f>IFERROR(INDEX(tblCustomers[كود العميل],MATCH(116,tblCustomers[ترتيب],0)),"")</f>
        <v/>
      </c>
      <c r="B125" s="79">
        <f>IF($A125="","",INDEX(tblCustomers[اسم العميل],MATCH($A125,tblCustomers[كود العميل],0)))</f>
        <v/>
      </c>
      <c r="C125" s="80">
        <f>IF($A125="","",SUMIFS(tblInv[المتبقي],tblInv[كود العميل],$A125,tblInv[الفترة],C$7))</f>
        <v/>
      </c>
      <c r="D125" s="80">
        <f>IF($A125="","",SUMIFS(tblInv[المتبقي],tblInv[كود العميل],$A125,tblInv[الفترة],D$7))</f>
        <v/>
      </c>
      <c r="E125" s="80">
        <f>IF($A125="","",SUMIFS(tblInv[المتبقي],tblInv[كود العميل],$A125,tblInv[الفترة],E$7))</f>
        <v/>
      </c>
      <c r="F125" s="80">
        <f>IF($A125="","",SUMIFS(tblInv[المتبقي],tblInv[كود العميل],$A125,tblInv[الفترة],F$7))</f>
        <v/>
      </c>
      <c r="G125" s="80">
        <f>IF($A125="","",SUMIFS(tblInv[المتبقي],tblInv[كود العميل],$A125,tblInv[الفترة],G$7))</f>
        <v/>
      </c>
      <c r="H125" s="80">
        <f>IF($A125="","",SUMIFS(tblInv[المتبقي],tblInv[كود العميل],$A125,tblInv[الفترة],H$7))</f>
        <v/>
      </c>
      <c r="I125" s="80">
        <f>IF($A125="","",SUMIFS(tblInv[المتبقي],tblInv[كود العميل],$A125,tblInv[الفترة],I$7))</f>
        <v/>
      </c>
      <c r="J125" s="80">
        <f>IF($A125="","",SUM(C125:I125))</f>
        <v/>
      </c>
      <c r="K125" s="80">
        <f>IF($A125="","",-SUMIFS(tblRec[المبلغ],tblRec[كود العميل],$A125,tblRec[رقم الفاتورة],"",tblRec[التاريخ],"&lt;="&amp;AsOf)+SUMIFS(tblInv[المتبقي],tblInv[كود العميل],$A125,tblInv[المتبقي],"&lt;0"))</f>
        <v/>
      </c>
      <c r="L125" s="81">
        <f>IF($A125="","",J125+K125)</f>
        <v/>
      </c>
      <c r="M125" s="82">
        <f>IF($A125="","",IFERROR(L125/$L$8,0))</f>
        <v/>
      </c>
      <c r="N125" s="80">
        <f>IF($A125="","",INDEX(tblCustomers[حد الائتمان],MATCH($A125,tblCustomers[كود العميل],0)))</f>
        <v/>
      </c>
      <c r="O125" s="83">
        <f>IF($A125="","",IF(AND(N125&gt;0,L125&gt;N125),"⛔",""))</f>
        <v/>
      </c>
    </row>
    <row r="126">
      <c r="A126" s="78">
        <f>IFERROR(INDEX(tblCustomers[كود العميل],MATCH(117,tblCustomers[ترتيب],0)),"")</f>
        <v/>
      </c>
      <c r="B126" s="79">
        <f>IF($A126="","",INDEX(tblCustomers[اسم العميل],MATCH($A126,tblCustomers[كود العميل],0)))</f>
        <v/>
      </c>
      <c r="C126" s="80">
        <f>IF($A126="","",SUMIFS(tblInv[المتبقي],tblInv[كود العميل],$A126,tblInv[الفترة],C$7))</f>
        <v/>
      </c>
      <c r="D126" s="80">
        <f>IF($A126="","",SUMIFS(tblInv[المتبقي],tblInv[كود العميل],$A126,tblInv[الفترة],D$7))</f>
        <v/>
      </c>
      <c r="E126" s="80">
        <f>IF($A126="","",SUMIFS(tblInv[المتبقي],tblInv[كود العميل],$A126,tblInv[الفترة],E$7))</f>
        <v/>
      </c>
      <c r="F126" s="80">
        <f>IF($A126="","",SUMIFS(tblInv[المتبقي],tblInv[كود العميل],$A126,tblInv[الفترة],F$7))</f>
        <v/>
      </c>
      <c r="G126" s="80">
        <f>IF($A126="","",SUMIFS(tblInv[المتبقي],tblInv[كود العميل],$A126,tblInv[الفترة],G$7))</f>
        <v/>
      </c>
      <c r="H126" s="80">
        <f>IF($A126="","",SUMIFS(tblInv[المتبقي],tblInv[كود العميل],$A126,tblInv[الفترة],H$7))</f>
        <v/>
      </c>
      <c r="I126" s="80">
        <f>IF($A126="","",SUMIFS(tblInv[المتبقي],tblInv[كود العميل],$A126,tblInv[الفترة],I$7))</f>
        <v/>
      </c>
      <c r="J126" s="80">
        <f>IF($A126="","",SUM(C126:I126))</f>
        <v/>
      </c>
      <c r="K126" s="80">
        <f>IF($A126="","",-SUMIFS(tblRec[المبلغ],tblRec[كود العميل],$A126,tblRec[رقم الفاتورة],"",tblRec[التاريخ],"&lt;="&amp;AsOf)+SUMIFS(tblInv[المتبقي],tblInv[كود العميل],$A126,tblInv[المتبقي],"&lt;0"))</f>
        <v/>
      </c>
      <c r="L126" s="81">
        <f>IF($A126="","",J126+K126)</f>
        <v/>
      </c>
      <c r="M126" s="82">
        <f>IF($A126="","",IFERROR(L126/$L$8,0))</f>
        <v/>
      </c>
      <c r="N126" s="80">
        <f>IF($A126="","",INDEX(tblCustomers[حد الائتمان],MATCH($A126,tblCustomers[كود العميل],0)))</f>
        <v/>
      </c>
      <c r="O126" s="83">
        <f>IF($A126="","",IF(AND(N126&gt;0,L126&gt;N126),"⛔",""))</f>
        <v/>
      </c>
    </row>
    <row r="127">
      <c r="A127" s="78">
        <f>IFERROR(INDEX(tblCustomers[كود العميل],MATCH(118,tblCustomers[ترتيب],0)),"")</f>
        <v/>
      </c>
      <c r="B127" s="79">
        <f>IF($A127="","",INDEX(tblCustomers[اسم العميل],MATCH($A127,tblCustomers[كود العميل],0)))</f>
        <v/>
      </c>
      <c r="C127" s="80">
        <f>IF($A127="","",SUMIFS(tblInv[المتبقي],tblInv[كود العميل],$A127,tblInv[الفترة],C$7))</f>
        <v/>
      </c>
      <c r="D127" s="80">
        <f>IF($A127="","",SUMIFS(tblInv[المتبقي],tblInv[كود العميل],$A127,tblInv[الفترة],D$7))</f>
        <v/>
      </c>
      <c r="E127" s="80">
        <f>IF($A127="","",SUMIFS(tblInv[المتبقي],tblInv[كود العميل],$A127,tblInv[الفترة],E$7))</f>
        <v/>
      </c>
      <c r="F127" s="80">
        <f>IF($A127="","",SUMIFS(tblInv[المتبقي],tblInv[كود العميل],$A127,tblInv[الفترة],F$7))</f>
        <v/>
      </c>
      <c r="G127" s="80">
        <f>IF($A127="","",SUMIFS(tblInv[المتبقي],tblInv[كود العميل],$A127,tblInv[الفترة],G$7))</f>
        <v/>
      </c>
      <c r="H127" s="80">
        <f>IF($A127="","",SUMIFS(tblInv[المتبقي],tblInv[كود العميل],$A127,tblInv[الفترة],H$7))</f>
        <v/>
      </c>
      <c r="I127" s="80">
        <f>IF($A127="","",SUMIFS(tblInv[المتبقي],tblInv[كود العميل],$A127,tblInv[الفترة],I$7))</f>
        <v/>
      </c>
      <c r="J127" s="80">
        <f>IF($A127="","",SUM(C127:I127))</f>
        <v/>
      </c>
      <c r="K127" s="80">
        <f>IF($A127="","",-SUMIFS(tblRec[المبلغ],tblRec[كود العميل],$A127,tblRec[رقم الفاتورة],"",tblRec[التاريخ],"&lt;="&amp;AsOf)+SUMIFS(tblInv[المتبقي],tblInv[كود العميل],$A127,tblInv[المتبقي],"&lt;0"))</f>
        <v/>
      </c>
      <c r="L127" s="81">
        <f>IF($A127="","",J127+K127)</f>
        <v/>
      </c>
      <c r="M127" s="82">
        <f>IF($A127="","",IFERROR(L127/$L$8,0))</f>
        <v/>
      </c>
      <c r="N127" s="80">
        <f>IF($A127="","",INDEX(tblCustomers[حد الائتمان],MATCH($A127,tblCustomers[كود العميل],0)))</f>
        <v/>
      </c>
      <c r="O127" s="83">
        <f>IF($A127="","",IF(AND(N127&gt;0,L127&gt;N127),"⛔",""))</f>
        <v/>
      </c>
    </row>
    <row r="128">
      <c r="A128" s="78">
        <f>IFERROR(INDEX(tblCustomers[كود العميل],MATCH(119,tblCustomers[ترتيب],0)),"")</f>
        <v/>
      </c>
      <c r="B128" s="79">
        <f>IF($A128="","",INDEX(tblCustomers[اسم العميل],MATCH($A128,tblCustomers[كود العميل],0)))</f>
        <v/>
      </c>
      <c r="C128" s="80">
        <f>IF($A128="","",SUMIFS(tblInv[المتبقي],tblInv[كود العميل],$A128,tblInv[الفترة],C$7))</f>
        <v/>
      </c>
      <c r="D128" s="80">
        <f>IF($A128="","",SUMIFS(tblInv[المتبقي],tblInv[كود العميل],$A128,tblInv[الفترة],D$7))</f>
        <v/>
      </c>
      <c r="E128" s="80">
        <f>IF($A128="","",SUMIFS(tblInv[المتبقي],tblInv[كود العميل],$A128,tblInv[الفترة],E$7))</f>
        <v/>
      </c>
      <c r="F128" s="80">
        <f>IF($A128="","",SUMIFS(tblInv[المتبقي],tblInv[كود العميل],$A128,tblInv[الفترة],F$7))</f>
        <v/>
      </c>
      <c r="G128" s="80">
        <f>IF($A128="","",SUMIFS(tblInv[المتبقي],tblInv[كود العميل],$A128,tblInv[الفترة],G$7))</f>
        <v/>
      </c>
      <c r="H128" s="80">
        <f>IF($A128="","",SUMIFS(tblInv[المتبقي],tblInv[كود العميل],$A128,tblInv[الفترة],H$7))</f>
        <v/>
      </c>
      <c r="I128" s="80">
        <f>IF($A128="","",SUMIFS(tblInv[المتبقي],tblInv[كود العميل],$A128,tblInv[الفترة],I$7))</f>
        <v/>
      </c>
      <c r="J128" s="80">
        <f>IF($A128="","",SUM(C128:I128))</f>
        <v/>
      </c>
      <c r="K128" s="80">
        <f>IF($A128="","",-SUMIFS(tblRec[المبلغ],tblRec[كود العميل],$A128,tblRec[رقم الفاتورة],"",tblRec[التاريخ],"&lt;="&amp;AsOf)+SUMIFS(tblInv[المتبقي],tblInv[كود العميل],$A128,tblInv[المتبقي],"&lt;0"))</f>
        <v/>
      </c>
      <c r="L128" s="81">
        <f>IF($A128="","",J128+K128)</f>
        <v/>
      </c>
      <c r="M128" s="82">
        <f>IF($A128="","",IFERROR(L128/$L$8,0))</f>
        <v/>
      </c>
      <c r="N128" s="80">
        <f>IF($A128="","",INDEX(tblCustomers[حد الائتمان],MATCH($A128,tblCustomers[كود العميل],0)))</f>
        <v/>
      </c>
      <c r="O128" s="83">
        <f>IF($A128="","",IF(AND(N128&gt;0,L128&gt;N128),"⛔",""))</f>
        <v/>
      </c>
    </row>
    <row r="129">
      <c r="A129" s="78">
        <f>IFERROR(INDEX(tblCustomers[كود العميل],MATCH(120,tblCustomers[ترتيب],0)),"")</f>
        <v/>
      </c>
      <c r="B129" s="79">
        <f>IF($A129="","",INDEX(tblCustomers[اسم العميل],MATCH($A129,tblCustomers[كود العميل],0)))</f>
        <v/>
      </c>
      <c r="C129" s="80">
        <f>IF($A129="","",SUMIFS(tblInv[المتبقي],tblInv[كود العميل],$A129,tblInv[الفترة],C$7))</f>
        <v/>
      </c>
      <c r="D129" s="80">
        <f>IF($A129="","",SUMIFS(tblInv[المتبقي],tblInv[كود العميل],$A129,tblInv[الفترة],D$7))</f>
        <v/>
      </c>
      <c r="E129" s="80">
        <f>IF($A129="","",SUMIFS(tblInv[المتبقي],tblInv[كود العميل],$A129,tblInv[الفترة],E$7))</f>
        <v/>
      </c>
      <c r="F129" s="80">
        <f>IF($A129="","",SUMIFS(tblInv[المتبقي],tblInv[كود العميل],$A129,tblInv[الفترة],F$7))</f>
        <v/>
      </c>
      <c r="G129" s="80">
        <f>IF($A129="","",SUMIFS(tblInv[المتبقي],tblInv[كود العميل],$A129,tblInv[الفترة],G$7))</f>
        <v/>
      </c>
      <c r="H129" s="80">
        <f>IF($A129="","",SUMIFS(tblInv[المتبقي],tblInv[كود العميل],$A129,tblInv[الفترة],H$7))</f>
        <v/>
      </c>
      <c r="I129" s="80">
        <f>IF($A129="","",SUMIFS(tblInv[المتبقي],tblInv[كود العميل],$A129,tblInv[الفترة],I$7))</f>
        <v/>
      </c>
      <c r="J129" s="80">
        <f>IF($A129="","",SUM(C129:I129))</f>
        <v/>
      </c>
      <c r="K129" s="80">
        <f>IF($A129="","",-SUMIFS(tblRec[المبلغ],tblRec[كود العميل],$A129,tblRec[رقم الفاتورة],"",tblRec[التاريخ],"&lt;="&amp;AsOf)+SUMIFS(tblInv[المتبقي],tblInv[كود العميل],$A129,tblInv[المتبقي],"&lt;0"))</f>
        <v/>
      </c>
      <c r="L129" s="81">
        <f>IF($A129="","",J129+K129)</f>
        <v/>
      </c>
      <c r="M129" s="82">
        <f>IF($A129="","",IFERROR(L129/$L$8,0))</f>
        <v/>
      </c>
      <c r="N129" s="80">
        <f>IF($A129="","",INDEX(tblCustomers[حد الائتمان],MATCH($A129,tblCustomers[كود العميل],0)))</f>
        <v/>
      </c>
      <c r="O129" s="83">
        <f>IF($A129="","",IF(AND(N129&gt;0,L129&gt;N129),"⛔",""))</f>
        <v/>
      </c>
    </row>
    <row r="130">
      <c r="A130" s="78">
        <f>IFERROR(INDEX(tblCustomers[كود العميل],MATCH(121,tblCustomers[ترتيب],0)),"")</f>
        <v/>
      </c>
      <c r="B130" s="79">
        <f>IF($A130="","",INDEX(tblCustomers[اسم العميل],MATCH($A130,tblCustomers[كود العميل],0)))</f>
        <v/>
      </c>
      <c r="C130" s="80">
        <f>IF($A130="","",SUMIFS(tblInv[المتبقي],tblInv[كود العميل],$A130,tblInv[الفترة],C$7))</f>
        <v/>
      </c>
      <c r="D130" s="80">
        <f>IF($A130="","",SUMIFS(tblInv[المتبقي],tblInv[كود العميل],$A130,tblInv[الفترة],D$7))</f>
        <v/>
      </c>
      <c r="E130" s="80">
        <f>IF($A130="","",SUMIFS(tblInv[المتبقي],tblInv[كود العميل],$A130,tblInv[الفترة],E$7))</f>
        <v/>
      </c>
      <c r="F130" s="80">
        <f>IF($A130="","",SUMIFS(tblInv[المتبقي],tblInv[كود العميل],$A130,tblInv[الفترة],F$7))</f>
        <v/>
      </c>
      <c r="G130" s="80">
        <f>IF($A130="","",SUMIFS(tblInv[المتبقي],tblInv[كود العميل],$A130,tblInv[الفترة],G$7))</f>
        <v/>
      </c>
      <c r="H130" s="80">
        <f>IF($A130="","",SUMIFS(tblInv[المتبقي],tblInv[كود العميل],$A130,tblInv[الفترة],H$7))</f>
        <v/>
      </c>
      <c r="I130" s="80">
        <f>IF($A130="","",SUMIFS(tblInv[المتبقي],tblInv[كود العميل],$A130,tblInv[الفترة],I$7))</f>
        <v/>
      </c>
      <c r="J130" s="80">
        <f>IF($A130="","",SUM(C130:I130))</f>
        <v/>
      </c>
      <c r="K130" s="80">
        <f>IF($A130="","",-SUMIFS(tblRec[المبلغ],tblRec[كود العميل],$A130,tblRec[رقم الفاتورة],"",tblRec[التاريخ],"&lt;="&amp;AsOf)+SUMIFS(tblInv[المتبقي],tblInv[كود العميل],$A130,tblInv[المتبقي],"&lt;0"))</f>
        <v/>
      </c>
      <c r="L130" s="81">
        <f>IF($A130="","",J130+K130)</f>
        <v/>
      </c>
      <c r="M130" s="82">
        <f>IF($A130="","",IFERROR(L130/$L$8,0))</f>
        <v/>
      </c>
      <c r="N130" s="80">
        <f>IF($A130="","",INDEX(tblCustomers[حد الائتمان],MATCH($A130,tblCustomers[كود العميل],0)))</f>
        <v/>
      </c>
      <c r="O130" s="83">
        <f>IF($A130="","",IF(AND(N130&gt;0,L130&gt;N130),"⛔",""))</f>
        <v/>
      </c>
    </row>
    <row r="131">
      <c r="A131" s="78">
        <f>IFERROR(INDEX(tblCustomers[كود العميل],MATCH(122,tblCustomers[ترتيب],0)),"")</f>
        <v/>
      </c>
      <c r="B131" s="79">
        <f>IF($A131="","",INDEX(tblCustomers[اسم العميل],MATCH($A131,tblCustomers[كود العميل],0)))</f>
        <v/>
      </c>
      <c r="C131" s="80">
        <f>IF($A131="","",SUMIFS(tblInv[المتبقي],tblInv[كود العميل],$A131,tblInv[الفترة],C$7))</f>
        <v/>
      </c>
      <c r="D131" s="80">
        <f>IF($A131="","",SUMIFS(tblInv[المتبقي],tblInv[كود العميل],$A131,tblInv[الفترة],D$7))</f>
        <v/>
      </c>
      <c r="E131" s="80">
        <f>IF($A131="","",SUMIFS(tblInv[المتبقي],tblInv[كود العميل],$A131,tblInv[الفترة],E$7))</f>
        <v/>
      </c>
      <c r="F131" s="80">
        <f>IF($A131="","",SUMIFS(tblInv[المتبقي],tblInv[كود العميل],$A131,tblInv[الفترة],F$7))</f>
        <v/>
      </c>
      <c r="G131" s="80">
        <f>IF($A131="","",SUMIFS(tblInv[المتبقي],tblInv[كود العميل],$A131,tblInv[الفترة],G$7))</f>
        <v/>
      </c>
      <c r="H131" s="80">
        <f>IF($A131="","",SUMIFS(tblInv[المتبقي],tblInv[كود العميل],$A131,tblInv[الفترة],H$7))</f>
        <v/>
      </c>
      <c r="I131" s="80">
        <f>IF($A131="","",SUMIFS(tblInv[المتبقي],tblInv[كود العميل],$A131,tblInv[الفترة],I$7))</f>
        <v/>
      </c>
      <c r="J131" s="80">
        <f>IF($A131="","",SUM(C131:I131))</f>
        <v/>
      </c>
      <c r="K131" s="80">
        <f>IF($A131="","",-SUMIFS(tblRec[المبلغ],tblRec[كود العميل],$A131,tblRec[رقم الفاتورة],"",tblRec[التاريخ],"&lt;="&amp;AsOf)+SUMIFS(tblInv[المتبقي],tblInv[كود العميل],$A131,tblInv[المتبقي],"&lt;0"))</f>
        <v/>
      </c>
      <c r="L131" s="81">
        <f>IF($A131="","",J131+K131)</f>
        <v/>
      </c>
      <c r="M131" s="82">
        <f>IF($A131="","",IFERROR(L131/$L$8,0))</f>
        <v/>
      </c>
      <c r="N131" s="80">
        <f>IF($A131="","",INDEX(tblCustomers[حد الائتمان],MATCH($A131,tblCustomers[كود العميل],0)))</f>
        <v/>
      </c>
      <c r="O131" s="83">
        <f>IF($A131="","",IF(AND(N131&gt;0,L131&gt;N131),"⛔",""))</f>
        <v/>
      </c>
    </row>
    <row r="132">
      <c r="A132" s="78">
        <f>IFERROR(INDEX(tblCustomers[كود العميل],MATCH(123,tblCustomers[ترتيب],0)),"")</f>
        <v/>
      </c>
      <c r="B132" s="79">
        <f>IF($A132="","",INDEX(tblCustomers[اسم العميل],MATCH($A132,tblCustomers[كود العميل],0)))</f>
        <v/>
      </c>
      <c r="C132" s="80">
        <f>IF($A132="","",SUMIFS(tblInv[المتبقي],tblInv[كود العميل],$A132,tblInv[الفترة],C$7))</f>
        <v/>
      </c>
      <c r="D132" s="80">
        <f>IF($A132="","",SUMIFS(tblInv[المتبقي],tblInv[كود العميل],$A132,tblInv[الفترة],D$7))</f>
        <v/>
      </c>
      <c r="E132" s="80">
        <f>IF($A132="","",SUMIFS(tblInv[المتبقي],tblInv[كود العميل],$A132,tblInv[الفترة],E$7))</f>
        <v/>
      </c>
      <c r="F132" s="80">
        <f>IF($A132="","",SUMIFS(tblInv[المتبقي],tblInv[كود العميل],$A132,tblInv[الفترة],F$7))</f>
        <v/>
      </c>
      <c r="G132" s="80">
        <f>IF($A132="","",SUMIFS(tblInv[المتبقي],tblInv[كود العميل],$A132,tblInv[الفترة],G$7))</f>
        <v/>
      </c>
      <c r="H132" s="80">
        <f>IF($A132="","",SUMIFS(tblInv[المتبقي],tblInv[كود العميل],$A132,tblInv[الفترة],H$7))</f>
        <v/>
      </c>
      <c r="I132" s="80">
        <f>IF($A132="","",SUMIFS(tblInv[المتبقي],tblInv[كود العميل],$A132,tblInv[الفترة],I$7))</f>
        <v/>
      </c>
      <c r="J132" s="80">
        <f>IF($A132="","",SUM(C132:I132))</f>
        <v/>
      </c>
      <c r="K132" s="80">
        <f>IF($A132="","",-SUMIFS(tblRec[المبلغ],tblRec[كود العميل],$A132,tblRec[رقم الفاتورة],"",tblRec[التاريخ],"&lt;="&amp;AsOf)+SUMIFS(tblInv[المتبقي],tblInv[كود العميل],$A132,tblInv[المتبقي],"&lt;0"))</f>
        <v/>
      </c>
      <c r="L132" s="81">
        <f>IF($A132="","",J132+K132)</f>
        <v/>
      </c>
      <c r="M132" s="82">
        <f>IF($A132="","",IFERROR(L132/$L$8,0))</f>
        <v/>
      </c>
      <c r="N132" s="80">
        <f>IF($A132="","",INDEX(tblCustomers[حد الائتمان],MATCH($A132,tblCustomers[كود العميل],0)))</f>
        <v/>
      </c>
      <c r="O132" s="83">
        <f>IF($A132="","",IF(AND(N132&gt;0,L132&gt;N132),"⛔",""))</f>
        <v/>
      </c>
    </row>
    <row r="133">
      <c r="A133" s="78">
        <f>IFERROR(INDEX(tblCustomers[كود العميل],MATCH(124,tblCustomers[ترتيب],0)),"")</f>
        <v/>
      </c>
      <c r="B133" s="79">
        <f>IF($A133="","",INDEX(tblCustomers[اسم العميل],MATCH($A133,tblCustomers[كود العميل],0)))</f>
        <v/>
      </c>
      <c r="C133" s="80">
        <f>IF($A133="","",SUMIFS(tblInv[المتبقي],tblInv[كود العميل],$A133,tblInv[الفترة],C$7))</f>
        <v/>
      </c>
      <c r="D133" s="80">
        <f>IF($A133="","",SUMIFS(tblInv[المتبقي],tblInv[كود العميل],$A133,tblInv[الفترة],D$7))</f>
        <v/>
      </c>
      <c r="E133" s="80">
        <f>IF($A133="","",SUMIFS(tblInv[المتبقي],tblInv[كود العميل],$A133,tblInv[الفترة],E$7))</f>
        <v/>
      </c>
      <c r="F133" s="80">
        <f>IF($A133="","",SUMIFS(tblInv[المتبقي],tblInv[كود العميل],$A133,tblInv[الفترة],F$7))</f>
        <v/>
      </c>
      <c r="G133" s="80">
        <f>IF($A133="","",SUMIFS(tblInv[المتبقي],tblInv[كود العميل],$A133,tblInv[الفترة],G$7))</f>
        <v/>
      </c>
      <c r="H133" s="80">
        <f>IF($A133="","",SUMIFS(tblInv[المتبقي],tblInv[كود العميل],$A133,tblInv[الفترة],H$7))</f>
        <v/>
      </c>
      <c r="I133" s="80">
        <f>IF($A133="","",SUMIFS(tblInv[المتبقي],tblInv[كود العميل],$A133,tblInv[الفترة],I$7))</f>
        <v/>
      </c>
      <c r="J133" s="80">
        <f>IF($A133="","",SUM(C133:I133))</f>
        <v/>
      </c>
      <c r="K133" s="80">
        <f>IF($A133="","",-SUMIFS(tblRec[المبلغ],tblRec[كود العميل],$A133,tblRec[رقم الفاتورة],"",tblRec[التاريخ],"&lt;="&amp;AsOf)+SUMIFS(tblInv[المتبقي],tblInv[كود العميل],$A133,tblInv[المتبقي],"&lt;0"))</f>
        <v/>
      </c>
      <c r="L133" s="81">
        <f>IF($A133="","",J133+K133)</f>
        <v/>
      </c>
      <c r="M133" s="82">
        <f>IF($A133="","",IFERROR(L133/$L$8,0))</f>
        <v/>
      </c>
      <c r="N133" s="80">
        <f>IF($A133="","",INDEX(tblCustomers[حد الائتمان],MATCH($A133,tblCustomers[كود العميل],0)))</f>
        <v/>
      </c>
      <c r="O133" s="83">
        <f>IF($A133="","",IF(AND(N133&gt;0,L133&gt;N133),"⛔",""))</f>
        <v/>
      </c>
    </row>
    <row r="134">
      <c r="A134" s="78">
        <f>IFERROR(INDEX(tblCustomers[كود العميل],MATCH(125,tblCustomers[ترتيب],0)),"")</f>
        <v/>
      </c>
      <c r="B134" s="79">
        <f>IF($A134="","",INDEX(tblCustomers[اسم العميل],MATCH($A134,tblCustomers[كود العميل],0)))</f>
        <v/>
      </c>
      <c r="C134" s="80">
        <f>IF($A134="","",SUMIFS(tblInv[المتبقي],tblInv[كود العميل],$A134,tblInv[الفترة],C$7))</f>
        <v/>
      </c>
      <c r="D134" s="80">
        <f>IF($A134="","",SUMIFS(tblInv[المتبقي],tblInv[كود العميل],$A134,tblInv[الفترة],D$7))</f>
        <v/>
      </c>
      <c r="E134" s="80">
        <f>IF($A134="","",SUMIFS(tblInv[المتبقي],tblInv[كود العميل],$A134,tblInv[الفترة],E$7))</f>
        <v/>
      </c>
      <c r="F134" s="80">
        <f>IF($A134="","",SUMIFS(tblInv[المتبقي],tblInv[كود العميل],$A134,tblInv[الفترة],F$7))</f>
        <v/>
      </c>
      <c r="G134" s="80">
        <f>IF($A134="","",SUMIFS(tblInv[المتبقي],tblInv[كود العميل],$A134,tblInv[الفترة],G$7))</f>
        <v/>
      </c>
      <c r="H134" s="80">
        <f>IF($A134="","",SUMIFS(tblInv[المتبقي],tblInv[كود العميل],$A134,tblInv[الفترة],H$7))</f>
        <v/>
      </c>
      <c r="I134" s="80">
        <f>IF($A134="","",SUMIFS(tblInv[المتبقي],tblInv[كود العميل],$A134,tblInv[الفترة],I$7))</f>
        <v/>
      </c>
      <c r="J134" s="80">
        <f>IF($A134="","",SUM(C134:I134))</f>
        <v/>
      </c>
      <c r="K134" s="80">
        <f>IF($A134="","",-SUMIFS(tblRec[المبلغ],tblRec[كود العميل],$A134,tblRec[رقم الفاتورة],"",tblRec[التاريخ],"&lt;="&amp;AsOf)+SUMIFS(tblInv[المتبقي],tblInv[كود العميل],$A134,tblInv[المتبقي],"&lt;0"))</f>
        <v/>
      </c>
      <c r="L134" s="81">
        <f>IF($A134="","",J134+K134)</f>
        <v/>
      </c>
      <c r="M134" s="82">
        <f>IF($A134="","",IFERROR(L134/$L$8,0))</f>
        <v/>
      </c>
      <c r="N134" s="80">
        <f>IF($A134="","",INDEX(tblCustomers[حد الائتمان],MATCH($A134,tblCustomers[كود العميل],0)))</f>
        <v/>
      </c>
      <c r="O134" s="83">
        <f>IF($A134="","",IF(AND(N134&gt;0,L134&gt;N134),"⛔",""))</f>
        <v/>
      </c>
    </row>
    <row r="135">
      <c r="A135" s="78">
        <f>IFERROR(INDEX(tblCustomers[كود العميل],MATCH(126,tblCustomers[ترتيب],0)),"")</f>
        <v/>
      </c>
      <c r="B135" s="79">
        <f>IF($A135="","",INDEX(tblCustomers[اسم العميل],MATCH($A135,tblCustomers[كود العميل],0)))</f>
        <v/>
      </c>
      <c r="C135" s="80">
        <f>IF($A135="","",SUMIFS(tblInv[المتبقي],tblInv[كود العميل],$A135,tblInv[الفترة],C$7))</f>
        <v/>
      </c>
      <c r="D135" s="80">
        <f>IF($A135="","",SUMIFS(tblInv[المتبقي],tblInv[كود العميل],$A135,tblInv[الفترة],D$7))</f>
        <v/>
      </c>
      <c r="E135" s="80">
        <f>IF($A135="","",SUMIFS(tblInv[المتبقي],tblInv[كود العميل],$A135,tblInv[الفترة],E$7))</f>
        <v/>
      </c>
      <c r="F135" s="80">
        <f>IF($A135="","",SUMIFS(tblInv[المتبقي],tblInv[كود العميل],$A135,tblInv[الفترة],F$7))</f>
        <v/>
      </c>
      <c r="G135" s="80">
        <f>IF($A135="","",SUMIFS(tblInv[المتبقي],tblInv[كود العميل],$A135,tblInv[الفترة],G$7))</f>
        <v/>
      </c>
      <c r="H135" s="80">
        <f>IF($A135="","",SUMIFS(tblInv[المتبقي],tblInv[كود العميل],$A135,tblInv[الفترة],H$7))</f>
        <v/>
      </c>
      <c r="I135" s="80">
        <f>IF($A135="","",SUMIFS(tblInv[المتبقي],tblInv[كود العميل],$A135,tblInv[الفترة],I$7))</f>
        <v/>
      </c>
      <c r="J135" s="80">
        <f>IF($A135="","",SUM(C135:I135))</f>
        <v/>
      </c>
      <c r="K135" s="80">
        <f>IF($A135="","",-SUMIFS(tblRec[المبلغ],tblRec[كود العميل],$A135,tblRec[رقم الفاتورة],"",tblRec[التاريخ],"&lt;="&amp;AsOf)+SUMIFS(tblInv[المتبقي],tblInv[كود العميل],$A135,tblInv[المتبقي],"&lt;0"))</f>
        <v/>
      </c>
      <c r="L135" s="81">
        <f>IF($A135="","",J135+K135)</f>
        <v/>
      </c>
      <c r="M135" s="82">
        <f>IF($A135="","",IFERROR(L135/$L$8,0))</f>
        <v/>
      </c>
      <c r="N135" s="80">
        <f>IF($A135="","",INDEX(tblCustomers[حد الائتمان],MATCH($A135,tblCustomers[كود العميل],0)))</f>
        <v/>
      </c>
      <c r="O135" s="83">
        <f>IF($A135="","",IF(AND(N135&gt;0,L135&gt;N135),"⛔",""))</f>
        <v/>
      </c>
    </row>
    <row r="136">
      <c r="A136" s="78">
        <f>IFERROR(INDEX(tblCustomers[كود العميل],MATCH(127,tblCustomers[ترتيب],0)),"")</f>
        <v/>
      </c>
      <c r="B136" s="79">
        <f>IF($A136="","",INDEX(tblCustomers[اسم العميل],MATCH($A136,tblCustomers[كود العميل],0)))</f>
        <v/>
      </c>
      <c r="C136" s="80">
        <f>IF($A136="","",SUMIFS(tblInv[المتبقي],tblInv[كود العميل],$A136,tblInv[الفترة],C$7))</f>
        <v/>
      </c>
      <c r="D136" s="80">
        <f>IF($A136="","",SUMIFS(tblInv[المتبقي],tblInv[كود العميل],$A136,tblInv[الفترة],D$7))</f>
        <v/>
      </c>
      <c r="E136" s="80">
        <f>IF($A136="","",SUMIFS(tblInv[المتبقي],tblInv[كود العميل],$A136,tblInv[الفترة],E$7))</f>
        <v/>
      </c>
      <c r="F136" s="80">
        <f>IF($A136="","",SUMIFS(tblInv[المتبقي],tblInv[كود العميل],$A136,tblInv[الفترة],F$7))</f>
        <v/>
      </c>
      <c r="G136" s="80">
        <f>IF($A136="","",SUMIFS(tblInv[المتبقي],tblInv[كود العميل],$A136,tblInv[الفترة],G$7))</f>
        <v/>
      </c>
      <c r="H136" s="80">
        <f>IF($A136="","",SUMIFS(tblInv[المتبقي],tblInv[كود العميل],$A136,tblInv[الفترة],H$7))</f>
        <v/>
      </c>
      <c r="I136" s="80">
        <f>IF($A136="","",SUMIFS(tblInv[المتبقي],tblInv[كود العميل],$A136,tblInv[الفترة],I$7))</f>
        <v/>
      </c>
      <c r="J136" s="80">
        <f>IF($A136="","",SUM(C136:I136))</f>
        <v/>
      </c>
      <c r="K136" s="80">
        <f>IF($A136="","",-SUMIFS(tblRec[المبلغ],tblRec[كود العميل],$A136,tblRec[رقم الفاتورة],"",tblRec[التاريخ],"&lt;="&amp;AsOf)+SUMIFS(tblInv[المتبقي],tblInv[كود العميل],$A136,tblInv[المتبقي],"&lt;0"))</f>
        <v/>
      </c>
      <c r="L136" s="81">
        <f>IF($A136="","",J136+K136)</f>
        <v/>
      </c>
      <c r="M136" s="82">
        <f>IF($A136="","",IFERROR(L136/$L$8,0))</f>
        <v/>
      </c>
      <c r="N136" s="80">
        <f>IF($A136="","",INDEX(tblCustomers[حد الائتمان],MATCH($A136,tblCustomers[كود العميل],0)))</f>
        <v/>
      </c>
      <c r="O136" s="83">
        <f>IF($A136="","",IF(AND(N136&gt;0,L136&gt;N136),"⛔",""))</f>
        <v/>
      </c>
    </row>
    <row r="137">
      <c r="A137" s="78">
        <f>IFERROR(INDEX(tblCustomers[كود العميل],MATCH(128,tblCustomers[ترتيب],0)),"")</f>
        <v/>
      </c>
      <c r="B137" s="79">
        <f>IF($A137="","",INDEX(tblCustomers[اسم العميل],MATCH($A137,tblCustomers[كود العميل],0)))</f>
        <v/>
      </c>
      <c r="C137" s="80">
        <f>IF($A137="","",SUMIFS(tblInv[المتبقي],tblInv[كود العميل],$A137,tblInv[الفترة],C$7))</f>
        <v/>
      </c>
      <c r="D137" s="80">
        <f>IF($A137="","",SUMIFS(tblInv[المتبقي],tblInv[كود العميل],$A137,tblInv[الفترة],D$7))</f>
        <v/>
      </c>
      <c r="E137" s="80">
        <f>IF($A137="","",SUMIFS(tblInv[المتبقي],tblInv[كود العميل],$A137,tblInv[الفترة],E$7))</f>
        <v/>
      </c>
      <c r="F137" s="80">
        <f>IF($A137="","",SUMIFS(tblInv[المتبقي],tblInv[كود العميل],$A137,tblInv[الفترة],F$7))</f>
        <v/>
      </c>
      <c r="G137" s="80">
        <f>IF($A137="","",SUMIFS(tblInv[المتبقي],tblInv[كود العميل],$A137,tblInv[الفترة],G$7))</f>
        <v/>
      </c>
      <c r="H137" s="80">
        <f>IF($A137="","",SUMIFS(tblInv[المتبقي],tblInv[كود العميل],$A137,tblInv[الفترة],H$7))</f>
        <v/>
      </c>
      <c r="I137" s="80">
        <f>IF($A137="","",SUMIFS(tblInv[المتبقي],tblInv[كود العميل],$A137,tblInv[الفترة],I$7))</f>
        <v/>
      </c>
      <c r="J137" s="80">
        <f>IF($A137="","",SUM(C137:I137))</f>
        <v/>
      </c>
      <c r="K137" s="80">
        <f>IF($A137="","",-SUMIFS(tblRec[المبلغ],tblRec[كود العميل],$A137,tblRec[رقم الفاتورة],"",tblRec[التاريخ],"&lt;="&amp;AsOf)+SUMIFS(tblInv[المتبقي],tblInv[كود العميل],$A137,tblInv[المتبقي],"&lt;0"))</f>
        <v/>
      </c>
      <c r="L137" s="81">
        <f>IF($A137="","",J137+K137)</f>
        <v/>
      </c>
      <c r="M137" s="82">
        <f>IF($A137="","",IFERROR(L137/$L$8,0))</f>
        <v/>
      </c>
      <c r="N137" s="80">
        <f>IF($A137="","",INDEX(tblCustomers[حد الائتمان],MATCH($A137,tblCustomers[كود العميل],0)))</f>
        <v/>
      </c>
      <c r="O137" s="83">
        <f>IF($A137="","",IF(AND(N137&gt;0,L137&gt;N137),"⛔",""))</f>
        <v/>
      </c>
    </row>
    <row r="138">
      <c r="A138" s="78">
        <f>IFERROR(INDEX(tblCustomers[كود العميل],MATCH(129,tblCustomers[ترتيب],0)),"")</f>
        <v/>
      </c>
      <c r="B138" s="79">
        <f>IF($A138="","",INDEX(tblCustomers[اسم العميل],MATCH($A138,tblCustomers[كود العميل],0)))</f>
        <v/>
      </c>
      <c r="C138" s="80">
        <f>IF($A138="","",SUMIFS(tblInv[المتبقي],tblInv[كود العميل],$A138,tblInv[الفترة],C$7))</f>
        <v/>
      </c>
      <c r="D138" s="80">
        <f>IF($A138="","",SUMIFS(tblInv[المتبقي],tblInv[كود العميل],$A138,tblInv[الفترة],D$7))</f>
        <v/>
      </c>
      <c r="E138" s="80">
        <f>IF($A138="","",SUMIFS(tblInv[المتبقي],tblInv[كود العميل],$A138,tblInv[الفترة],E$7))</f>
        <v/>
      </c>
      <c r="F138" s="80">
        <f>IF($A138="","",SUMIFS(tblInv[المتبقي],tblInv[كود العميل],$A138,tblInv[الفترة],F$7))</f>
        <v/>
      </c>
      <c r="G138" s="80">
        <f>IF($A138="","",SUMIFS(tblInv[المتبقي],tblInv[كود العميل],$A138,tblInv[الفترة],G$7))</f>
        <v/>
      </c>
      <c r="H138" s="80">
        <f>IF($A138="","",SUMIFS(tblInv[المتبقي],tblInv[كود العميل],$A138,tblInv[الفترة],H$7))</f>
        <v/>
      </c>
      <c r="I138" s="80">
        <f>IF($A138="","",SUMIFS(tblInv[المتبقي],tblInv[كود العميل],$A138,tblInv[الفترة],I$7))</f>
        <v/>
      </c>
      <c r="J138" s="80">
        <f>IF($A138="","",SUM(C138:I138))</f>
        <v/>
      </c>
      <c r="K138" s="80">
        <f>IF($A138="","",-SUMIFS(tblRec[المبلغ],tblRec[كود العميل],$A138,tblRec[رقم الفاتورة],"",tblRec[التاريخ],"&lt;="&amp;AsOf)+SUMIFS(tblInv[المتبقي],tblInv[كود العميل],$A138,tblInv[المتبقي],"&lt;0"))</f>
        <v/>
      </c>
      <c r="L138" s="81">
        <f>IF($A138="","",J138+K138)</f>
        <v/>
      </c>
      <c r="M138" s="82">
        <f>IF($A138="","",IFERROR(L138/$L$8,0))</f>
        <v/>
      </c>
      <c r="N138" s="80">
        <f>IF($A138="","",INDEX(tblCustomers[حد الائتمان],MATCH($A138,tblCustomers[كود العميل],0)))</f>
        <v/>
      </c>
      <c r="O138" s="83">
        <f>IF($A138="","",IF(AND(N138&gt;0,L138&gt;N138),"⛔",""))</f>
        <v/>
      </c>
    </row>
    <row r="139">
      <c r="A139" s="78">
        <f>IFERROR(INDEX(tblCustomers[كود العميل],MATCH(130,tblCustomers[ترتيب],0)),"")</f>
        <v/>
      </c>
      <c r="B139" s="79">
        <f>IF($A139="","",INDEX(tblCustomers[اسم العميل],MATCH($A139,tblCustomers[كود العميل],0)))</f>
        <v/>
      </c>
      <c r="C139" s="80">
        <f>IF($A139="","",SUMIFS(tblInv[المتبقي],tblInv[كود العميل],$A139,tblInv[الفترة],C$7))</f>
        <v/>
      </c>
      <c r="D139" s="80">
        <f>IF($A139="","",SUMIFS(tblInv[المتبقي],tblInv[كود العميل],$A139,tblInv[الفترة],D$7))</f>
        <v/>
      </c>
      <c r="E139" s="80">
        <f>IF($A139="","",SUMIFS(tblInv[المتبقي],tblInv[كود العميل],$A139,tblInv[الفترة],E$7))</f>
        <v/>
      </c>
      <c r="F139" s="80">
        <f>IF($A139="","",SUMIFS(tblInv[المتبقي],tblInv[كود العميل],$A139,tblInv[الفترة],F$7))</f>
        <v/>
      </c>
      <c r="G139" s="80">
        <f>IF($A139="","",SUMIFS(tblInv[المتبقي],tblInv[كود العميل],$A139,tblInv[الفترة],G$7))</f>
        <v/>
      </c>
      <c r="H139" s="80">
        <f>IF($A139="","",SUMIFS(tblInv[المتبقي],tblInv[كود العميل],$A139,tblInv[الفترة],H$7))</f>
        <v/>
      </c>
      <c r="I139" s="80">
        <f>IF($A139="","",SUMIFS(tblInv[المتبقي],tblInv[كود العميل],$A139,tblInv[الفترة],I$7))</f>
        <v/>
      </c>
      <c r="J139" s="80">
        <f>IF($A139="","",SUM(C139:I139))</f>
        <v/>
      </c>
      <c r="K139" s="80">
        <f>IF($A139="","",-SUMIFS(tblRec[المبلغ],tblRec[كود العميل],$A139,tblRec[رقم الفاتورة],"",tblRec[التاريخ],"&lt;="&amp;AsOf)+SUMIFS(tblInv[المتبقي],tblInv[كود العميل],$A139,tblInv[المتبقي],"&lt;0"))</f>
        <v/>
      </c>
      <c r="L139" s="81">
        <f>IF($A139="","",J139+K139)</f>
        <v/>
      </c>
      <c r="M139" s="82">
        <f>IF($A139="","",IFERROR(L139/$L$8,0))</f>
        <v/>
      </c>
      <c r="N139" s="80">
        <f>IF($A139="","",INDEX(tblCustomers[حد الائتمان],MATCH($A139,tblCustomers[كود العميل],0)))</f>
        <v/>
      </c>
      <c r="O139" s="83">
        <f>IF($A139="","",IF(AND(N139&gt;0,L139&gt;N139),"⛔",""))</f>
        <v/>
      </c>
    </row>
    <row r="140">
      <c r="A140" s="78">
        <f>IFERROR(INDEX(tblCustomers[كود العميل],MATCH(131,tblCustomers[ترتيب],0)),"")</f>
        <v/>
      </c>
      <c r="B140" s="79">
        <f>IF($A140="","",INDEX(tblCustomers[اسم العميل],MATCH($A140,tblCustomers[كود العميل],0)))</f>
        <v/>
      </c>
      <c r="C140" s="80">
        <f>IF($A140="","",SUMIFS(tblInv[المتبقي],tblInv[كود العميل],$A140,tblInv[الفترة],C$7))</f>
        <v/>
      </c>
      <c r="D140" s="80">
        <f>IF($A140="","",SUMIFS(tblInv[المتبقي],tblInv[كود العميل],$A140,tblInv[الفترة],D$7))</f>
        <v/>
      </c>
      <c r="E140" s="80">
        <f>IF($A140="","",SUMIFS(tblInv[المتبقي],tblInv[كود العميل],$A140,tblInv[الفترة],E$7))</f>
        <v/>
      </c>
      <c r="F140" s="80">
        <f>IF($A140="","",SUMIFS(tblInv[المتبقي],tblInv[كود العميل],$A140,tblInv[الفترة],F$7))</f>
        <v/>
      </c>
      <c r="G140" s="80">
        <f>IF($A140="","",SUMIFS(tblInv[المتبقي],tblInv[كود العميل],$A140,tblInv[الفترة],G$7))</f>
        <v/>
      </c>
      <c r="H140" s="80">
        <f>IF($A140="","",SUMIFS(tblInv[المتبقي],tblInv[كود العميل],$A140,tblInv[الفترة],H$7))</f>
        <v/>
      </c>
      <c r="I140" s="80">
        <f>IF($A140="","",SUMIFS(tblInv[المتبقي],tblInv[كود العميل],$A140,tblInv[الفترة],I$7))</f>
        <v/>
      </c>
      <c r="J140" s="80">
        <f>IF($A140="","",SUM(C140:I140))</f>
        <v/>
      </c>
      <c r="K140" s="80">
        <f>IF($A140="","",-SUMIFS(tblRec[المبلغ],tblRec[كود العميل],$A140,tblRec[رقم الفاتورة],"",tblRec[التاريخ],"&lt;="&amp;AsOf)+SUMIFS(tblInv[المتبقي],tblInv[كود العميل],$A140,tblInv[المتبقي],"&lt;0"))</f>
        <v/>
      </c>
      <c r="L140" s="81">
        <f>IF($A140="","",J140+K140)</f>
        <v/>
      </c>
      <c r="M140" s="82">
        <f>IF($A140="","",IFERROR(L140/$L$8,0))</f>
        <v/>
      </c>
      <c r="N140" s="80">
        <f>IF($A140="","",INDEX(tblCustomers[حد الائتمان],MATCH($A140,tblCustomers[كود العميل],0)))</f>
        <v/>
      </c>
      <c r="O140" s="83">
        <f>IF($A140="","",IF(AND(N140&gt;0,L140&gt;N140),"⛔",""))</f>
        <v/>
      </c>
    </row>
    <row r="141">
      <c r="A141" s="78">
        <f>IFERROR(INDEX(tblCustomers[كود العميل],MATCH(132,tblCustomers[ترتيب],0)),"")</f>
        <v/>
      </c>
      <c r="B141" s="79">
        <f>IF($A141="","",INDEX(tblCustomers[اسم العميل],MATCH($A141,tblCustomers[كود العميل],0)))</f>
        <v/>
      </c>
      <c r="C141" s="80">
        <f>IF($A141="","",SUMIFS(tblInv[المتبقي],tblInv[كود العميل],$A141,tblInv[الفترة],C$7))</f>
        <v/>
      </c>
      <c r="D141" s="80">
        <f>IF($A141="","",SUMIFS(tblInv[المتبقي],tblInv[كود العميل],$A141,tblInv[الفترة],D$7))</f>
        <v/>
      </c>
      <c r="E141" s="80">
        <f>IF($A141="","",SUMIFS(tblInv[المتبقي],tblInv[كود العميل],$A141,tblInv[الفترة],E$7))</f>
        <v/>
      </c>
      <c r="F141" s="80">
        <f>IF($A141="","",SUMIFS(tblInv[المتبقي],tblInv[كود العميل],$A141,tblInv[الفترة],F$7))</f>
        <v/>
      </c>
      <c r="G141" s="80">
        <f>IF($A141="","",SUMIFS(tblInv[المتبقي],tblInv[كود العميل],$A141,tblInv[الفترة],G$7))</f>
        <v/>
      </c>
      <c r="H141" s="80">
        <f>IF($A141="","",SUMIFS(tblInv[المتبقي],tblInv[كود العميل],$A141,tblInv[الفترة],H$7))</f>
        <v/>
      </c>
      <c r="I141" s="80">
        <f>IF($A141="","",SUMIFS(tblInv[المتبقي],tblInv[كود العميل],$A141,tblInv[الفترة],I$7))</f>
        <v/>
      </c>
      <c r="J141" s="80">
        <f>IF($A141="","",SUM(C141:I141))</f>
        <v/>
      </c>
      <c r="K141" s="80">
        <f>IF($A141="","",-SUMIFS(tblRec[المبلغ],tblRec[كود العميل],$A141,tblRec[رقم الفاتورة],"",tblRec[التاريخ],"&lt;="&amp;AsOf)+SUMIFS(tblInv[المتبقي],tblInv[كود العميل],$A141,tblInv[المتبقي],"&lt;0"))</f>
        <v/>
      </c>
      <c r="L141" s="81">
        <f>IF($A141="","",J141+K141)</f>
        <v/>
      </c>
      <c r="M141" s="82">
        <f>IF($A141="","",IFERROR(L141/$L$8,0))</f>
        <v/>
      </c>
      <c r="N141" s="80">
        <f>IF($A141="","",INDEX(tblCustomers[حد الائتمان],MATCH($A141,tblCustomers[كود العميل],0)))</f>
        <v/>
      </c>
      <c r="O141" s="83">
        <f>IF($A141="","",IF(AND(N141&gt;0,L141&gt;N141),"⛔",""))</f>
        <v/>
      </c>
    </row>
    <row r="142">
      <c r="A142" s="78">
        <f>IFERROR(INDEX(tblCustomers[كود العميل],MATCH(133,tblCustomers[ترتيب],0)),"")</f>
        <v/>
      </c>
      <c r="B142" s="79">
        <f>IF($A142="","",INDEX(tblCustomers[اسم العميل],MATCH($A142,tblCustomers[كود العميل],0)))</f>
        <v/>
      </c>
      <c r="C142" s="80">
        <f>IF($A142="","",SUMIFS(tblInv[المتبقي],tblInv[كود العميل],$A142,tblInv[الفترة],C$7))</f>
        <v/>
      </c>
      <c r="D142" s="80">
        <f>IF($A142="","",SUMIFS(tblInv[المتبقي],tblInv[كود العميل],$A142,tblInv[الفترة],D$7))</f>
        <v/>
      </c>
      <c r="E142" s="80">
        <f>IF($A142="","",SUMIFS(tblInv[المتبقي],tblInv[كود العميل],$A142,tblInv[الفترة],E$7))</f>
        <v/>
      </c>
      <c r="F142" s="80">
        <f>IF($A142="","",SUMIFS(tblInv[المتبقي],tblInv[كود العميل],$A142,tblInv[الفترة],F$7))</f>
        <v/>
      </c>
      <c r="G142" s="80">
        <f>IF($A142="","",SUMIFS(tblInv[المتبقي],tblInv[كود العميل],$A142,tblInv[الفترة],G$7))</f>
        <v/>
      </c>
      <c r="H142" s="80">
        <f>IF($A142="","",SUMIFS(tblInv[المتبقي],tblInv[كود العميل],$A142,tblInv[الفترة],H$7))</f>
        <v/>
      </c>
      <c r="I142" s="80">
        <f>IF($A142="","",SUMIFS(tblInv[المتبقي],tblInv[كود العميل],$A142,tblInv[الفترة],I$7))</f>
        <v/>
      </c>
      <c r="J142" s="80">
        <f>IF($A142="","",SUM(C142:I142))</f>
        <v/>
      </c>
      <c r="K142" s="80">
        <f>IF($A142="","",-SUMIFS(tblRec[المبلغ],tblRec[كود العميل],$A142,tblRec[رقم الفاتورة],"",tblRec[التاريخ],"&lt;="&amp;AsOf)+SUMIFS(tblInv[المتبقي],tblInv[كود العميل],$A142,tblInv[المتبقي],"&lt;0"))</f>
        <v/>
      </c>
      <c r="L142" s="81">
        <f>IF($A142="","",J142+K142)</f>
        <v/>
      </c>
      <c r="M142" s="82">
        <f>IF($A142="","",IFERROR(L142/$L$8,0))</f>
        <v/>
      </c>
      <c r="N142" s="80">
        <f>IF($A142="","",INDEX(tblCustomers[حد الائتمان],MATCH($A142,tblCustomers[كود العميل],0)))</f>
        <v/>
      </c>
      <c r="O142" s="83">
        <f>IF($A142="","",IF(AND(N142&gt;0,L142&gt;N142),"⛔",""))</f>
        <v/>
      </c>
    </row>
    <row r="143">
      <c r="A143" s="78">
        <f>IFERROR(INDEX(tblCustomers[كود العميل],MATCH(134,tblCustomers[ترتيب],0)),"")</f>
        <v/>
      </c>
      <c r="B143" s="79">
        <f>IF($A143="","",INDEX(tblCustomers[اسم العميل],MATCH($A143,tblCustomers[كود العميل],0)))</f>
        <v/>
      </c>
      <c r="C143" s="80">
        <f>IF($A143="","",SUMIFS(tblInv[المتبقي],tblInv[كود العميل],$A143,tblInv[الفترة],C$7))</f>
        <v/>
      </c>
      <c r="D143" s="80">
        <f>IF($A143="","",SUMIFS(tblInv[المتبقي],tblInv[كود العميل],$A143,tblInv[الفترة],D$7))</f>
        <v/>
      </c>
      <c r="E143" s="80">
        <f>IF($A143="","",SUMIFS(tblInv[المتبقي],tblInv[كود العميل],$A143,tblInv[الفترة],E$7))</f>
        <v/>
      </c>
      <c r="F143" s="80">
        <f>IF($A143="","",SUMIFS(tblInv[المتبقي],tblInv[كود العميل],$A143,tblInv[الفترة],F$7))</f>
        <v/>
      </c>
      <c r="G143" s="80">
        <f>IF($A143="","",SUMIFS(tblInv[المتبقي],tblInv[كود العميل],$A143,tblInv[الفترة],G$7))</f>
        <v/>
      </c>
      <c r="H143" s="80">
        <f>IF($A143="","",SUMIFS(tblInv[المتبقي],tblInv[كود العميل],$A143,tblInv[الفترة],H$7))</f>
        <v/>
      </c>
      <c r="I143" s="80">
        <f>IF($A143="","",SUMIFS(tblInv[المتبقي],tblInv[كود العميل],$A143,tblInv[الفترة],I$7))</f>
        <v/>
      </c>
      <c r="J143" s="80">
        <f>IF($A143="","",SUM(C143:I143))</f>
        <v/>
      </c>
      <c r="K143" s="80">
        <f>IF($A143="","",-SUMIFS(tblRec[المبلغ],tblRec[كود العميل],$A143,tblRec[رقم الفاتورة],"",tblRec[التاريخ],"&lt;="&amp;AsOf)+SUMIFS(tblInv[المتبقي],tblInv[كود العميل],$A143,tblInv[المتبقي],"&lt;0"))</f>
        <v/>
      </c>
      <c r="L143" s="81">
        <f>IF($A143="","",J143+K143)</f>
        <v/>
      </c>
      <c r="M143" s="82">
        <f>IF($A143="","",IFERROR(L143/$L$8,0))</f>
        <v/>
      </c>
      <c r="N143" s="80">
        <f>IF($A143="","",INDEX(tblCustomers[حد الائتمان],MATCH($A143,tblCustomers[كود العميل],0)))</f>
        <v/>
      </c>
      <c r="O143" s="83">
        <f>IF($A143="","",IF(AND(N143&gt;0,L143&gt;N143),"⛔",""))</f>
        <v/>
      </c>
    </row>
    <row r="144">
      <c r="A144" s="78">
        <f>IFERROR(INDEX(tblCustomers[كود العميل],MATCH(135,tblCustomers[ترتيب],0)),"")</f>
        <v/>
      </c>
      <c r="B144" s="79">
        <f>IF($A144="","",INDEX(tblCustomers[اسم العميل],MATCH($A144,tblCustomers[كود العميل],0)))</f>
        <v/>
      </c>
      <c r="C144" s="80">
        <f>IF($A144="","",SUMIFS(tblInv[المتبقي],tblInv[كود العميل],$A144,tblInv[الفترة],C$7))</f>
        <v/>
      </c>
      <c r="D144" s="80">
        <f>IF($A144="","",SUMIFS(tblInv[المتبقي],tblInv[كود العميل],$A144,tblInv[الفترة],D$7))</f>
        <v/>
      </c>
      <c r="E144" s="80">
        <f>IF($A144="","",SUMIFS(tblInv[المتبقي],tblInv[كود العميل],$A144,tblInv[الفترة],E$7))</f>
        <v/>
      </c>
      <c r="F144" s="80">
        <f>IF($A144="","",SUMIFS(tblInv[المتبقي],tblInv[كود العميل],$A144,tblInv[الفترة],F$7))</f>
        <v/>
      </c>
      <c r="G144" s="80">
        <f>IF($A144="","",SUMIFS(tblInv[المتبقي],tblInv[كود العميل],$A144,tblInv[الفترة],G$7))</f>
        <v/>
      </c>
      <c r="H144" s="80">
        <f>IF($A144="","",SUMIFS(tblInv[المتبقي],tblInv[كود العميل],$A144,tblInv[الفترة],H$7))</f>
        <v/>
      </c>
      <c r="I144" s="80">
        <f>IF($A144="","",SUMIFS(tblInv[المتبقي],tblInv[كود العميل],$A144,tblInv[الفترة],I$7))</f>
        <v/>
      </c>
      <c r="J144" s="80">
        <f>IF($A144="","",SUM(C144:I144))</f>
        <v/>
      </c>
      <c r="K144" s="80">
        <f>IF($A144="","",-SUMIFS(tblRec[المبلغ],tblRec[كود العميل],$A144,tblRec[رقم الفاتورة],"",tblRec[التاريخ],"&lt;="&amp;AsOf)+SUMIFS(tblInv[المتبقي],tblInv[كود العميل],$A144,tblInv[المتبقي],"&lt;0"))</f>
        <v/>
      </c>
      <c r="L144" s="81">
        <f>IF($A144="","",J144+K144)</f>
        <v/>
      </c>
      <c r="M144" s="82">
        <f>IF($A144="","",IFERROR(L144/$L$8,0))</f>
        <v/>
      </c>
      <c r="N144" s="80">
        <f>IF($A144="","",INDEX(tblCustomers[حد الائتمان],MATCH($A144,tblCustomers[كود العميل],0)))</f>
        <v/>
      </c>
      <c r="O144" s="83">
        <f>IF($A144="","",IF(AND(N144&gt;0,L144&gt;N144),"⛔",""))</f>
        <v/>
      </c>
    </row>
    <row r="145">
      <c r="A145" s="78">
        <f>IFERROR(INDEX(tblCustomers[كود العميل],MATCH(136,tblCustomers[ترتيب],0)),"")</f>
        <v/>
      </c>
      <c r="B145" s="79">
        <f>IF($A145="","",INDEX(tblCustomers[اسم العميل],MATCH($A145,tblCustomers[كود العميل],0)))</f>
        <v/>
      </c>
      <c r="C145" s="80">
        <f>IF($A145="","",SUMIFS(tblInv[المتبقي],tblInv[كود العميل],$A145,tblInv[الفترة],C$7))</f>
        <v/>
      </c>
      <c r="D145" s="80">
        <f>IF($A145="","",SUMIFS(tblInv[المتبقي],tblInv[كود العميل],$A145,tblInv[الفترة],D$7))</f>
        <v/>
      </c>
      <c r="E145" s="80">
        <f>IF($A145="","",SUMIFS(tblInv[المتبقي],tblInv[كود العميل],$A145,tblInv[الفترة],E$7))</f>
        <v/>
      </c>
      <c r="F145" s="80">
        <f>IF($A145="","",SUMIFS(tblInv[المتبقي],tblInv[كود العميل],$A145,tblInv[الفترة],F$7))</f>
        <v/>
      </c>
      <c r="G145" s="80">
        <f>IF($A145="","",SUMIFS(tblInv[المتبقي],tblInv[كود العميل],$A145,tblInv[الفترة],G$7))</f>
        <v/>
      </c>
      <c r="H145" s="80">
        <f>IF($A145="","",SUMIFS(tblInv[المتبقي],tblInv[كود العميل],$A145,tblInv[الفترة],H$7))</f>
        <v/>
      </c>
      <c r="I145" s="80">
        <f>IF($A145="","",SUMIFS(tblInv[المتبقي],tblInv[كود العميل],$A145,tblInv[الفترة],I$7))</f>
        <v/>
      </c>
      <c r="J145" s="80">
        <f>IF($A145="","",SUM(C145:I145))</f>
        <v/>
      </c>
      <c r="K145" s="80">
        <f>IF($A145="","",-SUMIFS(tblRec[المبلغ],tblRec[كود العميل],$A145,tblRec[رقم الفاتورة],"",tblRec[التاريخ],"&lt;="&amp;AsOf)+SUMIFS(tblInv[المتبقي],tblInv[كود العميل],$A145,tblInv[المتبقي],"&lt;0"))</f>
        <v/>
      </c>
      <c r="L145" s="81">
        <f>IF($A145="","",J145+K145)</f>
        <v/>
      </c>
      <c r="M145" s="82">
        <f>IF($A145="","",IFERROR(L145/$L$8,0))</f>
        <v/>
      </c>
      <c r="N145" s="80">
        <f>IF($A145="","",INDEX(tblCustomers[حد الائتمان],MATCH($A145,tblCustomers[كود العميل],0)))</f>
        <v/>
      </c>
      <c r="O145" s="83">
        <f>IF($A145="","",IF(AND(N145&gt;0,L145&gt;N145),"⛔",""))</f>
        <v/>
      </c>
    </row>
    <row r="146">
      <c r="A146" s="78">
        <f>IFERROR(INDEX(tblCustomers[كود العميل],MATCH(137,tblCustomers[ترتيب],0)),"")</f>
        <v/>
      </c>
      <c r="B146" s="79">
        <f>IF($A146="","",INDEX(tblCustomers[اسم العميل],MATCH($A146,tblCustomers[كود العميل],0)))</f>
        <v/>
      </c>
      <c r="C146" s="80">
        <f>IF($A146="","",SUMIFS(tblInv[المتبقي],tblInv[كود العميل],$A146,tblInv[الفترة],C$7))</f>
        <v/>
      </c>
      <c r="D146" s="80">
        <f>IF($A146="","",SUMIFS(tblInv[المتبقي],tblInv[كود العميل],$A146,tblInv[الفترة],D$7))</f>
        <v/>
      </c>
      <c r="E146" s="80">
        <f>IF($A146="","",SUMIFS(tblInv[المتبقي],tblInv[كود العميل],$A146,tblInv[الفترة],E$7))</f>
        <v/>
      </c>
      <c r="F146" s="80">
        <f>IF($A146="","",SUMIFS(tblInv[المتبقي],tblInv[كود العميل],$A146,tblInv[الفترة],F$7))</f>
        <v/>
      </c>
      <c r="G146" s="80">
        <f>IF($A146="","",SUMIFS(tblInv[المتبقي],tblInv[كود العميل],$A146,tblInv[الفترة],G$7))</f>
        <v/>
      </c>
      <c r="H146" s="80">
        <f>IF($A146="","",SUMIFS(tblInv[المتبقي],tblInv[كود العميل],$A146,tblInv[الفترة],H$7))</f>
        <v/>
      </c>
      <c r="I146" s="80">
        <f>IF($A146="","",SUMIFS(tblInv[المتبقي],tblInv[كود العميل],$A146,tblInv[الفترة],I$7))</f>
        <v/>
      </c>
      <c r="J146" s="80">
        <f>IF($A146="","",SUM(C146:I146))</f>
        <v/>
      </c>
      <c r="K146" s="80">
        <f>IF($A146="","",-SUMIFS(tblRec[المبلغ],tblRec[كود العميل],$A146,tblRec[رقم الفاتورة],"",tblRec[التاريخ],"&lt;="&amp;AsOf)+SUMIFS(tblInv[المتبقي],tblInv[كود العميل],$A146,tblInv[المتبقي],"&lt;0"))</f>
        <v/>
      </c>
      <c r="L146" s="81">
        <f>IF($A146="","",J146+K146)</f>
        <v/>
      </c>
      <c r="M146" s="82">
        <f>IF($A146="","",IFERROR(L146/$L$8,0))</f>
        <v/>
      </c>
      <c r="N146" s="80">
        <f>IF($A146="","",INDEX(tblCustomers[حد الائتمان],MATCH($A146,tblCustomers[كود العميل],0)))</f>
        <v/>
      </c>
      <c r="O146" s="83">
        <f>IF($A146="","",IF(AND(N146&gt;0,L146&gt;N146),"⛔",""))</f>
        <v/>
      </c>
    </row>
    <row r="147">
      <c r="A147" s="78">
        <f>IFERROR(INDEX(tblCustomers[كود العميل],MATCH(138,tblCustomers[ترتيب],0)),"")</f>
        <v/>
      </c>
      <c r="B147" s="79">
        <f>IF($A147="","",INDEX(tblCustomers[اسم العميل],MATCH($A147,tblCustomers[كود العميل],0)))</f>
        <v/>
      </c>
      <c r="C147" s="80">
        <f>IF($A147="","",SUMIFS(tblInv[المتبقي],tblInv[كود العميل],$A147,tblInv[الفترة],C$7))</f>
        <v/>
      </c>
      <c r="D147" s="80">
        <f>IF($A147="","",SUMIFS(tblInv[المتبقي],tblInv[كود العميل],$A147,tblInv[الفترة],D$7))</f>
        <v/>
      </c>
      <c r="E147" s="80">
        <f>IF($A147="","",SUMIFS(tblInv[المتبقي],tblInv[كود العميل],$A147,tblInv[الفترة],E$7))</f>
        <v/>
      </c>
      <c r="F147" s="80">
        <f>IF($A147="","",SUMIFS(tblInv[المتبقي],tblInv[كود العميل],$A147,tblInv[الفترة],F$7))</f>
        <v/>
      </c>
      <c r="G147" s="80">
        <f>IF($A147="","",SUMIFS(tblInv[المتبقي],tblInv[كود العميل],$A147,tblInv[الفترة],G$7))</f>
        <v/>
      </c>
      <c r="H147" s="80">
        <f>IF($A147="","",SUMIFS(tblInv[المتبقي],tblInv[كود العميل],$A147,tblInv[الفترة],H$7))</f>
        <v/>
      </c>
      <c r="I147" s="80">
        <f>IF($A147="","",SUMIFS(tblInv[المتبقي],tblInv[كود العميل],$A147,tblInv[الفترة],I$7))</f>
        <v/>
      </c>
      <c r="J147" s="80">
        <f>IF($A147="","",SUM(C147:I147))</f>
        <v/>
      </c>
      <c r="K147" s="80">
        <f>IF($A147="","",-SUMIFS(tblRec[المبلغ],tblRec[كود العميل],$A147,tblRec[رقم الفاتورة],"",tblRec[التاريخ],"&lt;="&amp;AsOf)+SUMIFS(tblInv[المتبقي],tblInv[كود العميل],$A147,tblInv[المتبقي],"&lt;0"))</f>
        <v/>
      </c>
      <c r="L147" s="81">
        <f>IF($A147="","",J147+K147)</f>
        <v/>
      </c>
      <c r="M147" s="82">
        <f>IF($A147="","",IFERROR(L147/$L$8,0))</f>
        <v/>
      </c>
      <c r="N147" s="80">
        <f>IF($A147="","",INDEX(tblCustomers[حد الائتمان],MATCH($A147,tblCustomers[كود العميل],0)))</f>
        <v/>
      </c>
      <c r="O147" s="83">
        <f>IF($A147="","",IF(AND(N147&gt;0,L147&gt;N147),"⛔",""))</f>
        <v/>
      </c>
    </row>
    <row r="148">
      <c r="A148" s="78">
        <f>IFERROR(INDEX(tblCustomers[كود العميل],MATCH(139,tblCustomers[ترتيب],0)),"")</f>
        <v/>
      </c>
      <c r="B148" s="79">
        <f>IF($A148="","",INDEX(tblCustomers[اسم العميل],MATCH($A148,tblCustomers[كود العميل],0)))</f>
        <v/>
      </c>
      <c r="C148" s="80">
        <f>IF($A148="","",SUMIFS(tblInv[المتبقي],tblInv[كود العميل],$A148,tblInv[الفترة],C$7))</f>
        <v/>
      </c>
      <c r="D148" s="80">
        <f>IF($A148="","",SUMIFS(tblInv[المتبقي],tblInv[كود العميل],$A148,tblInv[الفترة],D$7))</f>
        <v/>
      </c>
      <c r="E148" s="80">
        <f>IF($A148="","",SUMIFS(tblInv[المتبقي],tblInv[كود العميل],$A148,tblInv[الفترة],E$7))</f>
        <v/>
      </c>
      <c r="F148" s="80">
        <f>IF($A148="","",SUMIFS(tblInv[المتبقي],tblInv[كود العميل],$A148,tblInv[الفترة],F$7))</f>
        <v/>
      </c>
      <c r="G148" s="80">
        <f>IF($A148="","",SUMIFS(tblInv[المتبقي],tblInv[كود العميل],$A148,tblInv[الفترة],G$7))</f>
        <v/>
      </c>
      <c r="H148" s="80">
        <f>IF($A148="","",SUMIFS(tblInv[المتبقي],tblInv[كود العميل],$A148,tblInv[الفترة],H$7))</f>
        <v/>
      </c>
      <c r="I148" s="80">
        <f>IF($A148="","",SUMIFS(tblInv[المتبقي],tblInv[كود العميل],$A148,tblInv[الفترة],I$7))</f>
        <v/>
      </c>
      <c r="J148" s="80">
        <f>IF($A148="","",SUM(C148:I148))</f>
        <v/>
      </c>
      <c r="K148" s="80">
        <f>IF($A148="","",-SUMIFS(tblRec[المبلغ],tblRec[كود العميل],$A148,tblRec[رقم الفاتورة],"",tblRec[التاريخ],"&lt;="&amp;AsOf)+SUMIFS(tblInv[المتبقي],tblInv[كود العميل],$A148,tblInv[المتبقي],"&lt;0"))</f>
        <v/>
      </c>
      <c r="L148" s="81">
        <f>IF($A148="","",J148+K148)</f>
        <v/>
      </c>
      <c r="M148" s="82">
        <f>IF($A148="","",IFERROR(L148/$L$8,0))</f>
        <v/>
      </c>
      <c r="N148" s="80">
        <f>IF($A148="","",INDEX(tblCustomers[حد الائتمان],MATCH($A148,tblCustomers[كود العميل],0)))</f>
        <v/>
      </c>
      <c r="O148" s="83">
        <f>IF($A148="","",IF(AND(N148&gt;0,L148&gt;N148),"⛔",""))</f>
        <v/>
      </c>
    </row>
    <row r="149">
      <c r="A149" s="78">
        <f>IFERROR(INDEX(tblCustomers[كود العميل],MATCH(140,tblCustomers[ترتيب],0)),"")</f>
        <v/>
      </c>
      <c r="B149" s="79">
        <f>IF($A149="","",INDEX(tblCustomers[اسم العميل],MATCH($A149,tblCustomers[كود العميل],0)))</f>
        <v/>
      </c>
      <c r="C149" s="80">
        <f>IF($A149="","",SUMIFS(tblInv[المتبقي],tblInv[كود العميل],$A149,tblInv[الفترة],C$7))</f>
        <v/>
      </c>
      <c r="D149" s="80">
        <f>IF($A149="","",SUMIFS(tblInv[المتبقي],tblInv[كود العميل],$A149,tblInv[الفترة],D$7))</f>
        <v/>
      </c>
      <c r="E149" s="80">
        <f>IF($A149="","",SUMIFS(tblInv[المتبقي],tblInv[كود العميل],$A149,tblInv[الفترة],E$7))</f>
        <v/>
      </c>
      <c r="F149" s="80">
        <f>IF($A149="","",SUMIFS(tblInv[المتبقي],tblInv[كود العميل],$A149,tblInv[الفترة],F$7))</f>
        <v/>
      </c>
      <c r="G149" s="80">
        <f>IF($A149="","",SUMIFS(tblInv[المتبقي],tblInv[كود العميل],$A149,tblInv[الفترة],G$7))</f>
        <v/>
      </c>
      <c r="H149" s="80">
        <f>IF($A149="","",SUMIFS(tblInv[المتبقي],tblInv[كود العميل],$A149,tblInv[الفترة],H$7))</f>
        <v/>
      </c>
      <c r="I149" s="80">
        <f>IF($A149="","",SUMIFS(tblInv[المتبقي],tblInv[كود العميل],$A149,tblInv[الفترة],I$7))</f>
        <v/>
      </c>
      <c r="J149" s="80">
        <f>IF($A149="","",SUM(C149:I149))</f>
        <v/>
      </c>
      <c r="K149" s="80">
        <f>IF($A149="","",-SUMIFS(tblRec[المبلغ],tblRec[كود العميل],$A149,tblRec[رقم الفاتورة],"",tblRec[التاريخ],"&lt;="&amp;AsOf)+SUMIFS(tblInv[المتبقي],tblInv[كود العميل],$A149,tblInv[المتبقي],"&lt;0"))</f>
        <v/>
      </c>
      <c r="L149" s="81">
        <f>IF($A149="","",J149+K149)</f>
        <v/>
      </c>
      <c r="M149" s="82">
        <f>IF($A149="","",IFERROR(L149/$L$8,0))</f>
        <v/>
      </c>
      <c r="N149" s="80">
        <f>IF($A149="","",INDEX(tblCustomers[حد الائتمان],MATCH($A149,tblCustomers[كود العميل],0)))</f>
        <v/>
      </c>
      <c r="O149" s="83">
        <f>IF($A149="","",IF(AND(N149&gt;0,L149&gt;N149),"⛔",""))</f>
        <v/>
      </c>
    </row>
    <row r="150">
      <c r="A150" s="78">
        <f>IFERROR(INDEX(tblCustomers[كود العميل],MATCH(141,tblCustomers[ترتيب],0)),"")</f>
        <v/>
      </c>
      <c r="B150" s="79">
        <f>IF($A150="","",INDEX(tblCustomers[اسم العميل],MATCH($A150,tblCustomers[كود العميل],0)))</f>
        <v/>
      </c>
      <c r="C150" s="80">
        <f>IF($A150="","",SUMIFS(tblInv[المتبقي],tblInv[كود العميل],$A150,tblInv[الفترة],C$7))</f>
        <v/>
      </c>
      <c r="D150" s="80">
        <f>IF($A150="","",SUMIFS(tblInv[المتبقي],tblInv[كود العميل],$A150,tblInv[الفترة],D$7))</f>
        <v/>
      </c>
      <c r="E150" s="80">
        <f>IF($A150="","",SUMIFS(tblInv[المتبقي],tblInv[كود العميل],$A150,tblInv[الفترة],E$7))</f>
        <v/>
      </c>
      <c r="F150" s="80">
        <f>IF($A150="","",SUMIFS(tblInv[المتبقي],tblInv[كود العميل],$A150,tblInv[الفترة],F$7))</f>
        <v/>
      </c>
      <c r="G150" s="80">
        <f>IF($A150="","",SUMIFS(tblInv[المتبقي],tblInv[كود العميل],$A150,tblInv[الفترة],G$7))</f>
        <v/>
      </c>
      <c r="H150" s="80">
        <f>IF($A150="","",SUMIFS(tblInv[المتبقي],tblInv[كود العميل],$A150,tblInv[الفترة],H$7))</f>
        <v/>
      </c>
      <c r="I150" s="80">
        <f>IF($A150="","",SUMIFS(tblInv[المتبقي],tblInv[كود العميل],$A150,tblInv[الفترة],I$7))</f>
        <v/>
      </c>
      <c r="J150" s="80">
        <f>IF($A150="","",SUM(C150:I150))</f>
        <v/>
      </c>
      <c r="K150" s="80">
        <f>IF($A150="","",-SUMIFS(tblRec[المبلغ],tblRec[كود العميل],$A150,tblRec[رقم الفاتورة],"",tblRec[التاريخ],"&lt;="&amp;AsOf)+SUMIFS(tblInv[المتبقي],tblInv[كود العميل],$A150,tblInv[المتبقي],"&lt;0"))</f>
        <v/>
      </c>
      <c r="L150" s="81">
        <f>IF($A150="","",J150+K150)</f>
        <v/>
      </c>
      <c r="M150" s="82">
        <f>IF($A150="","",IFERROR(L150/$L$8,0))</f>
        <v/>
      </c>
      <c r="N150" s="80">
        <f>IF($A150="","",INDEX(tblCustomers[حد الائتمان],MATCH($A150,tblCustomers[كود العميل],0)))</f>
        <v/>
      </c>
      <c r="O150" s="83">
        <f>IF($A150="","",IF(AND(N150&gt;0,L150&gt;N150),"⛔",""))</f>
        <v/>
      </c>
    </row>
    <row r="151">
      <c r="A151" s="78">
        <f>IFERROR(INDEX(tblCustomers[كود العميل],MATCH(142,tblCustomers[ترتيب],0)),"")</f>
        <v/>
      </c>
      <c r="B151" s="79">
        <f>IF($A151="","",INDEX(tblCustomers[اسم العميل],MATCH($A151,tblCustomers[كود العميل],0)))</f>
        <v/>
      </c>
      <c r="C151" s="80">
        <f>IF($A151="","",SUMIFS(tblInv[المتبقي],tblInv[كود العميل],$A151,tblInv[الفترة],C$7))</f>
        <v/>
      </c>
      <c r="D151" s="80">
        <f>IF($A151="","",SUMIFS(tblInv[المتبقي],tblInv[كود العميل],$A151,tblInv[الفترة],D$7))</f>
        <v/>
      </c>
      <c r="E151" s="80">
        <f>IF($A151="","",SUMIFS(tblInv[المتبقي],tblInv[كود العميل],$A151,tblInv[الفترة],E$7))</f>
        <v/>
      </c>
      <c r="F151" s="80">
        <f>IF($A151="","",SUMIFS(tblInv[المتبقي],tblInv[كود العميل],$A151,tblInv[الفترة],F$7))</f>
        <v/>
      </c>
      <c r="G151" s="80">
        <f>IF($A151="","",SUMIFS(tblInv[المتبقي],tblInv[كود العميل],$A151,tblInv[الفترة],G$7))</f>
        <v/>
      </c>
      <c r="H151" s="80">
        <f>IF($A151="","",SUMIFS(tblInv[المتبقي],tblInv[كود العميل],$A151,tblInv[الفترة],H$7))</f>
        <v/>
      </c>
      <c r="I151" s="80">
        <f>IF($A151="","",SUMIFS(tblInv[المتبقي],tblInv[كود العميل],$A151,tblInv[الفترة],I$7))</f>
        <v/>
      </c>
      <c r="J151" s="80">
        <f>IF($A151="","",SUM(C151:I151))</f>
        <v/>
      </c>
      <c r="K151" s="80">
        <f>IF($A151="","",-SUMIFS(tblRec[المبلغ],tblRec[كود العميل],$A151,tblRec[رقم الفاتورة],"",tblRec[التاريخ],"&lt;="&amp;AsOf)+SUMIFS(tblInv[المتبقي],tblInv[كود العميل],$A151,tblInv[المتبقي],"&lt;0"))</f>
        <v/>
      </c>
      <c r="L151" s="81">
        <f>IF($A151="","",J151+K151)</f>
        <v/>
      </c>
      <c r="M151" s="82">
        <f>IF($A151="","",IFERROR(L151/$L$8,0))</f>
        <v/>
      </c>
      <c r="N151" s="80">
        <f>IF($A151="","",INDEX(tblCustomers[حد الائتمان],MATCH($A151,tblCustomers[كود العميل],0)))</f>
        <v/>
      </c>
      <c r="O151" s="83">
        <f>IF($A151="","",IF(AND(N151&gt;0,L151&gt;N151),"⛔",""))</f>
        <v/>
      </c>
    </row>
    <row r="152">
      <c r="A152" s="78">
        <f>IFERROR(INDEX(tblCustomers[كود العميل],MATCH(143,tblCustomers[ترتيب],0)),"")</f>
        <v/>
      </c>
      <c r="B152" s="79">
        <f>IF($A152="","",INDEX(tblCustomers[اسم العميل],MATCH($A152,tblCustomers[كود العميل],0)))</f>
        <v/>
      </c>
      <c r="C152" s="80">
        <f>IF($A152="","",SUMIFS(tblInv[المتبقي],tblInv[كود العميل],$A152,tblInv[الفترة],C$7))</f>
        <v/>
      </c>
      <c r="D152" s="80">
        <f>IF($A152="","",SUMIFS(tblInv[المتبقي],tblInv[كود العميل],$A152,tblInv[الفترة],D$7))</f>
        <v/>
      </c>
      <c r="E152" s="80">
        <f>IF($A152="","",SUMIFS(tblInv[المتبقي],tblInv[كود العميل],$A152,tblInv[الفترة],E$7))</f>
        <v/>
      </c>
      <c r="F152" s="80">
        <f>IF($A152="","",SUMIFS(tblInv[المتبقي],tblInv[كود العميل],$A152,tblInv[الفترة],F$7))</f>
        <v/>
      </c>
      <c r="G152" s="80">
        <f>IF($A152="","",SUMIFS(tblInv[المتبقي],tblInv[كود العميل],$A152,tblInv[الفترة],G$7))</f>
        <v/>
      </c>
      <c r="H152" s="80">
        <f>IF($A152="","",SUMIFS(tblInv[المتبقي],tblInv[كود العميل],$A152,tblInv[الفترة],H$7))</f>
        <v/>
      </c>
      <c r="I152" s="80">
        <f>IF($A152="","",SUMIFS(tblInv[المتبقي],tblInv[كود العميل],$A152,tblInv[الفترة],I$7))</f>
        <v/>
      </c>
      <c r="J152" s="80">
        <f>IF($A152="","",SUM(C152:I152))</f>
        <v/>
      </c>
      <c r="K152" s="80">
        <f>IF($A152="","",-SUMIFS(tblRec[المبلغ],tblRec[كود العميل],$A152,tblRec[رقم الفاتورة],"",tblRec[التاريخ],"&lt;="&amp;AsOf)+SUMIFS(tblInv[المتبقي],tblInv[كود العميل],$A152,tblInv[المتبقي],"&lt;0"))</f>
        <v/>
      </c>
      <c r="L152" s="81">
        <f>IF($A152="","",J152+K152)</f>
        <v/>
      </c>
      <c r="M152" s="82">
        <f>IF($A152="","",IFERROR(L152/$L$8,0))</f>
        <v/>
      </c>
      <c r="N152" s="80">
        <f>IF($A152="","",INDEX(tblCustomers[حد الائتمان],MATCH($A152,tblCustomers[كود العميل],0)))</f>
        <v/>
      </c>
      <c r="O152" s="83">
        <f>IF($A152="","",IF(AND(N152&gt;0,L152&gt;N152),"⛔",""))</f>
        <v/>
      </c>
    </row>
    <row r="153">
      <c r="A153" s="78">
        <f>IFERROR(INDEX(tblCustomers[كود العميل],MATCH(144,tblCustomers[ترتيب],0)),"")</f>
        <v/>
      </c>
      <c r="B153" s="79">
        <f>IF($A153="","",INDEX(tblCustomers[اسم العميل],MATCH($A153,tblCustomers[كود العميل],0)))</f>
        <v/>
      </c>
      <c r="C153" s="80">
        <f>IF($A153="","",SUMIFS(tblInv[المتبقي],tblInv[كود العميل],$A153,tblInv[الفترة],C$7))</f>
        <v/>
      </c>
      <c r="D153" s="80">
        <f>IF($A153="","",SUMIFS(tblInv[المتبقي],tblInv[كود العميل],$A153,tblInv[الفترة],D$7))</f>
        <v/>
      </c>
      <c r="E153" s="80">
        <f>IF($A153="","",SUMIFS(tblInv[المتبقي],tblInv[كود العميل],$A153,tblInv[الفترة],E$7))</f>
        <v/>
      </c>
      <c r="F153" s="80">
        <f>IF($A153="","",SUMIFS(tblInv[المتبقي],tblInv[كود العميل],$A153,tblInv[الفترة],F$7))</f>
        <v/>
      </c>
      <c r="G153" s="80">
        <f>IF($A153="","",SUMIFS(tblInv[المتبقي],tblInv[كود العميل],$A153,tblInv[الفترة],G$7))</f>
        <v/>
      </c>
      <c r="H153" s="80">
        <f>IF($A153="","",SUMIFS(tblInv[المتبقي],tblInv[كود العميل],$A153,tblInv[الفترة],H$7))</f>
        <v/>
      </c>
      <c r="I153" s="80">
        <f>IF($A153="","",SUMIFS(tblInv[المتبقي],tblInv[كود العميل],$A153,tblInv[الفترة],I$7))</f>
        <v/>
      </c>
      <c r="J153" s="80">
        <f>IF($A153="","",SUM(C153:I153))</f>
        <v/>
      </c>
      <c r="K153" s="80">
        <f>IF($A153="","",-SUMIFS(tblRec[المبلغ],tblRec[كود العميل],$A153,tblRec[رقم الفاتورة],"",tblRec[التاريخ],"&lt;="&amp;AsOf)+SUMIFS(tblInv[المتبقي],tblInv[كود العميل],$A153,tblInv[المتبقي],"&lt;0"))</f>
        <v/>
      </c>
      <c r="L153" s="81">
        <f>IF($A153="","",J153+K153)</f>
        <v/>
      </c>
      <c r="M153" s="82">
        <f>IF($A153="","",IFERROR(L153/$L$8,0))</f>
        <v/>
      </c>
      <c r="N153" s="80">
        <f>IF($A153="","",INDEX(tblCustomers[حد الائتمان],MATCH($A153,tblCustomers[كود العميل],0)))</f>
        <v/>
      </c>
      <c r="O153" s="83">
        <f>IF($A153="","",IF(AND(N153&gt;0,L153&gt;N153),"⛔",""))</f>
        <v/>
      </c>
    </row>
    <row r="154">
      <c r="A154" s="78">
        <f>IFERROR(INDEX(tblCustomers[كود العميل],MATCH(145,tblCustomers[ترتيب],0)),"")</f>
        <v/>
      </c>
      <c r="B154" s="79">
        <f>IF($A154="","",INDEX(tblCustomers[اسم العميل],MATCH($A154,tblCustomers[كود العميل],0)))</f>
        <v/>
      </c>
      <c r="C154" s="80">
        <f>IF($A154="","",SUMIFS(tblInv[المتبقي],tblInv[كود العميل],$A154,tblInv[الفترة],C$7))</f>
        <v/>
      </c>
      <c r="D154" s="80">
        <f>IF($A154="","",SUMIFS(tblInv[المتبقي],tblInv[كود العميل],$A154,tblInv[الفترة],D$7))</f>
        <v/>
      </c>
      <c r="E154" s="80">
        <f>IF($A154="","",SUMIFS(tblInv[المتبقي],tblInv[كود العميل],$A154,tblInv[الفترة],E$7))</f>
        <v/>
      </c>
      <c r="F154" s="80">
        <f>IF($A154="","",SUMIFS(tblInv[المتبقي],tblInv[كود العميل],$A154,tblInv[الفترة],F$7))</f>
        <v/>
      </c>
      <c r="G154" s="80">
        <f>IF($A154="","",SUMIFS(tblInv[المتبقي],tblInv[كود العميل],$A154,tblInv[الفترة],G$7))</f>
        <v/>
      </c>
      <c r="H154" s="80">
        <f>IF($A154="","",SUMIFS(tblInv[المتبقي],tblInv[كود العميل],$A154,tblInv[الفترة],H$7))</f>
        <v/>
      </c>
      <c r="I154" s="80">
        <f>IF($A154="","",SUMIFS(tblInv[المتبقي],tblInv[كود العميل],$A154,tblInv[الفترة],I$7))</f>
        <v/>
      </c>
      <c r="J154" s="80">
        <f>IF($A154="","",SUM(C154:I154))</f>
        <v/>
      </c>
      <c r="K154" s="80">
        <f>IF($A154="","",-SUMIFS(tblRec[المبلغ],tblRec[كود العميل],$A154,tblRec[رقم الفاتورة],"",tblRec[التاريخ],"&lt;="&amp;AsOf)+SUMIFS(tblInv[المتبقي],tblInv[كود العميل],$A154,tblInv[المتبقي],"&lt;0"))</f>
        <v/>
      </c>
      <c r="L154" s="81">
        <f>IF($A154="","",J154+K154)</f>
        <v/>
      </c>
      <c r="M154" s="82">
        <f>IF($A154="","",IFERROR(L154/$L$8,0))</f>
        <v/>
      </c>
      <c r="N154" s="80">
        <f>IF($A154="","",INDEX(tblCustomers[حد الائتمان],MATCH($A154,tblCustomers[كود العميل],0)))</f>
        <v/>
      </c>
      <c r="O154" s="83">
        <f>IF($A154="","",IF(AND(N154&gt;0,L154&gt;N154),"⛔",""))</f>
        <v/>
      </c>
    </row>
    <row r="155">
      <c r="A155" s="78">
        <f>IFERROR(INDEX(tblCustomers[كود العميل],MATCH(146,tblCustomers[ترتيب],0)),"")</f>
        <v/>
      </c>
      <c r="B155" s="79">
        <f>IF($A155="","",INDEX(tblCustomers[اسم العميل],MATCH($A155,tblCustomers[كود العميل],0)))</f>
        <v/>
      </c>
      <c r="C155" s="80">
        <f>IF($A155="","",SUMIFS(tblInv[المتبقي],tblInv[كود العميل],$A155,tblInv[الفترة],C$7))</f>
        <v/>
      </c>
      <c r="D155" s="80">
        <f>IF($A155="","",SUMIFS(tblInv[المتبقي],tblInv[كود العميل],$A155,tblInv[الفترة],D$7))</f>
        <v/>
      </c>
      <c r="E155" s="80">
        <f>IF($A155="","",SUMIFS(tblInv[المتبقي],tblInv[كود العميل],$A155,tblInv[الفترة],E$7))</f>
        <v/>
      </c>
      <c r="F155" s="80">
        <f>IF($A155="","",SUMIFS(tblInv[المتبقي],tblInv[كود العميل],$A155,tblInv[الفترة],F$7))</f>
        <v/>
      </c>
      <c r="G155" s="80">
        <f>IF($A155="","",SUMIFS(tblInv[المتبقي],tblInv[كود العميل],$A155,tblInv[الفترة],G$7))</f>
        <v/>
      </c>
      <c r="H155" s="80">
        <f>IF($A155="","",SUMIFS(tblInv[المتبقي],tblInv[كود العميل],$A155,tblInv[الفترة],H$7))</f>
        <v/>
      </c>
      <c r="I155" s="80">
        <f>IF($A155="","",SUMIFS(tblInv[المتبقي],tblInv[كود العميل],$A155,tblInv[الفترة],I$7))</f>
        <v/>
      </c>
      <c r="J155" s="80">
        <f>IF($A155="","",SUM(C155:I155))</f>
        <v/>
      </c>
      <c r="K155" s="80">
        <f>IF($A155="","",-SUMIFS(tblRec[المبلغ],tblRec[كود العميل],$A155,tblRec[رقم الفاتورة],"",tblRec[التاريخ],"&lt;="&amp;AsOf)+SUMIFS(tblInv[المتبقي],tblInv[كود العميل],$A155,tblInv[المتبقي],"&lt;0"))</f>
        <v/>
      </c>
      <c r="L155" s="81">
        <f>IF($A155="","",J155+K155)</f>
        <v/>
      </c>
      <c r="M155" s="82">
        <f>IF($A155="","",IFERROR(L155/$L$8,0))</f>
        <v/>
      </c>
      <c r="N155" s="80">
        <f>IF($A155="","",INDEX(tblCustomers[حد الائتمان],MATCH($A155,tblCustomers[كود العميل],0)))</f>
        <v/>
      </c>
      <c r="O155" s="83">
        <f>IF($A155="","",IF(AND(N155&gt;0,L155&gt;N155),"⛔",""))</f>
        <v/>
      </c>
    </row>
    <row r="156">
      <c r="A156" s="78">
        <f>IFERROR(INDEX(tblCustomers[كود العميل],MATCH(147,tblCustomers[ترتيب],0)),"")</f>
        <v/>
      </c>
      <c r="B156" s="79">
        <f>IF($A156="","",INDEX(tblCustomers[اسم العميل],MATCH($A156,tblCustomers[كود العميل],0)))</f>
        <v/>
      </c>
      <c r="C156" s="80">
        <f>IF($A156="","",SUMIFS(tblInv[المتبقي],tblInv[كود العميل],$A156,tblInv[الفترة],C$7))</f>
        <v/>
      </c>
      <c r="D156" s="80">
        <f>IF($A156="","",SUMIFS(tblInv[المتبقي],tblInv[كود العميل],$A156,tblInv[الفترة],D$7))</f>
        <v/>
      </c>
      <c r="E156" s="80">
        <f>IF($A156="","",SUMIFS(tblInv[المتبقي],tblInv[كود العميل],$A156,tblInv[الفترة],E$7))</f>
        <v/>
      </c>
      <c r="F156" s="80">
        <f>IF($A156="","",SUMIFS(tblInv[المتبقي],tblInv[كود العميل],$A156,tblInv[الفترة],F$7))</f>
        <v/>
      </c>
      <c r="G156" s="80">
        <f>IF($A156="","",SUMIFS(tblInv[المتبقي],tblInv[كود العميل],$A156,tblInv[الفترة],G$7))</f>
        <v/>
      </c>
      <c r="H156" s="80">
        <f>IF($A156="","",SUMIFS(tblInv[المتبقي],tblInv[كود العميل],$A156,tblInv[الفترة],H$7))</f>
        <v/>
      </c>
      <c r="I156" s="80">
        <f>IF($A156="","",SUMIFS(tblInv[المتبقي],tblInv[كود العميل],$A156,tblInv[الفترة],I$7))</f>
        <v/>
      </c>
      <c r="J156" s="80">
        <f>IF($A156="","",SUM(C156:I156))</f>
        <v/>
      </c>
      <c r="K156" s="80">
        <f>IF($A156="","",-SUMIFS(tblRec[المبلغ],tblRec[كود العميل],$A156,tblRec[رقم الفاتورة],"",tblRec[التاريخ],"&lt;="&amp;AsOf)+SUMIFS(tblInv[المتبقي],tblInv[كود العميل],$A156,tblInv[المتبقي],"&lt;0"))</f>
        <v/>
      </c>
      <c r="L156" s="81">
        <f>IF($A156="","",J156+K156)</f>
        <v/>
      </c>
      <c r="M156" s="82">
        <f>IF($A156="","",IFERROR(L156/$L$8,0))</f>
        <v/>
      </c>
      <c r="N156" s="80">
        <f>IF($A156="","",INDEX(tblCustomers[حد الائتمان],MATCH($A156,tblCustomers[كود العميل],0)))</f>
        <v/>
      </c>
      <c r="O156" s="83">
        <f>IF($A156="","",IF(AND(N156&gt;0,L156&gt;N156),"⛔",""))</f>
        <v/>
      </c>
    </row>
    <row r="157">
      <c r="A157" s="78">
        <f>IFERROR(INDEX(tblCustomers[كود العميل],MATCH(148,tblCustomers[ترتيب],0)),"")</f>
        <v/>
      </c>
      <c r="B157" s="79">
        <f>IF($A157="","",INDEX(tblCustomers[اسم العميل],MATCH($A157,tblCustomers[كود العميل],0)))</f>
        <v/>
      </c>
      <c r="C157" s="80">
        <f>IF($A157="","",SUMIFS(tblInv[المتبقي],tblInv[كود العميل],$A157,tblInv[الفترة],C$7))</f>
        <v/>
      </c>
      <c r="D157" s="80">
        <f>IF($A157="","",SUMIFS(tblInv[المتبقي],tblInv[كود العميل],$A157,tblInv[الفترة],D$7))</f>
        <v/>
      </c>
      <c r="E157" s="80">
        <f>IF($A157="","",SUMIFS(tblInv[المتبقي],tblInv[كود العميل],$A157,tblInv[الفترة],E$7))</f>
        <v/>
      </c>
      <c r="F157" s="80">
        <f>IF($A157="","",SUMIFS(tblInv[المتبقي],tblInv[كود العميل],$A157,tblInv[الفترة],F$7))</f>
        <v/>
      </c>
      <c r="G157" s="80">
        <f>IF($A157="","",SUMIFS(tblInv[المتبقي],tblInv[كود العميل],$A157,tblInv[الفترة],G$7))</f>
        <v/>
      </c>
      <c r="H157" s="80">
        <f>IF($A157="","",SUMIFS(tblInv[المتبقي],tblInv[كود العميل],$A157,tblInv[الفترة],H$7))</f>
        <v/>
      </c>
      <c r="I157" s="80">
        <f>IF($A157="","",SUMIFS(tblInv[المتبقي],tblInv[كود العميل],$A157,tblInv[الفترة],I$7))</f>
        <v/>
      </c>
      <c r="J157" s="80">
        <f>IF($A157="","",SUM(C157:I157))</f>
        <v/>
      </c>
      <c r="K157" s="80">
        <f>IF($A157="","",-SUMIFS(tblRec[المبلغ],tblRec[كود العميل],$A157,tblRec[رقم الفاتورة],"",tblRec[التاريخ],"&lt;="&amp;AsOf)+SUMIFS(tblInv[المتبقي],tblInv[كود العميل],$A157,tblInv[المتبقي],"&lt;0"))</f>
        <v/>
      </c>
      <c r="L157" s="81">
        <f>IF($A157="","",J157+K157)</f>
        <v/>
      </c>
      <c r="M157" s="82">
        <f>IF($A157="","",IFERROR(L157/$L$8,0))</f>
        <v/>
      </c>
      <c r="N157" s="80">
        <f>IF($A157="","",INDEX(tblCustomers[حد الائتمان],MATCH($A157,tblCustomers[كود العميل],0)))</f>
        <v/>
      </c>
      <c r="O157" s="83">
        <f>IF($A157="","",IF(AND(N157&gt;0,L157&gt;N157),"⛔",""))</f>
        <v/>
      </c>
    </row>
    <row r="158">
      <c r="A158" s="78">
        <f>IFERROR(INDEX(tblCustomers[كود العميل],MATCH(149,tblCustomers[ترتيب],0)),"")</f>
        <v/>
      </c>
      <c r="B158" s="79">
        <f>IF($A158="","",INDEX(tblCustomers[اسم العميل],MATCH($A158,tblCustomers[كود العميل],0)))</f>
        <v/>
      </c>
      <c r="C158" s="80">
        <f>IF($A158="","",SUMIFS(tblInv[المتبقي],tblInv[كود العميل],$A158,tblInv[الفترة],C$7))</f>
        <v/>
      </c>
      <c r="D158" s="80">
        <f>IF($A158="","",SUMIFS(tblInv[المتبقي],tblInv[كود العميل],$A158,tblInv[الفترة],D$7))</f>
        <v/>
      </c>
      <c r="E158" s="80">
        <f>IF($A158="","",SUMIFS(tblInv[المتبقي],tblInv[كود العميل],$A158,tblInv[الفترة],E$7))</f>
        <v/>
      </c>
      <c r="F158" s="80">
        <f>IF($A158="","",SUMIFS(tblInv[المتبقي],tblInv[كود العميل],$A158,tblInv[الفترة],F$7))</f>
        <v/>
      </c>
      <c r="G158" s="80">
        <f>IF($A158="","",SUMIFS(tblInv[المتبقي],tblInv[كود العميل],$A158,tblInv[الفترة],G$7))</f>
        <v/>
      </c>
      <c r="H158" s="80">
        <f>IF($A158="","",SUMIFS(tblInv[المتبقي],tblInv[كود العميل],$A158,tblInv[الفترة],H$7))</f>
        <v/>
      </c>
      <c r="I158" s="80">
        <f>IF($A158="","",SUMIFS(tblInv[المتبقي],tblInv[كود العميل],$A158,tblInv[الفترة],I$7))</f>
        <v/>
      </c>
      <c r="J158" s="80">
        <f>IF($A158="","",SUM(C158:I158))</f>
        <v/>
      </c>
      <c r="K158" s="80">
        <f>IF($A158="","",-SUMIFS(tblRec[المبلغ],tblRec[كود العميل],$A158,tblRec[رقم الفاتورة],"",tblRec[التاريخ],"&lt;="&amp;AsOf)+SUMIFS(tblInv[المتبقي],tblInv[كود العميل],$A158,tblInv[المتبقي],"&lt;0"))</f>
        <v/>
      </c>
      <c r="L158" s="81">
        <f>IF($A158="","",J158+K158)</f>
        <v/>
      </c>
      <c r="M158" s="82">
        <f>IF($A158="","",IFERROR(L158/$L$8,0))</f>
        <v/>
      </c>
      <c r="N158" s="80">
        <f>IF($A158="","",INDEX(tblCustomers[حد الائتمان],MATCH($A158,tblCustomers[كود العميل],0)))</f>
        <v/>
      </c>
      <c r="O158" s="83">
        <f>IF($A158="","",IF(AND(N158&gt;0,L158&gt;N158),"⛔",""))</f>
        <v/>
      </c>
    </row>
    <row r="159">
      <c r="A159" s="78">
        <f>IFERROR(INDEX(tblCustomers[كود العميل],MATCH(150,tblCustomers[ترتيب],0)),"")</f>
        <v/>
      </c>
      <c r="B159" s="79">
        <f>IF($A159="","",INDEX(tblCustomers[اسم العميل],MATCH($A159,tblCustomers[كود العميل],0)))</f>
        <v/>
      </c>
      <c r="C159" s="80">
        <f>IF($A159="","",SUMIFS(tblInv[المتبقي],tblInv[كود العميل],$A159,tblInv[الفترة],C$7))</f>
        <v/>
      </c>
      <c r="D159" s="80">
        <f>IF($A159="","",SUMIFS(tblInv[المتبقي],tblInv[كود العميل],$A159,tblInv[الفترة],D$7))</f>
        <v/>
      </c>
      <c r="E159" s="80">
        <f>IF($A159="","",SUMIFS(tblInv[المتبقي],tblInv[كود العميل],$A159,tblInv[الفترة],E$7))</f>
        <v/>
      </c>
      <c r="F159" s="80">
        <f>IF($A159="","",SUMIFS(tblInv[المتبقي],tblInv[كود العميل],$A159,tblInv[الفترة],F$7))</f>
        <v/>
      </c>
      <c r="G159" s="80">
        <f>IF($A159="","",SUMIFS(tblInv[المتبقي],tblInv[كود العميل],$A159,tblInv[الفترة],G$7))</f>
        <v/>
      </c>
      <c r="H159" s="80">
        <f>IF($A159="","",SUMIFS(tblInv[المتبقي],tblInv[كود العميل],$A159,tblInv[الفترة],H$7))</f>
        <v/>
      </c>
      <c r="I159" s="80">
        <f>IF($A159="","",SUMIFS(tblInv[المتبقي],tblInv[كود العميل],$A159,tblInv[الفترة],I$7))</f>
        <v/>
      </c>
      <c r="J159" s="80">
        <f>IF($A159="","",SUM(C159:I159))</f>
        <v/>
      </c>
      <c r="K159" s="80">
        <f>IF($A159="","",-SUMIFS(tblRec[المبلغ],tblRec[كود العميل],$A159,tblRec[رقم الفاتورة],"",tblRec[التاريخ],"&lt;="&amp;AsOf)+SUMIFS(tblInv[المتبقي],tblInv[كود العميل],$A159,tblInv[المتبقي],"&lt;0"))</f>
        <v/>
      </c>
      <c r="L159" s="81">
        <f>IF($A159="","",J159+K159)</f>
        <v/>
      </c>
      <c r="M159" s="82">
        <f>IF($A159="","",IFERROR(L159/$L$8,0))</f>
        <v/>
      </c>
      <c r="N159" s="80">
        <f>IF($A159="","",INDEX(tblCustomers[حد الائتمان],MATCH($A159,tblCustomers[كود العميل],0)))</f>
        <v/>
      </c>
      <c r="O159" s="83">
        <f>IF($A159="","",IF(AND(N159&gt;0,L159&gt;N159),"⛔",""))</f>
        <v/>
      </c>
    </row>
    <row r="160">
      <c r="A160" s="78">
        <f>IFERROR(INDEX(tblCustomers[كود العميل],MATCH(151,tblCustomers[ترتيب],0)),"")</f>
        <v/>
      </c>
      <c r="B160" s="79">
        <f>IF($A160="","",INDEX(tblCustomers[اسم العميل],MATCH($A160,tblCustomers[كود العميل],0)))</f>
        <v/>
      </c>
      <c r="C160" s="80">
        <f>IF($A160="","",SUMIFS(tblInv[المتبقي],tblInv[كود العميل],$A160,tblInv[الفترة],C$7))</f>
        <v/>
      </c>
      <c r="D160" s="80">
        <f>IF($A160="","",SUMIFS(tblInv[المتبقي],tblInv[كود العميل],$A160,tblInv[الفترة],D$7))</f>
        <v/>
      </c>
      <c r="E160" s="80">
        <f>IF($A160="","",SUMIFS(tblInv[المتبقي],tblInv[كود العميل],$A160,tblInv[الفترة],E$7))</f>
        <v/>
      </c>
      <c r="F160" s="80">
        <f>IF($A160="","",SUMIFS(tblInv[المتبقي],tblInv[كود العميل],$A160,tblInv[الفترة],F$7))</f>
        <v/>
      </c>
      <c r="G160" s="80">
        <f>IF($A160="","",SUMIFS(tblInv[المتبقي],tblInv[كود العميل],$A160,tblInv[الفترة],G$7))</f>
        <v/>
      </c>
      <c r="H160" s="80">
        <f>IF($A160="","",SUMIFS(tblInv[المتبقي],tblInv[كود العميل],$A160,tblInv[الفترة],H$7))</f>
        <v/>
      </c>
      <c r="I160" s="80">
        <f>IF($A160="","",SUMIFS(tblInv[المتبقي],tblInv[كود العميل],$A160,tblInv[الفترة],I$7))</f>
        <v/>
      </c>
      <c r="J160" s="80">
        <f>IF($A160="","",SUM(C160:I160))</f>
        <v/>
      </c>
      <c r="K160" s="80">
        <f>IF($A160="","",-SUMIFS(tblRec[المبلغ],tblRec[كود العميل],$A160,tblRec[رقم الفاتورة],"",tblRec[التاريخ],"&lt;="&amp;AsOf)+SUMIFS(tblInv[المتبقي],tblInv[كود العميل],$A160,tblInv[المتبقي],"&lt;0"))</f>
        <v/>
      </c>
      <c r="L160" s="81">
        <f>IF($A160="","",J160+K160)</f>
        <v/>
      </c>
      <c r="M160" s="82">
        <f>IF($A160="","",IFERROR(L160/$L$8,0))</f>
        <v/>
      </c>
      <c r="N160" s="80">
        <f>IF($A160="","",INDEX(tblCustomers[حد الائتمان],MATCH($A160,tblCustomers[كود العميل],0)))</f>
        <v/>
      </c>
      <c r="O160" s="83">
        <f>IF($A160="","",IF(AND(N160&gt;0,L160&gt;N160),"⛔",""))</f>
        <v/>
      </c>
    </row>
    <row r="161">
      <c r="A161" s="78">
        <f>IFERROR(INDEX(tblCustomers[كود العميل],MATCH(152,tblCustomers[ترتيب],0)),"")</f>
        <v/>
      </c>
      <c r="B161" s="79">
        <f>IF($A161="","",INDEX(tblCustomers[اسم العميل],MATCH($A161,tblCustomers[كود العميل],0)))</f>
        <v/>
      </c>
      <c r="C161" s="80">
        <f>IF($A161="","",SUMIFS(tblInv[المتبقي],tblInv[كود العميل],$A161,tblInv[الفترة],C$7))</f>
        <v/>
      </c>
      <c r="D161" s="80">
        <f>IF($A161="","",SUMIFS(tblInv[المتبقي],tblInv[كود العميل],$A161,tblInv[الفترة],D$7))</f>
        <v/>
      </c>
      <c r="E161" s="80">
        <f>IF($A161="","",SUMIFS(tblInv[المتبقي],tblInv[كود العميل],$A161,tblInv[الفترة],E$7))</f>
        <v/>
      </c>
      <c r="F161" s="80">
        <f>IF($A161="","",SUMIFS(tblInv[المتبقي],tblInv[كود العميل],$A161,tblInv[الفترة],F$7))</f>
        <v/>
      </c>
      <c r="G161" s="80">
        <f>IF($A161="","",SUMIFS(tblInv[المتبقي],tblInv[كود العميل],$A161,tblInv[الفترة],G$7))</f>
        <v/>
      </c>
      <c r="H161" s="80">
        <f>IF($A161="","",SUMIFS(tblInv[المتبقي],tblInv[كود العميل],$A161,tblInv[الفترة],H$7))</f>
        <v/>
      </c>
      <c r="I161" s="80">
        <f>IF($A161="","",SUMIFS(tblInv[المتبقي],tblInv[كود العميل],$A161,tblInv[الفترة],I$7))</f>
        <v/>
      </c>
      <c r="J161" s="80">
        <f>IF($A161="","",SUM(C161:I161))</f>
        <v/>
      </c>
      <c r="K161" s="80">
        <f>IF($A161="","",-SUMIFS(tblRec[المبلغ],tblRec[كود العميل],$A161,tblRec[رقم الفاتورة],"",tblRec[التاريخ],"&lt;="&amp;AsOf)+SUMIFS(tblInv[المتبقي],tblInv[كود العميل],$A161,tblInv[المتبقي],"&lt;0"))</f>
        <v/>
      </c>
      <c r="L161" s="81">
        <f>IF($A161="","",J161+K161)</f>
        <v/>
      </c>
      <c r="M161" s="82">
        <f>IF($A161="","",IFERROR(L161/$L$8,0))</f>
        <v/>
      </c>
      <c r="N161" s="80">
        <f>IF($A161="","",INDEX(tblCustomers[حد الائتمان],MATCH($A161,tblCustomers[كود العميل],0)))</f>
        <v/>
      </c>
      <c r="O161" s="83">
        <f>IF($A161="","",IF(AND(N161&gt;0,L161&gt;N161),"⛔",""))</f>
        <v/>
      </c>
    </row>
    <row r="162">
      <c r="A162" s="78">
        <f>IFERROR(INDEX(tblCustomers[كود العميل],MATCH(153,tblCustomers[ترتيب],0)),"")</f>
        <v/>
      </c>
      <c r="B162" s="79">
        <f>IF($A162="","",INDEX(tblCustomers[اسم العميل],MATCH($A162,tblCustomers[كود العميل],0)))</f>
        <v/>
      </c>
      <c r="C162" s="80">
        <f>IF($A162="","",SUMIFS(tblInv[المتبقي],tblInv[كود العميل],$A162,tblInv[الفترة],C$7))</f>
        <v/>
      </c>
      <c r="D162" s="80">
        <f>IF($A162="","",SUMIFS(tblInv[المتبقي],tblInv[كود العميل],$A162,tblInv[الفترة],D$7))</f>
        <v/>
      </c>
      <c r="E162" s="80">
        <f>IF($A162="","",SUMIFS(tblInv[المتبقي],tblInv[كود العميل],$A162,tblInv[الفترة],E$7))</f>
        <v/>
      </c>
      <c r="F162" s="80">
        <f>IF($A162="","",SUMIFS(tblInv[المتبقي],tblInv[كود العميل],$A162,tblInv[الفترة],F$7))</f>
        <v/>
      </c>
      <c r="G162" s="80">
        <f>IF($A162="","",SUMIFS(tblInv[المتبقي],tblInv[كود العميل],$A162,tblInv[الفترة],G$7))</f>
        <v/>
      </c>
      <c r="H162" s="80">
        <f>IF($A162="","",SUMIFS(tblInv[المتبقي],tblInv[كود العميل],$A162,tblInv[الفترة],H$7))</f>
        <v/>
      </c>
      <c r="I162" s="80">
        <f>IF($A162="","",SUMIFS(tblInv[المتبقي],tblInv[كود العميل],$A162,tblInv[الفترة],I$7))</f>
        <v/>
      </c>
      <c r="J162" s="80">
        <f>IF($A162="","",SUM(C162:I162))</f>
        <v/>
      </c>
      <c r="K162" s="80">
        <f>IF($A162="","",-SUMIFS(tblRec[المبلغ],tblRec[كود العميل],$A162,tblRec[رقم الفاتورة],"",tblRec[التاريخ],"&lt;="&amp;AsOf)+SUMIFS(tblInv[المتبقي],tblInv[كود العميل],$A162,tblInv[المتبقي],"&lt;0"))</f>
        <v/>
      </c>
      <c r="L162" s="81">
        <f>IF($A162="","",J162+K162)</f>
        <v/>
      </c>
      <c r="M162" s="82">
        <f>IF($A162="","",IFERROR(L162/$L$8,0))</f>
        <v/>
      </c>
      <c r="N162" s="80">
        <f>IF($A162="","",INDEX(tblCustomers[حد الائتمان],MATCH($A162,tblCustomers[كود العميل],0)))</f>
        <v/>
      </c>
      <c r="O162" s="83">
        <f>IF($A162="","",IF(AND(N162&gt;0,L162&gt;N162),"⛔",""))</f>
        <v/>
      </c>
    </row>
    <row r="163">
      <c r="A163" s="78">
        <f>IFERROR(INDEX(tblCustomers[كود العميل],MATCH(154,tblCustomers[ترتيب],0)),"")</f>
        <v/>
      </c>
      <c r="B163" s="79">
        <f>IF($A163="","",INDEX(tblCustomers[اسم العميل],MATCH($A163,tblCustomers[كود العميل],0)))</f>
        <v/>
      </c>
      <c r="C163" s="80">
        <f>IF($A163="","",SUMIFS(tblInv[المتبقي],tblInv[كود العميل],$A163,tblInv[الفترة],C$7))</f>
        <v/>
      </c>
      <c r="D163" s="80">
        <f>IF($A163="","",SUMIFS(tblInv[المتبقي],tblInv[كود العميل],$A163,tblInv[الفترة],D$7))</f>
        <v/>
      </c>
      <c r="E163" s="80">
        <f>IF($A163="","",SUMIFS(tblInv[المتبقي],tblInv[كود العميل],$A163,tblInv[الفترة],E$7))</f>
        <v/>
      </c>
      <c r="F163" s="80">
        <f>IF($A163="","",SUMIFS(tblInv[المتبقي],tblInv[كود العميل],$A163,tblInv[الفترة],F$7))</f>
        <v/>
      </c>
      <c r="G163" s="80">
        <f>IF($A163="","",SUMIFS(tblInv[المتبقي],tblInv[كود العميل],$A163,tblInv[الفترة],G$7))</f>
        <v/>
      </c>
      <c r="H163" s="80">
        <f>IF($A163="","",SUMIFS(tblInv[المتبقي],tblInv[كود العميل],$A163,tblInv[الفترة],H$7))</f>
        <v/>
      </c>
      <c r="I163" s="80">
        <f>IF($A163="","",SUMIFS(tblInv[المتبقي],tblInv[كود العميل],$A163,tblInv[الفترة],I$7))</f>
        <v/>
      </c>
      <c r="J163" s="80">
        <f>IF($A163="","",SUM(C163:I163))</f>
        <v/>
      </c>
      <c r="K163" s="80">
        <f>IF($A163="","",-SUMIFS(tblRec[المبلغ],tblRec[كود العميل],$A163,tblRec[رقم الفاتورة],"",tblRec[التاريخ],"&lt;="&amp;AsOf)+SUMIFS(tblInv[المتبقي],tblInv[كود العميل],$A163,tblInv[المتبقي],"&lt;0"))</f>
        <v/>
      </c>
      <c r="L163" s="81">
        <f>IF($A163="","",J163+K163)</f>
        <v/>
      </c>
      <c r="M163" s="82">
        <f>IF($A163="","",IFERROR(L163/$L$8,0))</f>
        <v/>
      </c>
      <c r="N163" s="80">
        <f>IF($A163="","",INDEX(tblCustomers[حد الائتمان],MATCH($A163,tblCustomers[كود العميل],0)))</f>
        <v/>
      </c>
      <c r="O163" s="83">
        <f>IF($A163="","",IF(AND(N163&gt;0,L163&gt;N163),"⛔",""))</f>
        <v/>
      </c>
    </row>
    <row r="164">
      <c r="A164" s="78">
        <f>IFERROR(INDEX(tblCustomers[كود العميل],MATCH(155,tblCustomers[ترتيب],0)),"")</f>
        <v/>
      </c>
      <c r="B164" s="79">
        <f>IF($A164="","",INDEX(tblCustomers[اسم العميل],MATCH($A164,tblCustomers[كود العميل],0)))</f>
        <v/>
      </c>
      <c r="C164" s="80">
        <f>IF($A164="","",SUMIFS(tblInv[المتبقي],tblInv[كود العميل],$A164,tblInv[الفترة],C$7))</f>
        <v/>
      </c>
      <c r="D164" s="80">
        <f>IF($A164="","",SUMIFS(tblInv[المتبقي],tblInv[كود العميل],$A164,tblInv[الفترة],D$7))</f>
        <v/>
      </c>
      <c r="E164" s="80">
        <f>IF($A164="","",SUMIFS(tblInv[المتبقي],tblInv[كود العميل],$A164,tblInv[الفترة],E$7))</f>
        <v/>
      </c>
      <c r="F164" s="80">
        <f>IF($A164="","",SUMIFS(tblInv[المتبقي],tblInv[كود العميل],$A164,tblInv[الفترة],F$7))</f>
        <v/>
      </c>
      <c r="G164" s="80">
        <f>IF($A164="","",SUMIFS(tblInv[المتبقي],tblInv[كود العميل],$A164,tblInv[الفترة],G$7))</f>
        <v/>
      </c>
      <c r="H164" s="80">
        <f>IF($A164="","",SUMIFS(tblInv[المتبقي],tblInv[كود العميل],$A164,tblInv[الفترة],H$7))</f>
        <v/>
      </c>
      <c r="I164" s="80">
        <f>IF($A164="","",SUMIFS(tblInv[المتبقي],tblInv[كود العميل],$A164,tblInv[الفترة],I$7))</f>
        <v/>
      </c>
      <c r="J164" s="80">
        <f>IF($A164="","",SUM(C164:I164))</f>
        <v/>
      </c>
      <c r="K164" s="80">
        <f>IF($A164="","",-SUMIFS(tblRec[المبلغ],tblRec[كود العميل],$A164,tblRec[رقم الفاتورة],"",tblRec[التاريخ],"&lt;="&amp;AsOf)+SUMIFS(tblInv[المتبقي],tblInv[كود العميل],$A164,tblInv[المتبقي],"&lt;0"))</f>
        <v/>
      </c>
      <c r="L164" s="81">
        <f>IF($A164="","",J164+K164)</f>
        <v/>
      </c>
      <c r="M164" s="82">
        <f>IF($A164="","",IFERROR(L164/$L$8,0))</f>
        <v/>
      </c>
      <c r="N164" s="80">
        <f>IF($A164="","",INDEX(tblCustomers[حد الائتمان],MATCH($A164,tblCustomers[كود العميل],0)))</f>
        <v/>
      </c>
      <c r="O164" s="83">
        <f>IF($A164="","",IF(AND(N164&gt;0,L164&gt;N164),"⛔",""))</f>
        <v/>
      </c>
    </row>
    <row r="165">
      <c r="A165" s="78">
        <f>IFERROR(INDEX(tblCustomers[كود العميل],MATCH(156,tblCustomers[ترتيب],0)),"")</f>
        <v/>
      </c>
      <c r="B165" s="79">
        <f>IF($A165="","",INDEX(tblCustomers[اسم العميل],MATCH($A165,tblCustomers[كود العميل],0)))</f>
        <v/>
      </c>
      <c r="C165" s="80">
        <f>IF($A165="","",SUMIFS(tblInv[المتبقي],tblInv[كود العميل],$A165,tblInv[الفترة],C$7))</f>
        <v/>
      </c>
      <c r="D165" s="80">
        <f>IF($A165="","",SUMIFS(tblInv[المتبقي],tblInv[كود العميل],$A165,tblInv[الفترة],D$7))</f>
        <v/>
      </c>
      <c r="E165" s="80">
        <f>IF($A165="","",SUMIFS(tblInv[المتبقي],tblInv[كود العميل],$A165,tblInv[الفترة],E$7))</f>
        <v/>
      </c>
      <c r="F165" s="80">
        <f>IF($A165="","",SUMIFS(tblInv[المتبقي],tblInv[كود العميل],$A165,tblInv[الفترة],F$7))</f>
        <v/>
      </c>
      <c r="G165" s="80">
        <f>IF($A165="","",SUMIFS(tblInv[المتبقي],tblInv[كود العميل],$A165,tblInv[الفترة],G$7))</f>
        <v/>
      </c>
      <c r="H165" s="80">
        <f>IF($A165="","",SUMIFS(tblInv[المتبقي],tblInv[كود العميل],$A165,tblInv[الفترة],H$7))</f>
        <v/>
      </c>
      <c r="I165" s="80">
        <f>IF($A165="","",SUMIFS(tblInv[المتبقي],tblInv[كود العميل],$A165,tblInv[الفترة],I$7))</f>
        <v/>
      </c>
      <c r="J165" s="80">
        <f>IF($A165="","",SUM(C165:I165))</f>
        <v/>
      </c>
      <c r="K165" s="80">
        <f>IF($A165="","",-SUMIFS(tblRec[المبلغ],tblRec[كود العميل],$A165,tblRec[رقم الفاتورة],"",tblRec[التاريخ],"&lt;="&amp;AsOf)+SUMIFS(tblInv[المتبقي],tblInv[كود العميل],$A165,tblInv[المتبقي],"&lt;0"))</f>
        <v/>
      </c>
      <c r="L165" s="81">
        <f>IF($A165="","",J165+K165)</f>
        <v/>
      </c>
      <c r="M165" s="82">
        <f>IF($A165="","",IFERROR(L165/$L$8,0))</f>
        <v/>
      </c>
      <c r="N165" s="80">
        <f>IF($A165="","",INDEX(tblCustomers[حد الائتمان],MATCH($A165,tblCustomers[كود العميل],0)))</f>
        <v/>
      </c>
      <c r="O165" s="83">
        <f>IF($A165="","",IF(AND(N165&gt;0,L165&gt;N165),"⛔",""))</f>
        <v/>
      </c>
    </row>
    <row r="166">
      <c r="A166" s="78">
        <f>IFERROR(INDEX(tblCustomers[كود العميل],MATCH(157,tblCustomers[ترتيب],0)),"")</f>
        <v/>
      </c>
      <c r="B166" s="79">
        <f>IF($A166="","",INDEX(tblCustomers[اسم العميل],MATCH($A166,tblCustomers[كود العميل],0)))</f>
        <v/>
      </c>
      <c r="C166" s="80">
        <f>IF($A166="","",SUMIFS(tblInv[المتبقي],tblInv[كود العميل],$A166,tblInv[الفترة],C$7))</f>
        <v/>
      </c>
      <c r="D166" s="80">
        <f>IF($A166="","",SUMIFS(tblInv[المتبقي],tblInv[كود العميل],$A166,tblInv[الفترة],D$7))</f>
        <v/>
      </c>
      <c r="E166" s="80">
        <f>IF($A166="","",SUMIFS(tblInv[المتبقي],tblInv[كود العميل],$A166,tblInv[الفترة],E$7))</f>
        <v/>
      </c>
      <c r="F166" s="80">
        <f>IF($A166="","",SUMIFS(tblInv[المتبقي],tblInv[كود العميل],$A166,tblInv[الفترة],F$7))</f>
        <v/>
      </c>
      <c r="G166" s="80">
        <f>IF($A166="","",SUMIFS(tblInv[المتبقي],tblInv[كود العميل],$A166,tblInv[الفترة],G$7))</f>
        <v/>
      </c>
      <c r="H166" s="80">
        <f>IF($A166="","",SUMIFS(tblInv[المتبقي],tblInv[كود العميل],$A166,tblInv[الفترة],H$7))</f>
        <v/>
      </c>
      <c r="I166" s="80">
        <f>IF($A166="","",SUMIFS(tblInv[المتبقي],tblInv[كود العميل],$A166,tblInv[الفترة],I$7))</f>
        <v/>
      </c>
      <c r="J166" s="80">
        <f>IF($A166="","",SUM(C166:I166))</f>
        <v/>
      </c>
      <c r="K166" s="80">
        <f>IF($A166="","",-SUMIFS(tblRec[المبلغ],tblRec[كود العميل],$A166,tblRec[رقم الفاتورة],"",tblRec[التاريخ],"&lt;="&amp;AsOf)+SUMIFS(tblInv[المتبقي],tblInv[كود العميل],$A166,tblInv[المتبقي],"&lt;0"))</f>
        <v/>
      </c>
      <c r="L166" s="81">
        <f>IF($A166="","",J166+K166)</f>
        <v/>
      </c>
      <c r="M166" s="82">
        <f>IF($A166="","",IFERROR(L166/$L$8,0))</f>
        <v/>
      </c>
      <c r="N166" s="80">
        <f>IF($A166="","",INDEX(tblCustomers[حد الائتمان],MATCH($A166,tblCustomers[كود العميل],0)))</f>
        <v/>
      </c>
      <c r="O166" s="83">
        <f>IF($A166="","",IF(AND(N166&gt;0,L166&gt;N166),"⛔",""))</f>
        <v/>
      </c>
    </row>
    <row r="167">
      <c r="A167" s="78">
        <f>IFERROR(INDEX(tblCustomers[كود العميل],MATCH(158,tblCustomers[ترتيب],0)),"")</f>
        <v/>
      </c>
      <c r="B167" s="79">
        <f>IF($A167="","",INDEX(tblCustomers[اسم العميل],MATCH($A167,tblCustomers[كود العميل],0)))</f>
        <v/>
      </c>
      <c r="C167" s="80">
        <f>IF($A167="","",SUMIFS(tblInv[المتبقي],tblInv[كود العميل],$A167,tblInv[الفترة],C$7))</f>
        <v/>
      </c>
      <c r="D167" s="80">
        <f>IF($A167="","",SUMIFS(tblInv[المتبقي],tblInv[كود العميل],$A167,tblInv[الفترة],D$7))</f>
        <v/>
      </c>
      <c r="E167" s="80">
        <f>IF($A167="","",SUMIFS(tblInv[المتبقي],tblInv[كود العميل],$A167,tblInv[الفترة],E$7))</f>
        <v/>
      </c>
      <c r="F167" s="80">
        <f>IF($A167="","",SUMIFS(tblInv[المتبقي],tblInv[كود العميل],$A167,tblInv[الفترة],F$7))</f>
        <v/>
      </c>
      <c r="G167" s="80">
        <f>IF($A167="","",SUMIFS(tblInv[المتبقي],tblInv[كود العميل],$A167,tblInv[الفترة],G$7))</f>
        <v/>
      </c>
      <c r="H167" s="80">
        <f>IF($A167="","",SUMIFS(tblInv[المتبقي],tblInv[كود العميل],$A167,tblInv[الفترة],H$7))</f>
        <v/>
      </c>
      <c r="I167" s="80">
        <f>IF($A167="","",SUMIFS(tblInv[المتبقي],tblInv[كود العميل],$A167,tblInv[الفترة],I$7))</f>
        <v/>
      </c>
      <c r="J167" s="80">
        <f>IF($A167="","",SUM(C167:I167))</f>
        <v/>
      </c>
      <c r="K167" s="80">
        <f>IF($A167="","",-SUMIFS(tblRec[المبلغ],tblRec[كود العميل],$A167,tblRec[رقم الفاتورة],"",tblRec[التاريخ],"&lt;="&amp;AsOf)+SUMIFS(tblInv[المتبقي],tblInv[كود العميل],$A167,tblInv[المتبقي],"&lt;0"))</f>
        <v/>
      </c>
      <c r="L167" s="81">
        <f>IF($A167="","",J167+K167)</f>
        <v/>
      </c>
      <c r="M167" s="82">
        <f>IF($A167="","",IFERROR(L167/$L$8,0))</f>
        <v/>
      </c>
      <c r="N167" s="80">
        <f>IF($A167="","",INDEX(tblCustomers[حد الائتمان],MATCH($A167,tblCustomers[كود العميل],0)))</f>
        <v/>
      </c>
      <c r="O167" s="83">
        <f>IF($A167="","",IF(AND(N167&gt;0,L167&gt;N167),"⛔",""))</f>
        <v/>
      </c>
    </row>
    <row r="168">
      <c r="A168" s="78">
        <f>IFERROR(INDEX(tblCustomers[كود العميل],MATCH(159,tblCustomers[ترتيب],0)),"")</f>
        <v/>
      </c>
      <c r="B168" s="79">
        <f>IF($A168="","",INDEX(tblCustomers[اسم العميل],MATCH($A168,tblCustomers[كود العميل],0)))</f>
        <v/>
      </c>
      <c r="C168" s="80">
        <f>IF($A168="","",SUMIFS(tblInv[المتبقي],tblInv[كود العميل],$A168,tblInv[الفترة],C$7))</f>
        <v/>
      </c>
      <c r="D168" s="80">
        <f>IF($A168="","",SUMIFS(tblInv[المتبقي],tblInv[كود العميل],$A168,tblInv[الفترة],D$7))</f>
        <v/>
      </c>
      <c r="E168" s="80">
        <f>IF($A168="","",SUMIFS(tblInv[المتبقي],tblInv[كود العميل],$A168,tblInv[الفترة],E$7))</f>
        <v/>
      </c>
      <c r="F168" s="80">
        <f>IF($A168="","",SUMIFS(tblInv[المتبقي],tblInv[كود العميل],$A168,tblInv[الفترة],F$7))</f>
        <v/>
      </c>
      <c r="G168" s="80">
        <f>IF($A168="","",SUMIFS(tblInv[المتبقي],tblInv[كود العميل],$A168,tblInv[الفترة],G$7))</f>
        <v/>
      </c>
      <c r="H168" s="80">
        <f>IF($A168="","",SUMIFS(tblInv[المتبقي],tblInv[كود العميل],$A168,tblInv[الفترة],H$7))</f>
        <v/>
      </c>
      <c r="I168" s="80">
        <f>IF($A168="","",SUMIFS(tblInv[المتبقي],tblInv[كود العميل],$A168,tblInv[الفترة],I$7))</f>
        <v/>
      </c>
      <c r="J168" s="80">
        <f>IF($A168="","",SUM(C168:I168))</f>
        <v/>
      </c>
      <c r="K168" s="80">
        <f>IF($A168="","",-SUMIFS(tblRec[المبلغ],tblRec[كود العميل],$A168,tblRec[رقم الفاتورة],"",tblRec[التاريخ],"&lt;="&amp;AsOf)+SUMIFS(tblInv[المتبقي],tblInv[كود العميل],$A168,tblInv[المتبقي],"&lt;0"))</f>
        <v/>
      </c>
      <c r="L168" s="81">
        <f>IF($A168="","",J168+K168)</f>
        <v/>
      </c>
      <c r="M168" s="82">
        <f>IF($A168="","",IFERROR(L168/$L$8,0))</f>
        <v/>
      </c>
      <c r="N168" s="80">
        <f>IF($A168="","",INDEX(tblCustomers[حد الائتمان],MATCH($A168,tblCustomers[كود العميل],0)))</f>
        <v/>
      </c>
      <c r="O168" s="83">
        <f>IF($A168="","",IF(AND(N168&gt;0,L168&gt;N168),"⛔",""))</f>
        <v/>
      </c>
    </row>
    <row r="169">
      <c r="A169" s="78">
        <f>IFERROR(INDEX(tblCustomers[كود العميل],MATCH(160,tblCustomers[ترتيب],0)),"")</f>
        <v/>
      </c>
      <c r="B169" s="79">
        <f>IF($A169="","",INDEX(tblCustomers[اسم العميل],MATCH($A169,tblCustomers[كود العميل],0)))</f>
        <v/>
      </c>
      <c r="C169" s="80">
        <f>IF($A169="","",SUMIFS(tblInv[المتبقي],tblInv[كود العميل],$A169,tblInv[الفترة],C$7))</f>
        <v/>
      </c>
      <c r="D169" s="80">
        <f>IF($A169="","",SUMIFS(tblInv[المتبقي],tblInv[كود العميل],$A169,tblInv[الفترة],D$7))</f>
        <v/>
      </c>
      <c r="E169" s="80">
        <f>IF($A169="","",SUMIFS(tblInv[المتبقي],tblInv[كود العميل],$A169,tblInv[الفترة],E$7))</f>
        <v/>
      </c>
      <c r="F169" s="80">
        <f>IF($A169="","",SUMIFS(tblInv[المتبقي],tblInv[كود العميل],$A169,tblInv[الفترة],F$7))</f>
        <v/>
      </c>
      <c r="G169" s="80">
        <f>IF($A169="","",SUMIFS(tblInv[المتبقي],tblInv[كود العميل],$A169,tblInv[الفترة],G$7))</f>
        <v/>
      </c>
      <c r="H169" s="80">
        <f>IF($A169="","",SUMIFS(tblInv[المتبقي],tblInv[كود العميل],$A169,tblInv[الفترة],H$7))</f>
        <v/>
      </c>
      <c r="I169" s="80">
        <f>IF($A169="","",SUMIFS(tblInv[المتبقي],tblInv[كود العميل],$A169,tblInv[الفترة],I$7))</f>
        <v/>
      </c>
      <c r="J169" s="80">
        <f>IF($A169="","",SUM(C169:I169))</f>
        <v/>
      </c>
      <c r="K169" s="80">
        <f>IF($A169="","",-SUMIFS(tblRec[المبلغ],tblRec[كود العميل],$A169,tblRec[رقم الفاتورة],"",tblRec[التاريخ],"&lt;="&amp;AsOf)+SUMIFS(tblInv[المتبقي],tblInv[كود العميل],$A169,tblInv[المتبقي],"&lt;0"))</f>
        <v/>
      </c>
      <c r="L169" s="81">
        <f>IF($A169="","",J169+K169)</f>
        <v/>
      </c>
      <c r="M169" s="82">
        <f>IF($A169="","",IFERROR(L169/$L$8,0))</f>
        <v/>
      </c>
      <c r="N169" s="80">
        <f>IF($A169="","",INDEX(tblCustomers[حد الائتمان],MATCH($A169,tblCustomers[كود العميل],0)))</f>
        <v/>
      </c>
      <c r="O169" s="83">
        <f>IF($A169="","",IF(AND(N169&gt;0,L169&gt;N169),"⛔",""))</f>
        <v/>
      </c>
    </row>
    <row r="170">
      <c r="A170" s="78">
        <f>IFERROR(INDEX(tblCustomers[كود العميل],MATCH(161,tblCustomers[ترتيب],0)),"")</f>
        <v/>
      </c>
      <c r="B170" s="79">
        <f>IF($A170="","",INDEX(tblCustomers[اسم العميل],MATCH($A170,tblCustomers[كود العميل],0)))</f>
        <v/>
      </c>
      <c r="C170" s="80">
        <f>IF($A170="","",SUMIFS(tblInv[المتبقي],tblInv[كود العميل],$A170,tblInv[الفترة],C$7))</f>
        <v/>
      </c>
      <c r="D170" s="80">
        <f>IF($A170="","",SUMIFS(tblInv[المتبقي],tblInv[كود العميل],$A170,tblInv[الفترة],D$7))</f>
        <v/>
      </c>
      <c r="E170" s="80">
        <f>IF($A170="","",SUMIFS(tblInv[المتبقي],tblInv[كود العميل],$A170,tblInv[الفترة],E$7))</f>
        <v/>
      </c>
      <c r="F170" s="80">
        <f>IF($A170="","",SUMIFS(tblInv[المتبقي],tblInv[كود العميل],$A170,tblInv[الفترة],F$7))</f>
        <v/>
      </c>
      <c r="G170" s="80">
        <f>IF($A170="","",SUMIFS(tblInv[المتبقي],tblInv[كود العميل],$A170,tblInv[الفترة],G$7))</f>
        <v/>
      </c>
      <c r="H170" s="80">
        <f>IF($A170="","",SUMIFS(tblInv[المتبقي],tblInv[كود العميل],$A170,tblInv[الفترة],H$7))</f>
        <v/>
      </c>
      <c r="I170" s="80">
        <f>IF($A170="","",SUMIFS(tblInv[المتبقي],tblInv[كود العميل],$A170,tblInv[الفترة],I$7))</f>
        <v/>
      </c>
      <c r="J170" s="80">
        <f>IF($A170="","",SUM(C170:I170))</f>
        <v/>
      </c>
      <c r="K170" s="80">
        <f>IF($A170="","",-SUMIFS(tblRec[المبلغ],tblRec[كود العميل],$A170,tblRec[رقم الفاتورة],"",tblRec[التاريخ],"&lt;="&amp;AsOf)+SUMIFS(tblInv[المتبقي],tblInv[كود العميل],$A170,tblInv[المتبقي],"&lt;0"))</f>
        <v/>
      </c>
      <c r="L170" s="81">
        <f>IF($A170="","",J170+K170)</f>
        <v/>
      </c>
      <c r="M170" s="82">
        <f>IF($A170="","",IFERROR(L170/$L$8,0))</f>
        <v/>
      </c>
      <c r="N170" s="80">
        <f>IF($A170="","",INDEX(tblCustomers[حد الائتمان],MATCH($A170,tblCustomers[كود العميل],0)))</f>
        <v/>
      </c>
      <c r="O170" s="83">
        <f>IF($A170="","",IF(AND(N170&gt;0,L170&gt;N170),"⛔",""))</f>
        <v/>
      </c>
    </row>
    <row r="171">
      <c r="A171" s="78">
        <f>IFERROR(INDEX(tblCustomers[كود العميل],MATCH(162,tblCustomers[ترتيب],0)),"")</f>
        <v/>
      </c>
      <c r="B171" s="79">
        <f>IF($A171="","",INDEX(tblCustomers[اسم العميل],MATCH($A171,tblCustomers[كود العميل],0)))</f>
        <v/>
      </c>
      <c r="C171" s="80">
        <f>IF($A171="","",SUMIFS(tblInv[المتبقي],tblInv[كود العميل],$A171,tblInv[الفترة],C$7))</f>
        <v/>
      </c>
      <c r="D171" s="80">
        <f>IF($A171="","",SUMIFS(tblInv[المتبقي],tblInv[كود العميل],$A171,tblInv[الفترة],D$7))</f>
        <v/>
      </c>
      <c r="E171" s="80">
        <f>IF($A171="","",SUMIFS(tblInv[المتبقي],tblInv[كود العميل],$A171,tblInv[الفترة],E$7))</f>
        <v/>
      </c>
      <c r="F171" s="80">
        <f>IF($A171="","",SUMIFS(tblInv[المتبقي],tblInv[كود العميل],$A171,tblInv[الفترة],F$7))</f>
        <v/>
      </c>
      <c r="G171" s="80">
        <f>IF($A171="","",SUMIFS(tblInv[المتبقي],tblInv[كود العميل],$A171,tblInv[الفترة],G$7))</f>
        <v/>
      </c>
      <c r="H171" s="80">
        <f>IF($A171="","",SUMIFS(tblInv[المتبقي],tblInv[كود العميل],$A171,tblInv[الفترة],H$7))</f>
        <v/>
      </c>
      <c r="I171" s="80">
        <f>IF($A171="","",SUMIFS(tblInv[المتبقي],tblInv[كود العميل],$A171,tblInv[الفترة],I$7))</f>
        <v/>
      </c>
      <c r="J171" s="80">
        <f>IF($A171="","",SUM(C171:I171))</f>
        <v/>
      </c>
      <c r="K171" s="80">
        <f>IF($A171="","",-SUMIFS(tblRec[المبلغ],tblRec[كود العميل],$A171,tblRec[رقم الفاتورة],"",tblRec[التاريخ],"&lt;="&amp;AsOf)+SUMIFS(tblInv[المتبقي],tblInv[كود العميل],$A171,tblInv[المتبقي],"&lt;0"))</f>
        <v/>
      </c>
      <c r="L171" s="81">
        <f>IF($A171="","",J171+K171)</f>
        <v/>
      </c>
      <c r="M171" s="82">
        <f>IF($A171="","",IFERROR(L171/$L$8,0))</f>
        <v/>
      </c>
      <c r="N171" s="80">
        <f>IF($A171="","",INDEX(tblCustomers[حد الائتمان],MATCH($A171,tblCustomers[كود العميل],0)))</f>
        <v/>
      </c>
      <c r="O171" s="83">
        <f>IF($A171="","",IF(AND(N171&gt;0,L171&gt;N171),"⛔",""))</f>
        <v/>
      </c>
    </row>
    <row r="172">
      <c r="A172" s="78">
        <f>IFERROR(INDEX(tblCustomers[كود العميل],MATCH(163,tblCustomers[ترتيب],0)),"")</f>
        <v/>
      </c>
      <c r="B172" s="79">
        <f>IF($A172="","",INDEX(tblCustomers[اسم العميل],MATCH($A172,tblCustomers[كود العميل],0)))</f>
        <v/>
      </c>
      <c r="C172" s="80">
        <f>IF($A172="","",SUMIFS(tblInv[المتبقي],tblInv[كود العميل],$A172,tblInv[الفترة],C$7))</f>
        <v/>
      </c>
      <c r="D172" s="80">
        <f>IF($A172="","",SUMIFS(tblInv[المتبقي],tblInv[كود العميل],$A172,tblInv[الفترة],D$7))</f>
        <v/>
      </c>
      <c r="E172" s="80">
        <f>IF($A172="","",SUMIFS(tblInv[المتبقي],tblInv[كود العميل],$A172,tblInv[الفترة],E$7))</f>
        <v/>
      </c>
      <c r="F172" s="80">
        <f>IF($A172="","",SUMIFS(tblInv[المتبقي],tblInv[كود العميل],$A172,tblInv[الفترة],F$7))</f>
        <v/>
      </c>
      <c r="G172" s="80">
        <f>IF($A172="","",SUMIFS(tblInv[المتبقي],tblInv[كود العميل],$A172,tblInv[الفترة],G$7))</f>
        <v/>
      </c>
      <c r="H172" s="80">
        <f>IF($A172="","",SUMIFS(tblInv[المتبقي],tblInv[كود العميل],$A172,tblInv[الفترة],H$7))</f>
        <v/>
      </c>
      <c r="I172" s="80">
        <f>IF($A172="","",SUMIFS(tblInv[المتبقي],tblInv[كود العميل],$A172,tblInv[الفترة],I$7))</f>
        <v/>
      </c>
      <c r="J172" s="80">
        <f>IF($A172="","",SUM(C172:I172))</f>
        <v/>
      </c>
      <c r="K172" s="80">
        <f>IF($A172="","",-SUMIFS(tblRec[المبلغ],tblRec[كود العميل],$A172,tblRec[رقم الفاتورة],"",tblRec[التاريخ],"&lt;="&amp;AsOf)+SUMIFS(tblInv[المتبقي],tblInv[كود العميل],$A172,tblInv[المتبقي],"&lt;0"))</f>
        <v/>
      </c>
      <c r="L172" s="81">
        <f>IF($A172="","",J172+K172)</f>
        <v/>
      </c>
      <c r="M172" s="82">
        <f>IF($A172="","",IFERROR(L172/$L$8,0))</f>
        <v/>
      </c>
      <c r="N172" s="80">
        <f>IF($A172="","",INDEX(tblCustomers[حد الائتمان],MATCH($A172,tblCustomers[كود العميل],0)))</f>
        <v/>
      </c>
      <c r="O172" s="83">
        <f>IF($A172="","",IF(AND(N172&gt;0,L172&gt;N172),"⛔",""))</f>
        <v/>
      </c>
    </row>
    <row r="173">
      <c r="A173" s="78">
        <f>IFERROR(INDEX(tblCustomers[كود العميل],MATCH(164,tblCustomers[ترتيب],0)),"")</f>
        <v/>
      </c>
      <c r="B173" s="79">
        <f>IF($A173="","",INDEX(tblCustomers[اسم العميل],MATCH($A173,tblCustomers[كود العميل],0)))</f>
        <v/>
      </c>
      <c r="C173" s="80">
        <f>IF($A173="","",SUMIFS(tblInv[المتبقي],tblInv[كود العميل],$A173,tblInv[الفترة],C$7))</f>
        <v/>
      </c>
      <c r="D173" s="80">
        <f>IF($A173="","",SUMIFS(tblInv[المتبقي],tblInv[كود العميل],$A173,tblInv[الفترة],D$7))</f>
        <v/>
      </c>
      <c r="E173" s="80">
        <f>IF($A173="","",SUMIFS(tblInv[المتبقي],tblInv[كود العميل],$A173,tblInv[الفترة],E$7))</f>
        <v/>
      </c>
      <c r="F173" s="80">
        <f>IF($A173="","",SUMIFS(tblInv[المتبقي],tblInv[كود العميل],$A173,tblInv[الفترة],F$7))</f>
        <v/>
      </c>
      <c r="G173" s="80">
        <f>IF($A173="","",SUMIFS(tblInv[المتبقي],tblInv[كود العميل],$A173,tblInv[الفترة],G$7))</f>
        <v/>
      </c>
      <c r="H173" s="80">
        <f>IF($A173="","",SUMIFS(tblInv[المتبقي],tblInv[كود العميل],$A173,tblInv[الفترة],H$7))</f>
        <v/>
      </c>
      <c r="I173" s="80">
        <f>IF($A173="","",SUMIFS(tblInv[المتبقي],tblInv[كود العميل],$A173,tblInv[الفترة],I$7))</f>
        <v/>
      </c>
      <c r="J173" s="80">
        <f>IF($A173="","",SUM(C173:I173))</f>
        <v/>
      </c>
      <c r="K173" s="80">
        <f>IF($A173="","",-SUMIFS(tblRec[المبلغ],tblRec[كود العميل],$A173,tblRec[رقم الفاتورة],"",tblRec[التاريخ],"&lt;="&amp;AsOf)+SUMIFS(tblInv[المتبقي],tblInv[كود العميل],$A173,tblInv[المتبقي],"&lt;0"))</f>
        <v/>
      </c>
      <c r="L173" s="81">
        <f>IF($A173="","",J173+K173)</f>
        <v/>
      </c>
      <c r="M173" s="82">
        <f>IF($A173="","",IFERROR(L173/$L$8,0))</f>
        <v/>
      </c>
      <c r="N173" s="80">
        <f>IF($A173="","",INDEX(tblCustomers[حد الائتمان],MATCH($A173,tblCustomers[كود العميل],0)))</f>
        <v/>
      </c>
      <c r="O173" s="83">
        <f>IF($A173="","",IF(AND(N173&gt;0,L173&gt;N173),"⛔",""))</f>
        <v/>
      </c>
    </row>
    <row r="174">
      <c r="A174" s="78">
        <f>IFERROR(INDEX(tblCustomers[كود العميل],MATCH(165,tblCustomers[ترتيب],0)),"")</f>
        <v/>
      </c>
      <c r="B174" s="79">
        <f>IF($A174="","",INDEX(tblCustomers[اسم العميل],MATCH($A174,tblCustomers[كود العميل],0)))</f>
        <v/>
      </c>
      <c r="C174" s="80">
        <f>IF($A174="","",SUMIFS(tblInv[المتبقي],tblInv[كود العميل],$A174,tblInv[الفترة],C$7))</f>
        <v/>
      </c>
      <c r="D174" s="80">
        <f>IF($A174="","",SUMIFS(tblInv[المتبقي],tblInv[كود العميل],$A174,tblInv[الفترة],D$7))</f>
        <v/>
      </c>
      <c r="E174" s="80">
        <f>IF($A174="","",SUMIFS(tblInv[المتبقي],tblInv[كود العميل],$A174,tblInv[الفترة],E$7))</f>
        <v/>
      </c>
      <c r="F174" s="80">
        <f>IF($A174="","",SUMIFS(tblInv[المتبقي],tblInv[كود العميل],$A174,tblInv[الفترة],F$7))</f>
        <v/>
      </c>
      <c r="G174" s="80">
        <f>IF($A174="","",SUMIFS(tblInv[المتبقي],tblInv[كود العميل],$A174,tblInv[الفترة],G$7))</f>
        <v/>
      </c>
      <c r="H174" s="80">
        <f>IF($A174="","",SUMIFS(tblInv[المتبقي],tblInv[كود العميل],$A174,tblInv[الفترة],H$7))</f>
        <v/>
      </c>
      <c r="I174" s="80">
        <f>IF($A174="","",SUMIFS(tblInv[المتبقي],tblInv[كود العميل],$A174,tblInv[الفترة],I$7))</f>
        <v/>
      </c>
      <c r="J174" s="80">
        <f>IF($A174="","",SUM(C174:I174))</f>
        <v/>
      </c>
      <c r="K174" s="80">
        <f>IF($A174="","",-SUMIFS(tblRec[المبلغ],tblRec[كود العميل],$A174,tblRec[رقم الفاتورة],"",tblRec[التاريخ],"&lt;="&amp;AsOf)+SUMIFS(tblInv[المتبقي],tblInv[كود العميل],$A174,tblInv[المتبقي],"&lt;0"))</f>
        <v/>
      </c>
      <c r="L174" s="81">
        <f>IF($A174="","",J174+K174)</f>
        <v/>
      </c>
      <c r="M174" s="82">
        <f>IF($A174="","",IFERROR(L174/$L$8,0))</f>
        <v/>
      </c>
      <c r="N174" s="80">
        <f>IF($A174="","",INDEX(tblCustomers[حد الائتمان],MATCH($A174,tblCustomers[كود العميل],0)))</f>
        <v/>
      </c>
      <c r="O174" s="83">
        <f>IF($A174="","",IF(AND(N174&gt;0,L174&gt;N174),"⛔",""))</f>
        <v/>
      </c>
    </row>
    <row r="175">
      <c r="A175" s="78">
        <f>IFERROR(INDEX(tblCustomers[كود العميل],MATCH(166,tblCustomers[ترتيب],0)),"")</f>
        <v/>
      </c>
      <c r="B175" s="79">
        <f>IF($A175="","",INDEX(tblCustomers[اسم العميل],MATCH($A175,tblCustomers[كود العميل],0)))</f>
        <v/>
      </c>
      <c r="C175" s="80">
        <f>IF($A175="","",SUMIFS(tblInv[المتبقي],tblInv[كود العميل],$A175,tblInv[الفترة],C$7))</f>
        <v/>
      </c>
      <c r="D175" s="80">
        <f>IF($A175="","",SUMIFS(tblInv[المتبقي],tblInv[كود العميل],$A175,tblInv[الفترة],D$7))</f>
        <v/>
      </c>
      <c r="E175" s="80">
        <f>IF($A175="","",SUMIFS(tblInv[المتبقي],tblInv[كود العميل],$A175,tblInv[الفترة],E$7))</f>
        <v/>
      </c>
      <c r="F175" s="80">
        <f>IF($A175="","",SUMIFS(tblInv[المتبقي],tblInv[كود العميل],$A175,tblInv[الفترة],F$7))</f>
        <v/>
      </c>
      <c r="G175" s="80">
        <f>IF($A175="","",SUMIFS(tblInv[المتبقي],tblInv[كود العميل],$A175,tblInv[الفترة],G$7))</f>
        <v/>
      </c>
      <c r="H175" s="80">
        <f>IF($A175="","",SUMIFS(tblInv[المتبقي],tblInv[كود العميل],$A175,tblInv[الفترة],H$7))</f>
        <v/>
      </c>
      <c r="I175" s="80">
        <f>IF($A175="","",SUMIFS(tblInv[المتبقي],tblInv[كود العميل],$A175,tblInv[الفترة],I$7))</f>
        <v/>
      </c>
      <c r="J175" s="80">
        <f>IF($A175="","",SUM(C175:I175))</f>
        <v/>
      </c>
      <c r="K175" s="80">
        <f>IF($A175="","",-SUMIFS(tblRec[المبلغ],tblRec[كود العميل],$A175,tblRec[رقم الفاتورة],"",tblRec[التاريخ],"&lt;="&amp;AsOf)+SUMIFS(tblInv[المتبقي],tblInv[كود العميل],$A175,tblInv[المتبقي],"&lt;0"))</f>
        <v/>
      </c>
      <c r="L175" s="81">
        <f>IF($A175="","",J175+K175)</f>
        <v/>
      </c>
      <c r="M175" s="82">
        <f>IF($A175="","",IFERROR(L175/$L$8,0))</f>
        <v/>
      </c>
      <c r="N175" s="80">
        <f>IF($A175="","",INDEX(tblCustomers[حد الائتمان],MATCH($A175,tblCustomers[كود العميل],0)))</f>
        <v/>
      </c>
      <c r="O175" s="83">
        <f>IF($A175="","",IF(AND(N175&gt;0,L175&gt;N175),"⛔",""))</f>
        <v/>
      </c>
    </row>
    <row r="176">
      <c r="A176" s="78">
        <f>IFERROR(INDEX(tblCustomers[كود العميل],MATCH(167,tblCustomers[ترتيب],0)),"")</f>
        <v/>
      </c>
      <c r="B176" s="79">
        <f>IF($A176="","",INDEX(tblCustomers[اسم العميل],MATCH($A176,tblCustomers[كود العميل],0)))</f>
        <v/>
      </c>
      <c r="C176" s="80">
        <f>IF($A176="","",SUMIFS(tblInv[المتبقي],tblInv[كود العميل],$A176,tblInv[الفترة],C$7))</f>
        <v/>
      </c>
      <c r="D176" s="80">
        <f>IF($A176="","",SUMIFS(tblInv[المتبقي],tblInv[كود العميل],$A176,tblInv[الفترة],D$7))</f>
        <v/>
      </c>
      <c r="E176" s="80">
        <f>IF($A176="","",SUMIFS(tblInv[المتبقي],tblInv[كود العميل],$A176,tblInv[الفترة],E$7))</f>
        <v/>
      </c>
      <c r="F176" s="80">
        <f>IF($A176="","",SUMIFS(tblInv[المتبقي],tblInv[كود العميل],$A176,tblInv[الفترة],F$7))</f>
        <v/>
      </c>
      <c r="G176" s="80">
        <f>IF($A176="","",SUMIFS(tblInv[المتبقي],tblInv[كود العميل],$A176,tblInv[الفترة],G$7))</f>
        <v/>
      </c>
      <c r="H176" s="80">
        <f>IF($A176="","",SUMIFS(tblInv[المتبقي],tblInv[كود العميل],$A176,tblInv[الفترة],H$7))</f>
        <v/>
      </c>
      <c r="I176" s="80">
        <f>IF($A176="","",SUMIFS(tblInv[المتبقي],tblInv[كود العميل],$A176,tblInv[الفترة],I$7))</f>
        <v/>
      </c>
      <c r="J176" s="80">
        <f>IF($A176="","",SUM(C176:I176))</f>
        <v/>
      </c>
      <c r="K176" s="80">
        <f>IF($A176="","",-SUMIFS(tblRec[المبلغ],tblRec[كود العميل],$A176,tblRec[رقم الفاتورة],"",tblRec[التاريخ],"&lt;="&amp;AsOf)+SUMIFS(tblInv[المتبقي],tblInv[كود العميل],$A176,tblInv[المتبقي],"&lt;0"))</f>
        <v/>
      </c>
      <c r="L176" s="81">
        <f>IF($A176="","",J176+K176)</f>
        <v/>
      </c>
      <c r="M176" s="82">
        <f>IF($A176="","",IFERROR(L176/$L$8,0))</f>
        <v/>
      </c>
      <c r="N176" s="80">
        <f>IF($A176="","",INDEX(tblCustomers[حد الائتمان],MATCH($A176,tblCustomers[كود العميل],0)))</f>
        <v/>
      </c>
      <c r="O176" s="83">
        <f>IF($A176="","",IF(AND(N176&gt;0,L176&gt;N176),"⛔",""))</f>
        <v/>
      </c>
    </row>
    <row r="177">
      <c r="A177" s="78">
        <f>IFERROR(INDEX(tblCustomers[كود العميل],MATCH(168,tblCustomers[ترتيب],0)),"")</f>
        <v/>
      </c>
      <c r="B177" s="79">
        <f>IF($A177="","",INDEX(tblCustomers[اسم العميل],MATCH($A177,tblCustomers[كود العميل],0)))</f>
        <v/>
      </c>
      <c r="C177" s="80">
        <f>IF($A177="","",SUMIFS(tblInv[المتبقي],tblInv[كود العميل],$A177,tblInv[الفترة],C$7))</f>
        <v/>
      </c>
      <c r="D177" s="80">
        <f>IF($A177="","",SUMIFS(tblInv[المتبقي],tblInv[كود العميل],$A177,tblInv[الفترة],D$7))</f>
        <v/>
      </c>
      <c r="E177" s="80">
        <f>IF($A177="","",SUMIFS(tblInv[المتبقي],tblInv[كود العميل],$A177,tblInv[الفترة],E$7))</f>
        <v/>
      </c>
      <c r="F177" s="80">
        <f>IF($A177="","",SUMIFS(tblInv[المتبقي],tblInv[كود العميل],$A177,tblInv[الفترة],F$7))</f>
        <v/>
      </c>
      <c r="G177" s="80">
        <f>IF($A177="","",SUMIFS(tblInv[المتبقي],tblInv[كود العميل],$A177,tblInv[الفترة],G$7))</f>
        <v/>
      </c>
      <c r="H177" s="80">
        <f>IF($A177="","",SUMIFS(tblInv[المتبقي],tblInv[كود العميل],$A177,tblInv[الفترة],H$7))</f>
        <v/>
      </c>
      <c r="I177" s="80">
        <f>IF($A177="","",SUMIFS(tblInv[المتبقي],tblInv[كود العميل],$A177,tblInv[الفترة],I$7))</f>
        <v/>
      </c>
      <c r="J177" s="80">
        <f>IF($A177="","",SUM(C177:I177))</f>
        <v/>
      </c>
      <c r="K177" s="80">
        <f>IF($A177="","",-SUMIFS(tblRec[المبلغ],tblRec[كود العميل],$A177,tblRec[رقم الفاتورة],"",tblRec[التاريخ],"&lt;="&amp;AsOf)+SUMIFS(tblInv[المتبقي],tblInv[كود العميل],$A177,tblInv[المتبقي],"&lt;0"))</f>
        <v/>
      </c>
      <c r="L177" s="81">
        <f>IF($A177="","",J177+K177)</f>
        <v/>
      </c>
      <c r="M177" s="82">
        <f>IF($A177="","",IFERROR(L177/$L$8,0))</f>
        <v/>
      </c>
      <c r="N177" s="80">
        <f>IF($A177="","",INDEX(tblCustomers[حد الائتمان],MATCH($A177,tblCustomers[كود العميل],0)))</f>
        <v/>
      </c>
      <c r="O177" s="83">
        <f>IF($A177="","",IF(AND(N177&gt;0,L177&gt;N177),"⛔",""))</f>
        <v/>
      </c>
    </row>
    <row r="178">
      <c r="A178" s="78">
        <f>IFERROR(INDEX(tblCustomers[كود العميل],MATCH(169,tblCustomers[ترتيب],0)),"")</f>
        <v/>
      </c>
      <c r="B178" s="79">
        <f>IF($A178="","",INDEX(tblCustomers[اسم العميل],MATCH($A178,tblCustomers[كود العميل],0)))</f>
        <v/>
      </c>
      <c r="C178" s="80">
        <f>IF($A178="","",SUMIFS(tblInv[المتبقي],tblInv[كود العميل],$A178,tblInv[الفترة],C$7))</f>
        <v/>
      </c>
      <c r="D178" s="80">
        <f>IF($A178="","",SUMIFS(tblInv[المتبقي],tblInv[كود العميل],$A178,tblInv[الفترة],D$7))</f>
        <v/>
      </c>
      <c r="E178" s="80">
        <f>IF($A178="","",SUMIFS(tblInv[المتبقي],tblInv[كود العميل],$A178,tblInv[الفترة],E$7))</f>
        <v/>
      </c>
      <c r="F178" s="80">
        <f>IF($A178="","",SUMIFS(tblInv[المتبقي],tblInv[كود العميل],$A178,tblInv[الفترة],F$7))</f>
        <v/>
      </c>
      <c r="G178" s="80">
        <f>IF($A178="","",SUMIFS(tblInv[المتبقي],tblInv[كود العميل],$A178,tblInv[الفترة],G$7))</f>
        <v/>
      </c>
      <c r="H178" s="80">
        <f>IF($A178="","",SUMIFS(tblInv[المتبقي],tblInv[كود العميل],$A178,tblInv[الفترة],H$7))</f>
        <v/>
      </c>
      <c r="I178" s="80">
        <f>IF($A178="","",SUMIFS(tblInv[المتبقي],tblInv[كود العميل],$A178,tblInv[الفترة],I$7))</f>
        <v/>
      </c>
      <c r="J178" s="80">
        <f>IF($A178="","",SUM(C178:I178))</f>
        <v/>
      </c>
      <c r="K178" s="80">
        <f>IF($A178="","",-SUMIFS(tblRec[المبلغ],tblRec[كود العميل],$A178,tblRec[رقم الفاتورة],"",tblRec[التاريخ],"&lt;="&amp;AsOf)+SUMIFS(tblInv[المتبقي],tblInv[كود العميل],$A178,tblInv[المتبقي],"&lt;0"))</f>
        <v/>
      </c>
      <c r="L178" s="81">
        <f>IF($A178="","",J178+K178)</f>
        <v/>
      </c>
      <c r="M178" s="82">
        <f>IF($A178="","",IFERROR(L178/$L$8,0))</f>
        <v/>
      </c>
      <c r="N178" s="80">
        <f>IF($A178="","",INDEX(tblCustomers[حد الائتمان],MATCH($A178,tblCustomers[كود العميل],0)))</f>
        <v/>
      </c>
      <c r="O178" s="83">
        <f>IF($A178="","",IF(AND(N178&gt;0,L178&gt;N178),"⛔",""))</f>
        <v/>
      </c>
    </row>
    <row r="179">
      <c r="A179" s="78">
        <f>IFERROR(INDEX(tblCustomers[كود العميل],MATCH(170,tblCustomers[ترتيب],0)),"")</f>
        <v/>
      </c>
      <c r="B179" s="79">
        <f>IF($A179="","",INDEX(tblCustomers[اسم العميل],MATCH($A179,tblCustomers[كود العميل],0)))</f>
        <v/>
      </c>
      <c r="C179" s="80">
        <f>IF($A179="","",SUMIFS(tblInv[المتبقي],tblInv[كود العميل],$A179,tblInv[الفترة],C$7))</f>
        <v/>
      </c>
      <c r="D179" s="80">
        <f>IF($A179="","",SUMIFS(tblInv[المتبقي],tblInv[كود العميل],$A179,tblInv[الفترة],D$7))</f>
        <v/>
      </c>
      <c r="E179" s="80">
        <f>IF($A179="","",SUMIFS(tblInv[المتبقي],tblInv[كود العميل],$A179,tblInv[الفترة],E$7))</f>
        <v/>
      </c>
      <c r="F179" s="80">
        <f>IF($A179="","",SUMIFS(tblInv[المتبقي],tblInv[كود العميل],$A179,tblInv[الفترة],F$7))</f>
        <v/>
      </c>
      <c r="G179" s="80">
        <f>IF($A179="","",SUMIFS(tblInv[المتبقي],tblInv[كود العميل],$A179,tblInv[الفترة],G$7))</f>
        <v/>
      </c>
      <c r="H179" s="80">
        <f>IF($A179="","",SUMIFS(tblInv[المتبقي],tblInv[كود العميل],$A179,tblInv[الفترة],H$7))</f>
        <v/>
      </c>
      <c r="I179" s="80">
        <f>IF($A179="","",SUMIFS(tblInv[المتبقي],tblInv[كود العميل],$A179,tblInv[الفترة],I$7))</f>
        <v/>
      </c>
      <c r="J179" s="80">
        <f>IF($A179="","",SUM(C179:I179))</f>
        <v/>
      </c>
      <c r="K179" s="80">
        <f>IF($A179="","",-SUMIFS(tblRec[المبلغ],tblRec[كود العميل],$A179,tblRec[رقم الفاتورة],"",tblRec[التاريخ],"&lt;="&amp;AsOf)+SUMIFS(tblInv[المتبقي],tblInv[كود العميل],$A179,tblInv[المتبقي],"&lt;0"))</f>
        <v/>
      </c>
      <c r="L179" s="81">
        <f>IF($A179="","",J179+K179)</f>
        <v/>
      </c>
      <c r="M179" s="82">
        <f>IF($A179="","",IFERROR(L179/$L$8,0))</f>
        <v/>
      </c>
      <c r="N179" s="80">
        <f>IF($A179="","",INDEX(tblCustomers[حد الائتمان],MATCH($A179,tblCustomers[كود العميل],0)))</f>
        <v/>
      </c>
      <c r="O179" s="83">
        <f>IF($A179="","",IF(AND(N179&gt;0,L179&gt;N179),"⛔",""))</f>
        <v/>
      </c>
    </row>
    <row r="180">
      <c r="A180" s="78">
        <f>IFERROR(INDEX(tblCustomers[كود العميل],MATCH(171,tblCustomers[ترتيب],0)),"")</f>
        <v/>
      </c>
      <c r="B180" s="79">
        <f>IF($A180="","",INDEX(tblCustomers[اسم العميل],MATCH($A180,tblCustomers[كود العميل],0)))</f>
        <v/>
      </c>
      <c r="C180" s="80">
        <f>IF($A180="","",SUMIFS(tblInv[المتبقي],tblInv[كود العميل],$A180,tblInv[الفترة],C$7))</f>
        <v/>
      </c>
      <c r="D180" s="80">
        <f>IF($A180="","",SUMIFS(tblInv[المتبقي],tblInv[كود العميل],$A180,tblInv[الفترة],D$7))</f>
        <v/>
      </c>
      <c r="E180" s="80">
        <f>IF($A180="","",SUMIFS(tblInv[المتبقي],tblInv[كود العميل],$A180,tblInv[الفترة],E$7))</f>
        <v/>
      </c>
      <c r="F180" s="80">
        <f>IF($A180="","",SUMIFS(tblInv[المتبقي],tblInv[كود العميل],$A180,tblInv[الفترة],F$7))</f>
        <v/>
      </c>
      <c r="G180" s="80">
        <f>IF($A180="","",SUMIFS(tblInv[المتبقي],tblInv[كود العميل],$A180,tblInv[الفترة],G$7))</f>
        <v/>
      </c>
      <c r="H180" s="80">
        <f>IF($A180="","",SUMIFS(tblInv[المتبقي],tblInv[كود العميل],$A180,tblInv[الفترة],H$7))</f>
        <v/>
      </c>
      <c r="I180" s="80">
        <f>IF($A180="","",SUMIFS(tblInv[المتبقي],tblInv[كود العميل],$A180,tblInv[الفترة],I$7))</f>
        <v/>
      </c>
      <c r="J180" s="80">
        <f>IF($A180="","",SUM(C180:I180))</f>
        <v/>
      </c>
      <c r="K180" s="80">
        <f>IF($A180="","",-SUMIFS(tblRec[المبلغ],tblRec[كود العميل],$A180,tblRec[رقم الفاتورة],"",tblRec[التاريخ],"&lt;="&amp;AsOf)+SUMIFS(tblInv[المتبقي],tblInv[كود العميل],$A180,tblInv[المتبقي],"&lt;0"))</f>
        <v/>
      </c>
      <c r="L180" s="81">
        <f>IF($A180="","",J180+K180)</f>
        <v/>
      </c>
      <c r="M180" s="82">
        <f>IF($A180="","",IFERROR(L180/$L$8,0))</f>
        <v/>
      </c>
      <c r="N180" s="80">
        <f>IF($A180="","",INDEX(tblCustomers[حد الائتمان],MATCH($A180,tblCustomers[كود العميل],0)))</f>
        <v/>
      </c>
      <c r="O180" s="83">
        <f>IF($A180="","",IF(AND(N180&gt;0,L180&gt;N180),"⛔",""))</f>
        <v/>
      </c>
    </row>
    <row r="181">
      <c r="A181" s="78">
        <f>IFERROR(INDEX(tblCustomers[كود العميل],MATCH(172,tblCustomers[ترتيب],0)),"")</f>
        <v/>
      </c>
      <c r="B181" s="79">
        <f>IF($A181="","",INDEX(tblCustomers[اسم العميل],MATCH($A181,tblCustomers[كود العميل],0)))</f>
        <v/>
      </c>
      <c r="C181" s="80">
        <f>IF($A181="","",SUMIFS(tblInv[المتبقي],tblInv[كود العميل],$A181,tblInv[الفترة],C$7))</f>
        <v/>
      </c>
      <c r="D181" s="80">
        <f>IF($A181="","",SUMIFS(tblInv[المتبقي],tblInv[كود العميل],$A181,tblInv[الفترة],D$7))</f>
        <v/>
      </c>
      <c r="E181" s="80">
        <f>IF($A181="","",SUMIFS(tblInv[المتبقي],tblInv[كود العميل],$A181,tblInv[الفترة],E$7))</f>
        <v/>
      </c>
      <c r="F181" s="80">
        <f>IF($A181="","",SUMIFS(tblInv[المتبقي],tblInv[كود العميل],$A181,tblInv[الفترة],F$7))</f>
        <v/>
      </c>
      <c r="G181" s="80">
        <f>IF($A181="","",SUMIFS(tblInv[المتبقي],tblInv[كود العميل],$A181,tblInv[الفترة],G$7))</f>
        <v/>
      </c>
      <c r="H181" s="80">
        <f>IF($A181="","",SUMIFS(tblInv[المتبقي],tblInv[كود العميل],$A181,tblInv[الفترة],H$7))</f>
        <v/>
      </c>
      <c r="I181" s="80">
        <f>IF($A181="","",SUMIFS(tblInv[المتبقي],tblInv[كود العميل],$A181,tblInv[الفترة],I$7))</f>
        <v/>
      </c>
      <c r="J181" s="80">
        <f>IF($A181="","",SUM(C181:I181))</f>
        <v/>
      </c>
      <c r="K181" s="80">
        <f>IF($A181="","",-SUMIFS(tblRec[المبلغ],tblRec[كود العميل],$A181,tblRec[رقم الفاتورة],"",tblRec[التاريخ],"&lt;="&amp;AsOf)+SUMIFS(tblInv[المتبقي],tblInv[كود العميل],$A181,tblInv[المتبقي],"&lt;0"))</f>
        <v/>
      </c>
      <c r="L181" s="81">
        <f>IF($A181="","",J181+K181)</f>
        <v/>
      </c>
      <c r="M181" s="82">
        <f>IF($A181="","",IFERROR(L181/$L$8,0))</f>
        <v/>
      </c>
      <c r="N181" s="80">
        <f>IF($A181="","",INDEX(tblCustomers[حد الائتمان],MATCH($A181,tblCustomers[كود العميل],0)))</f>
        <v/>
      </c>
      <c r="O181" s="83">
        <f>IF($A181="","",IF(AND(N181&gt;0,L181&gt;N181),"⛔",""))</f>
        <v/>
      </c>
    </row>
    <row r="182">
      <c r="A182" s="78">
        <f>IFERROR(INDEX(tblCustomers[كود العميل],MATCH(173,tblCustomers[ترتيب],0)),"")</f>
        <v/>
      </c>
      <c r="B182" s="79">
        <f>IF($A182="","",INDEX(tblCustomers[اسم العميل],MATCH($A182,tblCustomers[كود العميل],0)))</f>
        <v/>
      </c>
      <c r="C182" s="80">
        <f>IF($A182="","",SUMIFS(tblInv[المتبقي],tblInv[كود العميل],$A182,tblInv[الفترة],C$7))</f>
        <v/>
      </c>
      <c r="D182" s="80">
        <f>IF($A182="","",SUMIFS(tblInv[المتبقي],tblInv[كود العميل],$A182,tblInv[الفترة],D$7))</f>
        <v/>
      </c>
      <c r="E182" s="80">
        <f>IF($A182="","",SUMIFS(tblInv[المتبقي],tblInv[كود العميل],$A182,tblInv[الفترة],E$7))</f>
        <v/>
      </c>
      <c r="F182" s="80">
        <f>IF($A182="","",SUMIFS(tblInv[المتبقي],tblInv[كود العميل],$A182,tblInv[الفترة],F$7))</f>
        <v/>
      </c>
      <c r="G182" s="80">
        <f>IF($A182="","",SUMIFS(tblInv[المتبقي],tblInv[كود العميل],$A182,tblInv[الفترة],G$7))</f>
        <v/>
      </c>
      <c r="H182" s="80">
        <f>IF($A182="","",SUMIFS(tblInv[المتبقي],tblInv[كود العميل],$A182,tblInv[الفترة],H$7))</f>
        <v/>
      </c>
      <c r="I182" s="80">
        <f>IF($A182="","",SUMIFS(tblInv[المتبقي],tblInv[كود العميل],$A182,tblInv[الفترة],I$7))</f>
        <v/>
      </c>
      <c r="J182" s="80">
        <f>IF($A182="","",SUM(C182:I182))</f>
        <v/>
      </c>
      <c r="K182" s="80">
        <f>IF($A182="","",-SUMIFS(tblRec[المبلغ],tblRec[كود العميل],$A182,tblRec[رقم الفاتورة],"",tblRec[التاريخ],"&lt;="&amp;AsOf)+SUMIFS(tblInv[المتبقي],tblInv[كود العميل],$A182,tblInv[المتبقي],"&lt;0"))</f>
        <v/>
      </c>
      <c r="L182" s="81">
        <f>IF($A182="","",J182+K182)</f>
        <v/>
      </c>
      <c r="M182" s="82">
        <f>IF($A182="","",IFERROR(L182/$L$8,0))</f>
        <v/>
      </c>
      <c r="N182" s="80">
        <f>IF($A182="","",INDEX(tblCustomers[حد الائتمان],MATCH($A182,tblCustomers[كود العميل],0)))</f>
        <v/>
      </c>
      <c r="O182" s="83">
        <f>IF($A182="","",IF(AND(N182&gt;0,L182&gt;N182),"⛔",""))</f>
        <v/>
      </c>
    </row>
    <row r="183">
      <c r="A183" s="78">
        <f>IFERROR(INDEX(tblCustomers[كود العميل],MATCH(174,tblCustomers[ترتيب],0)),"")</f>
        <v/>
      </c>
      <c r="B183" s="79">
        <f>IF($A183="","",INDEX(tblCustomers[اسم العميل],MATCH($A183,tblCustomers[كود العميل],0)))</f>
        <v/>
      </c>
      <c r="C183" s="80">
        <f>IF($A183="","",SUMIFS(tblInv[المتبقي],tblInv[كود العميل],$A183,tblInv[الفترة],C$7))</f>
        <v/>
      </c>
      <c r="D183" s="80">
        <f>IF($A183="","",SUMIFS(tblInv[المتبقي],tblInv[كود العميل],$A183,tblInv[الفترة],D$7))</f>
        <v/>
      </c>
      <c r="E183" s="80">
        <f>IF($A183="","",SUMIFS(tblInv[المتبقي],tblInv[كود العميل],$A183,tblInv[الفترة],E$7))</f>
        <v/>
      </c>
      <c r="F183" s="80">
        <f>IF($A183="","",SUMIFS(tblInv[المتبقي],tblInv[كود العميل],$A183,tblInv[الفترة],F$7))</f>
        <v/>
      </c>
      <c r="G183" s="80">
        <f>IF($A183="","",SUMIFS(tblInv[المتبقي],tblInv[كود العميل],$A183,tblInv[الفترة],G$7))</f>
        <v/>
      </c>
      <c r="H183" s="80">
        <f>IF($A183="","",SUMIFS(tblInv[المتبقي],tblInv[كود العميل],$A183,tblInv[الفترة],H$7))</f>
        <v/>
      </c>
      <c r="I183" s="80">
        <f>IF($A183="","",SUMIFS(tblInv[المتبقي],tblInv[كود العميل],$A183,tblInv[الفترة],I$7))</f>
        <v/>
      </c>
      <c r="J183" s="80">
        <f>IF($A183="","",SUM(C183:I183))</f>
        <v/>
      </c>
      <c r="K183" s="80">
        <f>IF($A183="","",-SUMIFS(tblRec[المبلغ],tblRec[كود العميل],$A183,tblRec[رقم الفاتورة],"",tblRec[التاريخ],"&lt;="&amp;AsOf)+SUMIFS(tblInv[المتبقي],tblInv[كود العميل],$A183,tblInv[المتبقي],"&lt;0"))</f>
        <v/>
      </c>
      <c r="L183" s="81">
        <f>IF($A183="","",J183+K183)</f>
        <v/>
      </c>
      <c r="M183" s="82">
        <f>IF($A183="","",IFERROR(L183/$L$8,0))</f>
        <v/>
      </c>
      <c r="N183" s="80">
        <f>IF($A183="","",INDEX(tblCustomers[حد الائتمان],MATCH($A183,tblCustomers[كود العميل],0)))</f>
        <v/>
      </c>
      <c r="O183" s="83">
        <f>IF($A183="","",IF(AND(N183&gt;0,L183&gt;N183),"⛔",""))</f>
        <v/>
      </c>
    </row>
    <row r="184">
      <c r="A184" s="78">
        <f>IFERROR(INDEX(tblCustomers[كود العميل],MATCH(175,tblCustomers[ترتيب],0)),"")</f>
        <v/>
      </c>
      <c r="B184" s="79">
        <f>IF($A184="","",INDEX(tblCustomers[اسم العميل],MATCH($A184,tblCustomers[كود العميل],0)))</f>
        <v/>
      </c>
      <c r="C184" s="80">
        <f>IF($A184="","",SUMIFS(tblInv[المتبقي],tblInv[كود العميل],$A184,tblInv[الفترة],C$7))</f>
        <v/>
      </c>
      <c r="D184" s="80">
        <f>IF($A184="","",SUMIFS(tblInv[المتبقي],tblInv[كود العميل],$A184,tblInv[الفترة],D$7))</f>
        <v/>
      </c>
      <c r="E184" s="80">
        <f>IF($A184="","",SUMIFS(tblInv[المتبقي],tblInv[كود العميل],$A184,tblInv[الفترة],E$7))</f>
        <v/>
      </c>
      <c r="F184" s="80">
        <f>IF($A184="","",SUMIFS(tblInv[المتبقي],tblInv[كود العميل],$A184,tblInv[الفترة],F$7))</f>
        <v/>
      </c>
      <c r="G184" s="80">
        <f>IF($A184="","",SUMIFS(tblInv[المتبقي],tblInv[كود العميل],$A184,tblInv[الفترة],G$7))</f>
        <v/>
      </c>
      <c r="H184" s="80">
        <f>IF($A184="","",SUMIFS(tblInv[المتبقي],tblInv[كود العميل],$A184,tblInv[الفترة],H$7))</f>
        <v/>
      </c>
      <c r="I184" s="80">
        <f>IF($A184="","",SUMIFS(tblInv[المتبقي],tblInv[كود العميل],$A184,tblInv[الفترة],I$7))</f>
        <v/>
      </c>
      <c r="J184" s="80">
        <f>IF($A184="","",SUM(C184:I184))</f>
        <v/>
      </c>
      <c r="K184" s="80">
        <f>IF($A184="","",-SUMIFS(tblRec[المبلغ],tblRec[كود العميل],$A184,tblRec[رقم الفاتورة],"",tblRec[التاريخ],"&lt;="&amp;AsOf)+SUMIFS(tblInv[المتبقي],tblInv[كود العميل],$A184,tblInv[المتبقي],"&lt;0"))</f>
        <v/>
      </c>
      <c r="L184" s="81">
        <f>IF($A184="","",J184+K184)</f>
        <v/>
      </c>
      <c r="M184" s="82">
        <f>IF($A184="","",IFERROR(L184/$L$8,0))</f>
        <v/>
      </c>
      <c r="N184" s="80">
        <f>IF($A184="","",INDEX(tblCustomers[حد الائتمان],MATCH($A184,tblCustomers[كود العميل],0)))</f>
        <v/>
      </c>
      <c r="O184" s="83">
        <f>IF($A184="","",IF(AND(N184&gt;0,L184&gt;N184),"⛔",""))</f>
        <v/>
      </c>
    </row>
    <row r="185">
      <c r="A185" s="78">
        <f>IFERROR(INDEX(tblCustomers[كود العميل],MATCH(176,tblCustomers[ترتيب],0)),"")</f>
        <v/>
      </c>
      <c r="B185" s="79">
        <f>IF($A185="","",INDEX(tblCustomers[اسم العميل],MATCH($A185,tblCustomers[كود العميل],0)))</f>
        <v/>
      </c>
      <c r="C185" s="80">
        <f>IF($A185="","",SUMIFS(tblInv[المتبقي],tblInv[كود العميل],$A185,tblInv[الفترة],C$7))</f>
        <v/>
      </c>
      <c r="D185" s="80">
        <f>IF($A185="","",SUMIFS(tblInv[المتبقي],tblInv[كود العميل],$A185,tblInv[الفترة],D$7))</f>
        <v/>
      </c>
      <c r="E185" s="80">
        <f>IF($A185="","",SUMIFS(tblInv[المتبقي],tblInv[كود العميل],$A185,tblInv[الفترة],E$7))</f>
        <v/>
      </c>
      <c r="F185" s="80">
        <f>IF($A185="","",SUMIFS(tblInv[المتبقي],tblInv[كود العميل],$A185,tblInv[الفترة],F$7))</f>
        <v/>
      </c>
      <c r="G185" s="80">
        <f>IF($A185="","",SUMIFS(tblInv[المتبقي],tblInv[كود العميل],$A185,tblInv[الفترة],G$7))</f>
        <v/>
      </c>
      <c r="H185" s="80">
        <f>IF($A185="","",SUMIFS(tblInv[المتبقي],tblInv[كود العميل],$A185,tblInv[الفترة],H$7))</f>
        <v/>
      </c>
      <c r="I185" s="80">
        <f>IF($A185="","",SUMIFS(tblInv[المتبقي],tblInv[كود العميل],$A185,tblInv[الفترة],I$7))</f>
        <v/>
      </c>
      <c r="J185" s="80">
        <f>IF($A185="","",SUM(C185:I185))</f>
        <v/>
      </c>
      <c r="K185" s="80">
        <f>IF($A185="","",-SUMIFS(tblRec[المبلغ],tblRec[كود العميل],$A185,tblRec[رقم الفاتورة],"",tblRec[التاريخ],"&lt;="&amp;AsOf)+SUMIFS(tblInv[المتبقي],tblInv[كود العميل],$A185,tblInv[المتبقي],"&lt;0"))</f>
        <v/>
      </c>
      <c r="L185" s="81">
        <f>IF($A185="","",J185+K185)</f>
        <v/>
      </c>
      <c r="M185" s="82">
        <f>IF($A185="","",IFERROR(L185/$L$8,0))</f>
        <v/>
      </c>
      <c r="N185" s="80">
        <f>IF($A185="","",INDEX(tblCustomers[حد الائتمان],MATCH($A185,tblCustomers[كود العميل],0)))</f>
        <v/>
      </c>
      <c r="O185" s="83">
        <f>IF($A185="","",IF(AND(N185&gt;0,L185&gt;N185),"⛔",""))</f>
        <v/>
      </c>
    </row>
    <row r="186">
      <c r="A186" s="78">
        <f>IFERROR(INDEX(tblCustomers[كود العميل],MATCH(177,tblCustomers[ترتيب],0)),"")</f>
        <v/>
      </c>
      <c r="B186" s="79">
        <f>IF($A186="","",INDEX(tblCustomers[اسم العميل],MATCH($A186,tblCustomers[كود العميل],0)))</f>
        <v/>
      </c>
      <c r="C186" s="80">
        <f>IF($A186="","",SUMIFS(tblInv[المتبقي],tblInv[كود العميل],$A186,tblInv[الفترة],C$7))</f>
        <v/>
      </c>
      <c r="D186" s="80">
        <f>IF($A186="","",SUMIFS(tblInv[المتبقي],tblInv[كود العميل],$A186,tblInv[الفترة],D$7))</f>
        <v/>
      </c>
      <c r="E186" s="80">
        <f>IF($A186="","",SUMIFS(tblInv[المتبقي],tblInv[كود العميل],$A186,tblInv[الفترة],E$7))</f>
        <v/>
      </c>
      <c r="F186" s="80">
        <f>IF($A186="","",SUMIFS(tblInv[المتبقي],tblInv[كود العميل],$A186,tblInv[الفترة],F$7))</f>
        <v/>
      </c>
      <c r="G186" s="80">
        <f>IF($A186="","",SUMIFS(tblInv[المتبقي],tblInv[كود العميل],$A186,tblInv[الفترة],G$7))</f>
        <v/>
      </c>
      <c r="H186" s="80">
        <f>IF($A186="","",SUMIFS(tblInv[المتبقي],tblInv[كود العميل],$A186,tblInv[الفترة],H$7))</f>
        <v/>
      </c>
      <c r="I186" s="80">
        <f>IF($A186="","",SUMIFS(tblInv[المتبقي],tblInv[كود العميل],$A186,tblInv[الفترة],I$7))</f>
        <v/>
      </c>
      <c r="J186" s="80">
        <f>IF($A186="","",SUM(C186:I186))</f>
        <v/>
      </c>
      <c r="K186" s="80">
        <f>IF($A186="","",-SUMIFS(tblRec[المبلغ],tblRec[كود العميل],$A186,tblRec[رقم الفاتورة],"",tblRec[التاريخ],"&lt;="&amp;AsOf)+SUMIFS(tblInv[المتبقي],tblInv[كود العميل],$A186,tblInv[المتبقي],"&lt;0"))</f>
        <v/>
      </c>
      <c r="L186" s="81">
        <f>IF($A186="","",J186+K186)</f>
        <v/>
      </c>
      <c r="M186" s="82">
        <f>IF($A186="","",IFERROR(L186/$L$8,0))</f>
        <v/>
      </c>
      <c r="N186" s="80">
        <f>IF($A186="","",INDEX(tblCustomers[حد الائتمان],MATCH($A186,tblCustomers[كود العميل],0)))</f>
        <v/>
      </c>
      <c r="O186" s="83">
        <f>IF($A186="","",IF(AND(N186&gt;0,L186&gt;N186),"⛔",""))</f>
        <v/>
      </c>
    </row>
    <row r="187">
      <c r="A187" s="78">
        <f>IFERROR(INDEX(tblCustomers[كود العميل],MATCH(178,tblCustomers[ترتيب],0)),"")</f>
        <v/>
      </c>
      <c r="B187" s="79">
        <f>IF($A187="","",INDEX(tblCustomers[اسم العميل],MATCH($A187,tblCustomers[كود العميل],0)))</f>
        <v/>
      </c>
      <c r="C187" s="80">
        <f>IF($A187="","",SUMIFS(tblInv[المتبقي],tblInv[كود العميل],$A187,tblInv[الفترة],C$7))</f>
        <v/>
      </c>
      <c r="D187" s="80">
        <f>IF($A187="","",SUMIFS(tblInv[المتبقي],tblInv[كود العميل],$A187,tblInv[الفترة],D$7))</f>
        <v/>
      </c>
      <c r="E187" s="80">
        <f>IF($A187="","",SUMIFS(tblInv[المتبقي],tblInv[كود العميل],$A187,tblInv[الفترة],E$7))</f>
        <v/>
      </c>
      <c r="F187" s="80">
        <f>IF($A187="","",SUMIFS(tblInv[المتبقي],tblInv[كود العميل],$A187,tblInv[الفترة],F$7))</f>
        <v/>
      </c>
      <c r="G187" s="80">
        <f>IF($A187="","",SUMIFS(tblInv[المتبقي],tblInv[كود العميل],$A187,tblInv[الفترة],G$7))</f>
        <v/>
      </c>
      <c r="H187" s="80">
        <f>IF($A187="","",SUMIFS(tblInv[المتبقي],tblInv[كود العميل],$A187,tblInv[الفترة],H$7))</f>
        <v/>
      </c>
      <c r="I187" s="80">
        <f>IF($A187="","",SUMIFS(tblInv[المتبقي],tblInv[كود العميل],$A187,tblInv[الفترة],I$7))</f>
        <v/>
      </c>
      <c r="J187" s="80">
        <f>IF($A187="","",SUM(C187:I187))</f>
        <v/>
      </c>
      <c r="K187" s="80">
        <f>IF($A187="","",-SUMIFS(tblRec[المبلغ],tblRec[كود العميل],$A187,tblRec[رقم الفاتورة],"",tblRec[التاريخ],"&lt;="&amp;AsOf)+SUMIFS(tblInv[المتبقي],tblInv[كود العميل],$A187,tblInv[المتبقي],"&lt;0"))</f>
        <v/>
      </c>
      <c r="L187" s="81">
        <f>IF($A187="","",J187+K187)</f>
        <v/>
      </c>
      <c r="M187" s="82">
        <f>IF($A187="","",IFERROR(L187/$L$8,0))</f>
        <v/>
      </c>
      <c r="N187" s="80">
        <f>IF($A187="","",INDEX(tblCustomers[حد الائتمان],MATCH($A187,tblCustomers[كود العميل],0)))</f>
        <v/>
      </c>
      <c r="O187" s="83">
        <f>IF($A187="","",IF(AND(N187&gt;0,L187&gt;N187),"⛔",""))</f>
        <v/>
      </c>
    </row>
    <row r="188">
      <c r="A188" s="78">
        <f>IFERROR(INDEX(tblCustomers[كود العميل],MATCH(179,tblCustomers[ترتيب],0)),"")</f>
        <v/>
      </c>
      <c r="B188" s="79">
        <f>IF($A188="","",INDEX(tblCustomers[اسم العميل],MATCH($A188,tblCustomers[كود العميل],0)))</f>
        <v/>
      </c>
      <c r="C188" s="80">
        <f>IF($A188="","",SUMIFS(tblInv[المتبقي],tblInv[كود العميل],$A188,tblInv[الفترة],C$7))</f>
        <v/>
      </c>
      <c r="D188" s="80">
        <f>IF($A188="","",SUMIFS(tblInv[المتبقي],tblInv[كود العميل],$A188,tblInv[الفترة],D$7))</f>
        <v/>
      </c>
      <c r="E188" s="80">
        <f>IF($A188="","",SUMIFS(tblInv[المتبقي],tblInv[كود العميل],$A188,tblInv[الفترة],E$7))</f>
        <v/>
      </c>
      <c r="F188" s="80">
        <f>IF($A188="","",SUMIFS(tblInv[المتبقي],tblInv[كود العميل],$A188,tblInv[الفترة],F$7))</f>
        <v/>
      </c>
      <c r="G188" s="80">
        <f>IF($A188="","",SUMIFS(tblInv[المتبقي],tblInv[كود العميل],$A188,tblInv[الفترة],G$7))</f>
        <v/>
      </c>
      <c r="H188" s="80">
        <f>IF($A188="","",SUMIFS(tblInv[المتبقي],tblInv[كود العميل],$A188,tblInv[الفترة],H$7))</f>
        <v/>
      </c>
      <c r="I188" s="80">
        <f>IF($A188="","",SUMIFS(tblInv[المتبقي],tblInv[كود العميل],$A188,tblInv[الفترة],I$7))</f>
        <v/>
      </c>
      <c r="J188" s="80">
        <f>IF($A188="","",SUM(C188:I188))</f>
        <v/>
      </c>
      <c r="K188" s="80">
        <f>IF($A188="","",-SUMIFS(tblRec[المبلغ],tblRec[كود العميل],$A188,tblRec[رقم الفاتورة],"",tblRec[التاريخ],"&lt;="&amp;AsOf)+SUMIFS(tblInv[المتبقي],tblInv[كود العميل],$A188,tblInv[المتبقي],"&lt;0"))</f>
        <v/>
      </c>
      <c r="L188" s="81">
        <f>IF($A188="","",J188+K188)</f>
        <v/>
      </c>
      <c r="M188" s="82">
        <f>IF($A188="","",IFERROR(L188/$L$8,0))</f>
        <v/>
      </c>
      <c r="N188" s="80">
        <f>IF($A188="","",INDEX(tblCustomers[حد الائتمان],MATCH($A188,tblCustomers[كود العميل],0)))</f>
        <v/>
      </c>
      <c r="O188" s="83">
        <f>IF($A188="","",IF(AND(N188&gt;0,L188&gt;N188),"⛔",""))</f>
        <v/>
      </c>
    </row>
    <row r="189">
      <c r="A189" s="78">
        <f>IFERROR(INDEX(tblCustomers[كود العميل],MATCH(180,tblCustomers[ترتيب],0)),"")</f>
        <v/>
      </c>
      <c r="B189" s="79">
        <f>IF($A189="","",INDEX(tblCustomers[اسم العميل],MATCH($A189,tblCustomers[كود العميل],0)))</f>
        <v/>
      </c>
      <c r="C189" s="80">
        <f>IF($A189="","",SUMIFS(tblInv[المتبقي],tblInv[كود العميل],$A189,tblInv[الفترة],C$7))</f>
        <v/>
      </c>
      <c r="D189" s="80">
        <f>IF($A189="","",SUMIFS(tblInv[المتبقي],tblInv[كود العميل],$A189,tblInv[الفترة],D$7))</f>
        <v/>
      </c>
      <c r="E189" s="80">
        <f>IF($A189="","",SUMIFS(tblInv[المتبقي],tblInv[كود العميل],$A189,tblInv[الفترة],E$7))</f>
        <v/>
      </c>
      <c r="F189" s="80">
        <f>IF($A189="","",SUMIFS(tblInv[المتبقي],tblInv[كود العميل],$A189,tblInv[الفترة],F$7))</f>
        <v/>
      </c>
      <c r="G189" s="80">
        <f>IF($A189="","",SUMIFS(tblInv[المتبقي],tblInv[كود العميل],$A189,tblInv[الفترة],G$7))</f>
        <v/>
      </c>
      <c r="H189" s="80">
        <f>IF($A189="","",SUMIFS(tblInv[المتبقي],tblInv[كود العميل],$A189,tblInv[الفترة],H$7))</f>
        <v/>
      </c>
      <c r="I189" s="80">
        <f>IF($A189="","",SUMIFS(tblInv[المتبقي],tblInv[كود العميل],$A189,tblInv[الفترة],I$7))</f>
        <v/>
      </c>
      <c r="J189" s="80">
        <f>IF($A189="","",SUM(C189:I189))</f>
        <v/>
      </c>
      <c r="K189" s="80">
        <f>IF($A189="","",-SUMIFS(tblRec[المبلغ],tblRec[كود العميل],$A189,tblRec[رقم الفاتورة],"",tblRec[التاريخ],"&lt;="&amp;AsOf)+SUMIFS(tblInv[المتبقي],tblInv[كود العميل],$A189,tblInv[المتبقي],"&lt;0"))</f>
        <v/>
      </c>
      <c r="L189" s="81">
        <f>IF($A189="","",J189+K189)</f>
        <v/>
      </c>
      <c r="M189" s="82">
        <f>IF($A189="","",IFERROR(L189/$L$8,0))</f>
        <v/>
      </c>
      <c r="N189" s="80">
        <f>IF($A189="","",INDEX(tblCustomers[حد الائتمان],MATCH($A189,tblCustomers[كود العميل],0)))</f>
        <v/>
      </c>
      <c r="O189" s="83">
        <f>IF($A189="","",IF(AND(N189&gt;0,L189&gt;N189),"⛔",""))</f>
        <v/>
      </c>
    </row>
    <row r="190">
      <c r="A190" s="78">
        <f>IFERROR(INDEX(tblCustomers[كود العميل],MATCH(181,tblCustomers[ترتيب],0)),"")</f>
        <v/>
      </c>
      <c r="B190" s="79">
        <f>IF($A190="","",INDEX(tblCustomers[اسم العميل],MATCH($A190,tblCustomers[كود العميل],0)))</f>
        <v/>
      </c>
      <c r="C190" s="80">
        <f>IF($A190="","",SUMIFS(tblInv[المتبقي],tblInv[كود العميل],$A190,tblInv[الفترة],C$7))</f>
        <v/>
      </c>
      <c r="D190" s="80">
        <f>IF($A190="","",SUMIFS(tblInv[المتبقي],tblInv[كود العميل],$A190,tblInv[الفترة],D$7))</f>
        <v/>
      </c>
      <c r="E190" s="80">
        <f>IF($A190="","",SUMIFS(tblInv[المتبقي],tblInv[كود العميل],$A190,tblInv[الفترة],E$7))</f>
        <v/>
      </c>
      <c r="F190" s="80">
        <f>IF($A190="","",SUMIFS(tblInv[المتبقي],tblInv[كود العميل],$A190,tblInv[الفترة],F$7))</f>
        <v/>
      </c>
      <c r="G190" s="80">
        <f>IF($A190="","",SUMIFS(tblInv[المتبقي],tblInv[كود العميل],$A190,tblInv[الفترة],G$7))</f>
        <v/>
      </c>
      <c r="H190" s="80">
        <f>IF($A190="","",SUMIFS(tblInv[المتبقي],tblInv[كود العميل],$A190,tblInv[الفترة],H$7))</f>
        <v/>
      </c>
      <c r="I190" s="80">
        <f>IF($A190="","",SUMIFS(tblInv[المتبقي],tblInv[كود العميل],$A190,tblInv[الفترة],I$7))</f>
        <v/>
      </c>
      <c r="J190" s="80">
        <f>IF($A190="","",SUM(C190:I190))</f>
        <v/>
      </c>
      <c r="K190" s="80">
        <f>IF($A190="","",-SUMIFS(tblRec[المبلغ],tblRec[كود العميل],$A190,tblRec[رقم الفاتورة],"",tblRec[التاريخ],"&lt;="&amp;AsOf)+SUMIFS(tblInv[المتبقي],tblInv[كود العميل],$A190,tblInv[المتبقي],"&lt;0"))</f>
        <v/>
      </c>
      <c r="L190" s="81">
        <f>IF($A190="","",J190+K190)</f>
        <v/>
      </c>
      <c r="M190" s="82">
        <f>IF($A190="","",IFERROR(L190/$L$8,0))</f>
        <v/>
      </c>
      <c r="N190" s="80">
        <f>IF($A190="","",INDEX(tblCustomers[حد الائتمان],MATCH($A190,tblCustomers[كود العميل],0)))</f>
        <v/>
      </c>
      <c r="O190" s="83">
        <f>IF($A190="","",IF(AND(N190&gt;0,L190&gt;N190),"⛔",""))</f>
        <v/>
      </c>
    </row>
    <row r="191">
      <c r="A191" s="78">
        <f>IFERROR(INDEX(tblCustomers[كود العميل],MATCH(182,tblCustomers[ترتيب],0)),"")</f>
        <v/>
      </c>
      <c r="B191" s="79">
        <f>IF($A191="","",INDEX(tblCustomers[اسم العميل],MATCH($A191,tblCustomers[كود العميل],0)))</f>
        <v/>
      </c>
      <c r="C191" s="80">
        <f>IF($A191="","",SUMIFS(tblInv[المتبقي],tblInv[كود العميل],$A191,tblInv[الفترة],C$7))</f>
        <v/>
      </c>
      <c r="D191" s="80">
        <f>IF($A191="","",SUMIFS(tblInv[المتبقي],tblInv[كود العميل],$A191,tblInv[الفترة],D$7))</f>
        <v/>
      </c>
      <c r="E191" s="80">
        <f>IF($A191="","",SUMIFS(tblInv[المتبقي],tblInv[كود العميل],$A191,tblInv[الفترة],E$7))</f>
        <v/>
      </c>
      <c r="F191" s="80">
        <f>IF($A191="","",SUMIFS(tblInv[المتبقي],tblInv[كود العميل],$A191,tblInv[الفترة],F$7))</f>
        <v/>
      </c>
      <c r="G191" s="80">
        <f>IF($A191="","",SUMIFS(tblInv[المتبقي],tblInv[كود العميل],$A191,tblInv[الفترة],G$7))</f>
        <v/>
      </c>
      <c r="H191" s="80">
        <f>IF($A191="","",SUMIFS(tblInv[المتبقي],tblInv[كود العميل],$A191,tblInv[الفترة],H$7))</f>
        <v/>
      </c>
      <c r="I191" s="80">
        <f>IF($A191="","",SUMIFS(tblInv[المتبقي],tblInv[كود العميل],$A191,tblInv[الفترة],I$7))</f>
        <v/>
      </c>
      <c r="J191" s="80">
        <f>IF($A191="","",SUM(C191:I191))</f>
        <v/>
      </c>
      <c r="K191" s="80">
        <f>IF($A191="","",-SUMIFS(tblRec[المبلغ],tblRec[كود العميل],$A191,tblRec[رقم الفاتورة],"",tblRec[التاريخ],"&lt;="&amp;AsOf)+SUMIFS(tblInv[المتبقي],tblInv[كود العميل],$A191,tblInv[المتبقي],"&lt;0"))</f>
        <v/>
      </c>
      <c r="L191" s="81">
        <f>IF($A191="","",J191+K191)</f>
        <v/>
      </c>
      <c r="M191" s="82">
        <f>IF($A191="","",IFERROR(L191/$L$8,0))</f>
        <v/>
      </c>
      <c r="N191" s="80">
        <f>IF($A191="","",INDEX(tblCustomers[حد الائتمان],MATCH($A191,tblCustomers[كود العميل],0)))</f>
        <v/>
      </c>
      <c r="O191" s="83">
        <f>IF($A191="","",IF(AND(N191&gt;0,L191&gt;N191),"⛔",""))</f>
        <v/>
      </c>
    </row>
    <row r="192">
      <c r="A192" s="78">
        <f>IFERROR(INDEX(tblCustomers[كود العميل],MATCH(183,tblCustomers[ترتيب],0)),"")</f>
        <v/>
      </c>
      <c r="B192" s="79">
        <f>IF($A192="","",INDEX(tblCustomers[اسم العميل],MATCH($A192,tblCustomers[كود العميل],0)))</f>
        <v/>
      </c>
      <c r="C192" s="80">
        <f>IF($A192="","",SUMIFS(tblInv[المتبقي],tblInv[كود العميل],$A192,tblInv[الفترة],C$7))</f>
        <v/>
      </c>
      <c r="D192" s="80">
        <f>IF($A192="","",SUMIFS(tblInv[المتبقي],tblInv[كود العميل],$A192,tblInv[الفترة],D$7))</f>
        <v/>
      </c>
      <c r="E192" s="80">
        <f>IF($A192="","",SUMIFS(tblInv[المتبقي],tblInv[كود العميل],$A192,tblInv[الفترة],E$7))</f>
        <v/>
      </c>
      <c r="F192" s="80">
        <f>IF($A192="","",SUMIFS(tblInv[المتبقي],tblInv[كود العميل],$A192,tblInv[الفترة],F$7))</f>
        <v/>
      </c>
      <c r="G192" s="80">
        <f>IF($A192="","",SUMIFS(tblInv[المتبقي],tblInv[كود العميل],$A192,tblInv[الفترة],G$7))</f>
        <v/>
      </c>
      <c r="H192" s="80">
        <f>IF($A192="","",SUMIFS(tblInv[المتبقي],tblInv[كود العميل],$A192,tblInv[الفترة],H$7))</f>
        <v/>
      </c>
      <c r="I192" s="80">
        <f>IF($A192="","",SUMIFS(tblInv[المتبقي],tblInv[كود العميل],$A192,tblInv[الفترة],I$7))</f>
        <v/>
      </c>
      <c r="J192" s="80">
        <f>IF($A192="","",SUM(C192:I192))</f>
        <v/>
      </c>
      <c r="K192" s="80">
        <f>IF($A192="","",-SUMIFS(tblRec[المبلغ],tblRec[كود العميل],$A192,tblRec[رقم الفاتورة],"",tblRec[التاريخ],"&lt;="&amp;AsOf)+SUMIFS(tblInv[المتبقي],tblInv[كود العميل],$A192,tblInv[المتبقي],"&lt;0"))</f>
        <v/>
      </c>
      <c r="L192" s="81">
        <f>IF($A192="","",J192+K192)</f>
        <v/>
      </c>
      <c r="M192" s="82">
        <f>IF($A192="","",IFERROR(L192/$L$8,0))</f>
        <v/>
      </c>
      <c r="N192" s="80">
        <f>IF($A192="","",INDEX(tblCustomers[حد الائتمان],MATCH($A192,tblCustomers[كود العميل],0)))</f>
        <v/>
      </c>
      <c r="O192" s="83">
        <f>IF($A192="","",IF(AND(N192&gt;0,L192&gt;N192),"⛔",""))</f>
        <v/>
      </c>
    </row>
    <row r="193">
      <c r="A193" s="78">
        <f>IFERROR(INDEX(tblCustomers[كود العميل],MATCH(184,tblCustomers[ترتيب],0)),"")</f>
        <v/>
      </c>
      <c r="B193" s="79">
        <f>IF($A193="","",INDEX(tblCustomers[اسم العميل],MATCH($A193,tblCustomers[كود العميل],0)))</f>
        <v/>
      </c>
      <c r="C193" s="80">
        <f>IF($A193="","",SUMIFS(tblInv[المتبقي],tblInv[كود العميل],$A193,tblInv[الفترة],C$7))</f>
        <v/>
      </c>
      <c r="D193" s="80">
        <f>IF($A193="","",SUMIFS(tblInv[المتبقي],tblInv[كود العميل],$A193,tblInv[الفترة],D$7))</f>
        <v/>
      </c>
      <c r="E193" s="80">
        <f>IF($A193="","",SUMIFS(tblInv[المتبقي],tblInv[كود العميل],$A193,tblInv[الفترة],E$7))</f>
        <v/>
      </c>
      <c r="F193" s="80">
        <f>IF($A193="","",SUMIFS(tblInv[المتبقي],tblInv[كود العميل],$A193,tblInv[الفترة],F$7))</f>
        <v/>
      </c>
      <c r="G193" s="80">
        <f>IF($A193="","",SUMIFS(tblInv[المتبقي],tblInv[كود العميل],$A193,tblInv[الفترة],G$7))</f>
        <v/>
      </c>
      <c r="H193" s="80">
        <f>IF($A193="","",SUMIFS(tblInv[المتبقي],tblInv[كود العميل],$A193,tblInv[الفترة],H$7))</f>
        <v/>
      </c>
      <c r="I193" s="80">
        <f>IF($A193="","",SUMIFS(tblInv[المتبقي],tblInv[كود العميل],$A193,tblInv[الفترة],I$7))</f>
        <v/>
      </c>
      <c r="J193" s="80">
        <f>IF($A193="","",SUM(C193:I193))</f>
        <v/>
      </c>
      <c r="K193" s="80">
        <f>IF($A193="","",-SUMIFS(tblRec[المبلغ],tblRec[كود العميل],$A193,tblRec[رقم الفاتورة],"",tblRec[التاريخ],"&lt;="&amp;AsOf)+SUMIFS(tblInv[المتبقي],tblInv[كود العميل],$A193,tblInv[المتبقي],"&lt;0"))</f>
        <v/>
      </c>
      <c r="L193" s="81">
        <f>IF($A193="","",J193+K193)</f>
        <v/>
      </c>
      <c r="M193" s="82">
        <f>IF($A193="","",IFERROR(L193/$L$8,0))</f>
        <v/>
      </c>
      <c r="N193" s="80">
        <f>IF($A193="","",INDEX(tblCustomers[حد الائتمان],MATCH($A193,tblCustomers[كود العميل],0)))</f>
        <v/>
      </c>
      <c r="O193" s="83">
        <f>IF($A193="","",IF(AND(N193&gt;0,L193&gt;N193),"⛔",""))</f>
        <v/>
      </c>
    </row>
    <row r="194">
      <c r="A194" s="78">
        <f>IFERROR(INDEX(tblCustomers[كود العميل],MATCH(185,tblCustomers[ترتيب],0)),"")</f>
        <v/>
      </c>
      <c r="B194" s="79">
        <f>IF($A194="","",INDEX(tblCustomers[اسم العميل],MATCH($A194,tblCustomers[كود العميل],0)))</f>
        <v/>
      </c>
      <c r="C194" s="80">
        <f>IF($A194="","",SUMIFS(tblInv[المتبقي],tblInv[كود العميل],$A194,tblInv[الفترة],C$7))</f>
        <v/>
      </c>
      <c r="D194" s="80">
        <f>IF($A194="","",SUMIFS(tblInv[المتبقي],tblInv[كود العميل],$A194,tblInv[الفترة],D$7))</f>
        <v/>
      </c>
      <c r="E194" s="80">
        <f>IF($A194="","",SUMIFS(tblInv[المتبقي],tblInv[كود العميل],$A194,tblInv[الفترة],E$7))</f>
        <v/>
      </c>
      <c r="F194" s="80">
        <f>IF($A194="","",SUMIFS(tblInv[المتبقي],tblInv[كود العميل],$A194,tblInv[الفترة],F$7))</f>
        <v/>
      </c>
      <c r="G194" s="80">
        <f>IF($A194="","",SUMIFS(tblInv[المتبقي],tblInv[كود العميل],$A194,tblInv[الفترة],G$7))</f>
        <v/>
      </c>
      <c r="H194" s="80">
        <f>IF($A194="","",SUMIFS(tblInv[المتبقي],tblInv[كود العميل],$A194,tblInv[الفترة],H$7))</f>
        <v/>
      </c>
      <c r="I194" s="80">
        <f>IF($A194="","",SUMIFS(tblInv[المتبقي],tblInv[كود العميل],$A194,tblInv[الفترة],I$7))</f>
        <v/>
      </c>
      <c r="J194" s="80">
        <f>IF($A194="","",SUM(C194:I194))</f>
        <v/>
      </c>
      <c r="K194" s="80">
        <f>IF($A194="","",-SUMIFS(tblRec[المبلغ],tblRec[كود العميل],$A194,tblRec[رقم الفاتورة],"",tblRec[التاريخ],"&lt;="&amp;AsOf)+SUMIFS(tblInv[المتبقي],tblInv[كود العميل],$A194,tblInv[المتبقي],"&lt;0"))</f>
        <v/>
      </c>
      <c r="L194" s="81">
        <f>IF($A194="","",J194+K194)</f>
        <v/>
      </c>
      <c r="M194" s="82">
        <f>IF($A194="","",IFERROR(L194/$L$8,0))</f>
        <v/>
      </c>
      <c r="N194" s="80">
        <f>IF($A194="","",INDEX(tblCustomers[حد الائتمان],MATCH($A194,tblCustomers[كود العميل],0)))</f>
        <v/>
      </c>
      <c r="O194" s="83">
        <f>IF($A194="","",IF(AND(N194&gt;0,L194&gt;N194),"⛔",""))</f>
        <v/>
      </c>
    </row>
    <row r="195">
      <c r="A195" s="78">
        <f>IFERROR(INDEX(tblCustomers[كود العميل],MATCH(186,tblCustomers[ترتيب],0)),"")</f>
        <v/>
      </c>
      <c r="B195" s="79">
        <f>IF($A195="","",INDEX(tblCustomers[اسم العميل],MATCH($A195,tblCustomers[كود العميل],0)))</f>
        <v/>
      </c>
      <c r="C195" s="80">
        <f>IF($A195="","",SUMIFS(tblInv[المتبقي],tblInv[كود العميل],$A195,tblInv[الفترة],C$7))</f>
        <v/>
      </c>
      <c r="D195" s="80">
        <f>IF($A195="","",SUMIFS(tblInv[المتبقي],tblInv[كود العميل],$A195,tblInv[الفترة],D$7))</f>
        <v/>
      </c>
      <c r="E195" s="80">
        <f>IF($A195="","",SUMIFS(tblInv[المتبقي],tblInv[كود العميل],$A195,tblInv[الفترة],E$7))</f>
        <v/>
      </c>
      <c r="F195" s="80">
        <f>IF($A195="","",SUMIFS(tblInv[المتبقي],tblInv[كود العميل],$A195,tblInv[الفترة],F$7))</f>
        <v/>
      </c>
      <c r="G195" s="80">
        <f>IF($A195="","",SUMIFS(tblInv[المتبقي],tblInv[كود العميل],$A195,tblInv[الفترة],G$7))</f>
        <v/>
      </c>
      <c r="H195" s="80">
        <f>IF($A195="","",SUMIFS(tblInv[المتبقي],tblInv[كود العميل],$A195,tblInv[الفترة],H$7))</f>
        <v/>
      </c>
      <c r="I195" s="80">
        <f>IF($A195="","",SUMIFS(tblInv[المتبقي],tblInv[كود العميل],$A195,tblInv[الفترة],I$7))</f>
        <v/>
      </c>
      <c r="J195" s="80">
        <f>IF($A195="","",SUM(C195:I195))</f>
        <v/>
      </c>
      <c r="K195" s="80">
        <f>IF($A195="","",-SUMIFS(tblRec[المبلغ],tblRec[كود العميل],$A195,tblRec[رقم الفاتورة],"",tblRec[التاريخ],"&lt;="&amp;AsOf)+SUMIFS(tblInv[المتبقي],tblInv[كود العميل],$A195,tblInv[المتبقي],"&lt;0"))</f>
        <v/>
      </c>
      <c r="L195" s="81">
        <f>IF($A195="","",J195+K195)</f>
        <v/>
      </c>
      <c r="M195" s="82">
        <f>IF($A195="","",IFERROR(L195/$L$8,0))</f>
        <v/>
      </c>
      <c r="N195" s="80">
        <f>IF($A195="","",INDEX(tblCustomers[حد الائتمان],MATCH($A195,tblCustomers[كود العميل],0)))</f>
        <v/>
      </c>
      <c r="O195" s="83">
        <f>IF($A195="","",IF(AND(N195&gt;0,L195&gt;N195),"⛔",""))</f>
        <v/>
      </c>
    </row>
    <row r="196">
      <c r="A196" s="78">
        <f>IFERROR(INDEX(tblCustomers[كود العميل],MATCH(187,tblCustomers[ترتيب],0)),"")</f>
        <v/>
      </c>
      <c r="B196" s="79">
        <f>IF($A196="","",INDEX(tblCustomers[اسم العميل],MATCH($A196,tblCustomers[كود العميل],0)))</f>
        <v/>
      </c>
      <c r="C196" s="80">
        <f>IF($A196="","",SUMIFS(tblInv[المتبقي],tblInv[كود العميل],$A196,tblInv[الفترة],C$7))</f>
        <v/>
      </c>
      <c r="D196" s="80">
        <f>IF($A196="","",SUMIFS(tblInv[المتبقي],tblInv[كود العميل],$A196,tblInv[الفترة],D$7))</f>
        <v/>
      </c>
      <c r="E196" s="80">
        <f>IF($A196="","",SUMIFS(tblInv[المتبقي],tblInv[كود العميل],$A196,tblInv[الفترة],E$7))</f>
        <v/>
      </c>
      <c r="F196" s="80">
        <f>IF($A196="","",SUMIFS(tblInv[المتبقي],tblInv[كود العميل],$A196,tblInv[الفترة],F$7))</f>
        <v/>
      </c>
      <c r="G196" s="80">
        <f>IF($A196="","",SUMIFS(tblInv[المتبقي],tblInv[كود العميل],$A196,tblInv[الفترة],G$7))</f>
        <v/>
      </c>
      <c r="H196" s="80">
        <f>IF($A196="","",SUMIFS(tblInv[المتبقي],tblInv[كود العميل],$A196,tblInv[الفترة],H$7))</f>
        <v/>
      </c>
      <c r="I196" s="80">
        <f>IF($A196="","",SUMIFS(tblInv[المتبقي],tblInv[كود العميل],$A196,tblInv[الفترة],I$7))</f>
        <v/>
      </c>
      <c r="J196" s="80">
        <f>IF($A196="","",SUM(C196:I196))</f>
        <v/>
      </c>
      <c r="K196" s="80">
        <f>IF($A196="","",-SUMIFS(tblRec[المبلغ],tblRec[كود العميل],$A196,tblRec[رقم الفاتورة],"",tblRec[التاريخ],"&lt;="&amp;AsOf)+SUMIFS(tblInv[المتبقي],tblInv[كود العميل],$A196,tblInv[المتبقي],"&lt;0"))</f>
        <v/>
      </c>
      <c r="L196" s="81">
        <f>IF($A196="","",J196+K196)</f>
        <v/>
      </c>
      <c r="M196" s="82">
        <f>IF($A196="","",IFERROR(L196/$L$8,0))</f>
        <v/>
      </c>
      <c r="N196" s="80">
        <f>IF($A196="","",INDEX(tblCustomers[حد الائتمان],MATCH($A196,tblCustomers[كود العميل],0)))</f>
        <v/>
      </c>
      <c r="O196" s="83">
        <f>IF($A196="","",IF(AND(N196&gt;0,L196&gt;N196),"⛔",""))</f>
        <v/>
      </c>
    </row>
    <row r="197">
      <c r="A197" s="78">
        <f>IFERROR(INDEX(tblCustomers[كود العميل],MATCH(188,tblCustomers[ترتيب],0)),"")</f>
        <v/>
      </c>
      <c r="B197" s="79">
        <f>IF($A197="","",INDEX(tblCustomers[اسم العميل],MATCH($A197,tblCustomers[كود العميل],0)))</f>
        <v/>
      </c>
      <c r="C197" s="80">
        <f>IF($A197="","",SUMIFS(tblInv[المتبقي],tblInv[كود العميل],$A197,tblInv[الفترة],C$7))</f>
        <v/>
      </c>
      <c r="D197" s="80">
        <f>IF($A197="","",SUMIFS(tblInv[المتبقي],tblInv[كود العميل],$A197,tblInv[الفترة],D$7))</f>
        <v/>
      </c>
      <c r="E197" s="80">
        <f>IF($A197="","",SUMIFS(tblInv[المتبقي],tblInv[كود العميل],$A197,tblInv[الفترة],E$7))</f>
        <v/>
      </c>
      <c r="F197" s="80">
        <f>IF($A197="","",SUMIFS(tblInv[المتبقي],tblInv[كود العميل],$A197,tblInv[الفترة],F$7))</f>
        <v/>
      </c>
      <c r="G197" s="80">
        <f>IF($A197="","",SUMIFS(tblInv[المتبقي],tblInv[كود العميل],$A197,tblInv[الفترة],G$7))</f>
        <v/>
      </c>
      <c r="H197" s="80">
        <f>IF($A197="","",SUMIFS(tblInv[المتبقي],tblInv[كود العميل],$A197,tblInv[الفترة],H$7))</f>
        <v/>
      </c>
      <c r="I197" s="80">
        <f>IF($A197="","",SUMIFS(tblInv[المتبقي],tblInv[كود العميل],$A197,tblInv[الفترة],I$7))</f>
        <v/>
      </c>
      <c r="J197" s="80">
        <f>IF($A197="","",SUM(C197:I197))</f>
        <v/>
      </c>
      <c r="K197" s="80">
        <f>IF($A197="","",-SUMIFS(tblRec[المبلغ],tblRec[كود العميل],$A197,tblRec[رقم الفاتورة],"",tblRec[التاريخ],"&lt;="&amp;AsOf)+SUMIFS(tblInv[المتبقي],tblInv[كود العميل],$A197,tblInv[المتبقي],"&lt;0"))</f>
        <v/>
      </c>
      <c r="L197" s="81">
        <f>IF($A197="","",J197+K197)</f>
        <v/>
      </c>
      <c r="M197" s="82">
        <f>IF($A197="","",IFERROR(L197/$L$8,0))</f>
        <v/>
      </c>
      <c r="N197" s="80">
        <f>IF($A197="","",INDEX(tblCustomers[حد الائتمان],MATCH($A197,tblCustomers[كود العميل],0)))</f>
        <v/>
      </c>
      <c r="O197" s="83">
        <f>IF($A197="","",IF(AND(N197&gt;0,L197&gt;N197),"⛔",""))</f>
        <v/>
      </c>
    </row>
    <row r="198">
      <c r="A198" s="78">
        <f>IFERROR(INDEX(tblCustomers[كود العميل],MATCH(189,tblCustomers[ترتيب],0)),"")</f>
        <v/>
      </c>
      <c r="B198" s="79">
        <f>IF($A198="","",INDEX(tblCustomers[اسم العميل],MATCH($A198,tblCustomers[كود العميل],0)))</f>
        <v/>
      </c>
      <c r="C198" s="80">
        <f>IF($A198="","",SUMIFS(tblInv[المتبقي],tblInv[كود العميل],$A198,tblInv[الفترة],C$7))</f>
        <v/>
      </c>
      <c r="D198" s="80">
        <f>IF($A198="","",SUMIFS(tblInv[المتبقي],tblInv[كود العميل],$A198,tblInv[الفترة],D$7))</f>
        <v/>
      </c>
      <c r="E198" s="80">
        <f>IF($A198="","",SUMIFS(tblInv[المتبقي],tblInv[كود العميل],$A198,tblInv[الفترة],E$7))</f>
        <v/>
      </c>
      <c r="F198" s="80">
        <f>IF($A198="","",SUMIFS(tblInv[المتبقي],tblInv[كود العميل],$A198,tblInv[الفترة],F$7))</f>
        <v/>
      </c>
      <c r="G198" s="80">
        <f>IF($A198="","",SUMIFS(tblInv[المتبقي],tblInv[كود العميل],$A198,tblInv[الفترة],G$7))</f>
        <v/>
      </c>
      <c r="H198" s="80">
        <f>IF($A198="","",SUMIFS(tblInv[المتبقي],tblInv[كود العميل],$A198,tblInv[الفترة],H$7))</f>
        <v/>
      </c>
      <c r="I198" s="80">
        <f>IF($A198="","",SUMIFS(tblInv[المتبقي],tblInv[كود العميل],$A198,tblInv[الفترة],I$7))</f>
        <v/>
      </c>
      <c r="J198" s="80">
        <f>IF($A198="","",SUM(C198:I198))</f>
        <v/>
      </c>
      <c r="K198" s="80">
        <f>IF($A198="","",-SUMIFS(tblRec[المبلغ],tblRec[كود العميل],$A198,tblRec[رقم الفاتورة],"",tblRec[التاريخ],"&lt;="&amp;AsOf)+SUMIFS(tblInv[المتبقي],tblInv[كود العميل],$A198,tblInv[المتبقي],"&lt;0"))</f>
        <v/>
      </c>
      <c r="L198" s="81">
        <f>IF($A198="","",J198+K198)</f>
        <v/>
      </c>
      <c r="M198" s="82">
        <f>IF($A198="","",IFERROR(L198/$L$8,0))</f>
        <v/>
      </c>
      <c r="N198" s="80">
        <f>IF($A198="","",INDEX(tblCustomers[حد الائتمان],MATCH($A198,tblCustomers[كود العميل],0)))</f>
        <v/>
      </c>
      <c r="O198" s="83">
        <f>IF($A198="","",IF(AND(N198&gt;0,L198&gt;N198),"⛔",""))</f>
        <v/>
      </c>
    </row>
    <row r="199">
      <c r="A199" s="78">
        <f>IFERROR(INDEX(tblCustomers[كود العميل],MATCH(190,tblCustomers[ترتيب],0)),"")</f>
        <v/>
      </c>
      <c r="B199" s="79">
        <f>IF($A199="","",INDEX(tblCustomers[اسم العميل],MATCH($A199,tblCustomers[كود العميل],0)))</f>
        <v/>
      </c>
      <c r="C199" s="80">
        <f>IF($A199="","",SUMIFS(tblInv[المتبقي],tblInv[كود العميل],$A199,tblInv[الفترة],C$7))</f>
        <v/>
      </c>
      <c r="D199" s="80">
        <f>IF($A199="","",SUMIFS(tblInv[المتبقي],tblInv[كود العميل],$A199,tblInv[الفترة],D$7))</f>
        <v/>
      </c>
      <c r="E199" s="80">
        <f>IF($A199="","",SUMIFS(tblInv[المتبقي],tblInv[كود العميل],$A199,tblInv[الفترة],E$7))</f>
        <v/>
      </c>
      <c r="F199" s="80">
        <f>IF($A199="","",SUMIFS(tblInv[المتبقي],tblInv[كود العميل],$A199,tblInv[الفترة],F$7))</f>
        <v/>
      </c>
      <c r="G199" s="80">
        <f>IF($A199="","",SUMIFS(tblInv[المتبقي],tblInv[كود العميل],$A199,tblInv[الفترة],G$7))</f>
        <v/>
      </c>
      <c r="H199" s="80">
        <f>IF($A199="","",SUMIFS(tblInv[المتبقي],tblInv[كود العميل],$A199,tblInv[الفترة],H$7))</f>
        <v/>
      </c>
      <c r="I199" s="80">
        <f>IF($A199="","",SUMIFS(tblInv[المتبقي],tblInv[كود العميل],$A199,tblInv[الفترة],I$7))</f>
        <v/>
      </c>
      <c r="J199" s="80">
        <f>IF($A199="","",SUM(C199:I199))</f>
        <v/>
      </c>
      <c r="K199" s="80">
        <f>IF($A199="","",-SUMIFS(tblRec[المبلغ],tblRec[كود العميل],$A199,tblRec[رقم الفاتورة],"",tblRec[التاريخ],"&lt;="&amp;AsOf)+SUMIFS(tblInv[المتبقي],tblInv[كود العميل],$A199,tblInv[المتبقي],"&lt;0"))</f>
        <v/>
      </c>
      <c r="L199" s="81">
        <f>IF($A199="","",J199+K199)</f>
        <v/>
      </c>
      <c r="M199" s="82">
        <f>IF($A199="","",IFERROR(L199/$L$8,0))</f>
        <v/>
      </c>
      <c r="N199" s="80">
        <f>IF($A199="","",INDEX(tblCustomers[حد الائتمان],MATCH($A199,tblCustomers[كود العميل],0)))</f>
        <v/>
      </c>
      <c r="O199" s="83">
        <f>IF($A199="","",IF(AND(N199&gt;0,L199&gt;N199),"⛔",""))</f>
        <v/>
      </c>
    </row>
    <row r="200">
      <c r="A200" s="78">
        <f>IFERROR(INDEX(tblCustomers[كود العميل],MATCH(191,tblCustomers[ترتيب],0)),"")</f>
        <v/>
      </c>
      <c r="B200" s="79">
        <f>IF($A200="","",INDEX(tblCustomers[اسم العميل],MATCH($A200,tblCustomers[كود العميل],0)))</f>
        <v/>
      </c>
      <c r="C200" s="80">
        <f>IF($A200="","",SUMIFS(tblInv[المتبقي],tblInv[كود العميل],$A200,tblInv[الفترة],C$7))</f>
        <v/>
      </c>
      <c r="D200" s="80">
        <f>IF($A200="","",SUMIFS(tblInv[المتبقي],tblInv[كود العميل],$A200,tblInv[الفترة],D$7))</f>
        <v/>
      </c>
      <c r="E200" s="80">
        <f>IF($A200="","",SUMIFS(tblInv[المتبقي],tblInv[كود العميل],$A200,tblInv[الفترة],E$7))</f>
        <v/>
      </c>
      <c r="F200" s="80">
        <f>IF($A200="","",SUMIFS(tblInv[المتبقي],tblInv[كود العميل],$A200,tblInv[الفترة],F$7))</f>
        <v/>
      </c>
      <c r="G200" s="80">
        <f>IF($A200="","",SUMIFS(tblInv[المتبقي],tblInv[كود العميل],$A200,tblInv[الفترة],G$7))</f>
        <v/>
      </c>
      <c r="H200" s="80">
        <f>IF($A200="","",SUMIFS(tblInv[المتبقي],tblInv[كود العميل],$A200,tblInv[الفترة],H$7))</f>
        <v/>
      </c>
      <c r="I200" s="80">
        <f>IF($A200="","",SUMIFS(tblInv[المتبقي],tblInv[كود العميل],$A200,tblInv[الفترة],I$7))</f>
        <v/>
      </c>
      <c r="J200" s="80">
        <f>IF($A200="","",SUM(C200:I200))</f>
        <v/>
      </c>
      <c r="K200" s="80">
        <f>IF($A200="","",-SUMIFS(tblRec[المبلغ],tblRec[كود العميل],$A200,tblRec[رقم الفاتورة],"",tblRec[التاريخ],"&lt;="&amp;AsOf)+SUMIFS(tblInv[المتبقي],tblInv[كود العميل],$A200,tblInv[المتبقي],"&lt;0"))</f>
        <v/>
      </c>
      <c r="L200" s="81">
        <f>IF($A200="","",J200+K200)</f>
        <v/>
      </c>
      <c r="M200" s="82">
        <f>IF($A200="","",IFERROR(L200/$L$8,0))</f>
        <v/>
      </c>
      <c r="N200" s="80">
        <f>IF($A200="","",INDEX(tblCustomers[حد الائتمان],MATCH($A200,tblCustomers[كود العميل],0)))</f>
        <v/>
      </c>
      <c r="O200" s="83">
        <f>IF($A200="","",IF(AND(N200&gt;0,L200&gt;N200),"⛔",""))</f>
        <v/>
      </c>
    </row>
    <row r="201">
      <c r="A201" s="78">
        <f>IFERROR(INDEX(tblCustomers[كود العميل],MATCH(192,tblCustomers[ترتيب],0)),"")</f>
        <v/>
      </c>
      <c r="B201" s="79">
        <f>IF($A201="","",INDEX(tblCustomers[اسم العميل],MATCH($A201,tblCustomers[كود العميل],0)))</f>
        <v/>
      </c>
      <c r="C201" s="80">
        <f>IF($A201="","",SUMIFS(tblInv[المتبقي],tblInv[كود العميل],$A201,tblInv[الفترة],C$7))</f>
        <v/>
      </c>
      <c r="D201" s="80">
        <f>IF($A201="","",SUMIFS(tblInv[المتبقي],tblInv[كود العميل],$A201,tblInv[الفترة],D$7))</f>
        <v/>
      </c>
      <c r="E201" s="80">
        <f>IF($A201="","",SUMIFS(tblInv[المتبقي],tblInv[كود العميل],$A201,tblInv[الفترة],E$7))</f>
        <v/>
      </c>
      <c r="F201" s="80">
        <f>IF($A201="","",SUMIFS(tblInv[المتبقي],tblInv[كود العميل],$A201,tblInv[الفترة],F$7))</f>
        <v/>
      </c>
      <c r="G201" s="80">
        <f>IF($A201="","",SUMIFS(tblInv[المتبقي],tblInv[كود العميل],$A201,tblInv[الفترة],G$7))</f>
        <v/>
      </c>
      <c r="H201" s="80">
        <f>IF($A201="","",SUMIFS(tblInv[المتبقي],tblInv[كود العميل],$A201,tblInv[الفترة],H$7))</f>
        <v/>
      </c>
      <c r="I201" s="80">
        <f>IF($A201="","",SUMIFS(tblInv[المتبقي],tblInv[كود العميل],$A201,tblInv[الفترة],I$7))</f>
        <v/>
      </c>
      <c r="J201" s="80">
        <f>IF($A201="","",SUM(C201:I201))</f>
        <v/>
      </c>
      <c r="K201" s="80">
        <f>IF($A201="","",-SUMIFS(tblRec[المبلغ],tblRec[كود العميل],$A201,tblRec[رقم الفاتورة],"",tblRec[التاريخ],"&lt;="&amp;AsOf)+SUMIFS(tblInv[المتبقي],tblInv[كود العميل],$A201,tblInv[المتبقي],"&lt;0"))</f>
        <v/>
      </c>
      <c r="L201" s="81">
        <f>IF($A201="","",J201+K201)</f>
        <v/>
      </c>
      <c r="M201" s="82">
        <f>IF($A201="","",IFERROR(L201/$L$8,0))</f>
        <v/>
      </c>
      <c r="N201" s="80">
        <f>IF($A201="","",INDEX(tblCustomers[حد الائتمان],MATCH($A201,tblCustomers[كود العميل],0)))</f>
        <v/>
      </c>
      <c r="O201" s="83">
        <f>IF($A201="","",IF(AND(N201&gt;0,L201&gt;N201),"⛔",""))</f>
        <v/>
      </c>
    </row>
    <row r="202">
      <c r="A202" s="78">
        <f>IFERROR(INDEX(tblCustomers[كود العميل],MATCH(193,tblCustomers[ترتيب],0)),"")</f>
        <v/>
      </c>
      <c r="B202" s="79">
        <f>IF($A202="","",INDEX(tblCustomers[اسم العميل],MATCH($A202,tblCustomers[كود العميل],0)))</f>
        <v/>
      </c>
      <c r="C202" s="80">
        <f>IF($A202="","",SUMIFS(tblInv[المتبقي],tblInv[كود العميل],$A202,tblInv[الفترة],C$7))</f>
        <v/>
      </c>
      <c r="D202" s="80">
        <f>IF($A202="","",SUMIFS(tblInv[المتبقي],tblInv[كود العميل],$A202,tblInv[الفترة],D$7))</f>
        <v/>
      </c>
      <c r="E202" s="80">
        <f>IF($A202="","",SUMIFS(tblInv[المتبقي],tblInv[كود العميل],$A202,tblInv[الفترة],E$7))</f>
        <v/>
      </c>
      <c r="F202" s="80">
        <f>IF($A202="","",SUMIFS(tblInv[المتبقي],tblInv[كود العميل],$A202,tblInv[الفترة],F$7))</f>
        <v/>
      </c>
      <c r="G202" s="80">
        <f>IF($A202="","",SUMIFS(tblInv[المتبقي],tblInv[كود العميل],$A202,tblInv[الفترة],G$7))</f>
        <v/>
      </c>
      <c r="H202" s="80">
        <f>IF($A202="","",SUMIFS(tblInv[المتبقي],tblInv[كود العميل],$A202,tblInv[الفترة],H$7))</f>
        <v/>
      </c>
      <c r="I202" s="80">
        <f>IF($A202="","",SUMIFS(tblInv[المتبقي],tblInv[كود العميل],$A202,tblInv[الفترة],I$7))</f>
        <v/>
      </c>
      <c r="J202" s="80">
        <f>IF($A202="","",SUM(C202:I202))</f>
        <v/>
      </c>
      <c r="K202" s="80">
        <f>IF($A202="","",-SUMIFS(tblRec[المبلغ],tblRec[كود العميل],$A202,tblRec[رقم الفاتورة],"",tblRec[التاريخ],"&lt;="&amp;AsOf)+SUMIFS(tblInv[المتبقي],tblInv[كود العميل],$A202,tblInv[المتبقي],"&lt;0"))</f>
        <v/>
      </c>
      <c r="L202" s="81">
        <f>IF($A202="","",J202+K202)</f>
        <v/>
      </c>
      <c r="M202" s="82">
        <f>IF($A202="","",IFERROR(L202/$L$8,0))</f>
        <v/>
      </c>
      <c r="N202" s="80">
        <f>IF($A202="","",INDEX(tblCustomers[حد الائتمان],MATCH($A202,tblCustomers[كود العميل],0)))</f>
        <v/>
      </c>
      <c r="O202" s="83">
        <f>IF($A202="","",IF(AND(N202&gt;0,L202&gt;N202),"⛔",""))</f>
        <v/>
      </c>
    </row>
    <row r="203">
      <c r="A203" s="78">
        <f>IFERROR(INDEX(tblCustomers[كود العميل],MATCH(194,tblCustomers[ترتيب],0)),"")</f>
        <v/>
      </c>
      <c r="B203" s="79">
        <f>IF($A203="","",INDEX(tblCustomers[اسم العميل],MATCH($A203,tblCustomers[كود العميل],0)))</f>
        <v/>
      </c>
      <c r="C203" s="80">
        <f>IF($A203="","",SUMIFS(tblInv[المتبقي],tblInv[كود العميل],$A203,tblInv[الفترة],C$7))</f>
        <v/>
      </c>
      <c r="D203" s="80">
        <f>IF($A203="","",SUMIFS(tblInv[المتبقي],tblInv[كود العميل],$A203,tblInv[الفترة],D$7))</f>
        <v/>
      </c>
      <c r="E203" s="80">
        <f>IF($A203="","",SUMIFS(tblInv[المتبقي],tblInv[كود العميل],$A203,tblInv[الفترة],E$7))</f>
        <v/>
      </c>
      <c r="F203" s="80">
        <f>IF($A203="","",SUMIFS(tblInv[المتبقي],tblInv[كود العميل],$A203,tblInv[الفترة],F$7))</f>
        <v/>
      </c>
      <c r="G203" s="80">
        <f>IF($A203="","",SUMIFS(tblInv[المتبقي],tblInv[كود العميل],$A203,tblInv[الفترة],G$7))</f>
        <v/>
      </c>
      <c r="H203" s="80">
        <f>IF($A203="","",SUMIFS(tblInv[المتبقي],tblInv[كود العميل],$A203,tblInv[الفترة],H$7))</f>
        <v/>
      </c>
      <c r="I203" s="80">
        <f>IF($A203="","",SUMIFS(tblInv[المتبقي],tblInv[كود العميل],$A203,tblInv[الفترة],I$7))</f>
        <v/>
      </c>
      <c r="J203" s="80">
        <f>IF($A203="","",SUM(C203:I203))</f>
        <v/>
      </c>
      <c r="K203" s="80">
        <f>IF($A203="","",-SUMIFS(tblRec[المبلغ],tblRec[كود العميل],$A203,tblRec[رقم الفاتورة],"",tblRec[التاريخ],"&lt;="&amp;AsOf)+SUMIFS(tblInv[المتبقي],tblInv[كود العميل],$A203,tblInv[المتبقي],"&lt;0"))</f>
        <v/>
      </c>
      <c r="L203" s="81">
        <f>IF($A203="","",J203+K203)</f>
        <v/>
      </c>
      <c r="M203" s="82">
        <f>IF($A203="","",IFERROR(L203/$L$8,0))</f>
        <v/>
      </c>
      <c r="N203" s="80">
        <f>IF($A203="","",INDEX(tblCustomers[حد الائتمان],MATCH($A203,tblCustomers[كود العميل],0)))</f>
        <v/>
      </c>
      <c r="O203" s="83">
        <f>IF($A203="","",IF(AND(N203&gt;0,L203&gt;N203),"⛔",""))</f>
        <v/>
      </c>
    </row>
    <row r="204">
      <c r="A204" s="78">
        <f>IFERROR(INDEX(tblCustomers[كود العميل],MATCH(195,tblCustomers[ترتيب],0)),"")</f>
        <v/>
      </c>
      <c r="B204" s="79">
        <f>IF($A204="","",INDEX(tblCustomers[اسم العميل],MATCH($A204,tblCustomers[كود العميل],0)))</f>
        <v/>
      </c>
      <c r="C204" s="80">
        <f>IF($A204="","",SUMIFS(tblInv[المتبقي],tblInv[كود العميل],$A204,tblInv[الفترة],C$7))</f>
        <v/>
      </c>
      <c r="D204" s="80">
        <f>IF($A204="","",SUMIFS(tblInv[المتبقي],tblInv[كود العميل],$A204,tblInv[الفترة],D$7))</f>
        <v/>
      </c>
      <c r="E204" s="80">
        <f>IF($A204="","",SUMIFS(tblInv[المتبقي],tblInv[كود العميل],$A204,tblInv[الفترة],E$7))</f>
        <v/>
      </c>
      <c r="F204" s="80">
        <f>IF($A204="","",SUMIFS(tblInv[المتبقي],tblInv[كود العميل],$A204,tblInv[الفترة],F$7))</f>
        <v/>
      </c>
      <c r="G204" s="80">
        <f>IF($A204="","",SUMIFS(tblInv[المتبقي],tblInv[كود العميل],$A204,tblInv[الفترة],G$7))</f>
        <v/>
      </c>
      <c r="H204" s="80">
        <f>IF($A204="","",SUMIFS(tblInv[المتبقي],tblInv[كود العميل],$A204,tblInv[الفترة],H$7))</f>
        <v/>
      </c>
      <c r="I204" s="80">
        <f>IF($A204="","",SUMIFS(tblInv[المتبقي],tblInv[كود العميل],$A204,tblInv[الفترة],I$7))</f>
        <v/>
      </c>
      <c r="J204" s="80">
        <f>IF($A204="","",SUM(C204:I204))</f>
        <v/>
      </c>
      <c r="K204" s="80">
        <f>IF($A204="","",-SUMIFS(tblRec[المبلغ],tblRec[كود العميل],$A204,tblRec[رقم الفاتورة],"",tblRec[التاريخ],"&lt;="&amp;AsOf)+SUMIFS(tblInv[المتبقي],tblInv[كود العميل],$A204,tblInv[المتبقي],"&lt;0"))</f>
        <v/>
      </c>
      <c r="L204" s="81">
        <f>IF($A204="","",J204+K204)</f>
        <v/>
      </c>
      <c r="M204" s="82">
        <f>IF($A204="","",IFERROR(L204/$L$8,0))</f>
        <v/>
      </c>
      <c r="N204" s="80">
        <f>IF($A204="","",INDEX(tblCustomers[حد الائتمان],MATCH($A204,tblCustomers[كود العميل],0)))</f>
        <v/>
      </c>
      <c r="O204" s="83">
        <f>IF($A204="","",IF(AND(N204&gt;0,L204&gt;N204),"⛔",""))</f>
        <v/>
      </c>
    </row>
    <row r="205">
      <c r="A205" s="78">
        <f>IFERROR(INDEX(tblCustomers[كود العميل],MATCH(196,tblCustomers[ترتيب],0)),"")</f>
        <v/>
      </c>
      <c r="B205" s="79">
        <f>IF($A205="","",INDEX(tblCustomers[اسم العميل],MATCH($A205,tblCustomers[كود العميل],0)))</f>
        <v/>
      </c>
      <c r="C205" s="80">
        <f>IF($A205="","",SUMIFS(tblInv[المتبقي],tblInv[كود العميل],$A205,tblInv[الفترة],C$7))</f>
        <v/>
      </c>
      <c r="D205" s="80">
        <f>IF($A205="","",SUMIFS(tblInv[المتبقي],tblInv[كود العميل],$A205,tblInv[الفترة],D$7))</f>
        <v/>
      </c>
      <c r="E205" s="80">
        <f>IF($A205="","",SUMIFS(tblInv[المتبقي],tblInv[كود العميل],$A205,tblInv[الفترة],E$7))</f>
        <v/>
      </c>
      <c r="F205" s="80">
        <f>IF($A205="","",SUMIFS(tblInv[المتبقي],tblInv[كود العميل],$A205,tblInv[الفترة],F$7))</f>
        <v/>
      </c>
      <c r="G205" s="80">
        <f>IF($A205="","",SUMIFS(tblInv[المتبقي],tblInv[كود العميل],$A205,tblInv[الفترة],G$7))</f>
        <v/>
      </c>
      <c r="H205" s="80">
        <f>IF($A205="","",SUMIFS(tblInv[المتبقي],tblInv[كود العميل],$A205,tblInv[الفترة],H$7))</f>
        <v/>
      </c>
      <c r="I205" s="80">
        <f>IF($A205="","",SUMIFS(tblInv[المتبقي],tblInv[كود العميل],$A205,tblInv[الفترة],I$7))</f>
        <v/>
      </c>
      <c r="J205" s="80">
        <f>IF($A205="","",SUM(C205:I205))</f>
        <v/>
      </c>
      <c r="K205" s="80">
        <f>IF($A205="","",-SUMIFS(tblRec[المبلغ],tblRec[كود العميل],$A205,tblRec[رقم الفاتورة],"",tblRec[التاريخ],"&lt;="&amp;AsOf)+SUMIFS(tblInv[المتبقي],tblInv[كود العميل],$A205,tblInv[المتبقي],"&lt;0"))</f>
        <v/>
      </c>
      <c r="L205" s="81">
        <f>IF($A205="","",J205+K205)</f>
        <v/>
      </c>
      <c r="M205" s="82">
        <f>IF($A205="","",IFERROR(L205/$L$8,0))</f>
        <v/>
      </c>
      <c r="N205" s="80">
        <f>IF($A205="","",INDEX(tblCustomers[حد الائتمان],MATCH($A205,tblCustomers[كود العميل],0)))</f>
        <v/>
      </c>
      <c r="O205" s="83">
        <f>IF($A205="","",IF(AND(N205&gt;0,L205&gt;N205),"⛔",""))</f>
        <v/>
      </c>
    </row>
    <row r="206">
      <c r="A206" s="78">
        <f>IFERROR(INDEX(tblCustomers[كود العميل],MATCH(197,tblCustomers[ترتيب],0)),"")</f>
        <v/>
      </c>
      <c r="B206" s="79">
        <f>IF($A206="","",INDEX(tblCustomers[اسم العميل],MATCH($A206,tblCustomers[كود العميل],0)))</f>
        <v/>
      </c>
      <c r="C206" s="80">
        <f>IF($A206="","",SUMIFS(tblInv[المتبقي],tblInv[كود العميل],$A206,tblInv[الفترة],C$7))</f>
        <v/>
      </c>
      <c r="D206" s="80">
        <f>IF($A206="","",SUMIFS(tblInv[المتبقي],tblInv[كود العميل],$A206,tblInv[الفترة],D$7))</f>
        <v/>
      </c>
      <c r="E206" s="80">
        <f>IF($A206="","",SUMIFS(tblInv[المتبقي],tblInv[كود العميل],$A206,tblInv[الفترة],E$7))</f>
        <v/>
      </c>
      <c r="F206" s="80">
        <f>IF($A206="","",SUMIFS(tblInv[المتبقي],tblInv[كود العميل],$A206,tblInv[الفترة],F$7))</f>
        <v/>
      </c>
      <c r="G206" s="80">
        <f>IF($A206="","",SUMIFS(tblInv[المتبقي],tblInv[كود العميل],$A206,tblInv[الفترة],G$7))</f>
        <v/>
      </c>
      <c r="H206" s="80">
        <f>IF($A206="","",SUMIFS(tblInv[المتبقي],tblInv[كود العميل],$A206,tblInv[الفترة],H$7))</f>
        <v/>
      </c>
      <c r="I206" s="80">
        <f>IF($A206="","",SUMIFS(tblInv[المتبقي],tblInv[كود العميل],$A206,tblInv[الفترة],I$7))</f>
        <v/>
      </c>
      <c r="J206" s="80">
        <f>IF($A206="","",SUM(C206:I206))</f>
        <v/>
      </c>
      <c r="K206" s="80">
        <f>IF($A206="","",-SUMIFS(tblRec[المبلغ],tblRec[كود العميل],$A206,tblRec[رقم الفاتورة],"",tblRec[التاريخ],"&lt;="&amp;AsOf)+SUMIFS(tblInv[المتبقي],tblInv[كود العميل],$A206,tblInv[المتبقي],"&lt;0"))</f>
        <v/>
      </c>
      <c r="L206" s="81">
        <f>IF($A206="","",J206+K206)</f>
        <v/>
      </c>
      <c r="M206" s="82">
        <f>IF($A206="","",IFERROR(L206/$L$8,0))</f>
        <v/>
      </c>
      <c r="N206" s="80">
        <f>IF($A206="","",INDEX(tblCustomers[حد الائتمان],MATCH($A206,tblCustomers[كود العميل],0)))</f>
        <v/>
      </c>
      <c r="O206" s="83">
        <f>IF($A206="","",IF(AND(N206&gt;0,L206&gt;N206),"⛔",""))</f>
        <v/>
      </c>
    </row>
    <row r="207">
      <c r="A207" s="78">
        <f>IFERROR(INDEX(tblCustomers[كود العميل],MATCH(198,tblCustomers[ترتيب],0)),"")</f>
        <v/>
      </c>
      <c r="B207" s="79">
        <f>IF($A207="","",INDEX(tblCustomers[اسم العميل],MATCH($A207,tblCustomers[كود العميل],0)))</f>
        <v/>
      </c>
      <c r="C207" s="80">
        <f>IF($A207="","",SUMIFS(tblInv[المتبقي],tblInv[كود العميل],$A207,tblInv[الفترة],C$7))</f>
        <v/>
      </c>
      <c r="D207" s="80">
        <f>IF($A207="","",SUMIFS(tblInv[المتبقي],tblInv[كود العميل],$A207,tblInv[الفترة],D$7))</f>
        <v/>
      </c>
      <c r="E207" s="80">
        <f>IF($A207="","",SUMIFS(tblInv[المتبقي],tblInv[كود العميل],$A207,tblInv[الفترة],E$7))</f>
        <v/>
      </c>
      <c r="F207" s="80">
        <f>IF($A207="","",SUMIFS(tblInv[المتبقي],tblInv[كود العميل],$A207,tblInv[الفترة],F$7))</f>
        <v/>
      </c>
      <c r="G207" s="80">
        <f>IF($A207="","",SUMIFS(tblInv[المتبقي],tblInv[كود العميل],$A207,tblInv[الفترة],G$7))</f>
        <v/>
      </c>
      <c r="H207" s="80">
        <f>IF($A207="","",SUMIFS(tblInv[المتبقي],tblInv[كود العميل],$A207,tblInv[الفترة],H$7))</f>
        <v/>
      </c>
      <c r="I207" s="80">
        <f>IF($A207="","",SUMIFS(tblInv[المتبقي],tblInv[كود العميل],$A207,tblInv[الفترة],I$7))</f>
        <v/>
      </c>
      <c r="J207" s="80">
        <f>IF($A207="","",SUM(C207:I207))</f>
        <v/>
      </c>
      <c r="K207" s="80">
        <f>IF($A207="","",-SUMIFS(tblRec[المبلغ],tblRec[كود العميل],$A207,tblRec[رقم الفاتورة],"",tblRec[التاريخ],"&lt;="&amp;AsOf)+SUMIFS(tblInv[المتبقي],tblInv[كود العميل],$A207,tblInv[المتبقي],"&lt;0"))</f>
        <v/>
      </c>
      <c r="L207" s="81">
        <f>IF($A207="","",J207+K207)</f>
        <v/>
      </c>
      <c r="M207" s="82">
        <f>IF($A207="","",IFERROR(L207/$L$8,0))</f>
        <v/>
      </c>
      <c r="N207" s="80">
        <f>IF($A207="","",INDEX(tblCustomers[حد الائتمان],MATCH($A207,tblCustomers[كود العميل],0)))</f>
        <v/>
      </c>
      <c r="O207" s="83">
        <f>IF($A207="","",IF(AND(N207&gt;0,L207&gt;N207),"⛔",""))</f>
        <v/>
      </c>
    </row>
    <row r="208">
      <c r="A208" s="78">
        <f>IFERROR(INDEX(tblCustomers[كود العميل],MATCH(199,tblCustomers[ترتيب],0)),"")</f>
        <v/>
      </c>
      <c r="B208" s="79">
        <f>IF($A208="","",INDEX(tblCustomers[اسم العميل],MATCH($A208,tblCustomers[كود العميل],0)))</f>
        <v/>
      </c>
      <c r="C208" s="80">
        <f>IF($A208="","",SUMIFS(tblInv[المتبقي],tblInv[كود العميل],$A208,tblInv[الفترة],C$7))</f>
        <v/>
      </c>
      <c r="D208" s="80">
        <f>IF($A208="","",SUMIFS(tblInv[المتبقي],tblInv[كود العميل],$A208,tblInv[الفترة],D$7))</f>
        <v/>
      </c>
      <c r="E208" s="80">
        <f>IF($A208="","",SUMIFS(tblInv[المتبقي],tblInv[كود العميل],$A208,tblInv[الفترة],E$7))</f>
        <v/>
      </c>
      <c r="F208" s="80">
        <f>IF($A208="","",SUMIFS(tblInv[المتبقي],tblInv[كود العميل],$A208,tblInv[الفترة],F$7))</f>
        <v/>
      </c>
      <c r="G208" s="80">
        <f>IF($A208="","",SUMIFS(tblInv[المتبقي],tblInv[كود العميل],$A208,tblInv[الفترة],G$7))</f>
        <v/>
      </c>
      <c r="H208" s="80">
        <f>IF($A208="","",SUMIFS(tblInv[المتبقي],tblInv[كود العميل],$A208,tblInv[الفترة],H$7))</f>
        <v/>
      </c>
      <c r="I208" s="80">
        <f>IF($A208="","",SUMIFS(tblInv[المتبقي],tblInv[كود العميل],$A208,tblInv[الفترة],I$7))</f>
        <v/>
      </c>
      <c r="J208" s="80">
        <f>IF($A208="","",SUM(C208:I208))</f>
        <v/>
      </c>
      <c r="K208" s="80">
        <f>IF($A208="","",-SUMIFS(tblRec[المبلغ],tblRec[كود العميل],$A208,tblRec[رقم الفاتورة],"",tblRec[التاريخ],"&lt;="&amp;AsOf)+SUMIFS(tblInv[المتبقي],tblInv[كود العميل],$A208,tblInv[المتبقي],"&lt;0"))</f>
        <v/>
      </c>
      <c r="L208" s="81">
        <f>IF($A208="","",J208+K208)</f>
        <v/>
      </c>
      <c r="M208" s="82">
        <f>IF($A208="","",IFERROR(L208/$L$8,0))</f>
        <v/>
      </c>
      <c r="N208" s="80">
        <f>IF($A208="","",INDEX(tblCustomers[حد الائتمان],MATCH($A208,tblCustomers[كود العميل],0)))</f>
        <v/>
      </c>
      <c r="O208" s="83">
        <f>IF($A208="","",IF(AND(N208&gt;0,L208&gt;N208),"⛔",""))</f>
        <v/>
      </c>
    </row>
    <row r="209">
      <c r="A209" s="78">
        <f>IFERROR(INDEX(tblCustomers[كود العميل],MATCH(200,tblCustomers[ترتيب],0)),"")</f>
        <v/>
      </c>
      <c r="B209" s="79">
        <f>IF($A209="","",INDEX(tblCustomers[اسم العميل],MATCH($A209,tblCustomers[كود العميل],0)))</f>
        <v/>
      </c>
      <c r="C209" s="80">
        <f>IF($A209="","",SUMIFS(tblInv[المتبقي],tblInv[كود العميل],$A209,tblInv[الفترة],C$7))</f>
        <v/>
      </c>
      <c r="D209" s="80">
        <f>IF($A209="","",SUMIFS(tblInv[المتبقي],tblInv[كود العميل],$A209,tblInv[الفترة],D$7))</f>
        <v/>
      </c>
      <c r="E209" s="80">
        <f>IF($A209="","",SUMIFS(tblInv[المتبقي],tblInv[كود العميل],$A209,tblInv[الفترة],E$7))</f>
        <v/>
      </c>
      <c r="F209" s="80">
        <f>IF($A209="","",SUMIFS(tblInv[المتبقي],tblInv[كود العميل],$A209,tblInv[الفترة],F$7))</f>
        <v/>
      </c>
      <c r="G209" s="80">
        <f>IF($A209="","",SUMIFS(tblInv[المتبقي],tblInv[كود العميل],$A209,tblInv[الفترة],G$7))</f>
        <v/>
      </c>
      <c r="H209" s="80">
        <f>IF($A209="","",SUMIFS(tblInv[المتبقي],tblInv[كود العميل],$A209,tblInv[الفترة],H$7))</f>
        <v/>
      </c>
      <c r="I209" s="80">
        <f>IF($A209="","",SUMIFS(tblInv[المتبقي],tblInv[كود العميل],$A209,tblInv[الفترة],I$7))</f>
        <v/>
      </c>
      <c r="J209" s="80">
        <f>IF($A209="","",SUM(C209:I209))</f>
        <v/>
      </c>
      <c r="K209" s="80">
        <f>IF($A209="","",-SUMIFS(tblRec[المبلغ],tblRec[كود العميل],$A209,tblRec[رقم الفاتورة],"",tblRec[التاريخ],"&lt;="&amp;AsOf)+SUMIFS(tblInv[المتبقي],tblInv[كود العميل],$A209,tblInv[المتبقي],"&lt;0"))</f>
        <v/>
      </c>
      <c r="L209" s="81">
        <f>IF($A209="","",J209+K209)</f>
        <v/>
      </c>
      <c r="M209" s="82">
        <f>IF($A209="","",IFERROR(L209/$L$8,0))</f>
        <v/>
      </c>
      <c r="N209" s="80">
        <f>IF($A209="","",INDEX(tblCustomers[حد الائتمان],MATCH($A209,tblCustomers[كود العميل],0)))</f>
        <v/>
      </c>
      <c r="O209" s="83">
        <f>IF($A209="","",IF(AND(N209&gt;0,L209&gt;N209),"⛔",""))</f>
        <v/>
      </c>
    </row>
    <row r="210">
      <c r="A210" s="78">
        <f>IFERROR(INDEX(tblCustomers[كود العميل],MATCH(201,tblCustomers[ترتيب],0)),"")</f>
        <v/>
      </c>
      <c r="B210" s="79">
        <f>IF($A210="","",INDEX(tblCustomers[اسم العميل],MATCH($A210,tblCustomers[كود العميل],0)))</f>
        <v/>
      </c>
      <c r="C210" s="80">
        <f>IF($A210="","",SUMIFS(tblInv[المتبقي],tblInv[كود العميل],$A210,tblInv[الفترة],C$7))</f>
        <v/>
      </c>
      <c r="D210" s="80">
        <f>IF($A210="","",SUMIFS(tblInv[المتبقي],tblInv[كود العميل],$A210,tblInv[الفترة],D$7))</f>
        <v/>
      </c>
      <c r="E210" s="80">
        <f>IF($A210="","",SUMIFS(tblInv[المتبقي],tblInv[كود العميل],$A210,tblInv[الفترة],E$7))</f>
        <v/>
      </c>
      <c r="F210" s="80">
        <f>IF($A210="","",SUMIFS(tblInv[المتبقي],tblInv[كود العميل],$A210,tblInv[الفترة],F$7))</f>
        <v/>
      </c>
      <c r="G210" s="80">
        <f>IF($A210="","",SUMIFS(tblInv[المتبقي],tblInv[كود العميل],$A210,tblInv[الفترة],G$7))</f>
        <v/>
      </c>
      <c r="H210" s="80">
        <f>IF($A210="","",SUMIFS(tblInv[المتبقي],tblInv[كود العميل],$A210,tblInv[الفترة],H$7))</f>
        <v/>
      </c>
      <c r="I210" s="80">
        <f>IF($A210="","",SUMIFS(tblInv[المتبقي],tblInv[كود العميل],$A210,tblInv[الفترة],I$7))</f>
        <v/>
      </c>
      <c r="J210" s="80">
        <f>IF($A210="","",SUM(C210:I210))</f>
        <v/>
      </c>
      <c r="K210" s="80">
        <f>IF($A210="","",-SUMIFS(tblRec[المبلغ],tblRec[كود العميل],$A210,tblRec[رقم الفاتورة],"",tblRec[التاريخ],"&lt;="&amp;AsOf)+SUMIFS(tblInv[المتبقي],tblInv[كود العميل],$A210,tblInv[المتبقي],"&lt;0"))</f>
        <v/>
      </c>
      <c r="L210" s="81">
        <f>IF($A210="","",J210+K210)</f>
        <v/>
      </c>
      <c r="M210" s="82">
        <f>IF($A210="","",IFERROR(L210/$L$8,0))</f>
        <v/>
      </c>
      <c r="N210" s="80">
        <f>IF($A210="","",INDEX(tblCustomers[حد الائتمان],MATCH($A210,tblCustomers[كود العميل],0)))</f>
        <v/>
      </c>
      <c r="O210" s="83">
        <f>IF($A210="","",IF(AND(N210&gt;0,L210&gt;N210),"⛔",""))</f>
        <v/>
      </c>
    </row>
    <row r="211">
      <c r="A211" s="78">
        <f>IFERROR(INDEX(tblCustomers[كود العميل],MATCH(202,tblCustomers[ترتيب],0)),"")</f>
        <v/>
      </c>
      <c r="B211" s="79">
        <f>IF($A211="","",INDEX(tblCustomers[اسم العميل],MATCH($A211,tblCustomers[كود العميل],0)))</f>
        <v/>
      </c>
      <c r="C211" s="80">
        <f>IF($A211="","",SUMIFS(tblInv[المتبقي],tblInv[كود العميل],$A211,tblInv[الفترة],C$7))</f>
        <v/>
      </c>
      <c r="D211" s="80">
        <f>IF($A211="","",SUMIFS(tblInv[المتبقي],tblInv[كود العميل],$A211,tblInv[الفترة],D$7))</f>
        <v/>
      </c>
      <c r="E211" s="80">
        <f>IF($A211="","",SUMIFS(tblInv[المتبقي],tblInv[كود العميل],$A211,tblInv[الفترة],E$7))</f>
        <v/>
      </c>
      <c r="F211" s="80">
        <f>IF($A211="","",SUMIFS(tblInv[المتبقي],tblInv[كود العميل],$A211,tblInv[الفترة],F$7))</f>
        <v/>
      </c>
      <c r="G211" s="80">
        <f>IF($A211="","",SUMIFS(tblInv[المتبقي],tblInv[كود العميل],$A211,tblInv[الفترة],G$7))</f>
        <v/>
      </c>
      <c r="H211" s="80">
        <f>IF($A211="","",SUMIFS(tblInv[المتبقي],tblInv[كود العميل],$A211,tblInv[الفترة],H$7))</f>
        <v/>
      </c>
      <c r="I211" s="80">
        <f>IF($A211="","",SUMIFS(tblInv[المتبقي],tblInv[كود العميل],$A211,tblInv[الفترة],I$7))</f>
        <v/>
      </c>
      <c r="J211" s="80">
        <f>IF($A211="","",SUM(C211:I211))</f>
        <v/>
      </c>
      <c r="K211" s="80">
        <f>IF($A211="","",-SUMIFS(tblRec[المبلغ],tblRec[كود العميل],$A211,tblRec[رقم الفاتورة],"",tblRec[التاريخ],"&lt;="&amp;AsOf)+SUMIFS(tblInv[المتبقي],tblInv[كود العميل],$A211,tblInv[المتبقي],"&lt;0"))</f>
        <v/>
      </c>
      <c r="L211" s="81">
        <f>IF($A211="","",J211+K211)</f>
        <v/>
      </c>
      <c r="M211" s="82">
        <f>IF($A211="","",IFERROR(L211/$L$8,0))</f>
        <v/>
      </c>
      <c r="N211" s="80">
        <f>IF($A211="","",INDEX(tblCustomers[حد الائتمان],MATCH($A211,tblCustomers[كود العميل],0)))</f>
        <v/>
      </c>
      <c r="O211" s="83">
        <f>IF($A211="","",IF(AND(N211&gt;0,L211&gt;N211),"⛔",""))</f>
        <v/>
      </c>
    </row>
    <row r="212">
      <c r="A212" s="78">
        <f>IFERROR(INDEX(tblCustomers[كود العميل],MATCH(203,tblCustomers[ترتيب],0)),"")</f>
        <v/>
      </c>
      <c r="B212" s="79">
        <f>IF($A212="","",INDEX(tblCustomers[اسم العميل],MATCH($A212,tblCustomers[كود العميل],0)))</f>
        <v/>
      </c>
      <c r="C212" s="80">
        <f>IF($A212="","",SUMIFS(tblInv[المتبقي],tblInv[كود العميل],$A212,tblInv[الفترة],C$7))</f>
        <v/>
      </c>
      <c r="D212" s="80">
        <f>IF($A212="","",SUMIFS(tblInv[المتبقي],tblInv[كود العميل],$A212,tblInv[الفترة],D$7))</f>
        <v/>
      </c>
      <c r="E212" s="80">
        <f>IF($A212="","",SUMIFS(tblInv[المتبقي],tblInv[كود العميل],$A212,tblInv[الفترة],E$7))</f>
        <v/>
      </c>
      <c r="F212" s="80">
        <f>IF($A212="","",SUMIFS(tblInv[المتبقي],tblInv[كود العميل],$A212,tblInv[الفترة],F$7))</f>
        <v/>
      </c>
      <c r="G212" s="80">
        <f>IF($A212="","",SUMIFS(tblInv[المتبقي],tblInv[كود العميل],$A212,tblInv[الفترة],G$7))</f>
        <v/>
      </c>
      <c r="H212" s="80">
        <f>IF($A212="","",SUMIFS(tblInv[المتبقي],tblInv[كود العميل],$A212,tblInv[الفترة],H$7))</f>
        <v/>
      </c>
      <c r="I212" s="80">
        <f>IF($A212="","",SUMIFS(tblInv[المتبقي],tblInv[كود العميل],$A212,tblInv[الفترة],I$7))</f>
        <v/>
      </c>
      <c r="J212" s="80">
        <f>IF($A212="","",SUM(C212:I212))</f>
        <v/>
      </c>
      <c r="K212" s="80">
        <f>IF($A212="","",-SUMIFS(tblRec[المبلغ],tblRec[كود العميل],$A212,tblRec[رقم الفاتورة],"",tblRec[التاريخ],"&lt;="&amp;AsOf)+SUMIFS(tblInv[المتبقي],tblInv[كود العميل],$A212,tblInv[المتبقي],"&lt;0"))</f>
        <v/>
      </c>
      <c r="L212" s="81">
        <f>IF($A212="","",J212+K212)</f>
        <v/>
      </c>
      <c r="M212" s="82">
        <f>IF($A212="","",IFERROR(L212/$L$8,0))</f>
        <v/>
      </c>
      <c r="N212" s="80">
        <f>IF($A212="","",INDEX(tblCustomers[حد الائتمان],MATCH($A212,tblCustomers[كود العميل],0)))</f>
        <v/>
      </c>
      <c r="O212" s="83">
        <f>IF($A212="","",IF(AND(N212&gt;0,L212&gt;N212),"⛔",""))</f>
        <v/>
      </c>
    </row>
    <row r="213">
      <c r="A213" s="78">
        <f>IFERROR(INDEX(tblCustomers[كود العميل],MATCH(204,tblCustomers[ترتيب],0)),"")</f>
        <v/>
      </c>
      <c r="B213" s="79">
        <f>IF($A213="","",INDEX(tblCustomers[اسم العميل],MATCH($A213,tblCustomers[كود العميل],0)))</f>
        <v/>
      </c>
      <c r="C213" s="80">
        <f>IF($A213="","",SUMIFS(tblInv[المتبقي],tblInv[كود العميل],$A213,tblInv[الفترة],C$7))</f>
        <v/>
      </c>
      <c r="D213" s="80">
        <f>IF($A213="","",SUMIFS(tblInv[المتبقي],tblInv[كود العميل],$A213,tblInv[الفترة],D$7))</f>
        <v/>
      </c>
      <c r="E213" s="80">
        <f>IF($A213="","",SUMIFS(tblInv[المتبقي],tblInv[كود العميل],$A213,tblInv[الفترة],E$7))</f>
        <v/>
      </c>
      <c r="F213" s="80">
        <f>IF($A213="","",SUMIFS(tblInv[المتبقي],tblInv[كود العميل],$A213,tblInv[الفترة],F$7))</f>
        <v/>
      </c>
      <c r="G213" s="80">
        <f>IF($A213="","",SUMIFS(tblInv[المتبقي],tblInv[كود العميل],$A213,tblInv[الفترة],G$7))</f>
        <v/>
      </c>
      <c r="H213" s="80">
        <f>IF($A213="","",SUMIFS(tblInv[المتبقي],tblInv[كود العميل],$A213,tblInv[الفترة],H$7))</f>
        <v/>
      </c>
      <c r="I213" s="80">
        <f>IF($A213="","",SUMIFS(tblInv[المتبقي],tblInv[كود العميل],$A213,tblInv[الفترة],I$7))</f>
        <v/>
      </c>
      <c r="J213" s="80">
        <f>IF($A213="","",SUM(C213:I213))</f>
        <v/>
      </c>
      <c r="K213" s="80">
        <f>IF($A213="","",-SUMIFS(tblRec[المبلغ],tblRec[كود العميل],$A213,tblRec[رقم الفاتورة],"",tblRec[التاريخ],"&lt;="&amp;AsOf)+SUMIFS(tblInv[المتبقي],tblInv[كود العميل],$A213,tblInv[المتبقي],"&lt;0"))</f>
        <v/>
      </c>
      <c r="L213" s="81">
        <f>IF($A213="","",J213+K213)</f>
        <v/>
      </c>
      <c r="M213" s="82">
        <f>IF($A213="","",IFERROR(L213/$L$8,0))</f>
        <v/>
      </c>
      <c r="N213" s="80">
        <f>IF($A213="","",INDEX(tblCustomers[حد الائتمان],MATCH($A213,tblCustomers[كود العميل],0)))</f>
        <v/>
      </c>
      <c r="O213" s="83">
        <f>IF($A213="","",IF(AND(N213&gt;0,L213&gt;N213),"⛔",""))</f>
        <v/>
      </c>
    </row>
    <row r="214">
      <c r="A214" s="78">
        <f>IFERROR(INDEX(tblCustomers[كود العميل],MATCH(205,tblCustomers[ترتيب],0)),"")</f>
        <v/>
      </c>
      <c r="B214" s="79">
        <f>IF($A214="","",INDEX(tblCustomers[اسم العميل],MATCH($A214,tblCustomers[كود العميل],0)))</f>
        <v/>
      </c>
      <c r="C214" s="80">
        <f>IF($A214="","",SUMIFS(tblInv[المتبقي],tblInv[كود العميل],$A214,tblInv[الفترة],C$7))</f>
        <v/>
      </c>
      <c r="D214" s="80">
        <f>IF($A214="","",SUMIFS(tblInv[المتبقي],tblInv[كود العميل],$A214,tblInv[الفترة],D$7))</f>
        <v/>
      </c>
      <c r="E214" s="80">
        <f>IF($A214="","",SUMIFS(tblInv[المتبقي],tblInv[كود العميل],$A214,tblInv[الفترة],E$7))</f>
        <v/>
      </c>
      <c r="F214" s="80">
        <f>IF($A214="","",SUMIFS(tblInv[المتبقي],tblInv[كود العميل],$A214,tblInv[الفترة],F$7))</f>
        <v/>
      </c>
      <c r="G214" s="80">
        <f>IF($A214="","",SUMIFS(tblInv[المتبقي],tblInv[كود العميل],$A214,tblInv[الفترة],G$7))</f>
        <v/>
      </c>
      <c r="H214" s="80">
        <f>IF($A214="","",SUMIFS(tblInv[المتبقي],tblInv[كود العميل],$A214,tblInv[الفترة],H$7))</f>
        <v/>
      </c>
      <c r="I214" s="80">
        <f>IF($A214="","",SUMIFS(tblInv[المتبقي],tblInv[كود العميل],$A214,tblInv[الفترة],I$7))</f>
        <v/>
      </c>
      <c r="J214" s="80">
        <f>IF($A214="","",SUM(C214:I214))</f>
        <v/>
      </c>
      <c r="K214" s="80">
        <f>IF($A214="","",-SUMIFS(tblRec[المبلغ],tblRec[كود العميل],$A214,tblRec[رقم الفاتورة],"",tblRec[التاريخ],"&lt;="&amp;AsOf)+SUMIFS(tblInv[المتبقي],tblInv[كود العميل],$A214,tblInv[المتبقي],"&lt;0"))</f>
        <v/>
      </c>
      <c r="L214" s="81">
        <f>IF($A214="","",J214+K214)</f>
        <v/>
      </c>
      <c r="M214" s="82">
        <f>IF($A214="","",IFERROR(L214/$L$8,0))</f>
        <v/>
      </c>
      <c r="N214" s="80">
        <f>IF($A214="","",INDEX(tblCustomers[حد الائتمان],MATCH($A214,tblCustomers[كود العميل],0)))</f>
        <v/>
      </c>
      <c r="O214" s="83">
        <f>IF($A214="","",IF(AND(N214&gt;0,L214&gt;N214),"⛔",""))</f>
        <v/>
      </c>
    </row>
    <row r="215">
      <c r="A215" s="78">
        <f>IFERROR(INDEX(tblCustomers[كود العميل],MATCH(206,tblCustomers[ترتيب],0)),"")</f>
        <v/>
      </c>
      <c r="B215" s="79">
        <f>IF($A215="","",INDEX(tblCustomers[اسم العميل],MATCH($A215,tblCustomers[كود العميل],0)))</f>
        <v/>
      </c>
      <c r="C215" s="80">
        <f>IF($A215="","",SUMIFS(tblInv[المتبقي],tblInv[كود العميل],$A215,tblInv[الفترة],C$7))</f>
        <v/>
      </c>
      <c r="D215" s="80">
        <f>IF($A215="","",SUMIFS(tblInv[المتبقي],tblInv[كود العميل],$A215,tblInv[الفترة],D$7))</f>
        <v/>
      </c>
      <c r="E215" s="80">
        <f>IF($A215="","",SUMIFS(tblInv[المتبقي],tblInv[كود العميل],$A215,tblInv[الفترة],E$7))</f>
        <v/>
      </c>
      <c r="F215" s="80">
        <f>IF($A215="","",SUMIFS(tblInv[المتبقي],tblInv[كود العميل],$A215,tblInv[الفترة],F$7))</f>
        <v/>
      </c>
      <c r="G215" s="80">
        <f>IF($A215="","",SUMIFS(tblInv[المتبقي],tblInv[كود العميل],$A215,tblInv[الفترة],G$7))</f>
        <v/>
      </c>
      <c r="H215" s="80">
        <f>IF($A215="","",SUMIFS(tblInv[المتبقي],tblInv[كود العميل],$A215,tblInv[الفترة],H$7))</f>
        <v/>
      </c>
      <c r="I215" s="80">
        <f>IF($A215="","",SUMIFS(tblInv[المتبقي],tblInv[كود العميل],$A215,tblInv[الفترة],I$7))</f>
        <v/>
      </c>
      <c r="J215" s="80">
        <f>IF($A215="","",SUM(C215:I215))</f>
        <v/>
      </c>
      <c r="K215" s="80">
        <f>IF($A215="","",-SUMIFS(tblRec[المبلغ],tblRec[كود العميل],$A215,tblRec[رقم الفاتورة],"",tblRec[التاريخ],"&lt;="&amp;AsOf)+SUMIFS(tblInv[المتبقي],tblInv[كود العميل],$A215,tblInv[المتبقي],"&lt;0"))</f>
        <v/>
      </c>
      <c r="L215" s="81">
        <f>IF($A215="","",J215+K215)</f>
        <v/>
      </c>
      <c r="M215" s="82">
        <f>IF($A215="","",IFERROR(L215/$L$8,0))</f>
        <v/>
      </c>
      <c r="N215" s="80">
        <f>IF($A215="","",INDEX(tblCustomers[حد الائتمان],MATCH($A215,tblCustomers[كود العميل],0)))</f>
        <v/>
      </c>
      <c r="O215" s="83">
        <f>IF($A215="","",IF(AND(N215&gt;0,L215&gt;N215),"⛔",""))</f>
        <v/>
      </c>
    </row>
    <row r="216">
      <c r="A216" s="78">
        <f>IFERROR(INDEX(tblCustomers[كود العميل],MATCH(207,tblCustomers[ترتيب],0)),"")</f>
        <v/>
      </c>
      <c r="B216" s="79">
        <f>IF($A216="","",INDEX(tblCustomers[اسم العميل],MATCH($A216,tblCustomers[كود العميل],0)))</f>
        <v/>
      </c>
      <c r="C216" s="80">
        <f>IF($A216="","",SUMIFS(tblInv[المتبقي],tblInv[كود العميل],$A216,tblInv[الفترة],C$7))</f>
        <v/>
      </c>
      <c r="D216" s="80">
        <f>IF($A216="","",SUMIFS(tblInv[المتبقي],tblInv[كود العميل],$A216,tblInv[الفترة],D$7))</f>
        <v/>
      </c>
      <c r="E216" s="80">
        <f>IF($A216="","",SUMIFS(tblInv[المتبقي],tblInv[كود العميل],$A216,tblInv[الفترة],E$7))</f>
        <v/>
      </c>
      <c r="F216" s="80">
        <f>IF($A216="","",SUMIFS(tblInv[المتبقي],tblInv[كود العميل],$A216,tblInv[الفترة],F$7))</f>
        <v/>
      </c>
      <c r="G216" s="80">
        <f>IF($A216="","",SUMIFS(tblInv[المتبقي],tblInv[كود العميل],$A216,tblInv[الفترة],G$7))</f>
        <v/>
      </c>
      <c r="H216" s="80">
        <f>IF($A216="","",SUMIFS(tblInv[المتبقي],tblInv[كود العميل],$A216,tblInv[الفترة],H$7))</f>
        <v/>
      </c>
      <c r="I216" s="80">
        <f>IF($A216="","",SUMIFS(tblInv[المتبقي],tblInv[كود العميل],$A216,tblInv[الفترة],I$7))</f>
        <v/>
      </c>
      <c r="J216" s="80">
        <f>IF($A216="","",SUM(C216:I216))</f>
        <v/>
      </c>
      <c r="K216" s="80">
        <f>IF($A216="","",-SUMIFS(tblRec[المبلغ],tblRec[كود العميل],$A216,tblRec[رقم الفاتورة],"",tblRec[التاريخ],"&lt;="&amp;AsOf)+SUMIFS(tblInv[المتبقي],tblInv[كود العميل],$A216,tblInv[المتبقي],"&lt;0"))</f>
        <v/>
      </c>
      <c r="L216" s="81">
        <f>IF($A216="","",J216+K216)</f>
        <v/>
      </c>
      <c r="M216" s="82">
        <f>IF($A216="","",IFERROR(L216/$L$8,0))</f>
        <v/>
      </c>
      <c r="N216" s="80">
        <f>IF($A216="","",INDEX(tblCustomers[حد الائتمان],MATCH($A216,tblCustomers[كود العميل],0)))</f>
        <v/>
      </c>
      <c r="O216" s="83">
        <f>IF($A216="","",IF(AND(N216&gt;0,L216&gt;N216),"⛔",""))</f>
        <v/>
      </c>
    </row>
    <row r="217">
      <c r="A217" s="78">
        <f>IFERROR(INDEX(tblCustomers[كود العميل],MATCH(208,tblCustomers[ترتيب],0)),"")</f>
        <v/>
      </c>
      <c r="B217" s="79">
        <f>IF($A217="","",INDEX(tblCustomers[اسم العميل],MATCH($A217,tblCustomers[كود العميل],0)))</f>
        <v/>
      </c>
      <c r="C217" s="80">
        <f>IF($A217="","",SUMIFS(tblInv[المتبقي],tblInv[كود العميل],$A217,tblInv[الفترة],C$7))</f>
        <v/>
      </c>
      <c r="D217" s="80">
        <f>IF($A217="","",SUMIFS(tblInv[المتبقي],tblInv[كود العميل],$A217,tblInv[الفترة],D$7))</f>
        <v/>
      </c>
      <c r="E217" s="80">
        <f>IF($A217="","",SUMIFS(tblInv[المتبقي],tblInv[كود العميل],$A217,tblInv[الفترة],E$7))</f>
        <v/>
      </c>
      <c r="F217" s="80">
        <f>IF($A217="","",SUMIFS(tblInv[المتبقي],tblInv[كود العميل],$A217,tblInv[الفترة],F$7))</f>
        <v/>
      </c>
      <c r="G217" s="80">
        <f>IF($A217="","",SUMIFS(tblInv[المتبقي],tblInv[كود العميل],$A217,tblInv[الفترة],G$7))</f>
        <v/>
      </c>
      <c r="H217" s="80">
        <f>IF($A217="","",SUMIFS(tblInv[المتبقي],tblInv[كود العميل],$A217,tblInv[الفترة],H$7))</f>
        <v/>
      </c>
      <c r="I217" s="80">
        <f>IF($A217="","",SUMIFS(tblInv[المتبقي],tblInv[كود العميل],$A217,tblInv[الفترة],I$7))</f>
        <v/>
      </c>
      <c r="J217" s="80">
        <f>IF($A217="","",SUM(C217:I217))</f>
        <v/>
      </c>
      <c r="K217" s="80">
        <f>IF($A217="","",-SUMIFS(tblRec[المبلغ],tblRec[كود العميل],$A217,tblRec[رقم الفاتورة],"",tblRec[التاريخ],"&lt;="&amp;AsOf)+SUMIFS(tblInv[المتبقي],tblInv[كود العميل],$A217,tblInv[المتبقي],"&lt;0"))</f>
        <v/>
      </c>
      <c r="L217" s="81">
        <f>IF($A217="","",J217+K217)</f>
        <v/>
      </c>
      <c r="M217" s="82">
        <f>IF($A217="","",IFERROR(L217/$L$8,0))</f>
        <v/>
      </c>
      <c r="N217" s="80">
        <f>IF($A217="","",INDEX(tblCustomers[حد الائتمان],MATCH($A217,tblCustomers[كود العميل],0)))</f>
        <v/>
      </c>
      <c r="O217" s="83">
        <f>IF($A217="","",IF(AND(N217&gt;0,L217&gt;N217),"⛔",""))</f>
        <v/>
      </c>
    </row>
    <row r="218">
      <c r="A218" s="78">
        <f>IFERROR(INDEX(tblCustomers[كود العميل],MATCH(209,tblCustomers[ترتيب],0)),"")</f>
        <v/>
      </c>
      <c r="B218" s="79">
        <f>IF($A218="","",INDEX(tblCustomers[اسم العميل],MATCH($A218,tblCustomers[كود العميل],0)))</f>
        <v/>
      </c>
      <c r="C218" s="80">
        <f>IF($A218="","",SUMIFS(tblInv[المتبقي],tblInv[كود العميل],$A218,tblInv[الفترة],C$7))</f>
        <v/>
      </c>
      <c r="D218" s="80">
        <f>IF($A218="","",SUMIFS(tblInv[المتبقي],tblInv[كود العميل],$A218,tblInv[الفترة],D$7))</f>
        <v/>
      </c>
      <c r="E218" s="80">
        <f>IF($A218="","",SUMIFS(tblInv[المتبقي],tblInv[كود العميل],$A218,tblInv[الفترة],E$7))</f>
        <v/>
      </c>
      <c r="F218" s="80">
        <f>IF($A218="","",SUMIFS(tblInv[المتبقي],tblInv[كود العميل],$A218,tblInv[الفترة],F$7))</f>
        <v/>
      </c>
      <c r="G218" s="80">
        <f>IF($A218="","",SUMIFS(tblInv[المتبقي],tblInv[كود العميل],$A218,tblInv[الفترة],G$7))</f>
        <v/>
      </c>
      <c r="H218" s="80">
        <f>IF($A218="","",SUMIFS(tblInv[المتبقي],tblInv[كود العميل],$A218,tblInv[الفترة],H$7))</f>
        <v/>
      </c>
      <c r="I218" s="80">
        <f>IF($A218="","",SUMIFS(tblInv[المتبقي],tblInv[كود العميل],$A218,tblInv[الفترة],I$7))</f>
        <v/>
      </c>
      <c r="J218" s="80">
        <f>IF($A218="","",SUM(C218:I218))</f>
        <v/>
      </c>
      <c r="K218" s="80">
        <f>IF($A218="","",-SUMIFS(tblRec[المبلغ],tblRec[كود العميل],$A218,tblRec[رقم الفاتورة],"",tblRec[التاريخ],"&lt;="&amp;AsOf)+SUMIFS(tblInv[المتبقي],tblInv[كود العميل],$A218,tblInv[المتبقي],"&lt;0"))</f>
        <v/>
      </c>
      <c r="L218" s="81">
        <f>IF($A218="","",J218+K218)</f>
        <v/>
      </c>
      <c r="M218" s="82">
        <f>IF($A218="","",IFERROR(L218/$L$8,0))</f>
        <v/>
      </c>
      <c r="N218" s="80">
        <f>IF($A218="","",INDEX(tblCustomers[حد الائتمان],MATCH($A218,tblCustomers[كود العميل],0)))</f>
        <v/>
      </c>
      <c r="O218" s="83">
        <f>IF($A218="","",IF(AND(N218&gt;0,L218&gt;N218),"⛔",""))</f>
        <v/>
      </c>
    </row>
    <row r="219">
      <c r="A219" s="78">
        <f>IFERROR(INDEX(tblCustomers[كود العميل],MATCH(210,tblCustomers[ترتيب],0)),"")</f>
        <v/>
      </c>
      <c r="B219" s="79">
        <f>IF($A219="","",INDEX(tblCustomers[اسم العميل],MATCH($A219,tblCustomers[كود العميل],0)))</f>
        <v/>
      </c>
      <c r="C219" s="80">
        <f>IF($A219="","",SUMIFS(tblInv[المتبقي],tblInv[كود العميل],$A219,tblInv[الفترة],C$7))</f>
        <v/>
      </c>
      <c r="D219" s="80">
        <f>IF($A219="","",SUMIFS(tblInv[المتبقي],tblInv[كود العميل],$A219,tblInv[الفترة],D$7))</f>
        <v/>
      </c>
      <c r="E219" s="80">
        <f>IF($A219="","",SUMIFS(tblInv[المتبقي],tblInv[كود العميل],$A219,tblInv[الفترة],E$7))</f>
        <v/>
      </c>
      <c r="F219" s="80">
        <f>IF($A219="","",SUMIFS(tblInv[المتبقي],tblInv[كود العميل],$A219,tblInv[الفترة],F$7))</f>
        <v/>
      </c>
      <c r="G219" s="80">
        <f>IF($A219="","",SUMIFS(tblInv[المتبقي],tblInv[كود العميل],$A219,tblInv[الفترة],G$7))</f>
        <v/>
      </c>
      <c r="H219" s="80">
        <f>IF($A219="","",SUMIFS(tblInv[المتبقي],tblInv[كود العميل],$A219,tblInv[الفترة],H$7))</f>
        <v/>
      </c>
      <c r="I219" s="80">
        <f>IF($A219="","",SUMIFS(tblInv[المتبقي],tblInv[كود العميل],$A219,tblInv[الفترة],I$7))</f>
        <v/>
      </c>
      <c r="J219" s="80">
        <f>IF($A219="","",SUM(C219:I219))</f>
        <v/>
      </c>
      <c r="K219" s="80">
        <f>IF($A219="","",-SUMIFS(tblRec[المبلغ],tblRec[كود العميل],$A219,tblRec[رقم الفاتورة],"",tblRec[التاريخ],"&lt;="&amp;AsOf)+SUMIFS(tblInv[المتبقي],tblInv[كود العميل],$A219,tblInv[المتبقي],"&lt;0"))</f>
        <v/>
      </c>
      <c r="L219" s="81">
        <f>IF($A219="","",J219+K219)</f>
        <v/>
      </c>
      <c r="M219" s="82">
        <f>IF($A219="","",IFERROR(L219/$L$8,0))</f>
        <v/>
      </c>
      <c r="N219" s="80">
        <f>IF($A219="","",INDEX(tblCustomers[حد الائتمان],MATCH($A219,tblCustomers[كود العميل],0)))</f>
        <v/>
      </c>
      <c r="O219" s="83">
        <f>IF($A219="","",IF(AND(N219&gt;0,L219&gt;N219),"⛔",""))</f>
        <v/>
      </c>
    </row>
    <row r="220">
      <c r="A220" s="78">
        <f>IFERROR(INDEX(tblCustomers[كود العميل],MATCH(211,tblCustomers[ترتيب],0)),"")</f>
        <v/>
      </c>
      <c r="B220" s="79">
        <f>IF($A220="","",INDEX(tblCustomers[اسم العميل],MATCH($A220,tblCustomers[كود العميل],0)))</f>
        <v/>
      </c>
      <c r="C220" s="80">
        <f>IF($A220="","",SUMIFS(tblInv[المتبقي],tblInv[كود العميل],$A220,tblInv[الفترة],C$7))</f>
        <v/>
      </c>
      <c r="D220" s="80">
        <f>IF($A220="","",SUMIFS(tblInv[المتبقي],tblInv[كود العميل],$A220,tblInv[الفترة],D$7))</f>
        <v/>
      </c>
      <c r="E220" s="80">
        <f>IF($A220="","",SUMIFS(tblInv[المتبقي],tblInv[كود العميل],$A220,tblInv[الفترة],E$7))</f>
        <v/>
      </c>
      <c r="F220" s="80">
        <f>IF($A220="","",SUMIFS(tblInv[المتبقي],tblInv[كود العميل],$A220,tblInv[الفترة],F$7))</f>
        <v/>
      </c>
      <c r="G220" s="80">
        <f>IF($A220="","",SUMIFS(tblInv[المتبقي],tblInv[كود العميل],$A220,tblInv[الفترة],G$7))</f>
        <v/>
      </c>
      <c r="H220" s="80">
        <f>IF($A220="","",SUMIFS(tblInv[المتبقي],tblInv[كود العميل],$A220,tblInv[الفترة],H$7))</f>
        <v/>
      </c>
      <c r="I220" s="80">
        <f>IF($A220="","",SUMIFS(tblInv[المتبقي],tblInv[كود العميل],$A220,tblInv[الفترة],I$7))</f>
        <v/>
      </c>
      <c r="J220" s="80">
        <f>IF($A220="","",SUM(C220:I220))</f>
        <v/>
      </c>
      <c r="K220" s="80">
        <f>IF($A220="","",-SUMIFS(tblRec[المبلغ],tblRec[كود العميل],$A220,tblRec[رقم الفاتورة],"",tblRec[التاريخ],"&lt;="&amp;AsOf)+SUMIFS(tblInv[المتبقي],tblInv[كود العميل],$A220,tblInv[المتبقي],"&lt;0"))</f>
        <v/>
      </c>
      <c r="L220" s="81">
        <f>IF($A220="","",J220+K220)</f>
        <v/>
      </c>
      <c r="M220" s="82">
        <f>IF($A220="","",IFERROR(L220/$L$8,0))</f>
        <v/>
      </c>
      <c r="N220" s="80">
        <f>IF($A220="","",INDEX(tblCustomers[حد الائتمان],MATCH($A220,tblCustomers[كود العميل],0)))</f>
        <v/>
      </c>
      <c r="O220" s="83">
        <f>IF($A220="","",IF(AND(N220&gt;0,L220&gt;N220),"⛔",""))</f>
        <v/>
      </c>
    </row>
    <row r="221">
      <c r="A221" s="78">
        <f>IFERROR(INDEX(tblCustomers[كود العميل],MATCH(212,tblCustomers[ترتيب],0)),"")</f>
        <v/>
      </c>
      <c r="B221" s="79">
        <f>IF($A221="","",INDEX(tblCustomers[اسم العميل],MATCH($A221,tblCustomers[كود العميل],0)))</f>
        <v/>
      </c>
      <c r="C221" s="80">
        <f>IF($A221="","",SUMIFS(tblInv[المتبقي],tblInv[كود العميل],$A221,tblInv[الفترة],C$7))</f>
        <v/>
      </c>
      <c r="D221" s="80">
        <f>IF($A221="","",SUMIFS(tblInv[المتبقي],tblInv[كود العميل],$A221,tblInv[الفترة],D$7))</f>
        <v/>
      </c>
      <c r="E221" s="80">
        <f>IF($A221="","",SUMIFS(tblInv[المتبقي],tblInv[كود العميل],$A221,tblInv[الفترة],E$7))</f>
        <v/>
      </c>
      <c r="F221" s="80">
        <f>IF($A221="","",SUMIFS(tblInv[المتبقي],tblInv[كود العميل],$A221,tblInv[الفترة],F$7))</f>
        <v/>
      </c>
      <c r="G221" s="80">
        <f>IF($A221="","",SUMIFS(tblInv[المتبقي],tblInv[كود العميل],$A221,tblInv[الفترة],G$7))</f>
        <v/>
      </c>
      <c r="H221" s="80">
        <f>IF($A221="","",SUMIFS(tblInv[المتبقي],tblInv[كود العميل],$A221,tblInv[الفترة],H$7))</f>
        <v/>
      </c>
      <c r="I221" s="80">
        <f>IF($A221="","",SUMIFS(tblInv[المتبقي],tblInv[كود العميل],$A221,tblInv[الفترة],I$7))</f>
        <v/>
      </c>
      <c r="J221" s="80">
        <f>IF($A221="","",SUM(C221:I221))</f>
        <v/>
      </c>
      <c r="K221" s="80">
        <f>IF($A221="","",-SUMIFS(tblRec[المبلغ],tblRec[كود العميل],$A221,tblRec[رقم الفاتورة],"",tblRec[التاريخ],"&lt;="&amp;AsOf)+SUMIFS(tblInv[المتبقي],tblInv[كود العميل],$A221,tblInv[المتبقي],"&lt;0"))</f>
        <v/>
      </c>
      <c r="L221" s="81">
        <f>IF($A221="","",J221+K221)</f>
        <v/>
      </c>
      <c r="M221" s="82">
        <f>IF($A221="","",IFERROR(L221/$L$8,0))</f>
        <v/>
      </c>
      <c r="N221" s="80">
        <f>IF($A221="","",INDEX(tblCustomers[حد الائتمان],MATCH($A221,tblCustomers[كود العميل],0)))</f>
        <v/>
      </c>
      <c r="O221" s="83">
        <f>IF($A221="","",IF(AND(N221&gt;0,L221&gt;N221),"⛔",""))</f>
        <v/>
      </c>
    </row>
    <row r="222">
      <c r="A222" s="78">
        <f>IFERROR(INDEX(tblCustomers[كود العميل],MATCH(213,tblCustomers[ترتيب],0)),"")</f>
        <v/>
      </c>
      <c r="B222" s="79">
        <f>IF($A222="","",INDEX(tblCustomers[اسم العميل],MATCH($A222,tblCustomers[كود العميل],0)))</f>
        <v/>
      </c>
      <c r="C222" s="80">
        <f>IF($A222="","",SUMIFS(tblInv[المتبقي],tblInv[كود العميل],$A222,tblInv[الفترة],C$7))</f>
        <v/>
      </c>
      <c r="D222" s="80">
        <f>IF($A222="","",SUMIFS(tblInv[المتبقي],tblInv[كود العميل],$A222,tblInv[الفترة],D$7))</f>
        <v/>
      </c>
      <c r="E222" s="80">
        <f>IF($A222="","",SUMIFS(tblInv[المتبقي],tblInv[كود العميل],$A222,tblInv[الفترة],E$7))</f>
        <v/>
      </c>
      <c r="F222" s="80">
        <f>IF($A222="","",SUMIFS(tblInv[المتبقي],tblInv[كود العميل],$A222,tblInv[الفترة],F$7))</f>
        <v/>
      </c>
      <c r="G222" s="80">
        <f>IF($A222="","",SUMIFS(tblInv[المتبقي],tblInv[كود العميل],$A222,tblInv[الفترة],G$7))</f>
        <v/>
      </c>
      <c r="H222" s="80">
        <f>IF($A222="","",SUMIFS(tblInv[المتبقي],tblInv[كود العميل],$A222,tblInv[الفترة],H$7))</f>
        <v/>
      </c>
      <c r="I222" s="80">
        <f>IF($A222="","",SUMIFS(tblInv[المتبقي],tblInv[كود العميل],$A222,tblInv[الفترة],I$7))</f>
        <v/>
      </c>
      <c r="J222" s="80">
        <f>IF($A222="","",SUM(C222:I222))</f>
        <v/>
      </c>
      <c r="K222" s="80">
        <f>IF($A222="","",-SUMIFS(tblRec[المبلغ],tblRec[كود العميل],$A222,tblRec[رقم الفاتورة],"",tblRec[التاريخ],"&lt;="&amp;AsOf)+SUMIFS(tblInv[المتبقي],tblInv[كود العميل],$A222,tblInv[المتبقي],"&lt;0"))</f>
        <v/>
      </c>
      <c r="L222" s="81">
        <f>IF($A222="","",J222+K222)</f>
        <v/>
      </c>
      <c r="M222" s="82">
        <f>IF($A222="","",IFERROR(L222/$L$8,0))</f>
        <v/>
      </c>
      <c r="N222" s="80">
        <f>IF($A222="","",INDEX(tblCustomers[حد الائتمان],MATCH($A222,tblCustomers[كود العميل],0)))</f>
        <v/>
      </c>
      <c r="O222" s="83">
        <f>IF($A222="","",IF(AND(N222&gt;0,L222&gt;N222),"⛔",""))</f>
        <v/>
      </c>
    </row>
    <row r="223">
      <c r="A223" s="78">
        <f>IFERROR(INDEX(tblCustomers[كود العميل],MATCH(214,tblCustomers[ترتيب],0)),"")</f>
        <v/>
      </c>
      <c r="B223" s="79">
        <f>IF($A223="","",INDEX(tblCustomers[اسم العميل],MATCH($A223,tblCustomers[كود العميل],0)))</f>
        <v/>
      </c>
      <c r="C223" s="80">
        <f>IF($A223="","",SUMIFS(tblInv[المتبقي],tblInv[كود العميل],$A223,tblInv[الفترة],C$7))</f>
        <v/>
      </c>
      <c r="D223" s="80">
        <f>IF($A223="","",SUMIFS(tblInv[المتبقي],tblInv[كود العميل],$A223,tblInv[الفترة],D$7))</f>
        <v/>
      </c>
      <c r="E223" s="80">
        <f>IF($A223="","",SUMIFS(tblInv[المتبقي],tblInv[كود العميل],$A223,tblInv[الفترة],E$7))</f>
        <v/>
      </c>
      <c r="F223" s="80">
        <f>IF($A223="","",SUMIFS(tblInv[المتبقي],tblInv[كود العميل],$A223,tblInv[الفترة],F$7))</f>
        <v/>
      </c>
      <c r="G223" s="80">
        <f>IF($A223="","",SUMIFS(tblInv[المتبقي],tblInv[كود العميل],$A223,tblInv[الفترة],G$7))</f>
        <v/>
      </c>
      <c r="H223" s="80">
        <f>IF($A223="","",SUMIFS(tblInv[المتبقي],tblInv[كود العميل],$A223,tblInv[الفترة],H$7))</f>
        <v/>
      </c>
      <c r="I223" s="80">
        <f>IF($A223="","",SUMIFS(tblInv[المتبقي],tblInv[كود العميل],$A223,tblInv[الفترة],I$7))</f>
        <v/>
      </c>
      <c r="J223" s="80">
        <f>IF($A223="","",SUM(C223:I223))</f>
        <v/>
      </c>
      <c r="K223" s="80">
        <f>IF($A223="","",-SUMIFS(tblRec[المبلغ],tblRec[كود العميل],$A223,tblRec[رقم الفاتورة],"",tblRec[التاريخ],"&lt;="&amp;AsOf)+SUMIFS(tblInv[المتبقي],tblInv[كود العميل],$A223,tblInv[المتبقي],"&lt;0"))</f>
        <v/>
      </c>
      <c r="L223" s="81">
        <f>IF($A223="","",J223+K223)</f>
        <v/>
      </c>
      <c r="M223" s="82">
        <f>IF($A223="","",IFERROR(L223/$L$8,0))</f>
        <v/>
      </c>
      <c r="N223" s="80">
        <f>IF($A223="","",INDEX(tblCustomers[حد الائتمان],MATCH($A223,tblCustomers[كود العميل],0)))</f>
        <v/>
      </c>
      <c r="O223" s="83">
        <f>IF($A223="","",IF(AND(N223&gt;0,L223&gt;N223),"⛔",""))</f>
        <v/>
      </c>
    </row>
    <row r="224">
      <c r="A224" s="78">
        <f>IFERROR(INDEX(tblCustomers[كود العميل],MATCH(215,tblCustomers[ترتيب],0)),"")</f>
        <v/>
      </c>
      <c r="B224" s="79">
        <f>IF($A224="","",INDEX(tblCustomers[اسم العميل],MATCH($A224,tblCustomers[كود العميل],0)))</f>
        <v/>
      </c>
      <c r="C224" s="80">
        <f>IF($A224="","",SUMIFS(tblInv[المتبقي],tblInv[كود العميل],$A224,tblInv[الفترة],C$7))</f>
        <v/>
      </c>
      <c r="D224" s="80">
        <f>IF($A224="","",SUMIFS(tblInv[المتبقي],tblInv[كود العميل],$A224,tblInv[الفترة],D$7))</f>
        <v/>
      </c>
      <c r="E224" s="80">
        <f>IF($A224="","",SUMIFS(tblInv[المتبقي],tblInv[كود العميل],$A224,tblInv[الفترة],E$7))</f>
        <v/>
      </c>
      <c r="F224" s="80">
        <f>IF($A224="","",SUMIFS(tblInv[المتبقي],tblInv[كود العميل],$A224,tblInv[الفترة],F$7))</f>
        <v/>
      </c>
      <c r="G224" s="80">
        <f>IF($A224="","",SUMIFS(tblInv[المتبقي],tblInv[كود العميل],$A224,tblInv[الفترة],G$7))</f>
        <v/>
      </c>
      <c r="H224" s="80">
        <f>IF($A224="","",SUMIFS(tblInv[المتبقي],tblInv[كود العميل],$A224,tblInv[الفترة],H$7))</f>
        <v/>
      </c>
      <c r="I224" s="80">
        <f>IF($A224="","",SUMIFS(tblInv[المتبقي],tblInv[كود العميل],$A224,tblInv[الفترة],I$7))</f>
        <v/>
      </c>
      <c r="J224" s="80">
        <f>IF($A224="","",SUM(C224:I224))</f>
        <v/>
      </c>
      <c r="K224" s="80">
        <f>IF($A224="","",-SUMIFS(tblRec[المبلغ],tblRec[كود العميل],$A224,tblRec[رقم الفاتورة],"",tblRec[التاريخ],"&lt;="&amp;AsOf)+SUMIFS(tblInv[المتبقي],tblInv[كود العميل],$A224,tblInv[المتبقي],"&lt;0"))</f>
        <v/>
      </c>
      <c r="L224" s="81">
        <f>IF($A224="","",J224+K224)</f>
        <v/>
      </c>
      <c r="M224" s="82">
        <f>IF($A224="","",IFERROR(L224/$L$8,0))</f>
        <v/>
      </c>
      <c r="N224" s="80">
        <f>IF($A224="","",INDEX(tblCustomers[حد الائتمان],MATCH($A224,tblCustomers[كود العميل],0)))</f>
        <v/>
      </c>
      <c r="O224" s="83">
        <f>IF($A224="","",IF(AND(N224&gt;0,L224&gt;N224),"⛔",""))</f>
        <v/>
      </c>
    </row>
    <row r="225">
      <c r="A225" s="78">
        <f>IFERROR(INDEX(tblCustomers[كود العميل],MATCH(216,tblCustomers[ترتيب],0)),"")</f>
        <v/>
      </c>
      <c r="B225" s="79">
        <f>IF($A225="","",INDEX(tblCustomers[اسم العميل],MATCH($A225,tblCustomers[كود العميل],0)))</f>
        <v/>
      </c>
      <c r="C225" s="80">
        <f>IF($A225="","",SUMIFS(tblInv[المتبقي],tblInv[كود العميل],$A225,tblInv[الفترة],C$7))</f>
        <v/>
      </c>
      <c r="D225" s="80">
        <f>IF($A225="","",SUMIFS(tblInv[المتبقي],tblInv[كود العميل],$A225,tblInv[الفترة],D$7))</f>
        <v/>
      </c>
      <c r="E225" s="80">
        <f>IF($A225="","",SUMIFS(tblInv[المتبقي],tblInv[كود العميل],$A225,tblInv[الفترة],E$7))</f>
        <v/>
      </c>
      <c r="F225" s="80">
        <f>IF($A225="","",SUMIFS(tblInv[المتبقي],tblInv[كود العميل],$A225,tblInv[الفترة],F$7))</f>
        <v/>
      </c>
      <c r="G225" s="80">
        <f>IF($A225="","",SUMIFS(tblInv[المتبقي],tblInv[كود العميل],$A225,tblInv[الفترة],G$7))</f>
        <v/>
      </c>
      <c r="H225" s="80">
        <f>IF($A225="","",SUMIFS(tblInv[المتبقي],tblInv[كود العميل],$A225,tblInv[الفترة],H$7))</f>
        <v/>
      </c>
      <c r="I225" s="80">
        <f>IF($A225="","",SUMIFS(tblInv[المتبقي],tblInv[كود العميل],$A225,tblInv[الفترة],I$7))</f>
        <v/>
      </c>
      <c r="J225" s="80">
        <f>IF($A225="","",SUM(C225:I225))</f>
        <v/>
      </c>
      <c r="K225" s="80">
        <f>IF($A225="","",-SUMIFS(tblRec[المبلغ],tblRec[كود العميل],$A225,tblRec[رقم الفاتورة],"",tblRec[التاريخ],"&lt;="&amp;AsOf)+SUMIFS(tblInv[المتبقي],tblInv[كود العميل],$A225,tblInv[المتبقي],"&lt;0"))</f>
        <v/>
      </c>
      <c r="L225" s="81">
        <f>IF($A225="","",J225+K225)</f>
        <v/>
      </c>
      <c r="M225" s="82">
        <f>IF($A225="","",IFERROR(L225/$L$8,0))</f>
        <v/>
      </c>
      <c r="N225" s="80">
        <f>IF($A225="","",INDEX(tblCustomers[حد الائتمان],MATCH($A225,tblCustomers[كود العميل],0)))</f>
        <v/>
      </c>
      <c r="O225" s="83">
        <f>IF($A225="","",IF(AND(N225&gt;0,L225&gt;N225),"⛔",""))</f>
        <v/>
      </c>
    </row>
    <row r="226">
      <c r="A226" s="78">
        <f>IFERROR(INDEX(tblCustomers[كود العميل],MATCH(217,tblCustomers[ترتيب],0)),"")</f>
        <v/>
      </c>
      <c r="B226" s="79">
        <f>IF($A226="","",INDEX(tblCustomers[اسم العميل],MATCH($A226,tblCustomers[كود العميل],0)))</f>
        <v/>
      </c>
      <c r="C226" s="80">
        <f>IF($A226="","",SUMIFS(tblInv[المتبقي],tblInv[كود العميل],$A226,tblInv[الفترة],C$7))</f>
        <v/>
      </c>
      <c r="D226" s="80">
        <f>IF($A226="","",SUMIFS(tblInv[المتبقي],tblInv[كود العميل],$A226,tblInv[الفترة],D$7))</f>
        <v/>
      </c>
      <c r="E226" s="80">
        <f>IF($A226="","",SUMIFS(tblInv[المتبقي],tblInv[كود العميل],$A226,tblInv[الفترة],E$7))</f>
        <v/>
      </c>
      <c r="F226" s="80">
        <f>IF($A226="","",SUMIFS(tblInv[المتبقي],tblInv[كود العميل],$A226,tblInv[الفترة],F$7))</f>
        <v/>
      </c>
      <c r="G226" s="80">
        <f>IF($A226="","",SUMIFS(tblInv[المتبقي],tblInv[كود العميل],$A226,tblInv[الفترة],G$7))</f>
        <v/>
      </c>
      <c r="H226" s="80">
        <f>IF($A226="","",SUMIFS(tblInv[المتبقي],tblInv[كود العميل],$A226,tblInv[الفترة],H$7))</f>
        <v/>
      </c>
      <c r="I226" s="80">
        <f>IF($A226="","",SUMIFS(tblInv[المتبقي],tblInv[كود العميل],$A226,tblInv[الفترة],I$7))</f>
        <v/>
      </c>
      <c r="J226" s="80">
        <f>IF($A226="","",SUM(C226:I226))</f>
        <v/>
      </c>
      <c r="K226" s="80">
        <f>IF($A226="","",-SUMIFS(tblRec[المبلغ],tblRec[كود العميل],$A226,tblRec[رقم الفاتورة],"",tblRec[التاريخ],"&lt;="&amp;AsOf)+SUMIFS(tblInv[المتبقي],tblInv[كود العميل],$A226,tblInv[المتبقي],"&lt;0"))</f>
        <v/>
      </c>
      <c r="L226" s="81">
        <f>IF($A226="","",J226+K226)</f>
        <v/>
      </c>
      <c r="M226" s="82">
        <f>IF($A226="","",IFERROR(L226/$L$8,0))</f>
        <v/>
      </c>
      <c r="N226" s="80">
        <f>IF($A226="","",INDEX(tblCustomers[حد الائتمان],MATCH($A226,tblCustomers[كود العميل],0)))</f>
        <v/>
      </c>
      <c r="O226" s="83">
        <f>IF($A226="","",IF(AND(N226&gt;0,L226&gt;N226),"⛔",""))</f>
        <v/>
      </c>
    </row>
    <row r="227">
      <c r="A227" s="78">
        <f>IFERROR(INDEX(tblCustomers[كود العميل],MATCH(218,tblCustomers[ترتيب],0)),"")</f>
        <v/>
      </c>
      <c r="B227" s="79">
        <f>IF($A227="","",INDEX(tblCustomers[اسم العميل],MATCH($A227,tblCustomers[كود العميل],0)))</f>
        <v/>
      </c>
      <c r="C227" s="80">
        <f>IF($A227="","",SUMIFS(tblInv[المتبقي],tblInv[كود العميل],$A227,tblInv[الفترة],C$7))</f>
        <v/>
      </c>
      <c r="D227" s="80">
        <f>IF($A227="","",SUMIFS(tblInv[المتبقي],tblInv[كود العميل],$A227,tblInv[الفترة],D$7))</f>
        <v/>
      </c>
      <c r="E227" s="80">
        <f>IF($A227="","",SUMIFS(tblInv[المتبقي],tblInv[كود العميل],$A227,tblInv[الفترة],E$7))</f>
        <v/>
      </c>
      <c r="F227" s="80">
        <f>IF($A227="","",SUMIFS(tblInv[المتبقي],tblInv[كود العميل],$A227,tblInv[الفترة],F$7))</f>
        <v/>
      </c>
      <c r="G227" s="80">
        <f>IF($A227="","",SUMIFS(tblInv[المتبقي],tblInv[كود العميل],$A227,tblInv[الفترة],G$7))</f>
        <v/>
      </c>
      <c r="H227" s="80">
        <f>IF($A227="","",SUMIFS(tblInv[المتبقي],tblInv[كود العميل],$A227,tblInv[الفترة],H$7))</f>
        <v/>
      </c>
      <c r="I227" s="80">
        <f>IF($A227="","",SUMIFS(tblInv[المتبقي],tblInv[كود العميل],$A227,tblInv[الفترة],I$7))</f>
        <v/>
      </c>
      <c r="J227" s="80">
        <f>IF($A227="","",SUM(C227:I227))</f>
        <v/>
      </c>
      <c r="K227" s="80">
        <f>IF($A227="","",-SUMIFS(tblRec[المبلغ],tblRec[كود العميل],$A227,tblRec[رقم الفاتورة],"",tblRec[التاريخ],"&lt;="&amp;AsOf)+SUMIFS(tblInv[المتبقي],tblInv[كود العميل],$A227,tblInv[المتبقي],"&lt;0"))</f>
        <v/>
      </c>
      <c r="L227" s="81">
        <f>IF($A227="","",J227+K227)</f>
        <v/>
      </c>
      <c r="M227" s="82">
        <f>IF($A227="","",IFERROR(L227/$L$8,0))</f>
        <v/>
      </c>
      <c r="N227" s="80">
        <f>IF($A227="","",INDEX(tblCustomers[حد الائتمان],MATCH($A227,tblCustomers[كود العميل],0)))</f>
        <v/>
      </c>
      <c r="O227" s="83">
        <f>IF($A227="","",IF(AND(N227&gt;0,L227&gt;N227),"⛔",""))</f>
        <v/>
      </c>
    </row>
    <row r="228">
      <c r="A228" s="78">
        <f>IFERROR(INDEX(tblCustomers[كود العميل],MATCH(219,tblCustomers[ترتيب],0)),"")</f>
        <v/>
      </c>
      <c r="B228" s="79">
        <f>IF($A228="","",INDEX(tblCustomers[اسم العميل],MATCH($A228,tblCustomers[كود العميل],0)))</f>
        <v/>
      </c>
      <c r="C228" s="80">
        <f>IF($A228="","",SUMIFS(tblInv[المتبقي],tblInv[كود العميل],$A228,tblInv[الفترة],C$7))</f>
        <v/>
      </c>
      <c r="D228" s="80">
        <f>IF($A228="","",SUMIFS(tblInv[المتبقي],tblInv[كود العميل],$A228,tblInv[الفترة],D$7))</f>
        <v/>
      </c>
      <c r="E228" s="80">
        <f>IF($A228="","",SUMIFS(tblInv[المتبقي],tblInv[كود العميل],$A228,tblInv[الفترة],E$7))</f>
        <v/>
      </c>
      <c r="F228" s="80">
        <f>IF($A228="","",SUMIFS(tblInv[المتبقي],tblInv[كود العميل],$A228,tblInv[الفترة],F$7))</f>
        <v/>
      </c>
      <c r="G228" s="80">
        <f>IF($A228="","",SUMIFS(tblInv[المتبقي],tblInv[كود العميل],$A228,tblInv[الفترة],G$7))</f>
        <v/>
      </c>
      <c r="H228" s="80">
        <f>IF($A228="","",SUMIFS(tblInv[المتبقي],tblInv[كود العميل],$A228,tblInv[الفترة],H$7))</f>
        <v/>
      </c>
      <c r="I228" s="80">
        <f>IF($A228="","",SUMIFS(tblInv[المتبقي],tblInv[كود العميل],$A228,tblInv[الفترة],I$7))</f>
        <v/>
      </c>
      <c r="J228" s="80">
        <f>IF($A228="","",SUM(C228:I228))</f>
        <v/>
      </c>
      <c r="K228" s="80">
        <f>IF($A228="","",-SUMIFS(tblRec[المبلغ],tblRec[كود العميل],$A228,tblRec[رقم الفاتورة],"",tblRec[التاريخ],"&lt;="&amp;AsOf)+SUMIFS(tblInv[المتبقي],tblInv[كود العميل],$A228,tblInv[المتبقي],"&lt;0"))</f>
        <v/>
      </c>
      <c r="L228" s="81">
        <f>IF($A228="","",J228+K228)</f>
        <v/>
      </c>
      <c r="M228" s="82">
        <f>IF($A228="","",IFERROR(L228/$L$8,0))</f>
        <v/>
      </c>
      <c r="N228" s="80">
        <f>IF($A228="","",INDEX(tblCustomers[حد الائتمان],MATCH($A228,tblCustomers[كود العميل],0)))</f>
        <v/>
      </c>
      <c r="O228" s="83">
        <f>IF($A228="","",IF(AND(N228&gt;0,L228&gt;N228),"⛔",""))</f>
        <v/>
      </c>
    </row>
    <row r="229">
      <c r="A229" s="78">
        <f>IFERROR(INDEX(tblCustomers[كود العميل],MATCH(220,tblCustomers[ترتيب],0)),"")</f>
        <v/>
      </c>
      <c r="B229" s="79">
        <f>IF($A229="","",INDEX(tblCustomers[اسم العميل],MATCH($A229,tblCustomers[كود العميل],0)))</f>
        <v/>
      </c>
      <c r="C229" s="80">
        <f>IF($A229="","",SUMIFS(tblInv[المتبقي],tblInv[كود العميل],$A229,tblInv[الفترة],C$7))</f>
        <v/>
      </c>
      <c r="D229" s="80">
        <f>IF($A229="","",SUMIFS(tblInv[المتبقي],tblInv[كود العميل],$A229,tblInv[الفترة],D$7))</f>
        <v/>
      </c>
      <c r="E229" s="80">
        <f>IF($A229="","",SUMIFS(tblInv[المتبقي],tblInv[كود العميل],$A229,tblInv[الفترة],E$7))</f>
        <v/>
      </c>
      <c r="F229" s="80">
        <f>IF($A229="","",SUMIFS(tblInv[المتبقي],tblInv[كود العميل],$A229,tblInv[الفترة],F$7))</f>
        <v/>
      </c>
      <c r="G229" s="80">
        <f>IF($A229="","",SUMIFS(tblInv[المتبقي],tblInv[كود العميل],$A229,tblInv[الفترة],G$7))</f>
        <v/>
      </c>
      <c r="H229" s="80">
        <f>IF($A229="","",SUMIFS(tblInv[المتبقي],tblInv[كود العميل],$A229,tblInv[الفترة],H$7))</f>
        <v/>
      </c>
      <c r="I229" s="80">
        <f>IF($A229="","",SUMIFS(tblInv[المتبقي],tblInv[كود العميل],$A229,tblInv[الفترة],I$7))</f>
        <v/>
      </c>
      <c r="J229" s="80">
        <f>IF($A229="","",SUM(C229:I229))</f>
        <v/>
      </c>
      <c r="K229" s="80">
        <f>IF($A229="","",-SUMIFS(tblRec[المبلغ],tblRec[كود العميل],$A229,tblRec[رقم الفاتورة],"",tblRec[التاريخ],"&lt;="&amp;AsOf)+SUMIFS(tblInv[المتبقي],tblInv[كود العميل],$A229,tblInv[المتبقي],"&lt;0"))</f>
        <v/>
      </c>
      <c r="L229" s="81">
        <f>IF($A229="","",J229+K229)</f>
        <v/>
      </c>
      <c r="M229" s="82">
        <f>IF($A229="","",IFERROR(L229/$L$8,0))</f>
        <v/>
      </c>
      <c r="N229" s="80">
        <f>IF($A229="","",INDEX(tblCustomers[حد الائتمان],MATCH($A229,tblCustomers[كود العميل],0)))</f>
        <v/>
      </c>
      <c r="O229" s="83">
        <f>IF($A229="","",IF(AND(N229&gt;0,L229&gt;N229),"⛔",""))</f>
        <v/>
      </c>
    </row>
    <row r="230">
      <c r="A230" s="78">
        <f>IFERROR(INDEX(tblCustomers[كود العميل],MATCH(221,tblCustomers[ترتيب],0)),"")</f>
        <v/>
      </c>
      <c r="B230" s="79">
        <f>IF($A230="","",INDEX(tblCustomers[اسم العميل],MATCH($A230,tblCustomers[كود العميل],0)))</f>
        <v/>
      </c>
      <c r="C230" s="80">
        <f>IF($A230="","",SUMIFS(tblInv[المتبقي],tblInv[كود العميل],$A230,tblInv[الفترة],C$7))</f>
        <v/>
      </c>
      <c r="D230" s="80">
        <f>IF($A230="","",SUMIFS(tblInv[المتبقي],tblInv[كود العميل],$A230,tblInv[الفترة],D$7))</f>
        <v/>
      </c>
      <c r="E230" s="80">
        <f>IF($A230="","",SUMIFS(tblInv[المتبقي],tblInv[كود العميل],$A230,tblInv[الفترة],E$7))</f>
        <v/>
      </c>
      <c r="F230" s="80">
        <f>IF($A230="","",SUMIFS(tblInv[المتبقي],tblInv[كود العميل],$A230,tblInv[الفترة],F$7))</f>
        <v/>
      </c>
      <c r="G230" s="80">
        <f>IF($A230="","",SUMIFS(tblInv[المتبقي],tblInv[كود العميل],$A230,tblInv[الفترة],G$7))</f>
        <v/>
      </c>
      <c r="H230" s="80">
        <f>IF($A230="","",SUMIFS(tblInv[المتبقي],tblInv[كود العميل],$A230,tblInv[الفترة],H$7))</f>
        <v/>
      </c>
      <c r="I230" s="80">
        <f>IF($A230="","",SUMIFS(tblInv[المتبقي],tblInv[كود العميل],$A230,tblInv[الفترة],I$7))</f>
        <v/>
      </c>
      <c r="J230" s="80">
        <f>IF($A230="","",SUM(C230:I230))</f>
        <v/>
      </c>
      <c r="K230" s="80">
        <f>IF($A230="","",-SUMIFS(tblRec[المبلغ],tblRec[كود العميل],$A230,tblRec[رقم الفاتورة],"",tblRec[التاريخ],"&lt;="&amp;AsOf)+SUMIFS(tblInv[المتبقي],tblInv[كود العميل],$A230,tblInv[المتبقي],"&lt;0"))</f>
        <v/>
      </c>
      <c r="L230" s="81">
        <f>IF($A230="","",J230+K230)</f>
        <v/>
      </c>
      <c r="M230" s="82">
        <f>IF($A230="","",IFERROR(L230/$L$8,0))</f>
        <v/>
      </c>
      <c r="N230" s="80">
        <f>IF($A230="","",INDEX(tblCustomers[حد الائتمان],MATCH($A230,tblCustomers[كود العميل],0)))</f>
        <v/>
      </c>
      <c r="O230" s="83">
        <f>IF($A230="","",IF(AND(N230&gt;0,L230&gt;N230),"⛔",""))</f>
        <v/>
      </c>
    </row>
    <row r="231">
      <c r="A231" s="78">
        <f>IFERROR(INDEX(tblCustomers[كود العميل],MATCH(222,tblCustomers[ترتيب],0)),"")</f>
        <v/>
      </c>
      <c r="B231" s="79">
        <f>IF($A231="","",INDEX(tblCustomers[اسم العميل],MATCH($A231,tblCustomers[كود العميل],0)))</f>
        <v/>
      </c>
      <c r="C231" s="80">
        <f>IF($A231="","",SUMIFS(tblInv[المتبقي],tblInv[كود العميل],$A231,tblInv[الفترة],C$7))</f>
        <v/>
      </c>
      <c r="D231" s="80">
        <f>IF($A231="","",SUMIFS(tblInv[المتبقي],tblInv[كود العميل],$A231,tblInv[الفترة],D$7))</f>
        <v/>
      </c>
      <c r="E231" s="80">
        <f>IF($A231="","",SUMIFS(tblInv[المتبقي],tblInv[كود العميل],$A231,tblInv[الفترة],E$7))</f>
        <v/>
      </c>
      <c r="F231" s="80">
        <f>IF($A231="","",SUMIFS(tblInv[المتبقي],tblInv[كود العميل],$A231,tblInv[الفترة],F$7))</f>
        <v/>
      </c>
      <c r="G231" s="80">
        <f>IF($A231="","",SUMIFS(tblInv[المتبقي],tblInv[كود العميل],$A231,tblInv[الفترة],G$7))</f>
        <v/>
      </c>
      <c r="H231" s="80">
        <f>IF($A231="","",SUMIFS(tblInv[المتبقي],tblInv[كود العميل],$A231,tblInv[الفترة],H$7))</f>
        <v/>
      </c>
      <c r="I231" s="80">
        <f>IF($A231="","",SUMIFS(tblInv[المتبقي],tblInv[كود العميل],$A231,tblInv[الفترة],I$7))</f>
        <v/>
      </c>
      <c r="J231" s="80">
        <f>IF($A231="","",SUM(C231:I231))</f>
        <v/>
      </c>
      <c r="K231" s="80">
        <f>IF($A231="","",-SUMIFS(tblRec[المبلغ],tblRec[كود العميل],$A231,tblRec[رقم الفاتورة],"",tblRec[التاريخ],"&lt;="&amp;AsOf)+SUMIFS(tblInv[المتبقي],tblInv[كود العميل],$A231,tblInv[المتبقي],"&lt;0"))</f>
        <v/>
      </c>
      <c r="L231" s="81">
        <f>IF($A231="","",J231+K231)</f>
        <v/>
      </c>
      <c r="M231" s="82">
        <f>IF($A231="","",IFERROR(L231/$L$8,0))</f>
        <v/>
      </c>
      <c r="N231" s="80">
        <f>IF($A231="","",INDEX(tblCustomers[حد الائتمان],MATCH($A231,tblCustomers[كود العميل],0)))</f>
        <v/>
      </c>
      <c r="O231" s="83">
        <f>IF($A231="","",IF(AND(N231&gt;0,L231&gt;N231),"⛔",""))</f>
        <v/>
      </c>
    </row>
    <row r="232">
      <c r="A232" s="78">
        <f>IFERROR(INDEX(tblCustomers[كود العميل],MATCH(223,tblCustomers[ترتيب],0)),"")</f>
        <v/>
      </c>
      <c r="B232" s="79">
        <f>IF($A232="","",INDEX(tblCustomers[اسم العميل],MATCH($A232,tblCustomers[كود العميل],0)))</f>
        <v/>
      </c>
      <c r="C232" s="80">
        <f>IF($A232="","",SUMIFS(tblInv[المتبقي],tblInv[كود العميل],$A232,tblInv[الفترة],C$7))</f>
        <v/>
      </c>
      <c r="D232" s="80">
        <f>IF($A232="","",SUMIFS(tblInv[المتبقي],tblInv[كود العميل],$A232,tblInv[الفترة],D$7))</f>
        <v/>
      </c>
      <c r="E232" s="80">
        <f>IF($A232="","",SUMIFS(tblInv[المتبقي],tblInv[كود العميل],$A232,tblInv[الفترة],E$7))</f>
        <v/>
      </c>
      <c r="F232" s="80">
        <f>IF($A232="","",SUMIFS(tblInv[المتبقي],tblInv[كود العميل],$A232,tblInv[الفترة],F$7))</f>
        <v/>
      </c>
      <c r="G232" s="80">
        <f>IF($A232="","",SUMIFS(tblInv[المتبقي],tblInv[كود العميل],$A232,tblInv[الفترة],G$7))</f>
        <v/>
      </c>
      <c r="H232" s="80">
        <f>IF($A232="","",SUMIFS(tblInv[المتبقي],tblInv[كود العميل],$A232,tblInv[الفترة],H$7))</f>
        <v/>
      </c>
      <c r="I232" s="80">
        <f>IF($A232="","",SUMIFS(tblInv[المتبقي],tblInv[كود العميل],$A232,tblInv[الفترة],I$7))</f>
        <v/>
      </c>
      <c r="J232" s="80">
        <f>IF($A232="","",SUM(C232:I232))</f>
        <v/>
      </c>
      <c r="K232" s="80">
        <f>IF($A232="","",-SUMIFS(tblRec[المبلغ],tblRec[كود العميل],$A232,tblRec[رقم الفاتورة],"",tblRec[التاريخ],"&lt;="&amp;AsOf)+SUMIFS(tblInv[المتبقي],tblInv[كود العميل],$A232,tblInv[المتبقي],"&lt;0"))</f>
        <v/>
      </c>
      <c r="L232" s="81">
        <f>IF($A232="","",J232+K232)</f>
        <v/>
      </c>
      <c r="M232" s="82">
        <f>IF($A232="","",IFERROR(L232/$L$8,0))</f>
        <v/>
      </c>
      <c r="N232" s="80">
        <f>IF($A232="","",INDEX(tblCustomers[حد الائتمان],MATCH($A232,tblCustomers[كود العميل],0)))</f>
        <v/>
      </c>
      <c r="O232" s="83">
        <f>IF($A232="","",IF(AND(N232&gt;0,L232&gt;N232),"⛔",""))</f>
        <v/>
      </c>
    </row>
    <row r="233">
      <c r="A233" s="78">
        <f>IFERROR(INDEX(tblCustomers[كود العميل],MATCH(224,tblCustomers[ترتيب],0)),"")</f>
        <v/>
      </c>
      <c r="B233" s="79">
        <f>IF($A233="","",INDEX(tblCustomers[اسم العميل],MATCH($A233,tblCustomers[كود العميل],0)))</f>
        <v/>
      </c>
      <c r="C233" s="80">
        <f>IF($A233="","",SUMIFS(tblInv[المتبقي],tblInv[كود العميل],$A233,tblInv[الفترة],C$7))</f>
        <v/>
      </c>
      <c r="D233" s="80">
        <f>IF($A233="","",SUMIFS(tblInv[المتبقي],tblInv[كود العميل],$A233,tblInv[الفترة],D$7))</f>
        <v/>
      </c>
      <c r="E233" s="80">
        <f>IF($A233="","",SUMIFS(tblInv[المتبقي],tblInv[كود العميل],$A233,tblInv[الفترة],E$7))</f>
        <v/>
      </c>
      <c r="F233" s="80">
        <f>IF($A233="","",SUMIFS(tblInv[المتبقي],tblInv[كود العميل],$A233,tblInv[الفترة],F$7))</f>
        <v/>
      </c>
      <c r="G233" s="80">
        <f>IF($A233="","",SUMIFS(tblInv[المتبقي],tblInv[كود العميل],$A233,tblInv[الفترة],G$7))</f>
        <v/>
      </c>
      <c r="H233" s="80">
        <f>IF($A233="","",SUMIFS(tblInv[المتبقي],tblInv[كود العميل],$A233,tblInv[الفترة],H$7))</f>
        <v/>
      </c>
      <c r="I233" s="80">
        <f>IF($A233="","",SUMIFS(tblInv[المتبقي],tblInv[كود العميل],$A233,tblInv[الفترة],I$7))</f>
        <v/>
      </c>
      <c r="J233" s="80">
        <f>IF($A233="","",SUM(C233:I233))</f>
        <v/>
      </c>
      <c r="K233" s="80">
        <f>IF($A233="","",-SUMIFS(tblRec[المبلغ],tblRec[كود العميل],$A233,tblRec[رقم الفاتورة],"",tblRec[التاريخ],"&lt;="&amp;AsOf)+SUMIFS(tblInv[المتبقي],tblInv[كود العميل],$A233,tblInv[المتبقي],"&lt;0"))</f>
        <v/>
      </c>
      <c r="L233" s="81">
        <f>IF($A233="","",J233+K233)</f>
        <v/>
      </c>
      <c r="M233" s="82">
        <f>IF($A233="","",IFERROR(L233/$L$8,0))</f>
        <v/>
      </c>
      <c r="N233" s="80">
        <f>IF($A233="","",INDEX(tblCustomers[حد الائتمان],MATCH($A233,tblCustomers[كود العميل],0)))</f>
        <v/>
      </c>
      <c r="O233" s="83">
        <f>IF($A233="","",IF(AND(N233&gt;0,L233&gt;N233),"⛔",""))</f>
        <v/>
      </c>
    </row>
    <row r="234">
      <c r="A234" s="78">
        <f>IFERROR(INDEX(tblCustomers[كود العميل],MATCH(225,tblCustomers[ترتيب],0)),"")</f>
        <v/>
      </c>
      <c r="B234" s="79">
        <f>IF($A234="","",INDEX(tblCustomers[اسم العميل],MATCH($A234,tblCustomers[كود العميل],0)))</f>
        <v/>
      </c>
      <c r="C234" s="80">
        <f>IF($A234="","",SUMIFS(tblInv[المتبقي],tblInv[كود العميل],$A234,tblInv[الفترة],C$7))</f>
        <v/>
      </c>
      <c r="D234" s="80">
        <f>IF($A234="","",SUMIFS(tblInv[المتبقي],tblInv[كود العميل],$A234,tblInv[الفترة],D$7))</f>
        <v/>
      </c>
      <c r="E234" s="80">
        <f>IF($A234="","",SUMIFS(tblInv[المتبقي],tblInv[كود العميل],$A234,tblInv[الفترة],E$7))</f>
        <v/>
      </c>
      <c r="F234" s="80">
        <f>IF($A234="","",SUMIFS(tblInv[المتبقي],tblInv[كود العميل],$A234,tblInv[الفترة],F$7))</f>
        <v/>
      </c>
      <c r="G234" s="80">
        <f>IF($A234="","",SUMIFS(tblInv[المتبقي],tblInv[كود العميل],$A234,tblInv[الفترة],G$7))</f>
        <v/>
      </c>
      <c r="H234" s="80">
        <f>IF($A234="","",SUMIFS(tblInv[المتبقي],tblInv[كود العميل],$A234,tblInv[الفترة],H$7))</f>
        <v/>
      </c>
      <c r="I234" s="80">
        <f>IF($A234="","",SUMIFS(tblInv[المتبقي],tblInv[كود العميل],$A234,tblInv[الفترة],I$7))</f>
        <v/>
      </c>
      <c r="J234" s="80">
        <f>IF($A234="","",SUM(C234:I234))</f>
        <v/>
      </c>
      <c r="K234" s="80">
        <f>IF($A234="","",-SUMIFS(tblRec[المبلغ],tblRec[كود العميل],$A234,tblRec[رقم الفاتورة],"",tblRec[التاريخ],"&lt;="&amp;AsOf)+SUMIFS(tblInv[المتبقي],tblInv[كود العميل],$A234,tblInv[المتبقي],"&lt;0"))</f>
        <v/>
      </c>
      <c r="L234" s="81">
        <f>IF($A234="","",J234+K234)</f>
        <v/>
      </c>
      <c r="M234" s="82">
        <f>IF($A234="","",IFERROR(L234/$L$8,0))</f>
        <v/>
      </c>
      <c r="N234" s="80">
        <f>IF($A234="","",INDEX(tblCustomers[حد الائتمان],MATCH($A234,tblCustomers[كود العميل],0)))</f>
        <v/>
      </c>
      <c r="O234" s="83">
        <f>IF($A234="","",IF(AND(N234&gt;0,L234&gt;N234),"⛔",""))</f>
        <v/>
      </c>
    </row>
    <row r="235">
      <c r="A235" s="78">
        <f>IFERROR(INDEX(tblCustomers[كود العميل],MATCH(226,tblCustomers[ترتيب],0)),"")</f>
        <v/>
      </c>
      <c r="B235" s="79">
        <f>IF($A235="","",INDEX(tblCustomers[اسم العميل],MATCH($A235,tblCustomers[كود العميل],0)))</f>
        <v/>
      </c>
      <c r="C235" s="80">
        <f>IF($A235="","",SUMIFS(tblInv[المتبقي],tblInv[كود العميل],$A235,tblInv[الفترة],C$7))</f>
        <v/>
      </c>
      <c r="D235" s="80">
        <f>IF($A235="","",SUMIFS(tblInv[المتبقي],tblInv[كود العميل],$A235,tblInv[الفترة],D$7))</f>
        <v/>
      </c>
      <c r="E235" s="80">
        <f>IF($A235="","",SUMIFS(tblInv[المتبقي],tblInv[كود العميل],$A235,tblInv[الفترة],E$7))</f>
        <v/>
      </c>
      <c r="F235" s="80">
        <f>IF($A235="","",SUMIFS(tblInv[المتبقي],tblInv[كود العميل],$A235,tblInv[الفترة],F$7))</f>
        <v/>
      </c>
      <c r="G235" s="80">
        <f>IF($A235="","",SUMIFS(tblInv[المتبقي],tblInv[كود العميل],$A235,tblInv[الفترة],G$7))</f>
        <v/>
      </c>
      <c r="H235" s="80">
        <f>IF($A235="","",SUMIFS(tblInv[المتبقي],tblInv[كود العميل],$A235,tblInv[الفترة],H$7))</f>
        <v/>
      </c>
      <c r="I235" s="80">
        <f>IF($A235="","",SUMIFS(tblInv[المتبقي],tblInv[كود العميل],$A235,tblInv[الفترة],I$7))</f>
        <v/>
      </c>
      <c r="J235" s="80">
        <f>IF($A235="","",SUM(C235:I235))</f>
        <v/>
      </c>
      <c r="K235" s="80">
        <f>IF($A235="","",-SUMIFS(tblRec[المبلغ],tblRec[كود العميل],$A235,tblRec[رقم الفاتورة],"",tblRec[التاريخ],"&lt;="&amp;AsOf)+SUMIFS(tblInv[المتبقي],tblInv[كود العميل],$A235,tblInv[المتبقي],"&lt;0"))</f>
        <v/>
      </c>
      <c r="L235" s="81">
        <f>IF($A235="","",J235+K235)</f>
        <v/>
      </c>
      <c r="M235" s="82">
        <f>IF($A235="","",IFERROR(L235/$L$8,0))</f>
        <v/>
      </c>
      <c r="N235" s="80">
        <f>IF($A235="","",INDEX(tblCustomers[حد الائتمان],MATCH($A235,tblCustomers[كود العميل],0)))</f>
        <v/>
      </c>
      <c r="O235" s="83">
        <f>IF($A235="","",IF(AND(N235&gt;0,L235&gt;N235),"⛔",""))</f>
        <v/>
      </c>
    </row>
    <row r="236">
      <c r="A236" s="78">
        <f>IFERROR(INDEX(tblCustomers[كود العميل],MATCH(227,tblCustomers[ترتيب],0)),"")</f>
        <v/>
      </c>
      <c r="B236" s="79">
        <f>IF($A236="","",INDEX(tblCustomers[اسم العميل],MATCH($A236,tblCustomers[كود العميل],0)))</f>
        <v/>
      </c>
      <c r="C236" s="80">
        <f>IF($A236="","",SUMIFS(tblInv[المتبقي],tblInv[كود العميل],$A236,tblInv[الفترة],C$7))</f>
        <v/>
      </c>
      <c r="D236" s="80">
        <f>IF($A236="","",SUMIFS(tblInv[المتبقي],tblInv[كود العميل],$A236,tblInv[الفترة],D$7))</f>
        <v/>
      </c>
      <c r="E236" s="80">
        <f>IF($A236="","",SUMIFS(tblInv[المتبقي],tblInv[كود العميل],$A236,tblInv[الفترة],E$7))</f>
        <v/>
      </c>
      <c r="F236" s="80">
        <f>IF($A236="","",SUMIFS(tblInv[المتبقي],tblInv[كود العميل],$A236,tblInv[الفترة],F$7))</f>
        <v/>
      </c>
      <c r="G236" s="80">
        <f>IF($A236="","",SUMIFS(tblInv[المتبقي],tblInv[كود العميل],$A236,tblInv[الفترة],G$7))</f>
        <v/>
      </c>
      <c r="H236" s="80">
        <f>IF($A236="","",SUMIFS(tblInv[المتبقي],tblInv[كود العميل],$A236,tblInv[الفترة],H$7))</f>
        <v/>
      </c>
      <c r="I236" s="80">
        <f>IF($A236="","",SUMIFS(tblInv[المتبقي],tblInv[كود العميل],$A236,tblInv[الفترة],I$7))</f>
        <v/>
      </c>
      <c r="J236" s="80">
        <f>IF($A236="","",SUM(C236:I236))</f>
        <v/>
      </c>
      <c r="K236" s="80">
        <f>IF($A236="","",-SUMIFS(tblRec[المبلغ],tblRec[كود العميل],$A236,tblRec[رقم الفاتورة],"",tblRec[التاريخ],"&lt;="&amp;AsOf)+SUMIFS(tblInv[المتبقي],tblInv[كود العميل],$A236,tblInv[المتبقي],"&lt;0"))</f>
        <v/>
      </c>
      <c r="L236" s="81">
        <f>IF($A236="","",J236+K236)</f>
        <v/>
      </c>
      <c r="M236" s="82">
        <f>IF($A236="","",IFERROR(L236/$L$8,0))</f>
        <v/>
      </c>
      <c r="N236" s="80">
        <f>IF($A236="","",INDEX(tblCustomers[حد الائتمان],MATCH($A236,tblCustomers[كود العميل],0)))</f>
        <v/>
      </c>
      <c r="O236" s="83">
        <f>IF($A236="","",IF(AND(N236&gt;0,L236&gt;N236),"⛔",""))</f>
        <v/>
      </c>
    </row>
    <row r="237">
      <c r="A237" s="78">
        <f>IFERROR(INDEX(tblCustomers[كود العميل],MATCH(228,tblCustomers[ترتيب],0)),"")</f>
        <v/>
      </c>
      <c r="B237" s="79">
        <f>IF($A237="","",INDEX(tblCustomers[اسم العميل],MATCH($A237,tblCustomers[كود العميل],0)))</f>
        <v/>
      </c>
      <c r="C237" s="80">
        <f>IF($A237="","",SUMIFS(tblInv[المتبقي],tblInv[كود العميل],$A237,tblInv[الفترة],C$7))</f>
        <v/>
      </c>
      <c r="D237" s="80">
        <f>IF($A237="","",SUMIFS(tblInv[المتبقي],tblInv[كود العميل],$A237,tblInv[الفترة],D$7))</f>
        <v/>
      </c>
      <c r="E237" s="80">
        <f>IF($A237="","",SUMIFS(tblInv[المتبقي],tblInv[كود العميل],$A237,tblInv[الفترة],E$7))</f>
        <v/>
      </c>
      <c r="F237" s="80">
        <f>IF($A237="","",SUMIFS(tblInv[المتبقي],tblInv[كود العميل],$A237,tblInv[الفترة],F$7))</f>
        <v/>
      </c>
      <c r="G237" s="80">
        <f>IF($A237="","",SUMIFS(tblInv[المتبقي],tblInv[كود العميل],$A237,tblInv[الفترة],G$7))</f>
        <v/>
      </c>
      <c r="H237" s="80">
        <f>IF($A237="","",SUMIFS(tblInv[المتبقي],tblInv[كود العميل],$A237,tblInv[الفترة],H$7))</f>
        <v/>
      </c>
      <c r="I237" s="80">
        <f>IF($A237="","",SUMIFS(tblInv[المتبقي],tblInv[كود العميل],$A237,tblInv[الفترة],I$7))</f>
        <v/>
      </c>
      <c r="J237" s="80">
        <f>IF($A237="","",SUM(C237:I237))</f>
        <v/>
      </c>
      <c r="K237" s="80">
        <f>IF($A237="","",-SUMIFS(tblRec[المبلغ],tblRec[كود العميل],$A237,tblRec[رقم الفاتورة],"",tblRec[التاريخ],"&lt;="&amp;AsOf)+SUMIFS(tblInv[المتبقي],tblInv[كود العميل],$A237,tblInv[المتبقي],"&lt;0"))</f>
        <v/>
      </c>
      <c r="L237" s="81">
        <f>IF($A237="","",J237+K237)</f>
        <v/>
      </c>
      <c r="M237" s="82">
        <f>IF($A237="","",IFERROR(L237/$L$8,0))</f>
        <v/>
      </c>
      <c r="N237" s="80">
        <f>IF($A237="","",INDEX(tblCustomers[حد الائتمان],MATCH($A237,tblCustomers[كود العميل],0)))</f>
        <v/>
      </c>
      <c r="O237" s="83">
        <f>IF($A237="","",IF(AND(N237&gt;0,L237&gt;N237),"⛔",""))</f>
        <v/>
      </c>
    </row>
    <row r="238">
      <c r="A238" s="78">
        <f>IFERROR(INDEX(tblCustomers[كود العميل],MATCH(229,tblCustomers[ترتيب],0)),"")</f>
        <v/>
      </c>
      <c r="B238" s="79">
        <f>IF($A238="","",INDEX(tblCustomers[اسم العميل],MATCH($A238,tblCustomers[كود العميل],0)))</f>
        <v/>
      </c>
      <c r="C238" s="80">
        <f>IF($A238="","",SUMIFS(tblInv[المتبقي],tblInv[كود العميل],$A238,tblInv[الفترة],C$7))</f>
        <v/>
      </c>
      <c r="D238" s="80">
        <f>IF($A238="","",SUMIFS(tblInv[المتبقي],tblInv[كود العميل],$A238,tblInv[الفترة],D$7))</f>
        <v/>
      </c>
      <c r="E238" s="80">
        <f>IF($A238="","",SUMIFS(tblInv[المتبقي],tblInv[كود العميل],$A238,tblInv[الفترة],E$7))</f>
        <v/>
      </c>
      <c r="F238" s="80">
        <f>IF($A238="","",SUMIFS(tblInv[المتبقي],tblInv[كود العميل],$A238,tblInv[الفترة],F$7))</f>
        <v/>
      </c>
      <c r="G238" s="80">
        <f>IF($A238="","",SUMIFS(tblInv[المتبقي],tblInv[كود العميل],$A238,tblInv[الفترة],G$7))</f>
        <v/>
      </c>
      <c r="H238" s="80">
        <f>IF($A238="","",SUMIFS(tblInv[المتبقي],tblInv[كود العميل],$A238,tblInv[الفترة],H$7))</f>
        <v/>
      </c>
      <c r="I238" s="80">
        <f>IF($A238="","",SUMIFS(tblInv[المتبقي],tblInv[كود العميل],$A238,tblInv[الفترة],I$7))</f>
        <v/>
      </c>
      <c r="J238" s="80">
        <f>IF($A238="","",SUM(C238:I238))</f>
        <v/>
      </c>
      <c r="K238" s="80">
        <f>IF($A238="","",-SUMIFS(tblRec[المبلغ],tblRec[كود العميل],$A238,tblRec[رقم الفاتورة],"",tblRec[التاريخ],"&lt;="&amp;AsOf)+SUMIFS(tblInv[المتبقي],tblInv[كود العميل],$A238,tblInv[المتبقي],"&lt;0"))</f>
        <v/>
      </c>
      <c r="L238" s="81">
        <f>IF($A238="","",J238+K238)</f>
        <v/>
      </c>
      <c r="M238" s="82">
        <f>IF($A238="","",IFERROR(L238/$L$8,0))</f>
        <v/>
      </c>
      <c r="N238" s="80">
        <f>IF($A238="","",INDEX(tblCustomers[حد الائتمان],MATCH($A238,tblCustomers[كود العميل],0)))</f>
        <v/>
      </c>
      <c r="O238" s="83">
        <f>IF($A238="","",IF(AND(N238&gt;0,L238&gt;N238),"⛔",""))</f>
        <v/>
      </c>
    </row>
    <row r="239">
      <c r="A239" s="78">
        <f>IFERROR(INDEX(tblCustomers[كود العميل],MATCH(230,tblCustomers[ترتيب],0)),"")</f>
        <v/>
      </c>
      <c r="B239" s="79">
        <f>IF($A239="","",INDEX(tblCustomers[اسم العميل],MATCH($A239,tblCustomers[كود العميل],0)))</f>
        <v/>
      </c>
      <c r="C239" s="80">
        <f>IF($A239="","",SUMIFS(tblInv[المتبقي],tblInv[كود العميل],$A239,tblInv[الفترة],C$7))</f>
        <v/>
      </c>
      <c r="D239" s="80">
        <f>IF($A239="","",SUMIFS(tblInv[المتبقي],tblInv[كود العميل],$A239,tblInv[الفترة],D$7))</f>
        <v/>
      </c>
      <c r="E239" s="80">
        <f>IF($A239="","",SUMIFS(tblInv[المتبقي],tblInv[كود العميل],$A239,tblInv[الفترة],E$7))</f>
        <v/>
      </c>
      <c r="F239" s="80">
        <f>IF($A239="","",SUMIFS(tblInv[المتبقي],tblInv[كود العميل],$A239,tblInv[الفترة],F$7))</f>
        <v/>
      </c>
      <c r="G239" s="80">
        <f>IF($A239="","",SUMIFS(tblInv[المتبقي],tblInv[كود العميل],$A239,tblInv[الفترة],G$7))</f>
        <v/>
      </c>
      <c r="H239" s="80">
        <f>IF($A239="","",SUMIFS(tblInv[المتبقي],tblInv[كود العميل],$A239,tblInv[الفترة],H$7))</f>
        <v/>
      </c>
      <c r="I239" s="80">
        <f>IF($A239="","",SUMIFS(tblInv[المتبقي],tblInv[كود العميل],$A239,tblInv[الفترة],I$7))</f>
        <v/>
      </c>
      <c r="J239" s="80">
        <f>IF($A239="","",SUM(C239:I239))</f>
        <v/>
      </c>
      <c r="K239" s="80">
        <f>IF($A239="","",-SUMIFS(tblRec[المبلغ],tblRec[كود العميل],$A239,tblRec[رقم الفاتورة],"",tblRec[التاريخ],"&lt;="&amp;AsOf)+SUMIFS(tblInv[المتبقي],tblInv[كود العميل],$A239,tblInv[المتبقي],"&lt;0"))</f>
        <v/>
      </c>
      <c r="L239" s="81">
        <f>IF($A239="","",J239+K239)</f>
        <v/>
      </c>
      <c r="M239" s="82">
        <f>IF($A239="","",IFERROR(L239/$L$8,0))</f>
        <v/>
      </c>
      <c r="N239" s="80">
        <f>IF($A239="","",INDEX(tblCustomers[حد الائتمان],MATCH($A239,tblCustomers[كود العميل],0)))</f>
        <v/>
      </c>
      <c r="O239" s="83">
        <f>IF($A239="","",IF(AND(N239&gt;0,L239&gt;N239),"⛔",""))</f>
        <v/>
      </c>
    </row>
    <row r="240">
      <c r="A240" s="78">
        <f>IFERROR(INDEX(tblCustomers[كود العميل],MATCH(231,tblCustomers[ترتيب],0)),"")</f>
        <v/>
      </c>
      <c r="B240" s="79">
        <f>IF($A240="","",INDEX(tblCustomers[اسم العميل],MATCH($A240,tblCustomers[كود العميل],0)))</f>
        <v/>
      </c>
      <c r="C240" s="80">
        <f>IF($A240="","",SUMIFS(tblInv[المتبقي],tblInv[كود العميل],$A240,tblInv[الفترة],C$7))</f>
        <v/>
      </c>
      <c r="D240" s="80">
        <f>IF($A240="","",SUMIFS(tblInv[المتبقي],tblInv[كود العميل],$A240,tblInv[الفترة],D$7))</f>
        <v/>
      </c>
      <c r="E240" s="80">
        <f>IF($A240="","",SUMIFS(tblInv[المتبقي],tblInv[كود العميل],$A240,tblInv[الفترة],E$7))</f>
        <v/>
      </c>
      <c r="F240" s="80">
        <f>IF($A240="","",SUMIFS(tblInv[المتبقي],tblInv[كود العميل],$A240,tblInv[الفترة],F$7))</f>
        <v/>
      </c>
      <c r="G240" s="80">
        <f>IF($A240="","",SUMIFS(tblInv[المتبقي],tblInv[كود العميل],$A240,tblInv[الفترة],G$7))</f>
        <v/>
      </c>
      <c r="H240" s="80">
        <f>IF($A240="","",SUMIFS(tblInv[المتبقي],tblInv[كود العميل],$A240,tblInv[الفترة],H$7))</f>
        <v/>
      </c>
      <c r="I240" s="80">
        <f>IF($A240="","",SUMIFS(tblInv[المتبقي],tblInv[كود العميل],$A240,tblInv[الفترة],I$7))</f>
        <v/>
      </c>
      <c r="J240" s="80">
        <f>IF($A240="","",SUM(C240:I240))</f>
        <v/>
      </c>
      <c r="K240" s="80">
        <f>IF($A240="","",-SUMIFS(tblRec[المبلغ],tblRec[كود العميل],$A240,tblRec[رقم الفاتورة],"",tblRec[التاريخ],"&lt;="&amp;AsOf)+SUMIFS(tblInv[المتبقي],tblInv[كود العميل],$A240,tblInv[المتبقي],"&lt;0"))</f>
        <v/>
      </c>
      <c r="L240" s="81">
        <f>IF($A240="","",J240+K240)</f>
        <v/>
      </c>
      <c r="M240" s="82">
        <f>IF($A240="","",IFERROR(L240/$L$8,0))</f>
        <v/>
      </c>
      <c r="N240" s="80">
        <f>IF($A240="","",INDEX(tblCustomers[حد الائتمان],MATCH($A240,tblCustomers[كود العميل],0)))</f>
        <v/>
      </c>
      <c r="O240" s="83">
        <f>IF($A240="","",IF(AND(N240&gt;0,L240&gt;N240),"⛔",""))</f>
        <v/>
      </c>
    </row>
    <row r="241">
      <c r="A241" s="78">
        <f>IFERROR(INDEX(tblCustomers[كود العميل],MATCH(232,tblCustomers[ترتيب],0)),"")</f>
        <v/>
      </c>
      <c r="B241" s="79">
        <f>IF($A241="","",INDEX(tblCustomers[اسم العميل],MATCH($A241,tblCustomers[كود العميل],0)))</f>
        <v/>
      </c>
      <c r="C241" s="80">
        <f>IF($A241="","",SUMIFS(tblInv[المتبقي],tblInv[كود العميل],$A241,tblInv[الفترة],C$7))</f>
        <v/>
      </c>
      <c r="D241" s="80">
        <f>IF($A241="","",SUMIFS(tblInv[المتبقي],tblInv[كود العميل],$A241,tblInv[الفترة],D$7))</f>
        <v/>
      </c>
      <c r="E241" s="80">
        <f>IF($A241="","",SUMIFS(tblInv[المتبقي],tblInv[كود العميل],$A241,tblInv[الفترة],E$7))</f>
        <v/>
      </c>
      <c r="F241" s="80">
        <f>IF($A241="","",SUMIFS(tblInv[المتبقي],tblInv[كود العميل],$A241,tblInv[الفترة],F$7))</f>
        <v/>
      </c>
      <c r="G241" s="80">
        <f>IF($A241="","",SUMIFS(tblInv[المتبقي],tblInv[كود العميل],$A241,tblInv[الفترة],G$7))</f>
        <v/>
      </c>
      <c r="H241" s="80">
        <f>IF($A241="","",SUMIFS(tblInv[المتبقي],tblInv[كود العميل],$A241,tblInv[الفترة],H$7))</f>
        <v/>
      </c>
      <c r="I241" s="80">
        <f>IF($A241="","",SUMIFS(tblInv[المتبقي],tblInv[كود العميل],$A241,tblInv[الفترة],I$7))</f>
        <v/>
      </c>
      <c r="J241" s="80">
        <f>IF($A241="","",SUM(C241:I241))</f>
        <v/>
      </c>
      <c r="K241" s="80">
        <f>IF($A241="","",-SUMIFS(tblRec[المبلغ],tblRec[كود العميل],$A241,tblRec[رقم الفاتورة],"",tblRec[التاريخ],"&lt;="&amp;AsOf)+SUMIFS(tblInv[المتبقي],tblInv[كود العميل],$A241,tblInv[المتبقي],"&lt;0"))</f>
        <v/>
      </c>
      <c r="L241" s="81">
        <f>IF($A241="","",J241+K241)</f>
        <v/>
      </c>
      <c r="M241" s="82">
        <f>IF($A241="","",IFERROR(L241/$L$8,0))</f>
        <v/>
      </c>
      <c r="N241" s="80">
        <f>IF($A241="","",INDEX(tblCustomers[حد الائتمان],MATCH($A241,tblCustomers[كود العميل],0)))</f>
        <v/>
      </c>
      <c r="O241" s="83">
        <f>IF($A241="","",IF(AND(N241&gt;0,L241&gt;N241),"⛔",""))</f>
        <v/>
      </c>
    </row>
    <row r="242">
      <c r="A242" s="78">
        <f>IFERROR(INDEX(tblCustomers[كود العميل],MATCH(233,tblCustomers[ترتيب],0)),"")</f>
        <v/>
      </c>
      <c r="B242" s="79">
        <f>IF($A242="","",INDEX(tblCustomers[اسم العميل],MATCH($A242,tblCustomers[كود العميل],0)))</f>
        <v/>
      </c>
      <c r="C242" s="80">
        <f>IF($A242="","",SUMIFS(tblInv[المتبقي],tblInv[كود العميل],$A242,tblInv[الفترة],C$7))</f>
        <v/>
      </c>
      <c r="D242" s="80">
        <f>IF($A242="","",SUMIFS(tblInv[المتبقي],tblInv[كود العميل],$A242,tblInv[الفترة],D$7))</f>
        <v/>
      </c>
      <c r="E242" s="80">
        <f>IF($A242="","",SUMIFS(tblInv[المتبقي],tblInv[كود العميل],$A242,tblInv[الفترة],E$7))</f>
        <v/>
      </c>
      <c r="F242" s="80">
        <f>IF($A242="","",SUMIFS(tblInv[المتبقي],tblInv[كود العميل],$A242,tblInv[الفترة],F$7))</f>
        <v/>
      </c>
      <c r="G242" s="80">
        <f>IF($A242="","",SUMIFS(tblInv[المتبقي],tblInv[كود العميل],$A242,tblInv[الفترة],G$7))</f>
        <v/>
      </c>
      <c r="H242" s="80">
        <f>IF($A242="","",SUMIFS(tblInv[المتبقي],tblInv[كود العميل],$A242,tblInv[الفترة],H$7))</f>
        <v/>
      </c>
      <c r="I242" s="80">
        <f>IF($A242="","",SUMIFS(tblInv[المتبقي],tblInv[كود العميل],$A242,tblInv[الفترة],I$7))</f>
        <v/>
      </c>
      <c r="J242" s="80">
        <f>IF($A242="","",SUM(C242:I242))</f>
        <v/>
      </c>
      <c r="K242" s="80">
        <f>IF($A242="","",-SUMIFS(tblRec[المبلغ],tblRec[كود العميل],$A242,tblRec[رقم الفاتورة],"",tblRec[التاريخ],"&lt;="&amp;AsOf)+SUMIFS(tblInv[المتبقي],tblInv[كود العميل],$A242,tblInv[المتبقي],"&lt;0"))</f>
        <v/>
      </c>
      <c r="L242" s="81">
        <f>IF($A242="","",J242+K242)</f>
        <v/>
      </c>
      <c r="M242" s="82">
        <f>IF($A242="","",IFERROR(L242/$L$8,0))</f>
        <v/>
      </c>
      <c r="N242" s="80">
        <f>IF($A242="","",INDEX(tblCustomers[حد الائتمان],MATCH($A242,tblCustomers[كود العميل],0)))</f>
        <v/>
      </c>
      <c r="O242" s="83">
        <f>IF($A242="","",IF(AND(N242&gt;0,L242&gt;N242),"⛔",""))</f>
        <v/>
      </c>
    </row>
    <row r="243">
      <c r="A243" s="78">
        <f>IFERROR(INDEX(tblCustomers[كود العميل],MATCH(234,tblCustomers[ترتيب],0)),"")</f>
        <v/>
      </c>
      <c r="B243" s="79">
        <f>IF($A243="","",INDEX(tblCustomers[اسم العميل],MATCH($A243,tblCustomers[كود العميل],0)))</f>
        <v/>
      </c>
      <c r="C243" s="80">
        <f>IF($A243="","",SUMIFS(tblInv[المتبقي],tblInv[كود العميل],$A243,tblInv[الفترة],C$7))</f>
        <v/>
      </c>
      <c r="D243" s="80">
        <f>IF($A243="","",SUMIFS(tblInv[المتبقي],tblInv[كود العميل],$A243,tblInv[الفترة],D$7))</f>
        <v/>
      </c>
      <c r="E243" s="80">
        <f>IF($A243="","",SUMIFS(tblInv[المتبقي],tblInv[كود العميل],$A243,tblInv[الفترة],E$7))</f>
        <v/>
      </c>
      <c r="F243" s="80">
        <f>IF($A243="","",SUMIFS(tblInv[المتبقي],tblInv[كود العميل],$A243,tblInv[الفترة],F$7))</f>
        <v/>
      </c>
      <c r="G243" s="80">
        <f>IF($A243="","",SUMIFS(tblInv[المتبقي],tblInv[كود العميل],$A243,tblInv[الفترة],G$7))</f>
        <v/>
      </c>
      <c r="H243" s="80">
        <f>IF($A243="","",SUMIFS(tblInv[المتبقي],tblInv[كود العميل],$A243,tblInv[الفترة],H$7))</f>
        <v/>
      </c>
      <c r="I243" s="80">
        <f>IF($A243="","",SUMIFS(tblInv[المتبقي],tblInv[كود العميل],$A243,tblInv[الفترة],I$7))</f>
        <v/>
      </c>
      <c r="J243" s="80">
        <f>IF($A243="","",SUM(C243:I243))</f>
        <v/>
      </c>
      <c r="K243" s="80">
        <f>IF($A243="","",-SUMIFS(tblRec[المبلغ],tblRec[كود العميل],$A243,tblRec[رقم الفاتورة],"",tblRec[التاريخ],"&lt;="&amp;AsOf)+SUMIFS(tblInv[المتبقي],tblInv[كود العميل],$A243,tblInv[المتبقي],"&lt;0"))</f>
        <v/>
      </c>
      <c r="L243" s="81">
        <f>IF($A243="","",J243+K243)</f>
        <v/>
      </c>
      <c r="M243" s="82">
        <f>IF($A243="","",IFERROR(L243/$L$8,0))</f>
        <v/>
      </c>
      <c r="N243" s="80">
        <f>IF($A243="","",INDEX(tblCustomers[حد الائتمان],MATCH($A243,tblCustomers[كود العميل],0)))</f>
        <v/>
      </c>
      <c r="O243" s="83">
        <f>IF($A243="","",IF(AND(N243&gt;0,L243&gt;N243),"⛔",""))</f>
        <v/>
      </c>
    </row>
    <row r="244">
      <c r="A244" s="78">
        <f>IFERROR(INDEX(tblCustomers[كود العميل],MATCH(235,tblCustomers[ترتيب],0)),"")</f>
        <v/>
      </c>
      <c r="B244" s="79">
        <f>IF($A244="","",INDEX(tblCustomers[اسم العميل],MATCH($A244,tblCustomers[كود العميل],0)))</f>
        <v/>
      </c>
      <c r="C244" s="80">
        <f>IF($A244="","",SUMIFS(tblInv[المتبقي],tblInv[كود العميل],$A244,tblInv[الفترة],C$7))</f>
        <v/>
      </c>
      <c r="D244" s="80">
        <f>IF($A244="","",SUMIFS(tblInv[المتبقي],tblInv[كود العميل],$A244,tblInv[الفترة],D$7))</f>
        <v/>
      </c>
      <c r="E244" s="80">
        <f>IF($A244="","",SUMIFS(tblInv[المتبقي],tblInv[كود العميل],$A244,tblInv[الفترة],E$7))</f>
        <v/>
      </c>
      <c r="F244" s="80">
        <f>IF($A244="","",SUMIFS(tblInv[المتبقي],tblInv[كود العميل],$A244,tblInv[الفترة],F$7))</f>
        <v/>
      </c>
      <c r="G244" s="80">
        <f>IF($A244="","",SUMIFS(tblInv[المتبقي],tblInv[كود العميل],$A244,tblInv[الفترة],G$7))</f>
        <v/>
      </c>
      <c r="H244" s="80">
        <f>IF($A244="","",SUMIFS(tblInv[المتبقي],tblInv[كود العميل],$A244,tblInv[الفترة],H$7))</f>
        <v/>
      </c>
      <c r="I244" s="80">
        <f>IF($A244="","",SUMIFS(tblInv[المتبقي],tblInv[كود العميل],$A244,tblInv[الفترة],I$7))</f>
        <v/>
      </c>
      <c r="J244" s="80">
        <f>IF($A244="","",SUM(C244:I244))</f>
        <v/>
      </c>
      <c r="K244" s="80">
        <f>IF($A244="","",-SUMIFS(tblRec[المبلغ],tblRec[كود العميل],$A244,tblRec[رقم الفاتورة],"",tblRec[التاريخ],"&lt;="&amp;AsOf)+SUMIFS(tblInv[المتبقي],tblInv[كود العميل],$A244,tblInv[المتبقي],"&lt;0"))</f>
        <v/>
      </c>
      <c r="L244" s="81">
        <f>IF($A244="","",J244+K244)</f>
        <v/>
      </c>
      <c r="M244" s="82">
        <f>IF($A244="","",IFERROR(L244/$L$8,0))</f>
        <v/>
      </c>
      <c r="N244" s="80">
        <f>IF($A244="","",INDEX(tblCustomers[حد الائتمان],MATCH($A244,tblCustomers[كود العميل],0)))</f>
        <v/>
      </c>
      <c r="O244" s="83">
        <f>IF($A244="","",IF(AND(N244&gt;0,L244&gt;N244),"⛔",""))</f>
        <v/>
      </c>
    </row>
    <row r="245">
      <c r="A245" s="78">
        <f>IFERROR(INDEX(tblCustomers[كود العميل],MATCH(236,tblCustomers[ترتيب],0)),"")</f>
        <v/>
      </c>
      <c r="B245" s="79">
        <f>IF($A245="","",INDEX(tblCustomers[اسم العميل],MATCH($A245,tblCustomers[كود العميل],0)))</f>
        <v/>
      </c>
      <c r="C245" s="80">
        <f>IF($A245="","",SUMIFS(tblInv[المتبقي],tblInv[كود العميل],$A245,tblInv[الفترة],C$7))</f>
        <v/>
      </c>
      <c r="D245" s="80">
        <f>IF($A245="","",SUMIFS(tblInv[المتبقي],tblInv[كود العميل],$A245,tblInv[الفترة],D$7))</f>
        <v/>
      </c>
      <c r="E245" s="80">
        <f>IF($A245="","",SUMIFS(tblInv[المتبقي],tblInv[كود العميل],$A245,tblInv[الفترة],E$7))</f>
        <v/>
      </c>
      <c r="F245" s="80">
        <f>IF($A245="","",SUMIFS(tblInv[المتبقي],tblInv[كود العميل],$A245,tblInv[الفترة],F$7))</f>
        <v/>
      </c>
      <c r="G245" s="80">
        <f>IF($A245="","",SUMIFS(tblInv[المتبقي],tblInv[كود العميل],$A245,tblInv[الفترة],G$7))</f>
        <v/>
      </c>
      <c r="H245" s="80">
        <f>IF($A245="","",SUMIFS(tblInv[المتبقي],tblInv[كود العميل],$A245,tblInv[الفترة],H$7))</f>
        <v/>
      </c>
      <c r="I245" s="80">
        <f>IF($A245="","",SUMIFS(tblInv[المتبقي],tblInv[كود العميل],$A245,tblInv[الفترة],I$7))</f>
        <v/>
      </c>
      <c r="J245" s="80">
        <f>IF($A245="","",SUM(C245:I245))</f>
        <v/>
      </c>
      <c r="K245" s="80">
        <f>IF($A245="","",-SUMIFS(tblRec[المبلغ],tblRec[كود العميل],$A245,tblRec[رقم الفاتورة],"",tblRec[التاريخ],"&lt;="&amp;AsOf)+SUMIFS(tblInv[المتبقي],tblInv[كود العميل],$A245,tblInv[المتبقي],"&lt;0"))</f>
        <v/>
      </c>
      <c r="L245" s="81">
        <f>IF($A245="","",J245+K245)</f>
        <v/>
      </c>
      <c r="M245" s="82">
        <f>IF($A245="","",IFERROR(L245/$L$8,0))</f>
        <v/>
      </c>
      <c r="N245" s="80">
        <f>IF($A245="","",INDEX(tblCustomers[حد الائتمان],MATCH($A245,tblCustomers[كود العميل],0)))</f>
        <v/>
      </c>
      <c r="O245" s="83">
        <f>IF($A245="","",IF(AND(N245&gt;0,L245&gt;N245),"⛔",""))</f>
        <v/>
      </c>
    </row>
    <row r="246">
      <c r="A246" s="78">
        <f>IFERROR(INDEX(tblCustomers[كود العميل],MATCH(237,tblCustomers[ترتيب],0)),"")</f>
        <v/>
      </c>
      <c r="B246" s="79">
        <f>IF($A246="","",INDEX(tblCustomers[اسم العميل],MATCH($A246,tblCustomers[كود العميل],0)))</f>
        <v/>
      </c>
      <c r="C246" s="80">
        <f>IF($A246="","",SUMIFS(tblInv[المتبقي],tblInv[كود العميل],$A246,tblInv[الفترة],C$7))</f>
        <v/>
      </c>
      <c r="D246" s="80">
        <f>IF($A246="","",SUMIFS(tblInv[المتبقي],tblInv[كود العميل],$A246,tblInv[الفترة],D$7))</f>
        <v/>
      </c>
      <c r="E246" s="80">
        <f>IF($A246="","",SUMIFS(tblInv[المتبقي],tblInv[كود العميل],$A246,tblInv[الفترة],E$7))</f>
        <v/>
      </c>
      <c r="F246" s="80">
        <f>IF($A246="","",SUMIFS(tblInv[المتبقي],tblInv[كود العميل],$A246,tblInv[الفترة],F$7))</f>
        <v/>
      </c>
      <c r="G246" s="80">
        <f>IF($A246="","",SUMIFS(tblInv[المتبقي],tblInv[كود العميل],$A246,tblInv[الفترة],G$7))</f>
        <v/>
      </c>
      <c r="H246" s="80">
        <f>IF($A246="","",SUMIFS(tblInv[المتبقي],tblInv[كود العميل],$A246,tblInv[الفترة],H$7))</f>
        <v/>
      </c>
      <c r="I246" s="80">
        <f>IF($A246="","",SUMIFS(tblInv[المتبقي],tblInv[كود العميل],$A246,tblInv[الفترة],I$7))</f>
        <v/>
      </c>
      <c r="J246" s="80">
        <f>IF($A246="","",SUM(C246:I246))</f>
        <v/>
      </c>
      <c r="K246" s="80">
        <f>IF($A246="","",-SUMIFS(tblRec[المبلغ],tblRec[كود العميل],$A246,tblRec[رقم الفاتورة],"",tblRec[التاريخ],"&lt;="&amp;AsOf)+SUMIFS(tblInv[المتبقي],tblInv[كود العميل],$A246,tblInv[المتبقي],"&lt;0"))</f>
        <v/>
      </c>
      <c r="L246" s="81">
        <f>IF($A246="","",J246+K246)</f>
        <v/>
      </c>
      <c r="M246" s="82">
        <f>IF($A246="","",IFERROR(L246/$L$8,0))</f>
        <v/>
      </c>
      <c r="N246" s="80">
        <f>IF($A246="","",INDEX(tblCustomers[حد الائتمان],MATCH($A246,tblCustomers[كود العميل],0)))</f>
        <v/>
      </c>
      <c r="O246" s="83">
        <f>IF($A246="","",IF(AND(N246&gt;0,L246&gt;N246),"⛔",""))</f>
        <v/>
      </c>
    </row>
    <row r="247">
      <c r="A247" s="78">
        <f>IFERROR(INDEX(tblCustomers[كود العميل],MATCH(238,tblCustomers[ترتيب],0)),"")</f>
        <v/>
      </c>
      <c r="B247" s="79">
        <f>IF($A247="","",INDEX(tblCustomers[اسم العميل],MATCH($A247,tblCustomers[كود العميل],0)))</f>
        <v/>
      </c>
      <c r="C247" s="80">
        <f>IF($A247="","",SUMIFS(tblInv[المتبقي],tblInv[كود العميل],$A247,tblInv[الفترة],C$7))</f>
        <v/>
      </c>
      <c r="D247" s="80">
        <f>IF($A247="","",SUMIFS(tblInv[المتبقي],tblInv[كود العميل],$A247,tblInv[الفترة],D$7))</f>
        <v/>
      </c>
      <c r="E247" s="80">
        <f>IF($A247="","",SUMIFS(tblInv[المتبقي],tblInv[كود العميل],$A247,tblInv[الفترة],E$7))</f>
        <v/>
      </c>
      <c r="F247" s="80">
        <f>IF($A247="","",SUMIFS(tblInv[المتبقي],tblInv[كود العميل],$A247,tblInv[الفترة],F$7))</f>
        <v/>
      </c>
      <c r="G247" s="80">
        <f>IF($A247="","",SUMIFS(tblInv[المتبقي],tblInv[كود العميل],$A247,tblInv[الفترة],G$7))</f>
        <v/>
      </c>
      <c r="H247" s="80">
        <f>IF($A247="","",SUMIFS(tblInv[المتبقي],tblInv[كود العميل],$A247,tblInv[الفترة],H$7))</f>
        <v/>
      </c>
      <c r="I247" s="80">
        <f>IF($A247="","",SUMIFS(tblInv[المتبقي],tblInv[كود العميل],$A247,tblInv[الفترة],I$7))</f>
        <v/>
      </c>
      <c r="J247" s="80">
        <f>IF($A247="","",SUM(C247:I247))</f>
        <v/>
      </c>
      <c r="K247" s="80">
        <f>IF($A247="","",-SUMIFS(tblRec[المبلغ],tblRec[كود العميل],$A247,tblRec[رقم الفاتورة],"",tblRec[التاريخ],"&lt;="&amp;AsOf)+SUMIFS(tblInv[المتبقي],tblInv[كود العميل],$A247,tblInv[المتبقي],"&lt;0"))</f>
        <v/>
      </c>
      <c r="L247" s="81">
        <f>IF($A247="","",J247+K247)</f>
        <v/>
      </c>
      <c r="M247" s="82">
        <f>IF($A247="","",IFERROR(L247/$L$8,0))</f>
        <v/>
      </c>
      <c r="N247" s="80">
        <f>IF($A247="","",INDEX(tblCustomers[حد الائتمان],MATCH($A247,tblCustomers[كود العميل],0)))</f>
        <v/>
      </c>
      <c r="O247" s="83">
        <f>IF($A247="","",IF(AND(N247&gt;0,L247&gt;N247),"⛔",""))</f>
        <v/>
      </c>
    </row>
    <row r="248">
      <c r="A248" s="78">
        <f>IFERROR(INDEX(tblCustomers[كود العميل],MATCH(239,tblCustomers[ترتيب],0)),"")</f>
        <v/>
      </c>
      <c r="B248" s="79">
        <f>IF($A248="","",INDEX(tblCustomers[اسم العميل],MATCH($A248,tblCustomers[كود العميل],0)))</f>
        <v/>
      </c>
      <c r="C248" s="80">
        <f>IF($A248="","",SUMIFS(tblInv[المتبقي],tblInv[كود العميل],$A248,tblInv[الفترة],C$7))</f>
        <v/>
      </c>
      <c r="D248" s="80">
        <f>IF($A248="","",SUMIFS(tblInv[المتبقي],tblInv[كود العميل],$A248,tblInv[الفترة],D$7))</f>
        <v/>
      </c>
      <c r="E248" s="80">
        <f>IF($A248="","",SUMIFS(tblInv[المتبقي],tblInv[كود العميل],$A248,tblInv[الفترة],E$7))</f>
        <v/>
      </c>
      <c r="F248" s="80">
        <f>IF($A248="","",SUMIFS(tblInv[المتبقي],tblInv[كود العميل],$A248,tblInv[الفترة],F$7))</f>
        <v/>
      </c>
      <c r="G248" s="80">
        <f>IF($A248="","",SUMIFS(tblInv[المتبقي],tblInv[كود العميل],$A248,tblInv[الفترة],G$7))</f>
        <v/>
      </c>
      <c r="H248" s="80">
        <f>IF($A248="","",SUMIFS(tblInv[المتبقي],tblInv[كود العميل],$A248,tblInv[الفترة],H$7))</f>
        <v/>
      </c>
      <c r="I248" s="80">
        <f>IF($A248="","",SUMIFS(tblInv[المتبقي],tblInv[كود العميل],$A248,tblInv[الفترة],I$7))</f>
        <v/>
      </c>
      <c r="J248" s="80">
        <f>IF($A248="","",SUM(C248:I248))</f>
        <v/>
      </c>
      <c r="K248" s="80">
        <f>IF($A248="","",-SUMIFS(tblRec[المبلغ],tblRec[كود العميل],$A248,tblRec[رقم الفاتورة],"",tblRec[التاريخ],"&lt;="&amp;AsOf)+SUMIFS(tblInv[المتبقي],tblInv[كود العميل],$A248,tblInv[المتبقي],"&lt;0"))</f>
        <v/>
      </c>
      <c r="L248" s="81">
        <f>IF($A248="","",J248+K248)</f>
        <v/>
      </c>
      <c r="M248" s="82">
        <f>IF($A248="","",IFERROR(L248/$L$8,0))</f>
        <v/>
      </c>
      <c r="N248" s="80">
        <f>IF($A248="","",INDEX(tblCustomers[حد الائتمان],MATCH($A248,tblCustomers[كود العميل],0)))</f>
        <v/>
      </c>
      <c r="O248" s="83">
        <f>IF($A248="","",IF(AND(N248&gt;0,L248&gt;N248),"⛔",""))</f>
        <v/>
      </c>
    </row>
    <row r="249">
      <c r="A249" s="78">
        <f>IFERROR(INDEX(tblCustomers[كود العميل],MATCH(240,tblCustomers[ترتيب],0)),"")</f>
        <v/>
      </c>
      <c r="B249" s="79">
        <f>IF($A249="","",INDEX(tblCustomers[اسم العميل],MATCH($A249,tblCustomers[كود العميل],0)))</f>
        <v/>
      </c>
      <c r="C249" s="80">
        <f>IF($A249="","",SUMIFS(tblInv[المتبقي],tblInv[كود العميل],$A249,tblInv[الفترة],C$7))</f>
        <v/>
      </c>
      <c r="D249" s="80">
        <f>IF($A249="","",SUMIFS(tblInv[المتبقي],tblInv[كود العميل],$A249,tblInv[الفترة],D$7))</f>
        <v/>
      </c>
      <c r="E249" s="80">
        <f>IF($A249="","",SUMIFS(tblInv[المتبقي],tblInv[كود العميل],$A249,tblInv[الفترة],E$7))</f>
        <v/>
      </c>
      <c r="F249" s="80">
        <f>IF($A249="","",SUMIFS(tblInv[المتبقي],tblInv[كود العميل],$A249,tblInv[الفترة],F$7))</f>
        <v/>
      </c>
      <c r="G249" s="80">
        <f>IF($A249="","",SUMIFS(tblInv[المتبقي],tblInv[كود العميل],$A249,tblInv[الفترة],G$7))</f>
        <v/>
      </c>
      <c r="H249" s="80">
        <f>IF($A249="","",SUMIFS(tblInv[المتبقي],tblInv[كود العميل],$A249,tblInv[الفترة],H$7))</f>
        <v/>
      </c>
      <c r="I249" s="80">
        <f>IF($A249="","",SUMIFS(tblInv[المتبقي],tblInv[كود العميل],$A249,tblInv[الفترة],I$7))</f>
        <v/>
      </c>
      <c r="J249" s="80">
        <f>IF($A249="","",SUM(C249:I249))</f>
        <v/>
      </c>
      <c r="K249" s="80">
        <f>IF($A249="","",-SUMIFS(tblRec[المبلغ],tblRec[كود العميل],$A249,tblRec[رقم الفاتورة],"",tblRec[التاريخ],"&lt;="&amp;AsOf)+SUMIFS(tblInv[المتبقي],tblInv[كود العميل],$A249,tblInv[المتبقي],"&lt;0"))</f>
        <v/>
      </c>
      <c r="L249" s="81">
        <f>IF($A249="","",J249+K249)</f>
        <v/>
      </c>
      <c r="M249" s="82">
        <f>IF($A249="","",IFERROR(L249/$L$8,0))</f>
        <v/>
      </c>
      <c r="N249" s="80">
        <f>IF($A249="","",INDEX(tblCustomers[حد الائتمان],MATCH($A249,tblCustomers[كود العميل],0)))</f>
        <v/>
      </c>
      <c r="O249" s="83">
        <f>IF($A249="","",IF(AND(N249&gt;0,L249&gt;N249),"⛔",""))</f>
        <v/>
      </c>
    </row>
    <row r="250">
      <c r="A250" s="78">
        <f>IFERROR(INDEX(tblCustomers[كود العميل],MATCH(241,tblCustomers[ترتيب],0)),"")</f>
        <v/>
      </c>
      <c r="B250" s="79">
        <f>IF($A250="","",INDEX(tblCustomers[اسم العميل],MATCH($A250,tblCustomers[كود العميل],0)))</f>
        <v/>
      </c>
      <c r="C250" s="80">
        <f>IF($A250="","",SUMIFS(tblInv[المتبقي],tblInv[كود العميل],$A250,tblInv[الفترة],C$7))</f>
        <v/>
      </c>
      <c r="D250" s="80">
        <f>IF($A250="","",SUMIFS(tblInv[المتبقي],tblInv[كود العميل],$A250,tblInv[الفترة],D$7))</f>
        <v/>
      </c>
      <c r="E250" s="80">
        <f>IF($A250="","",SUMIFS(tblInv[المتبقي],tblInv[كود العميل],$A250,tblInv[الفترة],E$7))</f>
        <v/>
      </c>
      <c r="F250" s="80">
        <f>IF($A250="","",SUMIFS(tblInv[المتبقي],tblInv[كود العميل],$A250,tblInv[الفترة],F$7))</f>
        <v/>
      </c>
      <c r="G250" s="80">
        <f>IF($A250="","",SUMIFS(tblInv[المتبقي],tblInv[كود العميل],$A250,tblInv[الفترة],G$7))</f>
        <v/>
      </c>
      <c r="H250" s="80">
        <f>IF($A250="","",SUMIFS(tblInv[المتبقي],tblInv[كود العميل],$A250,tblInv[الفترة],H$7))</f>
        <v/>
      </c>
      <c r="I250" s="80">
        <f>IF($A250="","",SUMIFS(tblInv[المتبقي],tblInv[كود العميل],$A250,tblInv[الفترة],I$7))</f>
        <v/>
      </c>
      <c r="J250" s="80">
        <f>IF($A250="","",SUM(C250:I250))</f>
        <v/>
      </c>
      <c r="K250" s="80">
        <f>IF($A250="","",-SUMIFS(tblRec[المبلغ],tblRec[كود العميل],$A250,tblRec[رقم الفاتورة],"",tblRec[التاريخ],"&lt;="&amp;AsOf)+SUMIFS(tblInv[المتبقي],tblInv[كود العميل],$A250,tblInv[المتبقي],"&lt;0"))</f>
        <v/>
      </c>
      <c r="L250" s="81">
        <f>IF($A250="","",J250+K250)</f>
        <v/>
      </c>
      <c r="M250" s="82">
        <f>IF($A250="","",IFERROR(L250/$L$8,0))</f>
        <v/>
      </c>
      <c r="N250" s="80">
        <f>IF($A250="","",INDEX(tblCustomers[حد الائتمان],MATCH($A250,tblCustomers[كود العميل],0)))</f>
        <v/>
      </c>
      <c r="O250" s="83">
        <f>IF($A250="","",IF(AND(N250&gt;0,L250&gt;N250),"⛔",""))</f>
        <v/>
      </c>
    </row>
    <row r="251">
      <c r="A251" s="78">
        <f>IFERROR(INDEX(tblCustomers[كود العميل],MATCH(242,tblCustomers[ترتيب],0)),"")</f>
        <v/>
      </c>
      <c r="B251" s="79">
        <f>IF($A251="","",INDEX(tblCustomers[اسم العميل],MATCH($A251,tblCustomers[كود العميل],0)))</f>
        <v/>
      </c>
      <c r="C251" s="80">
        <f>IF($A251="","",SUMIFS(tblInv[المتبقي],tblInv[كود العميل],$A251,tblInv[الفترة],C$7))</f>
        <v/>
      </c>
      <c r="D251" s="80">
        <f>IF($A251="","",SUMIFS(tblInv[المتبقي],tblInv[كود العميل],$A251,tblInv[الفترة],D$7))</f>
        <v/>
      </c>
      <c r="E251" s="80">
        <f>IF($A251="","",SUMIFS(tblInv[المتبقي],tblInv[كود العميل],$A251,tblInv[الفترة],E$7))</f>
        <v/>
      </c>
      <c r="F251" s="80">
        <f>IF($A251="","",SUMIFS(tblInv[المتبقي],tblInv[كود العميل],$A251,tblInv[الفترة],F$7))</f>
        <v/>
      </c>
      <c r="G251" s="80">
        <f>IF($A251="","",SUMIFS(tblInv[المتبقي],tblInv[كود العميل],$A251,tblInv[الفترة],G$7))</f>
        <v/>
      </c>
      <c r="H251" s="80">
        <f>IF($A251="","",SUMIFS(tblInv[المتبقي],tblInv[كود العميل],$A251,tblInv[الفترة],H$7))</f>
        <v/>
      </c>
      <c r="I251" s="80">
        <f>IF($A251="","",SUMIFS(tblInv[المتبقي],tblInv[كود العميل],$A251,tblInv[الفترة],I$7))</f>
        <v/>
      </c>
      <c r="J251" s="80">
        <f>IF($A251="","",SUM(C251:I251))</f>
        <v/>
      </c>
      <c r="K251" s="80">
        <f>IF($A251="","",-SUMIFS(tblRec[المبلغ],tblRec[كود العميل],$A251,tblRec[رقم الفاتورة],"",tblRec[التاريخ],"&lt;="&amp;AsOf)+SUMIFS(tblInv[المتبقي],tblInv[كود العميل],$A251,tblInv[المتبقي],"&lt;0"))</f>
        <v/>
      </c>
      <c r="L251" s="81">
        <f>IF($A251="","",J251+K251)</f>
        <v/>
      </c>
      <c r="M251" s="82">
        <f>IF($A251="","",IFERROR(L251/$L$8,0))</f>
        <v/>
      </c>
      <c r="N251" s="80">
        <f>IF($A251="","",INDEX(tblCustomers[حد الائتمان],MATCH($A251,tblCustomers[كود العميل],0)))</f>
        <v/>
      </c>
      <c r="O251" s="83">
        <f>IF($A251="","",IF(AND(N251&gt;0,L251&gt;N251),"⛔",""))</f>
        <v/>
      </c>
    </row>
    <row r="252">
      <c r="A252" s="78">
        <f>IFERROR(INDEX(tblCustomers[كود العميل],MATCH(243,tblCustomers[ترتيب],0)),"")</f>
        <v/>
      </c>
      <c r="B252" s="79">
        <f>IF($A252="","",INDEX(tblCustomers[اسم العميل],MATCH($A252,tblCustomers[كود العميل],0)))</f>
        <v/>
      </c>
      <c r="C252" s="80">
        <f>IF($A252="","",SUMIFS(tblInv[المتبقي],tblInv[كود العميل],$A252,tblInv[الفترة],C$7))</f>
        <v/>
      </c>
      <c r="D252" s="80">
        <f>IF($A252="","",SUMIFS(tblInv[المتبقي],tblInv[كود العميل],$A252,tblInv[الفترة],D$7))</f>
        <v/>
      </c>
      <c r="E252" s="80">
        <f>IF($A252="","",SUMIFS(tblInv[المتبقي],tblInv[كود العميل],$A252,tblInv[الفترة],E$7))</f>
        <v/>
      </c>
      <c r="F252" s="80">
        <f>IF($A252="","",SUMIFS(tblInv[المتبقي],tblInv[كود العميل],$A252,tblInv[الفترة],F$7))</f>
        <v/>
      </c>
      <c r="G252" s="80">
        <f>IF($A252="","",SUMIFS(tblInv[المتبقي],tblInv[كود العميل],$A252,tblInv[الفترة],G$7))</f>
        <v/>
      </c>
      <c r="H252" s="80">
        <f>IF($A252="","",SUMIFS(tblInv[المتبقي],tblInv[كود العميل],$A252,tblInv[الفترة],H$7))</f>
        <v/>
      </c>
      <c r="I252" s="80">
        <f>IF($A252="","",SUMIFS(tblInv[المتبقي],tblInv[كود العميل],$A252,tblInv[الفترة],I$7))</f>
        <v/>
      </c>
      <c r="J252" s="80">
        <f>IF($A252="","",SUM(C252:I252))</f>
        <v/>
      </c>
      <c r="K252" s="80">
        <f>IF($A252="","",-SUMIFS(tblRec[المبلغ],tblRec[كود العميل],$A252,tblRec[رقم الفاتورة],"",tblRec[التاريخ],"&lt;="&amp;AsOf)+SUMIFS(tblInv[المتبقي],tblInv[كود العميل],$A252,tblInv[المتبقي],"&lt;0"))</f>
        <v/>
      </c>
      <c r="L252" s="81">
        <f>IF($A252="","",J252+K252)</f>
        <v/>
      </c>
      <c r="M252" s="82">
        <f>IF($A252="","",IFERROR(L252/$L$8,0))</f>
        <v/>
      </c>
      <c r="N252" s="80">
        <f>IF($A252="","",INDEX(tblCustomers[حد الائتمان],MATCH($A252,tblCustomers[كود العميل],0)))</f>
        <v/>
      </c>
      <c r="O252" s="83">
        <f>IF($A252="","",IF(AND(N252&gt;0,L252&gt;N252),"⛔",""))</f>
        <v/>
      </c>
    </row>
    <row r="253">
      <c r="A253" s="78">
        <f>IFERROR(INDEX(tblCustomers[كود العميل],MATCH(244,tblCustomers[ترتيب],0)),"")</f>
        <v/>
      </c>
      <c r="B253" s="79">
        <f>IF($A253="","",INDEX(tblCustomers[اسم العميل],MATCH($A253,tblCustomers[كود العميل],0)))</f>
        <v/>
      </c>
      <c r="C253" s="80">
        <f>IF($A253="","",SUMIFS(tblInv[المتبقي],tblInv[كود العميل],$A253,tblInv[الفترة],C$7))</f>
        <v/>
      </c>
      <c r="D253" s="80">
        <f>IF($A253="","",SUMIFS(tblInv[المتبقي],tblInv[كود العميل],$A253,tblInv[الفترة],D$7))</f>
        <v/>
      </c>
      <c r="E253" s="80">
        <f>IF($A253="","",SUMIFS(tblInv[المتبقي],tblInv[كود العميل],$A253,tblInv[الفترة],E$7))</f>
        <v/>
      </c>
      <c r="F253" s="80">
        <f>IF($A253="","",SUMIFS(tblInv[المتبقي],tblInv[كود العميل],$A253,tblInv[الفترة],F$7))</f>
        <v/>
      </c>
      <c r="G253" s="80">
        <f>IF($A253="","",SUMIFS(tblInv[المتبقي],tblInv[كود العميل],$A253,tblInv[الفترة],G$7))</f>
        <v/>
      </c>
      <c r="H253" s="80">
        <f>IF($A253="","",SUMIFS(tblInv[المتبقي],tblInv[كود العميل],$A253,tblInv[الفترة],H$7))</f>
        <v/>
      </c>
      <c r="I253" s="80">
        <f>IF($A253="","",SUMIFS(tblInv[المتبقي],tblInv[كود العميل],$A253,tblInv[الفترة],I$7))</f>
        <v/>
      </c>
      <c r="J253" s="80">
        <f>IF($A253="","",SUM(C253:I253))</f>
        <v/>
      </c>
      <c r="K253" s="80">
        <f>IF($A253="","",-SUMIFS(tblRec[المبلغ],tblRec[كود العميل],$A253,tblRec[رقم الفاتورة],"",tblRec[التاريخ],"&lt;="&amp;AsOf)+SUMIFS(tblInv[المتبقي],tblInv[كود العميل],$A253,tblInv[المتبقي],"&lt;0"))</f>
        <v/>
      </c>
      <c r="L253" s="81">
        <f>IF($A253="","",J253+K253)</f>
        <v/>
      </c>
      <c r="M253" s="82">
        <f>IF($A253="","",IFERROR(L253/$L$8,0))</f>
        <v/>
      </c>
      <c r="N253" s="80">
        <f>IF($A253="","",INDEX(tblCustomers[حد الائتمان],MATCH($A253,tblCustomers[كود العميل],0)))</f>
        <v/>
      </c>
      <c r="O253" s="83">
        <f>IF($A253="","",IF(AND(N253&gt;0,L253&gt;N253),"⛔",""))</f>
        <v/>
      </c>
    </row>
    <row r="254">
      <c r="A254" s="78">
        <f>IFERROR(INDEX(tblCustomers[كود العميل],MATCH(245,tblCustomers[ترتيب],0)),"")</f>
        <v/>
      </c>
      <c r="B254" s="79">
        <f>IF($A254="","",INDEX(tblCustomers[اسم العميل],MATCH($A254,tblCustomers[كود العميل],0)))</f>
        <v/>
      </c>
      <c r="C254" s="80">
        <f>IF($A254="","",SUMIFS(tblInv[المتبقي],tblInv[كود العميل],$A254,tblInv[الفترة],C$7))</f>
        <v/>
      </c>
      <c r="D254" s="80">
        <f>IF($A254="","",SUMIFS(tblInv[المتبقي],tblInv[كود العميل],$A254,tblInv[الفترة],D$7))</f>
        <v/>
      </c>
      <c r="E254" s="80">
        <f>IF($A254="","",SUMIFS(tblInv[المتبقي],tblInv[كود العميل],$A254,tblInv[الفترة],E$7))</f>
        <v/>
      </c>
      <c r="F254" s="80">
        <f>IF($A254="","",SUMIFS(tblInv[المتبقي],tblInv[كود العميل],$A254,tblInv[الفترة],F$7))</f>
        <v/>
      </c>
      <c r="G254" s="80">
        <f>IF($A254="","",SUMIFS(tblInv[المتبقي],tblInv[كود العميل],$A254,tblInv[الفترة],G$7))</f>
        <v/>
      </c>
      <c r="H254" s="80">
        <f>IF($A254="","",SUMIFS(tblInv[المتبقي],tblInv[كود العميل],$A254,tblInv[الفترة],H$7))</f>
        <v/>
      </c>
      <c r="I254" s="80">
        <f>IF($A254="","",SUMIFS(tblInv[المتبقي],tblInv[كود العميل],$A254,tblInv[الفترة],I$7))</f>
        <v/>
      </c>
      <c r="J254" s="80">
        <f>IF($A254="","",SUM(C254:I254))</f>
        <v/>
      </c>
      <c r="K254" s="80">
        <f>IF($A254="","",-SUMIFS(tblRec[المبلغ],tblRec[كود العميل],$A254,tblRec[رقم الفاتورة],"",tblRec[التاريخ],"&lt;="&amp;AsOf)+SUMIFS(tblInv[المتبقي],tblInv[كود العميل],$A254,tblInv[المتبقي],"&lt;0"))</f>
        <v/>
      </c>
      <c r="L254" s="81">
        <f>IF($A254="","",J254+K254)</f>
        <v/>
      </c>
      <c r="M254" s="82">
        <f>IF($A254="","",IFERROR(L254/$L$8,0))</f>
        <v/>
      </c>
      <c r="N254" s="80">
        <f>IF($A254="","",INDEX(tblCustomers[حد الائتمان],MATCH($A254,tblCustomers[كود العميل],0)))</f>
        <v/>
      </c>
      <c r="O254" s="83">
        <f>IF($A254="","",IF(AND(N254&gt;0,L254&gt;N254),"⛔",""))</f>
        <v/>
      </c>
    </row>
    <row r="255">
      <c r="A255" s="78">
        <f>IFERROR(INDEX(tblCustomers[كود العميل],MATCH(246,tblCustomers[ترتيب],0)),"")</f>
        <v/>
      </c>
      <c r="B255" s="79">
        <f>IF($A255="","",INDEX(tblCustomers[اسم العميل],MATCH($A255,tblCustomers[كود العميل],0)))</f>
        <v/>
      </c>
      <c r="C255" s="80">
        <f>IF($A255="","",SUMIFS(tblInv[المتبقي],tblInv[كود العميل],$A255,tblInv[الفترة],C$7))</f>
        <v/>
      </c>
      <c r="D255" s="80">
        <f>IF($A255="","",SUMIFS(tblInv[المتبقي],tblInv[كود العميل],$A255,tblInv[الفترة],D$7))</f>
        <v/>
      </c>
      <c r="E255" s="80">
        <f>IF($A255="","",SUMIFS(tblInv[المتبقي],tblInv[كود العميل],$A255,tblInv[الفترة],E$7))</f>
        <v/>
      </c>
      <c r="F255" s="80">
        <f>IF($A255="","",SUMIFS(tblInv[المتبقي],tblInv[كود العميل],$A255,tblInv[الفترة],F$7))</f>
        <v/>
      </c>
      <c r="G255" s="80">
        <f>IF($A255="","",SUMIFS(tblInv[المتبقي],tblInv[كود العميل],$A255,tblInv[الفترة],G$7))</f>
        <v/>
      </c>
      <c r="H255" s="80">
        <f>IF($A255="","",SUMIFS(tblInv[المتبقي],tblInv[كود العميل],$A255,tblInv[الفترة],H$7))</f>
        <v/>
      </c>
      <c r="I255" s="80">
        <f>IF($A255="","",SUMIFS(tblInv[المتبقي],tblInv[كود العميل],$A255,tblInv[الفترة],I$7))</f>
        <v/>
      </c>
      <c r="J255" s="80">
        <f>IF($A255="","",SUM(C255:I255))</f>
        <v/>
      </c>
      <c r="K255" s="80">
        <f>IF($A255="","",-SUMIFS(tblRec[المبلغ],tblRec[كود العميل],$A255,tblRec[رقم الفاتورة],"",tblRec[التاريخ],"&lt;="&amp;AsOf)+SUMIFS(tblInv[المتبقي],tblInv[كود العميل],$A255,tblInv[المتبقي],"&lt;0"))</f>
        <v/>
      </c>
      <c r="L255" s="81">
        <f>IF($A255="","",J255+K255)</f>
        <v/>
      </c>
      <c r="M255" s="82">
        <f>IF($A255="","",IFERROR(L255/$L$8,0))</f>
        <v/>
      </c>
      <c r="N255" s="80">
        <f>IF($A255="","",INDEX(tblCustomers[حد الائتمان],MATCH($A255,tblCustomers[كود العميل],0)))</f>
        <v/>
      </c>
      <c r="O255" s="83">
        <f>IF($A255="","",IF(AND(N255&gt;0,L255&gt;N255),"⛔",""))</f>
        <v/>
      </c>
    </row>
    <row r="256">
      <c r="A256" s="78">
        <f>IFERROR(INDEX(tblCustomers[كود العميل],MATCH(247,tblCustomers[ترتيب],0)),"")</f>
        <v/>
      </c>
      <c r="B256" s="79">
        <f>IF($A256="","",INDEX(tblCustomers[اسم العميل],MATCH($A256,tblCustomers[كود العميل],0)))</f>
        <v/>
      </c>
      <c r="C256" s="80">
        <f>IF($A256="","",SUMIFS(tblInv[المتبقي],tblInv[كود العميل],$A256,tblInv[الفترة],C$7))</f>
        <v/>
      </c>
      <c r="D256" s="80">
        <f>IF($A256="","",SUMIFS(tblInv[المتبقي],tblInv[كود العميل],$A256,tblInv[الفترة],D$7))</f>
        <v/>
      </c>
      <c r="E256" s="80">
        <f>IF($A256="","",SUMIFS(tblInv[المتبقي],tblInv[كود العميل],$A256,tblInv[الفترة],E$7))</f>
        <v/>
      </c>
      <c r="F256" s="80">
        <f>IF($A256="","",SUMIFS(tblInv[المتبقي],tblInv[كود العميل],$A256,tblInv[الفترة],F$7))</f>
        <v/>
      </c>
      <c r="G256" s="80">
        <f>IF($A256="","",SUMIFS(tblInv[المتبقي],tblInv[كود العميل],$A256,tblInv[الفترة],G$7))</f>
        <v/>
      </c>
      <c r="H256" s="80">
        <f>IF($A256="","",SUMIFS(tblInv[المتبقي],tblInv[كود العميل],$A256,tblInv[الفترة],H$7))</f>
        <v/>
      </c>
      <c r="I256" s="80">
        <f>IF($A256="","",SUMIFS(tblInv[المتبقي],tblInv[كود العميل],$A256,tblInv[الفترة],I$7))</f>
        <v/>
      </c>
      <c r="J256" s="80">
        <f>IF($A256="","",SUM(C256:I256))</f>
        <v/>
      </c>
      <c r="K256" s="80">
        <f>IF($A256="","",-SUMIFS(tblRec[المبلغ],tblRec[كود العميل],$A256,tblRec[رقم الفاتورة],"",tblRec[التاريخ],"&lt;="&amp;AsOf)+SUMIFS(tblInv[المتبقي],tblInv[كود العميل],$A256,tblInv[المتبقي],"&lt;0"))</f>
        <v/>
      </c>
      <c r="L256" s="81">
        <f>IF($A256="","",J256+K256)</f>
        <v/>
      </c>
      <c r="M256" s="82">
        <f>IF($A256="","",IFERROR(L256/$L$8,0))</f>
        <v/>
      </c>
      <c r="N256" s="80">
        <f>IF($A256="","",INDEX(tblCustomers[حد الائتمان],MATCH($A256,tblCustomers[كود العميل],0)))</f>
        <v/>
      </c>
      <c r="O256" s="83">
        <f>IF($A256="","",IF(AND(N256&gt;0,L256&gt;N256),"⛔",""))</f>
        <v/>
      </c>
    </row>
    <row r="257">
      <c r="A257" s="78">
        <f>IFERROR(INDEX(tblCustomers[كود العميل],MATCH(248,tblCustomers[ترتيب],0)),"")</f>
        <v/>
      </c>
      <c r="B257" s="79">
        <f>IF($A257="","",INDEX(tblCustomers[اسم العميل],MATCH($A257,tblCustomers[كود العميل],0)))</f>
        <v/>
      </c>
      <c r="C257" s="80">
        <f>IF($A257="","",SUMIFS(tblInv[المتبقي],tblInv[كود العميل],$A257,tblInv[الفترة],C$7))</f>
        <v/>
      </c>
      <c r="D257" s="80">
        <f>IF($A257="","",SUMIFS(tblInv[المتبقي],tblInv[كود العميل],$A257,tblInv[الفترة],D$7))</f>
        <v/>
      </c>
      <c r="E257" s="80">
        <f>IF($A257="","",SUMIFS(tblInv[المتبقي],tblInv[كود العميل],$A257,tblInv[الفترة],E$7))</f>
        <v/>
      </c>
      <c r="F257" s="80">
        <f>IF($A257="","",SUMIFS(tblInv[المتبقي],tblInv[كود العميل],$A257,tblInv[الفترة],F$7))</f>
        <v/>
      </c>
      <c r="G257" s="80">
        <f>IF($A257="","",SUMIFS(tblInv[المتبقي],tblInv[كود العميل],$A257,tblInv[الفترة],G$7))</f>
        <v/>
      </c>
      <c r="H257" s="80">
        <f>IF($A257="","",SUMIFS(tblInv[المتبقي],tblInv[كود العميل],$A257,tblInv[الفترة],H$7))</f>
        <v/>
      </c>
      <c r="I257" s="80">
        <f>IF($A257="","",SUMIFS(tblInv[المتبقي],tblInv[كود العميل],$A257,tblInv[الفترة],I$7))</f>
        <v/>
      </c>
      <c r="J257" s="80">
        <f>IF($A257="","",SUM(C257:I257))</f>
        <v/>
      </c>
      <c r="K257" s="80">
        <f>IF($A257="","",-SUMIFS(tblRec[المبلغ],tblRec[كود العميل],$A257,tblRec[رقم الفاتورة],"",tblRec[التاريخ],"&lt;="&amp;AsOf)+SUMIFS(tblInv[المتبقي],tblInv[كود العميل],$A257,tblInv[المتبقي],"&lt;0"))</f>
        <v/>
      </c>
      <c r="L257" s="81">
        <f>IF($A257="","",J257+K257)</f>
        <v/>
      </c>
      <c r="M257" s="82">
        <f>IF($A257="","",IFERROR(L257/$L$8,0))</f>
        <v/>
      </c>
      <c r="N257" s="80">
        <f>IF($A257="","",INDEX(tblCustomers[حد الائتمان],MATCH($A257,tblCustomers[كود العميل],0)))</f>
        <v/>
      </c>
      <c r="O257" s="83">
        <f>IF($A257="","",IF(AND(N257&gt;0,L257&gt;N257),"⛔",""))</f>
        <v/>
      </c>
    </row>
    <row r="258">
      <c r="A258" s="78">
        <f>IFERROR(INDEX(tblCustomers[كود العميل],MATCH(249,tblCustomers[ترتيب],0)),"")</f>
        <v/>
      </c>
      <c r="B258" s="79">
        <f>IF($A258="","",INDEX(tblCustomers[اسم العميل],MATCH($A258,tblCustomers[كود العميل],0)))</f>
        <v/>
      </c>
      <c r="C258" s="80">
        <f>IF($A258="","",SUMIFS(tblInv[المتبقي],tblInv[كود العميل],$A258,tblInv[الفترة],C$7))</f>
        <v/>
      </c>
      <c r="D258" s="80">
        <f>IF($A258="","",SUMIFS(tblInv[المتبقي],tblInv[كود العميل],$A258,tblInv[الفترة],D$7))</f>
        <v/>
      </c>
      <c r="E258" s="80">
        <f>IF($A258="","",SUMIFS(tblInv[المتبقي],tblInv[كود العميل],$A258,tblInv[الفترة],E$7))</f>
        <v/>
      </c>
      <c r="F258" s="80">
        <f>IF($A258="","",SUMIFS(tblInv[المتبقي],tblInv[كود العميل],$A258,tblInv[الفترة],F$7))</f>
        <v/>
      </c>
      <c r="G258" s="80">
        <f>IF($A258="","",SUMIFS(tblInv[المتبقي],tblInv[كود العميل],$A258,tblInv[الفترة],G$7))</f>
        <v/>
      </c>
      <c r="H258" s="80">
        <f>IF($A258="","",SUMIFS(tblInv[المتبقي],tblInv[كود العميل],$A258,tblInv[الفترة],H$7))</f>
        <v/>
      </c>
      <c r="I258" s="80">
        <f>IF($A258="","",SUMIFS(tblInv[المتبقي],tblInv[كود العميل],$A258,tblInv[الفترة],I$7))</f>
        <v/>
      </c>
      <c r="J258" s="80">
        <f>IF($A258="","",SUM(C258:I258))</f>
        <v/>
      </c>
      <c r="K258" s="80">
        <f>IF($A258="","",-SUMIFS(tblRec[المبلغ],tblRec[كود العميل],$A258,tblRec[رقم الفاتورة],"",tblRec[التاريخ],"&lt;="&amp;AsOf)+SUMIFS(tblInv[المتبقي],tblInv[كود العميل],$A258,tblInv[المتبقي],"&lt;0"))</f>
        <v/>
      </c>
      <c r="L258" s="81">
        <f>IF($A258="","",J258+K258)</f>
        <v/>
      </c>
      <c r="M258" s="82">
        <f>IF($A258="","",IFERROR(L258/$L$8,0))</f>
        <v/>
      </c>
      <c r="N258" s="80">
        <f>IF($A258="","",INDEX(tblCustomers[حد الائتمان],MATCH($A258,tblCustomers[كود العميل],0)))</f>
        <v/>
      </c>
      <c r="O258" s="83">
        <f>IF($A258="","",IF(AND(N258&gt;0,L258&gt;N258),"⛔",""))</f>
        <v/>
      </c>
    </row>
    <row r="259">
      <c r="A259" s="78">
        <f>IFERROR(INDEX(tblCustomers[كود العميل],MATCH(250,tblCustomers[ترتيب],0)),"")</f>
        <v/>
      </c>
      <c r="B259" s="79">
        <f>IF($A259="","",INDEX(tblCustomers[اسم العميل],MATCH($A259,tblCustomers[كود العميل],0)))</f>
        <v/>
      </c>
      <c r="C259" s="80">
        <f>IF($A259="","",SUMIFS(tblInv[المتبقي],tblInv[كود العميل],$A259,tblInv[الفترة],C$7))</f>
        <v/>
      </c>
      <c r="D259" s="80">
        <f>IF($A259="","",SUMIFS(tblInv[المتبقي],tblInv[كود العميل],$A259,tblInv[الفترة],D$7))</f>
        <v/>
      </c>
      <c r="E259" s="80">
        <f>IF($A259="","",SUMIFS(tblInv[المتبقي],tblInv[كود العميل],$A259,tblInv[الفترة],E$7))</f>
        <v/>
      </c>
      <c r="F259" s="80">
        <f>IF($A259="","",SUMIFS(tblInv[المتبقي],tblInv[كود العميل],$A259,tblInv[الفترة],F$7))</f>
        <v/>
      </c>
      <c r="G259" s="80">
        <f>IF($A259="","",SUMIFS(tblInv[المتبقي],tblInv[كود العميل],$A259,tblInv[الفترة],G$7))</f>
        <v/>
      </c>
      <c r="H259" s="80">
        <f>IF($A259="","",SUMIFS(tblInv[المتبقي],tblInv[كود العميل],$A259,tblInv[الفترة],H$7))</f>
        <v/>
      </c>
      <c r="I259" s="80">
        <f>IF($A259="","",SUMIFS(tblInv[المتبقي],tblInv[كود العميل],$A259,tblInv[الفترة],I$7))</f>
        <v/>
      </c>
      <c r="J259" s="80">
        <f>IF($A259="","",SUM(C259:I259))</f>
        <v/>
      </c>
      <c r="K259" s="80">
        <f>IF($A259="","",-SUMIFS(tblRec[المبلغ],tblRec[كود العميل],$A259,tblRec[رقم الفاتورة],"",tblRec[التاريخ],"&lt;="&amp;AsOf)+SUMIFS(tblInv[المتبقي],tblInv[كود العميل],$A259,tblInv[المتبقي],"&lt;0"))</f>
        <v/>
      </c>
      <c r="L259" s="81">
        <f>IF($A259="","",J259+K259)</f>
        <v/>
      </c>
      <c r="M259" s="82">
        <f>IF($A259="","",IFERROR(L259/$L$8,0))</f>
        <v/>
      </c>
      <c r="N259" s="80">
        <f>IF($A259="","",INDEX(tblCustomers[حد الائتمان],MATCH($A259,tblCustomers[كود العميل],0)))</f>
        <v/>
      </c>
      <c r="O259" s="83">
        <f>IF($A259="","",IF(AND(N259&gt;0,L259&gt;N259),"⛔",""))</f>
        <v/>
      </c>
    </row>
    <row r="260">
      <c r="A260" s="78">
        <f>IFERROR(INDEX(tblCustomers[كود العميل],MATCH(251,tblCustomers[ترتيب],0)),"")</f>
        <v/>
      </c>
      <c r="B260" s="79">
        <f>IF($A260="","",INDEX(tblCustomers[اسم العميل],MATCH($A260,tblCustomers[كود العميل],0)))</f>
        <v/>
      </c>
      <c r="C260" s="80">
        <f>IF($A260="","",SUMIFS(tblInv[المتبقي],tblInv[كود العميل],$A260,tblInv[الفترة],C$7))</f>
        <v/>
      </c>
      <c r="D260" s="80">
        <f>IF($A260="","",SUMIFS(tblInv[المتبقي],tblInv[كود العميل],$A260,tblInv[الفترة],D$7))</f>
        <v/>
      </c>
      <c r="E260" s="80">
        <f>IF($A260="","",SUMIFS(tblInv[المتبقي],tblInv[كود العميل],$A260,tblInv[الفترة],E$7))</f>
        <v/>
      </c>
      <c r="F260" s="80">
        <f>IF($A260="","",SUMIFS(tblInv[المتبقي],tblInv[كود العميل],$A260,tblInv[الفترة],F$7))</f>
        <v/>
      </c>
      <c r="G260" s="80">
        <f>IF($A260="","",SUMIFS(tblInv[المتبقي],tblInv[كود العميل],$A260,tblInv[الفترة],G$7))</f>
        <v/>
      </c>
      <c r="H260" s="80">
        <f>IF($A260="","",SUMIFS(tblInv[المتبقي],tblInv[كود العميل],$A260,tblInv[الفترة],H$7))</f>
        <v/>
      </c>
      <c r="I260" s="80">
        <f>IF($A260="","",SUMIFS(tblInv[المتبقي],tblInv[كود العميل],$A260,tblInv[الفترة],I$7))</f>
        <v/>
      </c>
      <c r="J260" s="80">
        <f>IF($A260="","",SUM(C260:I260))</f>
        <v/>
      </c>
      <c r="K260" s="80">
        <f>IF($A260="","",-SUMIFS(tblRec[المبلغ],tblRec[كود العميل],$A260,tblRec[رقم الفاتورة],"",tblRec[التاريخ],"&lt;="&amp;AsOf)+SUMIFS(tblInv[المتبقي],tblInv[كود العميل],$A260,tblInv[المتبقي],"&lt;0"))</f>
        <v/>
      </c>
      <c r="L260" s="81">
        <f>IF($A260="","",J260+K260)</f>
        <v/>
      </c>
      <c r="M260" s="82">
        <f>IF($A260="","",IFERROR(L260/$L$8,0))</f>
        <v/>
      </c>
      <c r="N260" s="80">
        <f>IF($A260="","",INDEX(tblCustomers[حد الائتمان],MATCH($A260,tblCustomers[كود العميل],0)))</f>
        <v/>
      </c>
      <c r="O260" s="83">
        <f>IF($A260="","",IF(AND(N260&gt;0,L260&gt;N260),"⛔",""))</f>
        <v/>
      </c>
    </row>
    <row r="261">
      <c r="A261" s="78">
        <f>IFERROR(INDEX(tblCustomers[كود العميل],MATCH(252,tblCustomers[ترتيب],0)),"")</f>
        <v/>
      </c>
      <c r="B261" s="79">
        <f>IF($A261="","",INDEX(tblCustomers[اسم العميل],MATCH($A261,tblCustomers[كود العميل],0)))</f>
        <v/>
      </c>
      <c r="C261" s="80">
        <f>IF($A261="","",SUMIFS(tblInv[المتبقي],tblInv[كود العميل],$A261,tblInv[الفترة],C$7))</f>
        <v/>
      </c>
      <c r="D261" s="80">
        <f>IF($A261="","",SUMIFS(tblInv[المتبقي],tblInv[كود العميل],$A261,tblInv[الفترة],D$7))</f>
        <v/>
      </c>
      <c r="E261" s="80">
        <f>IF($A261="","",SUMIFS(tblInv[المتبقي],tblInv[كود العميل],$A261,tblInv[الفترة],E$7))</f>
        <v/>
      </c>
      <c r="F261" s="80">
        <f>IF($A261="","",SUMIFS(tblInv[المتبقي],tblInv[كود العميل],$A261,tblInv[الفترة],F$7))</f>
        <v/>
      </c>
      <c r="G261" s="80">
        <f>IF($A261="","",SUMIFS(tblInv[المتبقي],tblInv[كود العميل],$A261,tblInv[الفترة],G$7))</f>
        <v/>
      </c>
      <c r="H261" s="80">
        <f>IF($A261="","",SUMIFS(tblInv[المتبقي],tblInv[كود العميل],$A261,tblInv[الفترة],H$7))</f>
        <v/>
      </c>
      <c r="I261" s="80">
        <f>IF($A261="","",SUMIFS(tblInv[المتبقي],tblInv[كود العميل],$A261,tblInv[الفترة],I$7))</f>
        <v/>
      </c>
      <c r="J261" s="80">
        <f>IF($A261="","",SUM(C261:I261))</f>
        <v/>
      </c>
      <c r="K261" s="80">
        <f>IF($A261="","",-SUMIFS(tblRec[المبلغ],tblRec[كود العميل],$A261,tblRec[رقم الفاتورة],"",tblRec[التاريخ],"&lt;="&amp;AsOf)+SUMIFS(tblInv[المتبقي],tblInv[كود العميل],$A261,tblInv[المتبقي],"&lt;0"))</f>
        <v/>
      </c>
      <c r="L261" s="81">
        <f>IF($A261="","",J261+K261)</f>
        <v/>
      </c>
      <c r="M261" s="82">
        <f>IF($A261="","",IFERROR(L261/$L$8,0))</f>
        <v/>
      </c>
      <c r="N261" s="80">
        <f>IF($A261="","",INDEX(tblCustomers[حد الائتمان],MATCH($A261,tblCustomers[كود العميل],0)))</f>
        <v/>
      </c>
      <c r="O261" s="83">
        <f>IF($A261="","",IF(AND(N261&gt;0,L261&gt;N261),"⛔",""))</f>
        <v/>
      </c>
    </row>
    <row r="262">
      <c r="A262" s="78">
        <f>IFERROR(INDEX(tblCustomers[كود العميل],MATCH(253,tblCustomers[ترتيب],0)),"")</f>
        <v/>
      </c>
      <c r="B262" s="79">
        <f>IF($A262="","",INDEX(tblCustomers[اسم العميل],MATCH($A262,tblCustomers[كود العميل],0)))</f>
        <v/>
      </c>
      <c r="C262" s="80">
        <f>IF($A262="","",SUMIFS(tblInv[المتبقي],tblInv[كود العميل],$A262,tblInv[الفترة],C$7))</f>
        <v/>
      </c>
      <c r="D262" s="80">
        <f>IF($A262="","",SUMIFS(tblInv[المتبقي],tblInv[كود العميل],$A262,tblInv[الفترة],D$7))</f>
        <v/>
      </c>
      <c r="E262" s="80">
        <f>IF($A262="","",SUMIFS(tblInv[المتبقي],tblInv[كود العميل],$A262,tblInv[الفترة],E$7))</f>
        <v/>
      </c>
      <c r="F262" s="80">
        <f>IF($A262="","",SUMIFS(tblInv[المتبقي],tblInv[كود العميل],$A262,tblInv[الفترة],F$7))</f>
        <v/>
      </c>
      <c r="G262" s="80">
        <f>IF($A262="","",SUMIFS(tblInv[المتبقي],tblInv[كود العميل],$A262,tblInv[الفترة],G$7))</f>
        <v/>
      </c>
      <c r="H262" s="80">
        <f>IF($A262="","",SUMIFS(tblInv[المتبقي],tblInv[كود العميل],$A262,tblInv[الفترة],H$7))</f>
        <v/>
      </c>
      <c r="I262" s="80">
        <f>IF($A262="","",SUMIFS(tblInv[المتبقي],tblInv[كود العميل],$A262,tblInv[الفترة],I$7))</f>
        <v/>
      </c>
      <c r="J262" s="80">
        <f>IF($A262="","",SUM(C262:I262))</f>
        <v/>
      </c>
      <c r="K262" s="80">
        <f>IF($A262="","",-SUMIFS(tblRec[المبلغ],tblRec[كود العميل],$A262,tblRec[رقم الفاتورة],"",tblRec[التاريخ],"&lt;="&amp;AsOf)+SUMIFS(tblInv[المتبقي],tblInv[كود العميل],$A262,tblInv[المتبقي],"&lt;0"))</f>
        <v/>
      </c>
      <c r="L262" s="81">
        <f>IF($A262="","",J262+K262)</f>
        <v/>
      </c>
      <c r="M262" s="82">
        <f>IF($A262="","",IFERROR(L262/$L$8,0))</f>
        <v/>
      </c>
      <c r="N262" s="80">
        <f>IF($A262="","",INDEX(tblCustomers[حد الائتمان],MATCH($A262,tblCustomers[كود العميل],0)))</f>
        <v/>
      </c>
      <c r="O262" s="83">
        <f>IF($A262="","",IF(AND(N262&gt;0,L262&gt;N262),"⛔",""))</f>
        <v/>
      </c>
    </row>
    <row r="263">
      <c r="A263" s="78">
        <f>IFERROR(INDEX(tblCustomers[كود العميل],MATCH(254,tblCustomers[ترتيب],0)),"")</f>
        <v/>
      </c>
      <c r="B263" s="79">
        <f>IF($A263="","",INDEX(tblCustomers[اسم العميل],MATCH($A263,tblCustomers[كود العميل],0)))</f>
        <v/>
      </c>
      <c r="C263" s="80">
        <f>IF($A263="","",SUMIFS(tblInv[المتبقي],tblInv[كود العميل],$A263,tblInv[الفترة],C$7))</f>
        <v/>
      </c>
      <c r="D263" s="80">
        <f>IF($A263="","",SUMIFS(tblInv[المتبقي],tblInv[كود العميل],$A263,tblInv[الفترة],D$7))</f>
        <v/>
      </c>
      <c r="E263" s="80">
        <f>IF($A263="","",SUMIFS(tblInv[المتبقي],tblInv[كود العميل],$A263,tblInv[الفترة],E$7))</f>
        <v/>
      </c>
      <c r="F263" s="80">
        <f>IF($A263="","",SUMIFS(tblInv[المتبقي],tblInv[كود العميل],$A263,tblInv[الفترة],F$7))</f>
        <v/>
      </c>
      <c r="G263" s="80">
        <f>IF($A263="","",SUMIFS(tblInv[المتبقي],tblInv[كود العميل],$A263,tblInv[الفترة],G$7))</f>
        <v/>
      </c>
      <c r="H263" s="80">
        <f>IF($A263="","",SUMIFS(tblInv[المتبقي],tblInv[كود العميل],$A263,tblInv[الفترة],H$7))</f>
        <v/>
      </c>
      <c r="I263" s="80">
        <f>IF($A263="","",SUMIFS(tblInv[المتبقي],tblInv[كود العميل],$A263,tblInv[الفترة],I$7))</f>
        <v/>
      </c>
      <c r="J263" s="80">
        <f>IF($A263="","",SUM(C263:I263))</f>
        <v/>
      </c>
      <c r="K263" s="80">
        <f>IF($A263="","",-SUMIFS(tblRec[المبلغ],tblRec[كود العميل],$A263,tblRec[رقم الفاتورة],"",tblRec[التاريخ],"&lt;="&amp;AsOf)+SUMIFS(tblInv[المتبقي],tblInv[كود العميل],$A263,tblInv[المتبقي],"&lt;0"))</f>
        <v/>
      </c>
      <c r="L263" s="81">
        <f>IF($A263="","",J263+K263)</f>
        <v/>
      </c>
      <c r="M263" s="82">
        <f>IF($A263="","",IFERROR(L263/$L$8,0))</f>
        <v/>
      </c>
      <c r="N263" s="80">
        <f>IF($A263="","",INDEX(tblCustomers[حد الائتمان],MATCH($A263,tblCustomers[كود العميل],0)))</f>
        <v/>
      </c>
      <c r="O263" s="83">
        <f>IF($A263="","",IF(AND(N263&gt;0,L263&gt;N263),"⛔",""))</f>
        <v/>
      </c>
    </row>
    <row r="264">
      <c r="A264" s="78">
        <f>IFERROR(INDEX(tblCustomers[كود العميل],MATCH(255,tblCustomers[ترتيب],0)),"")</f>
        <v/>
      </c>
      <c r="B264" s="79">
        <f>IF($A264="","",INDEX(tblCustomers[اسم العميل],MATCH($A264,tblCustomers[كود العميل],0)))</f>
        <v/>
      </c>
      <c r="C264" s="80">
        <f>IF($A264="","",SUMIFS(tblInv[المتبقي],tblInv[كود العميل],$A264,tblInv[الفترة],C$7))</f>
        <v/>
      </c>
      <c r="D264" s="80">
        <f>IF($A264="","",SUMIFS(tblInv[المتبقي],tblInv[كود العميل],$A264,tblInv[الفترة],D$7))</f>
        <v/>
      </c>
      <c r="E264" s="80">
        <f>IF($A264="","",SUMIFS(tblInv[المتبقي],tblInv[كود العميل],$A264,tblInv[الفترة],E$7))</f>
        <v/>
      </c>
      <c r="F264" s="80">
        <f>IF($A264="","",SUMIFS(tblInv[المتبقي],tblInv[كود العميل],$A264,tblInv[الفترة],F$7))</f>
        <v/>
      </c>
      <c r="G264" s="80">
        <f>IF($A264="","",SUMIFS(tblInv[المتبقي],tblInv[كود العميل],$A264,tblInv[الفترة],G$7))</f>
        <v/>
      </c>
      <c r="H264" s="80">
        <f>IF($A264="","",SUMIFS(tblInv[المتبقي],tblInv[كود العميل],$A264,tblInv[الفترة],H$7))</f>
        <v/>
      </c>
      <c r="I264" s="80">
        <f>IF($A264="","",SUMIFS(tblInv[المتبقي],tblInv[كود العميل],$A264,tblInv[الفترة],I$7))</f>
        <v/>
      </c>
      <c r="J264" s="80">
        <f>IF($A264="","",SUM(C264:I264))</f>
        <v/>
      </c>
      <c r="K264" s="80">
        <f>IF($A264="","",-SUMIFS(tblRec[المبلغ],tblRec[كود العميل],$A264,tblRec[رقم الفاتورة],"",tblRec[التاريخ],"&lt;="&amp;AsOf)+SUMIFS(tblInv[المتبقي],tblInv[كود العميل],$A264,tblInv[المتبقي],"&lt;0"))</f>
        <v/>
      </c>
      <c r="L264" s="81">
        <f>IF($A264="","",J264+K264)</f>
        <v/>
      </c>
      <c r="M264" s="82">
        <f>IF($A264="","",IFERROR(L264/$L$8,0))</f>
        <v/>
      </c>
      <c r="N264" s="80">
        <f>IF($A264="","",INDEX(tblCustomers[حد الائتمان],MATCH($A264,tblCustomers[كود العميل],0)))</f>
        <v/>
      </c>
      <c r="O264" s="83">
        <f>IF($A264="","",IF(AND(N264&gt;0,L264&gt;N264),"⛔",""))</f>
        <v/>
      </c>
    </row>
    <row r="265">
      <c r="A265" s="78">
        <f>IFERROR(INDEX(tblCustomers[كود العميل],MATCH(256,tblCustomers[ترتيب],0)),"")</f>
        <v/>
      </c>
      <c r="B265" s="79">
        <f>IF($A265="","",INDEX(tblCustomers[اسم العميل],MATCH($A265,tblCustomers[كود العميل],0)))</f>
        <v/>
      </c>
      <c r="C265" s="80">
        <f>IF($A265="","",SUMIFS(tblInv[المتبقي],tblInv[كود العميل],$A265,tblInv[الفترة],C$7))</f>
        <v/>
      </c>
      <c r="D265" s="80">
        <f>IF($A265="","",SUMIFS(tblInv[المتبقي],tblInv[كود العميل],$A265,tblInv[الفترة],D$7))</f>
        <v/>
      </c>
      <c r="E265" s="80">
        <f>IF($A265="","",SUMIFS(tblInv[المتبقي],tblInv[كود العميل],$A265,tblInv[الفترة],E$7))</f>
        <v/>
      </c>
      <c r="F265" s="80">
        <f>IF($A265="","",SUMIFS(tblInv[المتبقي],tblInv[كود العميل],$A265,tblInv[الفترة],F$7))</f>
        <v/>
      </c>
      <c r="G265" s="80">
        <f>IF($A265="","",SUMIFS(tblInv[المتبقي],tblInv[كود العميل],$A265,tblInv[الفترة],G$7))</f>
        <v/>
      </c>
      <c r="H265" s="80">
        <f>IF($A265="","",SUMIFS(tblInv[المتبقي],tblInv[كود العميل],$A265,tblInv[الفترة],H$7))</f>
        <v/>
      </c>
      <c r="I265" s="80">
        <f>IF($A265="","",SUMIFS(tblInv[المتبقي],tblInv[كود العميل],$A265,tblInv[الفترة],I$7))</f>
        <v/>
      </c>
      <c r="J265" s="80">
        <f>IF($A265="","",SUM(C265:I265))</f>
        <v/>
      </c>
      <c r="K265" s="80">
        <f>IF($A265="","",-SUMIFS(tblRec[المبلغ],tblRec[كود العميل],$A265,tblRec[رقم الفاتورة],"",tblRec[التاريخ],"&lt;="&amp;AsOf)+SUMIFS(tblInv[المتبقي],tblInv[كود العميل],$A265,tblInv[المتبقي],"&lt;0"))</f>
        <v/>
      </c>
      <c r="L265" s="81">
        <f>IF($A265="","",J265+K265)</f>
        <v/>
      </c>
      <c r="M265" s="82">
        <f>IF($A265="","",IFERROR(L265/$L$8,0))</f>
        <v/>
      </c>
      <c r="N265" s="80">
        <f>IF($A265="","",INDEX(tblCustomers[حد الائتمان],MATCH($A265,tblCustomers[كود العميل],0)))</f>
        <v/>
      </c>
      <c r="O265" s="83">
        <f>IF($A265="","",IF(AND(N265&gt;0,L265&gt;N265),"⛔",""))</f>
        <v/>
      </c>
    </row>
    <row r="266">
      <c r="A266" s="78">
        <f>IFERROR(INDEX(tblCustomers[كود العميل],MATCH(257,tblCustomers[ترتيب],0)),"")</f>
        <v/>
      </c>
      <c r="B266" s="79">
        <f>IF($A266="","",INDEX(tblCustomers[اسم العميل],MATCH($A266,tblCustomers[كود العميل],0)))</f>
        <v/>
      </c>
      <c r="C266" s="80">
        <f>IF($A266="","",SUMIFS(tblInv[المتبقي],tblInv[كود العميل],$A266,tblInv[الفترة],C$7))</f>
        <v/>
      </c>
      <c r="D266" s="80">
        <f>IF($A266="","",SUMIFS(tblInv[المتبقي],tblInv[كود العميل],$A266,tblInv[الفترة],D$7))</f>
        <v/>
      </c>
      <c r="E266" s="80">
        <f>IF($A266="","",SUMIFS(tblInv[المتبقي],tblInv[كود العميل],$A266,tblInv[الفترة],E$7))</f>
        <v/>
      </c>
      <c r="F266" s="80">
        <f>IF($A266="","",SUMIFS(tblInv[المتبقي],tblInv[كود العميل],$A266,tblInv[الفترة],F$7))</f>
        <v/>
      </c>
      <c r="G266" s="80">
        <f>IF($A266="","",SUMIFS(tblInv[المتبقي],tblInv[كود العميل],$A266,tblInv[الفترة],G$7))</f>
        <v/>
      </c>
      <c r="H266" s="80">
        <f>IF($A266="","",SUMIFS(tblInv[المتبقي],tblInv[كود العميل],$A266,tblInv[الفترة],H$7))</f>
        <v/>
      </c>
      <c r="I266" s="80">
        <f>IF($A266="","",SUMIFS(tblInv[المتبقي],tblInv[كود العميل],$A266,tblInv[الفترة],I$7))</f>
        <v/>
      </c>
      <c r="J266" s="80">
        <f>IF($A266="","",SUM(C266:I266))</f>
        <v/>
      </c>
      <c r="K266" s="80">
        <f>IF($A266="","",-SUMIFS(tblRec[المبلغ],tblRec[كود العميل],$A266,tblRec[رقم الفاتورة],"",tblRec[التاريخ],"&lt;="&amp;AsOf)+SUMIFS(tblInv[المتبقي],tblInv[كود العميل],$A266,tblInv[المتبقي],"&lt;0"))</f>
        <v/>
      </c>
      <c r="L266" s="81">
        <f>IF($A266="","",J266+K266)</f>
        <v/>
      </c>
      <c r="M266" s="82">
        <f>IF($A266="","",IFERROR(L266/$L$8,0))</f>
        <v/>
      </c>
      <c r="N266" s="80">
        <f>IF($A266="","",INDEX(tblCustomers[حد الائتمان],MATCH($A266,tblCustomers[كود العميل],0)))</f>
        <v/>
      </c>
      <c r="O266" s="83">
        <f>IF($A266="","",IF(AND(N266&gt;0,L266&gt;N266),"⛔",""))</f>
        <v/>
      </c>
    </row>
    <row r="267">
      <c r="A267" s="78">
        <f>IFERROR(INDEX(tblCustomers[كود العميل],MATCH(258,tblCustomers[ترتيب],0)),"")</f>
        <v/>
      </c>
      <c r="B267" s="79">
        <f>IF($A267="","",INDEX(tblCustomers[اسم العميل],MATCH($A267,tblCustomers[كود العميل],0)))</f>
        <v/>
      </c>
      <c r="C267" s="80">
        <f>IF($A267="","",SUMIFS(tblInv[المتبقي],tblInv[كود العميل],$A267,tblInv[الفترة],C$7))</f>
        <v/>
      </c>
      <c r="D267" s="80">
        <f>IF($A267="","",SUMIFS(tblInv[المتبقي],tblInv[كود العميل],$A267,tblInv[الفترة],D$7))</f>
        <v/>
      </c>
      <c r="E267" s="80">
        <f>IF($A267="","",SUMIFS(tblInv[المتبقي],tblInv[كود العميل],$A267,tblInv[الفترة],E$7))</f>
        <v/>
      </c>
      <c r="F267" s="80">
        <f>IF($A267="","",SUMIFS(tblInv[المتبقي],tblInv[كود العميل],$A267,tblInv[الفترة],F$7))</f>
        <v/>
      </c>
      <c r="G267" s="80">
        <f>IF($A267="","",SUMIFS(tblInv[المتبقي],tblInv[كود العميل],$A267,tblInv[الفترة],G$7))</f>
        <v/>
      </c>
      <c r="H267" s="80">
        <f>IF($A267="","",SUMIFS(tblInv[المتبقي],tblInv[كود العميل],$A267,tblInv[الفترة],H$7))</f>
        <v/>
      </c>
      <c r="I267" s="80">
        <f>IF($A267="","",SUMIFS(tblInv[المتبقي],tblInv[كود العميل],$A267,tblInv[الفترة],I$7))</f>
        <v/>
      </c>
      <c r="J267" s="80">
        <f>IF($A267="","",SUM(C267:I267))</f>
        <v/>
      </c>
      <c r="K267" s="80">
        <f>IF($A267="","",-SUMIFS(tblRec[المبلغ],tblRec[كود العميل],$A267,tblRec[رقم الفاتورة],"",tblRec[التاريخ],"&lt;="&amp;AsOf)+SUMIFS(tblInv[المتبقي],tblInv[كود العميل],$A267,tblInv[المتبقي],"&lt;0"))</f>
        <v/>
      </c>
      <c r="L267" s="81">
        <f>IF($A267="","",J267+K267)</f>
        <v/>
      </c>
      <c r="M267" s="82">
        <f>IF($A267="","",IFERROR(L267/$L$8,0))</f>
        <v/>
      </c>
      <c r="N267" s="80">
        <f>IF($A267="","",INDEX(tblCustomers[حد الائتمان],MATCH($A267,tblCustomers[كود العميل],0)))</f>
        <v/>
      </c>
      <c r="O267" s="83">
        <f>IF($A267="","",IF(AND(N267&gt;0,L267&gt;N267),"⛔",""))</f>
        <v/>
      </c>
    </row>
    <row r="268">
      <c r="A268" s="78">
        <f>IFERROR(INDEX(tblCustomers[كود العميل],MATCH(259,tblCustomers[ترتيب],0)),"")</f>
        <v/>
      </c>
      <c r="B268" s="79">
        <f>IF($A268="","",INDEX(tblCustomers[اسم العميل],MATCH($A268,tblCustomers[كود العميل],0)))</f>
        <v/>
      </c>
      <c r="C268" s="80">
        <f>IF($A268="","",SUMIFS(tblInv[المتبقي],tblInv[كود العميل],$A268,tblInv[الفترة],C$7))</f>
        <v/>
      </c>
      <c r="D268" s="80">
        <f>IF($A268="","",SUMIFS(tblInv[المتبقي],tblInv[كود العميل],$A268,tblInv[الفترة],D$7))</f>
        <v/>
      </c>
      <c r="E268" s="80">
        <f>IF($A268="","",SUMIFS(tblInv[المتبقي],tblInv[كود العميل],$A268,tblInv[الفترة],E$7))</f>
        <v/>
      </c>
      <c r="F268" s="80">
        <f>IF($A268="","",SUMIFS(tblInv[المتبقي],tblInv[كود العميل],$A268,tblInv[الفترة],F$7))</f>
        <v/>
      </c>
      <c r="G268" s="80">
        <f>IF($A268="","",SUMIFS(tblInv[المتبقي],tblInv[كود العميل],$A268,tblInv[الفترة],G$7))</f>
        <v/>
      </c>
      <c r="H268" s="80">
        <f>IF($A268="","",SUMIFS(tblInv[المتبقي],tblInv[كود العميل],$A268,tblInv[الفترة],H$7))</f>
        <v/>
      </c>
      <c r="I268" s="80">
        <f>IF($A268="","",SUMIFS(tblInv[المتبقي],tblInv[كود العميل],$A268,tblInv[الفترة],I$7))</f>
        <v/>
      </c>
      <c r="J268" s="80">
        <f>IF($A268="","",SUM(C268:I268))</f>
        <v/>
      </c>
      <c r="K268" s="80">
        <f>IF($A268="","",-SUMIFS(tblRec[المبلغ],tblRec[كود العميل],$A268,tblRec[رقم الفاتورة],"",tblRec[التاريخ],"&lt;="&amp;AsOf)+SUMIFS(tblInv[المتبقي],tblInv[كود العميل],$A268,tblInv[المتبقي],"&lt;0"))</f>
        <v/>
      </c>
      <c r="L268" s="81">
        <f>IF($A268="","",J268+K268)</f>
        <v/>
      </c>
      <c r="M268" s="82">
        <f>IF($A268="","",IFERROR(L268/$L$8,0))</f>
        <v/>
      </c>
      <c r="N268" s="80">
        <f>IF($A268="","",INDEX(tblCustomers[حد الائتمان],MATCH($A268,tblCustomers[كود العميل],0)))</f>
        <v/>
      </c>
      <c r="O268" s="83">
        <f>IF($A268="","",IF(AND(N268&gt;0,L268&gt;N268),"⛔",""))</f>
        <v/>
      </c>
    </row>
    <row r="269">
      <c r="A269" s="78">
        <f>IFERROR(INDEX(tblCustomers[كود العميل],MATCH(260,tblCustomers[ترتيب],0)),"")</f>
        <v/>
      </c>
      <c r="B269" s="79">
        <f>IF($A269="","",INDEX(tblCustomers[اسم العميل],MATCH($A269,tblCustomers[كود العميل],0)))</f>
        <v/>
      </c>
      <c r="C269" s="80">
        <f>IF($A269="","",SUMIFS(tblInv[المتبقي],tblInv[كود العميل],$A269,tblInv[الفترة],C$7))</f>
        <v/>
      </c>
      <c r="D269" s="80">
        <f>IF($A269="","",SUMIFS(tblInv[المتبقي],tblInv[كود العميل],$A269,tblInv[الفترة],D$7))</f>
        <v/>
      </c>
      <c r="E269" s="80">
        <f>IF($A269="","",SUMIFS(tblInv[المتبقي],tblInv[كود العميل],$A269,tblInv[الفترة],E$7))</f>
        <v/>
      </c>
      <c r="F269" s="80">
        <f>IF($A269="","",SUMIFS(tblInv[المتبقي],tblInv[كود العميل],$A269,tblInv[الفترة],F$7))</f>
        <v/>
      </c>
      <c r="G269" s="80">
        <f>IF($A269="","",SUMIFS(tblInv[المتبقي],tblInv[كود العميل],$A269,tblInv[الفترة],G$7))</f>
        <v/>
      </c>
      <c r="H269" s="80">
        <f>IF($A269="","",SUMIFS(tblInv[المتبقي],tblInv[كود العميل],$A269,tblInv[الفترة],H$7))</f>
        <v/>
      </c>
      <c r="I269" s="80">
        <f>IF($A269="","",SUMIFS(tblInv[المتبقي],tblInv[كود العميل],$A269,tblInv[الفترة],I$7))</f>
        <v/>
      </c>
      <c r="J269" s="80">
        <f>IF($A269="","",SUM(C269:I269))</f>
        <v/>
      </c>
      <c r="K269" s="80">
        <f>IF($A269="","",-SUMIFS(tblRec[المبلغ],tblRec[كود العميل],$A269,tblRec[رقم الفاتورة],"",tblRec[التاريخ],"&lt;="&amp;AsOf)+SUMIFS(tblInv[المتبقي],tblInv[كود العميل],$A269,tblInv[المتبقي],"&lt;0"))</f>
        <v/>
      </c>
      <c r="L269" s="81">
        <f>IF($A269="","",J269+K269)</f>
        <v/>
      </c>
      <c r="M269" s="82">
        <f>IF($A269="","",IFERROR(L269/$L$8,0))</f>
        <v/>
      </c>
      <c r="N269" s="80">
        <f>IF($A269="","",INDEX(tblCustomers[حد الائتمان],MATCH($A269,tblCustomers[كود العميل],0)))</f>
        <v/>
      </c>
      <c r="O269" s="83">
        <f>IF($A269="","",IF(AND(N269&gt;0,L269&gt;N269),"⛔",""))</f>
        <v/>
      </c>
    </row>
    <row r="270">
      <c r="A270" s="78">
        <f>IFERROR(INDEX(tblCustomers[كود العميل],MATCH(261,tblCustomers[ترتيب],0)),"")</f>
        <v/>
      </c>
      <c r="B270" s="79">
        <f>IF($A270="","",INDEX(tblCustomers[اسم العميل],MATCH($A270,tblCustomers[كود العميل],0)))</f>
        <v/>
      </c>
      <c r="C270" s="80">
        <f>IF($A270="","",SUMIFS(tblInv[المتبقي],tblInv[كود العميل],$A270,tblInv[الفترة],C$7))</f>
        <v/>
      </c>
      <c r="D270" s="80">
        <f>IF($A270="","",SUMIFS(tblInv[المتبقي],tblInv[كود العميل],$A270,tblInv[الفترة],D$7))</f>
        <v/>
      </c>
      <c r="E270" s="80">
        <f>IF($A270="","",SUMIFS(tblInv[المتبقي],tblInv[كود العميل],$A270,tblInv[الفترة],E$7))</f>
        <v/>
      </c>
      <c r="F270" s="80">
        <f>IF($A270="","",SUMIFS(tblInv[المتبقي],tblInv[كود العميل],$A270,tblInv[الفترة],F$7))</f>
        <v/>
      </c>
      <c r="G270" s="80">
        <f>IF($A270="","",SUMIFS(tblInv[المتبقي],tblInv[كود العميل],$A270,tblInv[الفترة],G$7))</f>
        <v/>
      </c>
      <c r="H270" s="80">
        <f>IF($A270="","",SUMIFS(tblInv[المتبقي],tblInv[كود العميل],$A270,tblInv[الفترة],H$7))</f>
        <v/>
      </c>
      <c r="I270" s="80">
        <f>IF($A270="","",SUMIFS(tblInv[المتبقي],tblInv[كود العميل],$A270,tblInv[الفترة],I$7))</f>
        <v/>
      </c>
      <c r="J270" s="80">
        <f>IF($A270="","",SUM(C270:I270))</f>
        <v/>
      </c>
      <c r="K270" s="80">
        <f>IF($A270="","",-SUMIFS(tblRec[المبلغ],tblRec[كود العميل],$A270,tblRec[رقم الفاتورة],"",tblRec[التاريخ],"&lt;="&amp;AsOf)+SUMIFS(tblInv[المتبقي],tblInv[كود العميل],$A270,tblInv[المتبقي],"&lt;0"))</f>
        <v/>
      </c>
      <c r="L270" s="81">
        <f>IF($A270="","",J270+K270)</f>
        <v/>
      </c>
      <c r="M270" s="82">
        <f>IF($A270="","",IFERROR(L270/$L$8,0))</f>
        <v/>
      </c>
      <c r="N270" s="80">
        <f>IF($A270="","",INDEX(tblCustomers[حد الائتمان],MATCH($A270,tblCustomers[كود العميل],0)))</f>
        <v/>
      </c>
      <c r="O270" s="83">
        <f>IF($A270="","",IF(AND(N270&gt;0,L270&gt;N270),"⛔",""))</f>
        <v/>
      </c>
    </row>
    <row r="271">
      <c r="A271" s="78">
        <f>IFERROR(INDEX(tblCustomers[كود العميل],MATCH(262,tblCustomers[ترتيب],0)),"")</f>
        <v/>
      </c>
      <c r="B271" s="79">
        <f>IF($A271="","",INDEX(tblCustomers[اسم العميل],MATCH($A271,tblCustomers[كود العميل],0)))</f>
        <v/>
      </c>
      <c r="C271" s="80">
        <f>IF($A271="","",SUMIFS(tblInv[المتبقي],tblInv[كود العميل],$A271,tblInv[الفترة],C$7))</f>
        <v/>
      </c>
      <c r="D271" s="80">
        <f>IF($A271="","",SUMIFS(tblInv[المتبقي],tblInv[كود العميل],$A271,tblInv[الفترة],D$7))</f>
        <v/>
      </c>
      <c r="E271" s="80">
        <f>IF($A271="","",SUMIFS(tblInv[المتبقي],tblInv[كود العميل],$A271,tblInv[الفترة],E$7))</f>
        <v/>
      </c>
      <c r="F271" s="80">
        <f>IF($A271="","",SUMIFS(tblInv[المتبقي],tblInv[كود العميل],$A271,tblInv[الفترة],F$7))</f>
        <v/>
      </c>
      <c r="G271" s="80">
        <f>IF($A271="","",SUMIFS(tblInv[المتبقي],tblInv[كود العميل],$A271,tblInv[الفترة],G$7))</f>
        <v/>
      </c>
      <c r="H271" s="80">
        <f>IF($A271="","",SUMIFS(tblInv[المتبقي],tblInv[كود العميل],$A271,tblInv[الفترة],H$7))</f>
        <v/>
      </c>
      <c r="I271" s="80">
        <f>IF($A271="","",SUMIFS(tblInv[المتبقي],tblInv[كود العميل],$A271,tblInv[الفترة],I$7))</f>
        <v/>
      </c>
      <c r="J271" s="80">
        <f>IF($A271="","",SUM(C271:I271))</f>
        <v/>
      </c>
      <c r="K271" s="80">
        <f>IF($A271="","",-SUMIFS(tblRec[المبلغ],tblRec[كود العميل],$A271,tblRec[رقم الفاتورة],"",tblRec[التاريخ],"&lt;="&amp;AsOf)+SUMIFS(tblInv[المتبقي],tblInv[كود العميل],$A271,tblInv[المتبقي],"&lt;0"))</f>
        <v/>
      </c>
      <c r="L271" s="81">
        <f>IF($A271="","",J271+K271)</f>
        <v/>
      </c>
      <c r="M271" s="82">
        <f>IF($A271="","",IFERROR(L271/$L$8,0))</f>
        <v/>
      </c>
      <c r="N271" s="80">
        <f>IF($A271="","",INDEX(tblCustomers[حد الائتمان],MATCH($A271,tblCustomers[كود العميل],0)))</f>
        <v/>
      </c>
      <c r="O271" s="83">
        <f>IF($A271="","",IF(AND(N271&gt;0,L271&gt;N271),"⛔",""))</f>
        <v/>
      </c>
    </row>
    <row r="272">
      <c r="A272" s="78">
        <f>IFERROR(INDEX(tblCustomers[كود العميل],MATCH(263,tblCustomers[ترتيب],0)),"")</f>
        <v/>
      </c>
      <c r="B272" s="79">
        <f>IF($A272="","",INDEX(tblCustomers[اسم العميل],MATCH($A272,tblCustomers[كود العميل],0)))</f>
        <v/>
      </c>
      <c r="C272" s="80">
        <f>IF($A272="","",SUMIFS(tblInv[المتبقي],tblInv[كود العميل],$A272,tblInv[الفترة],C$7))</f>
        <v/>
      </c>
      <c r="D272" s="80">
        <f>IF($A272="","",SUMIFS(tblInv[المتبقي],tblInv[كود العميل],$A272,tblInv[الفترة],D$7))</f>
        <v/>
      </c>
      <c r="E272" s="80">
        <f>IF($A272="","",SUMIFS(tblInv[المتبقي],tblInv[كود العميل],$A272,tblInv[الفترة],E$7))</f>
        <v/>
      </c>
      <c r="F272" s="80">
        <f>IF($A272="","",SUMIFS(tblInv[المتبقي],tblInv[كود العميل],$A272,tblInv[الفترة],F$7))</f>
        <v/>
      </c>
      <c r="G272" s="80">
        <f>IF($A272="","",SUMIFS(tblInv[المتبقي],tblInv[كود العميل],$A272,tblInv[الفترة],G$7))</f>
        <v/>
      </c>
      <c r="H272" s="80">
        <f>IF($A272="","",SUMIFS(tblInv[المتبقي],tblInv[كود العميل],$A272,tblInv[الفترة],H$7))</f>
        <v/>
      </c>
      <c r="I272" s="80">
        <f>IF($A272="","",SUMIFS(tblInv[المتبقي],tblInv[كود العميل],$A272,tblInv[الفترة],I$7))</f>
        <v/>
      </c>
      <c r="J272" s="80">
        <f>IF($A272="","",SUM(C272:I272))</f>
        <v/>
      </c>
      <c r="K272" s="80">
        <f>IF($A272="","",-SUMIFS(tblRec[المبلغ],tblRec[كود العميل],$A272,tblRec[رقم الفاتورة],"",tblRec[التاريخ],"&lt;="&amp;AsOf)+SUMIFS(tblInv[المتبقي],tblInv[كود العميل],$A272,tblInv[المتبقي],"&lt;0"))</f>
        <v/>
      </c>
      <c r="L272" s="81">
        <f>IF($A272="","",J272+K272)</f>
        <v/>
      </c>
      <c r="M272" s="82">
        <f>IF($A272="","",IFERROR(L272/$L$8,0))</f>
        <v/>
      </c>
      <c r="N272" s="80">
        <f>IF($A272="","",INDEX(tblCustomers[حد الائتمان],MATCH($A272,tblCustomers[كود العميل],0)))</f>
        <v/>
      </c>
      <c r="O272" s="83">
        <f>IF($A272="","",IF(AND(N272&gt;0,L272&gt;N272),"⛔",""))</f>
        <v/>
      </c>
    </row>
    <row r="273">
      <c r="A273" s="78">
        <f>IFERROR(INDEX(tblCustomers[كود العميل],MATCH(264,tblCustomers[ترتيب],0)),"")</f>
        <v/>
      </c>
      <c r="B273" s="79">
        <f>IF($A273="","",INDEX(tblCustomers[اسم العميل],MATCH($A273,tblCustomers[كود العميل],0)))</f>
        <v/>
      </c>
      <c r="C273" s="80">
        <f>IF($A273="","",SUMIFS(tblInv[المتبقي],tblInv[كود العميل],$A273,tblInv[الفترة],C$7))</f>
        <v/>
      </c>
      <c r="D273" s="80">
        <f>IF($A273="","",SUMIFS(tblInv[المتبقي],tblInv[كود العميل],$A273,tblInv[الفترة],D$7))</f>
        <v/>
      </c>
      <c r="E273" s="80">
        <f>IF($A273="","",SUMIFS(tblInv[المتبقي],tblInv[كود العميل],$A273,tblInv[الفترة],E$7))</f>
        <v/>
      </c>
      <c r="F273" s="80">
        <f>IF($A273="","",SUMIFS(tblInv[المتبقي],tblInv[كود العميل],$A273,tblInv[الفترة],F$7))</f>
        <v/>
      </c>
      <c r="G273" s="80">
        <f>IF($A273="","",SUMIFS(tblInv[المتبقي],tblInv[كود العميل],$A273,tblInv[الفترة],G$7))</f>
        <v/>
      </c>
      <c r="H273" s="80">
        <f>IF($A273="","",SUMIFS(tblInv[المتبقي],tblInv[كود العميل],$A273,tblInv[الفترة],H$7))</f>
        <v/>
      </c>
      <c r="I273" s="80">
        <f>IF($A273="","",SUMIFS(tblInv[المتبقي],tblInv[كود العميل],$A273,tblInv[الفترة],I$7))</f>
        <v/>
      </c>
      <c r="J273" s="80">
        <f>IF($A273="","",SUM(C273:I273))</f>
        <v/>
      </c>
      <c r="K273" s="80">
        <f>IF($A273="","",-SUMIFS(tblRec[المبلغ],tblRec[كود العميل],$A273,tblRec[رقم الفاتورة],"",tblRec[التاريخ],"&lt;="&amp;AsOf)+SUMIFS(tblInv[المتبقي],tblInv[كود العميل],$A273,tblInv[المتبقي],"&lt;0"))</f>
        <v/>
      </c>
      <c r="L273" s="81">
        <f>IF($A273="","",J273+K273)</f>
        <v/>
      </c>
      <c r="M273" s="82">
        <f>IF($A273="","",IFERROR(L273/$L$8,0))</f>
        <v/>
      </c>
      <c r="N273" s="80">
        <f>IF($A273="","",INDEX(tblCustomers[حد الائتمان],MATCH($A273,tblCustomers[كود العميل],0)))</f>
        <v/>
      </c>
      <c r="O273" s="83">
        <f>IF($A273="","",IF(AND(N273&gt;0,L273&gt;N273),"⛔",""))</f>
        <v/>
      </c>
    </row>
    <row r="274">
      <c r="A274" s="78">
        <f>IFERROR(INDEX(tblCustomers[كود العميل],MATCH(265,tblCustomers[ترتيب],0)),"")</f>
        <v/>
      </c>
      <c r="B274" s="79">
        <f>IF($A274="","",INDEX(tblCustomers[اسم العميل],MATCH($A274,tblCustomers[كود العميل],0)))</f>
        <v/>
      </c>
      <c r="C274" s="80">
        <f>IF($A274="","",SUMIFS(tblInv[المتبقي],tblInv[كود العميل],$A274,tblInv[الفترة],C$7))</f>
        <v/>
      </c>
      <c r="D274" s="80">
        <f>IF($A274="","",SUMIFS(tblInv[المتبقي],tblInv[كود العميل],$A274,tblInv[الفترة],D$7))</f>
        <v/>
      </c>
      <c r="E274" s="80">
        <f>IF($A274="","",SUMIFS(tblInv[المتبقي],tblInv[كود العميل],$A274,tblInv[الفترة],E$7))</f>
        <v/>
      </c>
      <c r="F274" s="80">
        <f>IF($A274="","",SUMIFS(tblInv[المتبقي],tblInv[كود العميل],$A274,tblInv[الفترة],F$7))</f>
        <v/>
      </c>
      <c r="G274" s="80">
        <f>IF($A274="","",SUMIFS(tblInv[المتبقي],tblInv[كود العميل],$A274,tblInv[الفترة],G$7))</f>
        <v/>
      </c>
      <c r="H274" s="80">
        <f>IF($A274="","",SUMIFS(tblInv[المتبقي],tblInv[كود العميل],$A274,tblInv[الفترة],H$7))</f>
        <v/>
      </c>
      <c r="I274" s="80">
        <f>IF($A274="","",SUMIFS(tblInv[المتبقي],tblInv[كود العميل],$A274,tblInv[الفترة],I$7))</f>
        <v/>
      </c>
      <c r="J274" s="80">
        <f>IF($A274="","",SUM(C274:I274))</f>
        <v/>
      </c>
      <c r="K274" s="80">
        <f>IF($A274="","",-SUMIFS(tblRec[المبلغ],tblRec[كود العميل],$A274,tblRec[رقم الفاتورة],"",tblRec[التاريخ],"&lt;="&amp;AsOf)+SUMIFS(tblInv[المتبقي],tblInv[كود العميل],$A274,tblInv[المتبقي],"&lt;0"))</f>
        <v/>
      </c>
      <c r="L274" s="81">
        <f>IF($A274="","",J274+K274)</f>
        <v/>
      </c>
      <c r="M274" s="82">
        <f>IF($A274="","",IFERROR(L274/$L$8,0))</f>
        <v/>
      </c>
      <c r="N274" s="80">
        <f>IF($A274="","",INDEX(tblCustomers[حد الائتمان],MATCH($A274,tblCustomers[كود العميل],0)))</f>
        <v/>
      </c>
      <c r="O274" s="83">
        <f>IF($A274="","",IF(AND(N274&gt;0,L274&gt;N274),"⛔",""))</f>
        <v/>
      </c>
    </row>
    <row r="275">
      <c r="A275" s="78">
        <f>IFERROR(INDEX(tblCustomers[كود العميل],MATCH(266,tblCustomers[ترتيب],0)),"")</f>
        <v/>
      </c>
      <c r="B275" s="79">
        <f>IF($A275="","",INDEX(tblCustomers[اسم العميل],MATCH($A275,tblCustomers[كود العميل],0)))</f>
        <v/>
      </c>
      <c r="C275" s="80">
        <f>IF($A275="","",SUMIFS(tblInv[المتبقي],tblInv[كود العميل],$A275,tblInv[الفترة],C$7))</f>
        <v/>
      </c>
      <c r="D275" s="80">
        <f>IF($A275="","",SUMIFS(tblInv[المتبقي],tblInv[كود العميل],$A275,tblInv[الفترة],D$7))</f>
        <v/>
      </c>
      <c r="E275" s="80">
        <f>IF($A275="","",SUMIFS(tblInv[المتبقي],tblInv[كود العميل],$A275,tblInv[الفترة],E$7))</f>
        <v/>
      </c>
      <c r="F275" s="80">
        <f>IF($A275="","",SUMIFS(tblInv[المتبقي],tblInv[كود العميل],$A275,tblInv[الفترة],F$7))</f>
        <v/>
      </c>
      <c r="G275" s="80">
        <f>IF($A275="","",SUMIFS(tblInv[المتبقي],tblInv[كود العميل],$A275,tblInv[الفترة],G$7))</f>
        <v/>
      </c>
      <c r="H275" s="80">
        <f>IF($A275="","",SUMIFS(tblInv[المتبقي],tblInv[كود العميل],$A275,tblInv[الفترة],H$7))</f>
        <v/>
      </c>
      <c r="I275" s="80">
        <f>IF($A275="","",SUMIFS(tblInv[المتبقي],tblInv[كود العميل],$A275,tblInv[الفترة],I$7))</f>
        <v/>
      </c>
      <c r="J275" s="80">
        <f>IF($A275="","",SUM(C275:I275))</f>
        <v/>
      </c>
      <c r="K275" s="80">
        <f>IF($A275="","",-SUMIFS(tblRec[المبلغ],tblRec[كود العميل],$A275,tblRec[رقم الفاتورة],"",tblRec[التاريخ],"&lt;="&amp;AsOf)+SUMIFS(tblInv[المتبقي],tblInv[كود العميل],$A275,tblInv[المتبقي],"&lt;0"))</f>
        <v/>
      </c>
      <c r="L275" s="81">
        <f>IF($A275="","",J275+K275)</f>
        <v/>
      </c>
      <c r="M275" s="82">
        <f>IF($A275="","",IFERROR(L275/$L$8,0))</f>
        <v/>
      </c>
      <c r="N275" s="80">
        <f>IF($A275="","",INDEX(tblCustomers[حد الائتمان],MATCH($A275,tblCustomers[كود العميل],0)))</f>
        <v/>
      </c>
      <c r="O275" s="83">
        <f>IF($A275="","",IF(AND(N275&gt;0,L275&gt;N275),"⛔",""))</f>
        <v/>
      </c>
    </row>
    <row r="276">
      <c r="A276" s="78">
        <f>IFERROR(INDEX(tblCustomers[كود العميل],MATCH(267,tblCustomers[ترتيب],0)),"")</f>
        <v/>
      </c>
      <c r="B276" s="79">
        <f>IF($A276="","",INDEX(tblCustomers[اسم العميل],MATCH($A276,tblCustomers[كود العميل],0)))</f>
        <v/>
      </c>
      <c r="C276" s="80">
        <f>IF($A276="","",SUMIFS(tblInv[المتبقي],tblInv[كود العميل],$A276,tblInv[الفترة],C$7))</f>
        <v/>
      </c>
      <c r="D276" s="80">
        <f>IF($A276="","",SUMIFS(tblInv[المتبقي],tblInv[كود العميل],$A276,tblInv[الفترة],D$7))</f>
        <v/>
      </c>
      <c r="E276" s="80">
        <f>IF($A276="","",SUMIFS(tblInv[المتبقي],tblInv[كود العميل],$A276,tblInv[الفترة],E$7))</f>
        <v/>
      </c>
      <c r="F276" s="80">
        <f>IF($A276="","",SUMIFS(tblInv[المتبقي],tblInv[كود العميل],$A276,tblInv[الفترة],F$7))</f>
        <v/>
      </c>
      <c r="G276" s="80">
        <f>IF($A276="","",SUMIFS(tblInv[المتبقي],tblInv[كود العميل],$A276,tblInv[الفترة],G$7))</f>
        <v/>
      </c>
      <c r="H276" s="80">
        <f>IF($A276="","",SUMIFS(tblInv[المتبقي],tblInv[كود العميل],$A276,tblInv[الفترة],H$7))</f>
        <v/>
      </c>
      <c r="I276" s="80">
        <f>IF($A276="","",SUMIFS(tblInv[المتبقي],tblInv[كود العميل],$A276,tblInv[الفترة],I$7))</f>
        <v/>
      </c>
      <c r="J276" s="80">
        <f>IF($A276="","",SUM(C276:I276))</f>
        <v/>
      </c>
      <c r="K276" s="80">
        <f>IF($A276="","",-SUMIFS(tblRec[المبلغ],tblRec[كود العميل],$A276,tblRec[رقم الفاتورة],"",tblRec[التاريخ],"&lt;="&amp;AsOf)+SUMIFS(tblInv[المتبقي],tblInv[كود العميل],$A276,tblInv[المتبقي],"&lt;0"))</f>
        <v/>
      </c>
      <c r="L276" s="81">
        <f>IF($A276="","",J276+K276)</f>
        <v/>
      </c>
      <c r="M276" s="82">
        <f>IF($A276="","",IFERROR(L276/$L$8,0))</f>
        <v/>
      </c>
      <c r="N276" s="80">
        <f>IF($A276="","",INDEX(tblCustomers[حد الائتمان],MATCH($A276,tblCustomers[كود العميل],0)))</f>
        <v/>
      </c>
      <c r="O276" s="83">
        <f>IF($A276="","",IF(AND(N276&gt;0,L276&gt;N276),"⛔",""))</f>
        <v/>
      </c>
    </row>
    <row r="277">
      <c r="A277" s="78">
        <f>IFERROR(INDEX(tblCustomers[كود العميل],MATCH(268,tblCustomers[ترتيب],0)),"")</f>
        <v/>
      </c>
      <c r="B277" s="79">
        <f>IF($A277="","",INDEX(tblCustomers[اسم العميل],MATCH($A277,tblCustomers[كود العميل],0)))</f>
        <v/>
      </c>
      <c r="C277" s="80">
        <f>IF($A277="","",SUMIFS(tblInv[المتبقي],tblInv[كود العميل],$A277,tblInv[الفترة],C$7))</f>
        <v/>
      </c>
      <c r="D277" s="80">
        <f>IF($A277="","",SUMIFS(tblInv[المتبقي],tblInv[كود العميل],$A277,tblInv[الفترة],D$7))</f>
        <v/>
      </c>
      <c r="E277" s="80">
        <f>IF($A277="","",SUMIFS(tblInv[المتبقي],tblInv[كود العميل],$A277,tblInv[الفترة],E$7))</f>
        <v/>
      </c>
      <c r="F277" s="80">
        <f>IF($A277="","",SUMIFS(tblInv[المتبقي],tblInv[كود العميل],$A277,tblInv[الفترة],F$7))</f>
        <v/>
      </c>
      <c r="G277" s="80">
        <f>IF($A277="","",SUMIFS(tblInv[المتبقي],tblInv[كود العميل],$A277,tblInv[الفترة],G$7))</f>
        <v/>
      </c>
      <c r="H277" s="80">
        <f>IF($A277="","",SUMIFS(tblInv[المتبقي],tblInv[كود العميل],$A277,tblInv[الفترة],H$7))</f>
        <v/>
      </c>
      <c r="I277" s="80">
        <f>IF($A277="","",SUMIFS(tblInv[المتبقي],tblInv[كود العميل],$A277,tblInv[الفترة],I$7))</f>
        <v/>
      </c>
      <c r="J277" s="80">
        <f>IF($A277="","",SUM(C277:I277))</f>
        <v/>
      </c>
      <c r="K277" s="80">
        <f>IF($A277="","",-SUMIFS(tblRec[المبلغ],tblRec[كود العميل],$A277,tblRec[رقم الفاتورة],"",tblRec[التاريخ],"&lt;="&amp;AsOf)+SUMIFS(tblInv[المتبقي],tblInv[كود العميل],$A277,tblInv[المتبقي],"&lt;0"))</f>
        <v/>
      </c>
      <c r="L277" s="81">
        <f>IF($A277="","",J277+K277)</f>
        <v/>
      </c>
      <c r="M277" s="82">
        <f>IF($A277="","",IFERROR(L277/$L$8,0))</f>
        <v/>
      </c>
      <c r="N277" s="80">
        <f>IF($A277="","",INDEX(tblCustomers[حد الائتمان],MATCH($A277,tblCustomers[كود العميل],0)))</f>
        <v/>
      </c>
      <c r="O277" s="83">
        <f>IF($A277="","",IF(AND(N277&gt;0,L277&gt;N277),"⛔",""))</f>
        <v/>
      </c>
    </row>
    <row r="278">
      <c r="A278" s="78">
        <f>IFERROR(INDEX(tblCustomers[كود العميل],MATCH(269,tblCustomers[ترتيب],0)),"")</f>
        <v/>
      </c>
      <c r="B278" s="79">
        <f>IF($A278="","",INDEX(tblCustomers[اسم العميل],MATCH($A278,tblCustomers[كود العميل],0)))</f>
        <v/>
      </c>
      <c r="C278" s="80">
        <f>IF($A278="","",SUMIFS(tblInv[المتبقي],tblInv[كود العميل],$A278,tblInv[الفترة],C$7))</f>
        <v/>
      </c>
      <c r="D278" s="80">
        <f>IF($A278="","",SUMIFS(tblInv[المتبقي],tblInv[كود العميل],$A278,tblInv[الفترة],D$7))</f>
        <v/>
      </c>
      <c r="E278" s="80">
        <f>IF($A278="","",SUMIFS(tblInv[المتبقي],tblInv[كود العميل],$A278,tblInv[الفترة],E$7))</f>
        <v/>
      </c>
      <c r="F278" s="80">
        <f>IF($A278="","",SUMIFS(tblInv[المتبقي],tblInv[كود العميل],$A278,tblInv[الفترة],F$7))</f>
        <v/>
      </c>
      <c r="G278" s="80">
        <f>IF($A278="","",SUMIFS(tblInv[المتبقي],tblInv[كود العميل],$A278,tblInv[الفترة],G$7))</f>
        <v/>
      </c>
      <c r="H278" s="80">
        <f>IF($A278="","",SUMIFS(tblInv[المتبقي],tblInv[كود العميل],$A278,tblInv[الفترة],H$7))</f>
        <v/>
      </c>
      <c r="I278" s="80">
        <f>IF($A278="","",SUMIFS(tblInv[المتبقي],tblInv[كود العميل],$A278,tblInv[الفترة],I$7))</f>
        <v/>
      </c>
      <c r="J278" s="80">
        <f>IF($A278="","",SUM(C278:I278))</f>
        <v/>
      </c>
      <c r="K278" s="80">
        <f>IF($A278="","",-SUMIFS(tblRec[المبلغ],tblRec[كود العميل],$A278,tblRec[رقم الفاتورة],"",tblRec[التاريخ],"&lt;="&amp;AsOf)+SUMIFS(tblInv[المتبقي],tblInv[كود العميل],$A278,tblInv[المتبقي],"&lt;0"))</f>
        <v/>
      </c>
      <c r="L278" s="81">
        <f>IF($A278="","",J278+K278)</f>
        <v/>
      </c>
      <c r="M278" s="82">
        <f>IF($A278="","",IFERROR(L278/$L$8,0))</f>
        <v/>
      </c>
      <c r="N278" s="80">
        <f>IF($A278="","",INDEX(tblCustomers[حد الائتمان],MATCH($A278,tblCustomers[كود العميل],0)))</f>
        <v/>
      </c>
      <c r="O278" s="83">
        <f>IF($A278="","",IF(AND(N278&gt;0,L278&gt;N278),"⛔",""))</f>
        <v/>
      </c>
    </row>
    <row r="279">
      <c r="A279" s="78">
        <f>IFERROR(INDEX(tblCustomers[كود العميل],MATCH(270,tblCustomers[ترتيب],0)),"")</f>
        <v/>
      </c>
      <c r="B279" s="79">
        <f>IF($A279="","",INDEX(tblCustomers[اسم العميل],MATCH($A279,tblCustomers[كود العميل],0)))</f>
        <v/>
      </c>
      <c r="C279" s="80">
        <f>IF($A279="","",SUMIFS(tblInv[المتبقي],tblInv[كود العميل],$A279,tblInv[الفترة],C$7))</f>
        <v/>
      </c>
      <c r="D279" s="80">
        <f>IF($A279="","",SUMIFS(tblInv[المتبقي],tblInv[كود العميل],$A279,tblInv[الفترة],D$7))</f>
        <v/>
      </c>
      <c r="E279" s="80">
        <f>IF($A279="","",SUMIFS(tblInv[المتبقي],tblInv[كود العميل],$A279,tblInv[الفترة],E$7))</f>
        <v/>
      </c>
      <c r="F279" s="80">
        <f>IF($A279="","",SUMIFS(tblInv[المتبقي],tblInv[كود العميل],$A279,tblInv[الفترة],F$7))</f>
        <v/>
      </c>
      <c r="G279" s="80">
        <f>IF($A279="","",SUMIFS(tblInv[المتبقي],tblInv[كود العميل],$A279,tblInv[الفترة],G$7))</f>
        <v/>
      </c>
      <c r="H279" s="80">
        <f>IF($A279="","",SUMIFS(tblInv[المتبقي],tblInv[كود العميل],$A279,tblInv[الفترة],H$7))</f>
        <v/>
      </c>
      <c r="I279" s="80">
        <f>IF($A279="","",SUMIFS(tblInv[المتبقي],tblInv[كود العميل],$A279,tblInv[الفترة],I$7))</f>
        <v/>
      </c>
      <c r="J279" s="80">
        <f>IF($A279="","",SUM(C279:I279))</f>
        <v/>
      </c>
      <c r="K279" s="80">
        <f>IF($A279="","",-SUMIFS(tblRec[المبلغ],tblRec[كود العميل],$A279,tblRec[رقم الفاتورة],"",tblRec[التاريخ],"&lt;="&amp;AsOf)+SUMIFS(tblInv[المتبقي],tblInv[كود العميل],$A279,tblInv[المتبقي],"&lt;0"))</f>
        <v/>
      </c>
      <c r="L279" s="81">
        <f>IF($A279="","",J279+K279)</f>
        <v/>
      </c>
      <c r="M279" s="82">
        <f>IF($A279="","",IFERROR(L279/$L$8,0))</f>
        <v/>
      </c>
      <c r="N279" s="80">
        <f>IF($A279="","",INDEX(tblCustomers[حد الائتمان],MATCH($A279,tblCustomers[كود العميل],0)))</f>
        <v/>
      </c>
      <c r="O279" s="83">
        <f>IF($A279="","",IF(AND(N279&gt;0,L279&gt;N279),"⛔",""))</f>
        <v/>
      </c>
    </row>
    <row r="280">
      <c r="A280" s="78">
        <f>IFERROR(INDEX(tblCustomers[كود العميل],MATCH(271,tblCustomers[ترتيب],0)),"")</f>
        <v/>
      </c>
      <c r="B280" s="79">
        <f>IF($A280="","",INDEX(tblCustomers[اسم العميل],MATCH($A280,tblCustomers[كود العميل],0)))</f>
        <v/>
      </c>
      <c r="C280" s="80">
        <f>IF($A280="","",SUMIFS(tblInv[المتبقي],tblInv[كود العميل],$A280,tblInv[الفترة],C$7))</f>
        <v/>
      </c>
      <c r="D280" s="80">
        <f>IF($A280="","",SUMIFS(tblInv[المتبقي],tblInv[كود العميل],$A280,tblInv[الفترة],D$7))</f>
        <v/>
      </c>
      <c r="E280" s="80">
        <f>IF($A280="","",SUMIFS(tblInv[المتبقي],tblInv[كود العميل],$A280,tblInv[الفترة],E$7))</f>
        <v/>
      </c>
      <c r="F280" s="80">
        <f>IF($A280="","",SUMIFS(tblInv[المتبقي],tblInv[كود العميل],$A280,tblInv[الفترة],F$7))</f>
        <v/>
      </c>
      <c r="G280" s="80">
        <f>IF($A280="","",SUMIFS(tblInv[المتبقي],tblInv[كود العميل],$A280,tblInv[الفترة],G$7))</f>
        <v/>
      </c>
      <c r="H280" s="80">
        <f>IF($A280="","",SUMIFS(tblInv[المتبقي],tblInv[كود العميل],$A280,tblInv[الفترة],H$7))</f>
        <v/>
      </c>
      <c r="I280" s="80">
        <f>IF($A280="","",SUMIFS(tblInv[المتبقي],tblInv[كود العميل],$A280,tblInv[الفترة],I$7))</f>
        <v/>
      </c>
      <c r="J280" s="80">
        <f>IF($A280="","",SUM(C280:I280))</f>
        <v/>
      </c>
      <c r="K280" s="80">
        <f>IF($A280="","",-SUMIFS(tblRec[المبلغ],tblRec[كود العميل],$A280,tblRec[رقم الفاتورة],"",tblRec[التاريخ],"&lt;="&amp;AsOf)+SUMIFS(tblInv[المتبقي],tblInv[كود العميل],$A280,tblInv[المتبقي],"&lt;0"))</f>
        <v/>
      </c>
      <c r="L280" s="81">
        <f>IF($A280="","",J280+K280)</f>
        <v/>
      </c>
      <c r="M280" s="82">
        <f>IF($A280="","",IFERROR(L280/$L$8,0))</f>
        <v/>
      </c>
      <c r="N280" s="80">
        <f>IF($A280="","",INDEX(tblCustomers[حد الائتمان],MATCH($A280,tblCustomers[كود العميل],0)))</f>
        <v/>
      </c>
      <c r="O280" s="83">
        <f>IF($A280="","",IF(AND(N280&gt;0,L280&gt;N280),"⛔",""))</f>
        <v/>
      </c>
    </row>
    <row r="281">
      <c r="A281" s="78">
        <f>IFERROR(INDEX(tblCustomers[كود العميل],MATCH(272,tblCustomers[ترتيب],0)),"")</f>
        <v/>
      </c>
      <c r="B281" s="79">
        <f>IF($A281="","",INDEX(tblCustomers[اسم العميل],MATCH($A281,tblCustomers[كود العميل],0)))</f>
        <v/>
      </c>
      <c r="C281" s="80">
        <f>IF($A281="","",SUMIFS(tblInv[المتبقي],tblInv[كود العميل],$A281,tblInv[الفترة],C$7))</f>
        <v/>
      </c>
      <c r="D281" s="80">
        <f>IF($A281="","",SUMIFS(tblInv[المتبقي],tblInv[كود العميل],$A281,tblInv[الفترة],D$7))</f>
        <v/>
      </c>
      <c r="E281" s="80">
        <f>IF($A281="","",SUMIFS(tblInv[المتبقي],tblInv[كود العميل],$A281,tblInv[الفترة],E$7))</f>
        <v/>
      </c>
      <c r="F281" s="80">
        <f>IF($A281="","",SUMIFS(tblInv[المتبقي],tblInv[كود العميل],$A281,tblInv[الفترة],F$7))</f>
        <v/>
      </c>
      <c r="G281" s="80">
        <f>IF($A281="","",SUMIFS(tblInv[المتبقي],tblInv[كود العميل],$A281,tblInv[الفترة],G$7))</f>
        <v/>
      </c>
      <c r="H281" s="80">
        <f>IF($A281="","",SUMIFS(tblInv[المتبقي],tblInv[كود العميل],$A281,tblInv[الفترة],H$7))</f>
        <v/>
      </c>
      <c r="I281" s="80">
        <f>IF($A281="","",SUMIFS(tblInv[المتبقي],tblInv[كود العميل],$A281,tblInv[الفترة],I$7))</f>
        <v/>
      </c>
      <c r="J281" s="80">
        <f>IF($A281="","",SUM(C281:I281))</f>
        <v/>
      </c>
      <c r="K281" s="80">
        <f>IF($A281="","",-SUMIFS(tblRec[المبلغ],tblRec[كود العميل],$A281,tblRec[رقم الفاتورة],"",tblRec[التاريخ],"&lt;="&amp;AsOf)+SUMIFS(tblInv[المتبقي],tblInv[كود العميل],$A281,tblInv[المتبقي],"&lt;0"))</f>
        <v/>
      </c>
      <c r="L281" s="81">
        <f>IF($A281="","",J281+K281)</f>
        <v/>
      </c>
      <c r="M281" s="82">
        <f>IF($A281="","",IFERROR(L281/$L$8,0))</f>
        <v/>
      </c>
      <c r="N281" s="80">
        <f>IF($A281="","",INDEX(tblCustomers[حد الائتمان],MATCH($A281,tblCustomers[كود العميل],0)))</f>
        <v/>
      </c>
      <c r="O281" s="83">
        <f>IF($A281="","",IF(AND(N281&gt;0,L281&gt;N281),"⛔",""))</f>
        <v/>
      </c>
    </row>
    <row r="282">
      <c r="A282" s="78">
        <f>IFERROR(INDEX(tblCustomers[كود العميل],MATCH(273,tblCustomers[ترتيب],0)),"")</f>
        <v/>
      </c>
      <c r="B282" s="79">
        <f>IF($A282="","",INDEX(tblCustomers[اسم العميل],MATCH($A282,tblCustomers[كود العميل],0)))</f>
        <v/>
      </c>
      <c r="C282" s="80">
        <f>IF($A282="","",SUMIFS(tblInv[المتبقي],tblInv[كود العميل],$A282,tblInv[الفترة],C$7))</f>
        <v/>
      </c>
      <c r="D282" s="80">
        <f>IF($A282="","",SUMIFS(tblInv[المتبقي],tblInv[كود العميل],$A282,tblInv[الفترة],D$7))</f>
        <v/>
      </c>
      <c r="E282" s="80">
        <f>IF($A282="","",SUMIFS(tblInv[المتبقي],tblInv[كود العميل],$A282,tblInv[الفترة],E$7))</f>
        <v/>
      </c>
      <c r="F282" s="80">
        <f>IF($A282="","",SUMIFS(tblInv[المتبقي],tblInv[كود العميل],$A282,tblInv[الفترة],F$7))</f>
        <v/>
      </c>
      <c r="G282" s="80">
        <f>IF($A282="","",SUMIFS(tblInv[المتبقي],tblInv[كود العميل],$A282,tblInv[الفترة],G$7))</f>
        <v/>
      </c>
      <c r="H282" s="80">
        <f>IF($A282="","",SUMIFS(tblInv[المتبقي],tblInv[كود العميل],$A282,tblInv[الفترة],H$7))</f>
        <v/>
      </c>
      <c r="I282" s="80">
        <f>IF($A282="","",SUMIFS(tblInv[المتبقي],tblInv[كود العميل],$A282,tblInv[الفترة],I$7))</f>
        <v/>
      </c>
      <c r="J282" s="80">
        <f>IF($A282="","",SUM(C282:I282))</f>
        <v/>
      </c>
      <c r="K282" s="80">
        <f>IF($A282="","",-SUMIFS(tblRec[المبلغ],tblRec[كود العميل],$A282,tblRec[رقم الفاتورة],"",tblRec[التاريخ],"&lt;="&amp;AsOf)+SUMIFS(tblInv[المتبقي],tblInv[كود العميل],$A282,tblInv[المتبقي],"&lt;0"))</f>
        <v/>
      </c>
      <c r="L282" s="81">
        <f>IF($A282="","",J282+K282)</f>
        <v/>
      </c>
      <c r="M282" s="82">
        <f>IF($A282="","",IFERROR(L282/$L$8,0))</f>
        <v/>
      </c>
      <c r="N282" s="80">
        <f>IF($A282="","",INDEX(tblCustomers[حد الائتمان],MATCH($A282,tblCustomers[كود العميل],0)))</f>
        <v/>
      </c>
      <c r="O282" s="83">
        <f>IF($A282="","",IF(AND(N282&gt;0,L282&gt;N282),"⛔",""))</f>
        <v/>
      </c>
    </row>
    <row r="283">
      <c r="A283" s="78">
        <f>IFERROR(INDEX(tblCustomers[كود العميل],MATCH(274,tblCustomers[ترتيب],0)),"")</f>
        <v/>
      </c>
      <c r="B283" s="79">
        <f>IF($A283="","",INDEX(tblCustomers[اسم العميل],MATCH($A283,tblCustomers[كود العميل],0)))</f>
        <v/>
      </c>
      <c r="C283" s="80">
        <f>IF($A283="","",SUMIFS(tblInv[المتبقي],tblInv[كود العميل],$A283,tblInv[الفترة],C$7))</f>
        <v/>
      </c>
      <c r="D283" s="80">
        <f>IF($A283="","",SUMIFS(tblInv[المتبقي],tblInv[كود العميل],$A283,tblInv[الفترة],D$7))</f>
        <v/>
      </c>
      <c r="E283" s="80">
        <f>IF($A283="","",SUMIFS(tblInv[المتبقي],tblInv[كود العميل],$A283,tblInv[الفترة],E$7))</f>
        <v/>
      </c>
      <c r="F283" s="80">
        <f>IF($A283="","",SUMIFS(tblInv[المتبقي],tblInv[كود العميل],$A283,tblInv[الفترة],F$7))</f>
        <v/>
      </c>
      <c r="G283" s="80">
        <f>IF($A283="","",SUMIFS(tblInv[المتبقي],tblInv[كود العميل],$A283,tblInv[الفترة],G$7))</f>
        <v/>
      </c>
      <c r="H283" s="80">
        <f>IF($A283="","",SUMIFS(tblInv[المتبقي],tblInv[كود العميل],$A283,tblInv[الفترة],H$7))</f>
        <v/>
      </c>
      <c r="I283" s="80">
        <f>IF($A283="","",SUMIFS(tblInv[المتبقي],tblInv[كود العميل],$A283,tblInv[الفترة],I$7))</f>
        <v/>
      </c>
      <c r="J283" s="80">
        <f>IF($A283="","",SUM(C283:I283))</f>
        <v/>
      </c>
      <c r="K283" s="80">
        <f>IF($A283="","",-SUMIFS(tblRec[المبلغ],tblRec[كود العميل],$A283,tblRec[رقم الفاتورة],"",tblRec[التاريخ],"&lt;="&amp;AsOf)+SUMIFS(tblInv[المتبقي],tblInv[كود العميل],$A283,tblInv[المتبقي],"&lt;0"))</f>
        <v/>
      </c>
      <c r="L283" s="81">
        <f>IF($A283="","",J283+K283)</f>
        <v/>
      </c>
      <c r="M283" s="82">
        <f>IF($A283="","",IFERROR(L283/$L$8,0))</f>
        <v/>
      </c>
      <c r="N283" s="80">
        <f>IF($A283="","",INDEX(tblCustomers[حد الائتمان],MATCH($A283,tblCustomers[كود العميل],0)))</f>
        <v/>
      </c>
      <c r="O283" s="83">
        <f>IF($A283="","",IF(AND(N283&gt;0,L283&gt;N283),"⛔",""))</f>
        <v/>
      </c>
    </row>
    <row r="284">
      <c r="A284" s="78">
        <f>IFERROR(INDEX(tblCustomers[كود العميل],MATCH(275,tblCustomers[ترتيب],0)),"")</f>
        <v/>
      </c>
      <c r="B284" s="79">
        <f>IF($A284="","",INDEX(tblCustomers[اسم العميل],MATCH($A284,tblCustomers[كود العميل],0)))</f>
        <v/>
      </c>
      <c r="C284" s="80">
        <f>IF($A284="","",SUMIFS(tblInv[المتبقي],tblInv[كود العميل],$A284,tblInv[الفترة],C$7))</f>
        <v/>
      </c>
      <c r="D284" s="80">
        <f>IF($A284="","",SUMIFS(tblInv[المتبقي],tblInv[كود العميل],$A284,tblInv[الفترة],D$7))</f>
        <v/>
      </c>
      <c r="E284" s="80">
        <f>IF($A284="","",SUMIFS(tblInv[المتبقي],tblInv[كود العميل],$A284,tblInv[الفترة],E$7))</f>
        <v/>
      </c>
      <c r="F284" s="80">
        <f>IF($A284="","",SUMIFS(tblInv[المتبقي],tblInv[كود العميل],$A284,tblInv[الفترة],F$7))</f>
        <v/>
      </c>
      <c r="G284" s="80">
        <f>IF($A284="","",SUMIFS(tblInv[المتبقي],tblInv[كود العميل],$A284,tblInv[الفترة],G$7))</f>
        <v/>
      </c>
      <c r="H284" s="80">
        <f>IF($A284="","",SUMIFS(tblInv[المتبقي],tblInv[كود العميل],$A284,tblInv[الفترة],H$7))</f>
        <v/>
      </c>
      <c r="I284" s="80">
        <f>IF($A284="","",SUMIFS(tblInv[المتبقي],tblInv[كود العميل],$A284,tblInv[الفترة],I$7))</f>
        <v/>
      </c>
      <c r="J284" s="80">
        <f>IF($A284="","",SUM(C284:I284))</f>
        <v/>
      </c>
      <c r="K284" s="80">
        <f>IF($A284="","",-SUMIFS(tblRec[المبلغ],tblRec[كود العميل],$A284,tblRec[رقم الفاتورة],"",tblRec[التاريخ],"&lt;="&amp;AsOf)+SUMIFS(tblInv[المتبقي],tblInv[كود العميل],$A284,tblInv[المتبقي],"&lt;0"))</f>
        <v/>
      </c>
      <c r="L284" s="81">
        <f>IF($A284="","",J284+K284)</f>
        <v/>
      </c>
      <c r="M284" s="82">
        <f>IF($A284="","",IFERROR(L284/$L$8,0))</f>
        <v/>
      </c>
      <c r="N284" s="80">
        <f>IF($A284="","",INDEX(tblCustomers[حد الائتمان],MATCH($A284,tblCustomers[كود العميل],0)))</f>
        <v/>
      </c>
      <c r="O284" s="83">
        <f>IF($A284="","",IF(AND(N284&gt;0,L284&gt;N284),"⛔",""))</f>
        <v/>
      </c>
    </row>
    <row r="285">
      <c r="A285" s="78">
        <f>IFERROR(INDEX(tblCustomers[كود العميل],MATCH(276,tblCustomers[ترتيب],0)),"")</f>
        <v/>
      </c>
      <c r="B285" s="79">
        <f>IF($A285="","",INDEX(tblCustomers[اسم العميل],MATCH($A285,tblCustomers[كود العميل],0)))</f>
        <v/>
      </c>
      <c r="C285" s="80">
        <f>IF($A285="","",SUMIFS(tblInv[المتبقي],tblInv[كود العميل],$A285,tblInv[الفترة],C$7))</f>
        <v/>
      </c>
      <c r="D285" s="80">
        <f>IF($A285="","",SUMIFS(tblInv[المتبقي],tblInv[كود العميل],$A285,tblInv[الفترة],D$7))</f>
        <v/>
      </c>
      <c r="E285" s="80">
        <f>IF($A285="","",SUMIFS(tblInv[المتبقي],tblInv[كود العميل],$A285,tblInv[الفترة],E$7))</f>
        <v/>
      </c>
      <c r="F285" s="80">
        <f>IF($A285="","",SUMIFS(tblInv[المتبقي],tblInv[كود العميل],$A285,tblInv[الفترة],F$7))</f>
        <v/>
      </c>
      <c r="G285" s="80">
        <f>IF($A285="","",SUMIFS(tblInv[المتبقي],tblInv[كود العميل],$A285,tblInv[الفترة],G$7))</f>
        <v/>
      </c>
      <c r="H285" s="80">
        <f>IF($A285="","",SUMIFS(tblInv[المتبقي],tblInv[كود العميل],$A285,tblInv[الفترة],H$7))</f>
        <v/>
      </c>
      <c r="I285" s="80">
        <f>IF($A285="","",SUMIFS(tblInv[المتبقي],tblInv[كود العميل],$A285,tblInv[الفترة],I$7))</f>
        <v/>
      </c>
      <c r="J285" s="80">
        <f>IF($A285="","",SUM(C285:I285))</f>
        <v/>
      </c>
      <c r="K285" s="80">
        <f>IF($A285="","",-SUMIFS(tblRec[المبلغ],tblRec[كود العميل],$A285,tblRec[رقم الفاتورة],"",tblRec[التاريخ],"&lt;="&amp;AsOf)+SUMIFS(tblInv[المتبقي],tblInv[كود العميل],$A285,tblInv[المتبقي],"&lt;0"))</f>
        <v/>
      </c>
      <c r="L285" s="81">
        <f>IF($A285="","",J285+K285)</f>
        <v/>
      </c>
      <c r="M285" s="82">
        <f>IF($A285="","",IFERROR(L285/$L$8,0))</f>
        <v/>
      </c>
      <c r="N285" s="80">
        <f>IF($A285="","",INDEX(tblCustomers[حد الائتمان],MATCH($A285,tblCustomers[كود العميل],0)))</f>
        <v/>
      </c>
      <c r="O285" s="83">
        <f>IF($A285="","",IF(AND(N285&gt;0,L285&gt;N285),"⛔",""))</f>
        <v/>
      </c>
    </row>
    <row r="286">
      <c r="A286" s="78">
        <f>IFERROR(INDEX(tblCustomers[كود العميل],MATCH(277,tblCustomers[ترتيب],0)),"")</f>
        <v/>
      </c>
      <c r="B286" s="79">
        <f>IF($A286="","",INDEX(tblCustomers[اسم العميل],MATCH($A286,tblCustomers[كود العميل],0)))</f>
        <v/>
      </c>
      <c r="C286" s="80">
        <f>IF($A286="","",SUMIFS(tblInv[المتبقي],tblInv[كود العميل],$A286,tblInv[الفترة],C$7))</f>
        <v/>
      </c>
      <c r="D286" s="80">
        <f>IF($A286="","",SUMIFS(tblInv[المتبقي],tblInv[كود العميل],$A286,tblInv[الفترة],D$7))</f>
        <v/>
      </c>
      <c r="E286" s="80">
        <f>IF($A286="","",SUMIFS(tblInv[المتبقي],tblInv[كود العميل],$A286,tblInv[الفترة],E$7))</f>
        <v/>
      </c>
      <c r="F286" s="80">
        <f>IF($A286="","",SUMIFS(tblInv[المتبقي],tblInv[كود العميل],$A286,tblInv[الفترة],F$7))</f>
        <v/>
      </c>
      <c r="G286" s="80">
        <f>IF($A286="","",SUMIFS(tblInv[المتبقي],tblInv[كود العميل],$A286,tblInv[الفترة],G$7))</f>
        <v/>
      </c>
      <c r="H286" s="80">
        <f>IF($A286="","",SUMIFS(tblInv[المتبقي],tblInv[كود العميل],$A286,tblInv[الفترة],H$7))</f>
        <v/>
      </c>
      <c r="I286" s="80">
        <f>IF($A286="","",SUMIFS(tblInv[المتبقي],tblInv[كود العميل],$A286,tblInv[الفترة],I$7))</f>
        <v/>
      </c>
      <c r="J286" s="80">
        <f>IF($A286="","",SUM(C286:I286))</f>
        <v/>
      </c>
      <c r="K286" s="80">
        <f>IF($A286="","",-SUMIFS(tblRec[المبلغ],tblRec[كود العميل],$A286,tblRec[رقم الفاتورة],"",tblRec[التاريخ],"&lt;="&amp;AsOf)+SUMIFS(tblInv[المتبقي],tblInv[كود العميل],$A286,tblInv[المتبقي],"&lt;0"))</f>
        <v/>
      </c>
      <c r="L286" s="81">
        <f>IF($A286="","",J286+K286)</f>
        <v/>
      </c>
      <c r="M286" s="82">
        <f>IF($A286="","",IFERROR(L286/$L$8,0))</f>
        <v/>
      </c>
      <c r="N286" s="80">
        <f>IF($A286="","",INDEX(tblCustomers[حد الائتمان],MATCH($A286,tblCustomers[كود العميل],0)))</f>
        <v/>
      </c>
      <c r="O286" s="83">
        <f>IF($A286="","",IF(AND(N286&gt;0,L286&gt;N286),"⛔",""))</f>
        <v/>
      </c>
    </row>
    <row r="287">
      <c r="A287" s="78">
        <f>IFERROR(INDEX(tblCustomers[كود العميل],MATCH(278,tblCustomers[ترتيب],0)),"")</f>
        <v/>
      </c>
      <c r="B287" s="79">
        <f>IF($A287="","",INDEX(tblCustomers[اسم العميل],MATCH($A287,tblCustomers[كود العميل],0)))</f>
        <v/>
      </c>
      <c r="C287" s="80">
        <f>IF($A287="","",SUMIFS(tblInv[المتبقي],tblInv[كود العميل],$A287,tblInv[الفترة],C$7))</f>
        <v/>
      </c>
      <c r="D287" s="80">
        <f>IF($A287="","",SUMIFS(tblInv[المتبقي],tblInv[كود العميل],$A287,tblInv[الفترة],D$7))</f>
        <v/>
      </c>
      <c r="E287" s="80">
        <f>IF($A287="","",SUMIFS(tblInv[المتبقي],tblInv[كود العميل],$A287,tblInv[الفترة],E$7))</f>
        <v/>
      </c>
      <c r="F287" s="80">
        <f>IF($A287="","",SUMIFS(tblInv[المتبقي],tblInv[كود العميل],$A287,tblInv[الفترة],F$7))</f>
        <v/>
      </c>
      <c r="G287" s="80">
        <f>IF($A287="","",SUMIFS(tblInv[المتبقي],tblInv[كود العميل],$A287,tblInv[الفترة],G$7))</f>
        <v/>
      </c>
      <c r="H287" s="80">
        <f>IF($A287="","",SUMIFS(tblInv[المتبقي],tblInv[كود العميل],$A287,tblInv[الفترة],H$7))</f>
        <v/>
      </c>
      <c r="I287" s="80">
        <f>IF($A287="","",SUMIFS(tblInv[المتبقي],tblInv[كود العميل],$A287,tblInv[الفترة],I$7))</f>
        <v/>
      </c>
      <c r="J287" s="80">
        <f>IF($A287="","",SUM(C287:I287))</f>
        <v/>
      </c>
      <c r="K287" s="80">
        <f>IF($A287="","",-SUMIFS(tblRec[المبلغ],tblRec[كود العميل],$A287,tblRec[رقم الفاتورة],"",tblRec[التاريخ],"&lt;="&amp;AsOf)+SUMIFS(tblInv[المتبقي],tblInv[كود العميل],$A287,tblInv[المتبقي],"&lt;0"))</f>
        <v/>
      </c>
      <c r="L287" s="81">
        <f>IF($A287="","",J287+K287)</f>
        <v/>
      </c>
      <c r="M287" s="82">
        <f>IF($A287="","",IFERROR(L287/$L$8,0))</f>
        <v/>
      </c>
      <c r="N287" s="80">
        <f>IF($A287="","",INDEX(tblCustomers[حد الائتمان],MATCH($A287,tblCustomers[كود العميل],0)))</f>
        <v/>
      </c>
      <c r="O287" s="83">
        <f>IF($A287="","",IF(AND(N287&gt;0,L287&gt;N287),"⛔",""))</f>
        <v/>
      </c>
    </row>
    <row r="288">
      <c r="A288" s="78">
        <f>IFERROR(INDEX(tblCustomers[كود العميل],MATCH(279,tblCustomers[ترتيب],0)),"")</f>
        <v/>
      </c>
      <c r="B288" s="79">
        <f>IF($A288="","",INDEX(tblCustomers[اسم العميل],MATCH($A288,tblCustomers[كود العميل],0)))</f>
        <v/>
      </c>
      <c r="C288" s="80">
        <f>IF($A288="","",SUMIFS(tblInv[المتبقي],tblInv[كود العميل],$A288,tblInv[الفترة],C$7))</f>
        <v/>
      </c>
      <c r="D288" s="80">
        <f>IF($A288="","",SUMIFS(tblInv[المتبقي],tblInv[كود العميل],$A288,tblInv[الفترة],D$7))</f>
        <v/>
      </c>
      <c r="E288" s="80">
        <f>IF($A288="","",SUMIFS(tblInv[المتبقي],tblInv[كود العميل],$A288,tblInv[الفترة],E$7))</f>
        <v/>
      </c>
      <c r="F288" s="80">
        <f>IF($A288="","",SUMIFS(tblInv[المتبقي],tblInv[كود العميل],$A288,tblInv[الفترة],F$7))</f>
        <v/>
      </c>
      <c r="G288" s="80">
        <f>IF($A288="","",SUMIFS(tblInv[المتبقي],tblInv[كود العميل],$A288,tblInv[الفترة],G$7))</f>
        <v/>
      </c>
      <c r="H288" s="80">
        <f>IF($A288="","",SUMIFS(tblInv[المتبقي],tblInv[كود العميل],$A288,tblInv[الفترة],H$7))</f>
        <v/>
      </c>
      <c r="I288" s="80">
        <f>IF($A288="","",SUMIFS(tblInv[المتبقي],tblInv[كود العميل],$A288,tblInv[الفترة],I$7))</f>
        <v/>
      </c>
      <c r="J288" s="80">
        <f>IF($A288="","",SUM(C288:I288))</f>
        <v/>
      </c>
      <c r="K288" s="80">
        <f>IF($A288="","",-SUMIFS(tblRec[المبلغ],tblRec[كود العميل],$A288,tblRec[رقم الفاتورة],"",tblRec[التاريخ],"&lt;="&amp;AsOf)+SUMIFS(tblInv[المتبقي],tblInv[كود العميل],$A288,tblInv[المتبقي],"&lt;0"))</f>
        <v/>
      </c>
      <c r="L288" s="81">
        <f>IF($A288="","",J288+K288)</f>
        <v/>
      </c>
      <c r="M288" s="82">
        <f>IF($A288="","",IFERROR(L288/$L$8,0))</f>
        <v/>
      </c>
      <c r="N288" s="80">
        <f>IF($A288="","",INDEX(tblCustomers[حد الائتمان],MATCH($A288,tblCustomers[كود العميل],0)))</f>
        <v/>
      </c>
      <c r="O288" s="83">
        <f>IF($A288="","",IF(AND(N288&gt;0,L288&gt;N288),"⛔",""))</f>
        <v/>
      </c>
    </row>
    <row r="289">
      <c r="A289" s="78">
        <f>IFERROR(INDEX(tblCustomers[كود العميل],MATCH(280,tblCustomers[ترتيب],0)),"")</f>
        <v/>
      </c>
      <c r="B289" s="79">
        <f>IF($A289="","",INDEX(tblCustomers[اسم العميل],MATCH($A289,tblCustomers[كود العميل],0)))</f>
        <v/>
      </c>
      <c r="C289" s="80">
        <f>IF($A289="","",SUMIFS(tblInv[المتبقي],tblInv[كود العميل],$A289,tblInv[الفترة],C$7))</f>
        <v/>
      </c>
      <c r="D289" s="80">
        <f>IF($A289="","",SUMIFS(tblInv[المتبقي],tblInv[كود العميل],$A289,tblInv[الفترة],D$7))</f>
        <v/>
      </c>
      <c r="E289" s="80">
        <f>IF($A289="","",SUMIFS(tblInv[المتبقي],tblInv[كود العميل],$A289,tblInv[الفترة],E$7))</f>
        <v/>
      </c>
      <c r="F289" s="80">
        <f>IF($A289="","",SUMIFS(tblInv[المتبقي],tblInv[كود العميل],$A289,tblInv[الفترة],F$7))</f>
        <v/>
      </c>
      <c r="G289" s="80">
        <f>IF($A289="","",SUMIFS(tblInv[المتبقي],tblInv[كود العميل],$A289,tblInv[الفترة],G$7))</f>
        <v/>
      </c>
      <c r="H289" s="80">
        <f>IF($A289="","",SUMIFS(tblInv[المتبقي],tblInv[كود العميل],$A289,tblInv[الفترة],H$7))</f>
        <v/>
      </c>
      <c r="I289" s="80">
        <f>IF($A289="","",SUMIFS(tblInv[المتبقي],tblInv[كود العميل],$A289,tblInv[الفترة],I$7))</f>
        <v/>
      </c>
      <c r="J289" s="80">
        <f>IF($A289="","",SUM(C289:I289))</f>
        <v/>
      </c>
      <c r="K289" s="80">
        <f>IF($A289="","",-SUMIFS(tblRec[المبلغ],tblRec[كود العميل],$A289,tblRec[رقم الفاتورة],"",tblRec[التاريخ],"&lt;="&amp;AsOf)+SUMIFS(tblInv[المتبقي],tblInv[كود العميل],$A289,tblInv[المتبقي],"&lt;0"))</f>
        <v/>
      </c>
      <c r="L289" s="81">
        <f>IF($A289="","",J289+K289)</f>
        <v/>
      </c>
      <c r="M289" s="82">
        <f>IF($A289="","",IFERROR(L289/$L$8,0))</f>
        <v/>
      </c>
      <c r="N289" s="80">
        <f>IF($A289="","",INDEX(tblCustomers[حد الائتمان],MATCH($A289,tblCustomers[كود العميل],0)))</f>
        <v/>
      </c>
      <c r="O289" s="83">
        <f>IF($A289="","",IF(AND(N289&gt;0,L289&gt;N289),"⛔",""))</f>
        <v/>
      </c>
    </row>
    <row r="290">
      <c r="A290" s="78">
        <f>IFERROR(INDEX(tblCustomers[كود العميل],MATCH(281,tblCustomers[ترتيب],0)),"")</f>
        <v/>
      </c>
      <c r="B290" s="79">
        <f>IF($A290="","",INDEX(tblCustomers[اسم العميل],MATCH($A290,tblCustomers[كود العميل],0)))</f>
        <v/>
      </c>
      <c r="C290" s="80">
        <f>IF($A290="","",SUMIFS(tblInv[المتبقي],tblInv[كود العميل],$A290,tblInv[الفترة],C$7))</f>
        <v/>
      </c>
      <c r="D290" s="80">
        <f>IF($A290="","",SUMIFS(tblInv[المتبقي],tblInv[كود العميل],$A290,tblInv[الفترة],D$7))</f>
        <v/>
      </c>
      <c r="E290" s="80">
        <f>IF($A290="","",SUMIFS(tblInv[المتبقي],tblInv[كود العميل],$A290,tblInv[الفترة],E$7))</f>
        <v/>
      </c>
      <c r="F290" s="80">
        <f>IF($A290="","",SUMIFS(tblInv[المتبقي],tblInv[كود العميل],$A290,tblInv[الفترة],F$7))</f>
        <v/>
      </c>
      <c r="G290" s="80">
        <f>IF($A290="","",SUMIFS(tblInv[المتبقي],tblInv[كود العميل],$A290,tblInv[الفترة],G$7))</f>
        <v/>
      </c>
      <c r="H290" s="80">
        <f>IF($A290="","",SUMIFS(tblInv[المتبقي],tblInv[كود العميل],$A290,tblInv[الفترة],H$7))</f>
        <v/>
      </c>
      <c r="I290" s="80">
        <f>IF($A290="","",SUMIFS(tblInv[المتبقي],tblInv[كود العميل],$A290,tblInv[الفترة],I$7))</f>
        <v/>
      </c>
      <c r="J290" s="80">
        <f>IF($A290="","",SUM(C290:I290))</f>
        <v/>
      </c>
      <c r="K290" s="80">
        <f>IF($A290="","",-SUMIFS(tblRec[المبلغ],tblRec[كود العميل],$A290,tblRec[رقم الفاتورة],"",tblRec[التاريخ],"&lt;="&amp;AsOf)+SUMIFS(tblInv[المتبقي],tblInv[كود العميل],$A290,tblInv[المتبقي],"&lt;0"))</f>
        <v/>
      </c>
      <c r="L290" s="81">
        <f>IF($A290="","",J290+K290)</f>
        <v/>
      </c>
      <c r="M290" s="82">
        <f>IF($A290="","",IFERROR(L290/$L$8,0))</f>
        <v/>
      </c>
      <c r="N290" s="80">
        <f>IF($A290="","",INDEX(tblCustomers[حد الائتمان],MATCH($A290,tblCustomers[كود العميل],0)))</f>
        <v/>
      </c>
      <c r="O290" s="83">
        <f>IF($A290="","",IF(AND(N290&gt;0,L290&gt;N290),"⛔",""))</f>
        <v/>
      </c>
    </row>
    <row r="291">
      <c r="A291" s="78">
        <f>IFERROR(INDEX(tblCustomers[كود العميل],MATCH(282,tblCustomers[ترتيب],0)),"")</f>
        <v/>
      </c>
      <c r="B291" s="79">
        <f>IF($A291="","",INDEX(tblCustomers[اسم العميل],MATCH($A291,tblCustomers[كود العميل],0)))</f>
        <v/>
      </c>
      <c r="C291" s="80">
        <f>IF($A291="","",SUMIFS(tblInv[المتبقي],tblInv[كود العميل],$A291,tblInv[الفترة],C$7))</f>
        <v/>
      </c>
      <c r="D291" s="80">
        <f>IF($A291="","",SUMIFS(tblInv[المتبقي],tblInv[كود العميل],$A291,tblInv[الفترة],D$7))</f>
        <v/>
      </c>
      <c r="E291" s="80">
        <f>IF($A291="","",SUMIFS(tblInv[المتبقي],tblInv[كود العميل],$A291,tblInv[الفترة],E$7))</f>
        <v/>
      </c>
      <c r="F291" s="80">
        <f>IF($A291="","",SUMIFS(tblInv[المتبقي],tblInv[كود العميل],$A291,tblInv[الفترة],F$7))</f>
        <v/>
      </c>
      <c r="G291" s="80">
        <f>IF($A291="","",SUMIFS(tblInv[المتبقي],tblInv[كود العميل],$A291,tblInv[الفترة],G$7))</f>
        <v/>
      </c>
      <c r="H291" s="80">
        <f>IF($A291="","",SUMIFS(tblInv[المتبقي],tblInv[كود العميل],$A291,tblInv[الفترة],H$7))</f>
        <v/>
      </c>
      <c r="I291" s="80">
        <f>IF($A291="","",SUMIFS(tblInv[المتبقي],tblInv[كود العميل],$A291,tblInv[الفترة],I$7))</f>
        <v/>
      </c>
      <c r="J291" s="80">
        <f>IF($A291="","",SUM(C291:I291))</f>
        <v/>
      </c>
      <c r="K291" s="80">
        <f>IF($A291="","",-SUMIFS(tblRec[المبلغ],tblRec[كود العميل],$A291,tblRec[رقم الفاتورة],"",tblRec[التاريخ],"&lt;="&amp;AsOf)+SUMIFS(tblInv[المتبقي],tblInv[كود العميل],$A291,tblInv[المتبقي],"&lt;0"))</f>
        <v/>
      </c>
      <c r="L291" s="81">
        <f>IF($A291="","",J291+K291)</f>
        <v/>
      </c>
      <c r="M291" s="82">
        <f>IF($A291="","",IFERROR(L291/$L$8,0))</f>
        <v/>
      </c>
      <c r="N291" s="80">
        <f>IF($A291="","",INDEX(tblCustomers[حد الائتمان],MATCH($A291,tblCustomers[كود العميل],0)))</f>
        <v/>
      </c>
      <c r="O291" s="83">
        <f>IF($A291="","",IF(AND(N291&gt;0,L291&gt;N291),"⛔",""))</f>
        <v/>
      </c>
    </row>
    <row r="292">
      <c r="A292" s="78">
        <f>IFERROR(INDEX(tblCustomers[كود العميل],MATCH(283,tblCustomers[ترتيب],0)),"")</f>
        <v/>
      </c>
      <c r="B292" s="79">
        <f>IF($A292="","",INDEX(tblCustomers[اسم العميل],MATCH($A292,tblCustomers[كود العميل],0)))</f>
        <v/>
      </c>
      <c r="C292" s="80">
        <f>IF($A292="","",SUMIFS(tblInv[المتبقي],tblInv[كود العميل],$A292,tblInv[الفترة],C$7))</f>
        <v/>
      </c>
      <c r="D292" s="80">
        <f>IF($A292="","",SUMIFS(tblInv[المتبقي],tblInv[كود العميل],$A292,tblInv[الفترة],D$7))</f>
        <v/>
      </c>
      <c r="E292" s="80">
        <f>IF($A292="","",SUMIFS(tblInv[المتبقي],tblInv[كود العميل],$A292,tblInv[الفترة],E$7))</f>
        <v/>
      </c>
      <c r="F292" s="80">
        <f>IF($A292="","",SUMIFS(tblInv[المتبقي],tblInv[كود العميل],$A292,tblInv[الفترة],F$7))</f>
        <v/>
      </c>
      <c r="G292" s="80">
        <f>IF($A292="","",SUMIFS(tblInv[المتبقي],tblInv[كود العميل],$A292,tblInv[الفترة],G$7))</f>
        <v/>
      </c>
      <c r="H292" s="80">
        <f>IF($A292="","",SUMIFS(tblInv[المتبقي],tblInv[كود العميل],$A292,tblInv[الفترة],H$7))</f>
        <v/>
      </c>
      <c r="I292" s="80">
        <f>IF($A292="","",SUMIFS(tblInv[المتبقي],tblInv[كود العميل],$A292,tblInv[الفترة],I$7))</f>
        <v/>
      </c>
      <c r="J292" s="80">
        <f>IF($A292="","",SUM(C292:I292))</f>
        <v/>
      </c>
      <c r="K292" s="80">
        <f>IF($A292="","",-SUMIFS(tblRec[المبلغ],tblRec[كود العميل],$A292,tblRec[رقم الفاتورة],"",tblRec[التاريخ],"&lt;="&amp;AsOf)+SUMIFS(tblInv[المتبقي],tblInv[كود العميل],$A292,tblInv[المتبقي],"&lt;0"))</f>
        <v/>
      </c>
      <c r="L292" s="81">
        <f>IF($A292="","",J292+K292)</f>
        <v/>
      </c>
      <c r="M292" s="82">
        <f>IF($A292="","",IFERROR(L292/$L$8,0))</f>
        <v/>
      </c>
      <c r="N292" s="80">
        <f>IF($A292="","",INDEX(tblCustomers[حد الائتمان],MATCH($A292,tblCustomers[كود العميل],0)))</f>
        <v/>
      </c>
      <c r="O292" s="83">
        <f>IF($A292="","",IF(AND(N292&gt;0,L292&gt;N292),"⛔",""))</f>
        <v/>
      </c>
    </row>
    <row r="293">
      <c r="A293" s="78">
        <f>IFERROR(INDEX(tblCustomers[كود العميل],MATCH(284,tblCustomers[ترتيب],0)),"")</f>
        <v/>
      </c>
      <c r="B293" s="79">
        <f>IF($A293="","",INDEX(tblCustomers[اسم العميل],MATCH($A293,tblCustomers[كود العميل],0)))</f>
        <v/>
      </c>
      <c r="C293" s="80">
        <f>IF($A293="","",SUMIFS(tblInv[المتبقي],tblInv[كود العميل],$A293,tblInv[الفترة],C$7))</f>
        <v/>
      </c>
      <c r="D293" s="80">
        <f>IF($A293="","",SUMIFS(tblInv[المتبقي],tblInv[كود العميل],$A293,tblInv[الفترة],D$7))</f>
        <v/>
      </c>
      <c r="E293" s="80">
        <f>IF($A293="","",SUMIFS(tblInv[المتبقي],tblInv[كود العميل],$A293,tblInv[الفترة],E$7))</f>
        <v/>
      </c>
      <c r="F293" s="80">
        <f>IF($A293="","",SUMIFS(tblInv[المتبقي],tblInv[كود العميل],$A293,tblInv[الفترة],F$7))</f>
        <v/>
      </c>
      <c r="G293" s="80">
        <f>IF($A293="","",SUMIFS(tblInv[المتبقي],tblInv[كود العميل],$A293,tblInv[الفترة],G$7))</f>
        <v/>
      </c>
      <c r="H293" s="80">
        <f>IF($A293="","",SUMIFS(tblInv[المتبقي],tblInv[كود العميل],$A293,tblInv[الفترة],H$7))</f>
        <v/>
      </c>
      <c r="I293" s="80">
        <f>IF($A293="","",SUMIFS(tblInv[المتبقي],tblInv[كود العميل],$A293,tblInv[الفترة],I$7))</f>
        <v/>
      </c>
      <c r="J293" s="80">
        <f>IF($A293="","",SUM(C293:I293))</f>
        <v/>
      </c>
      <c r="K293" s="80">
        <f>IF($A293="","",-SUMIFS(tblRec[المبلغ],tblRec[كود العميل],$A293,tblRec[رقم الفاتورة],"",tblRec[التاريخ],"&lt;="&amp;AsOf)+SUMIFS(tblInv[المتبقي],tblInv[كود العميل],$A293,tblInv[المتبقي],"&lt;0"))</f>
        <v/>
      </c>
      <c r="L293" s="81">
        <f>IF($A293="","",J293+K293)</f>
        <v/>
      </c>
      <c r="M293" s="82">
        <f>IF($A293="","",IFERROR(L293/$L$8,0))</f>
        <v/>
      </c>
      <c r="N293" s="80">
        <f>IF($A293="","",INDEX(tblCustomers[حد الائتمان],MATCH($A293,tblCustomers[كود العميل],0)))</f>
        <v/>
      </c>
      <c r="O293" s="83">
        <f>IF($A293="","",IF(AND(N293&gt;0,L293&gt;N293),"⛔",""))</f>
        <v/>
      </c>
    </row>
    <row r="294">
      <c r="A294" s="78">
        <f>IFERROR(INDEX(tblCustomers[كود العميل],MATCH(285,tblCustomers[ترتيب],0)),"")</f>
        <v/>
      </c>
      <c r="B294" s="79">
        <f>IF($A294="","",INDEX(tblCustomers[اسم العميل],MATCH($A294,tblCustomers[كود العميل],0)))</f>
        <v/>
      </c>
      <c r="C294" s="80">
        <f>IF($A294="","",SUMIFS(tblInv[المتبقي],tblInv[كود العميل],$A294,tblInv[الفترة],C$7))</f>
        <v/>
      </c>
      <c r="D294" s="80">
        <f>IF($A294="","",SUMIFS(tblInv[المتبقي],tblInv[كود العميل],$A294,tblInv[الفترة],D$7))</f>
        <v/>
      </c>
      <c r="E294" s="80">
        <f>IF($A294="","",SUMIFS(tblInv[المتبقي],tblInv[كود العميل],$A294,tblInv[الفترة],E$7))</f>
        <v/>
      </c>
      <c r="F294" s="80">
        <f>IF($A294="","",SUMIFS(tblInv[المتبقي],tblInv[كود العميل],$A294,tblInv[الفترة],F$7))</f>
        <v/>
      </c>
      <c r="G294" s="80">
        <f>IF($A294="","",SUMIFS(tblInv[المتبقي],tblInv[كود العميل],$A294,tblInv[الفترة],G$7))</f>
        <v/>
      </c>
      <c r="H294" s="80">
        <f>IF($A294="","",SUMIFS(tblInv[المتبقي],tblInv[كود العميل],$A294,tblInv[الفترة],H$7))</f>
        <v/>
      </c>
      <c r="I294" s="80">
        <f>IF($A294="","",SUMIFS(tblInv[المتبقي],tblInv[كود العميل],$A294,tblInv[الفترة],I$7))</f>
        <v/>
      </c>
      <c r="J294" s="80">
        <f>IF($A294="","",SUM(C294:I294))</f>
        <v/>
      </c>
      <c r="K294" s="80">
        <f>IF($A294="","",-SUMIFS(tblRec[المبلغ],tblRec[كود العميل],$A294,tblRec[رقم الفاتورة],"",tblRec[التاريخ],"&lt;="&amp;AsOf)+SUMIFS(tblInv[المتبقي],tblInv[كود العميل],$A294,tblInv[المتبقي],"&lt;0"))</f>
        <v/>
      </c>
      <c r="L294" s="81">
        <f>IF($A294="","",J294+K294)</f>
        <v/>
      </c>
      <c r="M294" s="82">
        <f>IF($A294="","",IFERROR(L294/$L$8,0))</f>
        <v/>
      </c>
      <c r="N294" s="80">
        <f>IF($A294="","",INDEX(tblCustomers[حد الائتمان],MATCH($A294,tblCustomers[كود العميل],0)))</f>
        <v/>
      </c>
      <c r="O294" s="83">
        <f>IF($A294="","",IF(AND(N294&gt;0,L294&gt;N294),"⛔",""))</f>
        <v/>
      </c>
    </row>
    <row r="295">
      <c r="A295" s="78">
        <f>IFERROR(INDEX(tblCustomers[كود العميل],MATCH(286,tblCustomers[ترتيب],0)),"")</f>
        <v/>
      </c>
      <c r="B295" s="79">
        <f>IF($A295="","",INDEX(tblCustomers[اسم العميل],MATCH($A295,tblCustomers[كود العميل],0)))</f>
        <v/>
      </c>
      <c r="C295" s="80">
        <f>IF($A295="","",SUMIFS(tblInv[المتبقي],tblInv[كود العميل],$A295,tblInv[الفترة],C$7))</f>
        <v/>
      </c>
      <c r="D295" s="80">
        <f>IF($A295="","",SUMIFS(tblInv[المتبقي],tblInv[كود العميل],$A295,tblInv[الفترة],D$7))</f>
        <v/>
      </c>
      <c r="E295" s="80">
        <f>IF($A295="","",SUMIFS(tblInv[المتبقي],tblInv[كود العميل],$A295,tblInv[الفترة],E$7))</f>
        <v/>
      </c>
      <c r="F295" s="80">
        <f>IF($A295="","",SUMIFS(tblInv[المتبقي],tblInv[كود العميل],$A295,tblInv[الفترة],F$7))</f>
        <v/>
      </c>
      <c r="G295" s="80">
        <f>IF($A295="","",SUMIFS(tblInv[المتبقي],tblInv[كود العميل],$A295,tblInv[الفترة],G$7))</f>
        <v/>
      </c>
      <c r="H295" s="80">
        <f>IF($A295="","",SUMIFS(tblInv[المتبقي],tblInv[كود العميل],$A295,tblInv[الفترة],H$7))</f>
        <v/>
      </c>
      <c r="I295" s="80">
        <f>IF($A295="","",SUMIFS(tblInv[المتبقي],tblInv[كود العميل],$A295,tblInv[الفترة],I$7))</f>
        <v/>
      </c>
      <c r="J295" s="80">
        <f>IF($A295="","",SUM(C295:I295))</f>
        <v/>
      </c>
      <c r="K295" s="80">
        <f>IF($A295="","",-SUMIFS(tblRec[المبلغ],tblRec[كود العميل],$A295,tblRec[رقم الفاتورة],"",tblRec[التاريخ],"&lt;="&amp;AsOf)+SUMIFS(tblInv[المتبقي],tblInv[كود العميل],$A295,tblInv[المتبقي],"&lt;0"))</f>
        <v/>
      </c>
      <c r="L295" s="81">
        <f>IF($A295="","",J295+K295)</f>
        <v/>
      </c>
      <c r="M295" s="82">
        <f>IF($A295="","",IFERROR(L295/$L$8,0))</f>
        <v/>
      </c>
      <c r="N295" s="80">
        <f>IF($A295="","",INDEX(tblCustomers[حد الائتمان],MATCH($A295,tblCustomers[كود العميل],0)))</f>
        <v/>
      </c>
      <c r="O295" s="83">
        <f>IF($A295="","",IF(AND(N295&gt;0,L295&gt;N295),"⛔",""))</f>
        <v/>
      </c>
    </row>
    <row r="296">
      <c r="A296" s="78">
        <f>IFERROR(INDEX(tblCustomers[كود العميل],MATCH(287,tblCustomers[ترتيب],0)),"")</f>
        <v/>
      </c>
      <c r="B296" s="79">
        <f>IF($A296="","",INDEX(tblCustomers[اسم العميل],MATCH($A296,tblCustomers[كود العميل],0)))</f>
        <v/>
      </c>
      <c r="C296" s="80">
        <f>IF($A296="","",SUMIFS(tblInv[المتبقي],tblInv[كود العميل],$A296,tblInv[الفترة],C$7))</f>
        <v/>
      </c>
      <c r="D296" s="80">
        <f>IF($A296="","",SUMIFS(tblInv[المتبقي],tblInv[كود العميل],$A296,tblInv[الفترة],D$7))</f>
        <v/>
      </c>
      <c r="E296" s="80">
        <f>IF($A296="","",SUMIFS(tblInv[المتبقي],tblInv[كود العميل],$A296,tblInv[الفترة],E$7))</f>
        <v/>
      </c>
      <c r="F296" s="80">
        <f>IF($A296="","",SUMIFS(tblInv[المتبقي],tblInv[كود العميل],$A296,tblInv[الفترة],F$7))</f>
        <v/>
      </c>
      <c r="G296" s="80">
        <f>IF($A296="","",SUMIFS(tblInv[المتبقي],tblInv[كود العميل],$A296,tblInv[الفترة],G$7))</f>
        <v/>
      </c>
      <c r="H296" s="80">
        <f>IF($A296="","",SUMIFS(tblInv[المتبقي],tblInv[كود العميل],$A296,tblInv[الفترة],H$7))</f>
        <v/>
      </c>
      <c r="I296" s="80">
        <f>IF($A296="","",SUMIFS(tblInv[المتبقي],tblInv[كود العميل],$A296,tblInv[الفترة],I$7))</f>
        <v/>
      </c>
      <c r="J296" s="80">
        <f>IF($A296="","",SUM(C296:I296))</f>
        <v/>
      </c>
      <c r="K296" s="80">
        <f>IF($A296="","",-SUMIFS(tblRec[المبلغ],tblRec[كود العميل],$A296,tblRec[رقم الفاتورة],"",tblRec[التاريخ],"&lt;="&amp;AsOf)+SUMIFS(tblInv[المتبقي],tblInv[كود العميل],$A296,tblInv[المتبقي],"&lt;0"))</f>
        <v/>
      </c>
      <c r="L296" s="81">
        <f>IF($A296="","",J296+K296)</f>
        <v/>
      </c>
      <c r="M296" s="82">
        <f>IF($A296="","",IFERROR(L296/$L$8,0))</f>
        <v/>
      </c>
      <c r="N296" s="80">
        <f>IF($A296="","",INDEX(tblCustomers[حد الائتمان],MATCH($A296,tblCustomers[كود العميل],0)))</f>
        <v/>
      </c>
      <c r="O296" s="83">
        <f>IF($A296="","",IF(AND(N296&gt;0,L296&gt;N296),"⛔",""))</f>
        <v/>
      </c>
    </row>
    <row r="297">
      <c r="A297" s="78">
        <f>IFERROR(INDEX(tblCustomers[كود العميل],MATCH(288,tblCustomers[ترتيب],0)),"")</f>
        <v/>
      </c>
      <c r="B297" s="79">
        <f>IF($A297="","",INDEX(tblCustomers[اسم العميل],MATCH($A297,tblCustomers[كود العميل],0)))</f>
        <v/>
      </c>
      <c r="C297" s="80">
        <f>IF($A297="","",SUMIFS(tblInv[المتبقي],tblInv[كود العميل],$A297,tblInv[الفترة],C$7))</f>
        <v/>
      </c>
      <c r="D297" s="80">
        <f>IF($A297="","",SUMIFS(tblInv[المتبقي],tblInv[كود العميل],$A297,tblInv[الفترة],D$7))</f>
        <v/>
      </c>
      <c r="E297" s="80">
        <f>IF($A297="","",SUMIFS(tblInv[المتبقي],tblInv[كود العميل],$A297,tblInv[الفترة],E$7))</f>
        <v/>
      </c>
      <c r="F297" s="80">
        <f>IF($A297="","",SUMIFS(tblInv[المتبقي],tblInv[كود العميل],$A297,tblInv[الفترة],F$7))</f>
        <v/>
      </c>
      <c r="G297" s="80">
        <f>IF($A297="","",SUMIFS(tblInv[المتبقي],tblInv[كود العميل],$A297,tblInv[الفترة],G$7))</f>
        <v/>
      </c>
      <c r="H297" s="80">
        <f>IF($A297="","",SUMIFS(tblInv[المتبقي],tblInv[كود العميل],$A297,tblInv[الفترة],H$7))</f>
        <v/>
      </c>
      <c r="I297" s="80">
        <f>IF($A297="","",SUMIFS(tblInv[المتبقي],tblInv[كود العميل],$A297,tblInv[الفترة],I$7))</f>
        <v/>
      </c>
      <c r="J297" s="80">
        <f>IF($A297="","",SUM(C297:I297))</f>
        <v/>
      </c>
      <c r="K297" s="80">
        <f>IF($A297="","",-SUMIFS(tblRec[المبلغ],tblRec[كود العميل],$A297,tblRec[رقم الفاتورة],"",tblRec[التاريخ],"&lt;="&amp;AsOf)+SUMIFS(tblInv[المتبقي],tblInv[كود العميل],$A297,tblInv[المتبقي],"&lt;0"))</f>
        <v/>
      </c>
      <c r="L297" s="81">
        <f>IF($A297="","",J297+K297)</f>
        <v/>
      </c>
      <c r="M297" s="82">
        <f>IF($A297="","",IFERROR(L297/$L$8,0))</f>
        <v/>
      </c>
      <c r="N297" s="80">
        <f>IF($A297="","",INDEX(tblCustomers[حد الائتمان],MATCH($A297,tblCustomers[كود العميل],0)))</f>
        <v/>
      </c>
      <c r="O297" s="83">
        <f>IF($A297="","",IF(AND(N297&gt;0,L297&gt;N297),"⛔",""))</f>
        <v/>
      </c>
    </row>
    <row r="298">
      <c r="A298" s="78">
        <f>IFERROR(INDEX(tblCustomers[كود العميل],MATCH(289,tblCustomers[ترتيب],0)),"")</f>
        <v/>
      </c>
      <c r="B298" s="79">
        <f>IF($A298="","",INDEX(tblCustomers[اسم العميل],MATCH($A298,tblCustomers[كود العميل],0)))</f>
        <v/>
      </c>
      <c r="C298" s="80">
        <f>IF($A298="","",SUMIFS(tblInv[المتبقي],tblInv[كود العميل],$A298,tblInv[الفترة],C$7))</f>
        <v/>
      </c>
      <c r="D298" s="80">
        <f>IF($A298="","",SUMIFS(tblInv[المتبقي],tblInv[كود العميل],$A298,tblInv[الفترة],D$7))</f>
        <v/>
      </c>
      <c r="E298" s="80">
        <f>IF($A298="","",SUMIFS(tblInv[المتبقي],tblInv[كود العميل],$A298,tblInv[الفترة],E$7))</f>
        <v/>
      </c>
      <c r="F298" s="80">
        <f>IF($A298="","",SUMIFS(tblInv[المتبقي],tblInv[كود العميل],$A298,tblInv[الفترة],F$7))</f>
        <v/>
      </c>
      <c r="G298" s="80">
        <f>IF($A298="","",SUMIFS(tblInv[المتبقي],tblInv[كود العميل],$A298,tblInv[الفترة],G$7))</f>
        <v/>
      </c>
      <c r="H298" s="80">
        <f>IF($A298="","",SUMIFS(tblInv[المتبقي],tblInv[كود العميل],$A298,tblInv[الفترة],H$7))</f>
        <v/>
      </c>
      <c r="I298" s="80">
        <f>IF($A298="","",SUMIFS(tblInv[المتبقي],tblInv[كود العميل],$A298,tblInv[الفترة],I$7))</f>
        <v/>
      </c>
      <c r="J298" s="80">
        <f>IF($A298="","",SUM(C298:I298))</f>
        <v/>
      </c>
      <c r="K298" s="80">
        <f>IF($A298="","",-SUMIFS(tblRec[المبلغ],tblRec[كود العميل],$A298,tblRec[رقم الفاتورة],"",tblRec[التاريخ],"&lt;="&amp;AsOf)+SUMIFS(tblInv[المتبقي],tblInv[كود العميل],$A298,tblInv[المتبقي],"&lt;0"))</f>
        <v/>
      </c>
      <c r="L298" s="81">
        <f>IF($A298="","",J298+K298)</f>
        <v/>
      </c>
      <c r="M298" s="82">
        <f>IF($A298="","",IFERROR(L298/$L$8,0))</f>
        <v/>
      </c>
      <c r="N298" s="80">
        <f>IF($A298="","",INDEX(tblCustomers[حد الائتمان],MATCH($A298,tblCustomers[كود العميل],0)))</f>
        <v/>
      </c>
      <c r="O298" s="83">
        <f>IF($A298="","",IF(AND(N298&gt;0,L298&gt;N298),"⛔",""))</f>
        <v/>
      </c>
    </row>
    <row r="299">
      <c r="A299" s="78">
        <f>IFERROR(INDEX(tblCustomers[كود العميل],MATCH(290,tblCustomers[ترتيب],0)),"")</f>
        <v/>
      </c>
      <c r="B299" s="79">
        <f>IF($A299="","",INDEX(tblCustomers[اسم العميل],MATCH($A299,tblCustomers[كود العميل],0)))</f>
        <v/>
      </c>
      <c r="C299" s="80">
        <f>IF($A299="","",SUMIFS(tblInv[المتبقي],tblInv[كود العميل],$A299,tblInv[الفترة],C$7))</f>
        <v/>
      </c>
      <c r="D299" s="80">
        <f>IF($A299="","",SUMIFS(tblInv[المتبقي],tblInv[كود العميل],$A299,tblInv[الفترة],D$7))</f>
        <v/>
      </c>
      <c r="E299" s="80">
        <f>IF($A299="","",SUMIFS(tblInv[المتبقي],tblInv[كود العميل],$A299,tblInv[الفترة],E$7))</f>
        <v/>
      </c>
      <c r="F299" s="80">
        <f>IF($A299="","",SUMIFS(tblInv[المتبقي],tblInv[كود العميل],$A299,tblInv[الفترة],F$7))</f>
        <v/>
      </c>
      <c r="G299" s="80">
        <f>IF($A299="","",SUMIFS(tblInv[المتبقي],tblInv[كود العميل],$A299,tblInv[الفترة],G$7))</f>
        <v/>
      </c>
      <c r="H299" s="80">
        <f>IF($A299="","",SUMIFS(tblInv[المتبقي],tblInv[كود العميل],$A299,tblInv[الفترة],H$7))</f>
        <v/>
      </c>
      <c r="I299" s="80">
        <f>IF($A299="","",SUMIFS(tblInv[المتبقي],tblInv[كود العميل],$A299,tblInv[الفترة],I$7))</f>
        <v/>
      </c>
      <c r="J299" s="80">
        <f>IF($A299="","",SUM(C299:I299))</f>
        <v/>
      </c>
      <c r="K299" s="80">
        <f>IF($A299="","",-SUMIFS(tblRec[المبلغ],tblRec[كود العميل],$A299,tblRec[رقم الفاتورة],"",tblRec[التاريخ],"&lt;="&amp;AsOf)+SUMIFS(tblInv[المتبقي],tblInv[كود العميل],$A299,tblInv[المتبقي],"&lt;0"))</f>
        <v/>
      </c>
      <c r="L299" s="81">
        <f>IF($A299="","",J299+K299)</f>
        <v/>
      </c>
      <c r="M299" s="82">
        <f>IF($A299="","",IFERROR(L299/$L$8,0))</f>
        <v/>
      </c>
      <c r="N299" s="80">
        <f>IF($A299="","",INDEX(tblCustomers[حد الائتمان],MATCH($A299,tblCustomers[كود العميل],0)))</f>
        <v/>
      </c>
      <c r="O299" s="83">
        <f>IF($A299="","",IF(AND(N299&gt;0,L299&gt;N299),"⛔",""))</f>
        <v/>
      </c>
    </row>
    <row r="300">
      <c r="A300" s="78">
        <f>IFERROR(INDEX(tblCustomers[كود العميل],MATCH(291,tblCustomers[ترتيب],0)),"")</f>
        <v/>
      </c>
      <c r="B300" s="79">
        <f>IF($A300="","",INDEX(tblCustomers[اسم العميل],MATCH($A300,tblCustomers[كود العميل],0)))</f>
        <v/>
      </c>
      <c r="C300" s="80">
        <f>IF($A300="","",SUMIFS(tblInv[المتبقي],tblInv[كود العميل],$A300,tblInv[الفترة],C$7))</f>
        <v/>
      </c>
      <c r="D300" s="80">
        <f>IF($A300="","",SUMIFS(tblInv[المتبقي],tblInv[كود العميل],$A300,tblInv[الفترة],D$7))</f>
        <v/>
      </c>
      <c r="E300" s="80">
        <f>IF($A300="","",SUMIFS(tblInv[المتبقي],tblInv[كود العميل],$A300,tblInv[الفترة],E$7))</f>
        <v/>
      </c>
      <c r="F300" s="80">
        <f>IF($A300="","",SUMIFS(tblInv[المتبقي],tblInv[كود العميل],$A300,tblInv[الفترة],F$7))</f>
        <v/>
      </c>
      <c r="G300" s="80">
        <f>IF($A300="","",SUMIFS(tblInv[المتبقي],tblInv[كود العميل],$A300,tblInv[الفترة],G$7))</f>
        <v/>
      </c>
      <c r="H300" s="80">
        <f>IF($A300="","",SUMIFS(tblInv[المتبقي],tblInv[كود العميل],$A300,tblInv[الفترة],H$7))</f>
        <v/>
      </c>
      <c r="I300" s="80">
        <f>IF($A300="","",SUMIFS(tblInv[المتبقي],tblInv[كود العميل],$A300,tblInv[الفترة],I$7))</f>
        <v/>
      </c>
      <c r="J300" s="80">
        <f>IF($A300="","",SUM(C300:I300))</f>
        <v/>
      </c>
      <c r="K300" s="80">
        <f>IF($A300="","",-SUMIFS(tblRec[المبلغ],tblRec[كود العميل],$A300,tblRec[رقم الفاتورة],"",tblRec[التاريخ],"&lt;="&amp;AsOf)+SUMIFS(tblInv[المتبقي],tblInv[كود العميل],$A300,tblInv[المتبقي],"&lt;0"))</f>
        <v/>
      </c>
      <c r="L300" s="81">
        <f>IF($A300="","",J300+K300)</f>
        <v/>
      </c>
      <c r="M300" s="82">
        <f>IF($A300="","",IFERROR(L300/$L$8,0))</f>
        <v/>
      </c>
      <c r="N300" s="80">
        <f>IF($A300="","",INDEX(tblCustomers[حد الائتمان],MATCH($A300,tblCustomers[كود العميل],0)))</f>
        <v/>
      </c>
      <c r="O300" s="83">
        <f>IF($A300="","",IF(AND(N300&gt;0,L300&gt;N300),"⛔",""))</f>
        <v/>
      </c>
    </row>
    <row r="301">
      <c r="A301" s="78">
        <f>IFERROR(INDEX(tblCustomers[كود العميل],MATCH(292,tblCustomers[ترتيب],0)),"")</f>
        <v/>
      </c>
      <c r="B301" s="79">
        <f>IF($A301="","",INDEX(tblCustomers[اسم العميل],MATCH($A301,tblCustomers[كود العميل],0)))</f>
        <v/>
      </c>
      <c r="C301" s="80">
        <f>IF($A301="","",SUMIFS(tblInv[المتبقي],tblInv[كود العميل],$A301,tblInv[الفترة],C$7))</f>
        <v/>
      </c>
      <c r="D301" s="80">
        <f>IF($A301="","",SUMIFS(tblInv[المتبقي],tblInv[كود العميل],$A301,tblInv[الفترة],D$7))</f>
        <v/>
      </c>
      <c r="E301" s="80">
        <f>IF($A301="","",SUMIFS(tblInv[المتبقي],tblInv[كود العميل],$A301,tblInv[الفترة],E$7))</f>
        <v/>
      </c>
      <c r="F301" s="80">
        <f>IF($A301="","",SUMIFS(tblInv[المتبقي],tblInv[كود العميل],$A301,tblInv[الفترة],F$7))</f>
        <v/>
      </c>
      <c r="G301" s="80">
        <f>IF($A301="","",SUMIFS(tblInv[المتبقي],tblInv[كود العميل],$A301,tblInv[الفترة],G$7))</f>
        <v/>
      </c>
      <c r="H301" s="80">
        <f>IF($A301="","",SUMIFS(tblInv[المتبقي],tblInv[كود العميل],$A301,tblInv[الفترة],H$7))</f>
        <v/>
      </c>
      <c r="I301" s="80">
        <f>IF($A301="","",SUMIFS(tblInv[المتبقي],tblInv[كود العميل],$A301,tblInv[الفترة],I$7))</f>
        <v/>
      </c>
      <c r="J301" s="80">
        <f>IF($A301="","",SUM(C301:I301))</f>
        <v/>
      </c>
      <c r="K301" s="80">
        <f>IF($A301="","",-SUMIFS(tblRec[المبلغ],tblRec[كود العميل],$A301,tblRec[رقم الفاتورة],"",tblRec[التاريخ],"&lt;="&amp;AsOf)+SUMIFS(tblInv[المتبقي],tblInv[كود العميل],$A301,tblInv[المتبقي],"&lt;0"))</f>
        <v/>
      </c>
      <c r="L301" s="81">
        <f>IF($A301="","",J301+K301)</f>
        <v/>
      </c>
      <c r="M301" s="82">
        <f>IF($A301="","",IFERROR(L301/$L$8,0))</f>
        <v/>
      </c>
      <c r="N301" s="80">
        <f>IF($A301="","",INDEX(tblCustomers[حد الائتمان],MATCH($A301,tblCustomers[كود العميل],0)))</f>
        <v/>
      </c>
      <c r="O301" s="83">
        <f>IF($A301="","",IF(AND(N301&gt;0,L301&gt;N301),"⛔",""))</f>
        <v/>
      </c>
    </row>
    <row r="302">
      <c r="A302" s="78">
        <f>IFERROR(INDEX(tblCustomers[كود العميل],MATCH(293,tblCustomers[ترتيب],0)),"")</f>
        <v/>
      </c>
      <c r="B302" s="79">
        <f>IF($A302="","",INDEX(tblCustomers[اسم العميل],MATCH($A302,tblCustomers[كود العميل],0)))</f>
        <v/>
      </c>
      <c r="C302" s="80">
        <f>IF($A302="","",SUMIFS(tblInv[المتبقي],tblInv[كود العميل],$A302,tblInv[الفترة],C$7))</f>
        <v/>
      </c>
      <c r="D302" s="80">
        <f>IF($A302="","",SUMIFS(tblInv[المتبقي],tblInv[كود العميل],$A302,tblInv[الفترة],D$7))</f>
        <v/>
      </c>
      <c r="E302" s="80">
        <f>IF($A302="","",SUMIFS(tblInv[المتبقي],tblInv[كود العميل],$A302,tblInv[الفترة],E$7))</f>
        <v/>
      </c>
      <c r="F302" s="80">
        <f>IF($A302="","",SUMIFS(tblInv[المتبقي],tblInv[كود العميل],$A302,tblInv[الفترة],F$7))</f>
        <v/>
      </c>
      <c r="G302" s="80">
        <f>IF($A302="","",SUMIFS(tblInv[المتبقي],tblInv[كود العميل],$A302,tblInv[الفترة],G$7))</f>
        <v/>
      </c>
      <c r="H302" s="80">
        <f>IF($A302="","",SUMIFS(tblInv[المتبقي],tblInv[كود العميل],$A302,tblInv[الفترة],H$7))</f>
        <v/>
      </c>
      <c r="I302" s="80">
        <f>IF($A302="","",SUMIFS(tblInv[المتبقي],tblInv[كود العميل],$A302,tblInv[الفترة],I$7))</f>
        <v/>
      </c>
      <c r="J302" s="80">
        <f>IF($A302="","",SUM(C302:I302))</f>
        <v/>
      </c>
      <c r="K302" s="80">
        <f>IF($A302="","",-SUMIFS(tblRec[المبلغ],tblRec[كود العميل],$A302,tblRec[رقم الفاتورة],"",tblRec[التاريخ],"&lt;="&amp;AsOf)+SUMIFS(tblInv[المتبقي],tblInv[كود العميل],$A302,tblInv[المتبقي],"&lt;0"))</f>
        <v/>
      </c>
      <c r="L302" s="81">
        <f>IF($A302="","",J302+K302)</f>
        <v/>
      </c>
      <c r="M302" s="82">
        <f>IF($A302="","",IFERROR(L302/$L$8,0))</f>
        <v/>
      </c>
      <c r="N302" s="80">
        <f>IF($A302="","",INDEX(tblCustomers[حد الائتمان],MATCH($A302,tblCustomers[كود العميل],0)))</f>
        <v/>
      </c>
      <c r="O302" s="83">
        <f>IF($A302="","",IF(AND(N302&gt;0,L302&gt;N302),"⛔",""))</f>
        <v/>
      </c>
    </row>
    <row r="303">
      <c r="A303" s="78">
        <f>IFERROR(INDEX(tblCustomers[كود العميل],MATCH(294,tblCustomers[ترتيب],0)),"")</f>
        <v/>
      </c>
      <c r="B303" s="79">
        <f>IF($A303="","",INDEX(tblCustomers[اسم العميل],MATCH($A303,tblCustomers[كود العميل],0)))</f>
        <v/>
      </c>
      <c r="C303" s="80">
        <f>IF($A303="","",SUMIFS(tblInv[المتبقي],tblInv[كود العميل],$A303,tblInv[الفترة],C$7))</f>
        <v/>
      </c>
      <c r="D303" s="80">
        <f>IF($A303="","",SUMIFS(tblInv[المتبقي],tblInv[كود العميل],$A303,tblInv[الفترة],D$7))</f>
        <v/>
      </c>
      <c r="E303" s="80">
        <f>IF($A303="","",SUMIFS(tblInv[المتبقي],tblInv[كود العميل],$A303,tblInv[الفترة],E$7))</f>
        <v/>
      </c>
      <c r="F303" s="80">
        <f>IF($A303="","",SUMIFS(tblInv[المتبقي],tblInv[كود العميل],$A303,tblInv[الفترة],F$7))</f>
        <v/>
      </c>
      <c r="G303" s="80">
        <f>IF($A303="","",SUMIFS(tblInv[المتبقي],tblInv[كود العميل],$A303,tblInv[الفترة],G$7))</f>
        <v/>
      </c>
      <c r="H303" s="80">
        <f>IF($A303="","",SUMIFS(tblInv[المتبقي],tblInv[كود العميل],$A303,tblInv[الفترة],H$7))</f>
        <v/>
      </c>
      <c r="I303" s="80">
        <f>IF($A303="","",SUMIFS(tblInv[المتبقي],tblInv[كود العميل],$A303,tblInv[الفترة],I$7))</f>
        <v/>
      </c>
      <c r="J303" s="80">
        <f>IF($A303="","",SUM(C303:I303))</f>
        <v/>
      </c>
      <c r="K303" s="80">
        <f>IF($A303="","",-SUMIFS(tblRec[المبلغ],tblRec[كود العميل],$A303,tblRec[رقم الفاتورة],"",tblRec[التاريخ],"&lt;="&amp;AsOf)+SUMIFS(tblInv[المتبقي],tblInv[كود العميل],$A303,tblInv[المتبقي],"&lt;0"))</f>
        <v/>
      </c>
      <c r="L303" s="81">
        <f>IF($A303="","",J303+K303)</f>
        <v/>
      </c>
      <c r="M303" s="82">
        <f>IF($A303="","",IFERROR(L303/$L$8,0))</f>
        <v/>
      </c>
      <c r="N303" s="80">
        <f>IF($A303="","",INDEX(tblCustomers[حد الائتمان],MATCH($A303,tblCustomers[كود العميل],0)))</f>
        <v/>
      </c>
      <c r="O303" s="83">
        <f>IF($A303="","",IF(AND(N303&gt;0,L303&gt;N303),"⛔",""))</f>
        <v/>
      </c>
    </row>
    <row r="304">
      <c r="A304" s="78">
        <f>IFERROR(INDEX(tblCustomers[كود العميل],MATCH(295,tblCustomers[ترتيب],0)),"")</f>
        <v/>
      </c>
      <c r="B304" s="79">
        <f>IF($A304="","",INDEX(tblCustomers[اسم العميل],MATCH($A304,tblCustomers[كود العميل],0)))</f>
        <v/>
      </c>
      <c r="C304" s="80">
        <f>IF($A304="","",SUMIFS(tblInv[المتبقي],tblInv[كود العميل],$A304,tblInv[الفترة],C$7))</f>
        <v/>
      </c>
      <c r="D304" s="80">
        <f>IF($A304="","",SUMIFS(tblInv[المتبقي],tblInv[كود العميل],$A304,tblInv[الفترة],D$7))</f>
        <v/>
      </c>
      <c r="E304" s="80">
        <f>IF($A304="","",SUMIFS(tblInv[المتبقي],tblInv[كود العميل],$A304,tblInv[الفترة],E$7))</f>
        <v/>
      </c>
      <c r="F304" s="80">
        <f>IF($A304="","",SUMIFS(tblInv[المتبقي],tblInv[كود العميل],$A304,tblInv[الفترة],F$7))</f>
        <v/>
      </c>
      <c r="G304" s="80">
        <f>IF($A304="","",SUMIFS(tblInv[المتبقي],tblInv[كود العميل],$A304,tblInv[الفترة],G$7))</f>
        <v/>
      </c>
      <c r="H304" s="80">
        <f>IF($A304="","",SUMIFS(tblInv[المتبقي],tblInv[كود العميل],$A304,tblInv[الفترة],H$7))</f>
        <v/>
      </c>
      <c r="I304" s="80">
        <f>IF($A304="","",SUMIFS(tblInv[المتبقي],tblInv[كود العميل],$A304,tblInv[الفترة],I$7))</f>
        <v/>
      </c>
      <c r="J304" s="80">
        <f>IF($A304="","",SUM(C304:I304))</f>
        <v/>
      </c>
      <c r="K304" s="80">
        <f>IF($A304="","",-SUMIFS(tblRec[المبلغ],tblRec[كود العميل],$A304,tblRec[رقم الفاتورة],"",tblRec[التاريخ],"&lt;="&amp;AsOf)+SUMIFS(tblInv[المتبقي],tblInv[كود العميل],$A304,tblInv[المتبقي],"&lt;0"))</f>
        <v/>
      </c>
      <c r="L304" s="81">
        <f>IF($A304="","",J304+K304)</f>
        <v/>
      </c>
      <c r="M304" s="82">
        <f>IF($A304="","",IFERROR(L304/$L$8,0))</f>
        <v/>
      </c>
      <c r="N304" s="80">
        <f>IF($A304="","",INDEX(tblCustomers[حد الائتمان],MATCH($A304,tblCustomers[كود العميل],0)))</f>
        <v/>
      </c>
      <c r="O304" s="83">
        <f>IF($A304="","",IF(AND(N304&gt;0,L304&gt;N304),"⛔",""))</f>
        <v/>
      </c>
    </row>
    <row r="305">
      <c r="A305" s="78">
        <f>IFERROR(INDEX(tblCustomers[كود العميل],MATCH(296,tblCustomers[ترتيب],0)),"")</f>
        <v/>
      </c>
      <c r="B305" s="79">
        <f>IF($A305="","",INDEX(tblCustomers[اسم العميل],MATCH($A305,tblCustomers[كود العميل],0)))</f>
        <v/>
      </c>
      <c r="C305" s="80">
        <f>IF($A305="","",SUMIFS(tblInv[المتبقي],tblInv[كود العميل],$A305,tblInv[الفترة],C$7))</f>
        <v/>
      </c>
      <c r="D305" s="80">
        <f>IF($A305="","",SUMIFS(tblInv[المتبقي],tblInv[كود العميل],$A305,tblInv[الفترة],D$7))</f>
        <v/>
      </c>
      <c r="E305" s="80">
        <f>IF($A305="","",SUMIFS(tblInv[المتبقي],tblInv[كود العميل],$A305,tblInv[الفترة],E$7))</f>
        <v/>
      </c>
      <c r="F305" s="80">
        <f>IF($A305="","",SUMIFS(tblInv[المتبقي],tblInv[كود العميل],$A305,tblInv[الفترة],F$7))</f>
        <v/>
      </c>
      <c r="G305" s="80">
        <f>IF($A305="","",SUMIFS(tblInv[المتبقي],tblInv[كود العميل],$A305,tblInv[الفترة],G$7))</f>
        <v/>
      </c>
      <c r="H305" s="80">
        <f>IF($A305="","",SUMIFS(tblInv[المتبقي],tblInv[كود العميل],$A305,tblInv[الفترة],H$7))</f>
        <v/>
      </c>
      <c r="I305" s="80">
        <f>IF($A305="","",SUMIFS(tblInv[المتبقي],tblInv[كود العميل],$A305,tblInv[الفترة],I$7))</f>
        <v/>
      </c>
      <c r="J305" s="80">
        <f>IF($A305="","",SUM(C305:I305))</f>
        <v/>
      </c>
      <c r="K305" s="80">
        <f>IF($A305="","",-SUMIFS(tblRec[المبلغ],tblRec[كود العميل],$A305,tblRec[رقم الفاتورة],"",tblRec[التاريخ],"&lt;="&amp;AsOf)+SUMIFS(tblInv[المتبقي],tblInv[كود العميل],$A305,tblInv[المتبقي],"&lt;0"))</f>
        <v/>
      </c>
      <c r="L305" s="81">
        <f>IF($A305="","",J305+K305)</f>
        <v/>
      </c>
      <c r="M305" s="82">
        <f>IF($A305="","",IFERROR(L305/$L$8,0))</f>
        <v/>
      </c>
      <c r="N305" s="80">
        <f>IF($A305="","",INDEX(tblCustomers[حد الائتمان],MATCH($A305,tblCustomers[كود العميل],0)))</f>
        <v/>
      </c>
      <c r="O305" s="83">
        <f>IF($A305="","",IF(AND(N305&gt;0,L305&gt;N305),"⛔",""))</f>
        <v/>
      </c>
    </row>
    <row r="306">
      <c r="A306" s="78">
        <f>IFERROR(INDEX(tblCustomers[كود العميل],MATCH(297,tblCustomers[ترتيب],0)),"")</f>
        <v/>
      </c>
      <c r="B306" s="79">
        <f>IF($A306="","",INDEX(tblCustomers[اسم العميل],MATCH($A306,tblCustomers[كود العميل],0)))</f>
        <v/>
      </c>
      <c r="C306" s="80">
        <f>IF($A306="","",SUMIFS(tblInv[المتبقي],tblInv[كود العميل],$A306,tblInv[الفترة],C$7))</f>
        <v/>
      </c>
      <c r="D306" s="80">
        <f>IF($A306="","",SUMIFS(tblInv[المتبقي],tblInv[كود العميل],$A306,tblInv[الفترة],D$7))</f>
        <v/>
      </c>
      <c r="E306" s="80">
        <f>IF($A306="","",SUMIFS(tblInv[المتبقي],tblInv[كود العميل],$A306,tblInv[الفترة],E$7))</f>
        <v/>
      </c>
      <c r="F306" s="80">
        <f>IF($A306="","",SUMIFS(tblInv[المتبقي],tblInv[كود العميل],$A306,tblInv[الفترة],F$7))</f>
        <v/>
      </c>
      <c r="G306" s="80">
        <f>IF($A306="","",SUMIFS(tblInv[المتبقي],tblInv[كود العميل],$A306,tblInv[الفترة],G$7))</f>
        <v/>
      </c>
      <c r="H306" s="80">
        <f>IF($A306="","",SUMIFS(tblInv[المتبقي],tblInv[كود العميل],$A306,tblInv[الفترة],H$7))</f>
        <v/>
      </c>
      <c r="I306" s="80">
        <f>IF($A306="","",SUMIFS(tblInv[المتبقي],tblInv[كود العميل],$A306,tblInv[الفترة],I$7))</f>
        <v/>
      </c>
      <c r="J306" s="80">
        <f>IF($A306="","",SUM(C306:I306))</f>
        <v/>
      </c>
      <c r="K306" s="80">
        <f>IF($A306="","",-SUMIFS(tblRec[المبلغ],tblRec[كود العميل],$A306,tblRec[رقم الفاتورة],"",tblRec[التاريخ],"&lt;="&amp;AsOf)+SUMIFS(tblInv[المتبقي],tblInv[كود العميل],$A306,tblInv[المتبقي],"&lt;0"))</f>
        <v/>
      </c>
      <c r="L306" s="81">
        <f>IF($A306="","",J306+K306)</f>
        <v/>
      </c>
      <c r="M306" s="82">
        <f>IF($A306="","",IFERROR(L306/$L$8,0))</f>
        <v/>
      </c>
      <c r="N306" s="80">
        <f>IF($A306="","",INDEX(tblCustomers[حد الائتمان],MATCH($A306,tblCustomers[كود العميل],0)))</f>
        <v/>
      </c>
      <c r="O306" s="83">
        <f>IF($A306="","",IF(AND(N306&gt;0,L306&gt;N306),"⛔",""))</f>
        <v/>
      </c>
    </row>
    <row r="307">
      <c r="A307" s="78">
        <f>IFERROR(INDEX(tblCustomers[كود العميل],MATCH(298,tblCustomers[ترتيب],0)),"")</f>
        <v/>
      </c>
      <c r="B307" s="79">
        <f>IF($A307="","",INDEX(tblCustomers[اسم العميل],MATCH($A307,tblCustomers[كود العميل],0)))</f>
        <v/>
      </c>
      <c r="C307" s="80">
        <f>IF($A307="","",SUMIFS(tblInv[المتبقي],tblInv[كود العميل],$A307,tblInv[الفترة],C$7))</f>
        <v/>
      </c>
      <c r="D307" s="80">
        <f>IF($A307="","",SUMIFS(tblInv[المتبقي],tblInv[كود العميل],$A307,tblInv[الفترة],D$7))</f>
        <v/>
      </c>
      <c r="E307" s="80">
        <f>IF($A307="","",SUMIFS(tblInv[المتبقي],tblInv[كود العميل],$A307,tblInv[الفترة],E$7))</f>
        <v/>
      </c>
      <c r="F307" s="80">
        <f>IF($A307="","",SUMIFS(tblInv[المتبقي],tblInv[كود العميل],$A307,tblInv[الفترة],F$7))</f>
        <v/>
      </c>
      <c r="G307" s="80">
        <f>IF($A307="","",SUMIFS(tblInv[المتبقي],tblInv[كود العميل],$A307,tblInv[الفترة],G$7))</f>
        <v/>
      </c>
      <c r="H307" s="80">
        <f>IF($A307="","",SUMIFS(tblInv[المتبقي],tblInv[كود العميل],$A307,tblInv[الفترة],H$7))</f>
        <v/>
      </c>
      <c r="I307" s="80">
        <f>IF($A307="","",SUMIFS(tblInv[المتبقي],tblInv[كود العميل],$A307,tblInv[الفترة],I$7))</f>
        <v/>
      </c>
      <c r="J307" s="80">
        <f>IF($A307="","",SUM(C307:I307))</f>
        <v/>
      </c>
      <c r="K307" s="80">
        <f>IF($A307="","",-SUMIFS(tblRec[المبلغ],tblRec[كود العميل],$A307,tblRec[رقم الفاتورة],"",tblRec[التاريخ],"&lt;="&amp;AsOf)+SUMIFS(tblInv[المتبقي],tblInv[كود العميل],$A307,tblInv[المتبقي],"&lt;0"))</f>
        <v/>
      </c>
      <c r="L307" s="81">
        <f>IF($A307="","",J307+K307)</f>
        <v/>
      </c>
      <c r="M307" s="82">
        <f>IF($A307="","",IFERROR(L307/$L$8,0))</f>
        <v/>
      </c>
      <c r="N307" s="80">
        <f>IF($A307="","",INDEX(tblCustomers[حد الائتمان],MATCH($A307,tblCustomers[كود العميل],0)))</f>
        <v/>
      </c>
      <c r="O307" s="83">
        <f>IF($A307="","",IF(AND(N307&gt;0,L307&gt;N307),"⛔",""))</f>
        <v/>
      </c>
    </row>
    <row r="308">
      <c r="A308" s="78">
        <f>IFERROR(INDEX(tblCustomers[كود العميل],MATCH(299,tblCustomers[ترتيب],0)),"")</f>
        <v/>
      </c>
      <c r="B308" s="79">
        <f>IF($A308="","",INDEX(tblCustomers[اسم العميل],MATCH($A308,tblCustomers[كود العميل],0)))</f>
        <v/>
      </c>
      <c r="C308" s="80">
        <f>IF($A308="","",SUMIFS(tblInv[المتبقي],tblInv[كود العميل],$A308,tblInv[الفترة],C$7))</f>
        <v/>
      </c>
      <c r="D308" s="80">
        <f>IF($A308="","",SUMIFS(tblInv[المتبقي],tblInv[كود العميل],$A308,tblInv[الفترة],D$7))</f>
        <v/>
      </c>
      <c r="E308" s="80">
        <f>IF($A308="","",SUMIFS(tblInv[المتبقي],tblInv[كود العميل],$A308,tblInv[الفترة],E$7))</f>
        <v/>
      </c>
      <c r="F308" s="80">
        <f>IF($A308="","",SUMIFS(tblInv[المتبقي],tblInv[كود العميل],$A308,tblInv[الفترة],F$7))</f>
        <v/>
      </c>
      <c r="G308" s="80">
        <f>IF($A308="","",SUMIFS(tblInv[المتبقي],tblInv[كود العميل],$A308,tblInv[الفترة],G$7))</f>
        <v/>
      </c>
      <c r="H308" s="80">
        <f>IF($A308="","",SUMIFS(tblInv[المتبقي],tblInv[كود العميل],$A308,tblInv[الفترة],H$7))</f>
        <v/>
      </c>
      <c r="I308" s="80">
        <f>IF($A308="","",SUMIFS(tblInv[المتبقي],tblInv[كود العميل],$A308,tblInv[الفترة],I$7))</f>
        <v/>
      </c>
      <c r="J308" s="80">
        <f>IF($A308="","",SUM(C308:I308))</f>
        <v/>
      </c>
      <c r="K308" s="80">
        <f>IF($A308="","",-SUMIFS(tblRec[المبلغ],tblRec[كود العميل],$A308,tblRec[رقم الفاتورة],"",tblRec[التاريخ],"&lt;="&amp;AsOf)+SUMIFS(tblInv[المتبقي],tblInv[كود العميل],$A308,tblInv[المتبقي],"&lt;0"))</f>
        <v/>
      </c>
      <c r="L308" s="81">
        <f>IF($A308="","",J308+K308)</f>
        <v/>
      </c>
      <c r="M308" s="82">
        <f>IF($A308="","",IFERROR(L308/$L$8,0))</f>
        <v/>
      </c>
      <c r="N308" s="80">
        <f>IF($A308="","",INDEX(tblCustomers[حد الائتمان],MATCH($A308,tblCustomers[كود العميل],0)))</f>
        <v/>
      </c>
      <c r="O308" s="83">
        <f>IF($A308="","",IF(AND(N308&gt;0,L308&gt;N308),"⛔",""))</f>
        <v/>
      </c>
    </row>
    <row r="309">
      <c r="A309" s="78">
        <f>IFERROR(INDEX(tblCustomers[كود العميل],MATCH(300,tblCustomers[ترتيب],0)),"")</f>
        <v/>
      </c>
      <c r="B309" s="79">
        <f>IF($A309="","",INDEX(tblCustomers[اسم العميل],MATCH($A309,tblCustomers[كود العميل],0)))</f>
        <v/>
      </c>
      <c r="C309" s="80">
        <f>IF($A309="","",SUMIFS(tblInv[المتبقي],tblInv[كود العميل],$A309,tblInv[الفترة],C$7))</f>
        <v/>
      </c>
      <c r="D309" s="80">
        <f>IF($A309="","",SUMIFS(tblInv[المتبقي],tblInv[كود العميل],$A309,tblInv[الفترة],D$7))</f>
        <v/>
      </c>
      <c r="E309" s="80">
        <f>IF($A309="","",SUMIFS(tblInv[المتبقي],tblInv[كود العميل],$A309,tblInv[الفترة],E$7))</f>
        <v/>
      </c>
      <c r="F309" s="80">
        <f>IF($A309="","",SUMIFS(tblInv[المتبقي],tblInv[كود العميل],$A309,tblInv[الفترة],F$7))</f>
        <v/>
      </c>
      <c r="G309" s="80">
        <f>IF($A309="","",SUMIFS(tblInv[المتبقي],tblInv[كود العميل],$A309,tblInv[الفترة],G$7))</f>
        <v/>
      </c>
      <c r="H309" s="80">
        <f>IF($A309="","",SUMIFS(tblInv[المتبقي],tblInv[كود العميل],$A309,tblInv[الفترة],H$7))</f>
        <v/>
      </c>
      <c r="I309" s="80">
        <f>IF($A309="","",SUMIFS(tblInv[المتبقي],tblInv[كود العميل],$A309,tblInv[الفترة],I$7))</f>
        <v/>
      </c>
      <c r="J309" s="80">
        <f>IF($A309="","",SUM(C309:I309))</f>
        <v/>
      </c>
      <c r="K309" s="80">
        <f>IF($A309="","",-SUMIFS(tblRec[المبلغ],tblRec[كود العميل],$A309,tblRec[رقم الفاتورة],"",tblRec[التاريخ],"&lt;="&amp;AsOf)+SUMIFS(tblInv[المتبقي],tblInv[كود العميل],$A309,tblInv[المتبقي],"&lt;0"))</f>
        <v/>
      </c>
      <c r="L309" s="81">
        <f>IF($A309="","",J309+K309)</f>
        <v/>
      </c>
      <c r="M309" s="82">
        <f>IF($A309="","",IFERROR(L309/$L$8,0))</f>
        <v/>
      </c>
      <c r="N309" s="80">
        <f>IF($A309="","",INDEX(tblCustomers[حد الائتمان],MATCH($A309,tblCustomers[كود العميل],0)))</f>
        <v/>
      </c>
      <c r="O309" s="83">
        <f>IF($A309="","",IF(AND(N309&gt;0,L309&gt;N309),"⛔",""))</f>
        <v/>
      </c>
    </row>
    <row r="310">
      <c r="A310" s="78">
        <f>IFERROR(INDEX(tblCustomers[كود العميل],MATCH(301,tblCustomers[ترتيب],0)),"")</f>
        <v/>
      </c>
      <c r="B310" s="79">
        <f>IF($A310="","",INDEX(tblCustomers[اسم العميل],MATCH($A310,tblCustomers[كود العميل],0)))</f>
        <v/>
      </c>
      <c r="C310" s="80">
        <f>IF($A310="","",SUMIFS(tblInv[المتبقي],tblInv[كود العميل],$A310,tblInv[الفترة],C$7))</f>
        <v/>
      </c>
      <c r="D310" s="80">
        <f>IF($A310="","",SUMIFS(tblInv[المتبقي],tblInv[كود العميل],$A310,tblInv[الفترة],D$7))</f>
        <v/>
      </c>
      <c r="E310" s="80">
        <f>IF($A310="","",SUMIFS(tblInv[المتبقي],tblInv[كود العميل],$A310,tblInv[الفترة],E$7))</f>
        <v/>
      </c>
      <c r="F310" s="80">
        <f>IF($A310="","",SUMIFS(tblInv[المتبقي],tblInv[كود العميل],$A310,tblInv[الفترة],F$7))</f>
        <v/>
      </c>
      <c r="G310" s="80">
        <f>IF($A310="","",SUMIFS(tblInv[المتبقي],tblInv[كود العميل],$A310,tblInv[الفترة],G$7))</f>
        <v/>
      </c>
      <c r="H310" s="80">
        <f>IF($A310="","",SUMIFS(tblInv[المتبقي],tblInv[كود العميل],$A310,tblInv[الفترة],H$7))</f>
        <v/>
      </c>
      <c r="I310" s="80">
        <f>IF($A310="","",SUMIFS(tblInv[المتبقي],tblInv[كود العميل],$A310,tblInv[الفترة],I$7))</f>
        <v/>
      </c>
      <c r="J310" s="80">
        <f>IF($A310="","",SUM(C310:I310))</f>
        <v/>
      </c>
      <c r="K310" s="80">
        <f>IF($A310="","",-SUMIFS(tblRec[المبلغ],tblRec[كود العميل],$A310,tblRec[رقم الفاتورة],"",tblRec[التاريخ],"&lt;="&amp;AsOf)+SUMIFS(tblInv[المتبقي],tblInv[كود العميل],$A310,tblInv[المتبقي],"&lt;0"))</f>
        <v/>
      </c>
      <c r="L310" s="81">
        <f>IF($A310="","",J310+K310)</f>
        <v/>
      </c>
      <c r="M310" s="82">
        <f>IF($A310="","",IFERROR(L310/$L$8,0))</f>
        <v/>
      </c>
      <c r="N310" s="80">
        <f>IF($A310="","",INDEX(tblCustomers[حد الائتمان],MATCH($A310,tblCustomers[كود العميل],0)))</f>
        <v/>
      </c>
      <c r="O310" s="83">
        <f>IF($A310="","",IF(AND(N310&gt;0,L310&gt;N310),"⛔",""))</f>
        <v/>
      </c>
    </row>
    <row r="311">
      <c r="A311" s="78">
        <f>IFERROR(INDEX(tblCustomers[كود العميل],MATCH(302,tblCustomers[ترتيب],0)),"")</f>
        <v/>
      </c>
      <c r="B311" s="79">
        <f>IF($A311="","",INDEX(tblCustomers[اسم العميل],MATCH($A311,tblCustomers[كود العميل],0)))</f>
        <v/>
      </c>
      <c r="C311" s="80">
        <f>IF($A311="","",SUMIFS(tblInv[المتبقي],tblInv[كود العميل],$A311,tblInv[الفترة],C$7))</f>
        <v/>
      </c>
      <c r="D311" s="80">
        <f>IF($A311="","",SUMIFS(tblInv[المتبقي],tblInv[كود العميل],$A311,tblInv[الفترة],D$7))</f>
        <v/>
      </c>
      <c r="E311" s="80">
        <f>IF($A311="","",SUMIFS(tblInv[المتبقي],tblInv[كود العميل],$A311,tblInv[الفترة],E$7))</f>
        <v/>
      </c>
      <c r="F311" s="80">
        <f>IF($A311="","",SUMIFS(tblInv[المتبقي],tblInv[كود العميل],$A311,tblInv[الفترة],F$7))</f>
        <v/>
      </c>
      <c r="G311" s="80">
        <f>IF($A311="","",SUMIFS(tblInv[المتبقي],tblInv[كود العميل],$A311,tblInv[الفترة],G$7))</f>
        <v/>
      </c>
      <c r="H311" s="80">
        <f>IF($A311="","",SUMIFS(tblInv[المتبقي],tblInv[كود العميل],$A311,tblInv[الفترة],H$7))</f>
        <v/>
      </c>
      <c r="I311" s="80">
        <f>IF($A311="","",SUMIFS(tblInv[المتبقي],tblInv[كود العميل],$A311,tblInv[الفترة],I$7))</f>
        <v/>
      </c>
      <c r="J311" s="80">
        <f>IF($A311="","",SUM(C311:I311))</f>
        <v/>
      </c>
      <c r="K311" s="80">
        <f>IF($A311="","",-SUMIFS(tblRec[المبلغ],tblRec[كود العميل],$A311,tblRec[رقم الفاتورة],"",tblRec[التاريخ],"&lt;="&amp;AsOf)+SUMIFS(tblInv[المتبقي],tblInv[كود العميل],$A311,tblInv[المتبقي],"&lt;0"))</f>
        <v/>
      </c>
      <c r="L311" s="81">
        <f>IF($A311="","",J311+K311)</f>
        <v/>
      </c>
      <c r="M311" s="82">
        <f>IF($A311="","",IFERROR(L311/$L$8,0))</f>
        <v/>
      </c>
      <c r="N311" s="80">
        <f>IF($A311="","",INDEX(tblCustomers[حد الائتمان],MATCH($A311,tblCustomers[كود العميل],0)))</f>
        <v/>
      </c>
      <c r="O311" s="83">
        <f>IF($A311="","",IF(AND(N311&gt;0,L311&gt;N311),"⛔",""))</f>
        <v/>
      </c>
    </row>
    <row r="312">
      <c r="A312" s="78">
        <f>IFERROR(INDEX(tblCustomers[كود العميل],MATCH(303,tblCustomers[ترتيب],0)),"")</f>
        <v/>
      </c>
      <c r="B312" s="79">
        <f>IF($A312="","",INDEX(tblCustomers[اسم العميل],MATCH($A312,tblCustomers[كود العميل],0)))</f>
        <v/>
      </c>
      <c r="C312" s="80">
        <f>IF($A312="","",SUMIFS(tblInv[المتبقي],tblInv[كود العميل],$A312,tblInv[الفترة],C$7))</f>
        <v/>
      </c>
      <c r="D312" s="80">
        <f>IF($A312="","",SUMIFS(tblInv[المتبقي],tblInv[كود العميل],$A312,tblInv[الفترة],D$7))</f>
        <v/>
      </c>
      <c r="E312" s="80">
        <f>IF($A312="","",SUMIFS(tblInv[المتبقي],tblInv[كود العميل],$A312,tblInv[الفترة],E$7))</f>
        <v/>
      </c>
      <c r="F312" s="80">
        <f>IF($A312="","",SUMIFS(tblInv[المتبقي],tblInv[كود العميل],$A312,tblInv[الفترة],F$7))</f>
        <v/>
      </c>
      <c r="G312" s="80">
        <f>IF($A312="","",SUMIFS(tblInv[المتبقي],tblInv[كود العميل],$A312,tblInv[الفترة],G$7))</f>
        <v/>
      </c>
      <c r="H312" s="80">
        <f>IF($A312="","",SUMIFS(tblInv[المتبقي],tblInv[كود العميل],$A312,tblInv[الفترة],H$7))</f>
        <v/>
      </c>
      <c r="I312" s="80">
        <f>IF($A312="","",SUMIFS(tblInv[المتبقي],tblInv[كود العميل],$A312,tblInv[الفترة],I$7))</f>
        <v/>
      </c>
      <c r="J312" s="80">
        <f>IF($A312="","",SUM(C312:I312))</f>
        <v/>
      </c>
      <c r="K312" s="80">
        <f>IF($A312="","",-SUMIFS(tblRec[المبلغ],tblRec[كود العميل],$A312,tblRec[رقم الفاتورة],"",tblRec[التاريخ],"&lt;="&amp;AsOf)+SUMIFS(tblInv[المتبقي],tblInv[كود العميل],$A312,tblInv[المتبقي],"&lt;0"))</f>
        <v/>
      </c>
      <c r="L312" s="81">
        <f>IF($A312="","",J312+K312)</f>
        <v/>
      </c>
      <c r="M312" s="82">
        <f>IF($A312="","",IFERROR(L312/$L$8,0))</f>
        <v/>
      </c>
      <c r="N312" s="80">
        <f>IF($A312="","",INDEX(tblCustomers[حد الائتمان],MATCH($A312,tblCustomers[كود العميل],0)))</f>
        <v/>
      </c>
      <c r="O312" s="83">
        <f>IF($A312="","",IF(AND(N312&gt;0,L312&gt;N312),"⛔",""))</f>
        <v/>
      </c>
    </row>
    <row r="313">
      <c r="A313" s="78">
        <f>IFERROR(INDEX(tblCustomers[كود العميل],MATCH(304,tblCustomers[ترتيب],0)),"")</f>
        <v/>
      </c>
      <c r="B313" s="79">
        <f>IF($A313="","",INDEX(tblCustomers[اسم العميل],MATCH($A313,tblCustomers[كود العميل],0)))</f>
        <v/>
      </c>
      <c r="C313" s="80">
        <f>IF($A313="","",SUMIFS(tblInv[المتبقي],tblInv[كود العميل],$A313,tblInv[الفترة],C$7))</f>
        <v/>
      </c>
      <c r="D313" s="80">
        <f>IF($A313="","",SUMIFS(tblInv[المتبقي],tblInv[كود العميل],$A313,tblInv[الفترة],D$7))</f>
        <v/>
      </c>
      <c r="E313" s="80">
        <f>IF($A313="","",SUMIFS(tblInv[المتبقي],tblInv[كود العميل],$A313,tblInv[الفترة],E$7))</f>
        <v/>
      </c>
      <c r="F313" s="80">
        <f>IF($A313="","",SUMIFS(tblInv[المتبقي],tblInv[كود العميل],$A313,tblInv[الفترة],F$7))</f>
        <v/>
      </c>
      <c r="G313" s="80">
        <f>IF($A313="","",SUMIFS(tblInv[المتبقي],tblInv[كود العميل],$A313,tblInv[الفترة],G$7))</f>
        <v/>
      </c>
      <c r="H313" s="80">
        <f>IF($A313="","",SUMIFS(tblInv[المتبقي],tblInv[كود العميل],$A313,tblInv[الفترة],H$7))</f>
        <v/>
      </c>
      <c r="I313" s="80">
        <f>IF($A313="","",SUMIFS(tblInv[المتبقي],tblInv[كود العميل],$A313,tblInv[الفترة],I$7))</f>
        <v/>
      </c>
      <c r="J313" s="80">
        <f>IF($A313="","",SUM(C313:I313))</f>
        <v/>
      </c>
      <c r="K313" s="80">
        <f>IF($A313="","",-SUMIFS(tblRec[المبلغ],tblRec[كود العميل],$A313,tblRec[رقم الفاتورة],"",tblRec[التاريخ],"&lt;="&amp;AsOf)+SUMIFS(tblInv[المتبقي],tblInv[كود العميل],$A313,tblInv[المتبقي],"&lt;0"))</f>
        <v/>
      </c>
      <c r="L313" s="81">
        <f>IF($A313="","",J313+K313)</f>
        <v/>
      </c>
      <c r="M313" s="82">
        <f>IF($A313="","",IFERROR(L313/$L$8,0))</f>
        <v/>
      </c>
      <c r="N313" s="80">
        <f>IF($A313="","",INDEX(tblCustomers[حد الائتمان],MATCH($A313,tblCustomers[كود العميل],0)))</f>
        <v/>
      </c>
      <c r="O313" s="83">
        <f>IF($A313="","",IF(AND(N313&gt;0,L313&gt;N313),"⛔",""))</f>
        <v/>
      </c>
    </row>
    <row r="314">
      <c r="A314" s="78">
        <f>IFERROR(INDEX(tblCustomers[كود العميل],MATCH(305,tblCustomers[ترتيب],0)),"")</f>
        <v/>
      </c>
      <c r="B314" s="79">
        <f>IF($A314="","",INDEX(tblCustomers[اسم العميل],MATCH($A314,tblCustomers[كود العميل],0)))</f>
        <v/>
      </c>
      <c r="C314" s="80">
        <f>IF($A314="","",SUMIFS(tblInv[المتبقي],tblInv[كود العميل],$A314,tblInv[الفترة],C$7))</f>
        <v/>
      </c>
      <c r="D314" s="80">
        <f>IF($A314="","",SUMIFS(tblInv[المتبقي],tblInv[كود العميل],$A314,tblInv[الفترة],D$7))</f>
        <v/>
      </c>
      <c r="E314" s="80">
        <f>IF($A314="","",SUMIFS(tblInv[المتبقي],tblInv[كود العميل],$A314,tblInv[الفترة],E$7))</f>
        <v/>
      </c>
      <c r="F314" s="80">
        <f>IF($A314="","",SUMIFS(tblInv[المتبقي],tblInv[كود العميل],$A314,tblInv[الفترة],F$7))</f>
        <v/>
      </c>
      <c r="G314" s="80">
        <f>IF($A314="","",SUMIFS(tblInv[المتبقي],tblInv[كود العميل],$A314,tblInv[الفترة],G$7))</f>
        <v/>
      </c>
      <c r="H314" s="80">
        <f>IF($A314="","",SUMIFS(tblInv[المتبقي],tblInv[كود العميل],$A314,tblInv[الفترة],H$7))</f>
        <v/>
      </c>
      <c r="I314" s="80">
        <f>IF($A314="","",SUMIFS(tblInv[المتبقي],tblInv[كود العميل],$A314,tblInv[الفترة],I$7))</f>
        <v/>
      </c>
      <c r="J314" s="80">
        <f>IF($A314="","",SUM(C314:I314))</f>
        <v/>
      </c>
      <c r="K314" s="80">
        <f>IF($A314="","",-SUMIFS(tblRec[المبلغ],tblRec[كود العميل],$A314,tblRec[رقم الفاتورة],"",tblRec[التاريخ],"&lt;="&amp;AsOf)+SUMIFS(tblInv[المتبقي],tblInv[كود العميل],$A314,tblInv[المتبقي],"&lt;0"))</f>
        <v/>
      </c>
      <c r="L314" s="81">
        <f>IF($A314="","",J314+K314)</f>
        <v/>
      </c>
      <c r="M314" s="82">
        <f>IF($A314="","",IFERROR(L314/$L$8,0))</f>
        <v/>
      </c>
      <c r="N314" s="80">
        <f>IF($A314="","",INDEX(tblCustomers[حد الائتمان],MATCH($A314,tblCustomers[كود العميل],0)))</f>
        <v/>
      </c>
      <c r="O314" s="83">
        <f>IF($A314="","",IF(AND(N314&gt;0,L314&gt;N314),"⛔",""))</f>
        <v/>
      </c>
    </row>
    <row r="315">
      <c r="A315" s="78">
        <f>IFERROR(INDEX(tblCustomers[كود العميل],MATCH(306,tblCustomers[ترتيب],0)),"")</f>
        <v/>
      </c>
      <c r="B315" s="79">
        <f>IF($A315="","",INDEX(tblCustomers[اسم العميل],MATCH($A315,tblCustomers[كود العميل],0)))</f>
        <v/>
      </c>
      <c r="C315" s="80">
        <f>IF($A315="","",SUMIFS(tblInv[المتبقي],tblInv[كود العميل],$A315,tblInv[الفترة],C$7))</f>
        <v/>
      </c>
      <c r="D315" s="80">
        <f>IF($A315="","",SUMIFS(tblInv[المتبقي],tblInv[كود العميل],$A315,tblInv[الفترة],D$7))</f>
        <v/>
      </c>
      <c r="E315" s="80">
        <f>IF($A315="","",SUMIFS(tblInv[المتبقي],tblInv[كود العميل],$A315,tblInv[الفترة],E$7))</f>
        <v/>
      </c>
      <c r="F315" s="80">
        <f>IF($A315="","",SUMIFS(tblInv[المتبقي],tblInv[كود العميل],$A315,tblInv[الفترة],F$7))</f>
        <v/>
      </c>
      <c r="G315" s="80">
        <f>IF($A315="","",SUMIFS(tblInv[المتبقي],tblInv[كود العميل],$A315,tblInv[الفترة],G$7))</f>
        <v/>
      </c>
      <c r="H315" s="80">
        <f>IF($A315="","",SUMIFS(tblInv[المتبقي],tblInv[كود العميل],$A315,tblInv[الفترة],H$7))</f>
        <v/>
      </c>
      <c r="I315" s="80">
        <f>IF($A315="","",SUMIFS(tblInv[المتبقي],tblInv[كود العميل],$A315,tblInv[الفترة],I$7))</f>
        <v/>
      </c>
      <c r="J315" s="80">
        <f>IF($A315="","",SUM(C315:I315))</f>
        <v/>
      </c>
      <c r="K315" s="80">
        <f>IF($A315="","",-SUMIFS(tblRec[المبلغ],tblRec[كود العميل],$A315,tblRec[رقم الفاتورة],"",tblRec[التاريخ],"&lt;="&amp;AsOf)+SUMIFS(tblInv[المتبقي],tblInv[كود العميل],$A315,tblInv[المتبقي],"&lt;0"))</f>
        <v/>
      </c>
      <c r="L315" s="81">
        <f>IF($A315="","",J315+K315)</f>
        <v/>
      </c>
      <c r="M315" s="82">
        <f>IF($A315="","",IFERROR(L315/$L$8,0))</f>
        <v/>
      </c>
      <c r="N315" s="80">
        <f>IF($A315="","",INDEX(tblCustomers[حد الائتمان],MATCH($A315,tblCustomers[كود العميل],0)))</f>
        <v/>
      </c>
      <c r="O315" s="83">
        <f>IF($A315="","",IF(AND(N315&gt;0,L315&gt;N315),"⛔",""))</f>
        <v/>
      </c>
    </row>
    <row r="316">
      <c r="A316" s="78">
        <f>IFERROR(INDEX(tblCustomers[كود العميل],MATCH(307,tblCustomers[ترتيب],0)),"")</f>
        <v/>
      </c>
      <c r="B316" s="79">
        <f>IF($A316="","",INDEX(tblCustomers[اسم العميل],MATCH($A316,tblCustomers[كود العميل],0)))</f>
        <v/>
      </c>
      <c r="C316" s="80">
        <f>IF($A316="","",SUMIFS(tblInv[المتبقي],tblInv[كود العميل],$A316,tblInv[الفترة],C$7))</f>
        <v/>
      </c>
      <c r="D316" s="80">
        <f>IF($A316="","",SUMIFS(tblInv[المتبقي],tblInv[كود العميل],$A316,tblInv[الفترة],D$7))</f>
        <v/>
      </c>
      <c r="E316" s="80">
        <f>IF($A316="","",SUMIFS(tblInv[المتبقي],tblInv[كود العميل],$A316,tblInv[الفترة],E$7))</f>
        <v/>
      </c>
      <c r="F316" s="80">
        <f>IF($A316="","",SUMIFS(tblInv[المتبقي],tblInv[كود العميل],$A316,tblInv[الفترة],F$7))</f>
        <v/>
      </c>
      <c r="G316" s="80">
        <f>IF($A316="","",SUMIFS(tblInv[المتبقي],tblInv[كود العميل],$A316,tblInv[الفترة],G$7))</f>
        <v/>
      </c>
      <c r="H316" s="80">
        <f>IF($A316="","",SUMIFS(tblInv[المتبقي],tblInv[كود العميل],$A316,tblInv[الفترة],H$7))</f>
        <v/>
      </c>
      <c r="I316" s="80">
        <f>IF($A316="","",SUMIFS(tblInv[المتبقي],tblInv[كود العميل],$A316,tblInv[الفترة],I$7))</f>
        <v/>
      </c>
      <c r="J316" s="80">
        <f>IF($A316="","",SUM(C316:I316))</f>
        <v/>
      </c>
      <c r="K316" s="80">
        <f>IF($A316="","",-SUMIFS(tblRec[المبلغ],tblRec[كود العميل],$A316,tblRec[رقم الفاتورة],"",tblRec[التاريخ],"&lt;="&amp;AsOf)+SUMIFS(tblInv[المتبقي],tblInv[كود العميل],$A316,tblInv[المتبقي],"&lt;0"))</f>
        <v/>
      </c>
      <c r="L316" s="81">
        <f>IF($A316="","",J316+K316)</f>
        <v/>
      </c>
      <c r="M316" s="82">
        <f>IF($A316="","",IFERROR(L316/$L$8,0))</f>
        <v/>
      </c>
      <c r="N316" s="80">
        <f>IF($A316="","",INDEX(tblCustomers[حد الائتمان],MATCH($A316,tblCustomers[كود العميل],0)))</f>
        <v/>
      </c>
      <c r="O316" s="83">
        <f>IF($A316="","",IF(AND(N316&gt;0,L316&gt;N316),"⛔",""))</f>
        <v/>
      </c>
    </row>
    <row r="317">
      <c r="A317" s="78">
        <f>IFERROR(INDEX(tblCustomers[كود العميل],MATCH(308,tblCustomers[ترتيب],0)),"")</f>
        <v/>
      </c>
      <c r="B317" s="79">
        <f>IF($A317="","",INDEX(tblCustomers[اسم العميل],MATCH($A317,tblCustomers[كود العميل],0)))</f>
        <v/>
      </c>
      <c r="C317" s="80">
        <f>IF($A317="","",SUMIFS(tblInv[المتبقي],tblInv[كود العميل],$A317,tblInv[الفترة],C$7))</f>
        <v/>
      </c>
      <c r="D317" s="80">
        <f>IF($A317="","",SUMIFS(tblInv[المتبقي],tblInv[كود العميل],$A317,tblInv[الفترة],D$7))</f>
        <v/>
      </c>
      <c r="E317" s="80">
        <f>IF($A317="","",SUMIFS(tblInv[المتبقي],tblInv[كود العميل],$A317,tblInv[الفترة],E$7))</f>
        <v/>
      </c>
      <c r="F317" s="80">
        <f>IF($A317="","",SUMIFS(tblInv[المتبقي],tblInv[كود العميل],$A317,tblInv[الفترة],F$7))</f>
        <v/>
      </c>
      <c r="G317" s="80">
        <f>IF($A317="","",SUMIFS(tblInv[المتبقي],tblInv[كود العميل],$A317,tblInv[الفترة],G$7))</f>
        <v/>
      </c>
      <c r="H317" s="80">
        <f>IF($A317="","",SUMIFS(tblInv[المتبقي],tblInv[كود العميل],$A317,tblInv[الفترة],H$7))</f>
        <v/>
      </c>
      <c r="I317" s="80">
        <f>IF($A317="","",SUMIFS(tblInv[المتبقي],tblInv[كود العميل],$A317,tblInv[الفترة],I$7))</f>
        <v/>
      </c>
      <c r="J317" s="80">
        <f>IF($A317="","",SUM(C317:I317))</f>
        <v/>
      </c>
      <c r="K317" s="80">
        <f>IF($A317="","",-SUMIFS(tblRec[المبلغ],tblRec[كود العميل],$A317,tblRec[رقم الفاتورة],"",tblRec[التاريخ],"&lt;="&amp;AsOf)+SUMIFS(tblInv[المتبقي],tblInv[كود العميل],$A317,tblInv[المتبقي],"&lt;0"))</f>
        <v/>
      </c>
      <c r="L317" s="81">
        <f>IF($A317="","",J317+K317)</f>
        <v/>
      </c>
      <c r="M317" s="82">
        <f>IF($A317="","",IFERROR(L317/$L$8,0))</f>
        <v/>
      </c>
      <c r="N317" s="80">
        <f>IF($A317="","",INDEX(tblCustomers[حد الائتمان],MATCH($A317,tblCustomers[كود العميل],0)))</f>
        <v/>
      </c>
      <c r="O317" s="83">
        <f>IF($A317="","",IF(AND(N317&gt;0,L317&gt;N317),"⛔",""))</f>
        <v/>
      </c>
    </row>
    <row r="318">
      <c r="A318" s="78">
        <f>IFERROR(INDEX(tblCustomers[كود العميل],MATCH(309,tblCustomers[ترتيب],0)),"")</f>
        <v/>
      </c>
      <c r="B318" s="79">
        <f>IF($A318="","",INDEX(tblCustomers[اسم العميل],MATCH($A318,tblCustomers[كود العميل],0)))</f>
        <v/>
      </c>
      <c r="C318" s="80">
        <f>IF($A318="","",SUMIFS(tblInv[المتبقي],tblInv[كود العميل],$A318,tblInv[الفترة],C$7))</f>
        <v/>
      </c>
      <c r="D318" s="80">
        <f>IF($A318="","",SUMIFS(tblInv[المتبقي],tblInv[كود العميل],$A318,tblInv[الفترة],D$7))</f>
        <v/>
      </c>
      <c r="E318" s="80">
        <f>IF($A318="","",SUMIFS(tblInv[المتبقي],tblInv[كود العميل],$A318,tblInv[الفترة],E$7))</f>
        <v/>
      </c>
      <c r="F318" s="80">
        <f>IF($A318="","",SUMIFS(tblInv[المتبقي],tblInv[كود العميل],$A318,tblInv[الفترة],F$7))</f>
        <v/>
      </c>
      <c r="G318" s="80">
        <f>IF($A318="","",SUMIFS(tblInv[المتبقي],tblInv[كود العميل],$A318,tblInv[الفترة],G$7))</f>
        <v/>
      </c>
      <c r="H318" s="80">
        <f>IF($A318="","",SUMIFS(tblInv[المتبقي],tblInv[كود العميل],$A318,tblInv[الفترة],H$7))</f>
        <v/>
      </c>
      <c r="I318" s="80">
        <f>IF($A318="","",SUMIFS(tblInv[المتبقي],tblInv[كود العميل],$A318,tblInv[الفترة],I$7))</f>
        <v/>
      </c>
      <c r="J318" s="80">
        <f>IF($A318="","",SUM(C318:I318))</f>
        <v/>
      </c>
      <c r="K318" s="80">
        <f>IF($A318="","",-SUMIFS(tblRec[المبلغ],tblRec[كود العميل],$A318,tblRec[رقم الفاتورة],"",tblRec[التاريخ],"&lt;="&amp;AsOf)+SUMIFS(tblInv[المتبقي],tblInv[كود العميل],$A318,tblInv[المتبقي],"&lt;0"))</f>
        <v/>
      </c>
      <c r="L318" s="81">
        <f>IF($A318="","",J318+K318)</f>
        <v/>
      </c>
      <c r="M318" s="82">
        <f>IF($A318="","",IFERROR(L318/$L$8,0))</f>
        <v/>
      </c>
      <c r="N318" s="80">
        <f>IF($A318="","",INDEX(tblCustomers[حد الائتمان],MATCH($A318,tblCustomers[كود العميل],0)))</f>
        <v/>
      </c>
      <c r="O318" s="83">
        <f>IF($A318="","",IF(AND(N318&gt;0,L318&gt;N318),"⛔",""))</f>
        <v/>
      </c>
    </row>
    <row r="319">
      <c r="A319" s="78">
        <f>IFERROR(INDEX(tblCustomers[كود العميل],MATCH(310,tblCustomers[ترتيب],0)),"")</f>
        <v/>
      </c>
      <c r="B319" s="79">
        <f>IF($A319="","",INDEX(tblCustomers[اسم العميل],MATCH($A319,tblCustomers[كود العميل],0)))</f>
        <v/>
      </c>
      <c r="C319" s="80">
        <f>IF($A319="","",SUMIFS(tblInv[المتبقي],tblInv[كود العميل],$A319,tblInv[الفترة],C$7))</f>
        <v/>
      </c>
      <c r="D319" s="80">
        <f>IF($A319="","",SUMIFS(tblInv[المتبقي],tblInv[كود العميل],$A319,tblInv[الفترة],D$7))</f>
        <v/>
      </c>
      <c r="E319" s="80">
        <f>IF($A319="","",SUMIFS(tblInv[المتبقي],tblInv[كود العميل],$A319,tblInv[الفترة],E$7))</f>
        <v/>
      </c>
      <c r="F319" s="80">
        <f>IF($A319="","",SUMIFS(tblInv[المتبقي],tblInv[كود العميل],$A319,tblInv[الفترة],F$7))</f>
        <v/>
      </c>
      <c r="G319" s="80">
        <f>IF($A319="","",SUMIFS(tblInv[المتبقي],tblInv[كود العميل],$A319,tblInv[الفترة],G$7))</f>
        <v/>
      </c>
      <c r="H319" s="80">
        <f>IF($A319="","",SUMIFS(tblInv[المتبقي],tblInv[كود العميل],$A319,tblInv[الفترة],H$7))</f>
        <v/>
      </c>
      <c r="I319" s="80">
        <f>IF($A319="","",SUMIFS(tblInv[المتبقي],tblInv[كود العميل],$A319,tblInv[الفترة],I$7))</f>
        <v/>
      </c>
      <c r="J319" s="80">
        <f>IF($A319="","",SUM(C319:I319))</f>
        <v/>
      </c>
      <c r="K319" s="80">
        <f>IF($A319="","",-SUMIFS(tblRec[المبلغ],tblRec[كود العميل],$A319,tblRec[رقم الفاتورة],"",tblRec[التاريخ],"&lt;="&amp;AsOf)+SUMIFS(tblInv[المتبقي],tblInv[كود العميل],$A319,tblInv[المتبقي],"&lt;0"))</f>
        <v/>
      </c>
      <c r="L319" s="81">
        <f>IF($A319="","",J319+K319)</f>
        <v/>
      </c>
      <c r="M319" s="82">
        <f>IF($A319="","",IFERROR(L319/$L$8,0))</f>
        <v/>
      </c>
      <c r="N319" s="80">
        <f>IF($A319="","",INDEX(tblCustomers[حد الائتمان],MATCH($A319,tblCustomers[كود العميل],0)))</f>
        <v/>
      </c>
      <c r="O319" s="83">
        <f>IF($A319="","",IF(AND(N319&gt;0,L319&gt;N319),"⛔",""))</f>
        <v/>
      </c>
    </row>
    <row r="320">
      <c r="A320" s="78">
        <f>IFERROR(INDEX(tblCustomers[كود العميل],MATCH(311,tblCustomers[ترتيب],0)),"")</f>
        <v/>
      </c>
      <c r="B320" s="79">
        <f>IF($A320="","",INDEX(tblCustomers[اسم العميل],MATCH($A320,tblCustomers[كود العميل],0)))</f>
        <v/>
      </c>
      <c r="C320" s="80">
        <f>IF($A320="","",SUMIFS(tblInv[المتبقي],tblInv[كود العميل],$A320,tblInv[الفترة],C$7))</f>
        <v/>
      </c>
      <c r="D320" s="80">
        <f>IF($A320="","",SUMIFS(tblInv[المتبقي],tblInv[كود العميل],$A320,tblInv[الفترة],D$7))</f>
        <v/>
      </c>
      <c r="E320" s="80">
        <f>IF($A320="","",SUMIFS(tblInv[المتبقي],tblInv[كود العميل],$A320,tblInv[الفترة],E$7))</f>
        <v/>
      </c>
      <c r="F320" s="80">
        <f>IF($A320="","",SUMIFS(tblInv[المتبقي],tblInv[كود العميل],$A320,tblInv[الفترة],F$7))</f>
        <v/>
      </c>
      <c r="G320" s="80">
        <f>IF($A320="","",SUMIFS(tblInv[المتبقي],tblInv[كود العميل],$A320,tblInv[الفترة],G$7))</f>
        <v/>
      </c>
      <c r="H320" s="80">
        <f>IF($A320="","",SUMIFS(tblInv[المتبقي],tblInv[كود العميل],$A320,tblInv[الفترة],H$7))</f>
        <v/>
      </c>
      <c r="I320" s="80">
        <f>IF($A320="","",SUMIFS(tblInv[المتبقي],tblInv[كود العميل],$A320,tblInv[الفترة],I$7))</f>
        <v/>
      </c>
      <c r="J320" s="80">
        <f>IF($A320="","",SUM(C320:I320))</f>
        <v/>
      </c>
      <c r="K320" s="80">
        <f>IF($A320="","",-SUMIFS(tblRec[المبلغ],tblRec[كود العميل],$A320,tblRec[رقم الفاتورة],"",tblRec[التاريخ],"&lt;="&amp;AsOf)+SUMIFS(tblInv[المتبقي],tblInv[كود العميل],$A320,tblInv[المتبقي],"&lt;0"))</f>
        <v/>
      </c>
      <c r="L320" s="81">
        <f>IF($A320="","",J320+K320)</f>
        <v/>
      </c>
      <c r="M320" s="82">
        <f>IF($A320="","",IFERROR(L320/$L$8,0))</f>
        <v/>
      </c>
      <c r="N320" s="80">
        <f>IF($A320="","",INDEX(tblCustomers[حد الائتمان],MATCH($A320,tblCustomers[كود العميل],0)))</f>
        <v/>
      </c>
      <c r="O320" s="83">
        <f>IF($A320="","",IF(AND(N320&gt;0,L320&gt;N320),"⛔",""))</f>
        <v/>
      </c>
    </row>
    <row r="321">
      <c r="A321" s="78">
        <f>IFERROR(INDEX(tblCustomers[كود العميل],MATCH(312,tblCustomers[ترتيب],0)),"")</f>
        <v/>
      </c>
      <c r="B321" s="79">
        <f>IF($A321="","",INDEX(tblCustomers[اسم العميل],MATCH($A321,tblCustomers[كود العميل],0)))</f>
        <v/>
      </c>
      <c r="C321" s="80">
        <f>IF($A321="","",SUMIFS(tblInv[المتبقي],tblInv[كود العميل],$A321,tblInv[الفترة],C$7))</f>
        <v/>
      </c>
      <c r="D321" s="80">
        <f>IF($A321="","",SUMIFS(tblInv[المتبقي],tblInv[كود العميل],$A321,tblInv[الفترة],D$7))</f>
        <v/>
      </c>
      <c r="E321" s="80">
        <f>IF($A321="","",SUMIFS(tblInv[المتبقي],tblInv[كود العميل],$A321,tblInv[الفترة],E$7))</f>
        <v/>
      </c>
      <c r="F321" s="80">
        <f>IF($A321="","",SUMIFS(tblInv[المتبقي],tblInv[كود العميل],$A321,tblInv[الفترة],F$7))</f>
        <v/>
      </c>
      <c r="G321" s="80">
        <f>IF($A321="","",SUMIFS(tblInv[المتبقي],tblInv[كود العميل],$A321,tblInv[الفترة],G$7))</f>
        <v/>
      </c>
      <c r="H321" s="80">
        <f>IF($A321="","",SUMIFS(tblInv[المتبقي],tblInv[كود العميل],$A321,tblInv[الفترة],H$7))</f>
        <v/>
      </c>
      <c r="I321" s="80">
        <f>IF($A321="","",SUMIFS(tblInv[المتبقي],tblInv[كود العميل],$A321,tblInv[الفترة],I$7))</f>
        <v/>
      </c>
      <c r="J321" s="80">
        <f>IF($A321="","",SUM(C321:I321))</f>
        <v/>
      </c>
      <c r="K321" s="80">
        <f>IF($A321="","",-SUMIFS(tblRec[المبلغ],tblRec[كود العميل],$A321,tblRec[رقم الفاتورة],"",tblRec[التاريخ],"&lt;="&amp;AsOf)+SUMIFS(tblInv[المتبقي],tblInv[كود العميل],$A321,tblInv[المتبقي],"&lt;0"))</f>
        <v/>
      </c>
      <c r="L321" s="81">
        <f>IF($A321="","",J321+K321)</f>
        <v/>
      </c>
      <c r="M321" s="82">
        <f>IF($A321="","",IFERROR(L321/$L$8,0))</f>
        <v/>
      </c>
      <c r="N321" s="80">
        <f>IF($A321="","",INDEX(tblCustomers[حد الائتمان],MATCH($A321,tblCustomers[كود العميل],0)))</f>
        <v/>
      </c>
      <c r="O321" s="83">
        <f>IF($A321="","",IF(AND(N321&gt;0,L321&gt;N321),"⛔",""))</f>
        <v/>
      </c>
    </row>
    <row r="322">
      <c r="A322" s="78">
        <f>IFERROR(INDEX(tblCustomers[كود العميل],MATCH(313,tblCustomers[ترتيب],0)),"")</f>
        <v/>
      </c>
      <c r="B322" s="79">
        <f>IF($A322="","",INDEX(tblCustomers[اسم العميل],MATCH($A322,tblCustomers[كود العميل],0)))</f>
        <v/>
      </c>
      <c r="C322" s="80">
        <f>IF($A322="","",SUMIFS(tblInv[المتبقي],tblInv[كود العميل],$A322,tblInv[الفترة],C$7))</f>
        <v/>
      </c>
      <c r="D322" s="80">
        <f>IF($A322="","",SUMIFS(tblInv[المتبقي],tblInv[كود العميل],$A322,tblInv[الفترة],D$7))</f>
        <v/>
      </c>
      <c r="E322" s="80">
        <f>IF($A322="","",SUMIFS(tblInv[المتبقي],tblInv[كود العميل],$A322,tblInv[الفترة],E$7))</f>
        <v/>
      </c>
      <c r="F322" s="80">
        <f>IF($A322="","",SUMIFS(tblInv[المتبقي],tblInv[كود العميل],$A322,tblInv[الفترة],F$7))</f>
        <v/>
      </c>
      <c r="G322" s="80">
        <f>IF($A322="","",SUMIFS(tblInv[المتبقي],tblInv[كود العميل],$A322,tblInv[الفترة],G$7))</f>
        <v/>
      </c>
      <c r="H322" s="80">
        <f>IF($A322="","",SUMIFS(tblInv[المتبقي],tblInv[كود العميل],$A322,tblInv[الفترة],H$7))</f>
        <v/>
      </c>
      <c r="I322" s="80">
        <f>IF($A322="","",SUMIFS(tblInv[المتبقي],tblInv[كود العميل],$A322,tblInv[الفترة],I$7))</f>
        <v/>
      </c>
      <c r="J322" s="80">
        <f>IF($A322="","",SUM(C322:I322))</f>
        <v/>
      </c>
      <c r="K322" s="80">
        <f>IF($A322="","",-SUMIFS(tblRec[المبلغ],tblRec[كود العميل],$A322,tblRec[رقم الفاتورة],"",tblRec[التاريخ],"&lt;="&amp;AsOf)+SUMIFS(tblInv[المتبقي],tblInv[كود العميل],$A322,tblInv[المتبقي],"&lt;0"))</f>
        <v/>
      </c>
      <c r="L322" s="81">
        <f>IF($A322="","",J322+K322)</f>
        <v/>
      </c>
      <c r="M322" s="82">
        <f>IF($A322="","",IFERROR(L322/$L$8,0))</f>
        <v/>
      </c>
      <c r="N322" s="80">
        <f>IF($A322="","",INDEX(tblCustomers[حد الائتمان],MATCH($A322,tblCustomers[كود العميل],0)))</f>
        <v/>
      </c>
      <c r="O322" s="83">
        <f>IF($A322="","",IF(AND(N322&gt;0,L322&gt;N322),"⛔",""))</f>
        <v/>
      </c>
    </row>
    <row r="323">
      <c r="A323" s="78">
        <f>IFERROR(INDEX(tblCustomers[كود العميل],MATCH(314,tblCustomers[ترتيب],0)),"")</f>
        <v/>
      </c>
      <c r="B323" s="79">
        <f>IF($A323="","",INDEX(tblCustomers[اسم العميل],MATCH($A323,tblCustomers[كود العميل],0)))</f>
        <v/>
      </c>
      <c r="C323" s="80">
        <f>IF($A323="","",SUMIFS(tblInv[المتبقي],tblInv[كود العميل],$A323,tblInv[الفترة],C$7))</f>
        <v/>
      </c>
      <c r="D323" s="80">
        <f>IF($A323="","",SUMIFS(tblInv[المتبقي],tblInv[كود العميل],$A323,tblInv[الفترة],D$7))</f>
        <v/>
      </c>
      <c r="E323" s="80">
        <f>IF($A323="","",SUMIFS(tblInv[المتبقي],tblInv[كود العميل],$A323,tblInv[الفترة],E$7))</f>
        <v/>
      </c>
      <c r="F323" s="80">
        <f>IF($A323="","",SUMIFS(tblInv[المتبقي],tblInv[كود العميل],$A323,tblInv[الفترة],F$7))</f>
        <v/>
      </c>
      <c r="G323" s="80">
        <f>IF($A323="","",SUMIFS(tblInv[المتبقي],tblInv[كود العميل],$A323,tblInv[الفترة],G$7))</f>
        <v/>
      </c>
      <c r="H323" s="80">
        <f>IF($A323="","",SUMIFS(tblInv[المتبقي],tblInv[كود العميل],$A323,tblInv[الفترة],H$7))</f>
        <v/>
      </c>
      <c r="I323" s="80">
        <f>IF($A323="","",SUMIFS(tblInv[المتبقي],tblInv[كود العميل],$A323,tblInv[الفترة],I$7))</f>
        <v/>
      </c>
      <c r="J323" s="80">
        <f>IF($A323="","",SUM(C323:I323))</f>
        <v/>
      </c>
      <c r="K323" s="80">
        <f>IF($A323="","",-SUMIFS(tblRec[المبلغ],tblRec[كود العميل],$A323,tblRec[رقم الفاتورة],"",tblRec[التاريخ],"&lt;="&amp;AsOf)+SUMIFS(tblInv[المتبقي],tblInv[كود العميل],$A323,tblInv[المتبقي],"&lt;0"))</f>
        <v/>
      </c>
      <c r="L323" s="81">
        <f>IF($A323="","",J323+K323)</f>
        <v/>
      </c>
      <c r="M323" s="82">
        <f>IF($A323="","",IFERROR(L323/$L$8,0))</f>
        <v/>
      </c>
      <c r="N323" s="80">
        <f>IF($A323="","",INDEX(tblCustomers[حد الائتمان],MATCH($A323,tblCustomers[كود العميل],0)))</f>
        <v/>
      </c>
      <c r="O323" s="83">
        <f>IF($A323="","",IF(AND(N323&gt;0,L323&gt;N323),"⛔",""))</f>
        <v/>
      </c>
    </row>
    <row r="324">
      <c r="A324" s="78">
        <f>IFERROR(INDEX(tblCustomers[كود العميل],MATCH(315,tblCustomers[ترتيب],0)),"")</f>
        <v/>
      </c>
      <c r="B324" s="79">
        <f>IF($A324="","",INDEX(tblCustomers[اسم العميل],MATCH($A324,tblCustomers[كود العميل],0)))</f>
        <v/>
      </c>
      <c r="C324" s="80">
        <f>IF($A324="","",SUMIFS(tblInv[المتبقي],tblInv[كود العميل],$A324,tblInv[الفترة],C$7))</f>
        <v/>
      </c>
      <c r="D324" s="80">
        <f>IF($A324="","",SUMIFS(tblInv[المتبقي],tblInv[كود العميل],$A324,tblInv[الفترة],D$7))</f>
        <v/>
      </c>
      <c r="E324" s="80">
        <f>IF($A324="","",SUMIFS(tblInv[المتبقي],tblInv[كود العميل],$A324,tblInv[الفترة],E$7))</f>
        <v/>
      </c>
      <c r="F324" s="80">
        <f>IF($A324="","",SUMIFS(tblInv[المتبقي],tblInv[كود العميل],$A324,tblInv[الفترة],F$7))</f>
        <v/>
      </c>
      <c r="G324" s="80">
        <f>IF($A324="","",SUMIFS(tblInv[المتبقي],tblInv[كود العميل],$A324,tblInv[الفترة],G$7))</f>
        <v/>
      </c>
      <c r="H324" s="80">
        <f>IF($A324="","",SUMIFS(tblInv[المتبقي],tblInv[كود العميل],$A324,tblInv[الفترة],H$7))</f>
        <v/>
      </c>
      <c r="I324" s="80">
        <f>IF($A324="","",SUMIFS(tblInv[المتبقي],tblInv[كود العميل],$A324,tblInv[الفترة],I$7))</f>
        <v/>
      </c>
      <c r="J324" s="80">
        <f>IF($A324="","",SUM(C324:I324))</f>
        <v/>
      </c>
      <c r="K324" s="80">
        <f>IF($A324="","",-SUMIFS(tblRec[المبلغ],tblRec[كود العميل],$A324,tblRec[رقم الفاتورة],"",tblRec[التاريخ],"&lt;="&amp;AsOf)+SUMIFS(tblInv[المتبقي],tblInv[كود العميل],$A324,tblInv[المتبقي],"&lt;0"))</f>
        <v/>
      </c>
      <c r="L324" s="81">
        <f>IF($A324="","",J324+K324)</f>
        <v/>
      </c>
      <c r="M324" s="82">
        <f>IF($A324="","",IFERROR(L324/$L$8,0))</f>
        <v/>
      </c>
      <c r="N324" s="80">
        <f>IF($A324="","",INDEX(tblCustomers[حد الائتمان],MATCH($A324,tblCustomers[كود العميل],0)))</f>
        <v/>
      </c>
      <c r="O324" s="83">
        <f>IF($A324="","",IF(AND(N324&gt;0,L324&gt;N324),"⛔",""))</f>
        <v/>
      </c>
    </row>
    <row r="325">
      <c r="A325" s="78">
        <f>IFERROR(INDEX(tblCustomers[كود العميل],MATCH(316,tblCustomers[ترتيب],0)),"")</f>
        <v/>
      </c>
      <c r="B325" s="79">
        <f>IF($A325="","",INDEX(tblCustomers[اسم العميل],MATCH($A325,tblCustomers[كود العميل],0)))</f>
        <v/>
      </c>
      <c r="C325" s="80">
        <f>IF($A325="","",SUMIFS(tblInv[المتبقي],tblInv[كود العميل],$A325,tblInv[الفترة],C$7))</f>
        <v/>
      </c>
      <c r="D325" s="80">
        <f>IF($A325="","",SUMIFS(tblInv[المتبقي],tblInv[كود العميل],$A325,tblInv[الفترة],D$7))</f>
        <v/>
      </c>
      <c r="E325" s="80">
        <f>IF($A325="","",SUMIFS(tblInv[المتبقي],tblInv[كود العميل],$A325,tblInv[الفترة],E$7))</f>
        <v/>
      </c>
      <c r="F325" s="80">
        <f>IF($A325="","",SUMIFS(tblInv[المتبقي],tblInv[كود العميل],$A325,tblInv[الفترة],F$7))</f>
        <v/>
      </c>
      <c r="G325" s="80">
        <f>IF($A325="","",SUMIFS(tblInv[المتبقي],tblInv[كود العميل],$A325,tblInv[الفترة],G$7))</f>
        <v/>
      </c>
      <c r="H325" s="80">
        <f>IF($A325="","",SUMIFS(tblInv[المتبقي],tblInv[كود العميل],$A325,tblInv[الفترة],H$7))</f>
        <v/>
      </c>
      <c r="I325" s="80">
        <f>IF($A325="","",SUMIFS(tblInv[المتبقي],tblInv[كود العميل],$A325,tblInv[الفترة],I$7))</f>
        <v/>
      </c>
      <c r="J325" s="80">
        <f>IF($A325="","",SUM(C325:I325))</f>
        <v/>
      </c>
      <c r="K325" s="80">
        <f>IF($A325="","",-SUMIFS(tblRec[المبلغ],tblRec[كود العميل],$A325,tblRec[رقم الفاتورة],"",tblRec[التاريخ],"&lt;="&amp;AsOf)+SUMIFS(tblInv[المتبقي],tblInv[كود العميل],$A325,tblInv[المتبقي],"&lt;0"))</f>
        <v/>
      </c>
      <c r="L325" s="81">
        <f>IF($A325="","",J325+K325)</f>
        <v/>
      </c>
      <c r="M325" s="82">
        <f>IF($A325="","",IFERROR(L325/$L$8,0))</f>
        <v/>
      </c>
      <c r="N325" s="80">
        <f>IF($A325="","",INDEX(tblCustomers[حد الائتمان],MATCH($A325,tblCustomers[كود العميل],0)))</f>
        <v/>
      </c>
      <c r="O325" s="83">
        <f>IF($A325="","",IF(AND(N325&gt;0,L325&gt;N325),"⛔",""))</f>
        <v/>
      </c>
    </row>
    <row r="326">
      <c r="A326" s="78">
        <f>IFERROR(INDEX(tblCustomers[كود العميل],MATCH(317,tblCustomers[ترتيب],0)),"")</f>
        <v/>
      </c>
      <c r="B326" s="79">
        <f>IF($A326="","",INDEX(tblCustomers[اسم العميل],MATCH($A326,tblCustomers[كود العميل],0)))</f>
        <v/>
      </c>
      <c r="C326" s="80">
        <f>IF($A326="","",SUMIFS(tblInv[المتبقي],tblInv[كود العميل],$A326,tblInv[الفترة],C$7))</f>
        <v/>
      </c>
      <c r="D326" s="80">
        <f>IF($A326="","",SUMIFS(tblInv[المتبقي],tblInv[كود العميل],$A326,tblInv[الفترة],D$7))</f>
        <v/>
      </c>
      <c r="E326" s="80">
        <f>IF($A326="","",SUMIFS(tblInv[المتبقي],tblInv[كود العميل],$A326,tblInv[الفترة],E$7))</f>
        <v/>
      </c>
      <c r="F326" s="80">
        <f>IF($A326="","",SUMIFS(tblInv[المتبقي],tblInv[كود العميل],$A326,tblInv[الفترة],F$7))</f>
        <v/>
      </c>
      <c r="G326" s="80">
        <f>IF($A326="","",SUMIFS(tblInv[المتبقي],tblInv[كود العميل],$A326,tblInv[الفترة],G$7))</f>
        <v/>
      </c>
      <c r="H326" s="80">
        <f>IF($A326="","",SUMIFS(tblInv[المتبقي],tblInv[كود العميل],$A326,tblInv[الفترة],H$7))</f>
        <v/>
      </c>
      <c r="I326" s="80">
        <f>IF($A326="","",SUMIFS(tblInv[المتبقي],tblInv[كود العميل],$A326,tblInv[الفترة],I$7))</f>
        <v/>
      </c>
      <c r="J326" s="80">
        <f>IF($A326="","",SUM(C326:I326))</f>
        <v/>
      </c>
      <c r="K326" s="80">
        <f>IF($A326="","",-SUMIFS(tblRec[المبلغ],tblRec[كود العميل],$A326,tblRec[رقم الفاتورة],"",tblRec[التاريخ],"&lt;="&amp;AsOf)+SUMIFS(tblInv[المتبقي],tblInv[كود العميل],$A326,tblInv[المتبقي],"&lt;0"))</f>
        <v/>
      </c>
      <c r="L326" s="81">
        <f>IF($A326="","",J326+K326)</f>
        <v/>
      </c>
      <c r="M326" s="82">
        <f>IF($A326="","",IFERROR(L326/$L$8,0))</f>
        <v/>
      </c>
      <c r="N326" s="80">
        <f>IF($A326="","",INDEX(tblCustomers[حد الائتمان],MATCH($A326,tblCustomers[كود العميل],0)))</f>
        <v/>
      </c>
      <c r="O326" s="83">
        <f>IF($A326="","",IF(AND(N326&gt;0,L326&gt;N326),"⛔",""))</f>
        <v/>
      </c>
    </row>
    <row r="327">
      <c r="A327" s="78">
        <f>IFERROR(INDEX(tblCustomers[كود العميل],MATCH(318,tblCustomers[ترتيب],0)),"")</f>
        <v/>
      </c>
      <c r="B327" s="79">
        <f>IF($A327="","",INDEX(tblCustomers[اسم العميل],MATCH($A327,tblCustomers[كود العميل],0)))</f>
        <v/>
      </c>
      <c r="C327" s="80">
        <f>IF($A327="","",SUMIFS(tblInv[المتبقي],tblInv[كود العميل],$A327,tblInv[الفترة],C$7))</f>
        <v/>
      </c>
      <c r="D327" s="80">
        <f>IF($A327="","",SUMIFS(tblInv[المتبقي],tblInv[كود العميل],$A327,tblInv[الفترة],D$7))</f>
        <v/>
      </c>
      <c r="E327" s="80">
        <f>IF($A327="","",SUMIFS(tblInv[المتبقي],tblInv[كود العميل],$A327,tblInv[الفترة],E$7))</f>
        <v/>
      </c>
      <c r="F327" s="80">
        <f>IF($A327="","",SUMIFS(tblInv[المتبقي],tblInv[كود العميل],$A327,tblInv[الفترة],F$7))</f>
        <v/>
      </c>
      <c r="G327" s="80">
        <f>IF($A327="","",SUMIFS(tblInv[المتبقي],tblInv[كود العميل],$A327,tblInv[الفترة],G$7))</f>
        <v/>
      </c>
      <c r="H327" s="80">
        <f>IF($A327="","",SUMIFS(tblInv[المتبقي],tblInv[كود العميل],$A327,tblInv[الفترة],H$7))</f>
        <v/>
      </c>
      <c r="I327" s="80">
        <f>IF($A327="","",SUMIFS(tblInv[المتبقي],tblInv[كود العميل],$A327,tblInv[الفترة],I$7))</f>
        <v/>
      </c>
      <c r="J327" s="80">
        <f>IF($A327="","",SUM(C327:I327))</f>
        <v/>
      </c>
      <c r="K327" s="80">
        <f>IF($A327="","",-SUMIFS(tblRec[المبلغ],tblRec[كود العميل],$A327,tblRec[رقم الفاتورة],"",tblRec[التاريخ],"&lt;="&amp;AsOf)+SUMIFS(tblInv[المتبقي],tblInv[كود العميل],$A327,tblInv[المتبقي],"&lt;0"))</f>
        <v/>
      </c>
      <c r="L327" s="81">
        <f>IF($A327="","",J327+K327)</f>
        <v/>
      </c>
      <c r="M327" s="82">
        <f>IF($A327="","",IFERROR(L327/$L$8,0))</f>
        <v/>
      </c>
      <c r="N327" s="80">
        <f>IF($A327="","",INDEX(tblCustomers[حد الائتمان],MATCH($A327,tblCustomers[كود العميل],0)))</f>
        <v/>
      </c>
      <c r="O327" s="83">
        <f>IF($A327="","",IF(AND(N327&gt;0,L327&gt;N327),"⛔",""))</f>
        <v/>
      </c>
    </row>
    <row r="328">
      <c r="A328" s="78">
        <f>IFERROR(INDEX(tblCustomers[كود العميل],MATCH(319,tblCustomers[ترتيب],0)),"")</f>
        <v/>
      </c>
      <c r="B328" s="79">
        <f>IF($A328="","",INDEX(tblCustomers[اسم العميل],MATCH($A328,tblCustomers[كود العميل],0)))</f>
        <v/>
      </c>
      <c r="C328" s="80">
        <f>IF($A328="","",SUMIFS(tblInv[المتبقي],tblInv[كود العميل],$A328,tblInv[الفترة],C$7))</f>
        <v/>
      </c>
      <c r="D328" s="80">
        <f>IF($A328="","",SUMIFS(tblInv[المتبقي],tblInv[كود العميل],$A328,tblInv[الفترة],D$7))</f>
        <v/>
      </c>
      <c r="E328" s="80">
        <f>IF($A328="","",SUMIFS(tblInv[المتبقي],tblInv[كود العميل],$A328,tblInv[الفترة],E$7))</f>
        <v/>
      </c>
      <c r="F328" s="80">
        <f>IF($A328="","",SUMIFS(tblInv[المتبقي],tblInv[كود العميل],$A328,tblInv[الفترة],F$7))</f>
        <v/>
      </c>
      <c r="G328" s="80">
        <f>IF($A328="","",SUMIFS(tblInv[المتبقي],tblInv[كود العميل],$A328,tblInv[الفترة],G$7))</f>
        <v/>
      </c>
      <c r="H328" s="80">
        <f>IF($A328="","",SUMIFS(tblInv[المتبقي],tblInv[كود العميل],$A328,tblInv[الفترة],H$7))</f>
        <v/>
      </c>
      <c r="I328" s="80">
        <f>IF($A328="","",SUMIFS(tblInv[المتبقي],tblInv[كود العميل],$A328,tblInv[الفترة],I$7))</f>
        <v/>
      </c>
      <c r="J328" s="80">
        <f>IF($A328="","",SUM(C328:I328))</f>
        <v/>
      </c>
      <c r="K328" s="80">
        <f>IF($A328="","",-SUMIFS(tblRec[المبلغ],tblRec[كود العميل],$A328,tblRec[رقم الفاتورة],"",tblRec[التاريخ],"&lt;="&amp;AsOf)+SUMIFS(tblInv[المتبقي],tblInv[كود العميل],$A328,tblInv[المتبقي],"&lt;0"))</f>
        <v/>
      </c>
      <c r="L328" s="81">
        <f>IF($A328="","",J328+K328)</f>
        <v/>
      </c>
      <c r="M328" s="82">
        <f>IF($A328="","",IFERROR(L328/$L$8,0))</f>
        <v/>
      </c>
      <c r="N328" s="80">
        <f>IF($A328="","",INDEX(tblCustomers[حد الائتمان],MATCH($A328,tblCustomers[كود العميل],0)))</f>
        <v/>
      </c>
      <c r="O328" s="83">
        <f>IF($A328="","",IF(AND(N328&gt;0,L328&gt;N328),"⛔",""))</f>
        <v/>
      </c>
    </row>
    <row r="329">
      <c r="A329" s="78">
        <f>IFERROR(INDEX(tblCustomers[كود العميل],MATCH(320,tblCustomers[ترتيب],0)),"")</f>
        <v/>
      </c>
      <c r="B329" s="79">
        <f>IF($A329="","",INDEX(tblCustomers[اسم العميل],MATCH($A329,tblCustomers[كود العميل],0)))</f>
        <v/>
      </c>
      <c r="C329" s="80">
        <f>IF($A329="","",SUMIFS(tblInv[المتبقي],tblInv[كود العميل],$A329,tblInv[الفترة],C$7))</f>
        <v/>
      </c>
      <c r="D329" s="80">
        <f>IF($A329="","",SUMIFS(tblInv[المتبقي],tblInv[كود العميل],$A329,tblInv[الفترة],D$7))</f>
        <v/>
      </c>
      <c r="E329" s="80">
        <f>IF($A329="","",SUMIFS(tblInv[المتبقي],tblInv[كود العميل],$A329,tblInv[الفترة],E$7))</f>
        <v/>
      </c>
      <c r="F329" s="80">
        <f>IF($A329="","",SUMIFS(tblInv[المتبقي],tblInv[كود العميل],$A329,tblInv[الفترة],F$7))</f>
        <v/>
      </c>
      <c r="G329" s="80">
        <f>IF($A329="","",SUMIFS(tblInv[المتبقي],tblInv[كود العميل],$A329,tblInv[الفترة],G$7))</f>
        <v/>
      </c>
      <c r="H329" s="80">
        <f>IF($A329="","",SUMIFS(tblInv[المتبقي],tblInv[كود العميل],$A329,tblInv[الفترة],H$7))</f>
        <v/>
      </c>
      <c r="I329" s="80">
        <f>IF($A329="","",SUMIFS(tblInv[المتبقي],tblInv[كود العميل],$A329,tblInv[الفترة],I$7))</f>
        <v/>
      </c>
      <c r="J329" s="80">
        <f>IF($A329="","",SUM(C329:I329))</f>
        <v/>
      </c>
      <c r="K329" s="80">
        <f>IF($A329="","",-SUMIFS(tblRec[المبلغ],tblRec[كود العميل],$A329,tblRec[رقم الفاتورة],"",tblRec[التاريخ],"&lt;="&amp;AsOf)+SUMIFS(tblInv[المتبقي],tblInv[كود العميل],$A329,tblInv[المتبقي],"&lt;0"))</f>
        <v/>
      </c>
      <c r="L329" s="81">
        <f>IF($A329="","",J329+K329)</f>
        <v/>
      </c>
      <c r="M329" s="82">
        <f>IF($A329="","",IFERROR(L329/$L$8,0))</f>
        <v/>
      </c>
      <c r="N329" s="80">
        <f>IF($A329="","",INDEX(tblCustomers[حد الائتمان],MATCH($A329,tblCustomers[كود العميل],0)))</f>
        <v/>
      </c>
      <c r="O329" s="83">
        <f>IF($A329="","",IF(AND(N329&gt;0,L329&gt;N329),"⛔",""))</f>
        <v/>
      </c>
    </row>
    <row r="330">
      <c r="A330" s="78">
        <f>IFERROR(INDEX(tblCustomers[كود العميل],MATCH(321,tblCustomers[ترتيب],0)),"")</f>
        <v/>
      </c>
      <c r="B330" s="79">
        <f>IF($A330="","",INDEX(tblCustomers[اسم العميل],MATCH($A330,tblCustomers[كود العميل],0)))</f>
        <v/>
      </c>
      <c r="C330" s="80">
        <f>IF($A330="","",SUMIFS(tblInv[المتبقي],tblInv[كود العميل],$A330,tblInv[الفترة],C$7))</f>
        <v/>
      </c>
      <c r="D330" s="80">
        <f>IF($A330="","",SUMIFS(tblInv[المتبقي],tblInv[كود العميل],$A330,tblInv[الفترة],D$7))</f>
        <v/>
      </c>
      <c r="E330" s="80">
        <f>IF($A330="","",SUMIFS(tblInv[المتبقي],tblInv[كود العميل],$A330,tblInv[الفترة],E$7))</f>
        <v/>
      </c>
      <c r="F330" s="80">
        <f>IF($A330="","",SUMIFS(tblInv[المتبقي],tblInv[كود العميل],$A330,tblInv[الفترة],F$7))</f>
        <v/>
      </c>
      <c r="G330" s="80">
        <f>IF($A330="","",SUMIFS(tblInv[المتبقي],tblInv[كود العميل],$A330,tblInv[الفترة],G$7))</f>
        <v/>
      </c>
      <c r="H330" s="80">
        <f>IF($A330="","",SUMIFS(tblInv[المتبقي],tblInv[كود العميل],$A330,tblInv[الفترة],H$7))</f>
        <v/>
      </c>
      <c r="I330" s="80">
        <f>IF($A330="","",SUMIFS(tblInv[المتبقي],tblInv[كود العميل],$A330,tblInv[الفترة],I$7))</f>
        <v/>
      </c>
      <c r="J330" s="80">
        <f>IF($A330="","",SUM(C330:I330))</f>
        <v/>
      </c>
      <c r="K330" s="80">
        <f>IF($A330="","",-SUMIFS(tblRec[المبلغ],tblRec[كود العميل],$A330,tblRec[رقم الفاتورة],"",tblRec[التاريخ],"&lt;="&amp;AsOf)+SUMIFS(tblInv[المتبقي],tblInv[كود العميل],$A330,tblInv[المتبقي],"&lt;0"))</f>
        <v/>
      </c>
      <c r="L330" s="81">
        <f>IF($A330="","",J330+K330)</f>
        <v/>
      </c>
      <c r="M330" s="82">
        <f>IF($A330="","",IFERROR(L330/$L$8,0))</f>
        <v/>
      </c>
      <c r="N330" s="80">
        <f>IF($A330="","",INDEX(tblCustomers[حد الائتمان],MATCH($A330,tblCustomers[كود العميل],0)))</f>
        <v/>
      </c>
      <c r="O330" s="83">
        <f>IF($A330="","",IF(AND(N330&gt;0,L330&gt;N330),"⛔",""))</f>
        <v/>
      </c>
    </row>
    <row r="331">
      <c r="A331" s="78">
        <f>IFERROR(INDEX(tblCustomers[كود العميل],MATCH(322,tblCustomers[ترتيب],0)),"")</f>
        <v/>
      </c>
      <c r="B331" s="79">
        <f>IF($A331="","",INDEX(tblCustomers[اسم العميل],MATCH($A331,tblCustomers[كود العميل],0)))</f>
        <v/>
      </c>
      <c r="C331" s="80">
        <f>IF($A331="","",SUMIFS(tblInv[المتبقي],tblInv[كود العميل],$A331,tblInv[الفترة],C$7))</f>
        <v/>
      </c>
      <c r="D331" s="80">
        <f>IF($A331="","",SUMIFS(tblInv[المتبقي],tblInv[كود العميل],$A331,tblInv[الفترة],D$7))</f>
        <v/>
      </c>
      <c r="E331" s="80">
        <f>IF($A331="","",SUMIFS(tblInv[المتبقي],tblInv[كود العميل],$A331,tblInv[الفترة],E$7))</f>
        <v/>
      </c>
      <c r="F331" s="80">
        <f>IF($A331="","",SUMIFS(tblInv[المتبقي],tblInv[كود العميل],$A331,tblInv[الفترة],F$7))</f>
        <v/>
      </c>
      <c r="G331" s="80">
        <f>IF($A331="","",SUMIFS(tblInv[المتبقي],tblInv[كود العميل],$A331,tblInv[الفترة],G$7))</f>
        <v/>
      </c>
      <c r="H331" s="80">
        <f>IF($A331="","",SUMIFS(tblInv[المتبقي],tblInv[كود العميل],$A331,tblInv[الفترة],H$7))</f>
        <v/>
      </c>
      <c r="I331" s="80">
        <f>IF($A331="","",SUMIFS(tblInv[المتبقي],tblInv[كود العميل],$A331,tblInv[الفترة],I$7))</f>
        <v/>
      </c>
      <c r="J331" s="80">
        <f>IF($A331="","",SUM(C331:I331))</f>
        <v/>
      </c>
      <c r="K331" s="80">
        <f>IF($A331="","",-SUMIFS(tblRec[المبلغ],tblRec[كود العميل],$A331,tblRec[رقم الفاتورة],"",tblRec[التاريخ],"&lt;="&amp;AsOf)+SUMIFS(tblInv[المتبقي],tblInv[كود العميل],$A331,tblInv[المتبقي],"&lt;0"))</f>
        <v/>
      </c>
      <c r="L331" s="81">
        <f>IF($A331="","",J331+K331)</f>
        <v/>
      </c>
      <c r="M331" s="82">
        <f>IF($A331="","",IFERROR(L331/$L$8,0))</f>
        <v/>
      </c>
      <c r="N331" s="80">
        <f>IF($A331="","",INDEX(tblCustomers[حد الائتمان],MATCH($A331,tblCustomers[كود العميل],0)))</f>
        <v/>
      </c>
      <c r="O331" s="83">
        <f>IF($A331="","",IF(AND(N331&gt;0,L331&gt;N331),"⛔",""))</f>
        <v/>
      </c>
    </row>
    <row r="332">
      <c r="A332" s="78">
        <f>IFERROR(INDEX(tblCustomers[كود العميل],MATCH(323,tblCustomers[ترتيب],0)),"")</f>
        <v/>
      </c>
      <c r="B332" s="79">
        <f>IF($A332="","",INDEX(tblCustomers[اسم العميل],MATCH($A332,tblCustomers[كود العميل],0)))</f>
        <v/>
      </c>
      <c r="C332" s="80">
        <f>IF($A332="","",SUMIFS(tblInv[المتبقي],tblInv[كود العميل],$A332,tblInv[الفترة],C$7))</f>
        <v/>
      </c>
      <c r="D332" s="80">
        <f>IF($A332="","",SUMIFS(tblInv[المتبقي],tblInv[كود العميل],$A332,tblInv[الفترة],D$7))</f>
        <v/>
      </c>
      <c r="E332" s="80">
        <f>IF($A332="","",SUMIFS(tblInv[المتبقي],tblInv[كود العميل],$A332,tblInv[الفترة],E$7))</f>
        <v/>
      </c>
      <c r="F332" s="80">
        <f>IF($A332="","",SUMIFS(tblInv[المتبقي],tblInv[كود العميل],$A332,tblInv[الفترة],F$7))</f>
        <v/>
      </c>
      <c r="G332" s="80">
        <f>IF($A332="","",SUMIFS(tblInv[المتبقي],tblInv[كود العميل],$A332,tblInv[الفترة],G$7))</f>
        <v/>
      </c>
      <c r="H332" s="80">
        <f>IF($A332="","",SUMIFS(tblInv[المتبقي],tblInv[كود العميل],$A332,tblInv[الفترة],H$7))</f>
        <v/>
      </c>
      <c r="I332" s="80">
        <f>IF($A332="","",SUMIFS(tblInv[المتبقي],tblInv[كود العميل],$A332,tblInv[الفترة],I$7))</f>
        <v/>
      </c>
      <c r="J332" s="80">
        <f>IF($A332="","",SUM(C332:I332))</f>
        <v/>
      </c>
      <c r="K332" s="80">
        <f>IF($A332="","",-SUMIFS(tblRec[المبلغ],tblRec[كود العميل],$A332,tblRec[رقم الفاتورة],"",tblRec[التاريخ],"&lt;="&amp;AsOf)+SUMIFS(tblInv[المتبقي],tblInv[كود العميل],$A332,tblInv[المتبقي],"&lt;0"))</f>
        <v/>
      </c>
      <c r="L332" s="81">
        <f>IF($A332="","",J332+K332)</f>
        <v/>
      </c>
      <c r="M332" s="82">
        <f>IF($A332="","",IFERROR(L332/$L$8,0))</f>
        <v/>
      </c>
      <c r="N332" s="80">
        <f>IF($A332="","",INDEX(tblCustomers[حد الائتمان],MATCH($A332,tblCustomers[كود العميل],0)))</f>
        <v/>
      </c>
      <c r="O332" s="83">
        <f>IF($A332="","",IF(AND(N332&gt;0,L332&gt;N332),"⛔",""))</f>
        <v/>
      </c>
    </row>
    <row r="333">
      <c r="A333" s="78">
        <f>IFERROR(INDEX(tblCustomers[كود العميل],MATCH(324,tblCustomers[ترتيب],0)),"")</f>
        <v/>
      </c>
      <c r="B333" s="79">
        <f>IF($A333="","",INDEX(tblCustomers[اسم العميل],MATCH($A333,tblCustomers[كود العميل],0)))</f>
        <v/>
      </c>
      <c r="C333" s="80">
        <f>IF($A333="","",SUMIFS(tblInv[المتبقي],tblInv[كود العميل],$A333,tblInv[الفترة],C$7))</f>
        <v/>
      </c>
      <c r="D333" s="80">
        <f>IF($A333="","",SUMIFS(tblInv[المتبقي],tblInv[كود العميل],$A333,tblInv[الفترة],D$7))</f>
        <v/>
      </c>
      <c r="E333" s="80">
        <f>IF($A333="","",SUMIFS(tblInv[المتبقي],tblInv[كود العميل],$A333,tblInv[الفترة],E$7))</f>
        <v/>
      </c>
      <c r="F333" s="80">
        <f>IF($A333="","",SUMIFS(tblInv[المتبقي],tblInv[كود العميل],$A333,tblInv[الفترة],F$7))</f>
        <v/>
      </c>
      <c r="G333" s="80">
        <f>IF($A333="","",SUMIFS(tblInv[المتبقي],tblInv[كود العميل],$A333,tblInv[الفترة],G$7))</f>
        <v/>
      </c>
      <c r="H333" s="80">
        <f>IF($A333="","",SUMIFS(tblInv[المتبقي],tblInv[كود العميل],$A333,tblInv[الفترة],H$7))</f>
        <v/>
      </c>
      <c r="I333" s="80">
        <f>IF($A333="","",SUMIFS(tblInv[المتبقي],tblInv[كود العميل],$A333,tblInv[الفترة],I$7))</f>
        <v/>
      </c>
      <c r="J333" s="80">
        <f>IF($A333="","",SUM(C333:I333))</f>
        <v/>
      </c>
      <c r="K333" s="80">
        <f>IF($A333="","",-SUMIFS(tblRec[المبلغ],tblRec[كود العميل],$A333,tblRec[رقم الفاتورة],"",tblRec[التاريخ],"&lt;="&amp;AsOf)+SUMIFS(tblInv[المتبقي],tblInv[كود العميل],$A333,tblInv[المتبقي],"&lt;0"))</f>
        <v/>
      </c>
      <c r="L333" s="81">
        <f>IF($A333="","",J333+K333)</f>
        <v/>
      </c>
      <c r="M333" s="82">
        <f>IF($A333="","",IFERROR(L333/$L$8,0))</f>
        <v/>
      </c>
      <c r="N333" s="80">
        <f>IF($A333="","",INDEX(tblCustomers[حد الائتمان],MATCH($A333,tblCustomers[كود العميل],0)))</f>
        <v/>
      </c>
      <c r="O333" s="83">
        <f>IF($A333="","",IF(AND(N333&gt;0,L333&gt;N333),"⛔",""))</f>
        <v/>
      </c>
    </row>
    <row r="334">
      <c r="A334" s="78">
        <f>IFERROR(INDEX(tblCustomers[كود العميل],MATCH(325,tblCustomers[ترتيب],0)),"")</f>
        <v/>
      </c>
      <c r="B334" s="79">
        <f>IF($A334="","",INDEX(tblCustomers[اسم العميل],MATCH($A334,tblCustomers[كود العميل],0)))</f>
        <v/>
      </c>
      <c r="C334" s="80">
        <f>IF($A334="","",SUMIFS(tblInv[المتبقي],tblInv[كود العميل],$A334,tblInv[الفترة],C$7))</f>
        <v/>
      </c>
      <c r="D334" s="80">
        <f>IF($A334="","",SUMIFS(tblInv[المتبقي],tblInv[كود العميل],$A334,tblInv[الفترة],D$7))</f>
        <v/>
      </c>
      <c r="E334" s="80">
        <f>IF($A334="","",SUMIFS(tblInv[المتبقي],tblInv[كود العميل],$A334,tblInv[الفترة],E$7))</f>
        <v/>
      </c>
      <c r="F334" s="80">
        <f>IF($A334="","",SUMIFS(tblInv[المتبقي],tblInv[كود العميل],$A334,tblInv[الفترة],F$7))</f>
        <v/>
      </c>
      <c r="G334" s="80">
        <f>IF($A334="","",SUMIFS(tblInv[المتبقي],tblInv[كود العميل],$A334,tblInv[الفترة],G$7))</f>
        <v/>
      </c>
      <c r="H334" s="80">
        <f>IF($A334="","",SUMIFS(tblInv[المتبقي],tblInv[كود العميل],$A334,tblInv[الفترة],H$7))</f>
        <v/>
      </c>
      <c r="I334" s="80">
        <f>IF($A334="","",SUMIFS(tblInv[المتبقي],tblInv[كود العميل],$A334,tblInv[الفترة],I$7))</f>
        <v/>
      </c>
      <c r="J334" s="80">
        <f>IF($A334="","",SUM(C334:I334))</f>
        <v/>
      </c>
      <c r="K334" s="80">
        <f>IF($A334="","",-SUMIFS(tblRec[المبلغ],tblRec[كود العميل],$A334,tblRec[رقم الفاتورة],"",tblRec[التاريخ],"&lt;="&amp;AsOf)+SUMIFS(tblInv[المتبقي],tblInv[كود العميل],$A334,tblInv[المتبقي],"&lt;0"))</f>
        <v/>
      </c>
      <c r="L334" s="81">
        <f>IF($A334="","",J334+K334)</f>
        <v/>
      </c>
      <c r="M334" s="82">
        <f>IF($A334="","",IFERROR(L334/$L$8,0))</f>
        <v/>
      </c>
      <c r="N334" s="80">
        <f>IF($A334="","",INDEX(tblCustomers[حد الائتمان],MATCH($A334,tblCustomers[كود العميل],0)))</f>
        <v/>
      </c>
      <c r="O334" s="83">
        <f>IF($A334="","",IF(AND(N334&gt;0,L334&gt;N334),"⛔",""))</f>
        <v/>
      </c>
    </row>
    <row r="335">
      <c r="A335" s="78">
        <f>IFERROR(INDEX(tblCustomers[كود العميل],MATCH(326,tblCustomers[ترتيب],0)),"")</f>
        <v/>
      </c>
      <c r="B335" s="79">
        <f>IF($A335="","",INDEX(tblCustomers[اسم العميل],MATCH($A335,tblCustomers[كود العميل],0)))</f>
        <v/>
      </c>
      <c r="C335" s="80">
        <f>IF($A335="","",SUMIFS(tblInv[المتبقي],tblInv[كود العميل],$A335,tblInv[الفترة],C$7))</f>
        <v/>
      </c>
      <c r="D335" s="80">
        <f>IF($A335="","",SUMIFS(tblInv[المتبقي],tblInv[كود العميل],$A335,tblInv[الفترة],D$7))</f>
        <v/>
      </c>
      <c r="E335" s="80">
        <f>IF($A335="","",SUMIFS(tblInv[المتبقي],tblInv[كود العميل],$A335,tblInv[الفترة],E$7))</f>
        <v/>
      </c>
      <c r="F335" s="80">
        <f>IF($A335="","",SUMIFS(tblInv[المتبقي],tblInv[كود العميل],$A335,tblInv[الفترة],F$7))</f>
        <v/>
      </c>
      <c r="G335" s="80">
        <f>IF($A335="","",SUMIFS(tblInv[المتبقي],tblInv[كود العميل],$A335,tblInv[الفترة],G$7))</f>
        <v/>
      </c>
      <c r="H335" s="80">
        <f>IF($A335="","",SUMIFS(tblInv[المتبقي],tblInv[كود العميل],$A335,tblInv[الفترة],H$7))</f>
        <v/>
      </c>
      <c r="I335" s="80">
        <f>IF($A335="","",SUMIFS(tblInv[المتبقي],tblInv[كود العميل],$A335,tblInv[الفترة],I$7))</f>
        <v/>
      </c>
      <c r="J335" s="80">
        <f>IF($A335="","",SUM(C335:I335))</f>
        <v/>
      </c>
      <c r="K335" s="80">
        <f>IF($A335="","",-SUMIFS(tblRec[المبلغ],tblRec[كود العميل],$A335,tblRec[رقم الفاتورة],"",tblRec[التاريخ],"&lt;="&amp;AsOf)+SUMIFS(tblInv[المتبقي],tblInv[كود العميل],$A335,tblInv[المتبقي],"&lt;0"))</f>
        <v/>
      </c>
      <c r="L335" s="81">
        <f>IF($A335="","",J335+K335)</f>
        <v/>
      </c>
      <c r="M335" s="82">
        <f>IF($A335="","",IFERROR(L335/$L$8,0))</f>
        <v/>
      </c>
      <c r="N335" s="80">
        <f>IF($A335="","",INDEX(tblCustomers[حد الائتمان],MATCH($A335,tblCustomers[كود العميل],0)))</f>
        <v/>
      </c>
      <c r="O335" s="83">
        <f>IF($A335="","",IF(AND(N335&gt;0,L335&gt;N335),"⛔",""))</f>
        <v/>
      </c>
    </row>
    <row r="336">
      <c r="A336" s="78">
        <f>IFERROR(INDEX(tblCustomers[كود العميل],MATCH(327,tblCustomers[ترتيب],0)),"")</f>
        <v/>
      </c>
      <c r="B336" s="79">
        <f>IF($A336="","",INDEX(tblCustomers[اسم العميل],MATCH($A336,tblCustomers[كود العميل],0)))</f>
        <v/>
      </c>
      <c r="C336" s="80">
        <f>IF($A336="","",SUMIFS(tblInv[المتبقي],tblInv[كود العميل],$A336,tblInv[الفترة],C$7))</f>
        <v/>
      </c>
      <c r="D336" s="80">
        <f>IF($A336="","",SUMIFS(tblInv[المتبقي],tblInv[كود العميل],$A336,tblInv[الفترة],D$7))</f>
        <v/>
      </c>
      <c r="E336" s="80">
        <f>IF($A336="","",SUMIFS(tblInv[المتبقي],tblInv[كود العميل],$A336,tblInv[الفترة],E$7))</f>
        <v/>
      </c>
      <c r="F336" s="80">
        <f>IF($A336="","",SUMIFS(tblInv[المتبقي],tblInv[كود العميل],$A336,tblInv[الفترة],F$7))</f>
        <v/>
      </c>
      <c r="G336" s="80">
        <f>IF($A336="","",SUMIFS(tblInv[المتبقي],tblInv[كود العميل],$A336,tblInv[الفترة],G$7))</f>
        <v/>
      </c>
      <c r="H336" s="80">
        <f>IF($A336="","",SUMIFS(tblInv[المتبقي],tblInv[كود العميل],$A336,tblInv[الفترة],H$7))</f>
        <v/>
      </c>
      <c r="I336" s="80">
        <f>IF($A336="","",SUMIFS(tblInv[المتبقي],tblInv[كود العميل],$A336,tblInv[الفترة],I$7))</f>
        <v/>
      </c>
      <c r="J336" s="80">
        <f>IF($A336="","",SUM(C336:I336))</f>
        <v/>
      </c>
      <c r="K336" s="80">
        <f>IF($A336="","",-SUMIFS(tblRec[المبلغ],tblRec[كود العميل],$A336,tblRec[رقم الفاتورة],"",tblRec[التاريخ],"&lt;="&amp;AsOf)+SUMIFS(tblInv[المتبقي],tblInv[كود العميل],$A336,tblInv[المتبقي],"&lt;0"))</f>
        <v/>
      </c>
      <c r="L336" s="81">
        <f>IF($A336="","",J336+K336)</f>
        <v/>
      </c>
      <c r="M336" s="82">
        <f>IF($A336="","",IFERROR(L336/$L$8,0))</f>
        <v/>
      </c>
      <c r="N336" s="80">
        <f>IF($A336="","",INDEX(tblCustomers[حد الائتمان],MATCH($A336,tblCustomers[كود العميل],0)))</f>
        <v/>
      </c>
      <c r="O336" s="83">
        <f>IF($A336="","",IF(AND(N336&gt;0,L336&gt;N336),"⛔",""))</f>
        <v/>
      </c>
    </row>
    <row r="337">
      <c r="A337" s="78">
        <f>IFERROR(INDEX(tblCustomers[كود العميل],MATCH(328,tblCustomers[ترتيب],0)),"")</f>
        <v/>
      </c>
      <c r="B337" s="79">
        <f>IF($A337="","",INDEX(tblCustomers[اسم العميل],MATCH($A337,tblCustomers[كود العميل],0)))</f>
        <v/>
      </c>
      <c r="C337" s="80">
        <f>IF($A337="","",SUMIFS(tblInv[المتبقي],tblInv[كود العميل],$A337,tblInv[الفترة],C$7))</f>
        <v/>
      </c>
      <c r="D337" s="80">
        <f>IF($A337="","",SUMIFS(tblInv[المتبقي],tblInv[كود العميل],$A337,tblInv[الفترة],D$7))</f>
        <v/>
      </c>
      <c r="E337" s="80">
        <f>IF($A337="","",SUMIFS(tblInv[المتبقي],tblInv[كود العميل],$A337,tblInv[الفترة],E$7))</f>
        <v/>
      </c>
      <c r="F337" s="80">
        <f>IF($A337="","",SUMIFS(tblInv[المتبقي],tblInv[كود العميل],$A337,tblInv[الفترة],F$7))</f>
        <v/>
      </c>
      <c r="G337" s="80">
        <f>IF($A337="","",SUMIFS(tblInv[المتبقي],tblInv[كود العميل],$A337,tblInv[الفترة],G$7))</f>
        <v/>
      </c>
      <c r="H337" s="80">
        <f>IF($A337="","",SUMIFS(tblInv[المتبقي],tblInv[كود العميل],$A337,tblInv[الفترة],H$7))</f>
        <v/>
      </c>
      <c r="I337" s="80">
        <f>IF($A337="","",SUMIFS(tblInv[المتبقي],tblInv[كود العميل],$A337,tblInv[الفترة],I$7))</f>
        <v/>
      </c>
      <c r="J337" s="80">
        <f>IF($A337="","",SUM(C337:I337))</f>
        <v/>
      </c>
      <c r="K337" s="80">
        <f>IF($A337="","",-SUMIFS(tblRec[المبلغ],tblRec[كود العميل],$A337,tblRec[رقم الفاتورة],"",tblRec[التاريخ],"&lt;="&amp;AsOf)+SUMIFS(tblInv[المتبقي],tblInv[كود العميل],$A337,tblInv[المتبقي],"&lt;0"))</f>
        <v/>
      </c>
      <c r="L337" s="81">
        <f>IF($A337="","",J337+K337)</f>
        <v/>
      </c>
      <c r="M337" s="82">
        <f>IF($A337="","",IFERROR(L337/$L$8,0))</f>
        <v/>
      </c>
      <c r="N337" s="80">
        <f>IF($A337="","",INDEX(tblCustomers[حد الائتمان],MATCH($A337,tblCustomers[كود العميل],0)))</f>
        <v/>
      </c>
      <c r="O337" s="83">
        <f>IF($A337="","",IF(AND(N337&gt;0,L337&gt;N337),"⛔",""))</f>
        <v/>
      </c>
    </row>
    <row r="338">
      <c r="A338" s="78">
        <f>IFERROR(INDEX(tblCustomers[كود العميل],MATCH(329,tblCustomers[ترتيب],0)),"")</f>
        <v/>
      </c>
      <c r="B338" s="79">
        <f>IF($A338="","",INDEX(tblCustomers[اسم العميل],MATCH($A338,tblCustomers[كود العميل],0)))</f>
        <v/>
      </c>
      <c r="C338" s="80">
        <f>IF($A338="","",SUMIFS(tblInv[المتبقي],tblInv[كود العميل],$A338,tblInv[الفترة],C$7))</f>
        <v/>
      </c>
      <c r="D338" s="80">
        <f>IF($A338="","",SUMIFS(tblInv[المتبقي],tblInv[كود العميل],$A338,tblInv[الفترة],D$7))</f>
        <v/>
      </c>
      <c r="E338" s="80">
        <f>IF($A338="","",SUMIFS(tblInv[المتبقي],tblInv[كود العميل],$A338,tblInv[الفترة],E$7))</f>
        <v/>
      </c>
      <c r="F338" s="80">
        <f>IF($A338="","",SUMIFS(tblInv[المتبقي],tblInv[كود العميل],$A338,tblInv[الفترة],F$7))</f>
        <v/>
      </c>
      <c r="G338" s="80">
        <f>IF($A338="","",SUMIFS(tblInv[المتبقي],tblInv[كود العميل],$A338,tblInv[الفترة],G$7))</f>
        <v/>
      </c>
      <c r="H338" s="80">
        <f>IF($A338="","",SUMIFS(tblInv[المتبقي],tblInv[كود العميل],$A338,tblInv[الفترة],H$7))</f>
        <v/>
      </c>
      <c r="I338" s="80">
        <f>IF($A338="","",SUMIFS(tblInv[المتبقي],tblInv[كود العميل],$A338,tblInv[الفترة],I$7))</f>
        <v/>
      </c>
      <c r="J338" s="80">
        <f>IF($A338="","",SUM(C338:I338))</f>
        <v/>
      </c>
      <c r="K338" s="80">
        <f>IF($A338="","",-SUMIFS(tblRec[المبلغ],tblRec[كود العميل],$A338,tblRec[رقم الفاتورة],"",tblRec[التاريخ],"&lt;="&amp;AsOf)+SUMIFS(tblInv[المتبقي],tblInv[كود العميل],$A338,tblInv[المتبقي],"&lt;0"))</f>
        <v/>
      </c>
      <c r="L338" s="81">
        <f>IF($A338="","",J338+K338)</f>
        <v/>
      </c>
      <c r="M338" s="82">
        <f>IF($A338="","",IFERROR(L338/$L$8,0))</f>
        <v/>
      </c>
      <c r="N338" s="80">
        <f>IF($A338="","",INDEX(tblCustomers[حد الائتمان],MATCH($A338,tblCustomers[كود العميل],0)))</f>
        <v/>
      </c>
      <c r="O338" s="83">
        <f>IF($A338="","",IF(AND(N338&gt;0,L338&gt;N338),"⛔",""))</f>
        <v/>
      </c>
    </row>
    <row r="339">
      <c r="A339" s="78">
        <f>IFERROR(INDEX(tblCustomers[كود العميل],MATCH(330,tblCustomers[ترتيب],0)),"")</f>
        <v/>
      </c>
      <c r="B339" s="79">
        <f>IF($A339="","",INDEX(tblCustomers[اسم العميل],MATCH($A339,tblCustomers[كود العميل],0)))</f>
        <v/>
      </c>
      <c r="C339" s="80">
        <f>IF($A339="","",SUMIFS(tblInv[المتبقي],tblInv[كود العميل],$A339,tblInv[الفترة],C$7))</f>
        <v/>
      </c>
      <c r="D339" s="80">
        <f>IF($A339="","",SUMIFS(tblInv[المتبقي],tblInv[كود العميل],$A339,tblInv[الفترة],D$7))</f>
        <v/>
      </c>
      <c r="E339" s="80">
        <f>IF($A339="","",SUMIFS(tblInv[المتبقي],tblInv[كود العميل],$A339,tblInv[الفترة],E$7))</f>
        <v/>
      </c>
      <c r="F339" s="80">
        <f>IF($A339="","",SUMIFS(tblInv[المتبقي],tblInv[كود العميل],$A339,tblInv[الفترة],F$7))</f>
        <v/>
      </c>
      <c r="G339" s="80">
        <f>IF($A339="","",SUMIFS(tblInv[المتبقي],tblInv[كود العميل],$A339,tblInv[الفترة],G$7))</f>
        <v/>
      </c>
      <c r="H339" s="80">
        <f>IF($A339="","",SUMIFS(tblInv[المتبقي],tblInv[كود العميل],$A339,tblInv[الفترة],H$7))</f>
        <v/>
      </c>
      <c r="I339" s="80">
        <f>IF($A339="","",SUMIFS(tblInv[المتبقي],tblInv[كود العميل],$A339,tblInv[الفترة],I$7))</f>
        <v/>
      </c>
      <c r="J339" s="80">
        <f>IF($A339="","",SUM(C339:I339))</f>
        <v/>
      </c>
      <c r="K339" s="80">
        <f>IF($A339="","",-SUMIFS(tblRec[المبلغ],tblRec[كود العميل],$A339,tblRec[رقم الفاتورة],"",tblRec[التاريخ],"&lt;="&amp;AsOf)+SUMIFS(tblInv[المتبقي],tblInv[كود العميل],$A339,tblInv[المتبقي],"&lt;0"))</f>
        <v/>
      </c>
      <c r="L339" s="81">
        <f>IF($A339="","",J339+K339)</f>
        <v/>
      </c>
      <c r="M339" s="82">
        <f>IF($A339="","",IFERROR(L339/$L$8,0))</f>
        <v/>
      </c>
      <c r="N339" s="80">
        <f>IF($A339="","",INDEX(tblCustomers[حد الائتمان],MATCH($A339,tblCustomers[كود العميل],0)))</f>
        <v/>
      </c>
      <c r="O339" s="83">
        <f>IF($A339="","",IF(AND(N339&gt;0,L339&gt;N339),"⛔",""))</f>
        <v/>
      </c>
    </row>
    <row r="340">
      <c r="A340" s="78">
        <f>IFERROR(INDEX(tblCustomers[كود العميل],MATCH(331,tblCustomers[ترتيب],0)),"")</f>
        <v/>
      </c>
      <c r="B340" s="79">
        <f>IF($A340="","",INDEX(tblCustomers[اسم العميل],MATCH($A340,tblCustomers[كود العميل],0)))</f>
        <v/>
      </c>
      <c r="C340" s="80">
        <f>IF($A340="","",SUMIFS(tblInv[المتبقي],tblInv[كود العميل],$A340,tblInv[الفترة],C$7))</f>
        <v/>
      </c>
      <c r="D340" s="80">
        <f>IF($A340="","",SUMIFS(tblInv[المتبقي],tblInv[كود العميل],$A340,tblInv[الفترة],D$7))</f>
        <v/>
      </c>
      <c r="E340" s="80">
        <f>IF($A340="","",SUMIFS(tblInv[المتبقي],tblInv[كود العميل],$A340,tblInv[الفترة],E$7))</f>
        <v/>
      </c>
      <c r="F340" s="80">
        <f>IF($A340="","",SUMIFS(tblInv[المتبقي],tblInv[كود العميل],$A340,tblInv[الفترة],F$7))</f>
        <v/>
      </c>
      <c r="G340" s="80">
        <f>IF($A340="","",SUMIFS(tblInv[المتبقي],tblInv[كود العميل],$A340,tblInv[الفترة],G$7))</f>
        <v/>
      </c>
      <c r="H340" s="80">
        <f>IF($A340="","",SUMIFS(tblInv[المتبقي],tblInv[كود العميل],$A340,tblInv[الفترة],H$7))</f>
        <v/>
      </c>
      <c r="I340" s="80">
        <f>IF($A340="","",SUMIFS(tblInv[المتبقي],tblInv[كود العميل],$A340,tblInv[الفترة],I$7))</f>
        <v/>
      </c>
      <c r="J340" s="80">
        <f>IF($A340="","",SUM(C340:I340))</f>
        <v/>
      </c>
      <c r="K340" s="80">
        <f>IF($A340="","",-SUMIFS(tblRec[المبلغ],tblRec[كود العميل],$A340,tblRec[رقم الفاتورة],"",tblRec[التاريخ],"&lt;="&amp;AsOf)+SUMIFS(tblInv[المتبقي],tblInv[كود العميل],$A340,tblInv[المتبقي],"&lt;0"))</f>
        <v/>
      </c>
      <c r="L340" s="81">
        <f>IF($A340="","",J340+K340)</f>
        <v/>
      </c>
      <c r="M340" s="82">
        <f>IF($A340="","",IFERROR(L340/$L$8,0))</f>
        <v/>
      </c>
      <c r="N340" s="80">
        <f>IF($A340="","",INDEX(tblCustomers[حد الائتمان],MATCH($A340,tblCustomers[كود العميل],0)))</f>
        <v/>
      </c>
      <c r="O340" s="83">
        <f>IF($A340="","",IF(AND(N340&gt;0,L340&gt;N340),"⛔",""))</f>
        <v/>
      </c>
    </row>
    <row r="341">
      <c r="A341" s="78">
        <f>IFERROR(INDEX(tblCustomers[كود العميل],MATCH(332,tblCustomers[ترتيب],0)),"")</f>
        <v/>
      </c>
      <c r="B341" s="79">
        <f>IF($A341="","",INDEX(tblCustomers[اسم العميل],MATCH($A341,tblCustomers[كود العميل],0)))</f>
        <v/>
      </c>
      <c r="C341" s="80">
        <f>IF($A341="","",SUMIFS(tblInv[المتبقي],tblInv[كود العميل],$A341,tblInv[الفترة],C$7))</f>
        <v/>
      </c>
      <c r="D341" s="80">
        <f>IF($A341="","",SUMIFS(tblInv[المتبقي],tblInv[كود العميل],$A341,tblInv[الفترة],D$7))</f>
        <v/>
      </c>
      <c r="E341" s="80">
        <f>IF($A341="","",SUMIFS(tblInv[المتبقي],tblInv[كود العميل],$A341,tblInv[الفترة],E$7))</f>
        <v/>
      </c>
      <c r="F341" s="80">
        <f>IF($A341="","",SUMIFS(tblInv[المتبقي],tblInv[كود العميل],$A341,tblInv[الفترة],F$7))</f>
        <v/>
      </c>
      <c r="G341" s="80">
        <f>IF($A341="","",SUMIFS(tblInv[المتبقي],tblInv[كود العميل],$A341,tblInv[الفترة],G$7))</f>
        <v/>
      </c>
      <c r="H341" s="80">
        <f>IF($A341="","",SUMIFS(tblInv[المتبقي],tblInv[كود العميل],$A341,tblInv[الفترة],H$7))</f>
        <v/>
      </c>
      <c r="I341" s="80">
        <f>IF($A341="","",SUMIFS(tblInv[المتبقي],tblInv[كود العميل],$A341,tblInv[الفترة],I$7))</f>
        <v/>
      </c>
      <c r="J341" s="80">
        <f>IF($A341="","",SUM(C341:I341))</f>
        <v/>
      </c>
      <c r="K341" s="80">
        <f>IF($A341="","",-SUMIFS(tblRec[المبلغ],tblRec[كود العميل],$A341,tblRec[رقم الفاتورة],"",tblRec[التاريخ],"&lt;="&amp;AsOf)+SUMIFS(tblInv[المتبقي],tblInv[كود العميل],$A341,tblInv[المتبقي],"&lt;0"))</f>
        <v/>
      </c>
      <c r="L341" s="81">
        <f>IF($A341="","",J341+K341)</f>
        <v/>
      </c>
      <c r="M341" s="82">
        <f>IF($A341="","",IFERROR(L341/$L$8,0))</f>
        <v/>
      </c>
      <c r="N341" s="80">
        <f>IF($A341="","",INDEX(tblCustomers[حد الائتمان],MATCH($A341,tblCustomers[كود العميل],0)))</f>
        <v/>
      </c>
      <c r="O341" s="83">
        <f>IF($A341="","",IF(AND(N341&gt;0,L341&gt;N341),"⛔",""))</f>
        <v/>
      </c>
    </row>
    <row r="342">
      <c r="A342" s="78">
        <f>IFERROR(INDEX(tblCustomers[كود العميل],MATCH(333,tblCustomers[ترتيب],0)),"")</f>
        <v/>
      </c>
      <c r="B342" s="79">
        <f>IF($A342="","",INDEX(tblCustomers[اسم العميل],MATCH($A342,tblCustomers[كود العميل],0)))</f>
        <v/>
      </c>
      <c r="C342" s="80">
        <f>IF($A342="","",SUMIFS(tblInv[المتبقي],tblInv[كود العميل],$A342,tblInv[الفترة],C$7))</f>
        <v/>
      </c>
      <c r="D342" s="80">
        <f>IF($A342="","",SUMIFS(tblInv[المتبقي],tblInv[كود العميل],$A342,tblInv[الفترة],D$7))</f>
        <v/>
      </c>
      <c r="E342" s="80">
        <f>IF($A342="","",SUMIFS(tblInv[المتبقي],tblInv[كود العميل],$A342,tblInv[الفترة],E$7))</f>
        <v/>
      </c>
      <c r="F342" s="80">
        <f>IF($A342="","",SUMIFS(tblInv[المتبقي],tblInv[كود العميل],$A342,tblInv[الفترة],F$7))</f>
        <v/>
      </c>
      <c r="G342" s="80">
        <f>IF($A342="","",SUMIFS(tblInv[المتبقي],tblInv[كود العميل],$A342,tblInv[الفترة],G$7))</f>
        <v/>
      </c>
      <c r="H342" s="80">
        <f>IF($A342="","",SUMIFS(tblInv[المتبقي],tblInv[كود العميل],$A342,tblInv[الفترة],H$7))</f>
        <v/>
      </c>
      <c r="I342" s="80">
        <f>IF($A342="","",SUMIFS(tblInv[المتبقي],tblInv[كود العميل],$A342,tblInv[الفترة],I$7))</f>
        <v/>
      </c>
      <c r="J342" s="80">
        <f>IF($A342="","",SUM(C342:I342))</f>
        <v/>
      </c>
      <c r="K342" s="80">
        <f>IF($A342="","",-SUMIFS(tblRec[المبلغ],tblRec[كود العميل],$A342,tblRec[رقم الفاتورة],"",tblRec[التاريخ],"&lt;="&amp;AsOf)+SUMIFS(tblInv[المتبقي],tblInv[كود العميل],$A342,tblInv[المتبقي],"&lt;0"))</f>
        <v/>
      </c>
      <c r="L342" s="81">
        <f>IF($A342="","",J342+K342)</f>
        <v/>
      </c>
      <c r="M342" s="82">
        <f>IF($A342="","",IFERROR(L342/$L$8,0))</f>
        <v/>
      </c>
      <c r="N342" s="80">
        <f>IF($A342="","",INDEX(tblCustomers[حد الائتمان],MATCH($A342,tblCustomers[كود العميل],0)))</f>
        <v/>
      </c>
      <c r="O342" s="83">
        <f>IF($A342="","",IF(AND(N342&gt;0,L342&gt;N342),"⛔",""))</f>
        <v/>
      </c>
    </row>
    <row r="343">
      <c r="A343" s="78">
        <f>IFERROR(INDEX(tblCustomers[كود العميل],MATCH(334,tblCustomers[ترتيب],0)),"")</f>
        <v/>
      </c>
      <c r="B343" s="79">
        <f>IF($A343="","",INDEX(tblCustomers[اسم العميل],MATCH($A343,tblCustomers[كود العميل],0)))</f>
        <v/>
      </c>
      <c r="C343" s="80">
        <f>IF($A343="","",SUMIFS(tblInv[المتبقي],tblInv[كود العميل],$A343,tblInv[الفترة],C$7))</f>
        <v/>
      </c>
      <c r="D343" s="80">
        <f>IF($A343="","",SUMIFS(tblInv[المتبقي],tblInv[كود العميل],$A343,tblInv[الفترة],D$7))</f>
        <v/>
      </c>
      <c r="E343" s="80">
        <f>IF($A343="","",SUMIFS(tblInv[المتبقي],tblInv[كود العميل],$A343,tblInv[الفترة],E$7))</f>
        <v/>
      </c>
      <c r="F343" s="80">
        <f>IF($A343="","",SUMIFS(tblInv[المتبقي],tblInv[كود العميل],$A343,tblInv[الفترة],F$7))</f>
        <v/>
      </c>
      <c r="G343" s="80">
        <f>IF($A343="","",SUMIFS(tblInv[المتبقي],tblInv[كود العميل],$A343,tblInv[الفترة],G$7))</f>
        <v/>
      </c>
      <c r="H343" s="80">
        <f>IF($A343="","",SUMIFS(tblInv[المتبقي],tblInv[كود العميل],$A343,tblInv[الفترة],H$7))</f>
        <v/>
      </c>
      <c r="I343" s="80">
        <f>IF($A343="","",SUMIFS(tblInv[المتبقي],tblInv[كود العميل],$A343,tblInv[الفترة],I$7))</f>
        <v/>
      </c>
      <c r="J343" s="80">
        <f>IF($A343="","",SUM(C343:I343))</f>
        <v/>
      </c>
      <c r="K343" s="80">
        <f>IF($A343="","",-SUMIFS(tblRec[المبلغ],tblRec[كود العميل],$A343,tblRec[رقم الفاتورة],"",tblRec[التاريخ],"&lt;="&amp;AsOf)+SUMIFS(tblInv[المتبقي],tblInv[كود العميل],$A343,tblInv[المتبقي],"&lt;0"))</f>
        <v/>
      </c>
      <c r="L343" s="81">
        <f>IF($A343="","",J343+K343)</f>
        <v/>
      </c>
      <c r="M343" s="82">
        <f>IF($A343="","",IFERROR(L343/$L$8,0))</f>
        <v/>
      </c>
      <c r="N343" s="80">
        <f>IF($A343="","",INDEX(tblCustomers[حد الائتمان],MATCH($A343,tblCustomers[كود العميل],0)))</f>
        <v/>
      </c>
      <c r="O343" s="83">
        <f>IF($A343="","",IF(AND(N343&gt;0,L343&gt;N343),"⛔",""))</f>
        <v/>
      </c>
    </row>
    <row r="344">
      <c r="A344" s="78">
        <f>IFERROR(INDEX(tblCustomers[كود العميل],MATCH(335,tblCustomers[ترتيب],0)),"")</f>
        <v/>
      </c>
      <c r="B344" s="79">
        <f>IF($A344="","",INDEX(tblCustomers[اسم العميل],MATCH($A344,tblCustomers[كود العميل],0)))</f>
        <v/>
      </c>
      <c r="C344" s="80">
        <f>IF($A344="","",SUMIFS(tblInv[المتبقي],tblInv[كود العميل],$A344,tblInv[الفترة],C$7))</f>
        <v/>
      </c>
      <c r="D344" s="80">
        <f>IF($A344="","",SUMIFS(tblInv[المتبقي],tblInv[كود العميل],$A344,tblInv[الفترة],D$7))</f>
        <v/>
      </c>
      <c r="E344" s="80">
        <f>IF($A344="","",SUMIFS(tblInv[المتبقي],tblInv[كود العميل],$A344,tblInv[الفترة],E$7))</f>
        <v/>
      </c>
      <c r="F344" s="80">
        <f>IF($A344="","",SUMIFS(tblInv[المتبقي],tblInv[كود العميل],$A344,tblInv[الفترة],F$7))</f>
        <v/>
      </c>
      <c r="G344" s="80">
        <f>IF($A344="","",SUMIFS(tblInv[المتبقي],tblInv[كود العميل],$A344,tblInv[الفترة],G$7))</f>
        <v/>
      </c>
      <c r="H344" s="80">
        <f>IF($A344="","",SUMIFS(tblInv[المتبقي],tblInv[كود العميل],$A344,tblInv[الفترة],H$7))</f>
        <v/>
      </c>
      <c r="I344" s="80">
        <f>IF($A344="","",SUMIFS(tblInv[المتبقي],tblInv[كود العميل],$A344,tblInv[الفترة],I$7))</f>
        <v/>
      </c>
      <c r="J344" s="80">
        <f>IF($A344="","",SUM(C344:I344))</f>
        <v/>
      </c>
      <c r="K344" s="80">
        <f>IF($A344="","",-SUMIFS(tblRec[المبلغ],tblRec[كود العميل],$A344,tblRec[رقم الفاتورة],"",tblRec[التاريخ],"&lt;="&amp;AsOf)+SUMIFS(tblInv[المتبقي],tblInv[كود العميل],$A344,tblInv[المتبقي],"&lt;0"))</f>
        <v/>
      </c>
      <c r="L344" s="81">
        <f>IF($A344="","",J344+K344)</f>
        <v/>
      </c>
      <c r="M344" s="82">
        <f>IF($A344="","",IFERROR(L344/$L$8,0))</f>
        <v/>
      </c>
      <c r="N344" s="80">
        <f>IF($A344="","",INDEX(tblCustomers[حد الائتمان],MATCH($A344,tblCustomers[كود العميل],0)))</f>
        <v/>
      </c>
      <c r="O344" s="83">
        <f>IF($A344="","",IF(AND(N344&gt;0,L344&gt;N344),"⛔",""))</f>
        <v/>
      </c>
    </row>
    <row r="345">
      <c r="A345" s="78">
        <f>IFERROR(INDEX(tblCustomers[كود العميل],MATCH(336,tblCustomers[ترتيب],0)),"")</f>
        <v/>
      </c>
      <c r="B345" s="79">
        <f>IF($A345="","",INDEX(tblCustomers[اسم العميل],MATCH($A345,tblCustomers[كود العميل],0)))</f>
        <v/>
      </c>
      <c r="C345" s="80">
        <f>IF($A345="","",SUMIFS(tblInv[المتبقي],tblInv[كود العميل],$A345,tblInv[الفترة],C$7))</f>
        <v/>
      </c>
      <c r="D345" s="80">
        <f>IF($A345="","",SUMIFS(tblInv[المتبقي],tblInv[كود العميل],$A345,tblInv[الفترة],D$7))</f>
        <v/>
      </c>
      <c r="E345" s="80">
        <f>IF($A345="","",SUMIFS(tblInv[المتبقي],tblInv[كود العميل],$A345,tblInv[الفترة],E$7))</f>
        <v/>
      </c>
      <c r="F345" s="80">
        <f>IF($A345="","",SUMIFS(tblInv[المتبقي],tblInv[كود العميل],$A345,tblInv[الفترة],F$7))</f>
        <v/>
      </c>
      <c r="G345" s="80">
        <f>IF($A345="","",SUMIFS(tblInv[المتبقي],tblInv[كود العميل],$A345,tblInv[الفترة],G$7))</f>
        <v/>
      </c>
      <c r="H345" s="80">
        <f>IF($A345="","",SUMIFS(tblInv[المتبقي],tblInv[كود العميل],$A345,tblInv[الفترة],H$7))</f>
        <v/>
      </c>
      <c r="I345" s="80">
        <f>IF($A345="","",SUMIFS(tblInv[المتبقي],tblInv[كود العميل],$A345,tblInv[الفترة],I$7))</f>
        <v/>
      </c>
      <c r="J345" s="80">
        <f>IF($A345="","",SUM(C345:I345))</f>
        <v/>
      </c>
      <c r="K345" s="80">
        <f>IF($A345="","",-SUMIFS(tblRec[المبلغ],tblRec[كود العميل],$A345,tblRec[رقم الفاتورة],"",tblRec[التاريخ],"&lt;="&amp;AsOf)+SUMIFS(tblInv[المتبقي],tblInv[كود العميل],$A345,tblInv[المتبقي],"&lt;0"))</f>
        <v/>
      </c>
      <c r="L345" s="81">
        <f>IF($A345="","",J345+K345)</f>
        <v/>
      </c>
      <c r="M345" s="82">
        <f>IF($A345="","",IFERROR(L345/$L$8,0))</f>
        <v/>
      </c>
      <c r="N345" s="80">
        <f>IF($A345="","",INDEX(tblCustomers[حد الائتمان],MATCH($A345,tblCustomers[كود العميل],0)))</f>
        <v/>
      </c>
      <c r="O345" s="83">
        <f>IF($A345="","",IF(AND(N345&gt;0,L345&gt;N345),"⛔",""))</f>
        <v/>
      </c>
    </row>
    <row r="346">
      <c r="A346" s="78">
        <f>IFERROR(INDEX(tblCustomers[كود العميل],MATCH(337,tblCustomers[ترتيب],0)),"")</f>
        <v/>
      </c>
      <c r="B346" s="79">
        <f>IF($A346="","",INDEX(tblCustomers[اسم العميل],MATCH($A346,tblCustomers[كود العميل],0)))</f>
        <v/>
      </c>
      <c r="C346" s="80">
        <f>IF($A346="","",SUMIFS(tblInv[المتبقي],tblInv[كود العميل],$A346,tblInv[الفترة],C$7))</f>
        <v/>
      </c>
      <c r="D346" s="80">
        <f>IF($A346="","",SUMIFS(tblInv[المتبقي],tblInv[كود العميل],$A346,tblInv[الفترة],D$7))</f>
        <v/>
      </c>
      <c r="E346" s="80">
        <f>IF($A346="","",SUMIFS(tblInv[المتبقي],tblInv[كود العميل],$A346,tblInv[الفترة],E$7))</f>
        <v/>
      </c>
      <c r="F346" s="80">
        <f>IF($A346="","",SUMIFS(tblInv[المتبقي],tblInv[كود العميل],$A346,tblInv[الفترة],F$7))</f>
        <v/>
      </c>
      <c r="G346" s="80">
        <f>IF($A346="","",SUMIFS(tblInv[المتبقي],tblInv[كود العميل],$A346,tblInv[الفترة],G$7))</f>
        <v/>
      </c>
      <c r="H346" s="80">
        <f>IF($A346="","",SUMIFS(tblInv[المتبقي],tblInv[كود العميل],$A346,tblInv[الفترة],H$7))</f>
        <v/>
      </c>
      <c r="I346" s="80">
        <f>IF($A346="","",SUMIFS(tblInv[المتبقي],tblInv[كود العميل],$A346,tblInv[الفترة],I$7))</f>
        <v/>
      </c>
      <c r="J346" s="80">
        <f>IF($A346="","",SUM(C346:I346))</f>
        <v/>
      </c>
      <c r="K346" s="80">
        <f>IF($A346="","",-SUMIFS(tblRec[المبلغ],tblRec[كود العميل],$A346,tblRec[رقم الفاتورة],"",tblRec[التاريخ],"&lt;="&amp;AsOf)+SUMIFS(tblInv[المتبقي],tblInv[كود العميل],$A346,tblInv[المتبقي],"&lt;0"))</f>
        <v/>
      </c>
      <c r="L346" s="81">
        <f>IF($A346="","",J346+K346)</f>
        <v/>
      </c>
      <c r="M346" s="82">
        <f>IF($A346="","",IFERROR(L346/$L$8,0))</f>
        <v/>
      </c>
      <c r="N346" s="80">
        <f>IF($A346="","",INDEX(tblCustomers[حد الائتمان],MATCH($A346,tblCustomers[كود العميل],0)))</f>
        <v/>
      </c>
      <c r="O346" s="83">
        <f>IF($A346="","",IF(AND(N346&gt;0,L346&gt;N346),"⛔",""))</f>
        <v/>
      </c>
    </row>
    <row r="347">
      <c r="A347" s="78">
        <f>IFERROR(INDEX(tblCustomers[كود العميل],MATCH(338,tblCustomers[ترتيب],0)),"")</f>
        <v/>
      </c>
      <c r="B347" s="79">
        <f>IF($A347="","",INDEX(tblCustomers[اسم العميل],MATCH($A347,tblCustomers[كود العميل],0)))</f>
        <v/>
      </c>
      <c r="C347" s="80">
        <f>IF($A347="","",SUMIFS(tblInv[المتبقي],tblInv[كود العميل],$A347,tblInv[الفترة],C$7))</f>
        <v/>
      </c>
      <c r="D347" s="80">
        <f>IF($A347="","",SUMIFS(tblInv[المتبقي],tblInv[كود العميل],$A347,tblInv[الفترة],D$7))</f>
        <v/>
      </c>
      <c r="E347" s="80">
        <f>IF($A347="","",SUMIFS(tblInv[المتبقي],tblInv[كود العميل],$A347,tblInv[الفترة],E$7))</f>
        <v/>
      </c>
      <c r="F347" s="80">
        <f>IF($A347="","",SUMIFS(tblInv[المتبقي],tblInv[كود العميل],$A347,tblInv[الفترة],F$7))</f>
        <v/>
      </c>
      <c r="G347" s="80">
        <f>IF($A347="","",SUMIFS(tblInv[المتبقي],tblInv[كود العميل],$A347,tblInv[الفترة],G$7))</f>
        <v/>
      </c>
      <c r="H347" s="80">
        <f>IF($A347="","",SUMIFS(tblInv[المتبقي],tblInv[كود العميل],$A347,tblInv[الفترة],H$7))</f>
        <v/>
      </c>
      <c r="I347" s="80">
        <f>IF($A347="","",SUMIFS(tblInv[المتبقي],tblInv[كود العميل],$A347,tblInv[الفترة],I$7))</f>
        <v/>
      </c>
      <c r="J347" s="80">
        <f>IF($A347="","",SUM(C347:I347))</f>
        <v/>
      </c>
      <c r="K347" s="80">
        <f>IF($A347="","",-SUMIFS(tblRec[المبلغ],tblRec[كود العميل],$A347,tblRec[رقم الفاتورة],"",tblRec[التاريخ],"&lt;="&amp;AsOf)+SUMIFS(tblInv[المتبقي],tblInv[كود العميل],$A347,tblInv[المتبقي],"&lt;0"))</f>
        <v/>
      </c>
      <c r="L347" s="81">
        <f>IF($A347="","",J347+K347)</f>
        <v/>
      </c>
      <c r="M347" s="82">
        <f>IF($A347="","",IFERROR(L347/$L$8,0))</f>
        <v/>
      </c>
      <c r="N347" s="80">
        <f>IF($A347="","",INDEX(tblCustomers[حد الائتمان],MATCH($A347,tblCustomers[كود العميل],0)))</f>
        <v/>
      </c>
      <c r="O347" s="83">
        <f>IF($A347="","",IF(AND(N347&gt;0,L347&gt;N347),"⛔",""))</f>
        <v/>
      </c>
    </row>
    <row r="348">
      <c r="A348" s="78">
        <f>IFERROR(INDEX(tblCustomers[كود العميل],MATCH(339,tblCustomers[ترتيب],0)),"")</f>
        <v/>
      </c>
      <c r="B348" s="79">
        <f>IF($A348="","",INDEX(tblCustomers[اسم العميل],MATCH($A348,tblCustomers[كود العميل],0)))</f>
        <v/>
      </c>
      <c r="C348" s="80">
        <f>IF($A348="","",SUMIFS(tblInv[المتبقي],tblInv[كود العميل],$A348,tblInv[الفترة],C$7))</f>
        <v/>
      </c>
      <c r="D348" s="80">
        <f>IF($A348="","",SUMIFS(tblInv[المتبقي],tblInv[كود العميل],$A348,tblInv[الفترة],D$7))</f>
        <v/>
      </c>
      <c r="E348" s="80">
        <f>IF($A348="","",SUMIFS(tblInv[المتبقي],tblInv[كود العميل],$A348,tblInv[الفترة],E$7))</f>
        <v/>
      </c>
      <c r="F348" s="80">
        <f>IF($A348="","",SUMIFS(tblInv[المتبقي],tblInv[كود العميل],$A348,tblInv[الفترة],F$7))</f>
        <v/>
      </c>
      <c r="G348" s="80">
        <f>IF($A348="","",SUMIFS(tblInv[المتبقي],tblInv[كود العميل],$A348,tblInv[الفترة],G$7))</f>
        <v/>
      </c>
      <c r="H348" s="80">
        <f>IF($A348="","",SUMIFS(tblInv[المتبقي],tblInv[كود العميل],$A348,tblInv[الفترة],H$7))</f>
        <v/>
      </c>
      <c r="I348" s="80">
        <f>IF($A348="","",SUMIFS(tblInv[المتبقي],tblInv[كود العميل],$A348,tblInv[الفترة],I$7))</f>
        <v/>
      </c>
      <c r="J348" s="80">
        <f>IF($A348="","",SUM(C348:I348))</f>
        <v/>
      </c>
      <c r="K348" s="80">
        <f>IF($A348="","",-SUMIFS(tblRec[المبلغ],tblRec[كود العميل],$A348,tblRec[رقم الفاتورة],"",tblRec[التاريخ],"&lt;="&amp;AsOf)+SUMIFS(tblInv[المتبقي],tblInv[كود العميل],$A348,tblInv[المتبقي],"&lt;0"))</f>
        <v/>
      </c>
      <c r="L348" s="81">
        <f>IF($A348="","",J348+K348)</f>
        <v/>
      </c>
      <c r="M348" s="82">
        <f>IF($A348="","",IFERROR(L348/$L$8,0))</f>
        <v/>
      </c>
      <c r="N348" s="80">
        <f>IF($A348="","",INDEX(tblCustomers[حد الائتمان],MATCH($A348,tblCustomers[كود العميل],0)))</f>
        <v/>
      </c>
      <c r="O348" s="83">
        <f>IF($A348="","",IF(AND(N348&gt;0,L348&gt;N348),"⛔",""))</f>
        <v/>
      </c>
    </row>
    <row r="349">
      <c r="A349" s="78">
        <f>IFERROR(INDEX(tblCustomers[كود العميل],MATCH(340,tblCustomers[ترتيب],0)),"")</f>
        <v/>
      </c>
      <c r="B349" s="79">
        <f>IF($A349="","",INDEX(tblCustomers[اسم العميل],MATCH($A349,tblCustomers[كود العميل],0)))</f>
        <v/>
      </c>
      <c r="C349" s="80">
        <f>IF($A349="","",SUMIFS(tblInv[المتبقي],tblInv[كود العميل],$A349,tblInv[الفترة],C$7))</f>
        <v/>
      </c>
      <c r="D349" s="80">
        <f>IF($A349="","",SUMIFS(tblInv[المتبقي],tblInv[كود العميل],$A349,tblInv[الفترة],D$7))</f>
        <v/>
      </c>
      <c r="E349" s="80">
        <f>IF($A349="","",SUMIFS(tblInv[المتبقي],tblInv[كود العميل],$A349,tblInv[الفترة],E$7))</f>
        <v/>
      </c>
      <c r="F349" s="80">
        <f>IF($A349="","",SUMIFS(tblInv[المتبقي],tblInv[كود العميل],$A349,tblInv[الفترة],F$7))</f>
        <v/>
      </c>
      <c r="G349" s="80">
        <f>IF($A349="","",SUMIFS(tblInv[المتبقي],tblInv[كود العميل],$A349,tblInv[الفترة],G$7))</f>
        <v/>
      </c>
      <c r="H349" s="80">
        <f>IF($A349="","",SUMIFS(tblInv[المتبقي],tblInv[كود العميل],$A349,tblInv[الفترة],H$7))</f>
        <v/>
      </c>
      <c r="I349" s="80">
        <f>IF($A349="","",SUMIFS(tblInv[المتبقي],tblInv[كود العميل],$A349,tblInv[الفترة],I$7))</f>
        <v/>
      </c>
      <c r="J349" s="80">
        <f>IF($A349="","",SUM(C349:I349))</f>
        <v/>
      </c>
      <c r="K349" s="80">
        <f>IF($A349="","",-SUMIFS(tblRec[المبلغ],tblRec[كود العميل],$A349,tblRec[رقم الفاتورة],"",tblRec[التاريخ],"&lt;="&amp;AsOf)+SUMIFS(tblInv[المتبقي],tblInv[كود العميل],$A349,tblInv[المتبقي],"&lt;0"))</f>
        <v/>
      </c>
      <c r="L349" s="81">
        <f>IF($A349="","",J349+K349)</f>
        <v/>
      </c>
      <c r="M349" s="82">
        <f>IF($A349="","",IFERROR(L349/$L$8,0))</f>
        <v/>
      </c>
      <c r="N349" s="80">
        <f>IF($A349="","",INDEX(tblCustomers[حد الائتمان],MATCH($A349,tblCustomers[كود العميل],0)))</f>
        <v/>
      </c>
      <c r="O349" s="83">
        <f>IF($A349="","",IF(AND(N349&gt;0,L349&gt;N349),"⛔",""))</f>
        <v/>
      </c>
    </row>
    <row r="350">
      <c r="A350" s="78">
        <f>IFERROR(INDEX(tblCustomers[كود العميل],MATCH(341,tblCustomers[ترتيب],0)),"")</f>
        <v/>
      </c>
      <c r="B350" s="79">
        <f>IF($A350="","",INDEX(tblCustomers[اسم العميل],MATCH($A350,tblCustomers[كود العميل],0)))</f>
        <v/>
      </c>
      <c r="C350" s="80">
        <f>IF($A350="","",SUMIFS(tblInv[المتبقي],tblInv[كود العميل],$A350,tblInv[الفترة],C$7))</f>
        <v/>
      </c>
      <c r="D350" s="80">
        <f>IF($A350="","",SUMIFS(tblInv[المتبقي],tblInv[كود العميل],$A350,tblInv[الفترة],D$7))</f>
        <v/>
      </c>
      <c r="E350" s="80">
        <f>IF($A350="","",SUMIFS(tblInv[المتبقي],tblInv[كود العميل],$A350,tblInv[الفترة],E$7))</f>
        <v/>
      </c>
      <c r="F350" s="80">
        <f>IF($A350="","",SUMIFS(tblInv[المتبقي],tblInv[كود العميل],$A350,tblInv[الفترة],F$7))</f>
        <v/>
      </c>
      <c r="G350" s="80">
        <f>IF($A350="","",SUMIFS(tblInv[المتبقي],tblInv[كود العميل],$A350,tblInv[الفترة],G$7))</f>
        <v/>
      </c>
      <c r="H350" s="80">
        <f>IF($A350="","",SUMIFS(tblInv[المتبقي],tblInv[كود العميل],$A350,tblInv[الفترة],H$7))</f>
        <v/>
      </c>
      <c r="I350" s="80">
        <f>IF($A350="","",SUMIFS(tblInv[المتبقي],tblInv[كود العميل],$A350,tblInv[الفترة],I$7))</f>
        <v/>
      </c>
      <c r="J350" s="80">
        <f>IF($A350="","",SUM(C350:I350))</f>
        <v/>
      </c>
      <c r="K350" s="80">
        <f>IF($A350="","",-SUMIFS(tblRec[المبلغ],tblRec[كود العميل],$A350,tblRec[رقم الفاتورة],"",tblRec[التاريخ],"&lt;="&amp;AsOf)+SUMIFS(tblInv[المتبقي],tblInv[كود العميل],$A350,tblInv[المتبقي],"&lt;0"))</f>
        <v/>
      </c>
      <c r="L350" s="81">
        <f>IF($A350="","",J350+K350)</f>
        <v/>
      </c>
      <c r="M350" s="82">
        <f>IF($A350="","",IFERROR(L350/$L$8,0))</f>
        <v/>
      </c>
      <c r="N350" s="80">
        <f>IF($A350="","",INDEX(tblCustomers[حد الائتمان],MATCH($A350,tblCustomers[كود العميل],0)))</f>
        <v/>
      </c>
      <c r="O350" s="83">
        <f>IF($A350="","",IF(AND(N350&gt;0,L350&gt;N350),"⛔",""))</f>
        <v/>
      </c>
    </row>
    <row r="351">
      <c r="A351" s="78">
        <f>IFERROR(INDEX(tblCustomers[كود العميل],MATCH(342,tblCustomers[ترتيب],0)),"")</f>
        <v/>
      </c>
      <c r="B351" s="79">
        <f>IF($A351="","",INDEX(tblCustomers[اسم العميل],MATCH($A351,tblCustomers[كود العميل],0)))</f>
        <v/>
      </c>
      <c r="C351" s="80">
        <f>IF($A351="","",SUMIFS(tblInv[المتبقي],tblInv[كود العميل],$A351,tblInv[الفترة],C$7))</f>
        <v/>
      </c>
      <c r="D351" s="80">
        <f>IF($A351="","",SUMIFS(tblInv[المتبقي],tblInv[كود العميل],$A351,tblInv[الفترة],D$7))</f>
        <v/>
      </c>
      <c r="E351" s="80">
        <f>IF($A351="","",SUMIFS(tblInv[المتبقي],tblInv[كود العميل],$A351,tblInv[الفترة],E$7))</f>
        <v/>
      </c>
      <c r="F351" s="80">
        <f>IF($A351="","",SUMIFS(tblInv[المتبقي],tblInv[كود العميل],$A351,tblInv[الفترة],F$7))</f>
        <v/>
      </c>
      <c r="G351" s="80">
        <f>IF($A351="","",SUMIFS(tblInv[المتبقي],tblInv[كود العميل],$A351,tblInv[الفترة],G$7))</f>
        <v/>
      </c>
      <c r="H351" s="80">
        <f>IF($A351="","",SUMIFS(tblInv[المتبقي],tblInv[كود العميل],$A351,tblInv[الفترة],H$7))</f>
        <v/>
      </c>
      <c r="I351" s="80">
        <f>IF($A351="","",SUMIFS(tblInv[المتبقي],tblInv[كود العميل],$A351,tblInv[الفترة],I$7))</f>
        <v/>
      </c>
      <c r="J351" s="80">
        <f>IF($A351="","",SUM(C351:I351))</f>
        <v/>
      </c>
      <c r="K351" s="80">
        <f>IF($A351="","",-SUMIFS(tblRec[المبلغ],tblRec[كود العميل],$A351,tblRec[رقم الفاتورة],"",tblRec[التاريخ],"&lt;="&amp;AsOf)+SUMIFS(tblInv[المتبقي],tblInv[كود العميل],$A351,tblInv[المتبقي],"&lt;0"))</f>
        <v/>
      </c>
      <c r="L351" s="81">
        <f>IF($A351="","",J351+K351)</f>
        <v/>
      </c>
      <c r="M351" s="82">
        <f>IF($A351="","",IFERROR(L351/$L$8,0))</f>
        <v/>
      </c>
      <c r="N351" s="80">
        <f>IF($A351="","",INDEX(tblCustomers[حد الائتمان],MATCH($A351,tblCustomers[كود العميل],0)))</f>
        <v/>
      </c>
      <c r="O351" s="83">
        <f>IF($A351="","",IF(AND(N351&gt;0,L351&gt;N351),"⛔",""))</f>
        <v/>
      </c>
    </row>
    <row r="352">
      <c r="A352" s="78">
        <f>IFERROR(INDEX(tblCustomers[كود العميل],MATCH(343,tblCustomers[ترتيب],0)),"")</f>
        <v/>
      </c>
      <c r="B352" s="79">
        <f>IF($A352="","",INDEX(tblCustomers[اسم العميل],MATCH($A352,tblCustomers[كود العميل],0)))</f>
        <v/>
      </c>
      <c r="C352" s="80">
        <f>IF($A352="","",SUMIFS(tblInv[المتبقي],tblInv[كود العميل],$A352,tblInv[الفترة],C$7))</f>
        <v/>
      </c>
      <c r="D352" s="80">
        <f>IF($A352="","",SUMIFS(tblInv[المتبقي],tblInv[كود العميل],$A352,tblInv[الفترة],D$7))</f>
        <v/>
      </c>
      <c r="E352" s="80">
        <f>IF($A352="","",SUMIFS(tblInv[المتبقي],tblInv[كود العميل],$A352,tblInv[الفترة],E$7))</f>
        <v/>
      </c>
      <c r="F352" s="80">
        <f>IF($A352="","",SUMIFS(tblInv[المتبقي],tblInv[كود العميل],$A352,tblInv[الفترة],F$7))</f>
        <v/>
      </c>
      <c r="G352" s="80">
        <f>IF($A352="","",SUMIFS(tblInv[المتبقي],tblInv[كود العميل],$A352,tblInv[الفترة],G$7))</f>
        <v/>
      </c>
      <c r="H352" s="80">
        <f>IF($A352="","",SUMIFS(tblInv[المتبقي],tblInv[كود العميل],$A352,tblInv[الفترة],H$7))</f>
        <v/>
      </c>
      <c r="I352" s="80">
        <f>IF($A352="","",SUMIFS(tblInv[المتبقي],tblInv[كود العميل],$A352,tblInv[الفترة],I$7))</f>
        <v/>
      </c>
      <c r="J352" s="80">
        <f>IF($A352="","",SUM(C352:I352))</f>
        <v/>
      </c>
      <c r="K352" s="80">
        <f>IF($A352="","",-SUMIFS(tblRec[المبلغ],tblRec[كود العميل],$A352,tblRec[رقم الفاتورة],"",tblRec[التاريخ],"&lt;="&amp;AsOf)+SUMIFS(tblInv[المتبقي],tblInv[كود العميل],$A352,tblInv[المتبقي],"&lt;0"))</f>
        <v/>
      </c>
      <c r="L352" s="81">
        <f>IF($A352="","",J352+K352)</f>
        <v/>
      </c>
      <c r="M352" s="82">
        <f>IF($A352="","",IFERROR(L352/$L$8,0))</f>
        <v/>
      </c>
      <c r="N352" s="80">
        <f>IF($A352="","",INDEX(tblCustomers[حد الائتمان],MATCH($A352,tblCustomers[كود العميل],0)))</f>
        <v/>
      </c>
      <c r="O352" s="83">
        <f>IF($A352="","",IF(AND(N352&gt;0,L352&gt;N352),"⛔",""))</f>
        <v/>
      </c>
    </row>
    <row r="353">
      <c r="A353" s="78">
        <f>IFERROR(INDEX(tblCustomers[كود العميل],MATCH(344,tblCustomers[ترتيب],0)),"")</f>
        <v/>
      </c>
      <c r="B353" s="79">
        <f>IF($A353="","",INDEX(tblCustomers[اسم العميل],MATCH($A353,tblCustomers[كود العميل],0)))</f>
        <v/>
      </c>
      <c r="C353" s="80">
        <f>IF($A353="","",SUMIFS(tblInv[المتبقي],tblInv[كود العميل],$A353,tblInv[الفترة],C$7))</f>
        <v/>
      </c>
      <c r="D353" s="80">
        <f>IF($A353="","",SUMIFS(tblInv[المتبقي],tblInv[كود العميل],$A353,tblInv[الفترة],D$7))</f>
        <v/>
      </c>
      <c r="E353" s="80">
        <f>IF($A353="","",SUMIFS(tblInv[المتبقي],tblInv[كود العميل],$A353,tblInv[الفترة],E$7))</f>
        <v/>
      </c>
      <c r="F353" s="80">
        <f>IF($A353="","",SUMIFS(tblInv[المتبقي],tblInv[كود العميل],$A353,tblInv[الفترة],F$7))</f>
        <v/>
      </c>
      <c r="G353" s="80">
        <f>IF($A353="","",SUMIFS(tblInv[المتبقي],tblInv[كود العميل],$A353,tblInv[الفترة],G$7))</f>
        <v/>
      </c>
      <c r="H353" s="80">
        <f>IF($A353="","",SUMIFS(tblInv[المتبقي],tblInv[كود العميل],$A353,tblInv[الفترة],H$7))</f>
        <v/>
      </c>
      <c r="I353" s="80">
        <f>IF($A353="","",SUMIFS(tblInv[المتبقي],tblInv[كود العميل],$A353,tblInv[الفترة],I$7))</f>
        <v/>
      </c>
      <c r="J353" s="80">
        <f>IF($A353="","",SUM(C353:I353))</f>
        <v/>
      </c>
      <c r="K353" s="80">
        <f>IF($A353="","",-SUMIFS(tblRec[المبلغ],tblRec[كود العميل],$A353,tblRec[رقم الفاتورة],"",tblRec[التاريخ],"&lt;="&amp;AsOf)+SUMIFS(tblInv[المتبقي],tblInv[كود العميل],$A353,tblInv[المتبقي],"&lt;0"))</f>
        <v/>
      </c>
      <c r="L353" s="81">
        <f>IF($A353="","",J353+K353)</f>
        <v/>
      </c>
      <c r="M353" s="82">
        <f>IF($A353="","",IFERROR(L353/$L$8,0))</f>
        <v/>
      </c>
      <c r="N353" s="80">
        <f>IF($A353="","",INDEX(tblCustomers[حد الائتمان],MATCH($A353,tblCustomers[كود العميل],0)))</f>
        <v/>
      </c>
      <c r="O353" s="83">
        <f>IF($A353="","",IF(AND(N353&gt;0,L353&gt;N353),"⛔",""))</f>
        <v/>
      </c>
    </row>
    <row r="354">
      <c r="A354" s="78">
        <f>IFERROR(INDEX(tblCustomers[كود العميل],MATCH(345,tblCustomers[ترتيب],0)),"")</f>
        <v/>
      </c>
      <c r="B354" s="79">
        <f>IF($A354="","",INDEX(tblCustomers[اسم العميل],MATCH($A354,tblCustomers[كود العميل],0)))</f>
        <v/>
      </c>
      <c r="C354" s="80">
        <f>IF($A354="","",SUMIFS(tblInv[المتبقي],tblInv[كود العميل],$A354,tblInv[الفترة],C$7))</f>
        <v/>
      </c>
      <c r="D354" s="80">
        <f>IF($A354="","",SUMIFS(tblInv[المتبقي],tblInv[كود العميل],$A354,tblInv[الفترة],D$7))</f>
        <v/>
      </c>
      <c r="E354" s="80">
        <f>IF($A354="","",SUMIFS(tblInv[المتبقي],tblInv[كود العميل],$A354,tblInv[الفترة],E$7))</f>
        <v/>
      </c>
      <c r="F354" s="80">
        <f>IF($A354="","",SUMIFS(tblInv[المتبقي],tblInv[كود العميل],$A354,tblInv[الفترة],F$7))</f>
        <v/>
      </c>
      <c r="G354" s="80">
        <f>IF($A354="","",SUMIFS(tblInv[المتبقي],tblInv[كود العميل],$A354,tblInv[الفترة],G$7))</f>
        <v/>
      </c>
      <c r="H354" s="80">
        <f>IF($A354="","",SUMIFS(tblInv[المتبقي],tblInv[كود العميل],$A354,tblInv[الفترة],H$7))</f>
        <v/>
      </c>
      <c r="I354" s="80">
        <f>IF($A354="","",SUMIFS(tblInv[المتبقي],tblInv[كود العميل],$A354,tblInv[الفترة],I$7))</f>
        <v/>
      </c>
      <c r="J354" s="80">
        <f>IF($A354="","",SUM(C354:I354))</f>
        <v/>
      </c>
      <c r="K354" s="80">
        <f>IF($A354="","",-SUMIFS(tblRec[المبلغ],tblRec[كود العميل],$A354,tblRec[رقم الفاتورة],"",tblRec[التاريخ],"&lt;="&amp;AsOf)+SUMIFS(tblInv[المتبقي],tblInv[كود العميل],$A354,tblInv[المتبقي],"&lt;0"))</f>
        <v/>
      </c>
      <c r="L354" s="81">
        <f>IF($A354="","",J354+K354)</f>
        <v/>
      </c>
      <c r="M354" s="82">
        <f>IF($A354="","",IFERROR(L354/$L$8,0))</f>
        <v/>
      </c>
      <c r="N354" s="80">
        <f>IF($A354="","",INDEX(tblCustomers[حد الائتمان],MATCH($A354,tblCustomers[كود العميل],0)))</f>
        <v/>
      </c>
      <c r="O354" s="83">
        <f>IF($A354="","",IF(AND(N354&gt;0,L354&gt;N354),"⛔",""))</f>
        <v/>
      </c>
    </row>
    <row r="355">
      <c r="A355" s="78">
        <f>IFERROR(INDEX(tblCustomers[كود العميل],MATCH(346,tblCustomers[ترتيب],0)),"")</f>
        <v/>
      </c>
      <c r="B355" s="79">
        <f>IF($A355="","",INDEX(tblCustomers[اسم العميل],MATCH($A355,tblCustomers[كود العميل],0)))</f>
        <v/>
      </c>
      <c r="C355" s="80">
        <f>IF($A355="","",SUMIFS(tblInv[المتبقي],tblInv[كود العميل],$A355,tblInv[الفترة],C$7))</f>
        <v/>
      </c>
      <c r="D355" s="80">
        <f>IF($A355="","",SUMIFS(tblInv[المتبقي],tblInv[كود العميل],$A355,tblInv[الفترة],D$7))</f>
        <v/>
      </c>
      <c r="E355" s="80">
        <f>IF($A355="","",SUMIFS(tblInv[المتبقي],tblInv[كود العميل],$A355,tblInv[الفترة],E$7))</f>
        <v/>
      </c>
      <c r="F355" s="80">
        <f>IF($A355="","",SUMIFS(tblInv[المتبقي],tblInv[كود العميل],$A355,tblInv[الفترة],F$7))</f>
        <v/>
      </c>
      <c r="G355" s="80">
        <f>IF($A355="","",SUMIFS(tblInv[المتبقي],tblInv[كود العميل],$A355,tblInv[الفترة],G$7))</f>
        <v/>
      </c>
      <c r="H355" s="80">
        <f>IF($A355="","",SUMIFS(tblInv[المتبقي],tblInv[كود العميل],$A355,tblInv[الفترة],H$7))</f>
        <v/>
      </c>
      <c r="I355" s="80">
        <f>IF($A355="","",SUMIFS(tblInv[المتبقي],tblInv[كود العميل],$A355,tblInv[الفترة],I$7))</f>
        <v/>
      </c>
      <c r="J355" s="80">
        <f>IF($A355="","",SUM(C355:I355))</f>
        <v/>
      </c>
      <c r="K355" s="80">
        <f>IF($A355="","",-SUMIFS(tblRec[المبلغ],tblRec[كود العميل],$A355,tblRec[رقم الفاتورة],"",tblRec[التاريخ],"&lt;="&amp;AsOf)+SUMIFS(tblInv[المتبقي],tblInv[كود العميل],$A355,tblInv[المتبقي],"&lt;0"))</f>
        <v/>
      </c>
      <c r="L355" s="81">
        <f>IF($A355="","",J355+K355)</f>
        <v/>
      </c>
      <c r="M355" s="82">
        <f>IF($A355="","",IFERROR(L355/$L$8,0))</f>
        <v/>
      </c>
      <c r="N355" s="80">
        <f>IF($A355="","",INDEX(tblCustomers[حد الائتمان],MATCH($A355,tblCustomers[كود العميل],0)))</f>
        <v/>
      </c>
      <c r="O355" s="83">
        <f>IF($A355="","",IF(AND(N355&gt;0,L355&gt;N355),"⛔",""))</f>
        <v/>
      </c>
    </row>
    <row r="356">
      <c r="A356" s="78">
        <f>IFERROR(INDEX(tblCustomers[كود العميل],MATCH(347,tblCustomers[ترتيب],0)),"")</f>
        <v/>
      </c>
      <c r="B356" s="79">
        <f>IF($A356="","",INDEX(tblCustomers[اسم العميل],MATCH($A356,tblCustomers[كود العميل],0)))</f>
        <v/>
      </c>
      <c r="C356" s="80">
        <f>IF($A356="","",SUMIFS(tblInv[المتبقي],tblInv[كود العميل],$A356,tblInv[الفترة],C$7))</f>
        <v/>
      </c>
      <c r="D356" s="80">
        <f>IF($A356="","",SUMIFS(tblInv[المتبقي],tblInv[كود العميل],$A356,tblInv[الفترة],D$7))</f>
        <v/>
      </c>
      <c r="E356" s="80">
        <f>IF($A356="","",SUMIFS(tblInv[المتبقي],tblInv[كود العميل],$A356,tblInv[الفترة],E$7))</f>
        <v/>
      </c>
      <c r="F356" s="80">
        <f>IF($A356="","",SUMIFS(tblInv[المتبقي],tblInv[كود العميل],$A356,tblInv[الفترة],F$7))</f>
        <v/>
      </c>
      <c r="G356" s="80">
        <f>IF($A356="","",SUMIFS(tblInv[المتبقي],tblInv[كود العميل],$A356,tblInv[الفترة],G$7))</f>
        <v/>
      </c>
      <c r="H356" s="80">
        <f>IF($A356="","",SUMIFS(tblInv[المتبقي],tblInv[كود العميل],$A356,tblInv[الفترة],H$7))</f>
        <v/>
      </c>
      <c r="I356" s="80">
        <f>IF($A356="","",SUMIFS(tblInv[المتبقي],tblInv[كود العميل],$A356,tblInv[الفترة],I$7))</f>
        <v/>
      </c>
      <c r="J356" s="80">
        <f>IF($A356="","",SUM(C356:I356))</f>
        <v/>
      </c>
      <c r="K356" s="80">
        <f>IF($A356="","",-SUMIFS(tblRec[المبلغ],tblRec[كود العميل],$A356,tblRec[رقم الفاتورة],"",tblRec[التاريخ],"&lt;="&amp;AsOf)+SUMIFS(tblInv[المتبقي],tblInv[كود العميل],$A356,tblInv[المتبقي],"&lt;0"))</f>
        <v/>
      </c>
      <c r="L356" s="81">
        <f>IF($A356="","",J356+K356)</f>
        <v/>
      </c>
      <c r="M356" s="82">
        <f>IF($A356="","",IFERROR(L356/$L$8,0))</f>
        <v/>
      </c>
      <c r="N356" s="80">
        <f>IF($A356="","",INDEX(tblCustomers[حد الائتمان],MATCH($A356,tblCustomers[كود العميل],0)))</f>
        <v/>
      </c>
      <c r="O356" s="83">
        <f>IF($A356="","",IF(AND(N356&gt;0,L356&gt;N356),"⛔",""))</f>
        <v/>
      </c>
    </row>
    <row r="357">
      <c r="A357" s="78">
        <f>IFERROR(INDEX(tblCustomers[كود العميل],MATCH(348,tblCustomers[ترتيب],0)),"")</f>
        <v/>
      </c>
      <c r="B357" s="79">
        <f>IF($A357="","",INDEX(tblCustomers[اسم العميل],MATCH($A357,tblCustomers[كود العميل],0)))</f>
        <v/>
      </c>
      <c r="C357" s="80">
        <f>IF($A357="","",SUMIFS(tblInv[المتبقي],tblInv[كود العميل],$A357,tblInv[الفترة],C$7))</f>
        <v/>
      </c>
      <c r="D357" s="80">
        <f>IF($A357="","",SUMIFS(tblInv[المتبقي],tblInv[كود العميل],$A357,tblInv[الفترة],D$7))</f>
        <v/>
      </c>
      <c r="E357" s="80">
        <f>IF($A357="","",SUMIFS(tblInv[المتبقي],tblInv[كود العميل],$A357,tblInv[الفترة],E$7))</f>
        <v/>
      </c>
      <c r="F357" s="80">
        <f>IF($A357="","",SUMIFS(tblInv[المتبقي],tblInv[كود العميل],$A357,tblInv[الفترة],F$7))</f>
        <v/>
      </c>
      <c r="G357" s="80">
        <f>IF($A357="","",SUMIFS(tblInv[المتبقي],tblInv[كود العميل],$A357,tblInv[الفترة],G$7))</f>
        <v/>
      </c>
      <c r="H357" s="80">
        <f>IF($A357="","",SUMIFS(tblInv[المتبقي],tblInv[كود العميل],$A357,tblInv[الفترة],H$7))</f>
        <v/>
      </c>
      <c r="I357" s="80">
        <f>IF($A357="","",SUMIFS(tblInv[المتبقي],tblInv[كود العميل],$A357,tblInv[الفترة],I$7))</f>
        <v/>
      </c>
      <c r="J357" s="80">
        <f>IF($A357="","",SUM(C357:I357))</f>
        <v/>
      </c>
      <c r="K357" s="80">
        <f>IF($A357="","",-SUMIFS(tblRec[المبلغ],tblRec[كود العميل],$A357,tblRec[رقم الفاتورة],"",tblRec[التاريخ],"&lt;="&amp;AsOf)+SUMIFS(tblInv[المتبقي],tblInv[كود العميل],$A357,tblInv[المتبقي],"&lt;0"))</f>
        <v/>
      </c>
      <c r="L357" s="81">
        <f>IF($A357="","",J357+K357)</f>
        <v/>
      </c>
      <c r="M357" s="82">
        <f>IF($A357="","",IFERROR(L357/$L$8,0))</f>
        <v/>
      </c>
      <c r="N357" s="80">
        <f>IF($A357="","",INDEX(tblCustomers[حد الائتمان],MATCH($A357,tblCustomers[كود العميل],0)))</f>
        <v/>
      </c>
      <c r="O357" s="83">
        <f>IF($A357="","",IF(AND(N357&gt;0,L357&gt;N357),"⛔",""))</f>
        <v/>
      </c>
    </row>
    <row r="358">
      <c r="A358" s="78">
        <f>IFERROR(INDEX(tblCustomers[كود العميل],MATCH(349,tblCustomers[ترتيب],0)),"")</f>
        <v/>
      </c>
      <c r="B358" s="79">
        <f>IF($A358="","",INDEX(tblCustomers[اسم العميل],MATCH($A358,tblCustomers[كود العميل],0)))</f>
        <v/>
      </c>
      <c r="C358" s="80">
        <f>IF($A358="","",SUMIFS(tblInv[المتبقي],tblInv[كود العميل],$A358,tblInv[الفترة],C$7))</f>
        <v/>
      </c>
      <c r="D358" s="80">
        <f>IF($A358="","",SUMIFS(tblInv[المتبقي],tblInv[كود العميل],$A358,tblInv[الفترة],D$7))</f>
        <v/>
      </c>
      <c r="E358" s="80">
        <f>IF($A358="","",SUMIFS(tblInv[المتبقي],tblInv[كود العميل],$A358,tblInv[الفترة],E$7))</f>
        <v/>
      </c>
      <c r="F358" s="80">
        <f>IF($A358="","",SUMIFS(tblInv[المتبقي],tblInv[كود العميل],$A358,tblInv[الفترة],F$7))</f>
        <v/>
      </c>
      <c r="G358" s="80">
        <f>IF($A358="","",SUMIFS(tblInv[المتبقي],tblInv[كود العميل],$A358,tblInv[الفترة],G$7))</f>
        <v/>
      </c>
      <c r="H358" s="80">
        <f>IF($A358="","",SUMIFS(tblInv[المتبقي],tblInv[كود العميل],$A358,tblInv[الفترة],H$7))</f>
        <v/>
      </c>
      <c r="I358" s="80">
        <f>IF($A358="","",SUMIFS(tblInv[المتبقي],tblInv[كود العميل],$A358,tblInv[الفترة],I$7))</f>
        <v/>
      </c>
      <c r="J358" s="80">
        <f>IF($A358="","",SUM(C358:I358))</f>
        <v/>
      </c>
      <c r="K358" s="80">
        <f>IF($A358="","",-SUMIFS(tblRec[المبلغ],tblRec[كود العميل],$A358,tblRec[رقم الفاتورة],"",tblRec[التاريخ],"&lt;="&amp;AsOf)+SUMIFS(tblInv[المتبقي],tblInv[كود العميل],$A358,tblInv[المتبقي],"&lt;0"))</f>
        <v/>
      </c>
      <c r="L358" s="81">
        <f>IF($A358="","",J358+K358)</f>
        <v/>
      </c>
      <c r="M358" s="82">
        <f>IF($A358="","",IFERROR(L358/$L$8,0))</f>
        <v/>
      </c>
      <c r="N358" s="80">
        <f>IF($A358="","",INDEX(tblCustomers[حد الائتمان],MATCH($A358,tblCustomers[كود العميل],0)))</f>
        <v/>
      </c>
      <c r="O358" s="83">
        <f>IF($A358="","",IF(AND(N358&gt;0,L358&gt;N358),"⛔",""))</f>
        <v/>
      </c>
    </row>
    <row r="359">
      <c r="A359" s="78">
        <f>IFERROR(INDEX(tblCustomers[كود العميل],MATCH(350,tblCustomers[ترتيب],0)),"")</f>
        <v/>
      </c>
      <c r="B359" s="79">
        <f>IF($A359="","",INDEX(tblCustomers[اسم العميل],MATCH($A359,tblCustomers[كود العميل],0)))</f>
        <v/>
      </c>
      <c r="C359" s="80">
        <f>IF($A359="","",SUMIFS(tblInv[المتبقي],tblInv[كود العميل],$A359,tblInv[الفترة],C$7))</f>
        <v/>
      </c>
      <c r="D359" s="80">
        <f>IF($A359="","",SUMIFS(tblInv[المتبقي],tblInv[كود العميل],$A359,tblInv[الفترة],D$7))</f>
        <v/>
      </c>
      <c r="E359" s="80">
        <f>IF($A359="","",SUMIFS(tblInv[المتبقي],tblInv[كود العميل],$A359,tblInv[الفترة],E$7))</f>
        <v/>
      </c>
      <c r="F359" s="80">
        <f>IF($A359="","",SUMIFS(tblInv[المتبقي],tblInv[كود العميل],$A359,tblInv[الفترة],F$7))</f>
        <v/>
      </c>
      <c r="G359" s="80">
        <f>IF($A359="","",SUMIFS(tblInv[المتبقي],tblInv[كود العميل],$A359,tblInv[الفترة],G$7))</f>
        <v/>
      </c>
      <c r="H359" s="80">
        <f>IF($A359="","",SUMIFS(tblInv[المتبقي],tblInv[كود العميل],$A359,tblInv[الفترة],H$7))</f>
        <v/>
      </c>
      <c r="I359" s="80">
        <f>IF($A359="","",SUMIFS(tblInv[المتبقي],tblInv[كود العميل],$A359,tblInv[الفترة],I$7))</f>
        <v/>
      </c>
      <c r="J359" s="80">
        <f>IF($A359="","",SUM(C359:I359))</f>
        <v/>
      </c>
      <c r="K359" s="80">
        <f>IF($A359="","",-SUMIFS(tblRec[المبلغ],tblRec[كود العميل],$A359,tblRec[رقم الفاتورة],"",tblRec[التاريخ],"&lt;="&amp;AsOf)+SUMIFS(tblInv[المتبقي],tblInv[كود العميل],$A359,tblInv[المتبقي],"&lt;0"))</f>
        <v/>
      </c>
      <c r="L359" s="81">
        <f>IF($A359="","",J359+K359)</f>
        <v/>
      </c>
      <c r="M359" s="82">
        <f>IF($A359="","",IFERROR(L359/$L$8,0))</f>
        <v/>
      </c>
      <c r="N359" s="80">
        <f>IF($A359="","",INDEX(tblCustomers[حد الائتمان],MATCH($A359,tblCustomers[كود العميل],0)))</f>
        <v/>
      </c>
      <c r="O359" s="83">
        <f>IF($A359="","",IF(AND(N359&gt;0,L359&gt;N359),"⛔",""))</f>
        <v/>
      </c>
    </row>
    <row r="360">
      <c r="A360" s="78">
        <f>IFERROR(INDEX(tblCustomers[كود العميل],MATCH(351,tblCustomers[ترتيب],0)),"")</f>
        <v/>
      </c>
      <c r="B360" s="79">
        <f>IF($A360="","",INDEX(tblCustomers[اسم العميل],MATCH($A360,tblCustomers[كود العميل],0)))</f>
        <v/>
      </c>
      <c r="C360" s="80">
        <f>IF($A360="","",SUMIFS(tblInv[المتبقي],tblInv[كود العميل],$A360,tblInv[الفترة],C$7))</f>
        <v/>
      </c>
      <c r="D360" s="80">
        <f>IF($A360="","",SUMIFS(tblInv[المتبقي],tblInv[كود العميل],$A360,tblInv[الفترة],D$7))</f>
        <v/>
      </c>
      <c r="E360" s="80">
        <f>IF($A360="","",SUMIFS(tblInv[المتبقي],tblInv[كود العميل],$A360,tblInv[الفترة],E$7))</f>
        <v/>
      </c>
      <c r="F360" s="80">
        <f>IF($A360="","",SUMIFS(tblInv[المتبقي],tblInv[كود العميل],$A360,tblInv[الفترة],F$7))</f>
        <v/>
      </c>
      <c r="G360" s="80">
        <f>IF($A360="","",SUMIFS(tblInv[المتبقي],tblInv[كود العميل],$A360,tblInv[الفترة],G$7))</f>
        <v/>
      </c>
      <c r="H360" s="80">
        <f>IF($A360="","",SUMIFS(tblInv[المتبقي],tblInv[كود العميل],$A360,tblInv[الفترة],H$7))</f>
        <v/>
      </c>
      <c r="I360" s="80">
        <f>IF($A360="","",SUMIFS(tblInv[المتبقي],tblInv[كود العميل],$A360,tblInv[الفترة],I$7))</f>
        <v/>
      </c>
      <c r="J360" s="80">
        <f>IF($A360="","",SUM(C360:I360))</f>
        <v/>
      </c>
      <c r="K360" s="80">
        <f>IF($A360="","",-SUMIFS(tblRec[المبلغ],tblRec[كود العميل],$A360,tblRec[رقم الفاتورة],"",tblRec[التاريخ],"&lt;="&amp;AsOf)+SUMIFS(tblInv[المتبقي],tblInv[كود العميل],$A360,tblInv[المتبقي],"&lt;0"))</f>
        <v/>
      </c>
      <c r="L360" s="81">
        <f>IF($A360="","",J360+K360)</f>
        <v/>
      </c>
      <c r="M360" s="82">
        <f>IF($A360="","",IFERROR(L360/$L$8,0))</f>
        <v/>
      </c>
      <c r="N360" s="80">
        <f>IF($A360="","",INDEX(tblCustomers[حد الائتمان],MATCH($A360,tblCustomers[كود العميل],0)))</f>
        <v/>
      </c>
      <c r="O360" s="83">
        <f>IF($A360="","",IF(AND(N360&gt;0,L360&gt;N360),"⛔",""))</f>
        <v/>
      </c>
    </row>
    <row r="361">
      <c r="A361" s="78">
        <f>IFERROR(INDEX(tblCustomers[كود العميل],MATCH(352,tblCustomers[ترتيب],0)),"")</f>
        <v/>
      </c>
      <c r="B361" s="79">
        <f>IF($A361="","",INDEX(tblCustomers[اسم العميل],MATCH($A361,tblCustomers[كود العميل],0)))</f>
        <v/>
      </c>
      <c r="C361" s="80">
        <f>IF($A361="","",SUMIFS(tblInv[المتبقي],tblInv[كود العميل],$A361,tblInv[الفترة],C$7))</f>
        <v/>
      </c>
      <c r="D361" s="80">
        <f>IF($A361="","",SUMIFS(tblInv[المتبقي],tblInv[كود العميل],$A361,tblInv[الفترة],D$7))</f>
        <v/>
      </c>
      <c r="E361" s="80">
        <f>IF($A361="","",SUMIFS(tblInv[المتبقي],tblInv[كود العميل],$A361,tblInv[الفترة],E$7))</f>
        <v/>
      </c>
      <c r="F361" s="80">
        <f>IF($A361="","",SUMIFS(tblInv[المتبقي],tblInv[كود العميل],$A361,tblInv[الفترة],F$7))</f>
        <v/>
      </c>
      <c r="G361" s="80">
        <f>IF($A361="","",SUMIFS(tblInv[المتبقي],tblInv[كود العميل],$A361,tblInv[الفترة],G$7))</f>
        <v/>
      </c>
      <c r="H361" s="80">
        <f>IF($A361="","",SUMIFS(tblInv[المتبقي],tblInv[كود العميل],$A361,tblInv[الفترة],H$7))</f>
        <v/>
      </c>
      <c r="I361" s="80">
        <f>IF($A361="","",SUMIFS(tblInv[المتبقي],tblInv[كود العميل],$A361,tblInv[الفترة],I$7))</f>
        <v/>
      </c>
      <c r="J361" s="80">
        <f>IF($A361="","",SUM(C361:I361))</f>
        <v/>
      </c>
      <c r="K361" s="80">
        <f>IF($A361="","",-SUMIFS(tblRec[المبلغ],tblRec[كود العميل],$A361,tblRec[رقم الفاتورة],"",tblRec[التاريخ],"&lt;="&amp;AsOf)+SUMIFS(tblInv[المتبقي],tblInv[كود العميل],$A361,tblInv[المتبقي],"&lt;0"))</f>
        <v/>
      </c>
      <c r="L361" s="81">
        <f>IF($A361="","",J361+K361)</f>
        <v/>
      </c>
      <c r="M361" s="82">
        <f>IF($A361="","",IFERROR(L361/$L$8,0))</f>
        <v/>
      </c>
      <c r="N361" s="80">
        <f>IF($A361="","",INDEX(tblCustomers[حد الائتمان],MATCH($A361,tblCustomers[كود العميل],0)))</f>
        <v/>
      </c>
      <c r="O361" s="83">
        <f>IF($A361="","",IF(AND(N361&gt;0,L361&gt;N361),"⛔",""))</f>
        <v/>
      </c>
    </row>
    <row r="362">
      <c r="A362" s="78">
        <f>IFERROR(INDEX(tblCustomers[كود العميل],MATCH(353,tblCustomers[ترتيب],0)),"")</f>
        <v/>
      </c>
      <c r="B362" s="79">
        <f>IF($A362="","",INDEX(tblCustomers[اسم العميل],MATCH($A362,tblCustomers[كود العميل],0)))</f>
        <v/>
      </c>
      <c r="C362" s="80">
        <f>IF($A362="","",SUMIFS(tblInv[المتبقي],tblInv[كود العميل],$A362,tblInv[الفترة],C$7))</f>
        <v/>
      </c>
      <c r="D362" s="80">
        <f>IF($A362="","",SUMIFS(tblInv[المتبقي],tblInv[كود العميل],$A362,tblInv[الفترة],D$7))</f>
        <v/>
      </c>
      <c r="E362" s="80">
        <f>IF($A362="","",SUMIFS(tblInv[المتبقي],tblInv[كود العميل],$A362,tblInv[الفترة],E$7))</f>
        <v/>
      </c>
      <c r="F362" s="80">
        <f>IF($A362="","",SUMIFS(tblInv[المتبقي],tblInv[كود العميل],$A362,tblInv[الفترة],F$7))</f>
        <v/>
      </c>
      <c r="G362" s="80">
        <f>IF($A362="","",SUMIFS(tblInv[المتبقي],tblInv[كود العميل],$A362,tblInv[الفترة],G$7))</f>
        <v/>
      </c>
      <c r="H362" s="80">
        <f>IF($A362="","",SUMIFS(tblInv[المتبقي],tblInv[كود العميل],$A362,tblInv[الفترة],H$7))</f>
        <v/>
      </c>
      <c r="I362" s="80">
        <f>IF($A362="","",SUMIFS(tblInv[المتبقي],tblInv[كود العميل],$A362,tblInv[الفترة],I$7))</f>
        <v/>
      </c>
      <c r="J362" s="80">
        <f>IF($A362="","",SUM(C362:I362))</f>
        <v/>
      </c>
      <c r="K362" s="80">
        <f>IF($A362="","",-SUMIFS(tblRec[المبلغ],tblRec[كود العميل],$A362,tblRec[رقم الفاتورة],"",tblRec[التاريخ],"&lt;="&amp;AsOf)+SUMIFS(tblInv[المتبقي],tblInv[كود العميل],$A362,tblInv[المتبقي],"&lt;0"))</f>
        <v/>
      </c>
      <c r="L362" s="81">
        <f>IF($A362="","",J362+K362)</f>
        <v/>
      </c>
      <c r="M362" s="82">
        <f>IF($A362="","",IFERROR(L362/$L$8,0))</f>
        <v/>
      </c>
      <c r="N362" s="80">
        <f>IF($A362="","",INDEX(tblCustomers[حد الائتمان],MATCH($A362,tblCustomers[كود العميل],0)))</f>
        <v/>
      </c>
      <c r="O362" s="83">
        <f>IF($A362="","",IF(AND(N362&gt;0,L362&gt;N362),"⛔",""))</f>
        <v/>
      </c>
    </row>
    <row r="363">
      <c r="A363" s="78">
        <f>IFERROR(INDEX(tblCustomers[كود العميل],MATCH(354,tblCustomers[ترتيب],0)),"")</f>
        <v/>
      </c>
      <c r="B363" s="79">
        <f>IF($A363="","",INDEX(tblCustomers[اسم العميل],MATCH($A363,tblCustomers[كود العميل],0)))</f>
        <v/>
      </c>
      <c r="C363" s="80">
        <f>IF($A363="","",SUMIFS(tblInv[المتبقي],tblInv[كود العميل],$A363,tblInv[الفترة],C$7))</f>
        <v/>
      </c>
      <c r="D363" s="80">
        <f>IF($A363="","",SUMIFS(tblInv[المتبقي],tblInv[كود العميل],$A363,tblInv[الفترة],D$7))</f>
        <v/>
      </c>
      <c r="E363" s="80">
        <f>IF($A363="","",SUMIFS(tblInv[المتبقي],tblInv[كود العميل],$A363,tblInv[الفترة],E$7))</f>
        <v/>
      </c>
      <c r="F363" s="80">
        <f>IF($A363="","",SUMIFS(tblInv[المتبقي],tblInv[كود العميل],$A363,tblInv[الفترة],F$7))</f>
        <v/>
      </c>
      <c r="G363" s="80">
        <f>IF($A363="","",SUMIFS(tblInv[المتبقي],tblInv[كود العميل],$A363,tblInv[الفترة],G$7))</f>
        <v/>
      </c>
      <c r="H363" s="80">
        <f>IF($A363="","",SUMIFS(tblInv[المتبقي],tblInv[كود العميل],$A363,tblInv[الفترة],H$7))</f>
        <v/>
      </c>
      <c r="I363" s="80">
        <f>IF($A363="","",SUMIFS(tblInv[المتبقي],tblInv[كود العميل],$A363,tblInv[الفترة],I$7))</f>
        <v/>
      </c>
      <c r="J363" s="80">
        <f>IF($A363="","",SUM(C363:I363))</f>
        <v/>
      </c>
      <c r="K363" s="80">
        <f>IF($A363="","",-SUMIFS(tblRec[المبلغ],tblRec[كود العميل],$A363,tblRec[رقم الفاتورة],"",tblRec[التاريخ],"&lt;="&amp;AsOf)+SUMIFS(tblInv[المتبقي],tblInv[كود العميل],$A363,tblInv[المتبقي],"&lt;0"))</f>
        <v/>
      </c>
      <c r="L363" s="81">
        <f>IF($A363="","",J363+K363)</f>
        <v/>
      </c>
      <c r="M363" s="82">
        <f>IF($A363="","",IFERROR(L363/$L$8,0))</f>
        <v/>
      </c>
      <c r="N363" s="80">
        <f>IF($A363="","",INDEX(tblCustomers[حد الائتمان],MATCH($A363,tblCustomers[كود العميل],0)))</f>
        <v/>
      </c>
      <c r="O363" s="83">
        <f>IF($A363="","",IF(AND(N363&gt;0,L363&gt;N363),"⛔",""))</f>
        <v/>
      </c>
    </row>
    <row r="364">
      <c r="A364" s="78">
        <f>IFERROR(INDEX(tblCustomers[كود العميل],MATCH(355,tblCustomers[ترتيب],0)),"")</f>
        <v/>
      </c>
      <c r="B364" s="79">
        <f>IF($A364="","",INDEX(tblCustomers[اسم العميل],MATCH($A364,tblCustomers[كود العميل],0)))</f>
        <v/>
      </c>
      <c r="C364" s="80">
        <f>IF($A364="","",SUMIFS(tblInv[المتبقي],tblInv[كود العميل],$A364,tblInv[الفترة],C$7))</f>
        <v/>
      </c>
      <c r="D364" s="80">
        <f>IF($A364="","",SUMIFS(tblInv[المتبقي],tblInv[كود العميل],$A364,tblInv[الفترة],D$7))</f>
        <v/>
      </c>
      <c r="E364" s="80">
        <f>IF($A364="","",SUMIFS(tblInv[المتبقي],tblInv[كود العميل],$A364,tblInv[الفترة],E$7))</f>
        <v/>
      </c>
      <c r="F364" s="80">
        <f>IF($A364="","",SUMIFS(tblInv[المتبقي],tblInv[كود العميل],$A364,tblInv[الفترة],F$7))</f>
        <v/>
      </c>
      <c r="G364" s="80">
        <f>IF($A364="","",SUMIFS(tblInv[المتبقي],tblInv[كود العميل],$A364,tblInv[الفترة],G$7))</f>
        <v/>
      </c>
      <c r="H364" s="80">
        <f>IF($A364="","",SUMIFS(tblInv[المتبقي],tblInv[كود العميل],$A364,tblInv[الفترة],H$7))</f>
        <v/>
      </c>
      <c r="I364" s="80">
        <f>IF($A364="","",SUMIFS(tblInv[المتبقي],tblInv[كود العميل],$A364,tblInv[الفترة],I$7))</f>
        <v/>
      </c>
      <c r="J364" s="80">
        <f>IF($A364="","",SUM(C364:I364))</f>
        <v/>
      </c>
      <c r="K364" s="80">
        <f>IF($A364="","",-SUMIFS(tblRec[المبلغ],tblRec[كود العميل],$A364,tblRec[رقم الفاتورة],"",tblRec[التاريخ],"&lt;="&amp;AsOf)+SUMIFS(tblInv[المتبقي],tblInv[كود العميل],$A364,tblInv[المتبقي],"&lt;0"))</f>
        <v/>
      </c>
      <c r="L364" s="81">
        <f>IF($A364="","",J364+K364)</f>
        <v/>
      </c>
      <c r="M364" s="82">
        <f>IF($A364="","",IFERROR(L364/$L$8,0))</f>
        <v/>
      </c>
      <c r="N364" s="80">
        <f>IF($A364="","",INDEX(tblCustomers[حد الائتمان],MATCH($A364,tblCustomers[كود العميل],0)))</f>
        <v/>
      </c>
      <c r="O364" s="83">
        <f>IF($A364="","",IF(AND(N364&gt;0,L364&gt;N364),"⛔",""))</f>
        <v/>
      </c>
    </row>
    <row r="365">
      <c r="A365" s="78">
        <f>IFERROR(INDEX(tblCustomers[كود العميل],MATCH(356,tblCustomers[ترتيب],0)),"")</f>
        <v/>
      </c>
      <c r="B365" s="79">
        <f>IF($A365="","",INDEX(tblCustomers[اسم العميل],MATCH($A365,tblCustomers[كود العميل],0)))</f>
        <v/>
      </c>
      <c r="C365" s="80">
        <f>IF($A365="","",SUMIFS(tblInv[المتبقي],tblInv[كود العميل],$A365,tblInv[الفترة],C$7))</f>
        <v/>
      </c>
      <c r="D365" s="80">
        <f>IF($A365="","",SUMIFS(tblInv[المتبقي],tblInv[كود العميل],$A365,tblInv[الفترة],D$7))</f>
        <v/>
      </c>
      <c r="E365" s="80">
        <f>IF($A365="","",SUMIFS(tblInv[المتبقي],tblInv[كود العميل],$A365,tblInv[الفترة],E$7))</f>
        <v/>
      </c>
      <c r="F365" s="80">
        <f>IF($A365="","",SUMIFS(tblInv[المتبقي],tblInv[كود العميل],$A365,tblInv[الفترة],F$7))</f>
        <v/>
      </c>
      <c r="G365" s="80">
        <f>IF($A365="","",SUMIFS(tblInv[المتبقي],tblInv[كود العميل],$A365,tblInv[الفترة],G$7))</f>
        <v/>
      </c>
      <c r="H365" s="80">
        <f>IF($A365="","",SUMIFS(tblInv[المتبقي],tblInv[كود العميل],$A365,tblInv[الفترة],H$7))</f>
        <v/>
      </c>
      <c r="I365" s="80">
        <f>IF($A365="","",SUMIFS(tblInv[المتبقي],tblInv[كود العميل],$A365,tblInv[الفترة],I$7))</f>
        <v/>
      </c>
      <c r="J365" s="80">
        <f>IF($A365="","",SUM(C365:I365))</f>
        <v/>
      </c>
      <c r="K365" s="80">
        <f>IF($A365="","",-SUMIFS(tblRec[المبلغ],tblRec[كود العميل],$A365,tblRec[رقم الفاتورة],"",tblRec[التاريخ],"&lt;="&amp;AsOf)+SUMIFS(tblInv[المتبقي],tblInv[كود العميل],$A365,tblInv[المتبقي],"&lt;0"))</f>
        <v/>
      </c>
      <c r="L365" s="81">
        <f>IF($A365="","",J365+K365)</f>
        <v/>
      </c>
      <c r="M365" s="82">
        <f>IF($A365="","",IFERROR(L365/$L$8,0))</f>
        <v/>
      </c>
      <c r="N365" s="80">
        <f>IF($A365="","",INDEX(tblCustomers[حد الائتمان],MATCH($A365,tblCustomers[كود العميل],0)))</f>
        <v/>
      </c>
      <c r="O365" s="83">
        <f>IF($A365="","",IF(AND(N365&gt;0,L365&gt;N365),"⛔",""))</f>
        <v/>
      </c>
    </row>
    <row r="366">
      <c r="A366" s="78">
        <f>IFERROR(INDEX(tblCustomers[كود العميل],MATCH(357,tblCustomers[ترتيب],0)),"")</f>
        <v/>
      </c>
      <c r="B366" s="79">
        <f>IF($A366="","",INDEX(tblCustomers[اسم العميل],MATCH($A366,tblCustomers[كود العميل],0)))</f>
        <v/>
      </c>
      <c r="C366" s="80">
        <f>IF($A366="","",SUMIFS(tblInv[المتبقي],tblInv[كود العميل],$A366,tblInv[الفترة],C$7))</f>
        <v/>
      </c>
      <c r="D366" s="80">
        <f>IF($A366="","",SUMIFS(tblInv[المتبقي],tblInv[كود العميل],$A366,tblInv[الفترة],D$7))</f>
        <v/>
      </c>
      <c r="E366" s="80">
        <f>IF($A366="","",SUMIFS(tblInv[المتبقي],tblInv[كود العميل],$A366,tblInv[الفترة],E$7))</f>
        <v/>
      </c>
      <c r="F366" s="80">
        <f>IF($A366="","",SUMIFS(tblInv[المتبقي],tblInv[كود العميل],$A366,tblInv[الفترة],F$7))</f>
        <v/>
      </c>
      <c r="G366" s="80">
        <f>IF($A366="","",SUMIFS(tblInv[المتبقي],tblInv[كود العميل],$A366,tblInv[الفترة],G$7))</f>
        <v/>
      </c>
      <c r="H366" s="80">
        <f>IF($A366="","",SUMIFS(tblInv[المتبقي],tblInv[كود العميل],$A366,tblInv[الفترة],H$7))</f>
        <v/>
      </c>
      <c r="I366" s="80">
        <f>IF($A366="","",SUMIFS(tblInv[المتبقي],tblInv[كود العميل],$A366,tblInv[الفترة],I$7))</f>
        <v/>
      </c>
      <c r="J366" s="80">
        <f>IF($A366="","",SUM(C366:I366))</f>
        <v/>
      </c>
      <c r="K366" s="80">
        <f>IF($A366="","",-SUMIFS(tblRec[المبلغ],tblRec[كود العميل],$A366,tblRec[رقم الفاتورة],"",tblRec[التاريخ],"&lt;="&amp;AsOf)+SUMIFS(tblInv[المتبقي],tblInv[كود العميل],$A366,tblInv[المتبقي],"&lt;0"))</f>
        <v/>
      </c>
      <c r="L366" s="81">
        <f>IF($A366="","",J366+K366)</f>
        <v/>
      </c>
      <c r="M366" s="82">
        <f>IF($A366="","",IFERROR(L366/$L$8,0))</f>
        <v/>
      </c>
      <c r="N366" s="80">
        <f>IF($A366="","",INDEX(tblCustomers[حد الائتمان],MATCH($A366,tblCustomers[كود العميل],0)))</f>
        <v/>
      </c>
      <c r="O366" s="83">
        <f>IF($A366="","",IF(AND(N366&gt;0,L366&gt;N366),"⛔",""))</f>
        <v/>
      </c>
    </row>
    <row r="367">
      <c r="A367" s="78">
        <f>IFERROR(INDEX(tblCustomers[كود العميل],MATCH(358,tblCustomers[ترتيب],0)),"")</f>
        <v/>
      </c>
      <c r="B367" s="79">
        <f>IF($A367="","",INDEX(tblCustomers[اسم العميل],MATCH($A367,tblCustomers[كود العميل],0)))</f>
        <v/>
      </c>
      <c r="C367" s="80">
        <f>IF($A367="","",SUMIFS(tblInv[المتبقي],tblInv[كود العميل],$A367,tblInv[الفترة],C$7))</f>
        <v/>
      </c>
      <c r="D367" s="80">
        <f>IF($A367="","",SUMIFS(tblInv[المتبقي],tblInv[كود العميل],$A367,tblInv[الفترة],D$7))</f>
        <v/>
      </c>
      <c r="E367" s="80">
        <f>IF($A367="","",SUMIFS(tblInv[المتبقي],tblInv[كود العميل],$A367,tblInv[الفترة],E$7))</f>
        <v/>
      </c>
      <c r="F367" s="80">
        <f>IF($A367="","",SUMIFS(tblInv[المتبقي],tblInv[كود العميل],$A367,tblInv[الفترة],F$7))</f>
        <v/>
      </c>
      <c r="G367" s="80">
        <f>IF($A367="","",SUMIFS(tblInv[المتبقي],tblInv[كود العميل],$A367,tblInv[الفترة],G$7))</f>
        <v/>
      </c>
      <c r="H367" s="80">
        <f>IF($A367="","",SUMIFS(tblInv[المتبقي],tblInv[كود العميل],$A367,tblInv[الفترة],H$7))</f>
        <v/>
      </c>
      <c r="I367" s="80">
        <f>IF($A367="","",SUMIFS(tblInv[المتبقي],tblInv[كود العميل],$A367,tblInv[الفترة],I$7))</f>
        <v/>
      </c>
      <c r="J367" s="80">
        <f>IF($A367="","",SUM(C367:I367))</f>
        <v/>
      </c>
      <c r="K367" s="80">
        <f>IF($A367="","",-SUMIFS(tblRec[المبلغ],tblRec[كود العميل],$A367,tblRec[رقم الفاتورة],"",tblRec[التاريخ],"&lt;="&amp;AsOf)+SUMIFS(tblInv[المتبقي],tblInv[كود العميل],$A367,tblInv[المتبقي],"&lt;0"))</f>
        <v/>
      </c>
      <c r="L367" s="81">
        <f>IF($A367="","",J367+K367)</f>
        <v/>
      </c>
      <c r="M367" s="82">
        <f>IF($A367="","",IFERROR(L367/$L$8,0))</f>
        <v/>
      </c>
      <c r="N367" s="80">
        <f>IF($A367="","",INDEX(tblCustomers[حد الائتمان],MATCH($A367,tblCustomers[كود العميل],0)))</f>
        <v/>
      </c>
      <c r="O367" s="83">
        <f>IF($A367="","",IF(AND(N367&gt;0,L367&gt;N367),"⛔",""))</f>
        <v/>
      </c>
    </row>
    <row r="368">
      <c r="A368" s="78">
        <f>IFERROR(INDEX(tblCustomers[كود العميل],MATCH(359,tblCustomers[ترتيب],0)),"")</f>
        <v/>
      </c>
      <c r="B368" s="79">
        <f>IF($A368="","",INDEX(tblCustomers[اسم العميل],MATCH($A368,tblCustomers[كود العميل],0)))</f>
        <v/>
      </c>
      <c r="C368" s="80">
        <f>IF($A368="","",SUMIFS(tblInv[المتبقي],tblInv[كود العميل],$A368,tblInv[الفترة],C$7))</f>
        <v/>
      </c>
      <c r="D368" s="80">
        <f>IF($A368="","",SUMIFS(tblInv[المتبقي],tblInv[كود العميل],$A368,tblInv[الفترة],D$7))</f>
        <v/>
      </c>
      <c r="E368" s="80">
        <f>IF($A368="","",SUMIFS(tblInv[المتبقي],tblInv[كود العميل],$A368,tblInv[الفترة],E$7))</f>
        <v/>
      </c>
      <c r="F368" s="80">
        <f>IF($A368="","",SUMIFS(tblInv[المتبقي],tblInv[كود العميل],$A368,tblInv[الفترة],F$7))</f>
        <v/>
      </c>
      <c r="G368" s="80">
        <f>IF($A368="","",SUMIFS(tblInv[المتبقي],tblInv[كود العميل],$A368,tblInv[الفترة],G$7))</f>
        <v/>
      </c>
      <c r="H368" s="80">
        <f>IF($A368="","",SUMIFS(tblInv[المتبقي],tblInv[كود العميل],$A368,tblInv[الفترة],H$7))</f>
        <v/>
      </c>
      <c r="I368" s="80">
        <f>IF($A368="","",SUMIFS(tblInv[المتبقي],tblInv[كود العميل],$A368,tblInv[الفترة],I$7))</f>
        <v/>
      </c>
      <c r="J368" s="80">
        <f>IF($A368="","",SUM(C368:I368))</f>
        <v/>
      </c>
      <c r="K368" s="80">
        <f>IF($A368="","",-SUMIFS(tblRec[المبلغ],tblRec[كود العميل],$A368,tblRec[رقم الفاتورة],"",tblRec[التاريخ],"&lt;="&amp;AsOf)+SUMIFS(tblInv[المتبقي],tblInv[كود العميل],$A368,tblInv[المتبقي],"&lt;0"))</f>
        <v/>
      </c>
      <c r="L368" s="81">
        <f>IF($A368="","",J368+K368)</f>
        <v/>
      </c>
      <c r="M368" s="82">
        <f>IF($A368="","",IFERROR(L368/$L$8,0))</f>
        <v/>
      </c>
      <c r="N368" s="80">
        <f>IF($A368="","",INDEX(tblCustomers[حد الائتمان],MATCH($A368,tblCustomers[كود العميل],0)))</f>
        <v/>
      </c>
      <c r="O368" s="83">
        <f>IF($A368="","",IF(AND(N368&gt;0,L368&gt;N368),"⛔",""))</f>
        <v/>
      </c>
    </row>
    <row r="369">
      <c r="A369" s="78">
        <f>IFERROR(INDEX(tblCustomers[كود العميل],MATCH(360,tblCustomers[ترتيب],0)),"")</f>
        <v/>
      </c>
      <c r="B369" s="79">
        <f>IF($A369="","",INDEX(tblCustomers[اسم العميل],MATCH($A369,tblCustomers[كود العميل],0)))</f>
        <v/>
      </c>
      <c r="C369" s="80">
        <f>IF($A369="","",SUMIFS(tblInv[المتبقي],tblInv[كود العميل],$A369,tblInv[الفترة],C$7))</f>
        <v/>
      </c>
      <c r="D369" s="80">
        <f>IF($A369="","",SUMIFS(tblInv[المتبقي],tblInv[كود العميل],$A369,tblInv[الفترة],D$7))</f>
        <v/>
      </c>
      <c r="E369" s="80">
        <f>IF($A369="","",SUMIFS(tblInv[المتبقي],tblInv[كود العميل],$A369,tblInv[الفترة],E$7))</f>
        <v/>
      </c>
      <c r="F369" s="80">
        <f>IF($A369="","",SUMIFS(tblInv[المتبقي],tblInv[كود العميل],$A369,tblInv[الفترة],F$7))</f>
        <v/>
      </c>
      <c r="G369" s="80">
        <f>IF($A369="","",SUMIFS(tblInv[المتبقي],tblInv[كود العميل],$A369,tblInv[الفترة],G$7))</f>
        <v/>
      </c>
      <c r="H369" s="80">
        <f>IF($A369="","",SUMIFS(tblInv[المتبقي],tblInv[كود العميل],$A369,tblInv[الفترة],H$7))</f>
        <v/>
      </c>
      <c r="I369" s="80">
        <f>IF($A369="","",SUMIFS(tblInv[المتبقي],tblInv[كود العميل],$A369,tblInv[الفترة],I$7))</f>
        <v/>
      </c>
      <c r="J369" s="80">
        <f>IF($A369="","",SUM(C369:I369))</f>
        <v/>
      </c>
      <c r="K369" s="80">
        <f>IF($A369="","",-SUMIFS(tblRec[المبلغ],tblRec[كود العميل],$A369,tblRec[رقم الفاتورة],"",tblRec[التاريخ],"&lt;="&amp;AsOf)+SUMIFS(tblInv[المتبقي],tblInv[كود العميل],$A369,tblInv[المتبقي],"&lt;0"))</f>
        <v/>
      </c>
      <c r="L369" s="81">
        <f>IF($A369="","",J369+K369)</f>
        <v/>
      </c>
      <c r="M369" s="82">
        <f>IF($A369="","",IFERROR(L369/$L$8,0))</f>
        <v/>
      </c>
      <c r="N369" s="80">
        <f>IF($A369="","",INDEX(tblCustomers[حد الائتمان],MATCH($A369,tblCustomers[كود العميل],0)))</f>
        <v/>
      </c>
      <c r="O369" s="83">
        <f>IF($A369="","",IF(AND(N369&gt;0,L369&gt;N369),"⛔",""))</f>
        <v/>
      </c>
    </row>
    <row r="370">
      <c r="A370" s="78">
        <f>IFERROR(INDEX(tblCustomers[كود العميل],MATCH(361,tblCustomers[ترتيب],0)),"")</f>
        <v/>
      </c>
      <c r="B370" s="79">
        <f>IF($A370="","",INDEX(tblCustomers[اسم العميل],MATCH($A370,tblCustomers[كود العميل],0)))</f>
        <v/>
      </c>
      <c r="C370" s="80">
        <f>IF($A370="","",SUMIFS(tblInv[المتبقي],tblInv[كود العميل],$A370,tblInv[الفترة],C$7))</f>
        <v/>
      </c>
      <c r="D370" s="80">
        <f>IF($A370="","",SUMIFS(tblInv[المتبقي],tblInv[كود العميل],$A370,tblInv[الفترة],D$7))</f>
        <v/>
      </c>
      <c r="E370" s="80">
        <f>IF($A370="","",SUMIFS(tblInv[المتبقي],tblInv[كود العميل],$A370,tblInv[الفترة],E$7))</f>
        <v/>
      </c>
      <c r="F370" s="80">
        <f>IF($A370="","",SUMIFS(tblInv[المتبقي],tblInv[كود العميل],$A370,tblInv[الفترة],F$7))</f>
        <v/>
      </c>
      <c r="G370" s="80">
        <f>IF($A370="","",SUMIFS(tblInv[المتبقي],tblInv[كود العميل],$A370,tblInv[الفترة],G$7))</f>
        <v/>
      </c>
      <c r="H370" s="80">
        <f>IF($A370="","",SUMIFS(tblInv[المتبقي],tblInv[كود العميل],$A370,tblInv[الفترة],H$7))</f>
        <v/>
      </c>
      <c r="I370" s="80">
        <f>IF($A370="","",SUMIFS(tblInv[المتبقي],tblInv[كود العميل],$A370,tblInv[الفترة],I$7))</f>
        <v/>
      </c>
      <c r="J370" s="80">
        <f>IF($A370="","",SUM(C370:I370))</f>
        <v/>
      </c>
      <c r="K370" s="80">
        <f>IF($A370="","",-SUMIFS(tblRec[المبلغ],tblRec[كود العميل],$A370,tblRec[رقم الفاتورة],"",tblRec[التاريخ],"&lt;="&amp;AsOf)+SUMIFS(tblInv[المتبقي],tblInv[كود العميل],$A370,tblInv[المتبقي],"&lt;0"))</f>
        <v/>
      </c>
      <c r="L370" s="81">
        <f>IF($A370="","",J370+K370)</f>
        <v/>
      </c>
      <c r="M370" s="82">
        <f>IF($A370="","",IFERROR(L370/$L$8,0))</f>
        <v/>
      </c>
      <c r="N370" s="80">
        <f>IF($A370="","",INDEX(tblCustomers[حد الائتمان],MATCH($A370,tblCustomers[كود العميل],0)))</f>
        <v/>
      </c>
      <c r="O370" s="83">
        <f>IF($A370="","",IF(AND(N370&gt;0,L370&gt;N370),"⛔",""))</f>
        <v/>
      </c>
    </row>
    <row r="371">
      <c r="A371" s="78">
        <f>IFERROR(INDEX(tblCustomers[كود العميل],MATCH(362,tblCustomers[ترتيب],0)),"")</f>
        <v/>
      </c>
      <c r="B371" s="79">
        <f>IF($A371="","",INDEX(tblCustomers[اسم العميل],MATCH($A371,tblCustomers[كود العميل],0)))</f>
        <v/>
      </c>
      <c r="C371" s="80">
        <f>IF($A371="","",SUMIFS(tblInv[المتبقي],tblInv[كود العميل],$A371,tblInv[الفترة],C$7))</f>
        <v/>
      </c>
      <c r="D371" s="80">
        <f>IF($A371="","",SUMIFS(tblInv[المتبقي],tblInv[كود العميل],$A371,tblInv[الفترة],D$7))</f>
        <v/>
      </c>
      <c r="E371" s="80">
        <f>IF($A371="","",SUMIFS(tblInv[المتبقي],tblInv[كود العميل],$A371,tblInv[الفترة],E$7))</f>
        <v/>
      </c>
      <c r="F371" s="80">
        <f>IF($A371="","",SUMIFS(tblInv[المتبقي],tblInv[كود العميل],$A371,tblInv[الفترة],F$7))</f>
        <v/>
      </c>
      <c r="G371" s="80">
        <f>IF($A371="","",SUMIFS(tblInv[المتبقي],tblInv[كود العميل],$A371,tblInv[الفترة],G$7))</f>
        <v/>
      </c>
      <c r="H371" s="80">
        <f>IF($A371="","",SUMIFS(tblInv[المتبقي],tblInv[كود العميل],$A371,tblInv[الفترة],H$7))</f>
        <v/>
      </c>
      <c r="I371" s="80">
        <f>IF($A371="","",SUMIFS(tblInv[المتبقي],tblInv[كود العميل],$A371,tblInv[الفترة],I$7))</f>
        <v/>
      </c>
      <c r="J371" s="80">
        <f>IF($A371="","",SUM(C371:I371))</f>
        <v/>
      </c>
      <c r="K371" s="80">
        <f>IF($A371="","",-SUMIFS(tblRec[المبلغ],tblRec[كود العميل],$A371,tblRec[رقم الفاتورة],"",tblRec[التاريخ],"&lt;="&amp;AsOf)+SUMIFS(tblInv[المتبقي],tblInv[كود العميل],$A371,tblInv[المتبقي],"&lt;0"))</f>
        <v/>
      </c>
      <c r="L371" s="81">
        <f>IF($A371="","",J371+K371)</f>
        <v/>
      </c>
      <c r="M371" s="82">
        <f>IF($A371="","",IFERROR(L371/$L$8,0))</f>
        <v/>
      </c>
      <c r="N371" s="80">
        <f>IF($A371="","",INDEX(tblCustomers[حد الائتمان],MATCH($A371,tblCustomers[كود العميل],0)))</f>
        <v/>
      </c>
      <c r="O371" s="83">
        <f>IF($A371="","",IF(AND(N371&gt;0,L371&gt;N371),"⛔",""))</f>
        <v/>
      </c>
    </row>
    <row r="372">
      <c r="A372" s="78">
        <f>IFERROR(INDEX(tblCustomers[كود العميل],MATCH(363,tblCustomers[ترتيب],0)),"")</f>
        <v/>
      </c>
      <c r="B372" s="79">
        <f>IF($A372="","",INDEX(tblCustomers[اسم العميل],MATCH($A372,tblCustomers[كود العميل],0)))</f>
        <v/>
      </c>
      <c r="C372" s="80">
        <f>IF($A372="","",SUMIFS(tblInv[المتبقي],tblInv[كود العميل],$A372,tblInv[الفترة],C$7))</f>
        <v/>
      </c>
      <c r="D372" s="80">
        <f>IF($A372="","",SUMIFS(tblInv[المتبقي],tblInv[كود العميل],$A372,tblInv[الفترة],D$7))</f>
        <v/>
      </c>
      <c r="E372" s="80">
        <f>IF($A372="","",SUMIFS(tblInv[المتبقي],tblInv[كود العميل],$A372,tblInv[الفترة],E$7))</f>
        <v/>
      </c>
      <c r="F372" s="80">
        <f>IF($A372="","",SUMIFS(tblInv[المتبقي],tblInv[كود العميل],$A372,tblInv[الفترة],F$7))</f>
        <v/>
      </c>
      <c r="G372" s="80">
        <f>IF($A372="","",SUMIFS(tblInv[المتبقي],tblInv[كود العميل],$A372,tblInv[الفترة],G$7))</f>
        <v/>
      </c>
      <c r="H372" s="80">
        <f>IF($A372="","",SUMIFS(tblInv[المتبقي],tblInv[كود العميل],$A372,tblInv[الفترة],H$7))</f>
        <v/>
      </c>
      <c r="I372" s="80">
        <f>IF($A372="","",SUMIFS(tblInv[المتبقي],tblInv[كود العميل],$A372,tblInv[الفترة],I$7))</f>
        <v/>
      </c>
      <c r="J372" s="80">
        <f>IF($A372="","",SUM(C372:I372))</f>
        <v/>
      </c>
      <c r="K372" s="80">
        <f>IF($A372="","",-SUMIFS(tblRec[المبلغ],tblRec[كود العميل],$A372,tblRec[رقم الفاتورة],"",tblRec[التاريخ],"&lt;="&amp;AsOf)+SUMIFS(tblInv[المتبقي],tblInv[كود العميل],$A372,tblInv[المتبقي],"&lt;0"))</f>
        <v/>
      </c>
      <c r="L372" s="81">
        <f>IF($A372="","",J372+K372)</f>
        <v/>
      </c>
      <c r="M372" s="82">
        <f>IF($A372="","",IFERROR(L372/$L$8,0))</f>
        <v/>
      </c>
      <c r="N372" s="80">
        <f>IF($A372="","",INDEX(tblCustomers[حد الائتمان],MATCH($A372,tblCustomers[كود العميل],0)))</f>
        <v/>
      </c>
      <c r="O372" s="83">
        <f>IF($A372="","",IF(AND(N372&gt;0,L372&gt;N372),"⛔",""))</f>
        <v/>
      </c>
    </row>
    <row r="373">
      <c r="A373" s="78">
        <f>IFERROR(INDEX(tblCustomers[كود العميل],MATCH(364,tblCustomers[ترتيب],0)),"")</f>
        <v/>
      </c>
      <c r="B373" s="79">
        <f>IF($A373="","",INDEX(tblCustomers[اسم العميل],MATCH($A373,tblCustomers[كود العميل],0)))</f>
        <v/>
      </c>
      <c r="C373" s="80">
        <f>IF($A373="","",SUMIFS(tblInv[المتبقي],tblInv[كود العميل],$A373,tblInv[الفترة],C$7))</f>
        <v/>
      </c>
      <c r="D373" s="80">
        <f>IF($A373="","",SUMIFS(tblInv[المتبقي],tblInv[كود العميل],$A373,tblInv[الفترة],D$7))</f>
        <v/>
      </c>
      <c r="E373" s="80">
        <f>IF($A373="","",SUMIFS(tblInv[المتبقي],tblInv[كود العميل],$A373,tblInv[الفترة],E$7))</f>
        <v/>
      </c>
      <c r="F373" s="80">
        <f>IF($A373="","",SUMIFS(tblInv[المتبقي],tblInv[كود العميل],$A373,tblInv[الفترة],F$7))</f>
        <v/>
      </c>
      <c r="G373" s="80">
        <f>IF($A373="","",SUMIFS(tblInv[المتبقي],tblInv[كود العميل],$A373,tblInv[الفترة],G$7))</f>
        <v/>
      </c>
      <c r="H373" s="80">
        <f>IF($A373="","",SUMIFS(tblInv[المتبقي],tblInv[كود العميل],$A373,tblInv[الفترة],H$7))</f>
        <v/>
      </c>
      <c r="I373" s="80">
        <f>IF($A373="","",SUMIFS(tblInv[المتبقي],tblInv[كود العميل],$A373,tblInv[الفترة],I$7))</f>
        <v/>
      </c>
      <c r="J373" s="80">
        <f>IF($A373="","",SUM(C373:I373))</f>
        <v/>
      </c>
      <c r="K373" s="80">
        <f>IF($A373="","",-SUMIFS(tblRec[المبلغ],tblRec[كود العميل],$A373,tblRec[رقم الفاتورة],"",tblRec[التاريخ],"&lt;="&amp;AsOf)+SUMIFS(tblInv[المتبقي],tblInv[كود العميل],$A373,tblInv[المتبقي],"&lt;0"))</f>
        <v/>
      </c>
      <c r="L373" s="81">
        <f>IF($A373="","",J373+K373)</f>
        <v/>
      </c>
      <c r="M373" s="82">
        <f>IF($A373="","",IFERROR(L373/$L$8,0))</f>
        <v/>
      </c>
      <c r="N373" s="80">
        <f>IF($A373="","",INDEX(tblCustomers[حد الائتمان],MATCH($A373,tblCustomers[كود العميل],0)))</f>
        <v/>
      </c>
      <c r="O373" s="83">
        <f>IF($A373="","",IF(AND(N373&gt;0,L373&gt;N373),"⛔",""))</f>
        <v/>
      </c>
    </row>
    <row r="374">
      <c r="A374" s="78">
        <f>IFERROR(INDEX(tblCustomers[كود العميل],MATCH(365,tblCustomers[ترتيب],0)),"")</f>
        <v/>
      </c>
      <c r="B374" s="79">
        <f>IF($A374="","",INDEX(tblCustomers[اسم العميل],MATCH($A374,tblCustomers[كود العميل],0)))</f>
        <v/>
      </c>
      <c r="C374" s="80">
        <f>IF($A374="","",SUMIFS(tblInv[المتبقي],tblInv[كود العميل],$A374,tblInv[الفترة],C$7))</f>
        <v/>
      </c>
      <c r="D374" s="80">
        <f>IF($A374="","",SUMIFS(tblInv[المتبقي],tblInv[كود العميل],$A374,tblInv[الفترة],D$7))</f>
        <v/>
      </c>
      <c r="E374" s="80">
        <f>IF($A374="","",SUMIFS(tblInv[المتبقي],tblInv[كود العميل],$A374,tblInv[الفترة],E$7))</f>
        <v/>
      </c>
      <c r="F374" s="80">
        <f>IF($A374="","",SUMIFS(tblInv[المتبقي],tblInv[كود العميل],$A374,tblInv[الفترة],F$7))</f>
        <v/>
      </c>
      <c r="G374" s="80">
        <f>IF($A374="","",SUMIFS(tblInv[المتبقي],tblInv[كود العميل],$A374,tblInv[الفترة],G$7))</f>
        <v/>
      </c>
      <c r="H374" s="80">
        <f>IF($A374="","",SUMIFS(tblInv[المتبقي],tblInv[كود العميل],$A374,tblInv[الفترة],H$7))</f>
        <v/>
      </c>
      <c r="I374" s="80">
        <f>IF($A374="","",SUMIFS(tblInv[المتبقي],tblInv[كود العميل],$A374,tblInv[الفترة],I$7))</f>
        <v/>
      </c>
      <c r="J374" s="80">
        <f>IF($A374="","",SUM(C374:I374))</f>
        <v/>
      </c>
      <c r="K374" s="80">
        <f>IF($A374="","",-SUMIFS(tblRec[المبلغ],tblRec[كود العميل],$A374,tblRec[رقم الفاتورة],"",tblRec[التاريخ],"&lt;="&amp;AsOf)+SUMIFS(tblInv[المتبقي],tblInv[كود العميل],$A374,tblInv[المتبقي],"&lt;0"))</f>
        <v/>
      </c>
      <c r="L374" s="81">
        <f>IF($A374="","",J374+K374)</f>
        <v/>
      </c>
      <c r="M374" s="82">
        <f>IF($A374="","",IFERROR(L374/$L$8,0))</f>
        <v/>
      </c>
      <c r="N374" s="80">
        <f>IF($A374="","",INDEX(tblCustomers[حد الائتمان],MATCH($A374,tblCustomers[كود العميل],0)))</f>
        <v/>
      </c>
      <c r="O374" s="83">
        <f>IF($A374="","",IF(AND(N374&gt;0,L374&gt;N374),"⛔",""))</f>
        <v/>
      </c>
    </row>
    <row r="375">
      <c r="A375" s="78">
        <f>IFERROR(INDEX(tblCustomers[كود العميل],MATCH(366,tblCustomers[ترتيب],0)),"")</f>
        <v/>
      </c>
      <c r="B375" s="79">
        <f>IF($A375="","",INDEX(tblCustomers[اسم العميل],MATCH($A375,tblCustomers[كود العميل],0)))</f>
        <v/>
      </c>
      <c r="C375" s="80">
        <f>IF($A375="","",SUMIFS(tblInv[المتبقي],tblInv[كود العميل],$A375,tblInv[الفترة],C$7))</f>
        <v/>
      </c>
      <c r="D375" s="80">
        <f>IF($A375="","",SUMIFS(tblInv[المتبقي],tblInv[كود العميل],$A375,tblInv[الفترة],D$7))</f>
        <v/>
      </c>
      <c r="E375" s="80">
        <f>IF($A375="","",SUMIFS(tblInv[المتبقي],tblInv[كود العميل],$A375,tblInv[الفترة],E$7))</f>
        <v/>
      </c>
      <c r="F375" s="80">
        <f>IF($A375="","",SUMIFS(tblInv[المتبقي],tblInv[كود العميل],$A375,tblInv[الفترة],F$7))</f>
        <v/>
      </c>
      <c r="G375" s="80">
        <f>IF($A375="","",SUMIFS(tblInv[المتبقي],tblInv[كود العميل],$A375,tblInv[الفترة],G$7))</f>
        <v/>
      </c>
      <c r="H375" s="80">
        <f>IF($A375="","",SUMIFS(tblInv[المتبقي],tblInv[كود العميل],$A375,tblInv[الفترة],H$7))</f>
        <v/>
      </c>
      <c r="I375" s="80">
        <f>IF($A375="","",SUMIFS(tblInv[المتبقي],tblInv[كود العميل],$A375,tblInv[الفترة],I$7))</f>
        <v/>
      </c>
      <c r="J375" s="80">
        <f>IF($A375="","",SUM(C375:I375))</f>
        <v/>
      </c>
      <c r="K375" s="80">
        <f>IF($A375="","",-SUMIFS(tblRec[المبلغ],tblRec[كود العميل],$A375,tblRec[رقم الفاتورة],"",tblRec[التاريخ],"&lt;="&amp;AsOf)+SUMIFS(tblInv[المتبقي],tblInv[كود العميل],$A375,tblInv[المتبقي],"&lt;0"))</f>
        <v/>
      </c>
      <c r="L375" s="81">
        <f>IF($A375="","",J375+K375)</f>
        <v/>
      </c>
      <c r="M375" s="82">
        <f>IF($A375="","",IFERROR(L375/$L$8,0))</f>
        <v/>
      </c>
      <c r="N375" s="80">
        <f>IF($A375="","",INDEX(tblCustomers[حد الائتمان],MATCH($A375,tblCustomers[كود العميل],0)))</f>
        <v/>
      </c>
      <c r="O375" s="83">
        <f>IF($A375="","",IF(AND(N375&gt;0,L375&gt;N375),"⛔",""))</f>
        <v/>
      </c>
    </row>
    <row r="376">
      <c r="A376" s="78">
        <f>IFERROR(INDEX(tblCustomers[كود العميل],MATCH(367,tblCustomers[ترتيب],0)),"")</f>
        <v/>
      </c>
      <c r="B376" s="79">
        <f>IF($A376="","",INDEX(tblCustomers[اسم العميل],MATCH($A376,tblCustomers[كود العميل],0)))</f>
        <v/>
      </c>
      <c r="C376" s="80">
        <f>IF($A376="","",SUMIFS(tblInv[المتبقي],tblInv[كود العميل],$A376,tblInv[الفترة],C$7))</f>
        <v/>
      </c>
      <c r="D376" s="80">
        <f>IF($A376="","",SUMIFS(tblInv[المتبقي],tblInv[كود العميل],$A376,tblInv[الفترة],D$7))</f>
        <v/>
      </c>
      <c r="E376" s="80">
        <f>IF($A376="","",SUMIFS(tblInv[المتبقي],tblInv[كود العميل],$A376,tblInv[الفترة],E$7))</f>
        <v/>
      </c>
      <c r="F376" s="80">
        <f>IF($A376="","",SUMIFS(tblInv[المتبقي],tblInv[كود العميل],$A376,tblInv[الفترة],F$7))</f>
        <v/>
      </c>
      <c r="G376" s="80">
        <f>IF($A376="","",SUMIFS(tblInv[المتبقي],tblInv[كود العميل],$A376,tblInv[الفترة],G$7))</f>
        <v/>
      </c>
      <c r="H376" s="80">
        <f>IF($A376="","",SUMIFS(tblInv[المتبقي],tblInv[كود العميل],$A376,tblInv[الفترة],H$7))</f>
        <v/>
      </c>
      <c r="I376" s="80">
        <f>IF($A376="","",SUMIFS(tblInv[المتبقي],tblInv[كود العميل],$A376,tblInv[الفترة],I$7))</f>
        <v/>
      </c>
      <c r="J376" s="80">
        <f>IF($A376="","",SUM(C376:I376))</f>
        <v/>
      </c>
      <c r="K376" s="80">
        <f>IF($A376="","",-SUMIFS(tblRec[المبلغ],tblRec[كود العميل],$A376,tblRec[رقم الفاتورة],"",tblRec[التاريخ],"&lt;="&amp;AsOf)+SUMIFS(tblInv[المتبقي],tblInv[كود العميل],$A376,tblInv[المتبقي],"&lt;0"))</f>
        <v/>
      </c>
      <c r="L376" s="81">
        <f>IF($A376="","",J376+K376)</f>
        <v/>
      </c>
      <c r="M376" s="82">
        <f>IF($A376="","",IFERROR(L376/$L$8,0))</f>
        <v/>
      </c>
      <c r="N376" s="80">
        <f>IF($A376="","",INDEX(tblCustomers[حد الائتمان],MATCH($A376,tblCustomers[كود العميل],0)))</f>
        <v/>
      </c>
      <c r="O376" s="83">
        <f>IF($A376="","",IF(AND(N376&gt;0,L376&gt;N376),"⛔",""))</f>
        <v/>
      </c>
    </row>
    <row r="377">
      <c r="A377" s="78">
        <f>IFERROR(INDEX(tblCustomers[كود العميل],MATCH(368,tblCustomers[ترتيب],0)),"")</f>
        <v/>
      </c>
      <c r="B377" s="79">
        <f>IF($A377="","",INDEX(tblCustomers[اسم العميل],MATCH($A377,tblCustomers[كود العميل],0)))</f>
        <v/>
      </c>
      <c r="C377" s="80">
        <f>IF($A377="","",SUMIFS(tblInv[المتبقي],tblInv[كود العميل],$A377,tblInv[الفترة],C$7))</f>
        <v/>
      </c>
      <c r="D377" s="80">
        <f>IF($A377="","",SUMIFS(tblInv[المتبقي],tblInv[كود العميل],$A377,tblInv[الفترة],D$7))</f>
        <v/>
      </c>
      <c r="E377" s="80">
        <f>IF($A377="","",SUMIFS(tblInv[المتبقي],tblInv[كود العميل],$A377,tblInv[الفترة],E$7))</f>
        <v/>
      </c>
      <c r="F377" s="80">
        <f>IF($A377="","",SUMIFS(tblInv[المتبقي],tblInv[كود العميل],$A377,tblInv[الفترة],F$7))</f>
        <v/>
      </c>
      <c r="G377" s="80">
        <f>IF($A377="","",SUMIFS(tblInv[المتبقي],tblInv[كود العميل],$A377,tblInv[الفترة],G$7))</f>
        <v/>
      </c>
      <c r="H377" s="80">
        <f>IF($A377="","",SUMIFS(tblInv[المتبقي],tblInv[كود العميل],$A377,tblInv[الفترة],H$7))</f>
        <v/>
      </c>
      <c r="I377" s="80">
        <f>IF($A377="","",SUMIFS(tblInv[المتبقي],tblInv[كود العميل],$A377,tblInv[الفترة],I$7))</f>
        <v/>
      </c>
      <c r="J377" s="80">
        <f>IF($A377="","",SUM(C377:I377))</f>
        <v/>
      </c>
      <c r="K377" s="80">
        <f>IF($A377="","",-SUMIFS(tblRec[المبلغ],tblRec[كود العميل],$A377,tblRec[رقم الفاتورة],"",tblRec[التاريخ],"&lt;="&amp;AsOf)+SUMIFS(tblInv[المتبقي],tblInv[كود العميل],$A377,tblInv[المتبقي],"&lt;0"))</f>
        <v/>
      </c>
      <c r="L377" s="81">
        <f>IF($A377="","",J377+K377)</f>
        <v/>
      </c>
      <c r="M377" s="82">
        <f>IF($A377="","",IFERROR(L377/$L$8,0))</f>
        <v/>
      </c>
      <c r="N377" s="80">
        <f>IF($A377="","",INDEX(tblCustomers[حد الائتمان],MATCH($A377,tblCustomers[كود العميل],0)))</f>
        <v/>
      </c>
      <c r="O377" s="83">
        <f>IF($A377="","",IF(AND(N377&gt;0,L377&gt;N377),"⛔",""))</f>
        <v/>
      </c>
    </row>
    <row r="378">
      <c r="A378" s="78">
        <f>IFERROR(INDEX(tblCustomers[كود العميل],MATCH(369,tblCustomers[ترتيب],0)),"")</f>
        <v/>
      </c>
      <c r="B378" s="79">
        <f>IF($A378="","",INDEX(tblCustomers[اسم العميل],MATCH($A378,tblCustomers[كود العميل],0)))</f>
        <v/>
      </c>
      <c r="C378" s="80">
        <f>IF($A378="","",SUMIFS(tblInv[المتبقي],tblInv[كود العميل],$A378,tblInv[الفترة],C$7))</f>
        <v/>
      </c>
      <c r="D378" s="80">
        <f>IF($A378="","",SUMIFS(tblInv[المتبقي],tblInv[كود العميل],$A378,tblInv[الفترة],D$7))</f>
        <v/>
      </c>
      <c r="E378" s="80">
        <f>IF($A378="","",SUMIFS(tblInv[المتبقي],tblInv[كود العميل],$A378,tblInv[الفترة],E$7))</f>
        <v/>
      </c>
      <c r="F378" s="80">
        <f>IF($A378="","",SUMIFS(tblInv[المتبقي],tblInv[كود العميل],$A378,tblInv[الفترة],F$7))</f>
        <v/>
      </c>
      <c r="G378" s="80">
        <f>IF($A378="","",SUMIFS(tblInv[المتبقي],tblInv[كود العميل],$A378,tblInv[الفترة],G$7))</f>
        <v/>
      </c>
      <c r="H378" s="80">
        <f>IF($A378="","",SUMIFS(tblInv[المتبقي],tblInv[كود العميل],$A378,tblInv[الفترة],H$7))</f>
        <v/>
      </c>
      <c r="I378" s="80">
        <f>IF($A378="","",SUMIFS(tblInv[المتبقي],tblInv[كود العميل],$A378,tblInv[الفترة],I$7))</f>
        <v/>
      </c>
      <c r="J378" s="80">
        <f>IF($A378="","",SUM(C378:I378))</f>
        <v/>
      </c>
      <c r="K378" s="80">
        <f>IF($A378="","",-SUMIFS(tblRec[المبلغ],tblRec[كود العميل],$A378,tblRec[رقم الفاتورة],"",tblRec[التاريخ],"&lt;="&amp;AsOf)+SUMIFS(tblInv[المتبقي],tblInv[كود العميل],$A378,tblInv[المتبقي],"&lt;0"))</f>
        <v/>
      </c>
      <c r="L378" s="81">
        <f>IF($A378="","",J378+K378)</f>
        <v/>
      </c>
      <c r="M378" s="82">
        <f>IF($A378="","",IFERROR(L378/$L$8,0))</f>
        <v/>
      </c>
      <c r="N378" s="80">
        <f>IF($A378="","",INDEX(tblCustomers[حد الائتمان],MATCH($A378,tblCustomers[كود العميل],0)))</f>
        <v/>
      </c>
      <c r="O378" s="83">
        <f>IF($A378="","",IF(AND(N378&gt;0,L378&gt;N378),"⛔",""))</f>
        <v/>
      </c>
    </row>
    <row r="379">
      <c r="A379" s="78">
        <f>IFERROR(INDEX(tblCustomers[كود العميل],MATCH(370,tblCustomers[ترتيب],0)),"")</f>
        <v/>
      </c>
      <c r="B379" s="79">
        <f>IF($A379="","",INDEX(tblCustomers[اسم العميل],MATCH($A379,tblCustomers[كود العميل],0)))</f>
        <v/>
      </c>
      <c r="C379" s="80">
        <f>IF($A379="","",SUMIFS(tblInv[المتبقي],tblInv[كود العميل],$A379,tblInv[الفترة],C$7))</f>
        <v/>
      </c>
      <c r="D379" s="80">
        <f>IF($A379="","",SUMIFS(tblInv[المتبقي],tblInv[كود العميل],$A379,tblInv[الفترة],D$7))</f>
        <v/>
      </c>
      <c r="E379" s="80">
        <f>IF($A379="","",SUMIFS(tblInv[المتبقي],tblInv[كود العميل],$A379,tblInv[الفترة],E$7))</f>
        <v/>
      </c>
      <c r="F379" s="80">
        <f>IF($A379="","",SUMIFS(tblInv[المتبقي],tblInv[كود العميل],$A379,tblInv[الفترة],F$7))</f>
        <v/>
      </c>
      <c r="G379" s="80">
        <f>IF($A379="","",SUMIFS(tblInv[المتبقي],tblInv[كود العميل],$A379,tblInv[الفترة],G$7))</f>
        <v/>
      </c>
      <c r="H379" s="80">
        <f>IF($A379="","",SUMIFS(tblInv[المتبقي],tblInv[كود العميل],$A379,tblInv[الفترة],H$7))</f>
        <v/>
      </c>
      <c r="I379" s="80">
        <f>IF($A379="","",SUMIFS(tblInv[المتبقي],tblInv[كود العميل],$A379,tblInv[الفترة],I$7))</f>
        <v/>
      </c>
      <c r="J379" s="80">
        <f>IF($A379="","",SUM(C379:I379))</f>
        <v/>
      </c>
      <c r="K379" s="80">
        <f>IF($A379="","",-SUMIFS(tblRec[المبلغ],tblRec[كود العميل],$A379,tblRec[رقم الفاتورة],"",tblRec[التاريخ],"&lt;="&amp;AsOf)+SUMIFS(tblInv[المتبقي],tblInv[كود العميل],$A379,tblInv[المتبقي],"&lt;0"))</f>
        <v/>
      </c>
      <c r="L379" s="81">
        <f>IF($A379="","",J379+K379)</f>
        <v/>
      </c>
      <c r="M379" s="82">
        <f>IF($A379="","",IFERROR(L379/$L$8,0))</f>
        <v/>
      </c>
      <c r="N379" s="80">
        <f>IF($A379="","",INDEX(tblCustomers[حد الائتمان],MATCH($A379,tblCustomers[كود العميل],0)))</f>
        <v/>
      </c>
      <c r="O379" s="83">
        <f>IF($A379="","",IF(AND(N379&gt;0,L379&gt;N379),"⛔",""))</f>
        <v/>
      </c>
    </row>
    <row r="380">
      <c r="A380" s="78">
        <f>IFERROR(INDEX(tblCustomers[كود العميل],MATCH(371,tblCustomers[ترتيب],0)),"")</f>
        <v/>
      </c>
      <c r="B380" s="79">
        <f>IF($A380="","",INDEX(tblCustomers[اسم العميل],MATCH($A380,tblCustomers[كود العميل],0)))</f>
        <v/>
      </c>
      <c r="C380" s="80">
        <f>IF($A380="","",SUMIFS(tblInv[المتبقي],tblInv[كود العميل],$A380,tblInv[الفترة],C$7))</f>
        <v/>
      </c>
      <c r="D380" s="80">
        <f>IF($A380="","",SUMIFS(tblInv[المتبقي],tblInv[كود العميل],$A380,tblInv[الفترة],D$7))</f>
        <v/>
      </c>
      <c r="E380" s="80">
        <f>IF($A380="","",SUMIFS(tblInv[المتبقي],tblInv[كود العميل],$A380,tblInv[الفترة],E$7))</f>
        <v/>
      </c>
      <c r="F380" s="80">
        <f>IF($A380="","",SUMIFS(tblInv[المتبقي],tblInv[كود العميل],$A380,tblInv[الفترة],F$7))</f>
        <v/>
      </c>
      <c r="G380" s="80">
        <f>IF($A380="","",SUMIFS(tblInv[المتبقي],tblInv[كود العميل],$A380,tblInv[الفترة],G$7))</f>
        <v/>
      </c>
      <c r="H380" s="80">
        <f>IF($A380="","",SUMIFS(tblInv[المتبقي],tblInv[كود العميل],$A380,tblInv[الفترة],H$7))</f>
        <v/>
      </c>
      <c r="I380" s="80">
        <f>IF($A380="","",SUMIFS(tblInv[المتبقي],tblInv[كود العميل],$A380,tblInv[الفترة],I$7))</f>
        <v/>
      </c>
      <c r="J380" s="80">
        <f>IF($A380="","",SUM(C380:I380))</f>
        <v/>
      </c>
      <c r="K380" s="80">
        <f>IF($A380="","",-SUMIFS(tblRec[المبلغ],tblRec[كود العميل],$A380,tblRec[رقم الفاتورة],"",tblRec[التاريخ],"&lt;="&amp;AsOf)+SUMIFS(tblInv[المتبقي],tblInv[كود العميل],$A380,tblInv[المتبقي],"&lt;0"))</f>
        <v/>
      </c>
      <c r="L380" s="81">
        <f>IF($A380="","",J380+K380)</f>
        <v/>
      </c>
      <c r="M380" s="82">
        <f>IF($A380="","",IFERROR(L380/$L$8,0))</f>
        <v/>
      </c>
      <c r="N380" s="80">
        <f>IF($A380="","",INDEX(tblCustomers[حد الائتمان],MATCH($A380,tblCustomers[كود العميل],0)))</f>
        <v/>
      </c>
      <c r="O380" s="83">
        <f>IF($A380="","",IF(AND(N380&gt;0,L380&gt;N380),"⛔",""))</f>
        <v/>
      </c>
    </row>
    <row r="381">
      <c r="A381" s="78">
        <f>IFERROR(INDEX(tblCustomers[كود العميل],MATCH(372,tblCustomers[ترتيب],0)),"")</f>
        <v/>
      </c>
      <c r="B381" s="79">
        <f>IF($A381="","",INDEX(tblCustomers[اسم العميل],MATCH($A381,tblCustomers[كود العميل],0)))</f>
        <v/>
      </c>
      <c r="C381" s="80">
        <f>IF($A381="","",SUMIFS(tblInv[المتبقي],tblInv[كود العميل],$A381,tblInv[الفترة],C$7))</f>
        <v/>
      </c>
      <c r="D381" s="80">
        <f>IF($A381="","",SUMIFS(tblInv[المتبقي],tblInv[كود العميل],$A381,tblInv[الفترة],D$7))</f>
        <v/>
      </c>
      <c r="E381" s="80">
        <f>IF($A381="","",SUMIFS(tblInv[المتبقي],tblInv[كود العميل],$A381,tblInv[الفترة],E$7))</f>
        <v/>
      </c>
      <c r="F381" s="80">
        <f>IF($A381="","",SUMIFS(tblInv[المتبقي],tblInv[كود العميل],$A381,tblInv[الفترة],F$7))</f>
        <v/>
      </c>
      <c r="G381" s="80">
        <f>IF($A381="","",SUMIFS(tblInv[المتبقي],tblInv[كود العميل],$A381,tblInv[الفترة],G$7))</f>
        <v/>
      </c>
      <c r="H381" s="80">
        <f>IF($A381="","",SUMIFS(tblInv[المتبقي],tblInv[كود العميل],$A381,tblInv[الفترة],H$7))</f>
        <v/>
      </c>
      <c r="I381" s="80">
        <f>IF($A381="","",SUMIFS(tblInv[المتبقي],tblInv[كود العميل],$A381,tblInv[الفترة],I$7))</f>
        <v/>
      </c>
      <c r="J381" s="80">
        <f>IF($A381="","",SUM(C381:I381))</f>
        <v/>
      </c>
      <c r="K381" s="80">
        <f>IF($A381="","",-SUMIFS(tblRec[المبلغ],tblRec[كود العميل],$A381,tblRec[رقم الفاتورة],"",tblRec[التاريخ],"&lt;="&amp;AsOf)+SUMIFS(tblInv[المتبقي],tblInv[كود العميل],$A381,tblInv[المتبقي],"&lt;0"))</f>
        <v/>
      </c>
      <c r="L381" s="81">
        <f>IF($A381="","",J381+K381)</f>
        <v/>
      </c>
      <c r="M381" s="82">
        <f>IF($A381="","",IFERROR(L381/$L$8,0))</f>
        <v/>
      </c>
      <c r="N381" s="80">
        <f>IF($A381="","",INDEX(tblCustomers[حد الائتمان],MATCH($A381,tblCustomers[كود العميل],0)))</f>
        <v/>
      </c>
      <c r="O381" s="83">
        <f>IF($A381="","",IF(AND(N381&gt;0,L381&gt;N381),"⛔",""))</f>
        <v/>
      </c>
    </row>
    <row r="382">
      <c r="A382" s="78">
        <f>IFERROR(INDEX(tblCustomers[كود العميل],MATCH(373,tblCustomers[ترتيب],0)),"")</f>
        <v/>
      </c>
      <c r="B382" s="79">
        <f>IF($A382="","",INDEX(tblCustomers[اسم العميل],MATCH($A382,tblCustomers[كود العميل],0)))</f>
        <v/>
      </c>
      <c r="C382" s="80">
        <f>IF($A382="","",SUMIFS(tblInv[المتبقي],tblInv[كود العميل],$A382,tblInv[الفترة],C$7))</f>
        <v/>
      </c>
      <c r="D382" s="80">
        <f>IF($A382="","",SUMIFS(tblInv[المتبقي],tblInv[كود العميل],$A382,tblInv[الفترة],D$7))</f>
        <v/>
      </c>
      <c r="E382" s="80">
        <f>IF($A382="","",SUMIFS(tblInv[المتبقي],tblInv[كود العميل],$A382,tblInv[الفترة],E$7))</f>
        <v/>
      </c>
      <c r="F382" s="80">
        <f>IF($A382="","",SUMIFS(tblInv[المتبقي],tblInv[كود العميل],$A382,tblInv[الفترة],F$7))</f>
        <v/>
      </c>
      <c r="G382" s="80">
        <f>IF($A382="","",SUMIFS(tblInv[المتبقي],tblInv[كود العميل],$A382,tblInv[الفترة],G$7))</f>
        <v/>
      </c>
      <c r="H382" s="80">
        <f>IF($A382="","",SUMIFS(tblInv[المتبقي],tblInv[كود العميل],$A382,tblInv[الفترة],H$7))</f>
        <v/>
      </c>
      <c r="I382" s="80">
        <f>IF($A382="","",SUMIFS(tblInv[المتبقي],tblInv[كود العميل],$A382,tblInv[الفترة],I$7))</f>
        <v/>
      </c>
      <c r="J382" s="80">
        <f>IF($A382="","",SUM(C382:I382))</f>
        <v/>
      </c>
      <c r="K382" s="80">
        <f>IF($A382="","",-SUMIFS(tblRec[المبلغ],tblRec[كود العميل],$A382,tblRec[رقم الفاتورة],"",tblRec[التاريخ],"&lt;="&amp;AsOf)+SUMIFS(tblInv[المتبقي],tblInv[كود العميل],$A382,tblInv[المتبقي],"&lt;0"))</f>
        <v/>
      </c>
      <c r="L382" s="81">
        <f>IF($A382="","",J382+K382)</f>
        <v/>
      </c>
      <c r="M382" s="82">
        <f>IF($A382="","",IFERROR(L382/$L$8,0))</f>
        <v/>
      </c>
      <c r="N382" s="80">
        <f>IF($A382="","",INDEX(tblCustomers[حد الائتمان],MATCH($A382,tblCustomers[كود العميل],0)))</f>
        <v/>
      </c>
      <c r="O382" s="83">
        <f>IF($A382="","",IF(AND(N382&gt;0,L382&gt;N382),"⛔",""))</f>
        <v/>
      </c>
    </row>
    <row r="383">
      <c r="A383" s="78">
        <f>IFERROR(INDEX(tblCustomers[كود العميل],MATCH(374,tblCustomers[ترتيب],0)),"")</f>
        <v/>
      </c>
      <c r="B383" s="79">
        <f>IF($A383="","",INDEX(tblCustomers[اسم العميل],MATCH($A383,tblCustomers[كود العميل],0)))</f>
        <v/>
      </c>
      <c r="C383" s="80">
        <f>IF($A383="","",SUMIFS(tblInv[المتبقي],tblInv[كود العميل],$A383,tblInv[الفترة],C$7))</f>
        <v/>
      </c>
      <c r="D383" s="80">
        <f>IF($A383="","",SUMIFS(tblInv[المتبقي],tblInv[كود العميل],$A383,tblInv[الفترة],D$7))</f>
        <v/>
      </c>
      <c r="E383" s="80">
        <f>IF($A383="","",SUMIFS(tblInv[المتبقي],tblInv[كود العميل],$A383,tblInv[الفترة],E$7))</f>
        <v/>
      </c>
      <c r="F383" s="80">
        <f>IF($A383="","",SUMIFS(tblInv[المتبقي],tblInv[كود العميل],$A383,tblInv[الفترة],F$7))</f>
        <v/>
      </c>
      <c r="G383" s="80">
        <f>IF($A383="","",SUMIFS(tblInv[المتبقي],tblInv[كود العميل],$A383,tblInv[الفترة],G$7))</f>
        <v/>
      </c>
      <c r="H383" s="80">
        <f>IF($A383="","",SUMIFS(tblInv[المتبقي],tblInv[كود العميل],$A383,tblInv[الفترة],H$7))</f>
        <v/>
      </c>
      <c r="I383" s="80">
        <f>IF($A383="","",SUMIFS(tblInv[المتبقي],tblInv[كود العميل],$A383,tblInv[الفترة],I$7))</f>
        <v/>
      </c>
      <c r="J383" s="80">
        <f>IF($A383="","",SUM(C383:I383))</f>
        <v/>
      </c>
      <c r="K383" s="80">
        <f>IF($A383="","",-SUMIFS(tblRec[المبلغ],tblRec[كود العميل],$A383,tblRec[رقم الفاتورة],"",tblRec[التاريخ],"&lt;="&amp;AsOf)+SUMIFS(tblInv[المتبقي],tblInv[كود العميل],$A383,tblInv[المتبقي],"&lt;0"))</f>
        <v/>
      </c>
      <c r="L383" s="81">
        <f>IF($A383="","",J383+K383)</f>
        <v/>
      </c>
      <c r="M383" s="82">
        <f>IF($A383="","",IFERROR(L383/$L$8,0))</f>
        <v/>
      </c>
      <c r="N383" s="80">
        <f>IF($A383="","",INDEX(tblCustomers[حد الائتمان],MATCH($A383,tblCustomers[كود العميل],0)))</f>
        <v/>
      </c>
      <c r="O383" s="83">
        <f>IF($A383="","",IF(AND(N383&gt;0,L383&gt;N383),"⛔",""))</f>
        <v/>
      </c>
    </row>
    <row r="384">
      <c r="A384" s="78">
        <f>IFERROR(INDEX(tblCustomers[كود العميل],MATCH(375,tblCustomers[ترتيب],0)),"")</f>
        <v/>
      </c>
      <c r="B384" s="79">
        <f>IF($A384="","",INDEX(tblCustomers[اسم العميل],MATCH($A384,tblCustomers[كود العميل],0)))</f>
        <v/>
      </c>
      <c r="C384" s="80">
        <f>IF($A384="","",SUMIFS(tblInv[المتبقي],tblInv[كود العميل],$A384,tblInv[الفترة],C$7))</f>
        <v/>
      </c>
      <c r="D384" s="80">
        <f>IF($A384="","",SUMIFS(tblInv[المتبقي],tblInv[كود العميل],$A384,tblInv[الفترة],D$7))</f>
        <v/>
      </c>
      <c r="E384" s="80">
        <f>IF($A384="","",SUMIFS(tblInv[المتبقي],tblInv[كود العميل],$A384,tblInv[الفترة],E$7))</f>
        <v/>
      </c>
      <c r="F384" s="80">
        <f>IF($A384="","",SUMIFS(tblInv[المتبقي],tblInv[كود العميل],$A384,tblInv[الفترة],F$7))</f>
        <v/>
      </c>
      <c r="G384" s="80">
        <f>IF($A384="","",SUMIFS(tblInv[المتبقي],tblInv[كود العميل],$A384,tblInv[الفترة],G$7))</f>
        <v/>
      </c>
      <c r="H384" s="80">
        <f>IF($A384="","",SUMIFS(tblInv[المتبقي],tblInv[كود العميل],$A384,tblInv[الفترة],H$7))</f>
        <v/>
      </c>
      <c r="I384" s="80">
        <f>IF($A384="","",SUMIFS(tblInv[المتبقي],tblInv[كود العميل],$A384,tblInv[الفترة],I$7))</f>
        <v/>
      </c>
      <c r="J384" s="80">
        <f>IF($A384="","",SUM(C384:I384))</f>
        <v/>
      </c>
      <c r="K384" s="80">
        <f>IF($A384="","",-SUMIFS(tblRec[المبلغ],tblRec[كود العميل],$A384,tblRec[رقم الفاتورة],"",tblRec[التاريخ],"&lt;="&amp;AsOf)+SUMIFS(tblInv[المتبقي],tblInv[كود العميل],$A384,tblInv[المتبقي],"&lt;0"))</f>
        <v/>
      </c>
      <c r="L384" s="81">
        <f>IF($A384="","",J384+K384)</f>
        <v/>
      </c>
      <c r="M384" s="82">
        <f>IF($A384="","",IFERROR(L384/$L$8,0))</f>
        <v/>
      </c>
      <c r="N384" s="80">
        <f>IF($A384="","",INDEX(tblCustomers[حد الائتمان],MATCH($A384,tblCustomers[كود العميل],0)))</f>
        <v/>
      </c>
      <c r="O384" s="83">
        <f>IF($A384="","",IF(AND(N384&gt;0,L384&gt;N384),"⛔",""))</f>
        <v/>
      </c>
    </row>
    <row r="385">
      <c r="A385" s="78">
        <f>IFERROR(INDEX(tblCustomers[كود العميل],MATCH(376,tblCustomers[ترتيب],0)),"")</f>
        <v/>
      </c>
      <c r="B385" s="79">
        <f>IF($A385="","",INDEX(tblCustomers[اسم العميل],MATCH($A385,tblCustomers[كود العميل],0)))</f>
        <v/>
      </c>
      <c r="C385" s="80">
        <f>IF($A385="","",SUMIFS(tblInv[المتبقي],tblInv[كود العميل],$A385,tblInv[الفترة],C$7))</f>
        <v/>
      </c>
      <c r="D385" s="80">
        <f>IF($A385="","",SUMIFS(tblInv[المتبقي],tblInv[كود العميل],$A385,tblInv[الفترة],D$7))</f>
        <v/>
      </c>
      <c r="E385" s="80">
        <f>IF($A385="","",SUMIFS(tblInv[المتبقي],tblInv[كود العميل],$A385,tblInv[الفترة],E$7))</f>
        <v/>
      </c>
      <c r="F385" s="80">
        <f>IF($A385="","",SUMIFS(tblInv[المتبقي],tblInv[كود العميل],$A385,tblInv[الفترة],F$7))</f>
        <v/>
      </c>
      <c r="G385" s="80">
        <f>IF($A385="","",SUMIFS(tblInv[المتبقي],tblInv[كود العميل],$A385,tblInv[الفترة],G$7))</f>
        <v/>
      </c>
      <c r="H385" s="80">
        <f>IF($A385="","",SUMIFS(tblInv[المتبقي],tblInv[كود العميل],$A385,tblInv[الفترة],H$7))</f>
        <v/>
      </c>
      <c r="I385" s="80">
        <f>IF($A385="","",SUMIFS(tblInv[المتبقي],tblInv[كود العميل],$A385,tblInv[الفترة],I$7))</f>
        <v/>
      </c>
      <c r="J385" s="80">
        <f>IF($A385="","",SUM(C385:I385))</f>
        <v/>
      </c>
      <c r="K385" s="80">
        <f>IF($A385="","",-SUMIFS(tblRec[المبلغ],tblRec[كود العميل],$A385,tblRec[رقم الفاتورة],"",tblRec[التاريخ],"&lt;="&amp;AsOf)+SUMIFS(tblInv[المتبقي],tblInv[كود العميل],$A385,tblInv[المتبقي],"&lt;0"))</f>
        <v/>
      </c>
      <c r="L385" s="81">
        <f>IF($A385="","",J385+K385)</f>
        <v/>
      </c>
      <c r="M385" s="82">
        <f>IF($A385="","",IFERROR(L385/$L$8,0))</f>
        <v/>
      </c>
      <c r="N385" s="80">
        <f>IF($A385="","",INDEX(tblCustomers[حد الائتمان],MATCH($A385,tblCustomers[كود العميل],0)))</f>
        <v/>
      </c>
      <c r="O385" s="83">
        <f>IF($A385="","",IF(AND(N385&gt;0,L385&gt;N385),"⛔",""))</f>
        <v/>
      </c>
    </row>
    <row r="386">
      <c r="A386" s="78">
        <f>IFERROR(INDEX(tblCustomers[كود العميل],MATCH(377,tblCustomers[ترتيب],0)),"")</f>
        <v/>
      </c>
      <c r="B386" s="79">
        <f>IF($A386="","",INDEX(tblCustomers[اسم العميل],MATCH($A386,tblCustomers[كود العميل],0)))</f>
        <v/>
      </c>
      <c r="C386" s="80">
        <f>IF($A386="","",SUMIFS(tblInv[المتبقي],tblInv[كود العميل],$A386,tblInv[الفترة],C$7))</f>
        <v/>
      </c>
      <c r="D386" s="80">
        <f>IF($A386="","",SUMIFS(tblInv[المتبقي],tblInv[كود العميل],$A386,tblInv[الفترة],D$7))</f>
        <v/>
      </c>
      <c r="E386" s="80">
        <f>IF($A386="","",SUMIFS(tblInv[المتبقي],tblInv[كود العميل],$A386,tblInv[الفترة],E$7))</f>
        <v/>
      </c>
      <c r="F386" s="80">
        <f>IF($A386="","",SUMIFS(tblInv[المتبقي],tblInv[كود العميل],$A386,tblInv[الفترة],F$7))</f>
        <v/>
      </c>
      <c r="G386" s="80">
        <f>IF($A386="","",SUMIFS(tblInv[المتبقي],tblInv[كود العميل],$A386,tblInv[الفترة],G$7))</f>
        <v/>
      </c>
      <c r="H386" s="80">
        <f>IF($A386="","",SUMIFS(tblInv[المتبقي],tblInv[كود العميل],$A386,tblInv[الفترة],H$7))</f>
        <v/>
      </c>
      <c r="I386" s="80">
        <f>IF($A386="","",SUMIFS(tblInv[المتبقي],tblInv[كود العميل],$A386,tblInv[الفترة],I$7))</f>
        <v/>
      </c>
      <c r="J386" s="80">
        <f>IF($A386="","",SUM(C386:I386))</f>
        <v/>
      </c>
      <c r="K386" s="80">
        <f>IF($A386="","",-SUMIFS(tblRec[المبلغ],tblRec[كود العميل],$A386,tblRec[رقم الفاتورة],"",tblRec[التاريخ],"&lt;="&amp;AsOf)+SUMIFS(tblInv[المتبقي],tblInv[كود العميل],$A386,tblInv[المتبقي],"&lt;0"))</f>
        <v/>
      </c>
      <c r="L386" s="81">
        <f>IF($A386="","",J386+K386)</f>
        <v/>
      </c>
      <c r="M386" s="82">
        <f>IF($A386="","",IFERROR(L386/$L$8,0))</f>
        <v/>
      </c>
      <c r="N386" s="80">
        <f>IF($A386="","",INDEX(tblCustomers[حد الائتمان],MATCH($A386,tblCustomers[كود العميل],0)))</f>
        <v/>
      </c>
      <c r="O386" s="83">
        <f>IF($A386="","",IF(AND(N386&gt;0,L386&gt;N386),"⛔",""))</f>
        <v/>
      </c>
    </row>
    <row r="387">
      <c r="A387" s="78">
        <f>IFERROR(INDEX(tblCustomers[كود العميل],MATCH(378,tblCustomers[ترتيب],0)),"")</f>
        <v/>
      </c>
      <c r="B387" s="79">
        <f>IF($A387="","",INDEX(tblCustomers[اسم العميل],MATCH($A387,tblCustomers[كود العميل],0)))</f>
        <v/>
      </c>
      <c r="C387" s="80">
        <f>IF($A387="","",SUMIFS(tblInv[المتبقي],tblInv[كود العميل],$A387,tblInv[الفترة],C$7))</f>
        <v/>
      </c>
      <c r="D387" s="80">
        <f>IF($A387="","",SUMIFS(tblInv[المتبقي],tblInv[كود العميل],$A387,tblInv[الفترة],D$7))</f>
        <v/>
      </c>
      <c r="E387" s="80">
        <f>IF($A387="","",SUMIFS(tblInv[المتبقي],tblInv[كود العميل],$A387,tblInv[الفترة],E$7))</f>
        <v/>
      </c>
      <c r="F387" s="80">
        <f>IF($A387="","",SUMIFS(tblInv[المتبقي],tblInv[كود العميل],$A387,tblInv[الفترة],F$7))</f>
        <v/>
      </c>
      <c r="G387" s="80">
        <f>IF($A387="","",SUMIFS(tblInv[المتبقي],tblInv[كود العميل],$A387,tblInv[الفترة],G$7))</f>
        <v/>
      </c>
      <c r="H387" s="80">
        <f>IF($A387="","",SUMIFS(tblInv[المتبقي],tblInv[كود العميل],$A387,tblInv[الفترة],H$7))</f>
        <v/>
      </c>
      <c r="I387" s="80">
        <f>IF($A387="","",SUMIFS(tblInv[المتبقي],tblInv[كود العميل],$A387,tblInv[الفترة],I$7))</f>
        <v/>
      </c>
      <c r="J387" s="80">
        <f>IF($A387="","",SUM(C387:I387))</f>
        <v/>
      </c>
      <c r="K387" s="80">
        <f>IF($A387="","",-SUMIFS(tblRec[المبلغ],tblRec[كود العميل],$A387,tblRec[رقم الفاتورة],"",tblRec[التاريخ],"&lt;="&amp;AsOf)+SUMIFS(tblInv[المتبقي],tblInv[كود العميل],$A387,tblInv[المتبقي],"&lt;0"))</f>
        <v/>
      </c>
      <c r="L387" s="81">
        <f>IF($A387="","",J387+K387)</f>
        <v/>
      </c>
      <c r="M387" s="82">
        <f>IF($A387="","",IFERROR(L387/$L$8,0))</f>
        <v/>
      </c>
      <c r="N387" s="80">
        <f>IF($A387="","",INDEX(tblCustomers[حد الائتمان],MATCH($A387,tblCustomers[كود العميل],0)))</f>
        <v/>
      </c>
      <c r="O387" s="83">
        <f>IF($A387="","",IF(AND(N387&gt;0,L387&gt;N387),"⛔",""))</f>
        <v/>
      </c>
    </row>
    <row r="388">
      <c r="A388" s="78">
        <f>IFERROR(INDEX(tblCustomers[كود العميل],MATCH(379,tblCustomers[ترتيب],0)),"")</f>
        <v/>
      </c>
      <c r="B388" s="79">
        <f>IF($A388="","",INDEX(tblCustomers[اسم العميل],MATCH($A388,tblCustomers[كود العميل],0)))</f>
        <v/>
      </c>
      <c r="C388" s="80">
        <f>IF($A388="","",SUMIFS(tblInv[المتبقي],tblInv[كود العميل],$A388,tblInv[الفترة],C$7))</f>
        <v/>
      </c>
      <c r="D388" s="80">
        <f>IF($A388="","",SUMIFS(tblInv[المتبقي],tblInv[كود العميل],$A388,tblInv[الفترة],D$7))</f>
        <v/>
      </c>
      <c r="E388" s="80">
        <f>IF($A388="","",SUMIFS(tblInv[المتبقي],tblInv[كود العميل],$A388,tblInv[الفترة],E$7))</f>
        <v/>
      </c>
      <c r="F388" s="80">
        <f>IF($A388="","",SUMIFS(tblInv[المتبقي],tblInv[كود العميل],$A388,tblInv[الفترة],F$7))</f>
        <v/>
      </c>
      <c r="G388" s="80">
        <f>IF($A388="","",SUMIFS(tblInv[المتبقي],tblInv[كود العميل],$A388,tblInv[الفترة],G$7))</f>
        <v/>
      </c>
      <c r="H388" s="80">
        <f>IF($A388="","",SUMIFS(tblInv[المتبقي],tblInv[كود العميل],$A388,tblInv[الفترة],H$7))</f>
        <v/>
      </c>
      <c r="I388" s="80">
        <f>IF($A388="","",SUMIFS(tblInv[المتبقي],tblInv[كود العميل],$A388,tblInv[الفترة],I$7))</f>
        <v/>
      </c>
      <c r="J388" s="80">
        <f>IF($A388="","",SUM(C388:I388))</f>
        <v/>
      </c>
      <c r="K388" s="80">
        <f>IF($A388="","",-SUMIFS(tblRec[المبلغ],tblRec[كود العميل],$A388,tblRec[رقم الفاتورة],"",tblRec[التاريخ],"&lt;="&amp;AsOf)+SUMIFS(tblInv[المتبقي],tblInv[كود العميل],$A388,tblInv[المتبقي],"&lt;0"))</f>
        <v/>
      </c>
      <c r="L388" s="81">
        <f>IF($A388="","",J388+K388)</f>
        <v/>
      </c>
      <c r="M388" s="82">
        <f>IF($A388="","",IFERROR(L388/$L$8,0))</f>
        <v/>
      </c>
      <c r="N388" s="80">
        <f>IF($A388="","",INDEX(tblCustomers[حد الائتمان],MATCH($A388,tblCustomers[كود العميل],0)))</f>
        <v/>
      </c>
      <c r="O388" s="83">
        <f>IF($A388="","",IF(AND(N388&gt;0,L388&gt;N388),"⛔",""))</f>
        <v/>
      </c>
    </row>
    <row r="389">
      <c r="A389" s="78">
        <f>IFERROR(INDEX(tblCustomers[كود العميل],MATCH(380,tblCustomers[ترتيب],0)),"")</f>
        <v/>
      </c>
      <c r="B389" s="79">
        <f>IF($A389="","",INDEX(tblCustomers[اسم العميل],MATCH($A389,tblCustomers[كود العميل],0)))</f>
        <v/>
      </c>
      <c r="C389" s="80">
        <f>IF($A389="","",SUMIFS(tblInv[المتبقي],tblInv[كود العميل],$A389,tblInv[الفترة],C$7))</f>
        <v/>
      </c>
      <c r="D389" s="80">
        <f>IF($A389="","",SUMIFS(tblInv[المتبقي],tblInv[كود العميل],$A389,tblInv[الفترة],D$7))</f>
        <v/>
      </c>
      <c r="E389" s="80">
        <f>IF($A389="","",SUMIFS(tblInv[المتبقي],tblInv[كود العميل],$A389,tblInv[الفترة],E$7))</f>
        <v/>
      </c>
      <c r="F389" s="80">
        <f>IF($A389="","",SUMIFS(tblInv[المتبقي],tblInv[كود العميل],$A389,tblInv[الفترة],F$7))</f>
        <v/>
      </c>
      <c r="G389" s="80">
        <f>IF($A389="","",SUMIFS(tblInv[المتبقي],tblInv[كود العميل],$A389,tblInv[الفترة],G$7))</f>
        <v/>
      </c>
      <c r="H389" s="80">
        <f>IF($A389="","",SUMIFS(tblInv[المتبقي],tblInv[كود العميل],$A389,tblInv[الفترة],H$7))</f>
        <v/>
      </c>
      <c r="I389" s="80">
        <f>IF($A389="","",SUMIFS(tblInv[المتبقي],tblInv[كود العميل],$A389,tblInv[الفترة],I$7))</f>
        <v/>
      </c>
      <c r="J389" s="80">
        <f>IF($A389="","",SUM(C389:I389))</f>
        <v/>
      </c>
      <c r="K389" s="80">
        <f>IF($A389="","",-SUMIFS(tblRec[المبلغ],tblRec[كود العميل],$A389,tblRec[رقم الفاتورة],"",tblRec[التاريخ],"&lt;="&amp;AsOf)+SUMIFS(tblInv[المتبقي],tblInv[كود العميل],$A389,tblInv[المتبقي],"&lt;0"))</f>
        <v/>
      </c>
      <c r="L389" s="81">
        <f>IF($A389="","",J389+K389)</f>
        <v/>
      </c>
      <c r="M389" s="82">
        <f>IF($A389="","",IFERROR(L389/$L$8,0))</f>
        <v/>
      </c>
      <c r="N389" s="80">
        <f>IF($A389="","",INDEX(tblCustomers[حد الائتمان],MATCH($A389,tblCustomers[كود العميل],0)))</f>
        <v/>
      </c>
      <c r="O389" s="83">
        <f>IF($A389="","",IF(AND(N389&gt;0,L389&gt;N389),"⛔",""))</f>
        <v/>
      </c>
    </row>
    <row r="390">
      <c r="A390" s="78">
        <f>IFERROR(INDEX(tblCustomers[كود العميل],MATCH(381,tblCustomers[ترتيب],0)),"")</f>
        <v/>
      </c>
      <c r="B390" s="79">
        <f>IF($A390="","",INDEX(tblCustomers[اسم العميل],MATCH($A390,tblCustomers[كود العميل],0)))</f>
        <v/>
      </c>
      <c r="C390" s="80">
        <f>IF($A390="","",SUMIFS(tblInv[المتبقي],tblInv[كود العميل],$A390,tblInv[الفترة],C$7))</f>
        <v/>
      </c>
      <c r="D390" s="80">
        <f>IF($A390="","",SUMIFS(tblInv[المتبقي],tblInv[كود العميل],$A390,tblInv[الفترة],D$7))</f>
        <v/>
      </c>
      <c r="E390" s="80">
        <f>IF($A390="","",SUMIFS(tblInv[المتبقي],tblInv[كود العميل],$A390,tblInv[الفترة],E$7))</f>
        <v/>
      </c>
      <c r="F390" s="80">
        <f>IF($A390="","",SUMIFS(tblInv[المتبقي],tblInv[كود العميل],$A390,tblInv[الفترة],F$7))</f>
        <v/>
      </c>
      <c r="G390" s="80">
        <f>IF($A390="","",SUMIFS(tblInv[المتبقي],tblInv[كود العميل],$A390,tblInv[الفترة],G$7))</f>
        <v/>
      </c>
      <c r="H390" s="80">
        <f>IF($A390="","",SUMIFS(tblInv[المتبقي],tblInv[كود العميل],$A390,tblInv[الفترة],H$7))</f>
        <v/>
      </c>
      <c r="I390" s="80">
        <f>IF($A390="","",SUMIFS(tblInv[المتبقي],tblInv[كود العميل],$A390,tblInv[الفترة],I$7))</f>
        <v/>
      </c>
      <c r="J390" s="80">
        <f>IF($A390="","",SUM(C390:I390))</f>
        <v/>
      </c>
      <c r="K390" s="80">
        <f>IF($A390="","",-SUMIFS(tblRec[المبلغ],tblRec[كود العميل],$A390,tblRec[رقم الفاتورة],"",tblRec[التاريخ],"&lt;="&amp;AsOf)+SUMIFS(tblInv[المتبقي],tblInv[كود العميل],$A390,tblInv[المتبقي],"&lt;0"))</f>
        <v/>
      </c>
      <c r="L390" s="81">
        <f>IF($A390="","",J390+K390)</f>
        <v/>
      </c>
      <c r="M390" s="82">
        <f>IF($A390="","",IFERROR(L390/$L$8,0))</f>
        <v/>
      </c>
      <c r="N390" s="80">
        <f>IF($A390="","",INDEX(tblCustomers[حد الائتمان],MATCH($A390,tblCustomers[كود العميل],0)))</f>
        <v/>
      </c>
      <c r="O390" s="83">
        <f>IF($A390="","",IF(AND(N390&gt;0,L390&gt;N390),"⛔",""))</f>
        <v/>
      </c>
    </row>
    <row r="391">
      <c r="A391" s="78">
        <f>IFERROR(INDEX(tblCustomers[كود العميل],MATCH(382,tblCustomers[ترتيب],0)),"")</f>
        <v/>
      </c>
      <c r="B391" s="79">
        <f>IF($A391="","",INDEX(tblCustomers[اسم العميل],MATCH($A391,tblCustomers[كود العميل],0)))</f>
        <v/>
      </c>
      <c r="C391" s="80">
        <f>IF($A391="","",SUMIFS(tblInv[المتبقي],tblInv[كود العميل],$A391,tblInv[الفترة],C$7))</f>
        <v/>
      </c>
      <c r="D391" s="80">
        <f>IF($A391="","",SUMIFS(tblInv[المتبقي],tblInv[كود العميل],$A391,tblInv[الفترة],D$7))</f>
        <v/>
      </c>
      <c r="E391" s="80">
        <f>IF($A391="","",SUMIFS(tblInv[المتبقي],tblInv[كود العميل],$A391,tblInv[الفترة],E$7))</f>
        <v/>
      </c>
      <c r="F391" s="80">
        <f>IF($A391="","",SUMIFS(tblInv[المتبقي],tblInv[كود العميل],$A391,tblInv[الفترة],F$7))</f>
        <v/>
      </c>
      <c r="G391" s="80">
        <f>IF($A391="","",SUMIFS(tblInv[المتبقي],tblInv[كود العميل],$A391,tblInv[الفترة],G$7))</f>
        <v/>
      </c>
      <c r="H391" s="80">
        <f>IF($A391="","",SUMIFS(tblInv[المتبقي],tblInv[كود العميل],$A391,tblInv[الفترة],H$7))</f>
        <v/>
      </c>
      <c r="I391" s="80">
        <f>IF($A391="","",SUMIFS(tblInv[المتبقي],tblInv[كود العميل],$A391,tblInv[الفترة],I$7))</f>
        <v/>
      </c>
      <c r="J391" s="80">
        <f>IF($A391="","",SUM(C391:I391))</f>
        <v/>
      </c>
      <c r="K391" s="80">
        <f>IF($A391="","",-SUMIFS(tblRec[المبلغ],tblRec[كود العميل],$A391,tblRec[رقم الفاتورة],"",tblRec[التاريخ],"&lt;="&amp;AsOf)+SUMIFS(tblInv[المتبقي],tblInv[كود العميل],$A391,tblInv[المتبقي],"&lt;0"))</f>
        <v/>
      </c>
      <c r="L391" s="81">
        <f>IF($A391="","",J391+K391)</f>
        <v/>
      </c>
      <c r="M391" s="82">
        <f>IF($A391="","",IFERROR(L391/$L$8,0))</f>
        <v/>
      </c>
      <c r="N391" s="80">
        <f>IF($A391="","",INDEX(tblCustomers[حد الائتمان],MATCH($A391,tblCustomers[كود العميل],0)))</f>
        <v/>
      </c>
      <c r="O391" s="83">
        <f>IF($A391="","",IF(AND(N391&gt;0,L391&gt;N391),"⛔",""))</f>
        <v/>
      </c>
    </row>
    <row r="392">
      <c r="A392" s="78">
        <f>IFERROR(INDEX(tblCustomers[كود العميل],MATCH(383,tblCustomers[ترتيب],0)),"")</f>
        <v/>
      </c>
      <c r="B392" s="79">
        <f>IF($A392="","",INDEX(tblCustomers[اسم العميل],MATCH($A392,tblCustomers[كود العميل],0)))</f>
        <v/>
      </c>
      <c r="C392" s="80">
        <f>IF($A392="","",SUMIFS(tblInv[المتبقي],tblInv[كود العميل],$A392,tblInv[الفترة],C$7))</f>
        <v/>
      </c>
      <c r="D392" s="80">
        <f>IF($A392="","",SUMIFS(tblInv[المتبقي],tblInv[كود العميل],$A392,tblInv[الفترة],D$7))</f>
        <v/>
      </c>
      <c r="E392" s="80">
        <f>IF($A392="","",SUMIFS(tblInv[المتبقي],tblInv[كود العميل],$A392,tblInv[الفترة],E$7))</f>
        <v/>
      </c>
      <c r="F392" s="80">
        <f>IF($A392="","",SUMIFS(tblInv[المتبقي],tblInv[كود العميل],$A392,tblInv[الفترة],F$7))</f>
        <v/>
      </c>
      <c r="G392" s="80">
        <f>IF($A392="","",SUMIFS(tblInv[المتبقي],tblInv[كود العميل],$A392,tblInv[الفترة],G$7))</f>
        <v/>
      </c>
      <c r="H392" s="80">
        <f>IF($A392="","",SUMIFS(tblInv[المتبقي],tblInv[كود العميل],$A392,tblInv[الفترة],H$7))</f>
        <v/>
      </c>
      <c r="I392" s="80">
        <f>IF($A392="","",SUMIFS(tblInv[المتبقي],tblInv[كود العميل],$A392,tblInv[الفترة],I$7))</f>
        <v/>
      </c>
      <c r="J392" s="80">
        <f>IF($A392="","",SUM(C392:I392))</f>
        <v/>
      </c>
      <c r="K392" s="80">
        <f>IF($A392="","",-SUMIFS(tblRec[المبلغ],tblRec[كود العميل],$A392,tblRec[رقم الفاتورة],"",tblRec[التاريخ],"&lt;="&amp;AsOf)+SUMIFS(tblInv[المتبقي],tblInv[كود العميل],$A392,tblInv[المتبقي],"&lt;0"))</f>
        <v/>
      </c>
      <c r="L392" s="81">
        <f>IF($A392="","",J392+K392)</f>
        <v/>
      </c>
      <c r="M392" s="82">
        <f>IF($A392="","",IFERROR(L392/$L$8,0))</f>
        <v/>
      </c>
      <c r="N392" s="80">
        <f>IF($A392="","",INDEX(tblCustomers[حد الائتمان],MATCH($A392,tblCustomers[كود العميل],0)))</f>
        <v/>
      </c>
      <c r="O392" s="83">
        <f>IF($A392="","",IF(AND(N392&gt;0,L392&gt;N392),"⛔",""))</f>
        <v/>
      </c>
    </row>
    <row r="393">
      <c r="A393" s="78">
        <f>IFERROR(INDEX(tblCustomers[كود العميل],MATCH(384,tblCustomers[ترتيب],0)),"")</f>
        <v/>
      </c>
      <c r="B393" s="79">
        <f>IF($A393="","",INDEX(tblCustomers[اسم العميل],MATCH($A393,tblCustomers[كود العميل],0)))</f>
        <v/>
      </c>
      <c r="C393" s="80">
        <f>IF($A393="","",SUMIFS(tblInv[المتبقي],tblInv[كود العميل],$A393,tblInv[الفترة],C$7))</f>
        <v/>
      </c>
      <c r="D393" s="80">
        <f>IF($A393="","",SUMIFS(tblInv[المتبقي],tblInv[كود العميل],$A393,tblInv[الفترة],D$7))</f>
        <v/>
      </c>
      <c r="E393" s="80">
        <f>IF($A393="","",SUMIFS(tblInv[المتبقي],tblInv[كود العميل],$A393,tblInv[الفترة],E$7))</f>
        <v/>
      </c>
      <c r="F393" s="80">
        <f>IF($A393="","",SUMIFS(tblInv[المتبقي],tblInv[كود العميل],$A393,tblInv[الفترة],F$7))</f>
        <v/>
      </c>
      <c r="G393" s="80">
        <f>IF($A393="","",SUMIFS(tblInv[المتبقي],tblInv[كود العميل],$A393,tblInv[الفترة],G$7))</f>
        <v/>
      </c>
      <c r="H393" s="80">
        <f>IF($A393="","",SUMIFS(tblInv[المتبقي],tblInv[كود العميل],$A393,tblInv[الفترة],H$7))</f>
        <v/>
      </c>
      <c r="I393" s="80">
        <f>IF($A393="","",SUMIFS(tblInv[المتبقي],tblInv[كود العميل],$A393,tblInv[الفترة],I$7))</f>
        <v/>
      </c>
      <c r="J393" s="80">
        <f>IF($A393="","",SUM(C393:I393))</f>
        <v/>
      </c>
      <c r="K393" s="80">
        <f>IF($A393="","",-SUMIFS(tblRec[المبلغ],tblRec[كود العميل],$A393,tblRec[رقم الفاتورة],"",tblRec[التاريخ],"&lt;="&amp;AsOf)+SUMIFS(tblInv[المتبقي],tblInv[كود العميل],$A393,tblInv[المتبقي],"&lt;0"))</f>
        <v/>
      </c>
      <c r="L393" s="81">
        <f>IF($A393="","",J393+K393)</f>
        <v/>
      </c>
      <c r="M393" s="82">
        <f>IF($A393="","",IFERROR(L393/$L$8,0))</f>
        <v/>
      </c>
      <c r="N393" s="80">
        <f>IF($A393="","",INDEX(tblCustomers[حد الائتمان],MATCH($A393,tblCustomers[كود العميل],0)))</f>
        <v/>
      </c>
      <c r="O393" s="83">
        <f>IF($A393="","",IF(AND(N393&gt;0,L393&gt;N393),"⛔",""))</f>
        <v/>
      </c>
    </row>
    <row r="394">
      <c r="A394" s="78">
        <f>IFERROR(INDEX(tblCustomers[كود العميل],MATCH(385,tblCustomers[ترتيب],0)),"")</f>
        <v/>
      </c>
      <c r="B394" s="79">
        <f>IF($A394="","",INDEX(tblCustomers[اسم العميل],MATCH($A394,tblCustomers[كود العميل],0)))</f>
        <v/>
      </c>
      <c r="C394" s="80">
        <f>IF($A394="","",SUMIFS(tblInv[المتبقي],tblInv[كود العميل],$A394,tblInv[الفترة],C$7))</f>
        <v/>
      </c>
      <c r="D394" s="80">
        <f>IF($A394="","",SUMIFS(tblInv[المتبقي],tblInv[كود العميل],$A394,tblInv[الفترة],D$7))</f>
        <v/>
      </c>
      <c r="E394" s="80">
        <f>IF($A394="","",SUMIFS(tblInv[المتبقي],tblInv[كود العميل],$A394,tblInv[الفترة],E$7))</f>
        <v/>
      </c>
      <c r="F394" s="80">
        <f>IF($A394="","",SUMIFS(tblInv[المتبقي],tblInv[كود العميل],$A394,tblInv[الفترة],F$7))</f>
        <v/>
      </c>
      <c r="G394" s="80">
        <f>IF($A394="","",SUMIFS(tblInv[المتبقي],tblInv[كود العميل],$A394,tblInv[الفترة],G$7))</f>
        <v/>
      </c>
      <c r="H394" s="80">
        <f>IF($A394="","",SUMIFS(tblInv[المتبقي],tblInv[كود العميل],$A394,tblInv[الفترة],H$7))</f>
        <v/>
      </c>
      <c r="I394" s="80">
        <f>IF($A394="","",SUMIFS(tblInv[المتبقي],tblInv[كود العميل],$A394,tblInv[الفترة],I$7))</f>
        <v/>
      </c>
      <c r="J394" s="80">
        <f>IF($A394="","",SUM(C394:I394))</f>
        <v/>
      </c>
      <c r="K394" s="80">
        <f>IF($A394="","",-SUMIFS(tblRec[المبلغ],tblRec[كود العميل],$A394,tblRec[رقم الفاتورة],"",tblRec[التاريخ],"&lt;="&amp;AsOf)+SUMIFS(tblInv[المتبقي],tblInv[كود العميل],$A394,tblInv[المتبقي],"&lt;0"))</f>
        <v/>
      </c>
      <c r="L394" s="81">
        <f>IF($A394="","",J394+K394)</f>
        <v/>
      </c>
      <c r="M394" s="82">
        <f>IF($A394="","",IFERROR(L394/$L$8,0))</f>
        <v/>
      </c>
      <c r="N394" s="80">
        <f>IF($A394="","",INDEX(tblCustomers[حد الائتمان],MATCH($A394,tblCustomers[كود العميل],0)))</f>
        <v/>
      </c>
      <c r="O394" s="83">
        <f>IF($A394="","",IF(AND(N394&gt;0,L394&gt;N394),"⛔",""))</f>
        <v/>
      </c>
    </row>
    <row r="395">
      <c r="A395" s="78">
        <f>IFERROR(INDEX(tblCustomers[كود العميل],MATCH(386,tblCustomers[ترتيب],0)),"")</f>
        <v/>
      </c>
      <c r="B395" s="79">
        <f>IF($A395="","",INDEX(tblCustomers[اسم العميل],MATCH($A395,tblCustomers[كود العميل],0)))</f>
        <v/>
      </c>
      <c r="C395" s="80">
        <f>IF($A395="","",SUMIFS(tblInv[المتبقي],tblInv[كود العميل],$A395,tblInv[الفترة],C$7))</f>
        <v/>
      </c>
      <c r="D395" s="80">
        <f>IF($A395="","",SUMIFS(tblInv[المتبقي],tblInv[كود العميل],$A395,tblInv[الفترة],D$7))</f>
        <v/>
      </c>
      <c r="E395" s="80">
        <f>IF($A395="","",SUMIFS(tblInv[المتبقي],tblInv[كود العميل],$A395,tblInv[الفترة],E$7))</f>
        <v/>
      </c>
      <c r="F395" s="80">
        <f>IF($A395="","",SUMIFS(tblInv[المتبقي],tblInv[كود العميل],$A395,tblInv[الفترة],F$7))</f>
        <v/>
      </c>
      <c r="G395" s="80">
        <f>IF($A395="","",SUMIFS(tblInv[المتبقي],tblInv[كود العميل],$A395,tblInv[الفترة],G$7))</f>
        <v/>
      </c>
      <c r="H395" s="80">
        <f>IF($A395="","",SUMIFS(tblInv[المتبقي],tblInv[كود العميل],$A395,tblInv[الفترة],H$7))</f>
        <v/>
      </c>
      <c r="I395" s="80">
        <f>IF($A395="","",SUMIFS(tblInv[المتبقي],tblInv[كود العميل],$A395,tblInv[الفترة],I$7))</f>
        <v/>
      </c>
      <c r="J395" s="80">
        <f>IF($A395="","",SUM(C395:I395))</f>
        <v/>
      </c>
      <c r="K395" s="80">
        <f>IF($A395="","",-SUMIFS(tblRec[المبلغ],tblRec[كود العميل],$A395,tblRec[رقم الفاتورة],"",tblRec[التاريخ],"&lt;="&amp;AsOf)+SUMIFS(tblInv[المتبقي],tblInv[كود العميل],$A395,tblInv[المتبقي],"&lt;0"))</f>
        <v/>
      </c>
      <c r="L395" s="81">
        <f>IF($A395="","",J395+K395)</f>
        <v/>
      </c>
      <c r="M395" s="82">
        <f>IF($A395="","",IFERROR(L395/$L$8,0))</f>
        <v/>
      </c>
      <c r="N395" s="80">
        <f>IF($A395="","",INDEX(tblCustomers[حد الائتمان],MATCH($A395,tblCustomers[كود العميل],0)))</f>
        <v/>
      </c>
      <c r="O395" s="83">
        <f>IF($A395="","",IF(AND(N395&gt;0,L395&gt;N395),"⛔",""))</f>
        <v/>
      </c>
    </row>
    <row r="396">
      <c r="A396" s="78">
        <f>IFERROR(INDEX(tblCustomers[كود العميل],MATCH(387,tblCustomers[ترتيب],0)),"")</f>
        <v/>
      </c>
      <c r="B396" s="79">
        <f>IF($A396="","",INDEX(tblCustomers[اسم العميل],MATCH($A396,tblCustomers[كود العميل],0)))</f>
        <v/>
      </c>
      <c r="C396" s="80">
        <f>IF($A396="","",SUMIFS(tblInv[المتبقي],tblInv[كود العميل],$A396,tblInv[الفترة],C$7))</f>
        <v/>
      </c>
      <c r="D396" s="80">
        <f>IF($A396="","",SUMIFS(tblInv[المتبقي],tblInv[كود العميل],$A396,tblInv[الفترة],D$7))</f>
        <v/>
      </c>
      <c r="E396" s="80">
        <f>IF($A396="","",SUMIFS(tblInv[المتبقي],tblInv[كود العميل],$A396,tblInv[الفترة],E$7))</f>
        <v/>
      </c>
      <c r="F396" s="80">
        <f>IF($A396="","",SUMIFS(tblInv[المتبقي],tblInv[كود العميل],$A396,tblInv[الفترة],F$7))</f>
        <v/>
      </c>
      <c r="G396" s="80">
        <f>IF($A396="","",SUMIFS(tblInv[المتبقي],tblInv[كود العميل],$A396,tblInv[الفترة],G$7))</f>
        <v/>
      </c>
      <c r="H396" s="80">
        <f>IF($A396="","",SUMIFS(tblInv[المتبقي],tblInv[كود العميل],$A396,tblInv[الفترة],H$7))</f>
        <v/>
      </c>
      <c r="I396" s="80">
        <f>IF($A396="","",SUMIFS(tblInv[المتبقي],tblInv[كود العميل],$A396,tblInv[الفترة],I$7))</f>
        <v/>
      </c>
      <c r="J396" s="80">
        <f>IF($A396="","",SUM(C396:I396))</f>
        <v/>
      </c>
      <c r="K396" s="80">
        <f>IF($A396="","",-SUMIFS(tblRec[المبلغ],tblRec[كود العميل],$A396,tblRec[رقم الفاتورة],"",tblRec[التاريخ],"&lt;="&amp;AsOf)+SUMIFS(tblInv[المتبقي],tblInv[كود العميل],$A396,tblInv[المتبقي],"&lt;0"))</f>
        <v/>
      </c>
      <c r="L396" s="81">
        <f>IF($A396="","",J396+K396)</f>
        <v/>
      </c>
      <c r="M396" s="82">
        <f>IF($A396="","",IFERROR(L396/$L$8,0))</f>
        <v/>
      </c>
      <c r="N396" s="80">
        <f>IF($A396="","",INDEX(tblCustomers[حد الائتمان],MATCH($A396,tblCustomers[كود العميل],0)))</f>
        <v/>
      </c>
      <c r="O396" s="83">
        <f>IF($A396="","",IF(AND(N396&gt;0,L396&gt;N396),"⛔",""))</f>
        <v/>
      </c>
    </row>
    <row r="397">
      <c r="A397" s="78">
        <f>IFERROR(INDEX(tblCustomers[كود العميل],MATCH(388,tblCustomers[ترتيب],0)),"")</f>
        <v/>
      </c>
      <c r="B397" s="79">
        <f>IF($A397="","",INDEX(tblCustomers[اسم العميل],MATCH($A397,tblCustomers[كود العميل],0)))</f>
        <v/>
      </c>
      <c r="C397" s="80">
        <f>IF($A397="","",SUMIFS(tblInv[المتبقي],tblInv[كود العميل],$A397,tblInv[الفترة],C$7))</f>
        <v/>
      </c>
      <c r="D397" s="80">
        <f>IF($A397="","",SUMIFS(tblInv[المتبقي],tblInv[كود العميل],$A397,tblInv[الفترة],D$7))</f>
        <v/>
      </c>
      <c r="E397" s="80">
        <f>IF($A397="","",SUMIFS(tblInv[المتبقي],tblInv[كود العميل],$A397,tblInv[الفترة],E$7))</f>
        <v/>
      </c>
      <c r="F397" s="80">
        <f>IF($A397="","",SUMIFS(tblInv[المتبقي],tblInv[كود العميل],$A397,tblInv[الفترة],F$7))</f>
        <v/>
      </c>
      <c r="G397" s="80">
        <f>IF($A397="","",SUMIFS(tblInv[المتبقي],tblInv[كود العميل],$A397,tblInv[الفترة],G$7))</f>
        <v/>
      </c>
      <c r="H397" s="80">
        <f>IF($A397="","",SUMIFS(tblInv[المتبقي],tblInv[كود العميل],$A397,tblInv[الفترة],H$7))</f>
        <v/>
      </c>
      <c r="I397" s="80">
        <f>IF($A397="","",SUMIFS(tblInv[المتبقي],tblInv[كود العميل],$A397,tblInv[الفترة],I$7))</f>
        <v/>
      </c>
      <c r="J397" s="80">
        <f>IF($A397="","",SUM(C397:I397))</f>
        <v/>
      </c>
      <c r="K397" s="80">
        <f>IF($A397="","",-SUMIFS(tblRec[المبلغ],tblRec[كود العميل],$A397,tblRec[رقم الفاتورة],"",tblRec[التاريخ],"&lt;="&amp;AsOf)+SUMIFS(tblInv[المتبقي],tblInv[كود العميل],$A397,tblInv[المتبقي],"&lt;0"))</f>
        <v/>
      </c>
      <c r="L397" s="81">
        <f>IF($A397="","",J397+K397)</f>
        <v/>
      </c>
      <c r="M397" s="82">
        <f>IF($A397="","",IFERROR(L397/$L$8,0))</f>
        <v/>
      </c>
      <c r="N397" s="80">
        <f>IF($A397="","",INDEX(tblCustomers[حد الائتمان],MATCH($A397,tblCustomers[كود العميل],0)))</f>
        <v/>
      </c>
      <c r="O397" s="83">
        <f>IF($A397="","",IF(AND(N397&gt;0,L397&gt;N397),"⛔",""))</f>
        <v/>
      </c>
    </row>
    <row r="398">
      <c r="A398" s="78">
        <f>IFERROR(INDEX(tblCustomers[كود العميل],MATCH(389,tblCustomers[ترتيب],0)),"")</f>
        <v/>
      </c>
      <c r="B398" s="79">
        <f>IF($A398="","",INDEX(tblCustomers[اسم العميل],MATCH($A398,tblCustomers[كود العميل],0)))</f>
        <v/>
      </c>
      <c r="C398" s="80">
        <f>IF($A398="","",SUMIFS(tblInv[المتبقي],tblInv[كود العميل],$A398,tblInv[الفترة],C$7))</f>
        <v/>
      </c>
      <c r="D398" s="80">
        <f>IF($A398="","",SUMIFS(tblInv[المتبقي],tblInv[كود العميل],$A398,tblInv[الفترة],D$7))</f>
        <v/>
      </c>
      <c r="E398" s="80">
        <f>IF($A398="","",SUMIFS(tblInv[المتبقي],tblInv[كود العميل],$A398,tblInv[الفترة],E$7))</f>
        <v/>
      </c>
      <c r="F398" s="80">
        <f>IF($A398="","",SUMIFS(tblInv[المتبقي],tblInv[كود العميل],$A398,tblInv[الفترة],F$7))</f>
        <v/>
      </c>
      <c r="G398" s="80">
        <f>IF($A398="","",SUMIFS(tblInv[المتبقي],tblInv[كود العميل],$A398,tblInv[الفترة],G$7))</f>
        <v/>
      </c>
      <c r="H398" s="80">
        <f>IF($A398="","",SUMIFS(tblInv[المتبقي],tblInv[كود العميل],$A398,tblInv[الفترة],H$7))</f>
        <v/>
      </c>
      <c r="I398" s="80">
        <f>IF($A398="","",SUMIFS(tblInv[المتبقي],tblInv[كود العميل],$A398,tblInv[الفترة],I$7))</f>
        <v/>
      </c>
      <c r="J398" s="80">
        <f>IF($A398="","",SUM(C398:I398))</f>
        <v/>
      </c>
      <c r="K398" s="80">
        <f>IF($A398="","",-SUMIFS(tblRec[المبلغ],tblRec[كود العميل],$A398,tblRec[رقم الفاتورة],"",tblRec[التاريخ],"&lt;="&amp;AsOf)+SUMIFS(tblInv[المتبقي],tblInv[كود العميل],$A398,tblInv[المتبقي],"&lt;0"))</f>
        <v/>
      </c>
      <c r="L398" s="81">
        <f>IF($A398="","",J398+K398)</f>
        <v/>
      </c>
      <c r="M398" s="82">
        <f>IF($A398="","",IFERROR(L398/$L$8,0))</f>
        <v/>
      </c>
      <c r="N398" s="80">
        <f>IF($A398="","",INDEX(tblCustomers[حد الائتمان],MATCH($A398,tblCustomers[كود العميل],0)))</f>
        <v/>
      </c>
      <c r="O398" s="83">
        <f>IF($A398="","",IF(AND(N398&gt;0,L398&gt;N398),"⛔",""))</f>
        <v/>
      </c>
    </row>
    <row r="399">
      <c r="A399" s="78">
        <f>IFERROR(INDEX(tblCustomers[كود العميل],MATCH(390,tblCustomers[ترتيب],0)),"")</f>
        <v/>
      </c>
      <c r="B399" s="79">
        <f>IF($A399="","",INDEX(tblCustomers[اسم العميل],MATCH($A399,tblCustomers[كود العميل],0)))</f>
        <v/>
      </c>
      <c r="C399" s="80">
        <f>IF($A399="","",SUMIFS(tblInv[المتبقي],tblInv[كود العميل],$A399,tblInv[الفترة],C$7))</f>
        <v/>
      </c>
      <c r="D399" s="80">
        <f>IF($A399="","",SUMIFS(tblInv[المتبقي],tblInv[كود العميل],$A399,tblInv[الفترة],D$7))</f>
        <v/>
      </c>
      <c r="E399" s="80">
        <f>IF($A399="","",SUMIFS(tblInv[المتبقي],tblInv[كود العميل],$A399,tblInv[الفترة],E$7))</f>
        <v/>
      </c>
      <c r="F399" s="80">
        <f>IF($A399="","",SUMIFS(tblInv[المتبقي],tblInv[كود العميل],$A399,tblInv[الفترة],F$7))</f>
        <v/>
      </c>
      <c r="G399" s="80">
        <f>IF($A399="","",SUMIFS(tblInv[المتبقي],tblInv[كود العميل],$A399,tblInv[الفترة],G$7))</f>
        <v/>
      </c>
      <c r="H399" s="80">
        <f>IF($A399="","",SUMIFS(tblInv[المتبقي],tblInv[كود العميل],$A399,tblInv[الفترة],H$7))</f>
        <v/>
      </c>
      <c r="I399" s="80">
        <f>IF($A399="","",SUMIFS(tblInv[المتبقي],tblInv[كود العميل],$A399,tblInv[الفترة],I$7))</f>
        <v/>
      </c>
      <c r="J399" s="80">
        <f>IF($A399="","",SUM(C399:I399))</f>
        <v/>
      </c>
      <c r="K399" s="80">
        <f>IF($A399="","",-SUMIFS(tblRec[المبلغ],tblRec[كود العميل],$A399,tblRec[رقم الفاتورة],"",tblRec[التاريخ],"&lt;="&amp;AsOf)+SUMIFS(tblInv[المتبقي],tblInv[كود العميل],$A399,tblInv[المتبقي],"&lt;0"))</f>
        <v/>
      </c>
      <c r="L399" s="81">
        <f>IF($A399="","",J399+K399)</f>
        <v/>
      </c>
      <c r="M399" s="82">
        <f>IF($A399="","",IFERROR(L399/$L$8,0))</f>
        <v/>
      </c>
      <c r="N399" s="80">
        <f>IF($A399="","",INDEX(tblCustomers[حد الائتمان],MATCH($A399,tblCustomers[كود العميل],0)))</f>
        <v/>
      </c>
      <c r="O399" s="83">
        <f>IF($A399="","",IF(AND(N399&gt;0,L399&gt;N399),"⛔",""))</f>
        <v/>
      </c>
    </row>
    <row r="400">
      <c r="A400" s="78">
        <f>IFERROR(INDEX(tblCustomers[كود العميل],MATCH(391,tblCustomers[ترتيب],0)),"")</f>
        <v/>
      </c>
      <c r="B400" s="79">
        <f>IF($A400="","",INDEX(tblCustomers[اسم العميل],MATCH($A400,tblCustomers[كود العميل],0)))</f>
        <v/>
      </c>
      <c r="C400" s="80">
        <f>IF($A400="","",SUMIFS(tblInv[المتبقي],tblInv[كود العميل],$A400,tblInv[الفترة],C$7))</f>
        <v/>
      </c>
      <c r="D400" s="80">
        <f>IF($A400="","",SUMIFS(tblInv[المتبقي],tblInv[كود العميل],$A400,tblInv[الفترة],D$7))</f>
        <v/>
      </c>
      <c r="E400" s="80">
        <f>IF($A400="","",SUMIFS(tblInv[المتبقي],tblInv[كود العميل],$A400,tblInv[الفترة],E$7))</f>
        <v/>
      </c>
      <c r="F400" s="80">
        <f>IF($A400="","",SUMIFS(tblInv[المتبقي],tblInv[كود العميل],$A400,tblInv[الفترة],F$7))</f>
        <v/>
      </c>
      <c r="G400" s="80">
        <f>IF($A400="","",SUMIFS(tblInv[المتبقي],tblInv[كود العميل],$A400,tblInv[الفترة],G$7))</f>
        <v/>
      </c>
      <c r="H400" s="80">
        <f>IF($A400="","",SUMIFS(tblInv[المتبقي],tblInv[كود العميل],$A400,tblInv[الفترة],H$7))</f>
        <v/>
      </c>
      <c r="I400" s="80">
        <f>IF($A400="","",SUMIFS(tblInv[المتبقي],tblInv[كود العميل],$A400,tblInv[الفترة],I$7))</f>
        <v/>
      </c>
      <c r="J400" s="80">
        <f>IF($A400="","",SUM(C400:I400))</f>
        <v/>
      </c>
      <c r="K400" s="80">
        <f>IF($A400="","",-SUMIFS(tblRec[المبلغ],tblRec[كود العميل],$A400,tblRec[رقم الفاتورة],"",tblRec[التاريخ],"&lt;="&amp;AsOf)+SUMIFS(tblInv[المتبقي],tblInv[كود العميل],$A400,tblInv[المتبقي],"&lt;0"))</f>
        <v/>
      </c>
      <c r="L400" s="81">
        <f>IF($A400="","",J400+K400)</f>
        <v/>
      </c>
      <c r="M400" s="82">
        <f>IF($A400="","",IFERROR(L400/$L$8,0))</f>
        <v/>
      </c>
      <c r="N400" s="80">
        <f>IF($A400="","",INDEX(tblCustomers[حد الائتمان],MATCH($A400,tblCustomers[كود العميل],0)))</f>
        <v/>
      </c>
      <c r="O400" s="83">
        <f>IF($A400="","",IF(AND(N400&gt;0,L400&gt;N400),"⛔",""))</f>
        <v/>
      </c>
    </row>
    <row r="401">
      <c r="A401" s="78">
        <f>IFERROR(INDEX(tblCustomers[كود العميل],MATCH(392,tblCustomers[ترتيب],0)),"")</f>
        <v/>
      </c>
      <c r="B401" s="79">
        <f>IF($A401="","",INDEX(tblCustomers[اسم العميل],MATCH($A401,tblCustomers[كود العميل],0)))</f>
        <v/>
      </c>
      <c r="C401" s="80">
        <f>IF($A401="","",SUMIFS(tblInv[المتبقي],tblInv[كود العميل],$A401,tblInv[الفترة],C$7))</f>
        <v/>
      </c>
      <c r="D401" s="80">
        <f>IF($A401="","",SUMIFS(tblInv[المتبقي],tblInv[كود العميل],$A401,tblInv[الفترة],D$7))</f>
        <v/>
      </c>
      <c r="E401" s="80">
        <f>IF($A401="","",SUMIFS(tblInv[المتبقي],tblInv[كود العميل],$A401,tblInv[الفترة],E$7))</f>
        <v/>
      </c>
      <c r="F401" s="80">
        <f>IF($A401="","",SUMIFS(tblInv[المتبقي],tblInv[كود العميل],$A401,tblInv[الفترة],F$7))</f>
        <v/>
      </c>
      <c r="G401" s="80">
        <f>IF($A401="","",SUMIFS(tblInv[المتبقي],tblInv[كود العميل],$A401,tblInv[الفترة],G$7))</f>
        <v/>
      </c>
      <c r="H401" s="80">
        <f>IF($A401="","",SUMIFS(tblInv[المتبقي],tblInv[كود العميل],$A401,tblInv[الفترة],H$7))</f>
        <v/>
      </c>
      <c r="I401" s="80">
        <f>IF($A401="","",SUMIFS(tblInv[المتبقي],tblInv[كود العميل],$A401,tblInv[الفترة],I$7))</f>
        <v/>
      </c>
      <c r="J401" s="80">
        <f>IF($A401="","",SUM(C401:I401))</f>
        <v/>
      </c>
      <c r="K401" s="80">
        <f>IF($A401="","",-SUMIFS(tblRec[المبلغ],tblRec[كود العميل],$A401,tblRec[رقم الفاتورة],"",tblRec[التاريخ],"&lt;="&amp;AsOf)+SUMIFS(tblInv[المتبقي],tblInv[كود العميل],$A401,tblInv[المتبقي],"&lt;0"))</f>
        <v/>
      </c>
      <c r="L401" s="81">
        <f>IF($A401="","",J401+K401)</f>
        <v/>
      </c>
      <c r="M401" s="82">
        <f>IF($A401="","",IFERROR(L401/$L$8,0))</f>
        <v/>
      </c>
      <c r="N401" s="80">
        <f>IF($A401="","",INDEX(tblCustomers[حد الائتمان],MATCH($A401,tblCustomers[كود العميل],0)))</f>
        <v/>
      </c>
      <c r="O401" s="83">
        <f>IF($A401="","",IF(AND(N401&gt;0,L401&gt;N401),"⛔",""))</f>
        <v/>
      </c>
    </row>
    <row r="402">
      <c r="A402" s="78">
        <f>IFERROR(INDEX(tblCustomers[كود العميل],MATCH(393,tblCustomers[ترتيب],0)),"")</f>
        <v/>
      </c>
      <c r="B402" s="79">
        <f>IF($A402="","",INDEX(tblCustomers[اسم العميل],MATCH($A402,tblCustomers[كود العميل],0)))</f>
        <v/>
      </c>
      <c r="C402" s="80">
        <f>IF($A402="","",SUMIFS(tblInv[المتبقي],tblInv[كود العميل],$A402,tblInv[الفترة],C$7))</f>
        <v/>
      </c>
      <c r="D402" s="80">
        <f>IF($A402="","",SUMIFS(tblInv[المتبقي],tblInv[كود العميل],$A402,tblInv[الفترة],D$7))</f>
        <v/>
      </c>
      <c r="E402" s="80">
        <f>IF($A402="","",SUMIFS(tblInv[المتبقي],tblInv[كود العميل],$A402,tblInv[الفترة],E$7))</f>
        <v/>
      </c>
      <c r="F402" s="80">
        <f>IF($A402="","",SUMIFS(tblInv[المتبقي],tblInv[كود العميل],$A402,tblInv[الفترة],F$7))</f>
        <v/>
      </c>
      <c r="G402" s="80">
        <f>IF($A402="","",SUMIFS(tblInv[المتبقي],tblInv[كود العميل],$A402,tblInv[الفترة],G$7))</f>
        <v/>
      </c>
      <c r="H402" s="80">
        <f>IF($A402="","",SUMIFS(tblInv[المتبقي],tblInv[كود العميل],$A402,tblInv[الفترة],H$7))</f>
        <v/>
      </c>
      <c r="I402" s="80">
        <f>IF($A402="","",SUMIFS(tblInv[المتبقي],tblInv[كود العميل],$A402,tblInv[الفترة],I$7))</f>
        <v/>
      </c>
      <c r="J402" s="80">
        <f>IF($A402="","",SUM(C402:I402))</f>
        <v/>
      </c>
      <c r="K402" s="80">
        <f>IF($A402="","",-SUMIFS(tblRec[المبلغ],tblRec[كود العميل],$A402,tblRec[رقم الفاتورة],"",tblRec[التاريخ],"&lt;="&amp;AsOf)+SUMIFS(tblInv[المتبقي],tblInv[كود العميل],$A402,tblInv[المتبقي],"&lt;0"))</f>
        <v/>
      </c>
      <c r="L402" s="81">
        <f>IF($A402="","",J402+K402)</f>
        <v/>
      </c>
      <c r="M402" s="82">
        <f>IF($A402="","",IFERROR(L402/$L$8,0))</f>
        <v/>
      </c>
      <c r="N402" s="80">
        <f>IF($A402="","",INDEX(tblCustomers[حد الائتمان],MATCH($A402,tblCustomers[كود العميل],0)))</f>
        <v/>
      </c>
      <c r="O402" s="83">
        <f>IF($A402="","",IF(AND(N402&gt;0,L402&gt;N402),"⛔",""))</f>
        <v/>
      </c>
    </row>
    <row r="403">
      <c r="A403" s="78">
        <f>IFERROR(INDEX(tblCustomers[كود العميل],MATCH(394,tblCustomers[ترتيب],0)),"")</f>
        <v/>
      </c>
      <c r="B403" s="79">
        <f>IF($A403="","",INDEX(tblCustomers[اسم العميل],MATCH($A403,tblCustomers[كود العميل],0)))</f>
        <v/>
      </c>
      <c r="C403" s="80">
        <f>IF($A403="","",SUMIFS(tblInv[المتبقي],tblInv[كود العميل],$A403,tblInv[الفترة],C$7))</f>
        <v/>
      </c>
      <c r="D403" s="80">
        <f>IF($A403="","",SUMIFS(tblInv[المتبقي],tblInv[كود العميل],$A403,tblInv[الفترة],D$7))</f>
        <v/>
      </c>
      <c r="E403" s="80">
        <f>IF($A403="","",SUMIFS(tblInv[المتبقي],tblInv[كود العميل],$A403,tblInv[الفترة],E$7))</f>
        <v/>
      </c>
      <c r="F403" s="80">
        <f>IF($A403="","",SUMIFS(tblInv[المتبقي],tblInv[كود العميل],$A403,tblInv[الفترة],F$7))</f>
        <v/>
      </c>
      <c r="G403" s="80">
        <f>IF($A403="","",SUMIFS(tblInv[المتبقي],tblInv[كود العميل],$A403,tblInv[الفترة],G$7))</f>
        <v/>
      </c>
      <c r="H403" s="80">
        <f>IF($A403="","",SUMIFS(tblInv[المتبقي],tblInv[كود العميل],$A403,tblInv[الفترة],H$7))</f>
        <v/>
      </c>
      <c r="I403" s="80">
        <f>IF($A403="","",SUMIFS(tblInv[المتبقي],tblInv[كود العميل],$A403,tblInv[الفترة],I$7))</f>
        <v/>
      </c>
      <c r="J403" s="80">
        <f>IF($A403="","",SUM(C403:I403))</f>
        <v/>
      </c>
      <c r="K403" s="80">
        <f>IF($A403="","",-SUMIFS(tblRec[المبلغ],tblRec[كود العميل],$A403,tblRec[رقم الفاتورة],"",tblRec[التاريخ],"&lt;="&amp;AsOf)+SUMIFS(tblInv[المتبقي],tblInv[كود العميل],$A403,tblInv[المتبقي],"&lt;0"))</f>
        <v/>
      </c>
      <c r="L403" s="81">
        <f>IF($A403="","",J403+K403)</f>
        <v/>
      </c>
      <c r="M403" s="82">
        <f>IF($A403="","",IFERROR(L403/$L$8,0))</f>
        <v/>
      </c>
      <c r="N403" s="80">
        <f>IF($A403="","",INDEX(tblCustomers[حد الائتمان],MATCH($A403,tblCustomers[كود العميل],0)))</f>
        <v/>
      </c>
      <c r="O403" s="83">
        <f>IF($A403="","",IF(AND(N403&gt;0,L403&gt;N403),"⛔",""))</f>
        <v/>
      </c>
    </row>
    <row r="404">
      <c r="A404" s="78">
        <f>IFERROR(INDEX(tblCustomers[كود العميل],MATCH(395,tblCustomers[ترتيب],0)),"")</f>
        <v/>
      </c>
      <c r="B404" s="79">
        <f>IF($A404="","",INDEX(tblCustomers[اسم العميل],MATCH($A404,tblCustomers[كود العميل],0)))</f>
        <v/>
      </c>
      <c r="C404" s="80">
        <f>IF($A404="","",SUMIFS(tblInv[المتبقي],tblInv[كود العميل],$A404,tblInv[الفترة],C$7))</f>
        <v/>
      </c>
      <c r="D404" s="80">
        <f>IF($A404="","",SUMIFS(tblInv[المتبقي],tblInv[كود العميل],$A404,tblInv[الفترة],D$7))</f>
        <v/>
      </c>
      <c r="E404" s="80">
        <f>IF($A404="","",SUMIFS(tblInv[المتبقي],tblInv[كود العميل],$A404,tblInv[الفترة],E$7))</f>
        <v/>
      </c>
      <c r="F404" s="80">
        <f>IF($A404="","",SUMIFS(tblInv[المتبقي],tblInv[كود العميل],$A404,tblInv[الفترة],F$7))</f>
        <v/>
      </c>
      <c r="G404" s="80">
        <f>IF($A404="","",SUMIFS(tblInv[المتبقي],tblInv[كود العميل],$A404,tblInv[الفترة],G$7))</f>
        <v/>
      </c>
      <c r="H404" s="80">
        <f>IF($A404="","",SUMIFS(tblInv[المتبقي],tblInv[كود العميل],$A404,tblInv[الفترة],H$7))</f>
        <v/>
      </c>
      <c r="I404" s="80">
        <f>IF($A404="","",SUMIFS(tblInv[المتبقي],tblInv[كود العميل],$A404,tblInv[الفترة],I$7))</f>
        <v/>
      </c>
      <c r="J404" s="80">
        <f>IF($A404="","",SUM(C404:I404))</f>
        <v/>
      </c>
      <c r="K404" s="80">
        <f>IF($A404="","",-SUMIFS(tblRec[المبلغ],tblRec[كود العميل],$A404,tblRec[رقم الفاتورة],"",tblRec[التاريخ],"&lt;="&amp;AsOf)+SUMIFS(tblInv[المتبقي],tblInv[كود العميل],$A404,tblInv[المتبقي],"&lt;0"))</f>
        <v/>
      </c>
      <c r="L404" s="81">
        <f>IF($A404="","",J404+K404)</f>
        <v/>
      </c>
      <c r="M404" s="82">
        <f>IF($A404="","",IFERROR(L404/$L$8,0))</f>
        <v/>
      </c>
      <c r="N404" s="80">
        <f>IF($A404="","",INDEX(tblCustomers[حد الائتمان],MATCH($A404,tblCustomers[كود العميل],0)))</f>
        <v/>
      </c>
      <c r="O404" s="83">
        <f>IF($A404="","",IF(AND(N404&gt;0,L404&gt;N404),"⛔",""))</f>
        <v/>
      </c>
    </row>
    <row r="405">
      <c r="A405" s="78">
        <f>IFERROR(INDEX(tblCustomers[كود العميل],MATCH(396,tblCustomers[ترتيب],0)),"")</f>
        <v/>
      </c>
      <c r="B405" s="79">
        <f>IF($A405="","",INDEX(tblCustomers[اسم العميل],MATCH($A405,tblCustomers[كود العميل],0)))</f>
        <v/>
      </c>
      <c r="C405" s="80">
        <f>IF($A405="","",SUMIFS(tblInv[المتبقي],tblInv[كود العميل],$A405,tblInv[الفترة],C$7))</f>
        <v/>
      </c>
      <c r="D405" s="80">
        <f>IF($A405="","",SUMIFS(tblInv[المتبقي],tblInv[كود العميل],$A405,tblInv[الفترة],D$7))</f>
        <v/>
      </c>
      <c r="E405" s="80">
        <f>IF($A405="","",SUMIFS(tblInv[المتبقي],tblInv[كود العميل],$A405,tblInv[الفترة],E$7))</f>
        <v/>
      </c>
      <c r="F405" s="80">
        <f>IF($A405="","",SUMIFS(tblInv[المتبقي],tblInv[كود العميل],$A405,tblInv[الفترة],F$7))</f>
        <v/>
      </c>
      <c r="G405" s="80">
        <f>IF($A405="","",SUMIFS(tblInv[المتبقي],tblInv[كود العميل],$A405,tblInv[الفترة],G$7))</f>
        <v/>
      </c>
      <c r="H405" s="80">
        <f>IF($A405="","",SUMIFS(tblInv[المتبقي],tblInv[كود العميل],$A405,tblInv[الفترة],H$7))</f>
        <v/>
      </c>
      <c r="I405" s="80">
        <f>IF($A405="","",SUMIFS(tblInv[المتبقي],tblInv[كود العميل],$A405,tblInv[الفترة],I$7))</f>
        <v/>
      </c>
      <c r="J405" s="80">
        <f>IF($A405="","",SUM(C405:I405))</f>
        <v/>
      </c>
      <c r="K405" s="80">
        <f>IF($A405="","",-SUMIFS(tblRec[المبلغ],tblRec[كود العميل],$A405,tblRec[رقم الفاتورة],"",tblRec[التاريخ],"&lt;="&amp;AsOf)+SUMIFS(tblInv[المتبقي],tblInv[كود العميل],$A405,tblInv[المتبقي],"&lt;0"))</f>
        <v/>
      </c>
      <c r="L405" s="81">
        <f>IF($A405="","",J405+K405)</f>
        <v/>
      </c>
      <c r="M405" s="82">
        <f>IF($A405="","",IFERROR(L405/$L$8,0))</f>
        <v/>
      </c>
      <c r="N405" s="80">
        <f>IF($A405="","",INDEX(tblCustomers[حد الائتمان],MATCH($A405,tblCustomers[كود العميل],0)))</f>
        <v/>
      </c>
      <c r="O405" s="83">
        <f>IF($A405="","",IF(AND(N405&gt;0,L405&gt;N405),"⛔",""))</f>
        <v/>
      </c>
    </row>
    <row r="406">
      <c r="A406" s="78">
        <f>IFERROR(INDEX(tblCustomers[كود العميل],MATCH(397,tblCustomers[ترتيب],0)),"")</f>
        <v/>
      </c>
      <c r="B406" s="79">
        <f>IF($A406="","",INDEX(tblCustomers[اسم العميل],MATCH($A406,tblCustomers[كود العميل],0)))</f>
        <v/>
      </c>
      <c r="C406" s="80">
        <f>IF($A406="","",SUMIFS(tblInv[المتبقي],tblInv[كود العميل],$A406,tblInv[الفترة],C$7))</f>
        <v/>
      </c>
      <c r="D406" s="80">
        <f>IF($A406="","",SUMIFS(tblInv[المتبقي],tblInv[كود العميل],$A406,tblInv[الفترة],D$7))</f>
        <v/>
      </c>
      <c r="E406" s="80">
        <f>IF($A406="","",SUMIFS(tblInv[المتبقي],tblInv[كود العميل],$A406,tblInv[الفترة],E$7))</f>
        <v/>
      </c>
      <c r="F406" s="80">
        <f>IF($A406="","",SUMIFS(tblInv[المتبقي],tblInv[كود العميل],$A406,tblInv[الفترة],F$7))</f>
        <v/>
      </c>
      <c r="G406" s="80">
        <f>IF($A406="","",SUMIFS(tblInv[المتبقي],tblInv[كود العميل],$A406,tblInv[الفترة],G$7))</f>
        <v/>
      </c>
      <c r="H406" s="80">
        <f>IF($A406="","",SUMIFS(tblInv[المتبقي],tblInv[كود العميل],$A406,tblInv[الفترة],H$7))</f>
        <v/>
      </c>
      <c r="I406" s="80">
        <f>IF($A406="","",SUMIFS(tblInv[المتبقي],tblInv[كود العميل],$A406,tblInv[الفترة],I$7))</f>
        <v/>
      </c>
      <c r="J406" s="80">
        <f>IF($A406="","",SUM(C406:I406))</f>
        <v/>
      </c>
      <c r="K406" s="80">
        <f>IF($A406="","",-SUMIFS(tblRec[المبلغ],tblRec[كود العميل],$A406,tblRec[رقم الفاتورة],"",tblRec[التاريخ],"&lt;="&amp;AsOf)+SUMIFS(tblInv[المتبقي],tblInv[كود العميل],$A406,tblInv[المتبقي],"&lt;0"))</f>
        <v/>
      </c>
      <c r="L406" s="81">
        <f>IF($A406="","",J406+K406)</f>
        <v/>
      </c>
      <c r="M406" s="82">
        <f>IF($A406="","",IFERROR(L406/$L$8,0))</f>
        <v/>
      </c>
      <c r="N406" s="80">
        <f>IF($A406="","",INDEX(tblCustomers[حد الائتمان],MATCH($A406,tblCustomers[كود العميل],0)))</f>
        <v/>
      </c>
      <c r="O406" s="83">
        <f>IF($A406="","",IF(AND(N406&gt;0,L406&gt;N406),"⛔",""))</f>
        <v/>
      </c>
    </row>
    <row r="407">
      <c r="A407" s="78">
        <f>IFERROR(INDEX(tblCustomers[كود العميل],MATCH(398,tblCustomers[ترتيب],0)),"")</f>
        <v/>
      </c>
      <c r="B407" s="79">
        <f>IF($A407="","",INDEX(tblCustomers[اسم العميل],MATCH($A407,tblCustomers[كود العميل],0)))</f>
        <v/>
      </c>
      <c r="C407" s="80">
        <f>IF($A407="","",SUMIFS(tblInv[المتبقي],tblInv[كود العميل],$A407,tblInv[الفترة],C$7))</f>
        <v/>
      </c>
      <c r="D407" s="80">
        <f>IF($A407="","",SUMIFS(tblInv[المتبقي],tblInv[كود العميل],$A407,tblInv[الفترة],D$7))</f>
        <v/>
      </c>
      <c r="E407" s="80">
        <f>IF($A407="","",SUMIFS(tblInv[المتبقي],tblInv[كود العميل],$A407,tblInv[الفترة],E$7))</f>
        <v/>
      </c>
      <c r="F407" s="80">
        <f>IF($A407="","",SUMIFS(tblInv[المتبقي],tblInv[كود العميل],$A407,tblInv[الفترة],F$7))</f>
        <v/>
      </c>
      <c r="G407" s="80">
        <f>IF($A407="","",SUMIFS(tblInv[المتبقي],tblInv[كود العميل],$A407,tblInv[الفترة],G$7))</f>
        <v/>
      </c>
      <c r="H407" s="80">
        <f>IF($A407="","",SUMIFS(tblInv[المتبقي],tblInv[كود العميل],$A407,tblInv[الفترة],H$7))</f>
        <v/>
      </c>
      <c r="I407" s="80">
        <f>IF($A407="","",SUMIFS(tblInv[المتبقي],tblInv[كود العميل],$A407,tblInv[الفترة],I$7))</f>
        <v/>
      </c>
      <c r="J407" s="80">
        <f>IF($A407="","",SUM(C407:I407))</f>
        <v/>
      </c>
      <c r="K407" s="80">
        <f>IF($A407="","",-SUMIFS(tblRec[المبلغ],tblRec[كود العميل],$A407,tblRec[رقم الفاتورة],"",tblRec[التاريخ],"&lt;="&amp;AsOf)+SUMIFS(tblInv[المتبقي],tblInv[كود العميل],$A407,tblInv[المتبقي],"&lt;0"))</f>
        <v/>
      </c>
      <c r="L407" s="81">
        <f>IF($A407="","",J407+K407)</f>
        <v/>
      </c>
      <c r="M407" s="82">
        <f>IF($A407="","",IFERROR(L407/$L$8,0))</f>
        <v/>
      </c>
      <c r="N407" s="80">
        <f>IF($A407="","",INDEX(tblCustomers[حد الائتمان],MATCH($A407,tblCustomers[كود العميل],0)))</f>
        <v/>
      </c>
      <c r="O407" s="83">
        <f>IF($A407="","",IF(AND(N407&gt;0,L407&gt;N407),"⛔",""))</f>
        <v/>
      </c>
    </row>
    <row r="408">
      <c r="A408" s="78">
        <f>IFERROR(INDEX(tblCustomers[كود العميل],MATCH(399,tblCustomers[ترتيب],0)),"")</f>
        <v/>
      </c>
      <c r="B408" s="79">
        <f>IF($A408="","",INDEX(tblCustomers[اسم العميل],MATCH($A408,tblCustomers[كود العميل],0)))</f>
        <v/>
      </c>
      <c r="C408" s="80">
        <f>IF($A408="","",SUMIFS(tblInv[المتبقي],tblInv[كود العميل],$A408,tblInv[الفترة],C$7))</f>
        <v/>
      </c>
      <c r="D408" s="80">
        <f>IF($A408="","",SUMIFS(tblInv[المتبقي],tblInv[كود العميل],$A408,tblInv[الفترة],D$7))</f>
        <v/>
      </c>
      <c r="E408" s="80">
        <f>IF($A408="","",SUMIFS(tblInv[المتبقي],tblInv[كود العميل],$A408,tblInv[الفترة],E$7))</f>
        <v/>
      </c>
      <c r="F408" s="80">
        <f>IF($A408="","",SUMIFS(tblInv[المتبقي],tblInv[كود العميل],$A408,tblInv[الفترة],F$7))</f>
        <v/>
      </c>
      <c r="G408" s="80">
        <f>IF($A408="","",SUMIFS(tblInv[المتبقي],tblInv[كود العميل],$A408,tblInv[الفترة],G$7))</f>
        <v/>
      </c>
      <c r="H408" s="80">
        <f>IF($A408="","",SUMIFS(tblInv[المتبقي],tblInv[كود العميل],$A408,tblInv[الفترة],H$7))</f>
        <v/>
      </c>
      <c r="I408" s="80">
        <f>IF($A408="","",SUMIFS(tblInv[المتبقي],tblInv[كود العميل],$A408,tblInv[الفترة],I$7))</f>
        <v/>
      </c>
      <c r="J408" s="80">
        <f>IF($A408="","",SUM(C408:I408))</f>
        <v/>
      </c>
      <c r="K408" s="80">
        <f>IF($A408="","",-SUMIFS(tblRec[المبلغ],tblRec[كود العميل],$A408,tblRec[رقم الفاتورة],"",tblRec[التاريخ],"&lt;="&amp;AsOf)+SUMIFS(tblInv[المتبقي],tblInv[كود العميل],$A408,tblInv[المتبقي],"&lt;0"))</f>
        <v/>
      </c>
      <c r="L408" s="81">
        <f>IF($A408="","",J408+K408)</f>
        <v/>
      </c>
      <c r="M408" s="82">
        <f>IF($A408="","",IFERROR(L408/$L$8,0))</f>
        <v/>
      </c>
      <c r="N408" s="80">
        <f>IF($A408="","",INDEX(tblCustomers[حد الائتمان],MATCH($A408,tblCustomers[كود العميل],0)))</f>
        <v/>
      </c>
      <c r="O408" s="83">
        <f>IF($A408="","",IF(AND(N408&gt;0,L408&gt;N408),"⛔",""))</f>
        <v/>
      </c>
    </row>
    <row r="409">
      <c r="A409" s="78">
        <f>IFERROR(INDEX(tblCustomers[كود العميل],MATCH(400,tblCustomers[ترتيب],0)),"")</f>
        <v/>
      </c>
      <c r="B409" s="79">
        <f>IF($A409="","",INDEX(tblCustomers[اسم العميل],MATCH($A409,tblCustomers[كود العميل],0)))</f>
        <v/>
      </c>
      <c r="C409" s="80">
        <f>IF($A409="","",SUMIFS(tblInv[المتبقي],tblInv[كود العميل],$A409,tblInv[الفترة],C$7))</f>
        <v/>
      </c>
      <c r="D409" s="80">
        <f>IF($A409="","",SUMIFS(tblInv[المتبقي],tblInv[كود العميل],$A409,tblInv[الفترة],D$7))</f>
        <v/>
      </c>
      <c r="E409" s="80">
        <f>IF($A409="","",SUMIFS(tblInv[المتبقي],tblInv[كود العميل],$A409,tblInv[الفترة],E$7))</f>
        <v/>
      </c>
      <c r="F409" s="80">
        <f>IF($A409="","",SUMIFS(tblInv[المتبقي],tblInv[كود العميل],$A409,tblInv[الفترة],F$7))</f>
        <v/>
      </c>
      <c r="G409" s="80">
        <f>IF($A409="","",SUMIFS(tblInv[المتبقي],tblInv[كود العميل],$A409,tblInv[الفترة],G$7))</f>
        <v/>
      </c>
      <c r="H409" s="80">
        <f>IF($A409="","",SUMIFS(tblInv[المتبقي],tblInv[كود العميل],$A409,tblInv[الفترة],H$7))</f>
        <v/>
      </c>
      <c r="I409" s="80">
        <f>IF($A409="","",SUMIFS(tblInv[المتبقي],tblInv[كود العميل],$A409,tblInv[الفترة],I$7))</f>
        <v/>
      </c>
      <c r="J409" s="80">
        <f>IF($A409="","",SUM(C409:I409))</f>
        <v/>
      </c>
      <c r="K409" s="80">
        <f>IF($A409="","",-SUMIFS(tblRec[المبلغ],tblRec[كود العميل],$A409,tblRec[رقم الفاتورة],"",tblRec[التاريخ],"&lt;="&amp;AsOf)+SUMIFS(tblInv[المتبقي],tblInv[كود العميل],$A409,tblInv[المتبقي],"&lt;0"))</f>
        <v/>
      </c>
      <c r="L409" s="81">
        <f>IF($A409="","",J409+K409)</f>
        <v/>
      </c>
      <c r="M409" s="82">
        <f>IF($A409="","",IFERROR(L409/$L$8,0))</f>
        <v/>
      </c>
      <c r="N409" s="80">
        <f>IF($A409="","",INDEX(tblCustomers[حد الائتمان],MATCH($A409,tblCustomers[كود العميل],0)))</f>
        <v/>
      </c>
      <c r="O409" s="83">
        <f>IF($A409="","",IF(AND(N409&gt;0,L409&gt;N409),"⛔",""))</f>
        <v/>
      </c>
    </row>
    <row r="410">
      <c r="A410" s="78">
        <f>IFERROR(INDEX(tblCustomers[كود العميل],MATCH(401,tblCustomers[ترتيب],0)),"")</f>
        <v/>
      </c>
      <c r="B410" s="79">
        <f>IF($A410="","",INDEX(tblCustomers[اسم العميل],MATCH($A410,tblCustomers[كود العميل],0)))</f>
        <v/>
      </c>
      <c r="C410" s="80">
        <f>IF($A410="","",SUMIFS(tblInv[المتبقي],tblInv[كود العميل],$A410,tblInv[الفترة],C$7))</f>
        <v/>
      </c>
      <c r="D410" s="80">
        <f>IF($A410="","",SUMIFS(tblInv[المتبقي],tblInv[كود العميل],$A410,tblInv[الفترة],D$7))</f>
        <v/>
      </c>
      <c r="E410" s="80">
        <f>IF($A410="","",SUMIFS(tblInv[المتبقي],tblInv[كود العميل],$A410,tblInv[الفترة],E$7))</f>
        <v/>
      </c>
      <c r="F410" s="80">
        <f>IF($A410="","",SUMIFS(tblInv[المتبقي],tblInv[كود العميل],$A410,tblInv[الفترة],F$7))</f>
        <v/>
      </c>
      <c r="G410" s="80">
        <f>IF($A410="","",SUMIFS(tblInv[المتبقي],tblInv[كود العميل],$A410,tblInv[الفترة],G$7))</f>
        <v/>
      </c>
      <c r="H410" s="80">
        <f>IF($A410="","",SUMIFS(tblInv[المتبقي],tblInv[كود العميل],$A410,tblInv[الفترة],H$7))</f>
        <v/>
      </c>
      <c r="I410" s="80">
        <f>IF($A410="","",SUMIFS(tblInv[المتبقي],tblInv[كود العميل],$A410,tblInv[الفترة],I$7))</f>
        <v/>
      </c>
      <c r="J410" s="80">
        <f>IF($A410="","",SUM(C410:I410))</f>
        <v/>
      </c>
      <c r="K410" s="80">
        <f>IF($A410="","",-SUMIFS(tblRec[المبلغ],tblRec[كود العميل],$A410,tblRec[رقم الفاتورة],"",tblRec[التاريخ],"&lt;="&amp;AsOf)+SUMIFS(tblInv[المتبقي],tblInv[كود العميل],$A410,tblInv[المتبقي],"&lt;0"))</f>
        <v/>
      </c>
      <c r="L410" s="81">
        <f>IF($A410="","",J410+K410)</f>
        <v/>
      </c>
      <c r="M410" s="82">
        <f>IF($A410="","",IFERROR(L410/$L$8,0))</f>
        <v/>
      </c>
      <c r="N410" s="80">
        <f>IF($A410="","",INDEX(tblCustomers[حد الائتمان],MATCH($A410,tblCustomers[كود العميل],0)))</f>
        <v/>
      </c>
      <c r="O410" s="83">
        <f>IF($A410="","",IF(AND(N410&gt;0,L410&gt;N410),"⛔",""))</f>
        <v/>
      </c>
    </row>
    <row r="411">
      <c r="A411" s="78">
        <f>IFERROR(INDEX(tblCustomers[كود العميل],MATCH(402,tblCustomers[ترتيب],0)),"")</f>
        <v/>
      </c>
      <c r="B411" s="79">
        <f>IF($A411="","",INDEX(tblCustomers[اسم العميل],MATCH($A411,tblCustomers[كود العميل],0)))</f>
        <v/>
      </c>
      <c r="C411" s="80">
        <f>IF($A411="","",SUMIFS(tblInv[المتبقي],tblInv[كود العميل],$A411,tblInv[الفترة],C$7))</f>
        <v/>
      </c>
      <c r="D411" s="80">
        <f>IF($A411="","",SUMIFS(tblInv[المتبقي],tblInv[كود العميل],$A411,tblInv[الفترة],D$7))</f>
        <v/>
      </c>
      <c r="E411" s="80">
        <f>IF($A411="","",SUMIFS(tblInv[المتبقي],tblInv[كود العميل],$A411,tblInv[الفترة],E$7))</f>
        <v/>
      </c>
      <c r="F411" s="80">
        <f>IF($A411="","",SUMIFS(tblInv[المتبقي],tblInv[كود العميل],$A411,tblInv[الفترة],F$7))</f>
        <v/>
      </c>
      <c r="G411" s="80">
        <f>IF($A411="","",SUMIFS(tblInv[المتبقي],tblInv[كود العميل],$A411,tblInv[الفترة],G$7))</f>
        <v/>
      </c>
      <c r="H411" s="80">
        <f>IF($A411="","",SUMIFS(tblInv[المتبقي],tblInv[كود العميل],$A411,tblInv[الفترة],H$7))</f>
        <v/>
      </c>
      <c r="I411" s="80">
        <f>IF($A411="","",SUMIFS(tblInv[المتبقي],tblInv[كود العميل],$A411,tblInv[الفترة],I$7))</f>
        <v/>
      </c>
      <c r="J411" s="80">
        <f>IF($A411="","",SUM(C411:I411))</f>
        <v/>
      </c>
      <c r="K411" s="80">
        <f>IF($A411="","",-SUMIFS(tblRec[المبلغ],tblRec[كود العميل],$A411,tblRec[رقم الفاتورة],"",tblRec[التاريخ],"&lt;="&amp;AsOf)+SUMIFS(tblInv[المتبقي],tblInv[كود العميل],$A411,tblInv[المتبقي],"&lt;0"))</f>
        <v/>
      </c>
      <c r="L411" s="81">
        <f>IF($A411="","",J411+K411)</f>
        <v/>
      </c>
      <c r="M411" s="82">
        <f>IF($A411="","",IFERROR(L411/$L$8,0))</f>
        <v/>
      </c>
      <c r="N411" s="80">
        <f>IF($A411="","",INDEX(tblCustomers[حد الائتمان],MATCH($A411,tblCustomers[كود العميل],0)))</f>
        <v/>
      </c>
      <c r="O411" s="83">
        <f>IF($A411="","",IF(AND(N411&gt;0,L411&gt;N411),"⛔",""))</f>
        <v/>
      </c>
    </row>
    <row r="412">
      <c r="A412" s="78">
        <f>IFERROR(INDEX(tblCustomers[كود العميل],MATCH(403,tblCustomers[ترتيب],0)),"")</f>
        <v/>
      </c>
      <c r="B412" s="79">
        <f>IF($A412="","",INDEX(tblCustomers[اسم العميل],MATCH($A412,tblCustomers[كود العميل],0)))</f>
        <v/>
      </c>
      <c r="C412" s="80">
        <f>IF($A412="","",SUMIFS(tblInv[المتبقي],tblInv[كود العميل],$A412,tblInv[الفترة],C$7))</f>
        <v/>
      </c>
      <c r="D412" s="80">
        <f>IF($A412="","",SUMIFS(tblInv[المتبقي],tblInv[كود العميل],$A412,tblInv[الفترة],D$7))</f>
        <v/>
      </c>
      <c r="E412" s="80">
        <f>IF($A412="","",SUMIFS(tblInv[المتبقي],tblInv[كود العميل],$A412,tblInv[الفترة],E$7))</f>
        <v/>
      </c>
      <c r="F412" s="80">
        <f>IF($A412="","",SUMIFS(tblInv[المتبقي],tblInv[كود العميل],$A412,tblInv[الفترة],F$7))</f>
        <v/>
      </c>
      <c r="G412" s="80">
        <f>IF($A412="","",SUMIFS(tblInv[المتبقي],tblInv[كود العميل],$A412,tblInv[الفترة],G$7))</f>
        <v/>
      </c>
      <c r="H412" s="80">
        <f>IF($A412="","",SUMIFS(tblInv[المتبقي],tblInv[كود العميل],$A412,tblInv[الفترة],H$7))</f>
        <v/>
      </c>
      <c r="I412" s="80">
        <f>IF($A412="","",SUMIFS(tblInv[المتبقي],tblInv[كود العميل],$A412,tblInv[الفترة],I$7))</f>
        <v/>
      </c>
      <c r="J412" s="80">
        <f>IF($A412="","",SUM(C412:I412))</f>
        <v/>
      </c>
      <c r="K412" s="80">
        <f>IF($A412="","",-SUMIFS(tblRec[المبلغ],tblRec[كود العميل],$A412,tblRec[رقم الفاتورة],"",tblRec[التاريخ],"&lt;="&amp;AsOf)+SUMIFS(tblInv[المتبقي],tblInv[كود العميل],$A412,tblInv[المتبقي],"&lt;0"))</f>
        <v/>
      </c>
      <c r="L412" s="81">
        <f>IF($A412="","",J412+K412)</f>
        <v/>
      </c>
      <c r="M412" s="82">
        <f>IF($A412="","",IFERROR(L412/$L$8,0))</f>
        <v/>
      </c>
      <c r="N412" s="80">
        <f>IF($A412="","",INDEX(tblCustomers[حد الائتمان],MATCH($A412,tblCustomers[كود العميل],0)))</f>
        <v/>
      </c>
      <c r="O412" s="83">
        <f>IF($A412="","",IF(AND(N412&gt;0,L412&gt;N412),"⛔",""))</f>
        <v/>
      </c>
    </row>
    <row r="413">
      <c r="A413" s="78">
        <f>IFERROR(INDEX(tblCustomers[كود العميل],MATCH(404,tblCustomers[ترتيب],0)),"")</f>
        <v/>
      </c>
      <c r="B413" s="79">
        <f>IF($A413="","",INDEX(tblCustomers[اسم العميل],MATCH($A413,tblCustomers[كود العميل],0)))</f>
        <v/>
      </c>
      <c r="C413" s="80">
        <f>IF($A413="","",SUMIFS(tblInv[المتبقي],tblInv[كود العميل],$A413,tblInv[الفترة],C$7))</f>
        <v/>
      </c>
      <c r="D413" s="80">
        <f>IF($A413="","",SUMIFS(tblInv[المتبقي],tblInv[كود العميل],$A413,tblInv[الفترة],D$7))</f>
        <v/>
      </c>
      <c r="E413" s="80">
        <f>IF($A413="","",SUMIFS(tblInv[المتبقي],tblInv[كود العميل],$A413,tblInv[الفترة],E$7))</f>
        <v/>
      </c>
      <c r="F413" s="80">
        <f>IF($A413="","",SUMIFS(tblInv[المتبقي],tblInv[كود العميل],$A413,tblInv[الفترة],F$7))</f>
        <v/>
      </c>
      <c r="G413" s="80">
        <f>IF($A413="","",SUMIFS(tblInv[المتبقي],tblInv[كود العميل],$A413,tblInv[الفترة],G$7))</f>
        <v/>
      </c>
      <c r="H413" s="80">
        <f>IF($A413="","",SUMIFS(tblInv[المتبقي],tblInv[كود العميل],$A413,tblInv[الفترة],H$7))</f>
        <v/>
      </c>
      <c r="I413" s="80">
        <f>IF($A413="","",SUMIFS(tblInv[المتبقي],tblInv[كود العميل],$A413,tblInv[الفترة],I$7))</f>
        <v/>
      </c>
      <c r="J413" s="80">
        <f>IF($A413="","",SUM(C413:I413))</f>
        <v/>
      </c>
      <c r="K413" s="80">
        <f>IF($A413="","",-SUMIFS(tblRec[المبلغ],tblRec[كود العميل],$A413,tblRec[رقم الفاتورة],"",tblRec[التاريخ],"&lt;="&amp;AsOf)+SUMIFS(tblInv[المتبقي],tblInv[كود العميل],$A413,tblInv[المتبقي],"&lt;0"))</f>
        <v/>
      </c>
      <c r="L413" s="81">
        <f>IF($A413="","",J413+K413)</f>
        <v/>
      </c>
      <c r="M413" s="82">
        <f>IF($A413="","",IFERROR(L413/$L$8,0))</f>
        <v/>
      </c>
      <c r="N413" s="80">
        <f>IF($A413="","",INDEX(tblCustomers[حد الائتمان],MATCH($A413,tblCustomers[كود العميل],0)))</f>
        <v/>
      </c>
      <c r="O413" s="83">
        <f>IF($A413="","",IF(AND(N413&gt;0,L413&gt;N413),"⛔",""))</f>
        <v/>
      </c>
    </row>
    <row r="414">
      <c r="A414" s="78">
        <f>IFERROR(INDEX(tblCustomers[كود العميل],MATCH(405,tblCustomers[ترتيب],0)),"")</f>
        <v/>
      </c>
      <c r="B414" s="79">
        <f>IF($A414="","",INDEX(tblCustomers[اسم العميل],MATCH($A414,tblCustomers[كود العميل],0)))</f>
        <v/>
      </c>
      <c r="C414" s="80">
        <f>IF($A414="","",SUMIFS(tblInv[المتبقي],tblInv[كود العميل],$A414,tblInv[الفترة],C$7))</f>
        <v/>
      </c>
      <c r="D414" s="80">
        <f>IF($A414="","",SUMIFS(tblInv[المتبقي],tblInv[كود العميل],$A414,tblInv[الفترة],D$7))</f>
        <v/>
      </c>
      <c r="E414" s="80">
        <f>IF($A414="","",SUMIFS(tblInv[المتبقي],tblInv[كود العميل],$A414,tblInv[الفترة],E$7))</f>
        <v/>
      </c>
      <c r="F414" s="80">
        <f>IF($A414="","",SUMIFS(tblInv[المتبقي],tblInv[كود العميل],$A414,tblInv[الفترة],F$7))</f>
        <v/>
      </c>
      <c r="G414" s="80">
        <f>IF($A414="","",SUMIFS(tblInv[المتبقي],tblInv[كود العميل],$A414,tblInv[الفترة],G$7))</f>
        <v/>
      </c>
      <c r="H414" s="80">
        <f>IF($A414="","",SUMIFS(tblInv[المتبقي],tblInv[كود العميل],$A414,tblInv[الفترة],H$7))</f>
        <v/>
      </c>
      <c r="I414" s="80">
        <f>IF($A414="","",SUMIFS(tblInv[المتبقي],tblInv[كود العميل],$A414,tblInv[الفترة],I$7))</f>
        <v/>
      </c>
      <c r="J414" s="80">
        <f>IF($A414="","",SUM(C414:I414))</f>
        <v/>
      </c>
      <c r="K414" s="80">
        <f>IF($A414="","",-SUMIFS(tblRec[المبلغ],tblRec[كود العميل],$A414,tblRec[رقم الفاتورة],"",tblRec[التاريخ],"&lt;="&amp;AsOf)+SUMIFS(tblInv[المتبقي],tblInv[كود العميل],$A414,tblInv[المتبقي],"&lt;0"))</f>
        <v/>
      </c>
      <c r="L414" s="81">
        <f>IF($A414="","",J414+K414)</f>
        <v/>
      </c>
      <c r="M414" s="82">
        <f>IF($A414="","",IFERROR(L414/$L$8,0))</f>
        <v/>
      </c>
      <c r="N414" s="80">
        <f>IF($A414="","",INDEX(tblCustomers[حد الائتمان],MATCH($A414,tblCustomers[كود العميل],0)))</f>
        <v/>
      </c>
      <c r="O414" s="83">
        <f>IF($A414="","",IF(AND(N414&gt;0,L414&gt;N414),"⛔",""))</f>
        <v/>
      </c>
    </row>
    <row r="415">
      <c r="A415" s="78">
        <f>IFERROR(INDEX(tblCustomers[كود العميل],MATCH(406,tblCustomers[ترتيب],0)),"")</f>
        <v/>
      </c>
      <c r="B415" s="79">
        <f>IF($A415="","",INDEX(tblCustomers[اسم العميل],MATCH($A415,tblCustomers[كود العميل],0)))</f>
        <v/>
      </c>
      <c r="C415" s="80">
        <f>IF($A415="","",SUMIFS(tblInv[المتبقي],tblInv[كود العميل],$A415,tblInv[الفترة],C$7))</f>
        <v/>
      </c>
      <c r="D415" s="80">
        <f>IF($A415="","",SUMIFS(tblInv[المتبقي],tblInv[كود العميل],$A415,tblInv[الفترة],D$7))</f>
        <v/>
      </c>
      <c r="E415" s="80">
        <f>IF($A415="","",SUMIFS(tblInv[المتبقي],tblInv[كود العميل],$A415,tblInv[الفترة],E$7))</f>
        <v/>
      </c>
      <c r="F415" s="80">
        <f>IF($A415="","",SUMIFS(tblInv[المتبقي],tblInv[كود العميل],$A415,tblInv[الفترة],F$7))</f>
        <v/>
      </c>
      <c r="G415" s="80">
        <f>IF($A415="","",SUMIFS(tblInv[المتبقي],tblInv[كود العميل],$A415,tblInv[الفترة],G$7))</f>
        <v/>
      </c>
      <c r="H415" s="80">
        <f>IF($A415="","",SUMIFS(tblInv[المتبقي],tblInv[كود العميل],$A415,tblInv[الفترة],H$7))</f>
        <v/>
      </c>
      <c r="I415" s="80">
        <f>IF($A415="","",SUMIFS(tblInv[المتبقي],tblInv[كود العميل],$A415,tblInv[الفترة],I$7))</f>
        <v/>
      </c>
      <c r="J415" s="80">
        <f>IF($A415="","",SUM(C415:I415))</f>
        <v/>
      </c>
      <c r="K415" s="80">
        <f>IF($A415="","",-SUMIFS(tblRec[المبلغ],tblRec[كود العميل],$A415,tblRec[رقم الفاتورة],"",tblRec[التاريخ],"&lt;="&amp;AsOf)+SUMIFS(tblInv[المتبقي],tblInv[كود العميل],$A415,tblInv[المتبقي],"&lt;0"))</f>
        <v/>
      </c>
      <c r="L415" s="81">
        <f>IF($A415="","",J415+K415)</f>
        <v/>
      </c>
      <c r="M415" s="82">
        <f>IF($A415="","",IFERROR(L415/$L$8,0))</f>
        <v/>
      </c>
      <c r="N415" s="80">
        <f>IF($A415="","",INDEX(tblCustomers[حد الائتمان],MATCH($A415,tblCustomers[كود العميل],0)))</f>
        <v/>
      </c>
      <c r="O415" s="83">
        <f>IF($A415="","",IF(AND(N415&gt;0,L415&gt;N415),"⛔",""))</f>
        <v/>
      </c>
    </row>
    <row r="416">
      <c r="A416" s="78">
        <f>IFERROR(INDEX(tblCustomers[كود العميل],MATCH(407,tblCustomers[ترتيب],0)),"")</f>
        <v/>
      </c>
      <c r="B416" s="79">
        <f>IF($A416="","",INDEX(tblCustomers[اسم العميل],MATCH($A416,tblCustomers[كود العميل],0)))</f>
        <v/>
      </c>
      <c r="C416" s="80">
        <f>IF($A416="","",SUMIFS(tblInv[المتبقي],tblInv[كود العميل],$A416,tblInv[الفترة],C$7))</f>
        <v/>
      </c>
      <c r="D416" s="80">
        <f>IF($A416="","",SUMIFS(tblInv[المتبقي],tblInv[كود العميل],$A416,tblInv[الفترة],D$7))</f>
        <v/>
      </c>
      <c r="E416" s="80">
        <f>IF($A416="","",SUMIFS(tblInv[المتبقي],tblInv[كود العميل],$A416,tblInv[الفترة],E$7))</f>
        <v/>
      </c>
      <c r="F416" s="80">
        <f>IF($A416="","",SUMIFS(tblInv[المتبقي],tblInv[كود العميل],$A416,tblInv[الفترة],F$7))</f>
        <v/>
      </c>
      <c r="G416" s="80">
        <f>IF($A416="","",SUMIFS(tblInv[المتبقي],tblInv[كود العميل],$A416,tblInv[الفترة],G$7))</f>
        <v/>
      </c>
      <c r="H416" s="80">
        <f>IF($A416="","",SUMIFS(tblInv[المتبقي],tblInv[كود العميل],$A416,tblInv[الفترة],H$7))</f>
        <v/>
      </c>
      <c r="I416" s="80">
        <f>IF($A416="","",SUMIFS(tblInv[المتبقي],tblInv[كود العميل],$A416,tblInv[الفترة],I$7))</f>
        <v/>
      </c>
      <c r="J416" s="80">
        <f>IF($A416="","",SUM(C416:I416))</f>
        <v/>
      </c>
      <c r="K416" s="80">
        <f>IF($A416="","",-SUMIFS(tblRec[المبلغ],tblRec[كود العميل],$A416,tblRec[رقم الفاتورة],"",tblRec[التاريخ],"&lt;="&amp;AsOf)+SUMIFS(tblInv[المتبقي],tblInv[كود العميل],$A416,tblInv[المتبقي],"&lt;0"))</f>
        <v/>
      </c>
      <c r="L416" s="81">
        <f>IF($A416="","",J416+K416)</f>
        <v/>
      </c>
      <c r="M416" s="82">
        <f>IF($A416="","",IFERROR(L416/$L$8,0))</f>
        <v/>
      </c>
      <c r="N416" s="80">
        <f>IF($A416="","",INDEX(tblCustomers[حد الائتمان],MATCH($A416,tblCustomers[كود العميل],0)))</f>
        <v/>
      </c>
      <c r="O416" s="83">
        <f>IF($A416="","",IF(AND(N416&gt;0,L416&gt;N416),"⛔",""))</f>
        <v/>
      </c>
    </row>
    <row r="417">
      <c r="A417" s="78">
        <f>IFERROR(INDEX(tblCustomers[كود العميل],MATCH(408,tblCustomers[ترتيب],0)),"")</f>
        <v/>
      </c>
      <c r="B417" s="79">
        <f>IF($A417="","",INDEX(tblCustomers[اسم العميل],MATCH($A417,tblCustomers[كود العميل],0)))</f>
        <v/>
      </c>
      <c r="C417" s="80">
        <f>IF($A417="","",SUMIFS(tblInv[المتبقي],tblInv[كود العميل],$A417,tblInv[الفترة],C$7))</f>
        <v/>
      </c>
      <c r="D417" s="80">
        <f>IF($A417="","",SUMIFS(tblInv[المتبقي],tblInv[كود العميل],$A417,tblInv[الفترة],D$7))</f>
        <v/>
      </c>
      <c r="E417" s="80">
        <f>IF($A417="","",SUMIFS(tblInv[المتبقي],tblInv[كود العميل],$A417,tblInv[الفترة],E$7))</f>
        <v/>
      </c>
      <c r="F417" s="80">
        <f>IF($A417="","",SUMIFS(tblInv[المتبقي],tblInv[كود العميل],$A417,tblInv[الفترة],F$7))</f>
        <v/>
      </c>
      <c r="G417" s="80">
        <f>IF($A417="","",SUMIFS(tblInv[المتبقي],tblInv[كود العميل],$A417,tblInv[الفترة],G$7))</f>
        <v/>
      </c>
      <c r="H417" s="80">
        <f>IF($A417="","",SUMIFS(tblInv[المتبقي],tblInv[كود العميل],$A417,tblInv[الفترة],H$7))</f>
        <v/>
      </c>
      <c r="I417" s="80">
        <f>IF($A417="","",SUMIFS(tblInv[المتبقي],tblInv[كود العميل],$A417,tblInv[الفترة],I$7))</f>
        <v/>
      </c>
      <c r="J417" s="80">
        <f>IF($A417="","",SUM(C417:I417))</f>
        <v/>
      </c>
      <c r="K417" s="80">
        <f>IF($A417="","",-SUMIFS(tblRec[المبلغ],tblRec[كود العميل],$A417,tblRec[رقم الفاتورة],"",tblRec[التاريخ],"&lt;="&amp;AsOf)+SUMIFS(tblInv[المتبقي],tblInv[كود العميل],$A417,tblInv[المتبقي],"&lt;0"))</f>
        <v/>
      </c>
      <c r="L417" s="81">
        <f>IF($A417="","",J417+K417)</f>
        <v/>
      </c>
      <c r="M417" s="82">
        <f>IF($A417="","",IFERROR(L417/$L$8,0))</f>
        <v/>
      </c>
      <c r="N417" s="80">
        <f>IF($A417="","",INDEX(tblCustomers[حد الائتمان],MATCH($A417,tblCustomers[كود العميل],0)))</f>
        <v/>
      </c>
      <c r="O417" s="83">
        <f>IF($A417="","",IF(AND(N417&gt;0,L417&gt;N417),"⛔",""))</f>
        <v/>
      </c>
    </row>
    <row r="418">
      <c r="A418" s="78">
        <f>IFERROR(INDEX(tblCustomers[كود العميل],MATCH(409,tblCustomers[ترتيب],0)),"")</f>
        <v/>
      </c>
      <c r="B418" s="79">
        <f>IF($A418="","",INDEX(tblCustomers[اسم العميل],MATCH($A418,tblCustomers[كود العميل],0)))</f>
        <v/>
      </c>
      <c r="C418" s="80">
        <f>IF($A418="","",SUMIFS(tblInv[المتبقي],tblInv[كود العميل],$A418,tblInv[الفترة],C$7))</f>
        <v/>
      </c>
      <c r="D418" s="80">
        <f>IF($A418="","",SUMIFS(tblInv[المتبقي],tblInv[كود العميل],$A418,tblInv[الفترة],D$7))</f>
        <v/>
      </c>
      <c r="E418" s="80">
        <f>IF($A418="","",SUMIFS(tblInv[المتبقي],tblInv[كود العميل],$A418,tblInv[الفترة],E$7))</f>
        <v/>
      </c>
      <c r="F418" s="80">
        <f>IF($A418="","",SUMIFS(tblInv[المتبقي],tblInv[كود العميل],$A418,tblInv[الفترة],F$7))</f>
        <v/>
      </c>
      <c r="G418" s="80">
        <f>IF($A418="","",SUMIFS(tblInv[المتبقي],tblInv[كود العميل],$A418,tblInv[الفترة],G$7))</f>
        <v/>
      </c>
      <c r="H418" s="80">
        <f>IF($A418="","",SUMIFS(tblInv[المتبقي],tblInv[كود العميل],$A418,tblInv[الفترة],H$7))</f>
        <v/>
      </c>
      <c r="I418" s="80">
        <f>IF($A418="","",SUMIFS(tblInv[المتبقي],tblInv[كود العميل],$A418,tblInv[الفترة],I$7))</f>
        <v/>
      </c>
      <c r="J418" s="80">
        <f>IF($A418="","",SUM(C418:I418))</f>
        <v/>
      </c>
      <c r="K418" s="80">
        <f>IF($A418="","",-SUMIFS(tblRec[المبلغ],tblRec[كود العميل],$A418,tblRec[رقم الفاتورة],"",tblRec[التاريخ],"&lt;="&amp;AsOf)+SUMIFS(tblInv[المتبقي],tblInv[كود العميل],$A418,tblInv[المتبقي],"&lt;0"))</f>
        <v/>
      </c>
      <c r="L418" s="81">
        <f>IF($A418="","",J418+K418)</f>
        <v/>
      </c>
      <c r="M418" s="82">
        <f>IF($A418="","",IFERROR(L418/$L$8,0))</f>
        <v/>
      </c>
      <c r="N418" s="80">
        <f>IF($A418="","",INDEX(tblCustomers[حد الائتمان],MATCH($A418,tblCustomers[كود العميل],0)))</f>
        <v/>
      </c>
      <c r="O418" s="83">
        <f>IF($A418="","",IF(AND(N418&gt;0,L418&gt;N418),"⛔",""))</f>
        <v/>
      </c>
    </row>
    <row r="419">
      <c r="A419" s="78">
        <f>IFERROR(INDEX(tblCustomers[كود العميل],MATCH(410,tblCustomers[ترتيب],0)),"")</f>
        <v/>
      </c>
      <c r="B419" s="79">
        <f>IF($A419="","",INDEX(tblCustomers[اسم العميل],MATCH($A419,tblCustomers[كود العميل],0)))</f>
        <v/>
      </c>
      <c r="C419" s="80">
        <f>IF($A419="","",SUMIFS(tblInv[المتبقي],tblInv[كود العميل],$A419,tblInv[الفترة],C$7))</f>
        <v/>
      </c>
      <c r="D419" s="80">
        <f>IF($A419="","",SUMIFS(tblInv[المتبقي],tblInv[كود العميل],$A419,tblInv[الفترة],D$7))</f>
        <v/>
      </c>
      <c r="E419" s="80">
        <f>IF($A419="","",SUMIFS(tblInv[المتبقي],tblInv[كود العميل],$A419,tblInv[الفترة],E$7))</f>
        <v/>
      </c>
      <c r="F419" s="80">
        <f>IF($A419="","",SUMIFS(tblInv[المتبقي],tblInv[كود العميل],$A419,tblInv[الفترة],F$7))</f>
        <v/>
      </c>
      <c r="G419" s="80">
        <f>IF($A419="","",SUMIFS(tblInv[المتبقي],tblInv[كود العميل],$A419,tblInv[الفترة],G$7))</f>
        <v/>
      </c>
      <c r="H419" s="80">
        <f>IF($A419="","",SUMIFS(tblInv[المتبقي],tblInv[كود العميل],$A419,tblInv[الفترة],H$7))</f>
        <v/>
      </c>
      <c r="I419" s="80">
        <f>IF($A419="","",SUMIFS(tblInv[المتبقي],tblInv[كود العميل],$A419,tblInv[الفترة],I$7))</f>
        <v/>
      </c>
      <c r="J419" s="80">
        <f>IF($A419="","",SUM(C419:I419))</f>
        <v/>
      </c>
      <c r="K419" s="80">
        <f>IF($A419="","",-SUMIFS(tblRec[المبلغ],tblRec[كود العميل],$A419,tblRec[رقم الفاتورة],"",tblRec[التاريخ],"&lt;="&amp;AsOf)+SUMIFS(tblInv[المتبقي],tblInv[كود العميل],$A419,tblInv[المتبقي],"&lt;0"))</f>
        <v/>
      </c>
      <c r="L419" s="81">
        <f>IF($A419="","",J419+K419)</f>
        <v/>
      </c>
      <c r="M419" s="82">
        <f>IF($A419="","",IFERROR(L419/$L$8,0))</f>
        <v/>
      </c>
      <c r="N419" s="80">
        <f>IF($A419="","",INDEX(tblCustomers[حد الائتمان],MATCH($A419,tblCustomers[كود العميل],0)))</f>
        <v/>
      </c>
      <c r="O419" s="83">
        <f>IF($A419="","",IF(AND(N419&gt;0,L419&gt;N419),"⛔",""))</f>
        <v/>
      </c>
    </row>
    <row r="420">
      <c r="A420" s="78">
        <f>IFERROR(INDEX(tblCustomers[كود العميل],MATCH(411,tblCustomers[ترتيب],0)),"")</f>
        <v/>
      </c>
      <c r="B420" s="79">
        <f>IF($A420="","",INDEX(tblCustomers[اسم العميل],MATCH($A420,tblCustomers[كود العميل],0)))</f>
        <v/>
      </c>
      <c r="C420" s="80">
        <f>IF($A420="","",SUMIFS(tblInv[المتبقي],tblInv[كود العميل],$A420,tblInv[الفترة],C$7))</f>
        <v/>
      </c>
      <c r="D420" s="80">
        <f>IF($A420="","",SUMIFS(tblInv[المتبقي],tblInv[كود العميل],$A420,tblInv[الفترة],D$7))</f>
        <v/>
      </c>
      <c r="E420" s="80">
        <f>IF($A420="","",SUMIFS(tblInv[المتبقي],tblInv[كود العميل],$A420,tblInv[الفترة],E$7))</f>
        <v/>
      </c>
      <c r="F420" s="80">
        <f>IF($A420="","",SUMIFS(tblInv[المتبقي],tblInv[كود العميل],$A420,tblInv[الفترة],F$7))</f>
        <v/>
      </c>
      <c r="G420" s="80">
        <f>IF($A420="","",SUMIFS(tblInv[المتبقي],tblInv[كود العميل],$A420,tblInv[الفترة],G$7))</f>
        <v/>
      </c>
      <c r="H420" s="80">
        <f>IF($A420="","",SUMIFS(tblInv[المتبقي],tblInv[كود العميل],$A420,tblInv[الفترة],H$7))</f>
        <v/>
      </c>
      <c r="I420" s="80">
        <f>IF($A420="","",SUMIFS(tblInv[المتبقي],tblInv[كود العميل],$A420,tblInv[الفترة],I$7))</f>
        <v/>
      </c>
      <c r="J420" s="80">
        <f>IF($A420="","",SUM(C420:I420))</f>
        <v/>
      </c>
      <c r="K420" s="80">
        <f>IF($A420="","",-SUMIFS(tblRec[المبلغ],tblRec[كود العميل],$A420,tblRec[رقم الفاتورة],"",tblRec[التاريخ],"&lt;="&amp;AsOf)+SUMIFS(tblInv[المتبقي],tblInv[كود العميل],$A420,tblInv[المتبقي],"&lt;0"))</f>
        <v/>
      </c>
      <c r="L420" s="81">
        <f>IF($A420="","",J420+K420)</f>
        <v/>
      </c>
      <c r="M420" s="82">
        <f>IF($A420="","",IFERROR(L420/$L$8,0))</f>
        <v/>
      </c>
      <c r="N420" s="80">
        <f>IF($A420="","",INDEX(tblCustomers[حد الائتمان],MATCH($A420,tblCustomers[كود العميل],0)))</f>
        <v/>
      </c>
      <c r="O420" s="83">
        <f>IF($A420="","",IF(AND(N420&gt;0,L420&gt;N420),"⛔",""))</f>
        <v/>
      </c>
    </row>
    <row r="421">
      <c r="A421" s="78">
        <f>IFERROR(INDEX(tblCustomers[كود العميل],MATCH(412,tblCustomers[ترتيب],0)),"")</f>
        <v/>
      </c>
      <c r="B421" s="79">
        <f>IF($A421="","",INDEX(tblCustomers[اسم العميل],MATCH($A421,tblCustomers[كود العميل],0)))</f>
        <v/>
      </c>
      <c r="C421" s="80">
        <f>IF($A421="","",SUMIFS(tblInv[المتبقي],tblInv[كود العميل],$A421,tblInv[الفترة],C$7))</f>
        <v/>
      </c>
      <c r="D421" s="80">
        <f>IF($A421="","",SUMIFS(tblInv[المتبقي],tblInv[كود العميل],$A421,tblInv[الفترة],D$7))</f>
        <v/>
      </c>
      <c r="E421" s="80">
        <f>IF($A421="","",SUMIFS(tblInv[المتبقي],tblInv[كود العميل],$A421,tblInv[الفترة],E$7))</f>
        <v/>
      </c>
      <c r="F421" s="80">
        <f>IF($A421="","",SUMIFS(tblInv[المتبقي],tblInv[كود العميل],$A421,tblInv[الفترة],F$7))</f>
        <v/>
      </c>
      <c r="G421" s="80">
        <f>IF($A421="","",SUMIFS(tblInv[المتبقي],tblInv[كود العميل],$A421,tblInv[الفترة],G$7))</f>
        <v/>
      </c>
      <c r="H421" s="80">
        <f>IF($A421="","",SUMIFS(tblInv[المتبقي],tblInv[كود العميل],$A421,tblInv[الفترة],H$7))</f>
        <v/>
      </c>
      <c r="I421" s="80">
        <f>IF($A421="","",SUMIFS(tblInv[المتبقي],tblInv[كود العميل],$A421,tblInv[الفترة],I$7))</f>
        <v/>
      </c>
      <c r="J421" s="80">
        <f>IF($A421="","",SUM(C421:I421))</f>
        <v/>
      </c>
      <c r="K421" s="80">
        <f>IF($A421="","",-SUMIFS(tblRec[المبلغ],tblRec[كود العميل],$A421,tblRec[رقم الفاتورة],"",tblRec[التاريخ],"&lt;="&amp;AsOf)+SUMIFS(tblInv[المتبقي],tblInv[كود العميل],$A421,tblInv[المتبقي],"&lt;0"))</f>
        <v/>
      </c>
      <c r="L421" s="81">
        <f>IF($A421="","",J421+K421)</f>
        <v/>
      </c>
      <c r="M421" s="82">
        <f>IF($A421="","",IFERROR(L421/$L$8,0))</f>
        <v/>
      </c>
      <c r="N421" s="80">
        <f>IF($A421="","",INDEX(tblCustomers[حد الائتمان],MATCH($A421,tblCustomers[كود العميل],0)))</f>
        <v/>
      </c>
      <c r="O421" s="83">
        <f>IF($A421="","",IF(AND(N421&gt;0,L421&gt;N421),"⛔",""))</f>
        <v/>
      </c>
    </row>
    <row r="422">
      <c r="A422" s="78">
        <f>IFERROR(INDEX(tblCustomers[كود العميل],MATCH(413,tblCustomers[ترتيب],0)),"")</f>
        <v/>
      </c>
      <c r="B422" s="79">
        <f>IF($A422="","",INDEX(tblCustomers[اسم العميل],MATCH($A422,tblCustomers[كود العميل],0)))</f>
        <v/>
      </c>
      <c r="C422" s="80">
        <f>IF($A422="","",SUMIFS(tblInv[المتبقي],tblInv[كود العميل],$A422,tblInv[الفترة],C$7))</f>
        <v/>
      </c>
      <c r="D422" s="80">
        <f>IF($A422="","",SUMIFS(tblInv[المتبقي],tblInv[كود العميل],$A422,tblInv[الفترة],D$7))</f>
        <v/>
      </c>
      <c r="E422" s="80">
        <f>IF($A422="","",SUMIFS(tblInv[المتبقي],tblInv[كود العميل],$A422,tblInv[الفترة],E$7))</f>
        <v/>
      </c>
      <c r="F422" s="80">
        <f>IF($A422="","",SUMIFS(tblInv[المتبقي],tblInv[كود العميل],$A422,tblInv[الفترة],F$7))</f>
        <v/>
      </c>
      <c r="G422" s="80">
        <f>IF($A422="","",SUMIFS(tblInv[المتبقي],tblInv[كود العميل],$A422,tblInv[الفترة],G$7))</f>
        <v/>
      </c>
      <c r="H422" s="80">
        <f>IF($A422="","",SUMIFS(tblInv[المتبقي],tblInv[كود العميل],$A422,tblInv[الفترة],H$7))</f>
        <v/>
      </c>
      <c r="I422" s="80">
        <f>IF($A422="","",SUMIFS(tblInv[المتبقي],tblInv[كود العميل],$A422,tblInv[الفترة],I$7))</f>
        <v/>
      </c>
      <c r="J422" s="80">
        <f>IF($A422="","",SUM(C422:I422))</f>
        <v/>
      </c>
      <c r="K422" s="80">
        <f>IF($A422="","",-SUMIFS(tblRec[المبلغ],tblRec[كود العميل],$A422,tblRec[رقم الفاتورة],"",tblRec[التاريخ],"&lt;="&amp;AsOf)+SUMIFS(tblInv[المتبقي],tblInv[كود العميل],$A422,tblInv[المتبقي],"&lt;0"))</f>
        <v/>
      </c>
      <c r="L422" s="81">
        <f>IF($A422="","",J422+K422)</f>
        <v/>
      </c>
      <c r="M422" s="82">
        <f>IF($A422="","",IFERROR(L422/$L$8,0))</f>
        <v/>
      </c>
      <c r="N422" s="80">
        <f>IF($A422="","",INDEX(tblCustomers[حد الائتمان],MATCH($A422,tblCustomers[كود العميل],0)))</f>
        <v/>
      </c>
      <c r="O422" s="83">
        <f>IF($A422="","",IF(AND(N422&gt;0,L422&gt;N422),"⛔",""))</f>
        <v/>
      </c>
    </row>
    <row r="423">
      <c r="A423" s="78">
        <f>IFERROR(INDEX(tblCustomers[كود العميل],MATCH(414,tblCustomers[ترتيب],0)),"")</f>
        <v/>
      </c>
      <c r="B423" s="79">
        <f>IF($A423="","",INDEX(tblCustomers[اسم العميل],MATCH($A423,tblCustomers[كود العميل],0)))</f>
        <v/>
      </c>
      <c r="C423" s="80">
        <f>IF($A423="","",SUMIFS(tblInv[المتبقي],tblInv[كود العميل],$A423,tblInv[الفترة],C$7))</f>
        <v/>
      </c>
      <c r="D423" s="80">
        <f>IF($A423="","",SUMIFS(tblInv[المتبقي],tblInv[كود العميل],$A423,tblInv[الفترة],D$7))</f>
        <v/>
      </c>
      <c r="E423" s="80">
        <f>IF($A423="","",SUMIFS(tblInv[المتبقي],tblInv[كود العميل],$A423,tblInv[الفترة],E$7))</f>
        <v/>
      </c>
      <c r="F423" s="80">
        <f>IF($A423="","",SUMIFS(tblInv[المتبقي],tblInv[كود العميل],$A423,tblInv[الفترة],F$7))</f>
        <v/>
      </c>
      <c r="G423" s="80">
        <f>IF($A423="","",SUMIFS(tblInv[المتبقي],tblInv[كود العميل],$A423,tblInv[الفترة],G$7))</f>
        <v/>
      </c>
      <c r="H423" s="80">
        <f>IF($A423="","",SUMIFS(tblInv[المتبقي],tblInv[كود العميل],$A423,tblInv[الفترة],H$7))</f>
        <v/>
      </c>
      <c r="I423" s="80">
        <f>IF($A423="","",SUMIFS(tblInv[المتبقي],tblInv[كود العميل],$A423,tblInv[الفترة],I$7))</f>
        <v/>
      </c>
      <c r="J423" s="80">
        <f>IF($A423="","",SUM(C423:I423))</f>
        <v/>
      </c>
      <c r="K423" s="80">
        <f>IF($A423="","",-SUMIFS(tblRec[المبلغ],tblRec[كود العميل],$A423,tblRec[رقم الفاتورة],"",tblRec[التاريخ],"&lt;="&amp;AsOf)+SUMIFS(tblInv[المتبقي],tblInv[كود العميل],$A423,tblInv[المتبقي],"&lt;0"))</f>
        <v/>
      </c>
      <c r="L423" s="81">
        <f>IF($A423="","",J423+K423)</f>
        <v/>
      </c>
      <c r="M423" s="82">
        <f>IF($A423="","",IFERROR(L423/$L$8,0))</f>
        <v/>
      </c>
      <c r="N423" s="80">
        <f>IF($A423="","",INDEX(tblCustomers[حد الائتمان],MATCH($A423,tblCustomers[كود العميل],0)))</f>
        <v/>
      </c>
      <c r="O423" s="83">
        <f>IF($A423="","",IF(AND(N423&gt;0,L423&gt;N423),"⛔",""))</f>
        <v/>
      </c>
    </row>
    <row r="424">
      <c r="A424" s="78">
        <f>IFERROR(INDEX(tblCustomers[كود العميل],MATCH(415,tblCustomers[ترتيب],0)),"")</f>
        <v/>
      </c>
      <c r="B424" s="79">
        <f>IF($A424="","",INDEX(tblCustomers[اسم العميل],MATCH($A424,tblCustomers[كود العميل],0)))</f>
        <v/>
      </c>
      <c r="C424" s="80">
        <f>IF($A424="","",SUMIFS(tblInv[المتبقي],tblInv[كود العميل],$A424,tblInv[الفترة],C$7))</f>
        <v/>
      </c>
      <c r="D424" s="80">
        <f>IF($A424="","",SUMIFS(tblInv[المتبقي],tblInv[كود العميل],$A424,tblInv[الفترة],D$7))</f>
        <v/>
      </c>
      <c r="E424" s="80">
        <f>IF($A424="","",SUMIFS(tblInv[المتبقي],tblInv[كود العميل],$A424,tblInv[الفترة],E$7))</f>
        <v/>
      </c>
      <c r="F424" s="80">
        <f>IF($A424="","",SUMIFS(tblInv[المتبقي],tblInv[كود العميل],$A424,tblInv[الفترة],F$7))</f>
        <v/>
      </c>
      <c r="G424" s="80">
        <f>IF($A424="","",SUMIFS(tblInv[المتبقي],tblInv[كود العميل],$A424,tblInv[الفترة],G$7))</f>
        <v/>
      </c>
      <c r="H424" s="80">
        <f>IF($A424="","",SUMIFS(tblInv[المتبقي],tblInv[كود العميل],$A424,tblInv[الفترة],H$7))</f>
        <v/>
      </c>
      <c r="I424" s="80">
        <f>IF($A424="","",SUMIFS(tblInv[المتبقي],tblInv[كود العميل],$A424,tblInv[الفترة],I$7))</f>
        <v/>
      </c>
      <c r="J424" s="80">
        <f>IF($A424="","",SUM(C424:I424))</f>
        <v/>
      </c>
      <c r="K424" s="80">
        <f>IF($A424="","",-SUMIFS(tblRec[المبلغ],tblRec[كود العميل],$A424,tblRec[رقم الفاتورة],"",tblRec[التاريخ],"&lt;="&amp;AsOf)+SUMIFS(tblInv[المتبقي],tblInv[كود العميل],$A424,tblInv[المتبقي],"&lt;0"))</f>
        <v/>
      </c>
      <c r="L424" s="81">
        <f>IF($A424="","",J424+K424)</f>
        <v/>
      </c>
      <c r="M424" s="82">
        <f>IF($A424="","",IFERROR(L424/$L$8,0))</f>
        <v/>
      </c>
      <c r="N424" s="80">
        <f>IF($A424="","",INDEX(tblCustomers[حد الائتمان],MATCH($A424,tblCustomers[كود العميل],0)))</f>
        <v/>
      </c>
      <c r="O424" s="83">
        <f>IF($A424="","",IF(AND(N424&gt;0,L424&gt;N424),"⛔",""))</f>
        <v/>
      </c>
    </row>
    <row r="425">
      <c r="A425" s="78">
        <f>IFERROR(INDEX(tblCustomers[كود العميل],MATCH(416,tblCustomers[ترتيب],0)),"")</f>
        <v/>
      </c>
      <c r="B425" s="79">
        <f>IF($A425="","",INDEX(tblCustomers[اسم العميل],MATCH($A425,tblCustomers[كود العميل],0)))</f>
        <v/>
      </c>
      <c r="C425" s="80">
        <f>IF($A425="","",SUMIFS(tblInv[المتبقي],tblInv[كود العميل],$A425,tblInv[الفترة],C$7))</f>
        <v/>
      </c>
      <c r="D425" s="80">
        <f>IF($A425="","",SUMIFS(tblInv[المتبقي],tblInv[كود العميل],$A425,tblInv[الفترة],D$7))</f>
        <v/>
      </c>
      <c r="E425" s="80">
        <f>IF($A425="","",SUMIFS(tblInv[المتبقي],tblInv[كود العميل],$A425,tblInv[الفترة],E$7))</f>
        <v/>
      </c>
      <c r="F425" s="80">
        <f>IF($A425="","",SUMIFS(tblInv[المتبقي],tblInv[كود العميل],$A425,tblInv[الفترة],F$7))</f>
        <v/>
      </c>
      <c r="G425" s="80">
        <f>IF($A425="","",SUMIFS(tblInv[المتبقي],tblInv[كود العميل],$A425,tblInv[الفترة],G$7))</f>
        <v/>
      </c>
      <c r="H425" s="80">
        <f>IF($A425="","",SUMIFS(tblInv[المتبقي],tblInv[كود العميل],$A425,tblInv[الفترة],H$7))</f>
        <v/>
      </c>
      <c r="I425" s="80">
        <f>IF($A425="","",SUMIFS(tblInv[المتبقي],tblInv[كود العميل],$A425,tblInv[الفترة],I$7))</f>
        <v/>
      </c>
      <c r="J425" s="80">
        <f>IF($A425="","",SUM(C425:I425))</f>
        <v/>
      </c>
      <c r="K425" s="80">
        <f>IF($A425="","",-SUMIFS(tblRec[المبلغ],tblRec[كود العميل],$A425,tblRec[رقم الفاتورة],"",tblRec[التاريخ],"&lt;="&amp;AsOf)+SUMIFS(tblInv[المتبقي],tblInv[كود العميل],$A425,tblInv[المتبقي],"&lt;0"))</f>
        <v/>
      </c>
      <c r="L425" s="81">
        <f>IF($A425="","",J425+K425)</f>
        <v/>
      </c>
      <c r="M425" s="82">
        <f>IF($A425="","",IFERROR(L425/$L$8,0))</f>
        <v/>
      </c>
      <c r="N425" s="80">
        <f>IF($A425="","",INDEX(tblCustomers[حد الائتمان],MATCH($A425,tblCustomers[كود العميل],0)))</f>
        <v/>
      </c>
      <c r="O425" s="83">
        <f>IF($A425="","",IF(AND(N425&gt;0,L425&gt;N425),"⛔",""))</f>
        <v/>
      </c>
    </row>
    <row r="426">
      <c r="A426" s="78">
        <f>IFERROR(INDEX(tblCustomers[كود العميل],MATCH(417,tblCustomers[ترتيب],0)),"")</f>
        <v/>
      </c>
      <c r="B426" s="79">
        <f>IF($A426="","",INDEX(tblCustomers[اسم العميل],MATCH($A426,tblCustomers[كود العميل],0)))</f>
        <v/>
      </c>
      <c r="C426" s="80">
        <f>IF($A426="","",SUMIFS(tblInv[المتبقي],tblInv[كود العميل],$A426,tblInv[الفترة],C$7))</f>
        <v/>
      </c>
      <c r="D426" s="80">
        <f>IF($A426="","",SUMIFS(tblInv[المتبقي],tblInv[كود العميل],$A426,tblInv[الفترة],D$7))</f>
        <v/>
      </c>
      <c r="E426" s="80">
        <f>IF($A426="","",SUMIFS(tblInv[المتبقي],tblInv[كود العميل],$A426,tblInv[الفترة],E$7))</f>
        <v/>
      </c>
      <c r="F426" s="80">
        <f>IF($A426="","",SUMIFS(tblInv[المتبقي],tblInv[كود العميل],$A426,tblInv[الفترة],F$7))</f>
        <v/>
      </c>
      <c r="G426" s="80">
        <f>IF($A426="","",SUMIFS(tblInv[المتبقي],tblInv[كود العميل],$A426,tblInv[الفترة],G$7))</f>
        <v/>
      </c>
      <c r="H426" s="80">
        <f>IF($A426="","",SUMIFS(tblInv[المتبقي],tblInv[كود العميل],$A426,tblInv[الفترة],H$7))</f>
        <v/>
      </c>
      <c r="I426" s="80">
        <f>IF($A426="","",SUMIFS(tblInv[المتبقي],tblInv[كود العميل],$A426,tblInv[الفترة],I$7))</f>
        <v/>
      </c>
      <c r="J426" s="80">
        <f>IF($A426="","",SUM(C426:I426))</f>
        <v/>
      </c>
      <c r="K426" s="80">
        <f>IF($A426="","",-SUMIFS(tblRec[المبلغ],tblRec[كود العميل],$A426,tblRec[رقم الفاتورة],"",tblRec[التاريخ],"&lt;="&amp;AsOf)+SUMIFS(tblInv[المتبقي],tblInv[كود العميل],$A426,tblInv[المتبقي],"&lt;0"))</f>
        <v/>
      </c>
      <c r="L426" s="81">
        <f>IF($A426="","",J426+K426)</f>
        <v/>
      </c>
      <c r="M426" s="82">
        <f>IF($A426="","",IFERROR(L426/$L$8,0))</f>
        <v/>
      </c>
      <c r="N426" s="80">
        <f>IF($A426="","",INDEX(tblCustomers[حد الائتمان],MATCH($A426,tblCustomers[كود العميل],0)))</f>
        <v/>
      </c>
      <c r="O426" s="83">
        <f>IF($A426="","",IF(AND(N426&gt;0,L426&gt;N426),"⛔",""))</f>
        <v/>
      </c>
    </row>
    <row r="427">
      <c r="A427" s="78">
        <f>IFERROR(INDEX(tblCustomers[كود العميل],MATCH(418,tblCustomers[ترتيب],0)),"")</f>
        <v/>
      </c>
      <c r="B427" s="79">
        <f>IF($A427="","",INDEX(tblCustomers[اسم العميل],MATCH($A427,tblCustomers[كود العميل],0)))</f>
        <v/>
      </c>
      <c r="C427" s="80">
        <f>IF($A427="","",SUMIFS(tblInv[المتبقي],tblInv[كود العميل],$A427,tblInv[الفترة],C$7))</f>
        <v/>
      </c>
      <c r="D427" s="80">
        <f>IF($A427="","",SUMIFS(tblInv[المتبقي],tblInv[كود العميل],$A427,tblInv[الفترة],D$7))</f>
        <v/>
      </c>
      <c r="E427" s="80">
        <f>IF($A427="","",SUMIFS(tblInv[المتبقي],tblInv[كود العميل],$A427,tblInv[الفترة],E$7))</f>
        <v/>
      </c>
      <c r="F427" s="80">
        <f>IF($A427="","",SUMIFS(tblInv[المتبقي],tblInv[كود العميل],$A427,tblInv[الفترة],F$7))</f>
        <v/>
      </c>
      <c r="G427" s="80">
        <f>IF($A427="","",SUMIFS(tblInv[المتبقي],tblInv[كود العميل],$A427,tblInv[الفترة],G$7))</f>
        <v/>
      </c>
      <c r="H427" s="80">
        <f>IF($A427="","",SUMIFS(tblInv[المتبقي],tblInv[كود العميل],$A427,tblInv[الفترة],H$7))</f>
        <v/>
      </c>
      <c r="I427" s="80">
        <f>IF($A427="","",SUMIFS(tblInv[المتبقي],tblInv[كود العميل],$A427,tblInv[الفترة],I$7))</f>
        <v/>
      </c>
      <c r="J427" s="80">
        <f>IF($A427="","",SUM(C427:I427))</f>
        <v/>
      </c>
      <c r="K427" s="80">
        <f>IF($A427="","",-SUMIFS(tblRec[المبلغ],tblRec[كود العميل],$A427,tblRec[رقم الفاتورة],"",tblRec[التاريخ],"&lt;="&amp;AsOf)+SUMIFS(tblInv[المتبقي],tblInv[كود العميل],$A427,tblInv[المتبقي],"&lt;0"))</f>
        <v/>
      </c>
      <c r="L427" s="81">
        <f>IF($A427="","",J427+K427)</f>
        <v/>
      </c>
      <c r="M427" s="82">
        <f>IF($A427="","",IFERROR(L427/$L$8,0))</f>
        <v/>
      </c>
      <c r="N427" s="80">
        <f>IF($A427="","",INDEX(tblCustomers[حد الائتمان],MATCH($A427,tblCustomers[كود العميل],0)))</f>
        <v/>
      </c>
      <c r="O427" s="83">
        <f>IF($A427="","",IF(AND(N427&gt;0,L427&gt;N427),"⛔",""))</f>
        <v/>
      </c>
    </row>
    <row r="428">
      <c r="A428" s="78">
        <f>IFERROR(INDEX(tblCustomers[كود العميل],MATCH(419,tblCustomers[ترتيب],0)),"")</f>
        <v/>
      </c>
      <c r="B428" s="79">
        <f>IF($A428="","",INDEX(tblCustomers[اسم العميل],MATCH($A428,tblCustomers[كود العميل],0)))</f>
        <v/>
      </c>
      <c r="C428" s="80">
        <f>IF($A428="","",SUMIFS(tblInv[المتبقي],tblInv[كود العميل],$A428,tblInv[الفترة],C$7))</f>
        <v/>
      </c>
      <c r="D428" s="80">
        <f>IF($A428="","",SUMIFS(tblInv[المتبقي],tblInv[كود العميل],$A428,tblInv[الفترة],D$7))</f>
        <v/>
      </c>
      <c r="E428" s="80">
        <f>IF($A428="","",SUMIFS(tblInv[المتبقي],tblInv[كود العميل],$A428,tblInv[الفترة],E$7))</f>
        <v/>
      </c>
      <c r="F428" s="80">
        <f>IF($A428="","",SUMIFS(tblInv[المتبقي],tblInv[كود العميل],$A428,tblInv[الفترة],F$7))</f>
        <v/>
      </c>
      <c r="G428" s="80">
        <f>IF($A428="","",SUMIFS(tblInv[المتبقي],tblInv[كود العميل],$A428,tblInv[الفترة],G$7))</f>
        <v/>
      </c>
      <c r="H428" s="80">
        <f>IF($A428="","",SUMIFS(tblInv[المتبقي],tblInv[كود العميل],$A428,tblInv[الفترة],H$7))</f>
        <v/>
      </c>
      <c r="I428" s="80">
        <f>IF($A428="","",SUMIFS(tblInv[المتبقي],tblInv[كود العميل],$A428,tblInv[الفترة],I$7))</f>
        <v/>
      </c>
      <c r="J428" s="80">
        <f>IF($A428="","",SUM(C428:I428))</f>
        <v/>
      </c>
      <c r="K428" s="80">
        <f>IF($A428="","",-SUMIFS(tblRec[المبلغ],tblRec[كود العميل],$A428,tblRec[رقم الفاتورة],"",tblRec[التاريخ],"&lt;="&amp;AsOf)+SUMIFS(tblInv[المتبقي],tblInv[كود العميل],$A428,tblInv[المتبقي],"&lt;0"))</f>
        <v/>
      </c>
      <c r="L428" s="81">
        <f>IF($A428="","",J428+K428)</f>
        <v/>
      </c>
      <c r="M428" s="82">
        <f>IF($A428="","",IFERROR(L428/$L$8,0))</f>
        <v/>
      </c>
      <c r="N428" s="80">
        <f>IF($A428="","",INDEX(tblCustomers[حد الائتمان],MATCH($A428,tblCustomers[كود العميل],0)))</f>
        <v/>
      </c>
      <c r="O428" s="83">
        <f>IF($A428="","",IF(AND(N428&gt;0,L428&gt;N428),"⛔",""))</f>
        <v/>
      </c>
    </row>
    <row r="429">
      <c r="A429" s="78">
        <f>IFERROR(INDEX(tblCustomers[كود العميل],MATCH(420,tblCustomers[ترتيب],0)),"")</f>
        <v/>
      </c>
      <c r="B429" s="79">
        <f>IF($A429="","",INDEX(tblCustomers[اسم العميل],MATCH($A429,tblCustomers[كود العميل],0)))</f>
        <v/>
      </c>
      <c r="C429" s="80">
        <f>IF($A429="","",SUMIFS(tblInv[المتبقي],tblInv[كود العميل],$A429,tblInv[الفترة],C$7))</f>
        <v/>
      </c>
      <c r="D429" s="80">
        <f>IF($A429="","",SUMIFS(tblInv[المتبقي],tblInv[كود العميل],$A429,tblInv[الفترة],D$7))</f>
        <v/>
      </c>
      <c r="E429" s="80">
        <f>IF($A429="","",SUMIFS(tblInv[المتبقي],tblInv[كود العميل],$A429,tblInv[الفترة],E$7))</f>
        <v/>
      </c>
      <c r="F429" s="80">
        <f>IF($A429="","",SUMIFS(tblInv[المتبقي],tblInv[كود العميل],$A429,tblInv[الفترة],F$7))</f>
        <v/>
      </c>
      <c r="G429" s="80">
        <f>IF($A429="","",SUMIFS(tblInv[المتبقي],tblInv[كود العميل],$A429,tblInv[الفترة],G$7))</f>
        <v/>
      </c>
      <c r="H429" s="80">
        <f>IF($A429="","",SUMIFS(tblInv[المتبقي],tblInv[كود العميل],$A429,tblInv[الفترة],H$7))</f>
        <v/>
      </c>
      <c r="I429" s="80">
        <f>IF($A429="","",SUMIFS(tblInv[المتبقي],tblInv[كود العميل],$A429,tblInv[الفترة],I$7))</f>
        <v/>
      </c>
      <c r="J429" s="80">
        <f>IF($A429="","",SUM(C429:I429))</f>
        <v/>
      </c>
      <c r="K429" s="80">
        <f>IF($A429="","",-SUMIFS(tblRec[المبلغ],tblRec[كود العميل],$A429,tblRec[رقم الفاتورة],"",tblRec[التاريخ],"&lt;="&amp;AsOf)+SUMIFS(tblInv[المتبقي],tblInv[كود العميل],$A429,tblInv[المتبقي],"&lt;0"))</f>
        <v/>
      </c>
      <c r="L429" s="81">
        <f>IF($A429="","",J429+K429)</f>
        <v/>
      </c>
      <c r="M429" s="82">
        <f>IF($A429="","",IFERROR(L429/$L$8,0))</f>
        <v/>
      </c>
      <c r="N429" s="80">
        <f>IF($A429="","",INDEX(tblCustomers[حد الائتمان],MATCH($A429,tblCustomers[كود العميل],0)))</f>
        <v/>
      </c>
      <c r="O429" s="83">
        <f>IF($A429="","",IF(AND(N429&gt;0,L429&gt;N429),"⛔",""))</f>
        <v/>
      </c>
    </row>
    <row r="430">
      <c r="A430" s="78">
        <f>IFERROR(INDEX(tblCustomers[كود العميل],MATCH(421,tblCustomers[ترتيب],0)),"")</f>
        <v/>
      </c>
      <c r="B430" s="79">
        <f>IF($A430="","",INDEX(tblCustomers[اسم العميل],MATCH($A430,tblCustomers[كود العميل],0)))</f>
        <v/>
      </c>
      <c r="C430" s="80">
        <f>IF($A430="","",SUMIFS(tblInv[المتبقي],tblInv[كود العميل],$A430,tblInv[الفترة],C$7))</f>
        <v/>
      </c>
      <c r="D430" s="80">
        <f>IF($A430="","",SUMIFS(tblInv[المتبقي],tblInv[كود العميل],$A430,tblInv[الفترة],D$7))</f>
        <v/>
      </c>
      <c r="E430" s="80">
        <f>IF($A430="","",SUMIFS(tblInv[المتبقي],tblInv[كود العميل],$A430,tblInv[الفترة],E$7))</f>
        <v/>
      </c>
      <c r="F430" s="80">
        <f>IF($A430="","",SUMIFS(tblInv[المتبقي],tblInv[كود العميل],$A430,tblInv[الفترة],F$7))</f>
        <v/>
      </c>
      <c r="G430" s="80">
        <f>IF($A430="","",SUMIFS(tblInv[المتبقي],tblInv[كود العميل],$A430,tblInv[الفترة],G$7))</f>
        <v/>
      </c>
      <c r="H430" s="80">
        <f>IF($A430="","",SUMIFS(tblInv[المتبقي],tblInv[كود العميل],$A430,tblInv[الفترة],H$7))</f>
        <v/>
      </c>
      <c r="I430" s="80">
        <f>IF($A430="","",SUMIFS(tblInv[المتبقي],tblInv[كود العميل],$A430,tblInv[الفترة],I$7))</f>
        <v/>
      </c>
      <c r="J430" s="80">
        <f>IF($A430="","",SUM(C430:I430))</f>
        <v/>
      </c>
      <c r="K430" s="80">
        <f>IF($A430="","",-SUMIFS(tblRec[المبلغ],tblRec[كود العميل],$A430,tblRec[رقم الفاتورة],"",tblRec[التاريخ],"&lt;="&amp;AsOf)+SUMIFS(tblInv[المتبقي],tblInv[كود العميل],$A430,tblInv[المتبقي],"&lt;0"))</f>
        <v/>
      </c>
      <c r="L430" s="81">
        <f>IF($A430="","",J430+K430)</f>
        <v/>
      </c>
      <c r="M430" s="82">
        <f>IF($A430="","",IFERROR(L430/$L$8,0))</f>
        <v/>
      </c>
      <c r="N430" s="80">
        <f>IF($A430="","",INDEX(tblCustomers[حد الائتمان],MATCH($A430,tblCustomers[كود العميل],0)))</f>
        <v/>
      </c>
      <c r="O430" s="83">
        <f>IF($A430="","",IF(AND(N430&gt;0,L430&gt;N430),"⛔",""))</f>
        <v/>
      </c>
    </row>
    <row r="431">
      <c r="A431" s="78">
        <f>IFERROR(INDEX(tblCustomers[كود العميل],MATCH(422,tblCustomers[ترتيب],0)),"")</f>
        <v/>
      </c>
      <c r="B431" s="79">
        <f>IF($A431="","",INDEX(tblCustomers[اسم العميل],MATCH($A431,tblCustomers[كود العميل],0)))</f>
        <v/>
      </c>
      <c r="C431" s="80">
        <f>IF($A431="","",SUMIFS(tblInv[المتبقي],tblInv[كود العميل],$A431,tblInv[الفترة],C$7))</f>
        <v/>
      </c>
      <c r="D431" s="80">
        <f>IF($A431="","",SUMIFS(tblInv[المتبقي],tblInv[كود العميل],$A431,tblInv[الفترة],D$7))</f>
        <v/>
      </c>
      <c r="E431" s="80">
        <f>IF($A431="","",SUMIFS(tblInv[المتبقي],tblInv[كود العميل],$A431,tblInv[الفترة],E$7))</f>
        <v/>
      </c>
      <c r="F431" s="80">
        <f>IF($A431="","",SUMIFS(tblInv[المتبقي],tblInv[كود العميل],$A431,tblInv[الفترة],F$7))</f>
        <v/>
      </c>
      <c r="G431" s="80">
        <f>IF($A431="","",SUMIFS(tblInv[المتبقي],tblInv[كود العميل],$A431,tblInv[الفترة],G$7))</f>
        <v/>
      </c>
      <c r="H431" s="80">
        <f>IF($A431="","",SUMIFS(tblInv[المتبقي],tblInv[كود العميل],$A431,tblInv[الفترة],H$7))</f>
        <v/>
      </c>
      <c r="I431" s="80">
        <f>IF($A431="","",SUMIFS(tblInv[المتبقي],tblInv[كود العميل],$A431,tblInv[الفترة],I$7))</f>
        <v/>
      </c>
      <c r="J431" s="80">
        <f>IF($A431="","",SUM(C431:I431))</f>
        <v/>
      </c>
      <c r="K431" s="80">
        <f>IF($A431="","",-SUMIFS(tblRec[المبلغ],tblRec[كود العميل],$A431,tblRec[رقم الفاتورة],"",tblRec[التاريخ],"&lt;="&amp;AsOf)+SUMIFS(tblInv[المتبقي],tblInv[كود العميل],$A431,tblInv[المتبقي],"&lt;0"))</f>
        <v/>
      </c>
      <c r="L431" s="81">
        <f>IF($A431="","",J431+K431)</f>
        <v/>
      </c>
      <c r="M431" s="82">
        <f>IF($A431="","",IFERROR(L431/$L$8,0))</f>
        <v/>
      </c>
      <c r="N431" s="80">
        <f>IF($A431="","",INDEX(tblCustomers[حد الائتمان],MATCH($A431,tblCustomers[كود العميل],0)))</f>
        <v/>
      </c>
      <c r="O431" s="83">
        <f>IF($A431="","",IF(AND(N431&gt;0,L431&gt;N431),"⛔",""))</f>
        <v/>
      </c>
    </row>
    <row r="432">
      <c r="A432" s="78">
        <f>IFERROR(INDEX(tblCustomers[كود العميل],MATCH(423,tblCustomers[ترتيب],0)),"")</f>
        <v/>
      </c>
      <c r="B432" s="79">
        <f>IF($A432="","",INDEX(tblCustomers[اسم العميل],MATCH($A432,tblCustomers[كود العميل],0)))</f>
        <v/>
      </c>
      <c r="C432" s="80">
        <f>IF($A432="","",SUMIFS(tblInv[المتبقي],tblInv[كود العميل],$A432,tblInv[الفترة],C$7))</f>
        <v/>
      </c>
      <c r="D432" s="80">
        <f>IF($A432="","",SUMIFS(tblInv[المتبقي],tblInv[كود العميل],$A432,tblInv[الفترة],D$7))</f>
        <v/>
      </c>
      <c r="E432" s="80">
        <f>IF($A432="","",SUMIFS(tblInv[المتبقي],tblInv[كود العميل],$A432,tblInv[الفترة],E$7))</f>
        <v/>
      </c>
      <c r="F432" s="80">
        <f>IF($A432="","",SUMIFS(tblInv[المتبقي],tblInv[كود العميل],$A432,tblInv[الفترة],F$7))</f>
        <v/>
      </c>
      <c r="G432" s="80">
        <f>IF($A432="","",SUMIFS(tblInv[المتبقي],tblInv[كود العميل],$A432,tblInv[الفترة],G$7))</f>
        <v/>
      </c>
      <c r="H432" s="80">
        <f>IF($A432="","",SUMIFS(tblInv[المتبقي],tblInv[كود العميل],$A432,tblInv[الفترة],H$7))</f>
        <v/>
      </c>
      <c r="I432" s="80">
        <f>IF($A432="","",SUMIFS(tblInv[المتبقي],tblInv[كود العميل],$A432,tblInv[الفترة],I$7))</f>
        <v/>
      </c>
      <c r="J432" s="80">
        <f>IF($A432="","",SUM(C432:I432))</f>
        <v/>
      </c>
      <c r="K432" s="80">
        <f>IF($A432="","",-SUMIFS(tblRec[المبلغ],tblRec[كود العميل],$A432,tblRec[رقم الفاتورة],"",tblRec[التاريخ],"&lt;="&amp;AsOf)+SUMIFS(tblInv[المتبقي],tblInv[كود العميل],$A432,tblInv[المتبقي],"&lt;0"))</f>
        <v/>
      </c>
      <c r="L432" s="81">
        <f>IF($A432="","",J432+K432)</f>
        <v/>
      </c>
      <c r="M432" s="82">
        <f>IF($A432="","",IFERROR(L432/$L$8,0))</f>
        <v/>
      </c>
      <c r="N432" s="80">
        <f>IF($A432="","",INDEX(tblCustomers[حد الائتمان],MATCH($A432,tblCustomers[كود العميل],0)))</f>
        <v/>
      </c>
      <c r="O432" s="83">
        <f>IF($A432="","",IF(AND(N432&gt;0,L432&gt;N432),"⛔",""))</f>
        <v/>
      </c>
    </row>
    <row r="433">
      <c r="A433" s="78">
        <f>IFERROR(INDEX(tblCustomers[كود العميل],MATCH(424,tblCustomers[ترتيب],0)),"")</f>
        <v/>
      </c>
      <c r="B433" s="79">
        <f>IF($A433="","",INDEX(tblCustomers[اسم العميل],MATCH($A433,tblCustomers[كود العميل],0)))</f>
        <v/>
      </c>
      <c r="C433" s="80">
        <f>IF($A433="","",SUMIFS(tblInv[المتبقي],tblInv[كود العميل],$A433,tblInv[الفترة],C$7))</f>
        <v/>
      </c>
      <c r="D433" s="80">
        <f>IF($A433="","",SUMIFS(tblInv[المتبقي],tblInv[كود العميل],$A433,tblInv[الفترة],D$7))</f>
        <v/>
      </c>
      <c r="E433" s="80">
        <f>IF($A433="","",SUMIFS(tblInv[المتبقي],tblInv[كود العميل],$A433,tblInv[الفترة],E$7))</f>
        <v/>
      </c>
      <c r="F433" s="80">
        <f>IF($A433="","",SUMIFS(tblInv[المتبقي],tblInv[كود العميل],$A433,tblInv[الفترة],F$7))</f>
        <v/>
      </c>
      <c r="G433" s="80">
        <f>IF($A433="","",SUMIFS(tblInv[المتبقي],tblInv[كود العميل],$A433,tblInv[الفترة],G$7))</f>
        <v/>
      </c>
      <c r="H433" s="80">
        <f>IF($A433="","",SUMIFS(tblInv[المتبقي],tblInv[كود العميل],$A433,tblInv[الفترة],H$7))</f>
        <v/>
      </c>
      <c r="I433" s="80">
        <f>IF($A433="","",SUMIFS(tblInv[المتبقي],tblInv[كود العميل],$A433,tblInv[الفترة],I$7))</f>
        <v/>
      </c>
      <c r="J433" s="80">
        <f>IF($A433="","",SUM(C433:I433))</f>
        <v/>
      </c>
      <c r="K433" s="80">
        <f>IF($A433="","",-SUMIFS(tblRec[المبلغ],tblRec[كود العميل],$A433,tblRec[رقم الفاتورة],"",tblRec[التاريخ],"&lt;="&amp;AsOf)+SUMIFS(tblInv[المتبقي],tblInv[كود العميل],$A433,tblInv[المتبقي],"&lt;0"))</f>
        <v/>
      </c>
      <c r="L433" s="81">
        <f>IF($A433="","",J433+K433)</f>
        <v/>
      </c>
      <c r="M433" s="82">
        <f>IF($A433="","",IFERROR(L433/$L$8,0))</f>
        <v/>
      </c>
      <c r="N433" s="80">
        <f>IF($A433="","",INDEX(tblCustomers[حد الائتمان],MATCH($A433,tblCustomers[كود العميل],0)))</f>
        <v/>
      </c>
      <c r="O433" s="83">
        <f>IF($A433="","",IF(AND(N433&gt;0,L433&gt;N433),"⛔",""))</f>
        <v/>
      </c>
    </row>
    <row r="434">
      <c r="A434" s="78">
        <f>IFERROR(INDEX(tblCustomers[كود العميل],MATCH(425,tblCustomers[ترتيب],0)),"")</f>
        <v/>
      </c>
      <c r="B434" s="79">
        <f>IF($A434="","",INDEX(tblCustomers[اسم العميل],MATCH($A434,tblCustomers[كود العميل],0)))</f>
        <v/>
      </c>
      <c r="C434" s="80">
        <f>IF($A434="","",SUMIFS(tblInv[المتبقي],tblInv[كود العميل],$A434,tblInv[الفترة],C$7))</f>
        <v/>
      </c>
      <c r="D434" s="80">
        <f>IF($A434="","",SUMIFS(tblInv[المتبقي],tblInv[كود العميل],$A434,tblInv[الفترة],D$7))</f>
        <v/>
      </c>
      <c r="E434" s="80">
        <f>IF($A434="","",SUMIFS(tblInv[المتبقي],tblInv[كود العميل],$A434,tblInv[الفترة],E$7))</f>
        <v/>
      </c>
      <c r="F434" s="80">
        <f>IF($A434="","",SUMIFS(tblInv[المتبقي],tblInv[كود العميل],$A434,tblInv[الفترة],F$7))</f>
        <v/>
      </c>
      <c r="G434" s="80">
        <f>IF($A434="","",SUMIFS(tblInv[المتبقي],tblInv[كود العميل],$A434,tblInv[الفترة],G$7))</f>
        <v/>
      </c>
      <c r="H434" s="80">
        <f>IF($A434="","",SUMIFS(tblInv[المتبقي],tblInv[كود العميل],$A434,tblInv[الفترة],H$7))</f>
        <v/>
      </c>
      <c r="I434" s="80">
        <f>IF($A434="","",SUMIFS(tblInv[المتبقي],tblInv[كود العميل],$A434,tblInv[الفترة],I$7))</f>
        <v/>
      </c>
      <c r="J434" s="80">
        <f>IF($A434="","",SUM(C434:I434))</f>
        <v/>
      </c>
      <c r="K434" s="80">
        <f>IF($A434="","",-SUMIFS(tblRec[المبلغ],tblRec[كود العميل],$A434,tblRec[رقم الفاتورة],"",tblRec[التاريخ],"&lt;="&amp;AsOf)+SUMIFS(tblInv[المتبقي],tblInv[كود العميل],$A434,tblInv[المتبقي],"&lt;0"))</f>
        <v/>
      </c>
      <c r="L434" s="81">
        <f>IF($A434="","",J434+K434)</f>
        <v/>
      </c>
      <c r="M434" s="82">
        <f>IF($A434="","",IFERROR(L434/$L$8,0))</f>
        <v/>
      </c>
      <c r="N434" s="80">
        <f>IF($A434="","",INDEX(tblCustomers[حد الائتمان],MATCH($A434,tblCustomers[كود العميل],0)))</f>
        <v/>
      </c>
      <c r="O434" s="83">
        <f>IF($A434="","",IF(AND(N434&gt;0,L434&gt;N434),"⛔",""))</f>
        <v/>
      </c>
    </row>
    <row r="435">
      <c r="A435" s="78">
        <f>IFERROR(INDEX(tblCustomers[كود العميل],MATCH(426,tblCustomers[ترتيب],0)),"")</f>
        <v/>
      </c>
      <c r="B435" s="79">
        <f>IF($A435="","",INDEX(tblCustomers[اسم العميل],MATCH($A435,tblCustomers[كود العميل],0)))</f>
        <v/>
      </c>
      <c r="C435" s="80">
        <f>IF($A435="","",SUMIFS(tblInv[المتبقي],tblInv[كود العميل],$A435,tblInv[الفترة],C$7))</f>
        <v/>
      </c>
      <c r="D435" s="80">
        <f>IF($A435="","",SUMIFS(tblInv[المتبقي],tblInv[كود العميل],$A435,tblInv[الفترة],D$7))</f>
        <v/>
      </c>
      <c r="E435" s="80">
        <f>IF($A435="","",SUMIFS(tblInv[المتبقي],tblInv[كود العميل],$A435,tblInv[الفترة],E$7))</f>
        <v/>
      </c>
      <c r="F435" s="80">
        <f>IF($A435="","",SUMIFS(tblInv[المتبقي],tblInv[كود العميل],$A435,tblInv[الفترة],F$7))</f>
        <v/>
      </c>
      <c r="G435" s="80">
        <f>IF($A435="","",SUMIFS(tblInv[المتبقي],tblInv[كود العميل],$A435,tblInv[الفترة],G$7))</f>
        <v/>
      </c>
      <c r="H435" s="80">
        <f>IF($A435="","",SUMIFS(tblInv[المتبقي],tblInv[كود العميل],$A435,tblInv[الفترة],H$7))</f>
        <v/>
      </c>
      <c r="I435" s="80">
        <f>IF($A435="","",SUMIFS(tblInv[المتبقي],tblInv[كود العميل],$A435,tblInv[الفترة],I$7))</f>
        <v/>
      </c>
      <c r="J435" s="80">
        <f>IF($A435="","",SUM(C435:I435))</f>
        <v/>
      </c>
      <c r="K435" s="80">
        <f>IF($A435="","",-SUMIFS(tblRec[المبلغ],tblRec[كود العميل],$A435,tblRec[رقم الفاتورة],"",tblRec[التاريخ],"&lt;="&amp;AsOf)+SUMIFS(tblInv[المتبقي],tblInv[كود العميل],$A435,tblInv[المتبقي],"&lt;0"))</f>
        <v/>
      </c>
      <c r="L435" s="81">
        <f>IF($A435="","",J435+K435)</f>
        <v/>
      </c>
      <c r="M435" s="82">
        <f>IF($A435="","",IFERROR(L435/$L$8,0))</f>
        <v/>
      </c>
      <c r="N435" s="80">
        <f>IF($A435="","",INDEX(tblCustomers[حد الائتمان],MATCH($A435,tblCustomers[كود العميل],0)))</f>
        <v/>
      </c>
      <c r="O435" s="83">
        <f>IF($A435="","",IF(AND(N435&gt;0,L435&gt;N435),"⛔",""))</f>
        <v/>
      </c>
    </row>
    <row r="436">
      <c r="A436" s="78">
        <f>IFERROR(INDEX(tblCustomers[كود العميل],MATCH(427,tblCustomers[ترتيب],0)),"")</f>
        <v/>
      </c>
      <c r="B436" s="79">
        <f>IF($A436="","",INDEX(tblCustomers[اسم العميل],MATCH($A436,tblCustomers[كود العميل],0)))</f>
        <v/>
      </c>
      <c r="C436" s="80">
        <f>IF($A436="","",SUMIFS(tblInv[المتبقي],tblInv[كود العميل],$A436,tblInv[الفترة],C$7))</f>
        <v/>
      </c>
      <c r="D436" s="80">
        <f>IF($A436="","",SUMIFS(tblInv[المتبقي],tblInv[كود العميل],$A436,tblInv[الفترة],D$7))</f>
        <v/>
      </c>
      <c r="E436" s="80">
        <f>IF($A436="","",SUMIFS(tblInv[المتبقي],tblInv[كود العميل],$A436,tblInv[الفترة],E$7))</f>
        <v/>
      </c>
      <c r="F436" s="80">
        <f>IF($A436="","",SUMIFS(tblInv[المتبقي],tblInv[كود العميل],$A436,tblInv[الفترة],F$7))</f>
        <v/>
      </c>
      <c r="G436" s="80">
        <f>IF($A436="","",SUMIFS(tblInv[المتبقي],tblInv[كود العميل],$A436,tblInv[الفترة],G$7))</f>
        <v/>
      </c>
      <c r="H436" s="80">
        <f>IF($A436="","",SUMIFS(tblInv[المتبقي],tblInv[كود العميل],$A436,tblInv[الفترة],H$7))</f>
        <v/>
      </c>
      <c r="I436" s="80">
        <f>IF($A436="","",SUMIFS(tblInv[المتبقي],tblInv[كود العميل],$A436,tblInv[الفترة],I$7))</f>
        <v/>
      </c>
      <c r="J436" s="80">
        <f>IF($A436="","",SUM(C436:I436))</f>
        <v/>
      </c>
      <c r="K436" s="80">
        <f>IF($A436="","",-SUMIFS(tblRec[المبلغ],tblRec[كود العميل],$A436,tblRec[رقم الفاتورة],"",tblRec[التاريخ],"&lt;="&amp;AsOf)+SUMIFS(tblInv[المتبقي],tblInv[كود العميل],$A436,tblInv[المتبقي],"&lt;0"))</f>
        <v/>
      </c>
      <c r="L436" s="81">
        <f>IF($A436="","",J436+K436)</f>
        <v/>
      </c>
      <c r="M436" s="82">
        <f>IF($A436="","",IFERROR(L436/$L$8,0))</f>
        <v/>
      </c>
      <c r="N436" s="80">
        <f>IF($A436="","",INDEX(tblCustomers[حد الائتمان],MATCH($A436,tblCustomers[كود العميل],0)))</f>
        <v/>
      </c>
      <c r="O436" s="83">
        <f>IF($A436="","",IF(AND(N436&gt;0,L436&gt;N436),"⛔",""))</f>
        <v/>
      </c>
    </row>
    <row r="437">
      <c r="A437" s="78">
        <f>IFERROR(INDEX(tblCustomers[كود العميل],MATCH(428,tblCustomers[ترتيب],0)),"")</f>
        <v/>
      </c>
      <c r="B437" s="79">
        <f>IF($A437="","",INDEX(tblCustomers[اسم العميل],MATCH($A437,tblCustomers[كود العميل],0)))</f>
        <v/>
      </c>
      <c r="C437" s="80">
        <f>IF($A437="","",SUMIFS(tblInv[المتبقي],tblInv[كود العميل],$A437,tblInv[الفترة],C$7))</f>
        <v/>
      </c>
      <c r="D437" s="80">
        <f>IF($A437="","",SUMIFS(tblInv[المتبقي],tblInv[كود العميل],$A437,tblInv[الفترة],D$7))</f>
        <v/>
      </c>
      <c r="E437" s="80">
        <f>IF($A437="","",SUMIFS(tblInv[المتبقي],tblInv[كود العميل],$A437,tblInv[الفترة],E$7))</f>
        <v/>
      </c>
      <c r="F437" s="80">
        <f>IF($A437="","",SUMIFS(tblInv[المتبقي],tblInv[كود العميل],$A437,tblInv[الفترة],F$7))</f>
        <v/>
      </c>
      <c r="G437" s="80">
        <f>IF($A437="","",SUMIFS(tblInv[المتبقي],tblInv[كود العميل],$A437,tblInv[الفترة],G$7))</f>
        <v/>
      </c>
      <c r="H437" s="80">
        <f>IF($A437="","",SUMIFS(tblInv[المتبقي],tblInv[كود العميل],$A437,tblInv[الفترة],H$7))</f>
        <v/>
      </c>
      <c r="I437" s="80">
        <f>IF($A437="","",SUMIFS(tblInv[المتبقي],tblInv[كود العميل],$A437,tblInv[الفترة],I$7))</f>
        <v/>
      </c>
      <c r="J437" s="80">
        <f>IF($A437="","",SUM(C437:I437))</f>
        <v/>
      </c>
      <c r="K437" s="80">
        <f>IF($A437="","",-SUMIFS(tblRec[المبلغ],tblRec[كود العميل],$A437,tblRec[رقم الفاتورة],"",tblRec[التاريخ],"&lt;="&amp;AsOf)+SUMIFS(tblInv[المتبقي],tblInv[كود العميل],$A437,tblInv[المتبقي],"&lt;0"))</f>
        <v/>
      </c>
      <c r="L437" s="81">
        <f>IF($A437="","",J437+K437)</f>
        <v/>
      </c>
      <c r="M437" s="82">
        <f>IF($A437="","",IFERROR(L437/$L$8,0))</f>
        <v/>
      </c>
      <c r="N437" s="80">
        <f>IF($A437="","",INDEX(tblCustomers[حد الائتمان],MATCH($A437,tblCustomers[كود العميل],0)))</f>
        <v/>
      </c>
      <c r="O437" s="83">
        <f>IF($A437="","",IF(AND(N437&gt;0,L437&gt;N437),"⛔",""))</f>
        <v/>
      </c>
    </row>
    <row r="438">
      <c r="A438" s="78">
        <f>IFERROR(INDEX(tblCustomers[كود العميل],MATCH(429,tblCustomers[ترتيب],0)),"")</f>
        <v/>
      </c>
      <c r="B438" s="79">
        <f>IF($A438="","",INDEX(tblCustomers[اسم العميل],MATCH($A438,tblCustomers[كود العميل],0)))</f>
        <v/>
      </c>
      <c r="C438" s="80">
        <f>IF($A438="","",SUMIFS(tblInv[المتبقي],tblInv[كود العميل],$A438,tblInv[الفترة],C$7))</f>
        <v/>
      </c>
      <c r="D438" s="80">
        <f>IF($A438="","",SUMIFS(tblInv[المتبقي],tblInv[كود العميل],$A438,tblInv[الفترة],D$7))</f>
        <v/>
      </c>
      <c r="E438" s="80">
        <f>IF($A438="","",SUMIFS(tblInv[المتبقي],tblInv[كود العميل],$A438,tblInv[الفترة],E$7))</f>
        <v/>
      </c>
      <c r="F438" s="80">
        <f>IF($A438="","",SUMIFS(tblInv[المتبقي],tblInv[كود العميل],$A438,tblInv[الفترة],F$7))</f>
        <v/>
      </c>
      <c r="G438" s="80">
        <f>IF($A438="","",SUMIFS(tblInv[المتبقي],tblInv[كود العميل],$A438,tblInv[الفترة],G$7))</f>
        <v/>
      </c>
      <c r="H438" s="80">
        <f>IF($A438="","",SUMIFS(tblInv[المتبقي],tblInv[كود العميل],$A438,tblInv[الفترة],H$7))</f>
        <v/>
      </c>
      <c r="I438" s="80">
        <f>IF($A438="","",SUMIFS(tblInv[المتبقي],tblInv[كود العميل],$A438,tblInv[الفترة],I$7))</f>
        <v/>
      </c>
      <c r="J438" s="80">
        <f>IF($A438="","",SUM(C438:I438))</f>
        <v/>
      </c>
      <c r="K438" s="80">
        <f>IF($A438="","",-SUMIFS(tblRec[المبلغ],tblRec[كود العميل],$A438,tblRec[رقم الفاتورة],"",tblRec[التاريخ],"&lt;="&amp;AsOf)+SUMIFS(tblInv[المتبقي],tblInv[كود العميل],$A438,tblInv[المتبقي],"&lt;0"))</f>
        <v/>
      </c>
      <c r="L438" s="81">
        <f>IF($A438="","",J438+K438)</f>
        <v/>
      </c>
      <c r="M438" s="82">
        <f>IF($A438="","",IFERROR(L438/$L$8,0))</f>
        <v/>
      </c>
      <c r="N438" s="80">
        <f>IF($A438="","",INDEX(tblCustomers[حد الائتمان],MATCH($A438,tblCustomers[كود العميل],0)))</f>
        <v/>
      </c>
      <c r="O438" s="83">
        <f>IF($A438="","",IF(AND(N438&gt;0,L438&gt;N438),"⛔",""))</f>
        <v/>
      </c>
    </row>
    <row r="439">
      <c r="A439" s="78">
        <f>IFERROR(INDEX(tblCustomers[كود العميل],MATCH(430,tblCustomers[ترتيب],0)),"")</f>
        <v/>
      </c>
      <c r="B439" s="79">
        <f>IF($A439="","",INDEX(tblCustomers[اسم العميل],MATCH($A439,tblCustomers[كود العميل],0)))</f>
        <v/>
      </c>
      <c r="C439" s="80">
        <f>IF($A439="","",SUMIFS(tblInv[المتبقي],tblInv[كود العميل],$A439,tblInv[الفترة],C$7))</f>
        <v/>
      </c>
      <c r="D439" s="80">
        <f>IF($A439="","",SUMIFS(tblInv[المتبقي],tblInv[كود العميل],$A439,tblInv[الفترة],D$7))</f>
        <v/>
      </c>
      <c r="E439" s="80">
        <f>IF($A439="","",SUMIFS(tblInv[المتبقي],tblInv[كود العميل],$A439,tblInv[الفترة],E$7))</f>
        <v/>
      </c>
      <c r="F439" s="80">
        <f>IF($A439="","",SUMIFS(tblInv[المتبقي],tblInv[كود العميل],$A439,tblInv[الفترة],F$7))</f>
        <v/>
      </c>
      <c r="G439" s="80">
        <f>IF($A439="","",SUMIFS(tblInv[المتبقي],tblInv[كود العميل],$A439,tblInv[الفترة],G$7))</f>
        <v/>
      </c>
      <c r="H439" s="80">
        <f>IF($A439="","",SUMIFS(tblInv[المتبقي],tblInv[كود العميل],$A439,tblInv[الفترة],H$7))</f>
        <v/>
      </c>
      <c r="I439" s="80">
        <f>IF($A439="","",SUMIFS(tblInv[المتبقي],tblInv[كود العميل],$A439,tblInv[الفترة],I$7))</f>
        <v/>
      </c>
      <c r="J439" s="80">
        <f>IF($A439="","",SUM(C439:I439))</f>
        <v/>
      </c>
      <c r="K439" s="80">
        <f>IF($A439="","",-SUMIFS(tblRec[المبلغ],tblRec[كود العميل],$A439,tblRec[رقم الفاتورة],"",tblRec[التاريخ],"&lt;="&amp;AsOf)+SUMIFS(tblInv[المتبقي],tblInv[كود العميل],$A439,tblInv[المتبقي],"&lt;0"))</f>
        <v/>
      </c>
      <c r="L439" s="81">
        <f>IF($A439="","",J439+K439)</f>
        <v/>
      </c>
      <c r="M439" s="82">
        <f>IF($A439="","",IFERROR(L439/$L$8,0))</f>
        <v/>
      </c>
      <c r="N439" s="80">
        <f>IF($A439="","",INDEX(tblCustomers[حد الائتمان],MATCH($A439,tblCustomers[كود العميل],0)))</f>
        <v/>
      </c>
      <c r="O439" s="83">
        <f>IF($A439="","",IF(AND(N439&gt;0,L439&gt;N439),"⛔",""))</f>
        <v/>
      </c>
    </row>
    <row r="440">
      <c r="A440" s="78">
        <f>IFERROR(INDEX(tblCustomers[كود العميل],MATCH(431,tblCustomers[ترتيب],0)),"")</f>
        <v/>
      </c>
      <c r="B440" s="79">
        <f>IF($A440="","",INDEX(tblCustomers[اسم العميل],MATCH($A440,tblCustomers[كود العميل],0)))</f>
        <v/>
      </c>
      <c r="C440" s="80">
        <f>IF($A440="","",SUMIFS(tblInv[المتبقي],tblInv[كود العميل],$A440,tblInv[الفترة],C$7))</f>
        <v/>
      </c>
      <c r="D440" s="80">
        <f>IF($A440="","",SUMIFS(tblInv[المتبقي],tblInv[كود العميل],$A440,tblInv[الفترة],D$7))</f>
        <v/>
      </c>
      <c r="E440" s="80">
        <f>IF($A440="","",SUMIFS(tblInv[المتبقي],tblInv[كود العميل],$A440,tblInv[الفترة],E$7))</f>
        <v/>
      </c>
      <c r="F440" s="80">
        <f>IF($A440="","",SUMIFS(tblInv[المتبقي],tblInv[كود العميل],$A440,tblInv[الفترة],F$7))</f>
        <v/>
      </c>
      <c r="G440" s="80">
        <f>IF($A440="","",SUMIFS(tblInv[المتبقي],tblInv[كود العميل],$A440,tblInv[الفترة],G$7))</f>
        <v/>
      </c>
      <c r="H440" s="80">
        <f>IF($A440="","",SUMIFS(tblInv[المتبقي],tblInv[كود العميل],$A440,tblInv[الفترة],H$7))</f>
        <v/>
      </c>
      <c r="I440" s="80">
        <f>IF($A440="","",SUMIFS(tblInv[المتبقي],tblInv[كود العميل],$A440,tblInv[الفترة],I$7))</f>
        <v/>
      </c>
      <c r="J440" s="80">
        <f>IF($A440="","",SUM(C440:I440))</f>
        <v/>
      </c>
      <c r="K440" s="80">
        <f>IF($A440="","",-SUMIFS(tblRec[المبلغ],tblRec[كود العميل],$A440,tblRec[رقم الفاتورة],"",tblRec[التاريخ],"&lt;="&amp;AsOf)+SUMIFS(tblInv[المتبقي],tblInv[كود العميل],$A440,tblInv[المتبقي],"&lt;0"))</f>
        <v/>
      </c>
      <c r="L440" s="81">
        <f>IF($A440="","",J440+K440)</f>
        <v/>
      </c>
      <c r="M440" s="82">
        <f>IF($A440="","",IFERROR(L440/$L$8,0))</f>
        <v/>
      </c>
      <c r="N440" s="80">
        <f>IF($A440="","",INDEX(tblCustomers[حد الائتمان],MATCH($A440,tblCustomers[كود العميل],0)))</f>
        <v/>
      </c>
      <c r="O440" s="83">
        <f>IF($A440="","",IF(AND(N440&gt;0,L440&gt;N440),"⛔",""))</f>
        <v/>
      </c>
    </row>
    <row r="441">
      <c r="A441" s="78">
        <f>IFERROR(INDEX(tblCustomers[كود العميل],MATCH(432,tblCustomers[ترتيب],0)),"")</f>
        <v/>
      </c>
      <c r="B441" s="79">
        <f>IF($A441="","",INDEX(tblCustomers[اسم العميل],MATCH($A441,tblCustomers[كود العميل],0)))</f>
        <v/>
      </c>
      <c r="C441" s="80">
        <f>IF($A441="","",SUMIFS(tblInv[المتبقي],tblInv[كود العميل],$A441,tblInv[الفترة],C$7))</f>
        <v/>
      </c>
      <c r="D441" s="80">
        <f>IF($A441="","",SUMIFS(tblInv[المتبقي],tblInv[كود العميل],$A441,tblInv[الفترة],D$7))</f>
        <v/>
      </c>
      <c r="E441" s="80">
        <f>IF($A441="","",SUMIFS(tblInv[المتبقي],tblInv[كود العميل],$A441,tblInv[الفترة],E$7))</f>
        <v/>
      </c>
      <c r="F441" s="80">
        <f>IF($A441="","",SUMIFS(tblInv[المتبقي],tblInv[كود العميل],$A441,tblInv[الفترة],F$7))</f>
        <v/>
      </c>
      <c r="G441" s="80">
        <f>IF($A441="","",SUMIFS(tblInv[المتبقي],tblInv[كود العميل],$A441,tblInv[الفترة],G$7))</f>
        <v/>
      </c>
      <c r="H441" s="80">
        <f>IF($A441="","",SUMIFS(tblInv[المتبقي],tblInv[كود العميل],$A441,tblInv[الفترة],H$7))</f>
        <v/>
      </c>
      <c r="I441" s="80">
        <f>IF($A441="","",SUMIFS(tblInv[المتبقي],tblInv[كود العميل],$A441,tblInv[الفترة],I$7))</f>
        <v/>
      </c>
      <c r="J441" s="80">
        <f>IF($A441="","",SUM(C441:I441))</f>
        <v/>
      </c>
      <c r="K441" s="80">
        <f>IF($A441="","",-SUMIFS(tblRec[المبلغ],tblRec[كود العميل],$A441,tblRec[رقم الفاتورة],"",tblRec[التاريخ],"&lt;="&amp;AsOf)+SUMIFS(tblInv[المتبقي],tblInv[كود العميل],$A441,tblInv[المتبقي],"&lt;0"))</f>
        <v/>
      </c>
      <c r="L441" s="81">
        <f>IF($A441="","",J441+K441)</f>
        <v/>
      </c>
      <c r="M441" s="82">
        <f>IF($A441="","",IFERROR(L441/$L$8,0))</f>
        <v/>
      </c>
      <c r="N441" s="80">
        <f>IF($A441="","",INDEX(tblCustomers[حد الائتمان],MATCH($A441,tblCustomers[كود العميل],0)))</f>
        <v/>
      </c>
      <c r="O441" s="83">
        <f>IF($A441="","",IF(AND(N441&gt;0,L441&gt;N441),"⛔",""))</f>
        <v/>
      </c>
    </row>
    <row r="442">
      <c r="A442" s="78">
        <f>IFERROR(INDEX(tblCustomers[كود العميل],MATCH(433,tblCustomers[ترتيب],0)),"")</f>
        <v/>
      </c>
      <c r="B442" s="79">
        <f>IF($A442="","",INDEX(tblCustomers[اسم العميل],MATCH($A442,tblCustomers[كود العميل],0)))</f>
        <v/>
      </c>
      <c r="C442" s="80">
        <f>IF($A442="","",SUMIFS(tblInv[المتبقي],tblInv[كود العميل],$A442,tblInv[الفترة],C$7))</f>
        <v/>
      </c>
      <c r="D442" s="80">
        <f>IF($A442="","",SUMIFS(tblInv[المتبقي],tblInv[كود العميل],$A442,tblInv[الفترة],D$7))</f>
        <v/>
      </c>
      <c r="E442" s="80">
        <f>IF($A442="","",SUMIFS(tblInv[المتبقي],tblInv[كود العميل],$A442,tblInv[الفترة],E$7))</f>
        <v/>
      </c>
      <c r="F442" s="80">
        <f>IF($A442="","",SUMIFS(tblInv[المتبقي],tblInv[كود العميل],$A442,tblInv[الفترة],F$7))</f>
        <v/>
      </c>
      <c r="G442" s="80">
        <f>IF($A442="","",SUMIFS(tblInv[المتبقي],tblInv[كود العميل],$A442,tblInv[الفترة],G$7))</f>
        <v/>
      </c>
      <c r="H442" s="80">
        <f>IF($A442="","",SUMIFS(tblInv[المتبقي],tblInv[كود العميل],$A442,tblInv[الفترة],H$7))</f>
        <v/>
      </c>
      <c r="I442" s="80">
        <f>IF($A442="","",SUMIFS(tblInv[المتبقي],tblInv[كود العميل],$A442,tblInv[الفترة],I$7))</f>
        <v/>
      </c>
      <c r="J442" s="80">
        <f>IF($A442="","",SUM(C442:I442))</f>
        <v/>
      </c>
      <c r="K442" s="80">
        <f>IF($A442="","",-SUMIFS(tblRec[المبلغ],tblRec[كود العميل],$A442,tblRec[رقم الفاتورة],"",tblRec[التاريخ],"&lt;="&amp;AsOf)+SUMIFS(tblInv[المتبقي],tblInv[كود العميل],$A442,tblInv[المتبقي],"&lt;0"))</f>
        <v/>
      </c>
      <c r="L442" s="81">
        <f>IF($A442="","",J442+K442)</f>
        <v/>
      </c>
      <c r="M442" s="82">
        <f>IF($A442="","",IFERROR(L442/$L$8,0))</f>
        <v/>
      </c>
      <c r="N442" s="80">
        <f>IF($A442="","",INDEX(tblCustomers[حد الائتمان],MATCH($A442,tblCustomers[كود العميل],0)))</f>
        <v/>
      </c>
      <c r="O442" s="83">
        <f>IF($A442="","",IF(AND(N442&gt;0,L442&gt;N442),"⛔",""))</f>
        <v/>
      </c>
    </row>
    <row r="443">
      <c r="A443" s="78">
        <f>IFERROR(INDEX(tblCustomers[كود العميل],MATCH(434,tblCustomers[ترتيب],0)),"")</f>
        <v/>
      </c>
      <c r="B443" s="79">
        <f>IF($A443="","",INDEX(tblCustomers[اسم العميل],MATCH($A443,tblCustomers[كود العميل],0)))</f>
        <v/>
      </c>
      <c r="C443" s="80">
        <f>IF($A443="","",SUMIFS(tblInv[المتبقي],tblInv[كود العميل],$A443,tblInv[الفترة],C$7))</f>
        <v/>
      </c>
      <c r="D443" s="80">
        <f>IF($A443="","",SUMIFS(tblInv[المتبقي],tblInv[كود العميل],$A443,tblInv[الفترة],D$7))</f>
        <v/>
      </c>
      <c r="E443" s="80">
        <f>IF($A443="","",SUMIFS(tblInv[المتبقي],tblInv[كود العميل],$A443,tblInv[الفترة],E$7))</f>
        <v/>
      </c>
      <c r="F443" s="80">
        <f>IF($A443="","",SUMIFS(tblInv[المتبقي],tblInv[كود العميل],$A443,tblInv[الفترة],F$7))</f>
        <v/>
      </c>
      <c r="G443" s="80">
        <f>IF($A443="","",SUMIFS(tblInv[المتبقي],tblInv[كود العميل],$A443,tblInv[الفترة],G$7))</f>
        <v/>
      </c>
      <c r="H443" s="80">
        <f>IF($A443="","",SUMIFS(tblInv[المتبقي],tblInv[كود العميل],$A443,tblInv[الفترة],H$7))</f>
        <v/>
      </c>
      <c r="I443" s="80">
        <f>IF($A443="","",SUMIFS(tblInv[المتبقي],tblInv[كود العميل],$A443,tblInv[الفترة],I$7))</f>
        <v/>
      </c>
      <c r="J443" s="80">
        <f>IF($A443="","",SUM(C443:I443))</f>
        <v/>
      </c>
      <c r="K443" s="80">
        <f>IF($A443="","",-SUMIFS(tblRec[المبلغ],tblRec[كود العميل],$A443,tblRec[رقم الفاتورة],"",tblRec[التاريخ],"&lt;="&amp;AsOf)+SUMIFS(tblInv[المتبقي],tblInv[كود العميل],$A443,tblInv[المتبقي],"&lt;0"))</f>
        <v/>
      </c>
      <c r="L443" s="81">
        <f>IF($A443="","",J443+K443)</f>
        <v/>
      </c>
      <c r="M443" s="82">
        <f>IF($A443="","",IFERROR(L443/$L$8,0))</f>
        <v/>
      </c>
      <c r="N443" s="80">
        <f>IF($A443="","",INDEX(tblCustomers[حد الائتمان],MATCH($A443,tblCustomers[كود العميل],0)))</f>
        <v/>
      </c>
      <c r="O443" s="83">
        <f>IF($A443="","",IF(AND(N443&gt;0,L443&gt;N443),"⛔",""))</f>
        <v/>
      </c>
    </row>
    <row r="444">
      <c r="A444" s="78">
        <f>IFERROR(INDEX(tblCustomers[كود العميل],MATCH(435,tblCustomers[ترتيب],0)),"")</f>
        <v/>
      </c>
      <c r="B444" s="79">
        <f>IF($A444="","",INDEX(tblCustomers[اسم العميل],MATCH($A444,tblCustomers[كود العميل],0)))</f>
        <v/>
      </c>
      <c r="C444" s="80">
        <f>IF($A444="","",SUMIFS(tblInv[المتبقي],tblInv[كود العميل],$A444,tblInv[الفترة],C$7))</f>
        <v/>
      </c>
      <c r="D444" s="80">
        <f>IF($A444="","",SUMIFS(tblInv[المتبقي],tblInv[كود العميل],$A444,tblInv[الفترة],D$7))</f>
        <v/>
      </c>
      <c r="E444" s="80">
        <f>IF($A444="","",SUMIFS(tblInv[المتبقي],tblInv[كود العميل],$A444,tblInv[الفترة],E$7))</f>
        <v/>
      </c>
      <c r="F444" s="80">
        <f>IF($A444="","",SUMIFS(tblInv[المتبقي],tblInv[كود العميل],$A444,tblInv[الفترة],F$7))</f>
        <v/>
      </c>
      <c r="G444" s="80">
        <f>IF($A444="","",SUMIFS(tblInv[المتبقي],tblInv[كود العميل],$A444,tblInv[الفترة],G$7))</f>
        <v/>
      </c>
      <c r="H444" s="80">
        <f>IF($A444="","",SUMIFS(tblInv[المتبقي],tblInv[كود العميل],$A444,tblInv[الفترة],H$7))</f>
        <v/>
      </c>
      <c r="I444" s="80">
        <f>IF($A444="","",SUMIFS(tblInv[المتبقي],tblInv[كود العميل],$A444,tblInv[الفترة],I$7))</f>
        <v/>
      </c>
      <c r="J444" s="80">
        <f>IF($A444="","",SUM(C444:I444))</f>
        <v/>
      </c>
      <c r="K444" s="80">
        <f>IF($A444="","",-SUMIFS(tblRec[المبلغ],tblRec[كود العميل],$A444,tblRec[رقم الفاتورة],"",tblRec[التاريخ],"&lt;="&amp;AsOf)+SUMIFS(tblInv[المتبقي],tblInv[كود العميل],$A444,tblInv[المتبقي],"&lt;0"))</f>
        <v/>
      </c>
      <c r="L444" s="81">
        <f>IF($A444="","",J444+K444)</f>
        <v/>
      </c>
      <c r="M444" s="82">
        <f>IF($A444="","",IFERROR(L444/$L$8,0))</f>
        <v/>
      </c>
      <c r="N444" s="80">
        <f>IF($A444="","",INDEX(tblCustomers[حد الائتمان],MATCH($A444,tblCustomers[كود العميل],0)))</f>
        <v/>
      </c>
      <c r="O444" s="83">
        <f>IF($A444="","",IF(AND(N444&gt;0,L444&gt;N444),"⛔",""))</f>
        <v/>
      </c>
    </row>
    <row r="445">
      <c r="A445" s="78">
        <f>IFERROR(INDEX(tblCustomers[كود العميل],MATCH(436,tblCustomers[ترتيب],0)),"")</f>
        <v/>
      </c>
      <c r="B445" s="79">
        <f>IF($A445="","",INDEX(tblCustomers[اسم العميل],MATCH($A445,tblCustomers[كود العميل],0)))</f>
        <v/>
      </c>
      <c r="C445" s="80">
        <f>IF($A445="","",SUMIFS(tblInv[المتبقي],tblInv[كود العميل],$A445,tblInv[الفترة],C$7))</f>
        <v/>
      </c>
      <c r="D445" s="80">
        <f>IF($A445="","",SUMIFS(tblInv[المتبقي],tblInv[كود العميل],$A445,tblInv[الفترة],D$7))</f>
        <v/>
      </c>
      <c r="E445" s="80">
        <f>IF($A445="","",SUMIFS(tblInv[المتبقي],tblInv[كود العميل],$A445,tblInv[الفترة],E$7))</f>
        <v/>
      </c>
      <c r="F445" s="80">
        <f>IF($A445="","",SUMIFS(tblInv[المتبقي],tblInv[كود العميل],$A445,tblInv[الفترة],F$7))</f>
        <v/>
      </c>
      <c r="G445" s="80">
        <f>IF($A445="","",SUMIFS(tblInv[المتبقي],tblInv[كود العميل],$A445,tblInv[الفترة],G$7))</f>
        <v/>
      </c>
      <c r="H445" s="80">
        <f>IF($A445="","",SUMIFS(tblInv[المتبقي],tblInv[كود العميل],$A445,tblInv[الفترة],H$7))</f>
        <v/>
      </c>
      <c r="I445" s="80">
        <f>IF($A445="","",SUMIFS(tblInv[المتبقي],tblInv[كود العميل],$A445,tblInv[الفترة],I$7))</f>
        <v/>
      </c>
      <c r="J445" s="80">
        <f>IF($A445="","",SUM(C445:I445))</f>
        <v/>
      </c>
      <c r="K445" s="80">
        <f>IF($A445="","",-SUMIFS(tblRec[المبلغ],tblRec[كود العميل],$A445,tblRec[رقم الفاتورة],"",tblRec[التاريخ],"&lt;="&amp;AsOf)+SUMIFS(tblInv[المتبقي],tblInv[كود العميل],$A445,tblInv[المتبقي],"&lt;0"))</f>
        <v/>
      </c>
      <c r="L445" s="81">
        <f>IF($A445="","",J445+K445)</f>
        <v/>
      </c>
      <c r="M445" s="82">
        <f>IF($A445="","",IFERROR(L445/$L$8,0))</f>
        <v/>
      </c>
      <c r="N445" s="80">
        <f>IF($A445="","",INDEX(tblCustomers[حد الائتمان],MATCH($A445,tblCustomers[كود العميل],0)))</f>
        <v/>
      </c>
      <c r="O445" s="83">
        <f>IF($A445="","",IF(AND(N445&gt;0,L445&gt;N445),"⛔",""))</f>
        <v/>
      </c>
    </row>
    <row r="446">
      <c r="A446" s="78">
        <f>IFERROR(INDEX(tblCustomers[كود العميل],MATCH(437,tblCustomers[ترتيب],0)),"")</f>
        <v/>
      </c>
      <c r="B446" s="79">
        <f>IF($A446="","",INDEX(tblCustomers[اسم العميل],MATCH($A446,tblCustomers[كود العميل],0)))</f>
        <v/>
      </c>
      <c r="C446" s="80">
        <f>IF($A446="","",SUMIFS(tblInv[المتبقي],tblInv[كود العميل],$A446,tblInv[الفترة],C$7))</f>
        <v/>
      </c>
      <c r="D446" s="80">
        <f>IF($A446="","",SUMIFS(tblInv[المتبقي],tblInv[كود العميل],$A446,tblInv[الفترة],D$7))</f>
        <v/>
      </c>
      <c r="E446" s="80">
        <f>IF($A446="","",SUMIFS(tblInv[المتبقي],tblInv[كود العميل],$A446,tblInv[الفترة],E$7))</f>
        <v/>
      </c>
      <c r="F446" s="80">
        <f>IF($A446="","",SUMIFS(tblInv[المتبقي],tblInv[كود العميل],$A446,tblInv[الفترة],F$7))</f>
        <v/>
      </c>
      <c r="G446" s="80">
        <f>IF($A446="","",SUMIFS(tblInv[المتبقي],tblInv[كود العميل],$A446,tblInv[الفترة],G$7))</f>
        <v/>
      </c>
      <c r="H446" s="80">
        <f>IF($A446="","",SUMIFS(tblInv[المتبقي],tblInv[كود العميل],$A446,tblInv[الفترة],H$7))</f>
        <v/>
      </c>
      <c r="I446" s="80">
        <f>IF($A446="","",SUMIFS(tblInv[المتبقي],tblInv[كود العميل],$A446,tblInv[الفترة],I$7))</f>
        <v/>
      </c>
      <c r="J446" s="80">
        <f>IF($A446="","",SUM(C446:I446))</f>
        <v/>
      </c>
      <c r="K446" s="80">
        <f>IF($A446="","",-SUMIFS(tblRec[المبلغ],tblRec[كود العميل],$A446,tblRec[رقم الفاتورة],"",tblRec[التاريخ],"&lt;="&amp;AsOf)+SUMIFS(tblInv[المتبقي],tblInv[كود العميل],$A446,tblInv[المتبقي],"&lt;0"))</f>
        <v/>
      </c>
      <c r="L446" s="81">
        <f>IF($A446="","",J446+K446)</f>
        <v/>
      </c>
      <c r="M446" s="82">
        <f>IF($A446="","",IFERROR(L446/$L$8,0))</f>
        <v/>
      </c>
      <c r="N446" s="80">
        <f>IF($A446="","",INDEX(tblCustomers[حد الائتمان],MATCH($A446,tblCustomers[كود العميل],0)))</f>
        <v/>
      </c>
      <c r="O446" s="83">
        <f>IF($A446="","",IF(AND(N446&gt;0,L446&gt;N446),"⛔",""))</f>
        <v/>
      </c>
    </row>
    <row r="447">
      <c r="A447" s="78">
        <f>IFERROR(INDEX(tblCustomers[كود العميل],MATCH(438,tblCustomers[ترتيب],0)),"")</f>
        <v/>
      </c>
      <c r="B447" s="79">
        <f>IF($A447="","",INDEX(tblCustomers[اسم العميل],MATCH($A447,tblCustomers[كود العميل],0)))</f>
        <v/>
      </c>
      <c r="C447" s="80">
        <f>IF($A447="","",SUMIFS(tblInv[المتبقي],tblInv[كود العميل],$A447,tblInv[الفترة],C$7))</f>
        <v/>
      </c>
      <c r="D447" s="80">
        <f>IF($A447="","",SUMIFS(tblInv[المتبقي],tblInv[كود العميل],$A447,tblInv[الفترة],D$7))</f>
        <v/>
      </c>
      <c r="E447" s="80">
        <f>IF($A447="","",SUMIFS(tblInv[المتبقي],tblInv[كود العميل],$A447,tblInv[الفترة],E$7))</f>
        <v/>
      </c>
      <c r="F447" s="80">
        <f>IF($A447="","",SUMIFS(tblInv[المتبقي],tblInv[كود العميل],$A447,tblInv[الفترة],F$7))</f>
        <v/>
      </c>
      <c r="G447" s="80">
        <f>IF($A447="","",SUMIFS(tblInv[المتبقي],tblInv[كود العميل],$A447,tblInv[الفترة],G$7))</f>
        <v/>
      </c>
      <c r="H447" s="80">
        <f>IF($A447="","",SUMIFS(tblInv[المتبقي],tblInv[كود العميل],$A447,tblInv[الفترة],H$7))</f>
        <v/>
      </c>
      <c r="I447" s="80">
        <f>IF($A447="","",SUMIFS(tblInv[المتبقي],tblInv[كود العميل],$A447,tblInv[الفترة],I$7))</f>
        <v/>
      </c>
      <c r="J447" s="80">
        <f>IF($A447="","",SUM(C447:I447))</f>
        <v/>
      </c>
      <c r="K447" s="80">
        <f>IF($A447="","",-SUMIFS(tblRec[المبلغ],tblRec[كود العميل],$A447,tblRec[رقم الفاتورة],"",tblRec[التاريخ],"&lt;="&amp;AsOf)+SUMIFS(tblInv[المتبقي],tblInv[كود العميل],$A447,tblInv[المتبقي],"&lt;0"))</f>
        <v/>
      </c>
      <c r="L447" s="81">
        <f>IF($A447="","",J447+K447)</f>
        <v/>
      </c>
      <c r="M447" s="82">
        <f>IF($A447="","",IFERROR(L447/$L$8,0))</f>
        <v/>
      </c>
      <c r="N447" s="80">
        <f>IF($A447="","",INDEX(tblCustomers[حد الائتمان],MATCH($A447,tblCustomers[كود العميل],0)))</f>
        <v/>
      </c>
      <c r="O447" s="83">
        <f>IF($A447="","",IF(AND(N447&gt;0,L447&gt;N447),"⛔",""))</f>
        <v/>
      </c>
    </row>
    <row r="448">
      <c r="A448" s="78">
        <f>IFERROR(INDEX(tblCustomers[كود العميل],MATCH(439,tblCustomers[ترتيب],0)),"")</f>
        <v/>
      </c>
      <c r="B448" s="79">
        <f>IF($A448="","",INDEX(tblCustomers[اسم العميل],MATCH($A448,tblCustomers[كود العميل],0)))</f>
        <v/>
      </c>
      <c r="C448" s="80">
        <f>IF($A448="","",SUMIFS(tblInv[المتبقي],tblInv[كود العميل],$A448,tblInv[الفترة],C$7))</f>
        <v/>
      </c>
      <c r="D448" s="80">
        <f>IF($A448="","",SUMIFS(tblInv[المتبقي],tblInv[كود العميل],$A448,tblInv[الفترة],D$7))</f>
        <v/>
      </c>
      <c r="E448" s="80">
        <f>IF($A448="","",SUMIFS(tblInv[المتبقي],tblInv[كود العميل],$A448,tblInv[الفترة],E$7))</f>
        <v/>
      </c>
      <c r="F448" s="80">
        <f>IF($A448="","",SUMIFS(tblInv[المتبقي],tblInv[كود العميل],$A448,tblInv[الفترة],F$7))</f>
        <v/>
      </c>
      <c r="G448" s="80">
        <f>IF($A448="","",SUMIFS(tblInv[المتبقي],tblInv[كود العميل],$A448,tblInv[الفترة],G$7))</f>
        <v/>
      </c>
      <c r="H448" s="80">
        <f>IF($A448="","",SUMIFS(tblInv[المتبقي],tblInv[كود العميل],$A448,tblInv[الفترة],H$7))</f>
        <v/>
      </c>
      <c r="I448" s="80">
        <f>IF($A448="","",SUMIFS(tblInv[المتبقي],tblInv[كود العميل],$A448,tblInv[الفترة],I$7))</f>
        <v/>
      </c>
      <c r="J448" s="80">
        <f>IF($A448="","",SUM(C448:I448))</f>
        <v/>
      </c>
      <c r="K448" s="80">
        <f>IF($A448="","",-SUMIFS(tblRec[المبلغ],tblRec[كود العميل],$A448,tblRec[رقم الفاتورة],"",tblRec[التاريخ],"&lt;="&amp;AsOf)+SUMIFS(tblInv[المتبقي],tblInv[كود العميل],$A448,tblInv[المتبقي],"&lt;0"))</f>
        <v/>
      </c>
      <c r="L448" s="81">
        <f>IF($A448="","",J448+K448)</f>
        <v/>
      </c>
      <c r="M448" s="82">
        <f>IF($A448="","",IFERROR(L448/$L$8,0))</f>
        <v/>
      </c>
      <c r="N448" s="80">
        <f>IF($A448="","",INDEX(tblCustomers[حد الائتمان],MATCH($A448,tblCustomers[كود العميل],0)))</f>
        <v/>
      </c>
      <c r="O448" s="83">
        <f>IF($A448="","",IF(AND(N448&gt;0,L448&gt;N448),"⛔",""))</f>
        <v/>
      </c>
    </row>
    <row r="449">
      <c r="A449" s="78">
        <f>IFERROR(INDEX(tblCustomers[كود العميل],MATCH(440,tblCustomers[ترتيب],0)),"")</f>
        <v/>
      </c>
      <c r="B449" s="79">
        <f>IF($A449="","",INDEX(tblCustomers[اسم العميل],MATCH($A449,tblCustomers[كود العميل],0)))</f>
        <v/>
      </c>
      <c r="C449" s="80">
        <f>IF($A449="","",SUMIFS(tblInv[المتبقي],tblInv[كود العميل],$A449,tblInv[الفترة],C$7))</f>
        <v/>
      </c>
      <c r="D449" s="80">
        <f>IF($A449="","",SUMIFS(tblInv[المتبقي],tblInv[كود العميل],$A449,tblInv[الفترة],D$7))</f>
        <v/>
      </c>
      <c r="E449" s="80">
        <f>IF($A449="","",SUMIFS(tblInv[المتبقي],tblInv[كود العميل],$A449,tblInv[الفترة],E$7))</f>
        <v/>
      </c>
      <c r="F449" s="80">
        <f>IF($A449="","",SUMIFS(tblInv[المتبقي],tblInv[كود العميل],$A449,tblInv[الفترة],F$7))</f>
        <v/>
      </c>
      <c r="G449" s="80">
        <f>IF($A449="","",SUMIFS(tblInv[المتبقي],tblInv[كود العميل],$A449,tblInv[الفترة],G$7))</f>
        <v/>
      </c>
      <c r="H449" s="80">
        <f>IF($A449="","",SUMIFS(tblInv[المتبقي],tblInv[كود العميل],$A449,tblInv[الفترة],H$7))</f>
        <v/>
      </c>
      <c r="I449" s="80">
        <f>IF($A449="","",SUMIFS(tblInv[المتبقي],tblInv[كود العميل],$A449,tblInv[الفترة],I$7))</f>
        <v/>
      </c>
      <c r="J449" s="80">
        <f>IF($A449="","",SUM(C449:I449))</f>
        <v/>
      </c>
      <c r="K449" s="80">
        <f>IF($A449="","",-SUMIFS(tblRec[المبلغ],tblRec[كود العميل],$A449,tblRec[رقم الفاتورة],"",tblRec[التاريخ],"&lt;="&amp;AsOf)+SUMIFS(tblInv[المتبقي],tblInv[كود العميل],$A449,tblInv[المتبقي],"&lt;0"))</f>
        <v/>
      </c>
      <c r="L449" s="81">
        <f>IF($A449="","",J449+K449)</f>
        <v/>
      </c>
      <c r="M449" s="82">
        <f>IF($A449="","",IFERROR(L449/$L$8,0))</f>
        <v/>
      </c>
      <c r="N449" s="80">
        <f>IF($A449="","",INDEX(tblCustomers[حد الائتمان],MATCH($A449,tblCustomers[كود العميل],0)))</f>
        <v/>
      </c>
      <c r="O449" s="83">
        <f>IF($A449="","",IF(AND(N449&gt;0,L449&gt;N449),"⛔",""))</f>
        <v/>
      </c>
    </row>
    <row r="450">
      <c r="A450" s="78">
        <f>IFERROR(INDEX(tblCustomers[كود العميل],MATCH(441,tblCustomers[ترتيب],0)),"")</f>
        <v/>
      </c>
      <c r="B450" s="79">
        <f>IF($A450="","",INDEX(tblCustomers[اسم العميل],MATCH($A450,tblCustomers[كود العميل],0)))</f>
        <v/>
      </c>
      <c r="C450" s="80">
        <f>IF($A450="","",SUMIFS(tblInv[المتبقي],tblInv[كود العميل],$A450,tblInv[الفترة],C$7))</f>
        <v/>
      </c>
      <c r="D450" s="80">
        <f>IF($A450="","",SUMIFS(tblInv[المتبقي],tblInv[كود العميل],$A450,tblInv[الفترة],D$7))</f>
        <v/>
      </c>
      <c r="E450" s="80">
        <f>IF($A450="","",SUMIFS(tblInv[المتبقي],tblInv[كود العميل],$A450,tblInv[الفترة],E$7))</f>
        <v/>
      </c>
      <c r="F450" s="80">
        <f>IF($A450="","",SUMIFS(tblInv[المتبقي],tblInv[كود العميل],$A450,tblInv[الفترة],F$7))</f>
        <v/>
      </c>
      <c r="G450" s="80">
        <f>IF($A450="","",SUMIFS(tblInv[المتبقي],tblInv[كود العميل],$A450,tblInv[الفترة],G$7))</f>
        <v/>
      </c>
      <c r="H450" s="80">
        <f>IF($A450="","",SUMIFS(tblInv[المتبقي],tblInv[كود العميل],$A450,tblInv[الفترة],H$7))</f>
        <v/>
      </c>
      <c r="I450" s="80">
        <f>IF($A450="","",SUMIFS(tblInv[المتبقي],tblInv[كود العميل],$A450,tblInv[الفترة],I$7))</f>
        <v/>
      </c>
      <c r="J450" s="80">
        <f>IF($A450="","",SUM(C450:I450))</f>
        <v/>
      </c>
      <c r="K450" s="80">
        <f>IF($A450="","",-SUMIFS(tblRec[المبلغ],tblRec[كود العميل],$A450,tblRec[رقم الفاتورة],"",tblRec[التاريخ],"&lt;="&amp;AsOf)+SUMIFS(tblInv[المتبقي],tblInv[كود العميل],$A450,tblInv[المتبقي],"&lt;0"))</f>
        <v/>
      </c>
      <c r="L450" s="81">
        <f>IF($A450="","",J450+K450)</f>
        <v/>
      </c>
      <c r="M450" s="82">
        <f>IF($A450="","",IFERROR(L450/$L$8,0))</f>
        <v/>
      </c>
      <c r="N450" s="80">
        <f>IF($A450="","",INDEX(tblCustomers[حد الائتمان],MATCH($A450,tblCustomers[كود العميل],0)))</f>
        <v/>
      </c>
      <c r="O450" s="83">
        <f>IF($A450="","",IF(AND(N450&gt;0,L450&gt;N450),"⛔",""))</f>
        <v/>
      </c>
    </row>
    <row r="451">
      <c r="A451" s="78">
        <f>IFERROR(INDEX(tblCustomers[كود العميل],MATCH(442,tblCustomers[ترتيب],0)),"")</f>
        <v/>
      </c>
      <c r="B451" s="79">
        <f>IF($A451="","",INDEX(tblCustomers[اسم العميل],MATCH($A451,tblCustomers[كود العميل],0)))</f>
        <v/>
      </c>
      <c r="C451" s="80">
        <f>IF($A451="","",SUMIFS(tblInv[المتبقي],tblInv[كود العميل],$A451,tblInv[الفترة],C$7))</f>
        <v/>
      </c>
      <c r="D451" s="80">
        <f>IF($A451="","",SUMIFS(tblInv[المتبقي],tblInv[كود العميل],$A451,tblInv[الفترة],D$7))</f>
        <v/>
      </c>
      <c r="E451" s="80">
        <f>IF($A451="","",SUMIFS(tblInv[المتبقي],tblInv[كود العميل],$A451,tblInv[الفترة],E$7))</f>
        <v/>
      </c>
      <c r="F451" s="80">
        <f>IF($A451="","",SUMIFS(tblInv[المتبقي],tblInv[كود العميل],$A451,tblInv[الفترة],F$7))</f>
        <v/>
      </c>
      <c r="G451" s="80">
        <f>IF($A451="","",SUMIFS(tblInv[المتبقي],tblInv[كود العميل],$A451,tblInv[الفترة],G$7))</f>
        <v/>
      </c>
      <c r="H451" s="80">
        <f>IF($A451="","",SUMIFS(tblInv[المتبقي],tblInv[كود العميل],$A451,tblInv[الفترة],H$7))</f>
        <v/>
      </c>
      <c r="I451" s="80">
        <f>IF($A451="","",SUMIFS(tblInv[المتبقي],tblInv[كود العميل],$A451,tblInv[الفترة],I$7))</f>
        <v/>
      </c>
      <c r="J451" s="80">
        <f>IF($A451="","",SUM(C451:I451))</f>
        <v/>
      </c>
      <c r="K451" s="80">
        <f>IF($A451="","",-SUMIFS(tblRec[المبلغ],tblRec[كود العميل],$A451,tblRec[رقم الفاتورة],"",tblRec[التاريخ],"&lt;="&amp;AsOf)+SUMIFS(tblInv[المتبقي],tblInv[كود العميل],$A451,tblInv[المتبقي],"&lt;0"))</f>
        <v/>
      </c>
      <c r="L451" s="81">
        <f>IF($A451="","",J451+K451)</f>
        <v/>
      </c>
      <c r="M451" s="82">
        <f>IF($A451="","",IFERROR(L451/$L$8,0))</f>
        <v/>
      </c>
      <c r="N451" s="80">
        <f>IF($A451="","",INDEX(tblCustomers[حد الائتمان],MATCH($A451,tblCustomers[كود العميل],0)))</f>
        <v/>
      </c>
      <c r="O451" s="83">
        <f>IF($A451="","",IF(AND(N451&gt;0,L451&gt;N451),"⛔",""))</f>
        <v/>
      </c>
    </row>
    <row r="452">
      <c r="A452" s="78">
        <f>IFERROR(INDEX(tblCustomers[كود العميل],MATCH(443,tblCustomers[ترتيب],0)),"")</f>
        <v/>
      </c>
      <c r="B452" s="79">
        <f>IF($A452="","",INDEX(tblCustomers[اسم العميل],MATCH($A452,tblCustomers[كود العميل],0)))</f>
        <v/>
      </c>
      <c r="C452" s="80">
        <f>IF($A452="","",SUMIFS(tblInv[المتبقي],tblInv[كود العميل],$A452,tblInv[الفترة],C$7))</f>
        <v/>
      </c>
      <c r="D452" s="80">
        <f>IF($A452="","",SUMIFS(tblInv[المتبقي],tblInv[كود العميل],$A452,tblInv[الفترة],D$7))</f>
        <v/>
      </c>
      <c r="E452" s="80">
        <f>IF($A452="","",SUMIFS(tblInv[المتبقي],tblInv[كود العميل],$A452,tblInv[الفترة],E$7))</f>
        <v/>
      </c>
      <c r="F452" s="80">
        <f>IF($A452="","",SUMIFS(tblInv[المتبقي],tblInv[كود العميل],$A452,tblInv[الفترة],F$7))</f>
        <v/>
      </c>
      <c r="G452" s="80">
        <f>IF($A452="","",SUMIFS(tblInv[المتبقي],tblInv[كود العميل],$A452,tblInv[الفترة],G$7))</f>
        <v/>
      </c>
      <c r="H452" s="80">
        <f>IF($A452="","",SUMIFS(tblInv[المتبقي],tblInv[كود العميل],$A452,tblInv[الفترة],H$7))</f>
        <v/>
      </c>
      <c r="I452" s="80">
        <f>IF($A452="","",SUMIFS(tblInv[المتبقي],tblInv[كود العميل],$A452,tblInv[الفترة],I$7))</f>
        <v/>
      </c>
      <c r="J452" s="80">
        <f>IF($A452="","",SUM(C452:I452))</f>
        <v/>
      </c>
      <c r="K452" s="80">
        <f>IF($A452="","",-SUMIFS(tblRec[المبلغ],tblRec[كود العميل],$A452,tblRec[رقم الفاتورة],"",tblRec[التاريخ],"&lt;="&amp;AsOf)+SUMIFS(tblInv[المتبقي],tblInv[كود العميل],$A452,tblInv[المتبقي],"&lt;0"))</f>
        <v/>
      </c>
      <c r="L452" s="81">
        <f>IF($A452="","",J452+K452)</f>
        <v/>
      </c>
      <c r="M452" s="82">
        <f>IF($A452="","",IFERROR(L452/$L$8,0))</f>
        <v/>
      </c>
      <c r="N452" s="80">
        <f>IF($A452="","",INDEX(tblCustomers[حد الائتمان],MATCH($A452,tblCustomers[كود العميل],0)))</f>
        <v/>
      </c>
      <c r="O452" s="83">
        <f>IF($A452="","",IF(AND(N452&gt;0,L452&gt;N452),"⛔",""))</f>
        <v/>
      </c>
    </row>
    <row r="453">
      <c r="A453" s="78">
        <f>IFERROR(INDEX(tblCustomers[كود العميل],MATCH(444,tblCustomers[ترتيب],0)),"")</f>
        <v/>
      </c>
      <c r="B453" s="79">
        <f>IF($A453="","",INDEX(tblCustomers[اسم العميل],MATCH($A453,tblCustomers[كود العميل],0)))</f>
        <v/>
      </c>
      <c r="C453" s="80">
        <f>IF($A453="","",SUMIFS(tblInv[المتبقي],tblInv[كود العميل],$A453,tblInv[الفترة],C$7))</f>
        <v/>
      </c>
      <c r="D453" s="80">
        <f>IF($A453="","",SUMIFS(tblInv[المتبقي],tblInv[كود العميل],$A453,tblInv[الفترة],D$7))</f>
        <v/>
      </c>
      <c r="E453" s="80">
        <f>IF($A453="","",SUMIFS(tblInv[المتبقي],tblInv[كود العميل],$A453,tblInv[الفترة],E$7))</f>
        <v/>
      </c>
      <c r="F453" s="80">
        <f>IF($A453="","",SUMIFS(tblInv[المتبقي],tblInv[كود العميل],$A453,tblInv[الفترة],F$7))</f>
        <v/>
      </c>
      <c r="G453" s="80">
        <f>IF($A453="","",SUMIFS(tblInv[المتبقي],tblInv[كود العميل],$A453,tblInv[الفترة],G$7))</f>
        <v/>
      </c>
      <c r="H453" s="80">
        <f>IF($A453="","",SUMIFS(tblInv[المتبقي],tblInv[كود العميل],$A453,tblInv[الفترة],H$7))</f>
        <v/>
      </c>
      <c r="I453" s="80">
        <f>IF($A453="","",SUMIFS(tblInv[المتبقي],tblInv[كود العميل],$A453,tblInv[الفترة],I$7))</f>
        <v/>
      </c>
      <c r="J453" s="80">
        <f>IF($A453="","",SUM(C453:I453))</f>
        <v/>
      </c>
      <c r="K453" s="80">
        <f>IF($A453="","",-SUMIFS(tblRec[المبلغ],tblRec[كود العميل],$A453,tblRec[رقم الفاتورة],"",tblRec[التاريخ],"&lt;="&amp;AsOf)+SUMIFS(tblInv[المتبقي],tblInv[كود العميل],$A453,tblInv[المتبقي],"&lt;0"))</f>
        <v/>
      </c>
      <c r="L453" s="81">
        <f>IF($A453="","",J453+K453)</f>
        <v/>
      </c>
      <c r="M453" s="82">
        <f>IF($A453="","",IFERROR(L453/$L$8,0))</f>
        <v/>
      </c>
      <c r="N453" s="80">
        <f>IF($A453="","",INDEX(tblCustomers[حد الائتمان],MATCH($A453,tblCustomers[كود العميل],0)))</f>
        <v/>
      </c>
      <c r="O453" s="83">
        <f>IF($A453="","",IF(AND(N453&gt;0,L453&gt;N453),"⛔",""))</f>
        <v/>
      </c>
    </row>
    <row r="454">
      <c r="A454" s="78">
        <f>IFERROR(INDEX(tblCustomers[كود العميل],MATCH(445,tblCustomers[ترتيب],0)),"")</f>
        <v/>
      </c>
      <c r="B454" s="79">
        <f>IF($A454="","",INDEX(tblCustomers[اسم العميل],MATCH($A454,tblCustomers[كود العميل],0)))</f>
        <v/>
      </c>
      <c r="C454" s="80">
        <f>IF($A454="","",SUMIFS(tblInv[المتبقي],tblInv[كود العميل],$A454,tblInv[الفترة],C$7))</f>
        <v/>
      </c>
      <c r="D454" s="80">
        <f>IF($A454="","",SUMIFS(tblInv[المتبقي],tblInv[كود العميل],$A454,tblInv[الفترة],D$7))</f>
        <v/>
      </c>
      <c r="E454" s="80">
        <f>IF($A454="","",SUMIFS(tblInv[المتبقي],tblInv[كود العميل],$A454,tblInv[الفترة],E$7))</f>
        <v/>
      </c>
      <c r="F454" s="80">
        <f>IF($A454="","",SUMIFS(tblInv[المتبقي],tblInv[كود العميل],$A454,tblInv[الفترة],F$7))</f>
        <v/>
      </c>
      <c r="G454" s="80">
        <f>IF($A454="","",SUMIFS(tblInv[المتبقي],tblInv[كود العميل],$A454,tblInv[الفترة],G$7))</f>
        <v/>
      </c>
      <c r="H454" s="80">
        <f>IF($A454="","",SUMIFS(tblInv[المتبقي],tblInv[كود العميل],$A454,tblInv[الفترة],H$7))</f>
        <v/>
      </c>
      <c r="I454" s="80">
        <f>IF($A454="","",SUMIFS(tblInv[المتبقي],tblInv[كود العميل],$A454,tblInv[الفترة],I$7))</f>
        <v/>
      </c>
      <c r="J454" s="80">
        <f>IF($A454="","",SUM(C454:I454))</f>
        <v/>
      </c>
      <c r="K454" s="80">
        <f>IF($A454="","",-SUMIFS(tblRec[المبلغ],tblRec[كود العميل],$A454,tblRec[رقم الفاتورة],"",tblRec[التاريخ],"&lt;="&amp;AsOf)+SUMIFS(tblInv[المتبقي],tblInv[كود العميل],$A454,tblInv[المتبقي],"&lt;0"))</f>
        <v/>
      </c>
      <c r="L454" s="81">
        <f>IF($A454="","",J454+K454)</f>
        <v/>
      </c>
      <c r="M454" s="82">
        <f>IF($A454="","",IFERROR(L454/$L$8,0))</f>
        <v/>
      </c>
      <c r="N454" s="80">
        <f>IF($A454="","",INDEX(tblCustomers[حد الائتمان],MATCH($A454,tblCustomers[كود العميل],0)))</f>
        <v/>
      </c>
      <c r="O454" s="83">
        <f>IF($A454="","",IF(AND(N454&gt;0,L454&gt;N454),"⛔",""))</f>
        <v/>
      </c>
    </row>
    <row r="455">
      <c r="A455" s="78">
        <f>IFERROR(INDEX(tblCustomers[كود العميل],MATCH(446,tblCustomers[ترتيب],0)),"")</f>
        <v/>
      </c>
      <c r="B455" s="79">
        <f>IF($A455="","",INDEX(tblCustomers[اسم العميل],MATCH($A455,tblCustomers[كود العميل],0)))</f>
        <v/>
      </c>
      <c r="C455" s="80">
        <f>IF($A455="","",SUMIFS(tblInv[المتبقي],tblInv[كود العميل],$A455,tblInv[الفترة],C$7))</f>
        <v/>
      </c>
      <c r="D455" s="80">
        <f>IF($A455="","",SUMIFS(tblInv[المتبقي],tblInv[كود العميل],$A455,tblInv[الفترة],D$7))</f>
        <v/>
      </c>
      <c r="E455" s="80">
        <f>IF($A455="","",SUMIFS(tblInv[المتبقي],tblInv[كود العميل],$A455,tblInv[الفترة],E$7))</f>
        <v/>
      </c>
      <c r="F455" s="80">
        <f>IF($A455="","",SUMIFS(tblInv[المتبقي],tblInv[كود العميل],$A455,tblInv[الفترة],F$7))</f>
        <v/>
      </c>
      <c r="G455" s="80">
        <f>IF($A455="","",SUMIFS(tblInv[المتبقي],tblInv[كود العميل],$A455,tblInv[الفترة],G$7))</f>
        <v/>
      </c>
      <c r="H455" s="80">
        <f>IF($A455="","",SUMIFS(tblInv[المتبقي],tblInv[كود العميل],$A455,tblInv[الفترة],H$7))</f>
        <v/>
      </c>
      <c r="I455" s="80">
        <f>IF($A455="","",SUMIFS(tblInv[المتبقي],tblInv[كود العميل],$A455,tblInv[الفترة],I$7))</f>
        <v/>
      </c>
      <c r="J455" s="80">
        <f>IF($A455="","",SUM(C455:I455))</f>
        <v/>
      </c>
      <c r="K455" s="80">
        <f>IF($A455="","",-SUMIFS(tblRec[المبلغ],tblRec[كود العميل],$A455,tblRec[رقم الفاتورة],"",tblRec[التاريخ],"&lt;="&amp;AsOf)+SUMIFS(tblInv[المتبقي],tblInv[كود العميل],$A455,tblInv[المتبقي],"&lt;0"))</f>
        <v/>
      </c>
      <c r="L455" s="81">
        <f>IF($A455="","",J455+K455)</f>
        <v/>
      </c>
      <c r="M455" s="82">
        <f>IF($A455="","",IFERROR(L455/$L$8,0))</f>
        <v/>
      </c>
      <c r="N455" s="80">
        <f>IF($A455="","",INDEX(tblCustomers[حد الائتمان],MATCH($A455,tblCustomers[كود العميل],0)))</f>
        <v/>
      </c>
      <c r="O455" s="83">
        <f>IF($A455="","",IF(AND(N455&gt;0,L455&gt;N455),"⛔",""))</f>
        <v/>
      </c>
    </row>
    <row r="456">
      <c r="A456" s="78">
        <f>IFERROR(INDEX(tblCustomers[كود العميل],MATCH(447,tblCustomers[ترتيب],0)),"")</f>
        <v/>
      </c>
      <c r="B456" s="79">
        <f>IF($A456="","",INDEX(tblCustomers[اسم العميل],MATCH($A456,tblCustomers[كود العميل],0)))</f>
        <v/>
      </c>
      <c r="C456" s="80">
        <f>IF($A456="","",SUMIFS(tblInv[المتبقي],tblInv[كود العميل],$A456,tblInv[الفترة],C$7))</f>
        <v/>
      </c>
      <c r="D456" s="80">
        <f>IF($A456="","",SUMIFS(tblInv[المتبقي],tblInv[كود العميل],$A456,tblInv[الفترة],D$7))</f>
        <v/>
      </c>
      <c r="E456" s="80">
        <f>IF($A456="","",SUMIFS(tblInv[المتبقي],tblInv[كود العميل],$A456,tblInv[الفترة],E$7))</f>
        <v/>
      </c>
      <c r="F456" s="80">
        <f>IF($A456="","",SUMIFS(tblInv[المتبقي],tblInv[كود العميل],$A456,tblInv[الفترة],F$7))</f>
        <v/>
      </c>
      <c r="G456" s="80">
        <f>IF($A456="","",SUMIFS(tblInv[المتبقي],tblInv[كود العميل],$A456,tblInv[الفترة],G$7))</f>
        <v/>
      </c>
      <c r="H456" s="80">
        <f>IF($A456="","",SUMIFS(tblInv[المتبقي],tblInv[كود العميل],$A456,tblInv[الفترة],H$7))</f>
        <v/>
      </c>
      <c r="I456" s="80">
        <f>IF($A456="","",SUMIFS(tblInv[المتبقي],tblInv[كود العميل],$A456,tblInv[الفترة],I$7))</f>
        <v/>
      </c>
      <c r="J456" s="80">
        <f>IF($A456="","",SUM(C456:I456))</f>
        <v/>
      </c>
      <c r="K456" s="80">
        <f>IF($A456="","",-SUMIFS(tblRec[المبلغ],tblRec[كود العميل],$A456,tblRec[رقم الفاتورة],"",tblRec[التاريخ],"&lt;="&amp;AsOf)+SUMIFS(tblInv[المتبقي],tblInv[كود العميل],$A456,tblInv[المتبقي],"&lt;0"))</f>
        <v/>
      </c>
      <c r="L456" s="81">
        <f>IF($A456="","",J456+K456)</f>
        <v/>
      </c>
      <c r="M456" s="82">
        <f>IF($A456="","",IFERROR(L456/$L$8,0))</f>
        <v/>
      </c>
      <c r="N456" s="80">
        <f>IF($A456="","",INDEX(tblCustomers[حد الائتمان],MATCH($A456,tblCustomers[كود العميل],0)))</f>
        <v/>
      </c>
      <c r="O456" s="83">
        <f>IF($A456="","",IF(AND(N456&gt;0,L456&gt;N456),"⛔",""))</f>
        <v/>
      </c>
    </row>
    <row r="457">
      <c r="A457" s="78">
        <f>IFERROR(INDEX(tblCustomers[كود العميل],MATCH(448,tblCustomers[ترتيب],0)),"")</f>
        <v/>
      </c>
      <c r="B457" s="79">
        <f>IF($A457="","",INDEX(tblCustomers[اسم العميل],MATCH($A457,tblCustomers[كود العميل],0)))</f>
        <v/>
      </c>
      <c r="C457" s="80">
        <f>IF($A457="","",SUMIFS(tblInv[المتبقي],tblInv[كود العميل],$A457,tblInv[الفترة],C$7))</f>
        <v/>
      </c>
      <c r="D457" s="80">
        <f>IF($A457="","",SUMIFS(tblInv[المتبقي],tblInv[كود العميل],$A457,tblInv[الفترة],D$7))</f>
        <v/>
      </c>
      <c r="E457" s="80">
        <f>IF($A457="","",SUMIFS(tblInv[المتبقي],tblInv[كود العميل],$A457,tblInv[الفترة],E$7))</f>
        <v/>
      </c>
      <c r="F457" s="80">
        <f>IF($A457="","",SUMIFS(tblInv[المتبقي],tblInv[كود العميل],$A457,tblInv[الفترة],F$7))</f>
        <v/>
      </c>
      <c r="G457" s="80">
        <f>IF($A457="","",SUMIFS(tblInv[المتبقي],tblInv[كود العميل],$A457,tblInv[الفترة],G$7))</f>
        <v/>
      </c>
      <c r="H457" s="80">
        <f>IF($A457="","",SUMIFS(tblInv[المتبقي],tblInv[كود العميل],$A457,tblInv[الفترة],H$7))</f>
        <v/>
      </c>
      <c r="I457" s="80">
        <f>IF($A457="","",SUMIFS(tblInv[المتبقي],tblInv[كود العميل],$A457,tblInv[الفترة],I$7))</f>
        <v/>
      </c>
      <c r="J457" s="80">
        <f>IF($A457="","",SUM(C457:I457))</f>
        <v/>
      </c>
      <c r="K457" s="80">
        <f>IF($A457="","",-SUMIFS(tblRec[المبلغ],tblRec[كود العميل],$A457,tblRec[رقم الفاتورة],"",tblRec[التاريخ],"&lt;="&amp;AsOf)+SUMIFS(tblInv[المتبقي],tblInv[كود العميل],$A457,tblInv[المتبقي],"&lt;0"))</f>
        <v/>
      </c>
      <c r="L457" s="81">
        <f>IF($A457="","",J457+K457)</f>
        <v/>
      </c>
      <c r="M457" s="82">
        <f>IF($A457="","",IFERROR(L457/$L$8,0))</f>
        <v/>
      </c>
      <c r="N457" s="80">
        <f>IF($A457="","",INDEX(tblCustomers[حد الائتمان],MATCH($A457,tblCustomers[كود العميل],0)))</f>
        <v/>
      </c>
      <c r="O457" s="83">
        <f>IF($A457="","",IF(AND(N457&gt;0,L457&gt;N457),"⛔",""))</f>
        <v/>
      </c>
    </row>
    <row r="458">
      <c r="A458" s="78">
        <f>IFERROR(INDEX(tblCustomers[كود العميل],MATCH(449,tblCustomers[ترتيب],0)),"")</f>
        <v/>
      </c>
      <c r="B458" s="79">
        <f>IF($A458="","",INDEX(tblCustomers[اسم العميل],MATCH($A458,tblCustomers[كود العميل],0)))</f>
        <v/>
      </c>
      <c r="C458" s="80">
        <f>IF($A458="","",SUMIFS(tblInv[المتبقي],tblInv[كود العميل],$A458,tblInv[الفترة],C$7))</f>
        <v/>
      </c>
      <c r="D458" s="80">
        <f>IF($A458="","",SUMIFS(tblInv[المتبقي],tblInv[كود العميل],$A458,tblInv[الفترة],D$7))</f>
        <v/>
      </c>
      <c r="E458" s="80">
        <f>IF($A458="","",SUMIFS(tblInv[المتبقي],tblInv[كود العميل],$A458,tblInv[الفترة],E$7))</f>
        <v/>
      </c>
      <c r="F458" s="80">
        <f>IF($A458="","",SUMIFS(tblInv[المتبقي],tblInv[كود العميل],$A458,tblInv[الفترة],F$7))</f>
        <v/>
      </c>
      <c r="G458" s="80">
        <f>IF($A458="","",SUMIFS(tblInv[المتبقي],tblInv[كود العميل],$A458,tblInv[الفترة],G$7))</f>
        <v/>
      </c>
      <c r="H458" s="80">
        <f>IF($A458="","",SUMIFS(tblInv[المتبقي],tblInv[كود العميل],$A458,tblInv[الفترة],H$7))</f>
        <v/>
      </c>
      <c r="I458" s="80">
        <f>IF($A458="","",SUMIFS(tblInv[المتبقي],tblInv[كود العميل],$A458,tblInv[الفترة],I$7))</f>
        <v/>
      </c>
      <c r="J458" s="80">
        <f>IF($A458="","",SUM(C458:I458))</f>
        <v/>
      </c>
      <c r="K458" s="80">
        <f>IF($A458="","",-SUMIFS(tblRec[المبلغ],tblRec[كود العميل],$A458,tblRec[رقم الفاتورة],"",tblRec[التاريخ],"&lt;="&amp;AsOf)+SUMIFS(tblInv[المتبقي],tblInv[كود العميل],$A458,tblInv[المتبقي],"&lt;0"))</f>
        <v/>
      </c>
      <c r="L458" s="81">
        <f>IF($A458="","",J458+K458)</f>
        <v/>
      </c>
      <c r="M458" s="82">
        <f>IF($A458="","",IFERROR(L458/$L$8,0))</f>
        <v/>
      </c>
      <c r="N458" s="80">
        <f>IF($A458="","",INDEX(tblCustomers[حد الائتمان],MATCH($A458,tblCustomers[كود العميل],0)))</f>
        <v/>
      </c>
      <c r="O458" s="83">
        <f>IF($A458="","",IF(AND(N458&gt;0,L458&gt;N458),"⛔",""))</f>
        <v/>
      </c>
    </row>
    <row r="459">
      <c r="A459" s="78">
        <f>IFERROR(INDEX(tblCustomers[كود العميل],MATCH(450,tblCustomers[ترتيب],0)),"")</f>
        <v/>
      </c>
      <c r="B459" s="79">
        <f>IF($A459="","",INDEX(tblCustomers[اسم العميل],MATCH($A459,tblCustomers[كود العميل],0)))</f>
        <v/>
      </c>
      <c r="C459" s="80">
        <f>IF($A459="","",SUMIFS(tblInv[المتبقي],tblInv[كود العميل],$A459,tblInv[الفترة],C$7))</f>
        <v/>
      </c>
      <c r="D459" s="80">
        <f>IF($A459="","",SUMIFS(tblInv[المتبقي],tblInv[كود العميل],$A459,tblInv[الفترة],D$7))</f>
        <v/>
      </c>
      <c r="E459" s="80">
        <f>IF($A459="","",SUMIFS(tblInv[المتبقي],tblInv[كود العميل],$A459,tblInv[الفترة],E$7))</f>
        <v/>
      </c>
      <c r="F459" s="80">
        <f>IF($A459="","",SUMIFS(tblInv[المتبقي],tblInv[كود العميل],$A459,tblInv[الفترة],F$7))</f>
        <v/>
      </c>
      <c r="G459" s="80">
        <f>IF($A459="","",SUMIFS(tblInv[المتبقي],tblInv[كود العميل],$A459,tblInv[الفترة],G$7))</f>
        <v/>
      </c>
      <c r="H459" s="80">
        <f>IF($A459="","",SUMIFS(tblInv[المتبقي],tblInv[كود العميل],$A459,tblInv[الفترة],H$7))</f>
        <v/>
      </c>
      <c r="I459" s="80">
        <f>IF($A459="","",SUMIFS(tblInv[المتبقي],tblInv[كود العميل],$A459,tblInv[الفترة],I$7))</f>
        <v/>
      </c>
      <c r="J459" s="80">
        <f>IF($A459="","",SUM(C459:I459))</f>
        <v/>
      </c>
      <c r="K459" s="80">
        <f>IF($A459="","",-SUMIFS(tblRec[المبلغ],tblRec[كود العميل],$A459,tblRec[رقم الفاتورة],"",tblRec[التاريخ],"&lt;="&amp;AsOf)+SUMIFS(tblInv[المتبقي],tblInv[كود العميل],$A459,tblInv[المتبقي],"&lt;0"))</f>
        <v/>
      </c>
      <c r="L459" s="81">
        <f>IF($A459="","",J459+K459)</f>
        <v/>
      </c>
      <c r="M459" s="82">
        <f>IF($A459="","",IFERROR(L459/$L$8,0))</f>
        <v/>
      </c>
      <c r="N459" s="80">
        <f>IF($A459="","",INDEX(tblCustomers[حد الائتمان],MATCH($A459,tblCustomers[كود العميل],0)))</f>
        <v/>
      </c>
      <c r="O459" s="83">
        <f>IF($A459="","",IF(AND(N459&gt;0,L459&gt;N459),"⛔",""))</f>
        <v/>
      </c>
    </row>
    <row r="460">
      <c r="A460" s="78">
        <f>IFERROR(INDEX(tblCustomers[كود العميل],MATCH(451,tblCustomers[ترتيب],0)),"")</f>
        <v/>
      </c>
      <c r="B460" s="79">
        <f>IF($A460="","",INDEX(tblCustomers[اسم العميل],MATCH($A460,tblCustomers[كود العميل],0)))</f>
        <v/>
      </c>
      <c r="C460" s="80">
        <f>IF($A460="","",SUMIFS(tblInv[المتبقي],tblInv[كود العميل],$A460,tblInv[الفترة],C$7))</f>
        <v/>
      </c>
      <c r="D460" s="80">
        <f>IF($A460="","",SUMIFS(tblInv[المتبقي],tblInv[كود العميل],$A460,tblInv[الفترة],D$7))</f>
        <v/>
      </c>
      <c r="E460" s="80">
        <f>IF($A460="","",SUMIFS(tblInv[المتبقي],tblInv[كود العميل],$A460,tblInv[الفترة],E$7))</f>
        <v/>
      </c>
      <c r="F460" s="80">
        <f>IF($A460="","",SUMIFS(tblInv[المتبقي],tblInv[كود العميل],$A460,tblInv[الفترة],F$7))</f>
        <v/>
      </c>
      <c r="G460" s="80">
        <f>IF($A460="","",SUMIFS(tblInv[المتبقي],tblInv[كود العميل],$A460,tblInv[الفترة],G$7))</f>
        <v/>
      </c>
      <c r="H460" s="80">
        <f>IF($A460="","",SUMIFS(tblInv[المتبقي],tblInv[كود العميل],$A460,tblInv[الفترة],H$7))</f>
        <v/>
      </c>
      <c r="I460" s="80">
        <f>IF($A460="","",SUMIFS(tblInv[المتبقي],tblInv[كود العميل],$A460,tblInv[الفترة],I$7))</f>
        <v/>
      </c>
      <c r="J460" s="80">
        <f>IF($A460="","",SUM(C460:I460))</f>
        <v/>
      </c>
      <c r="K460" s="80">
        <f>IF($A460="","",-SUMIFS(tblRec[المبلغ],tblRec[كود العميل],$A460,tblRec[رقم الفاتورة],"",tblRec[التاريخ],"&lt;="&amp;AsOf)+SUMIFS(tblInv[المتبقي],tblInv[كود العميل],$A460,tblInv[المتبقي],"&lt;0"))</f>
        <v/>
      </c>
      <c r="L460" s="81">
        <f>IF($A460="","",J460+K460)</f>
        <v/>
      </c>
      <c r="M460" s="82">
        <f>IF($A460="","",IFERROR(L460/$L$8,0))</f>
        <v/>
      </c>
      <c r="N460" s="80">
        <f>IF($A460="","",INDEX(tblCustomers[حد الائتمان],MATCH($A460,tblCustomers[كود العميل],0)))</f>
        <v/>
      </c>
      <c r="O460" s="83">
        <f>IF($A460="","",IF(AND(N460&gt;0,L460&gt;N460),"⛔",""))</f>
        <v/>
      </c>
    </row>
    <row r="461">
      <c r="A461" s="78">
        <f>IFERROR(INDEX(tblCustomers[كود العميل],MATCH(452,tblCustomers[ترتيب],0)),"")</f>
        <v/>
      </c>
      <c r="B461" s="79">
        <f>IF($A461="","",INDEX(tblCustomers[اسم العميل],MATCH($A461,tblCustomers[كود العميل],0)))</f>
        <v/>
      </c>
      <c r="C461" s="80">
        <f>IF($A461="","",SUMIFS(tblInv[المتبقي],tblInv[كود العميل],$A461,tblInv[الفترة],C$7))</f>
        <v/>
      </c>
      <c r="D461" s="80">
        <f>IF($A461="","",SUMIFS(tblInv[المتبقي],tblInv[كود العميل],$A461,tblInv[الفترة],D$7))</f>
        <v/>
      </c>
      <c r="E461" s="80">
        <f>IF($A461="","",SUMIFS(tblInv[المتبقي],tblInv[كود العميل],$A461,tblInv[الفترة],E$7))</f>
        <v/>
      </c>
      <c r="F461" s="80">
        <f>IF($A461="","",SUMIFS(tblInv[المتبقي],tblInv[كود العميل],$A461,tblInv[الفترة],F$7))</f>
        <v/>
      </c>
      <c r="G461" s="80">
        <f>IF($A461="","",SUMIFS(tblInv[المتبقي],tblInv[كود العميل],$A461,tblInv[الفترة],G$7))</f>
        <v/>
      </c>
      <c r="H461" s="80">
        <f>IF($A461="","",SUMIFS(tblInv[المتبقي],tblInv[كود العميل],$A461,tblInv[الفترة],H$7))</f>
        <v/>
      </c>
      <c r="I461" s="80">
        <f>IF($A461="","",SUMIFS(tblInv[المتبقي],tblInv[كود العميل],$A461,tblInv[الفترة],I$7))</f>
        <v/>
      </c>
      <c r="J461" s="80">
        <f>IF($A461="","",SUM(C461:I461))</f>
        <v/>
      </c>
      <c r="K461" s="80">
        <f>IF($A461="","",-SUMIFS(tblRec[المبلغ],tblRec[كود العميل],$A461,tblRec[رقم الفاتورة],"",tblRec[التاريخ],"&lt;="&amp;AsOf)+SUMIFS(tblInv[المتبقي],tblInv[كود العميل],$A461,tblInv[المتبقي],"&lt;0"))</f>
        <v/>
      </c>
      <c r="L461" s="81">
        <f>IF($A461="","",J461+K461)</f>
        <v/>
      </c>
      <c r="M461" s="82">
        <f>IF($A461="","",IFERROR(L461/$L$8,0))</f>
        <v/>
      </c>
      <c r="N461" s="80">
        <f>IF($A461="","",INDEX(tblCustomers[حد الائتمان],MATCH($A461,tblCustomers[كود العميل],0)))</f>
        <v/>
      </c>
      <c r="O461" s="83">
        <f>IF($A461="","",IF(AND(N461&gt;0,L461&gt;N461),"⛔",""))</f>
        <v/>
      </c>
    </row>
    <row r="462">
      <c r="A462" s="78">
        <f>IFERROR(INDEX(tblCustomers[كود العميل],MATCH(453,tblCustomers[ترتيب],0)),"")</f>
        <v/>
      </c>
      <c r="B462" s="79">
        <f>IF($A462="","",INDEX(tblCustomers[اسم العميل],MATCH($A462,tblCustomers[كود العميل],0)))</f>
        <v/>
      </c>
      <c r="C462" s="80">
        <f>IF($A462="","",SUMIFS(tblInv[المتبقي],tblInv[كود العميل],$A462,tblInv[الفترة],C$7))</f>
        <v/>
      </c>
      <c r="D462" s="80">
        <f>IF($A462="","",SUMIFS(tblInv[المتبقي],tblInv[كود العميل],$A462,tblInv[الفترة],D$7))</f>
        <v/>
      </c>
      <c r="E462" s="80">
        <f>IF($A462="","",SUMIFS(tblInv[المتبقي],tblInv[كود العميل],$A462,tblInv[الفترة],E$7))</f>
        <v/>
      </c>
      <c r="F462" s="80">
        <f>IF($A462="","",SUMIFS(tblInv[المتبقي],tblInv[كود العميل],$A462,tblInv[الفترة],F$7))</f>
        <v/>
      </c>
      <c r="G462" s="80">
        <f>IF($A462="","",SUMIFS(tblInv[المتبقي],tblInv[كود العميل],$A462,tblInv[الفترة],G$7))</f>
        <v/>
      </c>
      <c r="H462" s="80">
        <f>IF($A462="","",SUMIFS(tblInv[المتبقي],tblInv[كود العميل],$A462,tblInv[الفترة],H$7))</f>
        <v/>
      </c>
      <c r="I462" s="80">
        <f>IF($A462="","",SUMIFS(tblInv[المتبقي],tblInv[كود العميل],$A462,tblInv[الفترة],I$7))</f>
        <v/>
      </c>
      <c r="J462" s="80">
        <f>IF($A462="","",SUM(C462:I462))</f>
        <v/>
      </c>
      <c r="K462" s="80">
        <f>IF($A462="","",-SUMIFS(tblRec[المبلغ],tblRec[كود العميل],$A462,tblRec[رقم الفاتورة],"",tblRec[التاريخ],"&lt;="&amp;AsOf)+SUMIFS(tblInv[المتبقي],tblInv[كود العميل],$A462,tblInv[المتبقي],"&lt;0"))</f>
        <v/>
      </c>
      <c r="L462" s="81">
        <f>IF($A462="","",J462+K462)</f>
        <v/>
      </c>
      <c r="M462" s="82">
        <f>IF($A462="","",IFERROR(L462/$L$8,0))</f>
        <v/>
      </c>
      <c r="N462" s="80">
        <f>IF($A462="","",INDEX(tblCustomers[حد الائتمان],MATCH($A462,tblCustomers[كود العميل],0)))</f>
        <v/>
      </c>
      <c r="O462" s="83">
        <f>IF($A462="","",IF(AND(N462&gt;0,L462&gt;N462),"⛔",""))</f>
        <v/>
      </c>
    </row>
    <row r="463">
      <c r="A463" s="78">
        <f>IFERROR(INDEX(tblCustomers[كود العميل],MATCH(454,tblCustomers[ترتيب],0)),"")</f>
        <v/>
      </c>
      <c r="B463" s="79">
        <f>IF($A463="","",INDEX(tblCustomers[اسم العميل],MATCH($A463,tblCustomers[كود العميل],0)))</f>
        <v/>
      </c>
      <c r="C463" s="80">
        <f>IF($A463="","",SUMIFS(tblInv[المتبقي],tblInv[كود العميل],$A463,tblInv[الفترة],C$7))</f>
        <v/>
      </c>
      <c r="D463" s="80">
        <f>IF($A463="","",SUMIFS(tblInv[المتبقي],tblInv[كود العميل],$A463,tblInv[الفترة],D$7))</f>
        <v/>
      </c>
      <c r="E463" s="80">
        <f>IF($A463="","",SUMIFS(tblInv[المتبقي],tblInv[كود العميل],$A463,tblInv[الفترة],E$7))</f>
        <v/>
      </c>
      <c r="F463" s="80">
        <f>IF($A463="","",SUMIFS(tblInv[المتبقي],tblInv[كود العميل],$A463,tblInv[الفترة],F$7))</f>
        <v/>
      </c>
      <c r="G463" s="80">
        <f>IF($A463="","",SUMIFS(tblInv[المتبقي],tblInv[كود العميل],$A463,tblInv[الفترة],G$7))</f>
        <v/>
      </c>
      <c r="H463" s="80">
        <f>IF($A463="","",SUMIFS(tblInv[المتبقي],tblInv[كود العميل],$A463,tblInv[الفترة],H$7))</f>
        <v/>
      </c>
      <c r="I463" s="80">
        <f>IF($A463="","",SUMIFS(tblInv[المتبقي],tblInv[كود العميل],$A463,tblInv[الفترة],I$7))</f>
        <v/>
      </c>
      <c r="J463" s="80">
        <f>IF($A463="","",SUM(C463:I463))</f>
        <v/>
      </c>
      <c r="K463" s="80">
        <f>IF($A463="","",-SUMIFS(tblRec[المبلغ],tblRec[كود العميل],$A463,tblRec[رقم الفاتورة],"",tblRec[التاريخ],"&lt;="&amp;AsOf)+SUMIFS(tblInv[المتبقي],tblInv[كود العميل],$A463,tblInv[المتبقي],"&lt;0"))</f>
        <v/>
      </c>
      <c r="L463" s="81">
        <f>IF($A463="","",J463+K463)</f>
        <v/>
      </c>
      <c r="M463" s="82">
        <f>IF($A463="","",IFERROR(L463/$L$8,0))</f>
        <v/>
      </c>
      <c r="N463" s="80">
        <f>IF($A463="","",INDEX(tblCustomers[حد الائتمان],MATCH($A463,tblCustomers[كود العميل],0)))</f>
        <v/>
      </c>
      <c r="O463" s="83">
        <f>IF($A463="","",IF(AND(N463&gt;0,L463&gt;N463),"⛔",""))</f>
        <v/>
      </c>
    </row>
    <row r="464">
      <c r="A464" s="78">
        <f>IFERROR(INDEX(tblCustomers[كود العميل],MATCH(455,tblCustomers[ترتيب],0)),"")</f>
        <v/>
      </c>
      <c r="B464" s="79">
        <f>IF($A464="","",INDEX(tblCustomers[اسم العميل],MATCH($A464,tblCustomers[كود العميل],0)))</f>
        <v/>
      </c>
      <c r="C464" s="80">
        <f>IF($A464="","",SUMIFS(tblInv[المتبقي],tblInv[كود العميل],$A464,tblInv[الفترة],C$7))</f>
        <v/>
      </c>
      <c r="D464" s="80">
        <f>IF($A464="","",SUMIFS(tblInv[المتبقي],tblInv[كود العميل],$A464,tblInv[الفترة],D$7))</f>
        <v/>
      </c>
      <c r="E464" s="80">
        <f>IF($A464="","",SUMIFS(tblInv[المتبقي],tblInv[كود العميل],$A464,tblInv[الفترة],E$7))</f>
        <v/>
      </c>
      <c r="F464" s="80">
        <f>IF($A464="","",SUMIFS(tblInv[المتبقي],tblInv[كود العميل],$A464,tblInv[الفترة],F$7))</f>
        <v/>
      </c>
      <c r="G464" s="80">
        <f>IF($A464="","",SUMIFS(tblInv[المتبقي],tblInv[كود العميل],$A464,tblInv[الفترة],G$7))</f>
        <v/>
      </c>
      <c r="H464" s="80">
        <f>IF($A464="","",SUMIFS(tblInv[المتبقي],tblInv[كود العميل],$A464,tblInv[الفترة],H$7))</f>
        <v/>
      </c>
      <c r="I464" s="80">
        <f>IF($A464="","",SUMIFS(tblInv[المتبقي],tblInv[كود العميل],$A464,tblInv[الفترة],I$7))</f>
        <v/>
      </c>
      <c r="J464" s="80">
        <f>IF($A464="","",SUM(C464:I464))</f>
        <v/>
      </c>
      <c r="K464" s="80">
        <f>IF($A464="","",-SUMIFS(tblRec[المبلغ],tblRec[كود العميل],$A464,tblRec[رقم الفاتورة],"",tblRec[التاريخ],"&lt;="&amp;AsOf)+SUMIFS(tblInv[المتبقي],tblInv[كود العميل],$A464,tblInv[المتبقي],"&lt;0"))</f>
        <v/>
      </c>
      <c r="L464" s="81">
        <f>IF($A464="","",J464+K464)</f>
        <v/>
      </c>
      <c r="M464" s="82">
        <f>IF($A464="","",IFERROR(L464/$L$8,0))</f>
        <v/>
      </c>
      <c r="N464" s="80">
        <f>IF($A464="","",INDEX(tblCustomers[حد الائتمان],MATCH($A464,tblCustomers[كود العميل],0)))</f>
        <v/>
      </c>
      <c r="O464" s="83">
        <f>IF($A464="","",IF(AND(N464&gt;0,L464&gt;N464),"⛔",""))</f>
        <v/>
      </c>
    </row>
    <row r="465">
      <c r="A465" s="78">
        <f>IFERROR(INDEX(tblCustomers[كود العميل],MATCH(456,tblCustomers[ترتيب],0)),"")</f>
        <v/>
      </c>
      <c r="B465" s="79">
        <f>IF($A465="","",INDEX(tblCustomers[اسم العميل],MATCH($A465,tblCustomers[كود العميل],0)))</f>
        <v/>
      </c>
      <c r="C465" s="80">
        <f>IF($A465="","",SUMIFS(tblInv[المتبقي],tblInv[كود العميل],$A465,tblInv[الفترة],C$7))</f>
        <v/>
      </c>
      <c r="D465" s="80">
        <f>IF($A465="","",SUMIFS(tblInv[المتبقي],tblInv[كود العميل],$A465,tblInv[الفترة],D$7))</f>
        <v/>
      </c>
      <c r="E465" s="80">
        <f>IF($A465="","",SUMIFS(tblInv[المتبقي],tblInv[كود العميل],$A465,tblInv[الفترة],E$7))</f>
        <v/>
      </c>
      <c r="F465" s="80">
        <f>IF($A465="","",SUMIFS(tblInv[المتبقي],tblInv[كود العميل],$A465,tblInv[الفترة],F$7))</f>
        <v/>
      </c>
      <c r="G465" s="80">
        <f>IF($A465="","",SUMIFS(tblInv[المتبقي],tblInv[كود العميل],$A465,tblInv[الفترة],G$7))</f>
        <v/>
      </c>
      <c r="H465" s="80">
        <f>IF($A465="","",SUMIFS(tblInv[المتبقي],tblInv[كود العميل],$A465,tblInv[الفترة],H$7))</f>
        <v/>
      </c>
      <c r="I465" s="80">
        <f>IF($A465="","",SUMIFS(tblInv[المتبقي],tblInv[كود العميل],$A465,tblInv[الفترة],I$7))</f>
        <v/>
      </c>
      <c r="J465" s="80">
        <f>IF($A465="","",SUM(C465:I465))</f>
        <v/>
      </c>
      <c r="K465" s="80">
        <f>IF($A465="","",-SUMIFS(tblRec[المبلغ],tblRec[كود العميل],$A465,tblRec[رقم الفاتورة],"",tblRec[التاريخ],"&lt;="&amp;AsOf)+SUMIFS(tblInv[المتبقي],tblInv[كود العميل],$A465,tblInv[المتبقي],"&lt;0"))</f>
        <v/>
      </c>
      <c r="L465" s="81">
        <f>IF($A465="","",J465+K465)</f>
        <v/>
      </c>
      <c r="M465" s="82">
        <f>IF($A465="","",IFERROR(L465/$L$8,0))</f>
        <v/>
      </c>
      <c r="N465" s="80">
        <f>IF($A465="","",INDEX(tblCustomers[حد الائتمان],MATCH($A465,tblCustomers[كود العميل],0)))</f>
        <v/>
      </c>
      <c r="O465" s="83">
        <f>IF($A465="","",IF(AND(N465&gt;0,L465&gt;N465),"⛔",""))</f>
        <v/>
      </c>
    </row>
    <row r="466">
      <c r="A466" s="78">
        <f>IFERROR(INDEX(tblCustomers[كود العميل],MATCH(457,tblCustomers[ترتيب],0)),"")</f>
        <v/>
      </c>
      <c r="B466" s="79">
        <f>IF($A466="","",INDEX(tblCustomers[اسم العميل],MATCH($A466,tblCustomers[كود العميل],0)))</f>
        <v/>
      </c>
      <c r="C466" s="80">
        <f>IF($A466="","",SUMIFS(tblInv[المتبقي],tblInv[كود العميل],$A466,tblInv[الفترة],C$7))</f>
        <v/>
      </c>
      <c r="D466" s="80">
        <f>IF($A466="","",SUMIFS(tblInv[المتبقي],tblInv[كود العميل],$A466,tblInv[الفترة],D$7))</f>
        <v/>
      </c>
      <c r="E466" s="80">
        <f>IF($A466="","",SUMIFS(tblInv[المتبقي],tblInv[كود العميل],$A466,tblInv[الفترة],E$7))</f>
        <v/>
      </c>
      <c r="F466" s="80">
        <f>IF($A466="","",SUMIFS(tblInv[المتبقي],tblInv[كود العميل],$A466,tblInv[الفترة],F$7))</f>
        <v/>
      </c>
      <c r="G466" s="80">
        <f>IF($A466="","",SUMIFS(tblInv[المتبقي],tblInv[كود العميل],$A466,tblInv[الفترة],G$7))</f>
        <v/>
      </c>
      <c r="H466" s="80">
        <f>IF($A466="","",SUMIFS(tblInv[المتبقي],tblInv[كود العميل],$A466,tblInv[الفترة],H$7))</f>
        <v/>
      </c>
      <c r="I466" s="80">
        <f>IF($A466="","",SUMIFS(tblInv[المتبقي],tblInv[كود العميل],$A466,tblInv[الفترة],I$7))</f>
        <v/>
      </c>
      <c r="J466" s="80">
        <f>IF($A466="","",SUM(C466:I466))</f>
        <v/>
      </c>
      <c r="K466" s="80">
        <f>IF($A466="","",-SUMIFS(tblRec[المبلغ],tblRec[كود العميل],$A466,tblRec[رقم الفاتورة],"",tblRec[التاريخ],"&lt;="&amp;AsOf)+SUMIFS(tblInv[المتبقي],tblInv[كود العميل],$A466,tblInv[المتبقي],"&lt;0"))</f>
        <v/>
      </c>
      <c r="L466" s="81">
        <f>IF($A466="","",J466+K466)</f>
        <v/>
      </c>
      <c r="M466" s="82">
        <f>IF($A466="","",IFERROR(L466/$L$8,0))</f>
        <v/>
      </c>
      <c r="N466" s="80">
        <f>IF($A466="","",INDEX(tblCustomers[حد الائتمان],MATCH($A466,tblCustomers[كود العميل],0)))</f>
        <v/>
      </c>
      <c r="O466" s="83">
        <f>IF($A466="","",IF(AND(N466&gt;0,L466&gt;N466),"⛔",""))</f>
        <v/>
      </c>
    </row>
    <row r="467">
      <c r="A467" s="78">
        <f>IFERROR(INDEX(tblCustomers[كود العميل],MATCH(458,tblCustomers[ترتيب],0)),"")</f>
        <v/>
      </c>
      <c r="B467" s="79">
        <f>IF($A467="","",INDEX(tblCustomers[اسم العميل],MATCH($A467,tblCustomers[كود العميل],0)))</f>
        <v/>
      </c>
      <c r="C467" s="80">
        <f>IF($A467="","",SUMIFS(tblInv[المتبقي],tblInv[كود العميل],$A467,tblInv[الفترة],C$7))</f>
        <v/>
      </c>
      <c r="D467" s="80">
        <f>IF($A467="","",SUMIFS(tblInv[المتبقي],tblInv[كود العميل],$A467,tblInv[الفترة],D$7))</f>
        <v/>
      </c>
      <c r="E467" s="80">
        <f>IF($A467="","",SUMIFS(tblInv[المتبقي],tblInv[كود العميل],$A467,tblInv[الفترة],E$7))</f>
        <v/>
      </c>
      <c r="F467" s="80">
        <f>IF($A467="","",SUMIFS(tblInv[المتبقي],tblInv[كود العميل],$A467,tblInv[الفترة],F$7))</f>
        <v/>
      </c>
      <c r="G467" s="80">
        <f>IF($A467="","",SUMIFS(tblInv[المتبقي],tblInv[كود العميل],$A467,tblInv[الفترة],G$7))</f>
        <v/>
      </c>
      <c r="H467" s="80">
        <f>IF($A467="","",SUMIFS(tblInv[المتبقي],tblInv[كود العميل],$A467,tblInv[الفترة],H$7))</f>
        <v/>
      </c>
      <c r="I467" s="80">
        <f>IF($A467="","",SUMIFS(tblInv[المتبقي],tblInv[كود العميل],$A467,tblInv[الفترة],I$7))</f>
        <v/>
      </c>
      <c r="J467" s="80">
        <f>IF($A467="","",SUM(C467:I467))</f>
        <v/>
      </c>
      <c r="K467" s="80">
        <f>IF($A467="","",-SUMIFS(tblRec[المبلغ],tblRec[كود العميل],$A467,tblRec[رقم الفاتورة],"",tblRec[التاريخ],"&lt;="&amp;AsOf)+SUMIFS(tblInv[المتبقي],tblInv[كود العميل],$A467,tblInv[المتبقي],"&lt;0"))</f>
        <v/>
      </c>
      <c r="L467" s="81">
        <f>IF($A467="","",J467+K467)</f>
        <v/>
      </c>
      <c r="M467" s="82">
        <f>IF($A467="","",IFERROR(L467/$L$8,0))</f>
        <v/>
      </c>
      <c r="N467" s="80">
        <f>IF($A467="","",INDEX(tblCustomers[حد الائتمان],MATCH($A467,tblCustomers[كود العميل],0)))</f>
        <v/>
      </c>
      <c r="O467" s="83">
        <f>IF($A467="","",IF(AND(N467&gt;0,L467&gt;N467),"⛔",""))</f>
        <v/>
      </c>
    </row>
    <row r="468">
      <c r="A468" s="78">
        <f>IFERROR(INDEX(tblCustomers[كود العميل],MATCH(459,tblCustomers[ترتيب],0)),"")</f>
        <v/>
      </c>
      <c r="B468" s="79">
        <f>IF($A468="","",INDEX(tblCustomers[اسم العميل],MATCH($A468,tblCustomers[كود العميل],0)))</f>
        <v/>
      </c>
      <c r="C468" s="80">
        <f>IF($A468="","",SUMIFS(tblInv[المتبقي],tblInv[كود العميل],$A468,tblInv[الفترة],C$7))</f>
        <v/>
      </c>
      <c r="D468" s="80">
        <f>IF($A468="","",SUMIFS(tblInv[المتبقي],tblInv[كود العميل],$A468,tblInv[الفترة],D$7))</f>
        <v/>
      </c>
      <c r="E468" s="80">
        <f>IF($A468="","",SUMIFS(tblInv[المتبقي],tblInv[كود العميل],$A468,tblInv[الفترة],E$7))</f>
        <v/>
      </c>
      <c r="F468" s="80">
        <f>IF($A468="","",SUMIFS(tblInv[المتبقي],tblInv[كود العميل],$A468,tblInv[الفترة],F$7))</f>
        <v/>
      </c>
      <c r="G468" s="80">
        <f>IF($A468="","",SUMIFS(tblInv[المتبقي],tblInv[كود العميل],$A468,tblInv[الفترة],G$7))</f>
        <v/>
      </c>
      <c r="H468" s="80">
        <f>IF($A468="","",SUMIFS(tblInv[المتبقي],tblInv[كود العميل],$A468,tblInv[الفترة],H$7))</f>
        <v/>
      </c>
      <c r="I468" s="80">
        <f>IF($A468="","",SUMIFS(tblInv[المتبقي],tblInv[كود العميل],$A468,tblInv[الفترة],I$7))</f>
        <v/>
      </c>
      <c r="J468" s="80">
        <f>IF($A468="","",SUM(C468:I468))</f>
        <v/>
      </c>
      <c r="K468" s="80">
        <f>IF($A468="","",-SUMIFS(tblRec[المبلغ],tblRec[كود العميل],$A468,tblRec[رقم الفاتورة],"",tblRec[التاريخ],"&lt;="&amp;AsOf)+SUMIFS(tblInv[المتبقي],tblInv[كود العميل],$A468,tblInv[المتبقي],"&lt;0"))</f>
        <v/>
      </c>
      <c r="L468" s="81">
        <f>IF($A468="","",J468+K468)</f>
        <v/>
      </c>
      <c r="M468" s="82">
        <f>IF($A468="","",IFERROR(L468/$L$8,0))</f>
        <v/>
      </c>
      <c r="N468" s="80">
        <f>IF($A468="","",INDEX(tblCustomers[حد الائتمان],MATCH($A468,tblCustomers[كود العميل],0)))</f>
        <v/>
      </c>
      <c r="O468" s="83">
        <f>IF($A468="","",IF(AND(N468&gt;0,L468&gt;N468),"⛔",""))</f>
        <v/>
      </c>
    </row>
    <row r="469">
      <c r="A469" s="78">
        <f>IFERROR(INDEX(tblCustomers[كود العميل],MATCH(460,tblCustomers[ترتيب],0)),"")</f>
        <v/>
      </c>
      <c r="B469" s="79">
        <f>IF($A469="","",INDEX(tblCustomers[اسم العميل],MATCH($A469,tblCustomers[كود العميل],0)))</f>
        <v/>
      </c>
      <c r="C469" s="80">
        <f>IF($A469="","",SUMIFS(tblInv[المتبقي],tblInv[كود العميل],$A469,tblInv[الفترة],C$7))</f>
        <v/>
      </c>
      <c r="D469" s="80">
        <f>IF($A469="","",SUMIFS(tblInv[المتبقي],tblInv[كود العميل],$A469,tblInv[الفترة],D$7))</f>
        <v/>
      </c>
      <c r="E469" s="80">
        <f>IF($A469="","",SUMIFS(tblInv[المتبقي],tblInv[كود العميل],$A469,tblInv[الفترة],E$7))</f>
        <v/>
      </c>
      <c r="F469" s="80">
        <f>IF($A469="","",SUMIFS(tblInv[المتبقي],tblInv[كود العميل],$A469,tblInv[الفترة],F$7))</f>
        <v/>
      </c>
      <c r="G469" s="80">
        <f>IF($A469="","",SUMIFS(tblInv[المتبقي],tblInv[كود العميل],$A469,tblInv[الفترة],G$7))</f>
        <v/>
      </c>
      <c r="H469" s="80">
        <f>IF($A469="","",SUMIFS(tblInv[المتبقي],tblInv[كود العميل],$A469,tblInv[الفترة],H$7))</f>
        <v/>
      </c>
      <c r="I469" s="80">
        <f>IF($A469="","",SUMIFS(tblInv[المتبقي],tblInv[كود العميل],$A469,tblInv[الفترة],I$7))</f>
        <v/>
      </c>
      <c r="J469" s="80">
        <f>IF($A469="","",SUM(C469:I469))</f>
        <v/>
      </c>
      <c r="K469" s="80">
        <f>IF($A469="","",-SUMIFS(tblRec[المبلغ],tblRec[كود العميل],$A469,tblRec[رقم الفاتورة],"",tblRec[التاريخ],"&lt;="&amp;AsOf)+SUMIFS(tblInv[المتبقي],tblInv[كود العميل],$A469,tblInv[المتبقي],"&lt;0"))</f>
        <v/>
      </c>
      <c r="L469" s="81">
        <f>IF($A469="","",J469+K469)</f>
        <v/>
      </c>
      <c r="M469" s="82">
        <f>IF($A469="","",IFERROR(L469/$L$8,0))</f>
        <v/>
      </c>
      <c r="N469" s="80">
        <f>IF($A469="","",INDEX(tblCustomers[حد الائتمان],MATCH($A469,tblCustomers[كود العميل],0)))</f>
        <v/>
      </c>
      <c r="O469" s="83">
        <f>IF($A469="","",IF(AND(N469&gt;0,L469&gt;N469),"⛔",""))</f>
        <v/>
      </c>
    </row>
    <row r="470">
      <c r="A470" s="78">
        <f>IFERROR(INDEX(tblCustomers[كود العميل],MATCH(461,tblCustomers[ترتيب],0)),"")</f>
        <v/>
      </c>
      <c r="B470" s="79">
        <f>IF($A470="","",INDEX(tblCustomers[اسم العميل],MATCH($A470,tblCustomers[كود العميل],0)))</f>
        <v/>
      </c>
      <c r="C470" s="80">
        <f>IF($A470="","",SUMIFS(tblInv[المتبقي],tblInv[كود العميل],$A470,tblInv[الفترة],C$7))</f>
        <v/>
      </c>
      <c r="D470" s="80">
        <f>IF($A470="","",SUMIFS(tblInv[المتبقي],tblInv[كود العميل],$A470,tblInv[الفترة],D$7))</f>
        <v/>
      </c>
      <c r="E470" s="80">
        <f>IF($A470="","",SUMIFS(tblInv[المتبقي],tblInv[كود العميل],$A470,tblInv[الفترة],E$7))</f>
        <v/>
      </c>
      <c r="F470" s="80">
        <f>IF($A470="","",SUMIFS(tblInv[المتبقي],tblInv[كود العميل],$A470,tblInv[الفترة],F$7))</f>
        <v/>
      </c>
      <c r="G470" s="80">
        <f>IF($A470="","",SUMIFS(tblInv[المتبقي],tblInv[كود العميل],$A470,tblInv[الفترة],G$7))</f>
        <v/>
      </c>
      <c r="H470" s="80">
        <f>IF($A470="","",SUMIFS(tblInv[المتبقي],tblInv[كود العميل],$A470,tblInv[الفترة],H$7))</f>
        <v/>
      </c>
      <c r="I470" s="80">
        <f>IF($A470="","",SUMIFS(tblInv[المتبقي],tblInv[كود العميل],$A470,tblInv[الفترة],I$7))</f>
        <v/>
      </c>
      <c r="J470" s="80">
        <f>IF($A470="","",SUM(C470:I470))</f>
        <v/>
      </c>
      <c r="K470" s="80">
        <f>IF($A470="","",-SUMIFS(tblRec[المبلغ],tblRec[كود العميل],$A470,tblRec[رقم الفاتورة],"",tblRec[التاريخ],"&lt;="&amp;AsOf)+SUMIFS(tblInv[المتبقي],tblInv[كود العميل],$A470,tblInv[المتبقي],"&lt;0"))</f>
        <v/>
      </c>
      <c r="L470" s="81">
        <f>IF($A470="","",J470+K470)</f>
        <v/>
      </c>
      <c r="M470" s="82">
        <f>IF($A470="","",IFERROR(L470/$L$8,0))</f>
        <v/>
      </c>
      <c r="N470" s="80">
        <f>IF($A470="","",INDEX(tblCustomers[حد الائتمان],MATCH($A470,tblCustomers[كود العميل],0)))</f>
        <v/>
      </c>
      <c r="O470" s="83">
        <f>IF($A470="","",IF(AND(N470&gt;0,L470&gt;N470),"⛔",""))</f>
        <v/>
      </c>
    </row>
    <row r="471">
      <c r="A471" s="78">
        <f>IFERROR(INDEX(tblCustomers[كود العميل],MATCH(462,tblCustomers[ترتيب],0)),"")</f>
        <v/>
      </c>
      <c r="B471" s="79">
        <f>IF($A471="","",INDEX(tblCustomers[اسم العميل],MATCH($A471,tblCustomers[كود العميل],0)))</f>
        <v/>
      </c>
      <c r="C471" s="80">
        <f>IF($A471="","",SUMIFS(tblInv[المتبقي],tblInv[كود العميل],$A471,tblInv[الفترة],C$7))</f>
        <v/>
      </c>
      <c r="D471" s="80">
        <f>IF($A471="","",SUMIFS(tblInv[المتبقي],tblInv[كود العميل],$A471,tblInv[الفترة],D$7))</f>
        <v/>
      </c>
      <c r="E471" s="80">
        <f>IF($A471="","",SUMIFS(tblInv[المتبقي],tblInv[كود العميل],$A471,tblInv[الفترة],E$7))</f>
        <v/>
      </c>
      <c r="F471" s="80">
        <f>IF($A471="","",SUMIFS(tblInv[المتبقي],tblInv[كود العميل],$A471,tblInv[الفترة],F$7))</f>
        <v/>
      </c>
      <c r="G471" s="80">
        <f>IF($A471="","",SUMIFS(tblInv[المتبقي],tblInv[كود العميل],$A471,tblInv[الفترة],G$7))</f>
        <v/>
      </c>
      <c r="H471" s="80">
        <f>IF($A471="","",SUMIFS(tblInv[المتبقي],tblInv[كود العميل],$A471,tblInv[الفترة],H$7))</f>
        <v/>
      </c>
      <c r="I471" s="80">
        <f>IF($A471="","",SUMIFS(tblInv[المتبقي],tblInv[كود العميل],$A471,tblInv[الفترة],I$7))</f>
        <v/>
      </c>
      <c r="J471" s="80">
        <f>IF($A471="","",SUM(C471:I471))</f>
        <v/>
      </c>
      <c r="K471" s="80">
        <f>IF($A471="","",-SUMIFS(tblRec[المبلغ],tblRec[كود العميل],$A471,tblRec[رقم الفاتورة],"",tblRec[التاريخ],"&lt;="&amp;AsOf)+SUMIFS(tblInv[المتبقي],tblInv[كود العميل],$A471,tblInv[المتبقي],"&lt;0"))</f>
        <v/>
      </c>
      <c r="L471" s="81">
        <f>IF($A471="","",J471+K471)</f>
        <v/>
      </c>
      <c r="M471" s="82">
        <f>IF($A471="","",IFERROR(L471/$L$8,0))</f>
        <v/>
      </c>
      <c r="N471" s="80">
        <f>IF($A471="","",INDEX(tblCustomers[حد الائتمان],MATCH($A471,tblCustomers[كود العميل],0)))</f>
        <v/>
      </c>
      <c r="O471" s="83">
        <f>IF($A471="","",IF(AND(N471&gt;0,L471&gt;N471),"⛔",""))</f>
        <v/>
      </c>
    </row>
    <row r="472">
      <c r="A472" s="78">
        <f>IFERROR(INDEX(tblCustomers[كود العميل],MATCH(463,tblCustomers[ترتيب],0)),"")</f>
        <v/>
      </c>
      <c r="B472" s="79">
        <f>IF($A472="","",INDEX(tblCustomers[اسم العميل],MATCH($A472,tblCustomers[كود العميل],0)))</f>
        <v/>
      </c>
      <c r="C472" s="80">
        <f>IF($A472="","",SUMIFS(tblInv[المتبقي],tblInv[كود العميل],$A472,tblInv[الفترة],C$7))</f>
        <v/>
      </c>
      <c r="D472" s="80">
        <f>IF($A472="","",SUMIFS(tblInv[المتبقي],tblInv[كود العميل],$A472,tblInv[الفترة],D$7))</f>
        <v/>
      </c>
      <c r="E472" s="80">
        <f>IF($A472="","",SUMIFS(tblInv[المتبقي],tblInv[كود العميل],$A472,tblInv[الفترة],E$7))</f>
        <v/>
      </c>
      <c r="F472" s="80">
        <f>IF($A472="","",SUMIFS(tblInv[المتبقي],tblInv[كود العميل],$A472,tblInv[الفترة],F$7))</f>
        <v/>
      </c>
      <c r="G472" s="80">
        <f>IF($A472="","",SUMIFS(tblInv[المتبقي],tblInv[كود العميل],$A472,tblInv[الفترة],G$7))</f>
        <v/>
      </c>
      <c r="H472" s="80">
        <f>IF($A472="","",SUMIFS(tblInv[المتبقي],tblInv[كود العميل],$A472,tblInv[الفترة],H$7))</f>
        <v/>
      </c>
      <c r="I472" s="80">
        <f>IF($A472="","",SUMIFS(tblInv[المتبقي],tblInv[كود العميل],$A472,tblInv[الفترة],I$7))</f>
        <v/>
      </c>
      <c r="J472" s="80">
        <f>IF($A472="","",SUM(C472:I472))</f>
        <v/>
      </c>
      <c r="K472" s="80">
        <f>IF($A472="","",-SUMIFS(tblRec[المبلغ],tblRec[كود العميل],$A472,tblRec[رقم الفاتورة],"",tblRec[التاريخ],"&lt;="&amp;AsOf)+SUMIFS(tblInv[المتبقي],tblInv[كود العميل],$A472,tblInv[المتبقي],"&lt;0"))</f>
        <v/>
      </c>
      <c r="L472" s="81">
        <f>IF($A472="","",J472+K472)</f>
        <v/>
      </c>
      <c r="M472" s="82">
        <f>IF($A472="","",IFERROR(L472/$L$8,0))</f>
        <v/>
      </c>
      <c r="N472" s="80">
        <f>IF($A472="","",INDEX(tblCustomers[حد الائتمان],MATCH($A472,tblCustomers[كود العميل],0)))</f>
        <v/>
      </c>
      <c r="O472" s="83">
        <f>IF($A472="","",IF(AND(N472&gt;0,L472&gt;N472),"⛔",""))</f>
        <v/>
      </c>
    </row>
    <row r="473">
      <c r="A473" s="78">
        <f>IFERROR(INDEX(tblCustomers[كود العميل],MATCH(464,tblCustomers[ترتيب],0)),"")</f>
        <v/>
      </c>
      <c r="B473" s="79">
        <f>IF($A473="","",INDEX(tblCustomers[اسم العميل],MATCH($A473,tblCustomers[كود العميل],0)))</f>
        <v/>
      </c>
      <c r="C473" s="80">
        <f>IF($A473="","",SUMIFS(tblInv[المتبقي],tblInv[كود العميل],$A473,tblInv[الفترة],C$7))</f>
        <v/>
      </c>
      <c r="D473" s="80">
        <f>IF($A473="","",SUMIFS(tblInv[المتبقي],tblInv[كود العميل],$A473,tblInv[الفترة],D$7))</f>
        <v/>
      </c>
      <c r="E473" s="80">
        <f>IF($A473="","",SUMIFS(tblInv[المتبقي],tblInv[كود العميل],$A473,tblInv[الفترة],E$7))</f>
        <v/>
      </c>
      <c r="F473" s="80">
        <f>IF($A473="","",SUMIFS(tblInv[المتبقي],tblInv[كود العميل],$A473,tblInv[الفترة],F$7))</f>
        <v/>
      </c>
      <c r="G473" s="80">
        <f>IF($A473="","",SUMIFS(tblInv[المتبقي],tblInv[كود العميل],$A473,tblInv[الفترة],G$7))</f>
        <v/>
      </c>
      <c r="H473" s="80">
        <f>IF($A473="","",SUMIFS(tblInv[المتبقي],tblInv[كود العميل],$A473,tblInv[الفترة],H$7))</f>
        <v/>
      </c>
      <c r="I473" s="80">
        <f>IF($A473="","",SUMIFS(tblInv[المتبقي],tblInv[كود العميل],$A473,tblInv[الفترة],I$7))</f>
        <v/>
      </c>
      <c r="J473" s="80">
        <f>IF($A473="","",SUM(C473:I473))</f>
        <v/>
      </c>
      <c r="K473" s="80">
        <f>IF($A473="","",-SUMIFS(tblRec[المبلغ],tblRec[كود العميل],$A473,tblRec[رقم الفاتورة],"",tblRec[التاريخ],"&lt;="&amp;AsOf)+SUMIFS(tblInv[المتبقي],tblInv[كود العميل],$A473,tblInv[المتبقي],"&lt;0"))</f>
        <v/>
      </c>
      <c r="L473" s="81">
        <f>IF($A473="","",J473+K473)</f>
        <v/>
      </c>
      <c r="M473" s="82">
        <f>IF($A473="","",IFERROR(L473/$L$8,0))</f>
        <v/>
      </c>
      <c r="N473" s="80">
        <f>IF($A473="","",INDEX(tblCustomers[حد الائتمان],MATCH($A473,tblCustomers[كود العميل],0)))</f>
        <v/>
      </c>
      <c r="O473" s="83">
        <f>IF($A473="","",IF(AND(N473&gt;0,L473&gt;N473),"⛔",""))</f>
        <v/>
      </c>
    </row>
    <row r="474">
      <c r="A474" s="78">
        <f>IFERROR(INDEX(tblCustomers[كود العميل],MATCH(465,tblCustomers[ترتيب],0)),"")</f>
        <v/>
      </c>
      <c r="B474" s="79">
        <f>IF($A474="","",INDEX(tblCustomers[اسم العميل],MATCH($A474,tblCustomers[كود العميل],0)))</f>
        <v/>
      </c>
      <c r="C474" s="80">
        <f>IF($A474="","",SUMIFS(tblInv[المتبقي],tblInv[كود العميل],$A474,tblInv[الفترة],C$7))</f>
        <v/>
      </c>
      <c r="D474" s="80">
        <f>IF($A474="","",SUMIFS(tblInv[المتبقي],tblInv[كود العميل],$A474,tblInv[الفترة],D$7))</f>
        <v/>
      </c>
      <c r="E474" s="80">
        <f>IF($A474="","",SUMIFS(tblInv[المتبقي],tblInv[كود العميل],$A474,tblInv[الفترة],E$7))</f>
        <v/>
      </c>
      <c r="F474" s="80">
        <f>IF($A474="","",SUMIFS(tblInv[المتبقي],tblInv[كود العميل],$A474,tblInv[الفترة],F$7))</f>
        <v/>
      </c>
      <c r="G474" s="80">
        <f>IF($A474="","",SUMIFS(tblInv[المتبقي],tblInv[كود العميل],$A474,tblInv[الفترة],G$7))</f>
        <v/>
      </c>
      <c r="H474" s="80">
        <f>IF($A474="","",SUMIFS(tblInv[المتبقي],tblInv[كود العميل],$A474,tblInv[الفترة],H$7))</f>
        <v/>
      </c>
      <c r="I474" s="80">
        <f>IF($A474="","",SUMIFS(tblInv[المتبقي],tblInv[كود العميل],$A474,tblInv[الفترة],I$7))</f>
        <v/>
      </c>
      <c r="J474" s="80">
        <f>IF($A474="","",SUM(C474:I474))</f>
        <v/>
      </c>
      <c r="K474" s="80">
        <f>IF($A474="","",-SUMIFS(tblRec[المبلغ],tblRec[كود العميل],$A474,tblRec[رقم الفاتورة],"",tblRec[التاريخ],"&lt;="&amp;AsOf)+SUMIFS(tblInv[المتبقي],tblInv[كود العميل],$A474,tblInv[المتبقي],"&lt;0"))</f>
        <v/>
      </c>
      <c r="L474" s="81">
        <f>IF($A474="","",J474+K474)</f>
        <v/>
      </c>
      <c r="M474" s="82">
        <f>IF($A474="","",IFERROR(L474/$L$8,0))</f>
        <v/>
      </c>
      <c r="N474" s="80">
        <f>IF($A474="","",INDEX(tblCustomers[حد الائتمان],MATCH($A474,tblCustomers[كود العميل],0)))</f>
        <v/>
      </c>
      <c r="O474" s="83">
        <f>IF($A474="","",IF(AND(N474&gt;0,L474&gt;N474),"⛔",""))</f>
        <v/>
      </c>
    </row>
    <row r="475">
      <c r="A475" s="78">
        <f>IFERROR(INDEX(tblCustomers[كود العميل],MATCH(466,tblCustomers[ترتيب],0)),"")</f>
        <v/>
      </c>
      <c r="B475" s="79">
        <f>IF($A475="","",INDEX(tblCustomers[اسم العميل],MATCH($A475,tblCustomers[كود العميل],0)))</f>
        <v/>
      </c>
      <c r="C475" s="80">
        <f>IF($A475="","",SUMIFS(tblInv[المتبقي],tblInv[كود العميل],$A475,tblInv[الفترة],C$7))</f>
        <v/>
      </c>
      <c r="D475" s="80">
        <f>IF($A475="","",SUMIFS(tblInv[المتبقي],tblInv[كود العميل],$A475,tblInv[الفترة],D$7))</f>
        <v/>
      </c>
      <c r="E475" s="80">
        <f>IF($A475="","",SUMIFS(tblInv[المتبقي],tblInv[كود العميل],$A475,tblInv[الفترة],E$7))</f>
        <v/>
      </c>
      <c r="F475" s="80">
        <f>IF($A475="","",SUMIFS(tblInv[المتبقي],tblInv[كود العميل],$A475,tblInv[الفترة],F$7))</f>
        <v/>
      </c>
      <c r="G475" s="80">
        <f>IF($A475="","",SUMIFS(tblInv[المتبقي],tblInv[كود العميل],$A475,tblInv[الفترة],G$7))</f>
        <v/>
      </c>
      <c r="H475" s="80">
        <f>IF($A475="","",SUMIFS(tblInv[المتبقي],tblInv[كود العميل],$A475,tblInv[الفترة],H$7))</f>
        <v/>
      </c>
      <c r="I475" s="80">
        <f>IF($A475="","",SUMIFS(tblInv[المتبقي],tblInv[كود العميل],$A475,tblInv[الفترة],I$7))</f>
        <v/>
      </c>
      <c r="J475" s="80">
        <f>IF($A475="","",SUM(C475:I475))</f>
        <v/>
      </c>
      <c r="K475" s="80">
        <f>IF($A475="","",-SUMIFS(tblRec[المبلغ],tblRec[كود العميل],$A475,tblRec[رقم الفاتورة],"",tblRec[التاريخ],"&lt;="&amp;AsOf)+SUMIFS(tblInv[المتبقي],tblInv[كود العميل],$A475,tblInv[المتبقي],"&lt;0"))</f>
        <v/>
      </c>
      <c r="L475" s="81">
        <f>IF($A475="","",J475+K475)</f>
        <v/>
      </c>
      <c r="M475" s="82">
        <f>IF($A475="","",IFERROR(L475/$L$8,0))</f>
        <v/>
      </c>
      <c r="N475" s="80">
        <f>IF($A475="","",INDEX(tblCustomers[حد الائتمان],MATCH($A475,tblCustomers[كود العميل],0)))</f>
        <v/>
      </c>
      <c r="O475" s="83">
        <f>IF($A475="","",IF(AND(N475&gt;0,L475&gt;N475),"⛔",""))</f>
        <v/>
      </c>
    </row>
    <row r="476">
      <c r="A476" s="78">
        <f>IFERROR(INDEX(tblCustomers[كود العميل],MATCH(467,tblCustomers[ترتيب],0)),"")</f>
        <v/>
      </c>
      <c r="B476" s="79">
        <f>IF($A476="","",INDEX(tblCustomers[اسم العميل],MATCH($A476,tblCustomers[كود العميل],0)))</f>
        <v/>
      </c>
      <c r="C476" s="80">
        <f>IF($A476="","",SUMIFS(tblInv[المتبقي],tblInv[كود العميل],$A476,tblInv[الفترة],C$7))</f>
        <v/>
      </c>
      <c r="D476" s="80">
        <f>IF($A476="","",SUMIFS(tblInv[المتبقي],tblInv[كود العميل],$A476,tblInv[الفترة],D$7))</f>
        <v/>
      </c>
      <c r="E476" s="80">
        <f>IF($A476="","",SUMIFS(tblInv[المتبقي],tblInv[كود العميل],$A476,tblInv[الفترة],E$7))</f>
        <v/>
      </c>
      <c r="F476" s="80">
        <f>IF($A476="","",SUMIFS(tblInv[المتبقي],tblInv[كود العميل],$A476,tblInv[الفترة],F$7))</f>
        <v/>
      </c>
      <c r="G476" s="80">
        <f>IF($A476="","",SUMIFS(tblInv[المتبقي],tblInv[كود العميل],$A476,tblInv[الفترة],G$7))</f>
        <v/>
      </c>
      <c r="H476" s="80">
        <f>IF($A476="","",SUMIFS(tblInv[المتبقي],tblInv[كود العميل],$A476,tblInv[الفترة],H$7))</f>
        <v/>
      </c>
      <c r="I476" s="80">
        <f>IF($A476="","",SUMIFS(tblInv[المتبقي],tblInv[كود العميل],$A476,tblInv[الفترة],I$7))</f>
        <v/>
      </c>
      <c r="J476" s="80">
        <f>IF($A476="","",SUM(C476:I476))</f>
        <v/>
      </c>
      <c r="K476" s="80">
        <f>IF($A476="","",-SUMIFS(tblRec[المبلغ],tblRec[كود العميل],$A476,tblRec[رقم الفاتورة],"",tblRec[التاريخ],"&lt;="&amp;AsOf)+SUMIFS(tblInv[المتبقي],tblInv[كود العميل],$A476,tblInv[المتبقي],"&lt;0"))</f>
        <v/>
      </c>
      <c r="L476" s="81">
        <f>IF($A476="","",J476+K476)</f>
        <v/>
      </c>
      <c r="M476" s="82">
        <f>IF($A476="","",IFERROR(L476/$L$8,0))</f>
        <v/>
      </c>
      <c r="N476" s="80">
        <f>IF($A476="","",INDEX(tblCustomers[حد الائتمان],MATCH($A476,tblCustomers[كود العميل],0)))</f>
        <v/>
      </c>
      <c r="O476" s="83">
        <f>IF($A476="","",IF(AND(N476&gt;0,L476&gt;N476),"⛔",""))</f>
        <v/>
      </c>
    </row>
    <row r="477">
      <c r="A477" s="78">
        <f>IFERROR(INDEX(tblCustomers[كود العميل],MATCH(468,tblCustomers[ترتيب],0)),"")</f>
        <v/>
      </c>
      <c r="B477" s="79">
        <f>IF($A477="","",INDEX(tblCustomers[اسم العميل],MATCH($A477,tblCustomers[كود العميل],0)))</f>
        <v/>
      </c>
      <c r="C477" s="80">
        <f>IF($A477="","",SUMIFS(tblInv[المتبقي],tblInv[كود العميل],$A477,tblInv[الفترة],C$7))</f>
        <v/>
      </c>
      <c r="D477" s="80">
        <f>IF($A477="","",SUMIFS(tblInv[المتبقي],tblInv[كود العميل],$A477,tblInv[الفترة],D$7))</f>
        <v/>
      </c>
      <c r="E477" s="80">
        <f>IF($A477="","",SUMIFS(tblInv[المتبقي],tblInv[كود العميل],$A477,tblInv[الفترة],E$7))</f>
        <v/>
      </c>
      <c r="F477" s="80">
        <f>IF($A477="","",SUMIFS(tblInv[المتبقي],tblInv[كود العميل],$A477,tblInv[الفترة],F$7))</f>
        <v/>
      </c>
      <c r="G477" s="80">
        <f>IF($A477="","",SUMIFS(tblInv[المتبقي],tblInv[كود العميل],$A477,tblInv[الفترة],G$7))</f>
        <v/>
      </c>
      <c r="H477" s="80">
        <f>IF($A477="","",SUMIFS(tblInv[المتبقي],tblInv[كود العميل],$A477,tblInv[الفترة],H$7))</f>
        <v/>
      </c>
      <c r="I477" s="80">
        <f>IF($A477="","",SUMIFS(tblInv[المتبقي],tblInv[كود العميل],$A477,tblInv[الفترة],I$7))</f>
        <v/>
      </c>
      <c r="J477" s="80">
        <f>IF($A477="","",SUM(C477:I477))</f>
        <v/>
      </c>
      <c r="K477" s="80">
        <f>IF($A477="","",-SUMIFS(tblRec[المبلغ],tblRec[كود العميل],$A477,tblRec[رقم الفاتورة],"",tblRec[التاريخ],"&lt;="&amp;AsOf)+SUMIFS(tblInv[المتبقي],tblInv[كود العميل],$A477,tblInv[المتبقي],"&lt;0"))</f>
        <v/>
      </c>
      <c r="L477" s="81">
        <f>IF($A477="","",J477+K477)</f>
        <v/>
      </c>
      <c r="M477" s="82">
        <f>IF($A477="","",IFERROR(L477/$L$8,0))</f>
        <v/>
      </c>
      <c r="N477" s="80">
        <f>IF($A477="","",INDEX(tblCustomers[حد الائتمان],MATCH($A477,tblCustomers[كود العميل],0)))</f>
        <v/>
      </c>
      <c r="O477" s="83">
        <f>IF($A477="","",IF(AND(N477&gt;0,L477&gt;N477),"⛔",""))</f>
        <v/>
      </c>
    </row>
    <row r="478">
      <c r="A478" s="78">
        <f>IFERROR(INDEX(tblCustomers[كود العميل],MATCH(469,tblCustomers[ترتيب],0)),"")</f>
        <v/>
      </c>
      <c r="B478" s="79">
        <f>IF($A478="","",INDEX(tblCustomers[اسم العميل],MATCH($A478,tblCustomers[كود العميل],0)))</f>
        <v/>
      </c>
      <c r="C478" s="80">
        <f>IF($A478="","",SUMIFS(tblInv[المتبقي],tblInv[كود العميل],$A478,tblInv[الفترة],C$7))</f>
        <v/>
      </c>
      <c r="D478" s="80">
        <f>IF($A478="","",SUMIFS(tblInv[المتبقي],tblInv[كود العميل],$A478,tblInv[الفترة],D$7))</f>
        <v/>
      </c>
      <c r="E478" s="80">
        <f>IF($A478="","",SUMIFS(tblInv[المتبقي],tblInv[كود العميل],$A478,tblInv[الفترة],E$7))</f>
        <v/>
      </c>
      <c r="F478" s="80">
        <f>IF($A478="","",SUMIFS(tblInv[المتبقي],tblInv[كود العميل],$A478,tblInv[الفترة],F$7))</f>
        <v/>
      </c>
      <c r="G478" s="80">
        <f>IF($A478="","",SUMIFS(tblInv[المتبقي],tblInv[كود العميل],$A478,tblInv[الفترة],G$7))</f>
        <v/>
      </c>
      <c r="H478" s="80">
        <f>IF($A478="","",SUMIFS(tblInv[المتبقي],tblInv[كود العميل],$A478,tblInv[الفترة],H$7))</f>
        <v/>
      </c>
      <c r="I478" s="80">
        <f>IF($A478="","",SUMIFS(tblInv[المتبقي],tblInv[كود العميل],$A478,tblInv[الفترة],I$7))</f>
        <v/>
      </c>
      <c r="J478" s="80">
        <f>IF($A478="","",SUM(C478:I478))</f>
        <v/>
      </c>
      <c r="K478" s="80">
        <f>IF($A478="","",-SUMIFS(tblRec[المبلغ],tblRec[كود العميل],$A478,tblRec[رقم الفاتورة],"",tblRec[التاريخ],"&lt;="&amp;AsOf)+SUMIFS(tblInv[المتبقي],tblInv[كود العميل],$A478,tblInv[المتبقي],"&lt;0"))</f>
        <v/>
      </c>
      <c r="L478" s="81">
        <f>IF($A478="","",J478+K478)</f>
        <v/>
      </c>
      <c r="M478" s="82">
        <f>IF($A478="","",IFERROR(L478/$L$8,0))</f>
        <v/>
      </c>
      <c r="N478" s="80">
        <f>IF($A478="","",INDEX(tblCustomers[حد الائتمان],MATCH($A478,tblCustomers[كود العميل],0)))</f>
        <v/>
      </c>
      <c r="O478" s="83">
        <f>IF($A478="","",IF(AND(N478&gt;0,L478&gt;N478),"⛔",""))</f>
        <v/>
      </c>
    </row>
    <row r="479">
      <c r="A479" s="78">
        <f>IFERROR(INDEX(tblCustomers[كود العميل],MATCH(470,tblCustomers[ترتيب],0)),"")</f>
        <v/>
      </c>
      <c r="B479" s="79">
        <f>IF($A479="","",INDEX(tblCustomers[اسم العميل],MATCH($A479,tblCustomers[كود العميل],0)))</f>
        <v/>
      </c>
      <c r="C479" s="80">
        <f>IF($A479="","",SUMIFS(tblInv[المتبقي],tblInv[كود العميل],$A479,tblInv[الفترة],C$7))</f>
        <v/>
      </c>
      <c r="D479" s="80">
        <f>IF($A479="","",SUMIFS(tblInv[المتبقي],tblInv[كود العميل],$A479,tblInv[الفترة],D$7))</f>
        <v/>
      </c>
      <c r="E479" s="80">
        <f>IF($A479="","",SUMIFS(tblInv[المتبقي],tblInv[كود العميل],$A479,tblInv[الفترة],E$7))</f>
        <v/>
      </c>
      <c r="F479" s="80">
        <f>IF($A479="","",SUMIFS(tblInv[المتبقي],tblInv[كود العميل],$A479,tblInv[الفترة],F$7))</f>
        <v/>
      </c>
      <c r="G479" s="80">
        <f>IF($A479="","",SUMIFS(tblInv[المتبقي],tblInv[كود العميل],$A479,tblInv[الفترة],G$7))</f>
        <v/>
      </c>
      <c r="H479" s="80">
        <f>IF($A479="","",SUMIFS(tblInv[المتبقي],tblInv[كود العميل],$A479,tblInv[الفترة],H$7))</f>
        <v/>
      </c>
      <c r="I479" s="80">
        <f>IF($A479="","",SUMIFS(tblInv[المتبقي],tblInv[كود العميل],$A479,tblInv[الفترة],I$7))</f>
        <v/>
      </c>
      <c r="J479" s="80">
        <f>IF($A479="","",SUM(C479:I479))</f>
        <v/>
      </c>
      <c r="K479" s="80">
        <f>IF($A479="","",-SUMIFS(tblRec[المبلغ],tblRec[كود العميل],$A479,tblRec[رقم الفاتورة],"",tblRec[التاريخ],"&lt;="&amp;AsOf)+SUMIFS(tblInv[المتبقي],tblInv[كود العميل],$A479,tblInv[المتبقي],"&lt;0"))</f>
        <v/>
      </c>
      <c r="L479" s="81">
        <f>IF($A479="","",J479+K479)</f>
        <v/>
      </c>
      <c r="M479" s="82">
        <f>IF($A479="","",IFERROR(L479/$L$8,0))</f>
        <v/>
      </c>
      <c r="N479" s="80">
        <f>IF($A479="","",INDEX(tblCustomers[حد الائتمان],MATCH($A479,tblCustomers[كود العميل],0)))</f>
        <v/>
      </c>
      <c r="O479" s="83">
        <f>IF($A479="","",IF(AND(N479&gt;0,L479&gt;N479),"⛔",""))</f>
        <v/>
      </c>
    </row>
    <row r="480">
      <c r="A480" s="78">
        <f>IFERROR(INDEX(tblCustomers[كود العميل],MATCH(471,tblCustomers[ترتيب],0)),"")</f>
        <v/>
      </c>
      <c r="B480" s="79">
        <f>IF($A480="","",INDEX(tblCustomers[اسم العميل],MATCH($A480,tblCustomers[كود العميل],0)))</f>
        <v/>
      </c>
      <c r="C480" s="80">
        <f>IF($A480="","",SUMIFS(tblInv[المتبقي],tblInv[كود العميل],$A480,tblInv[الفترة],C$7))</f>
        <v/>
      </c>
      <c r="D480" s="80">
        <f>IF($A480="","",SUMIFS(tblInv[المتبقي],tblInv[كود العميل],$A480,tblInv[الفترة],D$7))</f>
        <v/>
      </c>
      <c r="E480" s="80">
        <f>IF($A480="","",SUMIFS(tblInv[المتبقي],tblInv[كود العميل],$A480,tblInv[الفترة],E$7))</f>
        <v/>
      </c>
      <c r="F480" s="80">
        <f>IF($A480="","",SUMIFS(tblInv[المتبقي],tblInv[كود العميل],$A480,tblInv[الفترة],F$7))</f>
        <v/>
      </c>
      <c r="G480" s="80">
        <f>IF($A480="","",SUMIFS(tblInv[المتبقي],tblInv[كود العميل],$A480,tblInv[الفترة],G$7))</f>
        <v/>
      </c>
      <c r="H480" s="80">
        <f>IF($A480="","",SUMIFS(tblInv[المتبقي],tblInv[كود العميل],$A480,tblInv[الفترة],H$7))</f>
        <v/>
      </c>
      <c r="I480" s="80">
        <f>IF($A480="","",SUMIFS(tblInv[المتبقي],tblInv[كود العميل],$A480,tblInv[الفترة],I$7))</f>
        <v/>
      </c>
      <c r="J480" s="80">
        <f>IF($A480="","",SUM(C480:I480))</f>
        <v/>
      </c>
      <c r="K480" s="80">
        <f>IF($A480="","",-SUMIFS(tblRec[المبلغ],tblRec[كود العميل],$A480,tblRec[رقم الفاتورة],"",tblRec[التاريخ],"&lt;="&amp;AsOf)+SUMIFS(tblInv[المتبقي],tblInv[كود العميل],$A480,tblInv[المتبقي],"&lt;0"))</f>
        <v/>
      </c>
      <c r="L480" s="81">
        <f>IF($A480="","",J480+K480)</f>
        <v/>
      </c>
      <c r="M480" s="82">
        <f>IF($A480="","",IFERROR(L480/$L$8,0))</f>
        <v/>
      </c>
      <c r="N480" s="80">
        <f>IF($A480="","",INDEX(tblCustomers[حد الائتمان],MATCH($A480,tblCustomers[كود العميل],0)))</f>
        <v/>
      </c>
      <c r="O480" s="83">
        <f>IF($A480="","",IF(AND(N480&gt;0,L480&gt;N480),"⛔",""))</f>
        <v/>
      </c>
    </row>
    <row r="481">
      <c r="A481" s="78">
        <f>IFERROR(INDEX(tblCustomers[كود العميل],MATCH(472,tblCustomers[ترتيب],0)),"")</f>
        <v/>
      </c>
      <c r="B481" s="79">
        <f>IF($A481="","",INDEX(tblCustomers[اسم العميل],MATCH($A481,tblCustomers[كود العميل],0)))</f>
        <v/>
      </c>
      <c r="C481" s="80">
        <f>IF($A481="","",SUMIFS(tblInv[المتبقي],tblInv[كود العميل],$A481,tblInv[الفترة],C$7))</f>
        <v/>
      </c>
      <c r="D481" s="80">
        <f>IF($A481="","",SUMIFS(tblInv[المتبقي],tblInv[كود العميل],$A481,tblInv[الفترة],D$7))</f>
        <v/>
      </c>
      <c r="E481" s="80">
        <f>IF($A481="","",SUMIFS(tblInv[المتبقي],tblInv[كود العميل],$A481,tblInv[الفترة],E$7))</f>
        <v/>
      </c>
      <c r="F481" s="80">
        <f>IF($A481="","",SUMIFS(tblInv[المتبقي],tblInv[كود العميل],$A481,tblInv[الفترة],F$7))</f>
        <v/>
      </c>
      <c r="G481" s="80">
        <f>IF($A481="","",SUMIFS(tblInv[المتبقي],tblInv[كود العميل],$A481,tblInv[الفترة],G$7))</f>
        <v/>
      </c>
      <c r="H481" s="80">
        <f>IF($A481="","",SUMIFS(tblInv[المتبقي],tblInv[كود العميل],$A481,tblInv[الفترة],H$7))</f>
        <v/>
      </c>
      <c r="I481" s="80">
        <f>IF($A481="","",SUMIFS(tblInv[المتبقي],tblInv[كود العميل],$A481,tblInv[الفترة],I$7))</f>
        <v/>
      </c>
      <c r="J481" s="80">
        <f>IF($A481="","",SUM(C481:I481))</f>
        <v/>
      </c>
      <c r="K481" s="80">
        <f>IF($A481="","",-SUMIFS(tblRec[المبلغ],tblRec[كود العميل],$A481,tblRec[رقم الفاتورة],"",tblRec[التاريخ],"&lt;="&amp;AsOf)+SUMIFS(tblInv[المتبقي],tblInv[كود العميل],$A481,tblInv[المتبقي],"&lt;0"))</f>
        <v/>
      </c>
      <c r="L481" s="81">
        <f>IF($A481="","",J481+K481)</f>
        <v/>
      </c>
      <c r="M481" s="82">
        <f>IF($A481="","",IFERROR(L481/$L$8,0))</f>
        <v/>
      </c>
      <c r="N481" s="80">
        <f>IF($A481="","",INDEX(tblCustomers[حد الائتمان],MATCH($A481,tblCustomers[كود العميل],0)))</f>
        <v/>
      </c>
      <c r="O481" s="83">
        <f>IF($A481="","",IF(AND(N481&gt;0,L481&gt;N481),"⛔",""))</f>
        <v/>
      </c>
    </row>
    <row r="482">
      <c r="A482" s="78">
        <f>IFERROR(INDEX(tblCustomers[كود العميل],MATCH(473,tblCustomers[ترتيب],0)),"")</f>
        <v/>
      </c>
      <c r="B482" s="79">
        <f>IF($A482="","",INDEX(tblCustomers[اسم العميل],MATCH($A482,tblCustomers[كود العميل],0)))</f>
        <v/>
      </c>
      <c r="C482" s="80">
        <f>IF($A482="","",SUMIFS(tblInv[المتبقي],tblInv[كود العميل],$A482,tblInv[الفترة],C$7))</f>
        <v/>
      </c>
      <c r="D482" s="80">
        <f>IF($A482="","",SUMIFS(tblInv[المتبقي],tblInv[كود العميل],$A482,tblInv[الفترة],D$7))</f>
        <v/>
      </c>
      <c r="E482" s="80">
        <f>IF($A482="","",SUMIFS(tblInv[المتبقي],tblInv[كود العميل],$A482,tblInv[الفترة],E$7))</f>
        <v/>
      </c>
      <c r="F482" s="80">
        <f>IF($A482="","",SUMIFS(tblInv[المتبقي],tblInv[كود العميل],$A482,tblInv[الفترة],F$7))</f>
        <v/>
      </c>
      <c r="G482" s="80">
        <f>IF($A482="","",SUMIFS(tblInv[المتبقي],tblInv[كود العميل],$A482,tblInv[الفترة],G$7))</f>
        <v/>
      </c>
      <c r="H482" s="80">
        <f>IF($A482="","",SUMIFS(tblInv[المتبقي],tblInv[كود العميل],$A482,tblInv[الفترة],H$7))</f>
        <v/>
      </c>
      <c r="I482" s="80">
        <f>IF($A482="","",SUMIFS(tblInv[المتبقي],tblInv[كود العميل],$A482,tblInv[الفترة],I$7))</f>
        <v/>
      </c>
      <c r="J482" s="80">
        <f>IF($A482="","",SUM(C482:I482))</f>
        <v/>
      </c>
      <c r="K482" s="80">
        <f>IF($A482="","",-SUMIFS(tblRec[المبلغ],tblRec[كود العميل],$A482,tblRec[رقم الفاتورة],"",tblRec[التاريخ],"&lt;="&amp;AsOf)+SUMIFS(tblInv[المتبقي],tblInv[كود العميل],$A482,tblInv[المتبقي],"&lt;0"))</f>
        <v/>
      </c>
      <c r="L482" s="81">
        <f>IF($A482="","",J482+K482)</f>
        <v/>
      </c>
      <c r="M482" s="82">
        <f>IF($A482="","",IFERROR(L482/$L$8,0))</f>
        <v/>
      </c>
      <c r="N482" s="80">
        <f>IF($A482="","",INDEX(tblCustomers[حد الائتمان],MATCH($A482,tblCustomers[كود العميل],0)))</f>
        <v/>
      </c>
      <c r="O482" s="83">
        <f>IF($A482="","",IF(AND(N482&gt;0,L482&gt;N482),"⛔",""))</f>
        <v/>
      </c>
    </row>
    <row r="483">
      <c r="A483" s="78">
        <f>IFERROR(INDEX(tblCustomers[كود العميل],MATCH(474,tblCustomers[ترتيب],0)),"")</f>
        <v/>
      </c>
      <c r="B483" s="79">
        <f>IF($A483="","",INDEX(tblCustomers[اسم العميل],MATCH($A483,tblCustomers[كود العميل],0)))</f>
        <v/>
      </c>
      <c r="C483" s="80">
        <f>IF($A483="","",SUMIFS(tblInv[المتبقي],tblInv[كود العميل],$A483,tblInv[الفترة],C$7))</f>
        <v/>
      </c>
      <c r="D483" s="80">
        <f>IF($A483="","",SUMIFS(tblInv[المتبقي],tblInv[كود العميل],$A483,tblInv[الفترة],D$7))</f>
        <v/>
      </c>
      <c r="E483" s="80">
        <f>IF($A483="","",SUMIFS(tblInv[المتبقي],tblInv[كود العميل],$A483,tblInv[الفترة],E$7))</f>
        <v/>
      </c>
      <c r="F483" s="80">
        <f>IF($A483="","",SUMIFS(tblInv[المتبقي],tblInv[كود العميل],$A483,tblInv[الفترة],F$7))</f>
        <v/>
      </c>
      <c r="G483" s="80">
        <f>IF($A483="","",SUMIFS(tblInv[المتبقي],tblInv[كود العميل],$A483,tblInv[الفترة],G$7))</f>
        <v/>
      </c>
      <c r="H483" s="80">
        <f>IF($A483="","",SUMIFS(tblInv[المتبقي],tblInv[كود العميل],$A483,tblInv[الفترة],H$7))</f>
        <v/>
      </c>
      <c r="I483" s="80">
        <f>IF($A483="","",SUMIFS(tblInv[المتبقي],tblInv[كود العميل],$A483,tblInv[الفترة],I$7))</f>
        <v/>
      </c>
      <c r="J483" s="80">
        <f>IF($A483="","",SUM(C483:I483))</f>
        <v/>
      </c>
      <c r="K483" s="80">
        <f>IF($A483="","",-SUMIFS(tblRec[المبلغ],tblRec[كود العميل],$A483,tblRec[رقم الفاتورة],"",tblRec[التاريخ],"&lt;="&amp;AsOf)+SUMIFS(tblInv[المتبقي],tblInv[كود العميل],$A483,tblInv[المتبقي],"&lt;0"))</f>
        <v/>
      </c>
      <c r="L483" s="81">
        <f>IF($A483="","",J483+K483)</f>
        <v/>
      </c>
      <c r="M483" s="82">
        <f>IF($A483="","",IFERROR(L483/$L$8,0))</f>
        <v/>
      </c>
      <c r="N483" s="80">
        <f>IF($A483="","",INDEX(tblCustomers[حد الائتمان],MATCH($A483,tblCustomers[كود العميل],0)))</f>
        <v/>
      </c>
      <c r="O483" s="83">
        <f>IF($A483="","",IF(AND(N483&gt;0,L483&gt;N483),"⛔",""))</f>
        <v/>
      </c>
    </row>
    <row r="484">
      <c r="A484" s="78">
        <f>IFERROR(INDEX(tblCustomers[كود العميل],MATCH(475,tblCustomers[ترتيب],0)),"")</f>
        <v/>
      </c>
      <c r="B484" s="79">
        <f>IF($A484="","",INDEX(tblCustomers[اسم العميل],MATCH($A484,tblCustomers[كود العميل],0)))</f>
        <v/>
      </c>
      <c r="C484" s="80">
        <f>IF($A484="","",SUMIFS(tblInv[المتبقي],tblInv[كود العميل],$A484,tblInv[الفترة],C$7))</f>
        <v/>
      </c>
      <c r="D484" s="80">
        <f>IF($A484="","",SUMIFS(tblInv[المتبقي],tblInv[كود العميل],$A484,tblInv[الفترة],D$7))</f>
        <v/>
      </c>
      <c r="E484" s="80">
        <f>IF($A484="","",SUMIFS(tblInv[المتبقي],tblInv[كود العميل],$A484,tblInv[الفترة],E$7))</f>
        <v/>
      </c>
      <c r="F484" s="80">
        <f>IF($A484="","",SUMIFS(tblInv[المتبقي],tblInv[كود العميل],$A484,tblInv[الفترة],F$7))</f>
        <v/>
      </c>
      <c r="G484" s="80">
        <f>IF($A484="","",SUMIFS(tblInv[المتبقي],tblInv[كود العميل],$A484,tblInv[الفترة],G$7))</f>
        <v/>
      </c>
      <c r="H484" s="80">
        <f>IF($A484="","",SUMIFS(tblInv[المتبقي],tblInv[كود العميل],$A484,tblInv[الفترة],H$7))</f>
        <v/>
      </c>
      <c r="I484" s="80">
        <f>IF($A484="","",SUMIFS(tblInv[المتبقي],tblInv[كود العميل],$A484,tblInv[الفترة],I$7))</f>
        <v/>
      </c>
      <c r="J484" s="80">
        <f>IF($A484="","",SUM(C484:I484))</f>
        <v/>
      </c>
      <c r="K484" s="80">
        <f>IF($A484="","",-SUMIFS(tblRec[المبلغ],tblRec[كود العميل],$A484,tblRec[رقم الفاتورة],"",tblRec[التاريخ],"&lt;="&amp;AsOf)+SUMIFS(tblInv[المتبقي],tblInv[كود العميل],$A484,tblInv[المتبقي],"&lt;0"))</f>
        <v/>
      </c>
      <c r="L484" s="81">
        <f>IF($A484="","",J484+K484)</f>
        <v/>
      </c>
      <c r="M484" s="82">
        <f>IF($A484="","",IFERROR(L484/$L$8,0))</f>
        <v/>
      </c>
      <c r="N484" s="80">
        <f>IF($A484="","",INDEX(tblCustomers[حد الائتمان],MATCH($A484,tblCustomers[كود العميل],0)))</f>
        <v/>
      </c>
      <c r="O484" s="83">
        <f>IF($A484="","",IF(AND(N484&gt;0,L484&gt;N484),"⛔",""))</f>
        <v/>
      </c>
    </row>
    <row r="485">
      <c r="A485" s="78">
        <f>IFERROR(INDEX(tblCustomers[كود العميل],MATCH(476,tblCustomers[ترتيب],0)),"")</f>
        <v/>
      </c>
      <c r="B485" s="79">
        <f>IF($A485="","",INDEX(tblCustomers[اسم العميل],MATCH($A485,tblCustomers[كود العميل],0)))</f>
        <v/>
      </c>
      <c r="C485" s="80">
        <f>IF($A485="","",SUMIFS(tblInv[المتبقي],tblInv[كود العميل],$A485,tblInv[الفترة],C$7))</f>
        <v/>
      </c>
      <c r="D485" s="80">
        <f>IF($A485="","",SUMIFS(tblInv[المتبقي],tblInv[كود العميل],$A485,tblInv[الفترة],D$7))</f>
        <v/>
      </c>
      <c r="E485" s="80">
        <f>IF($A485="","",SUMIFS(tblInv[المتبقي],tblInv[كود العميل],$A485,tblInv[الفترة],E$7))</f>
        <v/>
      </c>
      <c r="F485" s="80">
        <f>IF($A485="","",SUMIFS(tblInv[المتبقي],tblInv[كود العميل],$A485,tblInv[الفترة],F$7))</f>
        <v/>
      </c>
      <c r="G485" s="80">
        <f>IF($A485="","",SUMIFS(tblInv[المتبقي],tblInv[كود العميل],$A485,tblInv[الفترة],G$7))</f>
        <v/>
      </c>
      <c r="H485" s="80">
        <f>IF($A485="","",SUMIFS(tblInv[المتبقي],tblInv[كود العميل],$A485,tblInv[الفترة],H$7))</f>
        <v/>
      </c>
      <c r="I485" s="80">
        <f>IF($A485="","",SUMIFS(tblInv[المتبقي],tblInv[كود العميل],$A485,tblInv[الفترة],I$7))</f>
        <v/>
      </c>
      <c r="J485" s="80">
        <f>IF($A485="","",SUM(C485:I485))</f>
        <v/>
      </c>
      <c r="K485" s="80">
        <f>IF($A485="","",-SUMIFS(tblRec[المبلغ],tblRec[كود العميل],$A485,tblRec[رقم الفاتورة],"",tblRec[التاريخ],"&lt;="&amp;AsOf)+SUMIFS(tblInv[المتبقي],tblInv[كود العميل],$A485,tblInv[المتبقي],"&lt;0"))</f>
        <v/>
      </c>
      <c r="L485" s="81">
        <f>IF($A485="","",J485+K485)</f>
        <v/>
      </c>
      <c r="M485" s="82">
        <f>IF($A485="","",IFERROR(L485/$L$8,0))</f>
        <v/>
      </c>
      <c r="N485" s="80">
        <f>IF($A485="","",INDEX(tblCustomers[حد الائتمان],MATCH($A485,tblCustomers[كود العميل],0)))</f>
        <v/>
      </c>
      <c r="O485" s="83">
        <f>IF($A485="","",IF(AND(N485&gt;0,L485&gt;N485),"⛔",""))</f>
        <v/>
      </c>
    </row>
    <row r="486">
      <c r="A486" s="78">
        <f>IFERROR(INDEX(tblCustomers[كود العميل],MATCH(477,tblCustomers[ترتيب],0)),"")</f>
        <v/>
      </c>
      <c r="B486" s="79">
        <f>IF($A486="","",INDEX(tblCustomers[اسم العميل],MATCH($A486,tblCustomers[كود العميل],0)))</f>
        <v/>
      </c>
      <c r="C486" s="80">
        <f>IF($A486="","",SUMIFS(tblInv[المتبقي],tblInv[كود العميل],$A486,tblInv[الفترة],C$7))</f>
        <v/>
      </c>
      <c r="D486" s="80">
        <f>IF($A486="","",SUMIFS(tblInv[المتبقي],tblInv[كود العميل],$A486,tblInv[الفترة],D$7))</f>
        <v/>
      </c>
      <c r="E486" s="80">
        <f>IF($A486="","",SUMIFS(tblInv[المتبقي],tblInv[كود العميل],$A486,tblInv[الفترة],E$7))</f>
        <v/>
      </c>
      <c r="F486" s="80">
        <f>IF($A486="","",SUMIFS(tblInv[المتبقي],tblInv[كود العميل],$A486,tblInv[الفترة],F$7))</f>
        <v/>
      </c>
      <c r="G486" s="80">
        <f>IF($A486="","",SUMIFS(tblInv[المتبقي],tblInv[كود العميل],$A486,tblInv[الفترة],G$7))</f>
        <v/>
      </c>
      <c r="H486" s="80">
        <f>IF($A486="","",SUMIFS(tblInv[المتبقي],tblInv[كود العميل],$A486,tblInv[الفترة],H$7))</f>
        <v/>
      </c>
      <c r="I486" s="80">
        <f>IF($A486="","",SUMIFS(tblInv[المتبقي],tblInv[كود العميل],$A486,tblInv[الفترة],I$7))</f>
        <v/>
      </c>
      <c r="J486" s="80">
        <f>IF($A486="","",SUM(C486:I486))</f>
        <v/>
      </c>
      <c r="K486" s="80">
        <f>IF($A486="","",-SUMIFS(tblRec[المبلغ],tblRec[كود العميل],$A486,tblRec[رقم الفاتورة],"",tblRec[التاريخ],"&lt;="&amp;AsOf)+SUMIFS(tblInv[المتبقي],tblInv[كود العميل],$A486,tblInv[المتبقي],"&lt;0"))</f>
        <v/>
      </c>
      <c r="L486" s="81">
        <f>IF($A486="","",J486+K486)</f>
        <v/>
      </c>
      <c r="M486" s="82">
        <f>IF($A486="","",IFERROR(L486/$L$8,0))</f>
        <v/>
      </c>
      <c r="N486" s="80">
        <f>IF($A486="","",INDEX(tblCustomers[حد الائتمان],MATCH($A486,tblCustomers[كود العميل],0)))</f>
        <v/>
      </c>
      <c r="O486" s="83">
        <f>IF($A486="","",IF(AND(N486&gt;0,L486&gt;N486),"⛔",""))</f>
        <v/>
      </c>
    </row>
    <row r="487">
      <c r="A487" s="78">
        <f>IFERROR(INDEX(tblCustomers[كود العميل],MATCH(478,tblCustomers[ترتيب],0)),"")</f>
        <v/>
      </c>
      <c r="B487" s="79">
        <f>IF($A487="","",INDEX(tblCustomers[اسم العميل],MATCH($A487,tblCustomers[كود العميل],0)))</f>
        <v/>
      </c>
      <c r="C487" s="80">
        <f>IF($A487="","",SUMIFS(tblInv[المتبقي],tblInv[كود العميل],$A487,tblInv[الفترة],C$7))</f>
        <v/>
      </c>
      <c r="D487" s="80">
        <f>IF($A487="","",SUMIFS(tblInv[المتبقي],tblInv[كود العميل],$A487,tblInv[الفترة],D$7))</f>
        <v/>
      </c>
      <c r="E487" s="80">
        <f>IF($A487="","",SUMIFS(tblInv[المتبقي],tblInv[كود العميل],$A487,tblInv[الفترة],E$7))</f>
        <v/>
      </c>
      <c r="F487" s="80">
        <f>IF($A487="","",SUMIFS(tblInv[المتبقي],tblInv[كود العميل],$A487,tblInv[الفترة],F$7))</f>
        <v/>
      </c>
      <c r="G487" s="80">
        <f>IF($A487="","",SUMIFS(tblInv[المتبقي],tblInv[كود العميل],$A487,tblInv[الفترة],G$7))</f>
        <v/>
      </c>
      <c r="H487" s="80">
        <f>IF($A487="","",SUMIFS(tblInv[المتبقي],tblInv[كود العميل],$A487,tblInv[الفترة],H$7))</f>
        <v/>
      </c>
      <c r="I487" s="80">
        <f>IF($A487="","",SUMIFS(tblInv[المتبقي],tblInv[كود العميل],$A487,tblInv[الفترة],I$7))</f>
        <v/>
      </c>
      <c r="J487" s="80">
        <f>IF($A487="","",SUM(C487:I487))</f>
        <v/>
      </c>
      <c r="K487" s="80">
        <f>IF($A487="","",-SUMIFS(tblRec[المبلغ],tblRec[كود العميل],$A487,tblRec[رقم الفاتورة],"",tblRec[التاريخ],"&lt;="&amp;AsOf)+SUMIFS(tblInv[المتبقي],tblInv[كود العميل],$A487,tblInv[المتبقي],"&lt;0"))</f>
        <v/>
      </c>
      <c r="L487" s="81">
        <f>IF($A487="","",J487+K487)</f>
        <v/>
      </c>
      <c r="M487" s="82">
        <f>IF($A487="","",IFERROR(L487/$L$8,0))</f>
        <v/>
      </c>
      <c r="N487" s="80">
        <f>IF($A487="","",INDEX(tblCustomers[حد الائتمان],MATCH($A487,tblCustomers[كود العميل],0)))</f>
        <v/>
      </c>
      <c r="O487" s="83">
        <f>IF($A487="","",IF(AND(N487&gt;0,L487&gt;N487),"⛔",""))</f>
        <v/>
      </c>
    </row>
    <row r="488">
      <c r="A488" s="78">
        <f>IFERROR(INDEX(tblCustomers[كود العميل],MATCH(479,tblCustomers[ترتيب],0)),"")</f>
        <v/>
      </c>
      <c r="B488" s="79">
        <f>IF($A488="","",INDEX(tblCustomers[اسم العميل],MATCH($A488,tblCustomers[كود العميل],0)))</f>
        <v/>
      </c>
      <c r="C488" s="80">
        <f>IF($A488="","",SUMIFS(tblInv[المتبقي],tblInv[كود العميل],$A488,tblInv[الفترة],C$7))</f>
        <v/>
      </c>
      <c r="D488" s="80">
        <f>IF($A488="","",SUMIFS(tblInv[المتبقي],tblInv[كود العميل],$A488,tblInv[الفترة],D$7))</f>
        <v/>
      </c>
      <c r="E488" s="80">
        <f>IF($A488="","",SUMIFS(tblInv[المتبقي],tblInv[كود العميل],$A488,tblInv[الفترة],E$7))</f>
        <v/>
      </c>
      <c r="F488" s="80">
        <f>IF($A488="","",SUMIFS(tblInv[المتبقي],tblInv[كود العميل],$A488,tblInv[الفترة],F$7))</f>
        <v/>
      </c>
      <c r="G488" s="80">
        <f>IF($A488="","",SUMIFS(tblInv[المتبقي],tblInv[كود العميل],$A488,tblInv[الفترة],G$7))</f>
        <v/>
      </c>
      <c r="H488" s="80">
        <f>IF($A488="","",SUMIFS(tblInv[المتبقي],tblInv[كود العميل],$A488,tblInv[الفترة],H$7))</f>
        <v/>
      </c>
      <c r="I488" s="80">
        <f>IF($A488="","",SUMIFS(tblInv[المتبقي],tblInv[كود العميل],$A488,tblInv[الفترة],I$7))</f>
        <v/>
      </c>
      <c r="J488" s="80">
        <f>IF($A488="","",SUM(C488:I488))</f>
        <v/>
      </c>
      <c r="K488" s="80">
        <f>IF($A488="","",-SUMIFS(tblRec[المبلغ],tblRec[كود العميل],$A488,tblRec[رقم الفاتورة],"",tblRec[التاريخ],"&lt;="&amp;AsOf)+SUMIFS(tblInv[المتبقي],tblInv[كود العميل],$A488,tblInv[المتبقي],"&lt;0"))</f>
        <v/>
      </c>
      <c r="L488" s="81">
        <f>IF($A488="","",J488+K488)</f>
        <v/>
      </c>
      <c r="M488" s="82">
        <f>IF($A488="","",IFERROR(L488/$L$8,0))</f>
        <v/>
      </c>
      <c r="N488" s="80">
        <f>IF($A488="","",INDEX(tblCustomers[حد الائتمان],MATCH($A488,tblCustomers[كود العميل],0)))</f>
        <v/>
      </c>
      <c r="O488" s="83">
        <f>IF($A488="","",IF(AND(N488&gt;0,L488&gt;N488),"⛔",""))</f>
        <v/>
      </c>
    </row>
    <row r="489">
      <c r="A489" s="78">
        <f>IFERROR(INDEX(tblCustomers[كود العميل],MATCH(480,tblCustomers[ترتيب],0)),"")</f>
        <v/>
      </c>
      <c r="B489" s="79">
        <f>IF($A489="","",INDEX(tblCustomers[اسم العميل],MATCH($A489,tblCustomers[كود العميل],0)))</f>
        <v/>
      </c>
      <c r="C489" s="80">
        <f>IF($A489="","",SUMIFS(tblInv[المتبقي],tblInv[كود العميل],$A489,tblInv[الفترة],C$7))</f>
        <v/>
      </c>
      <c r="D489" s="80">
        <f>IF($A489="","",SUMIFS(tblInv[المتبقي],tblInv[كود العميل],$A489,tblInv[الفترة],D$7))</f>
        <v/>
      </c>
      <c r="E489" s="80">
        <f>IF($A489="","",SUMIFS(tblInv[المتبقي],tblInv[كود العميل],$A489,tblInv[الفترة],E$7))</f>
        <v/>
      </c>
      <c r="F489" s="80">
        <f>IF($A489="","",SUMIFS(tblInv[المتبقي],tblInv[كود العميل],$A489,tblInv[الفترة],F$7))</f>
        <v/>
      </c>
      <c r="G489" s="80">
        <f>IF($A489="","",SUMIFS(tblInv[المتبقي],tblInv[كود العميل],$A489,tblInv[الفترة],G$7))</f>
        <v/>
      </c>
      <c r="H489" s="80">
        <f>IF($A489="","",SUMIFS(tblInv[المتبقي],tblInv[كود العميل],$A489,tblInv[الفترة],H$7))</f>
        <v/>
      </c>
      <c r="I489" s="80">
        <f>IF($A489="","",SUMIFS(tblInv[المتبقي],tblInv[كود العميل],$A489,tblInv[الفترة],I$7))</f>
        <v/>
      </c>
      <c r="J489" s="80">
        <f>IF($A489="","",SUM(C489:I489))</f>
        <v/>
      </c>
      <c r="K489" s="80">
        <f>IF($A489="","",-SUMIFS(tblRec[المبلغ],tblRec[كود العميل],$A489,tblRec[رقم الفاتورة],"",tblRec[التاريخ],"&lt;="&amp;AsOf)+SUMIFS(tblInv[المتبقي],tblInv[كود العميل],$A489,tblInv[المتبقي],"&lt;0"))</f>
        <v/>
      </c>
      <c r="L489" s="81">
        <f>IF($A489="","",J489+K489)</f>
        <v/>
      </c>
      <c r="M489" s="82">
        <f>IF($A489="","",IFERROR(L489/$L$8,0))</f>
        <v/>
      </c>
      <c r="N489" s="80">
        <f>IF($A489="","",INDEX(tblCustomers[حد الائتمان],MATCH($A489,tblCustomers[كود العميل],0)))</f>
        <v/>
      </c>
      <c r="O489" s="83">
        <f>IF($A489="","",IF(AND(N489&gt;0,L489&gt;N489),"⛔",""))</f>
        <v/>
      </c>
    </row>
    <row r="490">
      <c r="A490" s="78">
        <f>IFERROR(INDEX(tblCustomers[كود العميل],MATCH(481,tblCustomers[ترتيب],0)),"")</f>
        <v/>
      </c>
      <c r="B490" s="79">
        <f>IF($A490="","",INDEX(tblCustomers[اسم العميل],MATCH($A490,tblCustomers[كود العميل],0)))</f>
        <v/>
      </c>
      <c r="C490" s="80">
        <f>IF($A490="","",SUMIFS(tblInv[المتبقي],tblInv[كود العميل],$A490,tblInv[الفترة],C$7))</f>
        <v/>
      </c>
      <c r="D490" s="80">
        <f>IF($A490="","",SUMIFS(tblInv[المتبقي],tblInv[كود العميل],$A490,tblInv[الفترة],D$7))</f>
        <v/>
      </c>
      <c r="E490" s="80">
        <f>IF($A490="","",SUMIFS(tblInv[المتبقي],tblInv[كود العميل],$A490,tblInv[الفترة],E$7))</f>
        <v/>
      </c>
      <c r="F490" s="80">
        <f>IF($A490="","",SUMIFS(tblInv[المتبقي],tblInv[كود العميل],$A490,tblInv[الفترة],F$7))</f>
        <v/>
      </c>
      <c r="G490" s="80">
        <f>IF($A490="","",SUMIFS(tblInv[المتبقي],tblInv[كود العميل],$A490,tblInv[الفترة],G$7))</f>
        <v/>
      </c>
      <c r="H490" s="80">
        <f>IF($A490="","",SUMIFS(tblInv[المتبقي],tblInv[كود العميل],$A490,tblInv[الفترة],H$7))</f>
        <v/>
      </c>
      <c r="I490" s="80">
        <f>IF($A490="","",SUMIFS(tblInv[المتبقي],tblInv[كود العميل],$A490,tblInv[الفترة],I$7))</f>
        <v/>
      </c>
      <c r="J490" s="80">
        <f>IF($A490="","",SUM(C490:I490))</f>
        <v/>
      </c>
      <c r="K490" s="80">
        <f>IF($A490="","",-SUMIFS(tblRec[المبلغ],tblRec[كود العميل],$A490,tblRec[رقم الفاتورة],"",tblRec[التاريخ],"&lt;="&amp;AsOf)+SUMIFS(tblInv[المتبقي],tblInv[كود العميل],$A490,tblInv[المتبقي],"&lt;0"))</f>
        <v/>
      </c>
      <c r="L490" s="81">
        <f>IF($A490="","",J490+K490)</f>
        <v/>
      </c>
      <c r="M490" s="82">
        <f>IF($A490="","",IFERROR(L490/$L$8,0))</f>
        <v/>
      </c>
      <c r="N490" s="80">
        <f>IF($A490="","",INDEX(tblCustomers[حد الائتمان],MATCH($A490,tblCustomers[كود العميل],0)))</f>
        <v/>
      </c>
      <c r="O490" s="83">
        <f>IF($A490="","",IF(AND(N490&gt;0,L490&gt;N490),"⛔",""))</f>
        <v/>
      </c>
    </row>
    <row r="491">
      <c r="A491" s="78">
        <f>IFERROR(INDEX(tblCustomers[كود العميل],MATCH(482,tblCustomers[ترتيب],0)),"")</f>
        <v/>
      </c>
      <c r="B491" s="79">
        <f>IF($A491="","",INDEX(tblCustomers[اسم العميل],MATCH($A491,tblCustomers[كود العميل],0)))</f>
        <v/>
      </c>
      <c r="C491" s="80">
        <f>IF($A491="","",SUMIFS(tblInv[المتبقي],tblInv[كود العميل],$A491,tblInv[الفترة],C$7))</f>
        <v/>
      </c>
      <c r="D491" s="80">
        <f>IF($A491="","",SUMIFS(tblInv[المتبقي],tblInv[كود العميل],$A491,tblInv[الفترة],D$7))</f>
        <v/>
      </c>
      <c r="E491" s="80">
        <f>IF($A491="","",SUMIFS(tblInv[المتبقي],tblInv[كود العميل],$A491,tblInv[الفترة],E$7))</f>
        <v/>
      </c>
      <c r="F491" s="80">
        <f>IF($A491="","",SUMIFS(tblInv[المتبقي],tblInv[كود العميل],$A491,tblInv[الفترة],F$7))</f>
        <v/>
      </c>
      <c r="G491" s="80">
        <f>IF($A491="","",SUMIFS(tblInv[المتبقي],tblInv[كود العميل],$A491,tblInv[الفترة],G$7))</f>
        <v/>
      </c>
      <c r="H491" s="80">
        <f>IF($A491="","",SUMIFS(tblInv[المتبقي],tblInv[كود العميل],$A491,tblInv[الفترة],H$7))</f>
        <v/>
      </c>
      <c r="I491" s="80">
        <f>IF($A491="","",SUMIFS(tblInv[المتبقي],tblInv[كود العميل],$A491,tblInv[الفترة],I$7))</f>
        <v/>
      </c>
      <c r="J491" s="80">
        <f>IF($A491="","",SUM(C491:I491))</f>
        <v/>
      </c>
      <c r="K491" s="80">
        <f>IF($A491="","",-SUMIFS(tblRec[المبلغ],tblRec[كود العميل],$A491,tblRec[رقم الفاتورة],"",tblRec[التاريخ],"&lt;="&amp;AsOf)+SUMIFS(tblInv[المتبقي],tblInv[كود العميل],$A491,tblInv[المتبقي],"&lt;0"))</f>
        <v/>
      </c>
      <c r="L491" s="81">
        <f>IF($A491="","",J491+K491)</f>
        <v/>
      </c>
      <c r="M491" s="82">
        <f>IF($A491="","",IFERROR(L491/$L$8,0))</f>
        <v/>
      </c>
      <c r="N491" s="80">
        <f>IF($A491="","",INDEX(tblCustomers[حد الائتمان],MATCH($A491,tblCustomers[كود العميل],0)))</f>
        <v/>
      </c>
      <c r="O491" s="83">
        <f>IF($A491="","",IF(AND(N491&gt;0,L491&gt;N491),"⛔",""))</f>
        <v/>
      </c>
    </row>
    <row r="492">
      <c r="A492" s="78">
        <f>IFERROR(INDEX(tblCustomers[كود العميل],MATCH(483,tblCustomers[ترتيب],0)),"")</f>
        <v/>
      </c>
      <c r="B492" s="79">
        <f>IF($A492="","",INDEX(tblCustomers[اسم العميل],MATCH($A492,tblCustomers[كود العميل],0)))</f>
        <v/>
      </c>
      <c r="C492" s="80">
        <f>IF($A492="","",SUMIFS(tblInv[المتبقي],tblInv[كود العميل],$A492,tblInv[الفترة],C$7))</f>
        <v/>
      </c>
      <c r="D492" s="80">
        <f>IF($A492="","",SUMIFS(tblInv[المتبقي],tblInv[كود العميل],$A492,tblInv[الفترة],D$7))</f>
        <v/>
      </c>
      <c r="E492" s="80">
        <f>IF($A492="","",SUMIFS(tblInv[المتبقي],tblInv[كود العميل],$A492,tblInv[الفترة],E$7))</f>
        <v/>
      </c>
      <c r="F492" s="80">
        <f>IF($A492="","",SUMIFS(tblInv[المتبقي],tblInv[كود العميل],$A492,tblInv[الفترة],F$7))</f>
        <v/>
      </c>
      <c r="G492" s="80">
        <f>IF($A492="","",SUMIFS(tblInv[المتبقي],tblInv[كود العميل],$A492,tblInv[الفترة],G$7))</f>
        <v/>
      </c>
      <c r="H492" s="80">
        <f>IF($A492="","",SUMIFS(tblInv[المتبقي],tblInv[كود العميل],$A492,tblInv[الفترة],H$7))</f>
        <v/>
      </c>
      <c r="I492" s="80">
        <f>IF($A492="","",SUMIFS(tblInv[المتبقي],tblInv[كود العميل],$A492,tblInv[الفترة],I$7))</f>
        <v/>
      </c>
      <c r="J492" s="80">
        <f>IF($A492="","",SUM(C492:I492))</f>
        <v/>
      </c>
      <c r="K492" s="80">
        <f>IF($A492="","",-SUMIFS(tblRec[المبلغ],tblRec[كود العميل],$A492,tblRec[رقم الفاتورة],"",tblRec[التاريخ],"&lt;="&amp;AsOf)+SUMIFS(tblInv[المتبقي],tblInv[كود العميل],$A492,tblInv[المتبقي],"&lt;0"))</f>
        <v/>
      </c>
      <c r="L492" s="81">
        <f>IF($A492="","",J492+K492)</f>
        <v/>
      </c>
      <c r="M492" s="82">
        <f>IF($A492="","",IFERROR(L492/$L$8,0))</f>
        <v/>
      </c>
      <c r="N492" s="80">
        <f>IF($A492="","",INDEX(tblCustomers[حد الائتمان],MATCH($A492,tblCustomers[كود العميل],0)))</f>
        <v/>
      </c>
      <c r="O492" s="83">
        <f>IF($A492="","",IF(AND(N492&gt;0,L492&gt;N492),"⛔",""))</f>
        <v/>
      </c>
    </row>
    <row r="493">
      <c r="A493" s="78">
        <f>IFERROR(INDEX(tblCustomers[كود العميل],MATCH(484,tblCustomers[ترتيب],0)),"")</f>
        <v/>
      </c>
      <c r="B493" s="79">
        <f>IF($A493="","",INDEX(tblCustomers[اسم العميل],MATCH($A493,tblCustomers[كود العميل],0)))</f>
        <v/>
      </c>
      <c r="C493" s="80">
        <f>IF($A493="","",SUMIFS(tblInv[المتبقي],tblInv[كود العميل],$A493,tblInv[الفترة],C$7))</f>
        <v/>
      </c>
      <c r="D493" s="80">
        <f>IF($A493="","",SUMIFS(tblInv[المتبقي],tblInv[كود العميل],$A493,tblInv[الفترة],D$7))</f>
        <v/>
      </c>
      <c r="E493" s="80">
        <f>IF($A493="","",SUMIFS(tblInv[المتبقي],tblInv[كود العميل],$A493,tblInv[الفترة],E$7))</f>
        <v/>
      </c>
      <c r="F493" s="80">
        <f>IF($A493="","",SUMIFS(tblInv[المتبقي],tblInv[كود العميل],$A493,tblInv[الفترة],F$7))</f>
        <v/>
      </c>
      <c r="G493" s="80">
        <f>IF($A493="","",SUMIFS(tblInv[المتبقي],tblInv[كود العميل],$A493,tblInv[الفترة],G$7))</f>
        <v/>
      </c>
      <c r="H493" s="80">
        <f>IF($A493="","",SUMIFS(tblInv[المتبقي],tblInv[كود العميل],$A493,tblInv[الفترة],H$7))</f>
        <v/>
      </c>
      <c r="I493" s="80">
        <f>IF($A493="","",SUMIFS(tblInv[المتبقي],tblInv[كود العميل],$A493,tblInv[الفترة],I$7))</f>
        <v/>
      </c>
      <c r="J493" s="80">
        <f>IF($A493="","",SUM(C493:I493))</f>
        <v/>
      </c>
      <c r="K493" s="80">
        <f>IF($A493="","",-SUMIFS(tblRec[المبلغ],tblRec[كود العميل],$A493,tblRec[رقم الفاتورة],"",tblRec[التاريخ],"&lt;="&amp;AsOf)+SUMIFS(tblInv[المتبقي],tblInv[كود العميل],$A493,tblInv[المتبقي],"&lt;0"))</f>
        <v/>
      </c>
      <c r="L493" s="81">
        <f>IF($A493="","",J493+K493)</f>
        <v/>
      </c>
      <c r="M493" s="82">
        <f>IF($A493="","",IFERROR(L493/$L$8,0))</f>
        <v/>
      </c>
      <c r="N493" s="80">
        <f>IF($A493="","",INDEX(tblCustomers[حد الائتمان],MATCH($A493,tblCustomers[كود العميل],0)))</f>
        <v/>
      </c>
      <c r="O493" s="83">
        <f>IF($A493="","",IF(AND(N493&gt;0,L493&gt;N493),"⛔",""))</f>
        <v/>
      </c>
    </row>
    <row r="494">
      <c r="A494" s="78">
        <f>IFERROR(INDEX(tblCustomers[كود العميل],MATCH(485,tblCustomers[ترتيب],0)),"")</f>
        <v/>
      </c>
      <c r="B494" s="79">
        <f>IF($A494="","",INDEX(tblCustomers[اسم العميل],MATCH($A494,tblCustomers[كود العميل],0)))</f>
        <v/>
      </c>
      <c r="C494" s="80">
        <f>IF($A494="","",SUMIFS(tblInv[المتبقي],tblInv[كود العميل],$A494,tblInv[الفترة],C$7))</f>
        <v/>
      </c>
      <c r="D494" s="80">
        <f>IF($A494="","",SUMIFS(tblInv[المتبقي],tblInv[كود العميل],$A494,tblInv[الفترة],D$7))</f>
        <v/>
      </c>
      <c r="E494" s="80">
        <f>IF($A494="","",SUMIFS(tblInv[المتبقي],tblInv[كود العميل],$A494,tblInv[الفترة],E$7))</f>
        <v/>
      </c>
      <c r="F494" s="80">
        <f>IF($A494="","",SUMIFS(tblInv[المتبقي],tblInv[كود العميل],$A494,tblInv[الفترة],F$7))</f>
        <v/>
      </c>
      <c r="G494" s="80">
        <f>IF($A494="","",SUMIFS(tblInv[المتبقي],tblInv[كود العميل],$A494,tblInv[الفترة],G$7))</f>
        <v/>
      </c>
      <c r="H494" s="80">
        <f>IF($A494="","",SUMIFS(tblInv[المتبقي],tblInv[كود العميل],$A494,tblInv[الفترة],H$7))</f>
        <v/>
      </c>
      <c r="I494" s="80">
        <f>IF($A494="","",SUMIFS(tblInv[المتبقي],tblInv[كود العميل],$A494,tblInv[الفترة],I$7))</f>
        <v/>
      </c>
      <c r="J494" s="80">
        <f>IF($A494="","",SUM(C494:I494))</f>
        <v/>
      </c>
      <c r="K494" s="80">
        <f>IF($A494="","",-SUMIFS(tblRec[المبلغ],tblRec[كود العميل],$A494,tblRec[رقم الفاتورة],"",tblRec[التاريخ],"&lt;="&amp;AsOf)+SUMIFS(tblInv[المتبقي],tblInv[كود العميل],$A494,tblInv[المتبقي],"&lt;0"))</f>
        <v/>
      </c>
      <c r="L494" s="81">
        <f>IF($A494="","",J494+K494)</f>
        <v/>
      </c>
      <c r="M494" s="82">
        <f>IF($A494="","",IFERROR(L494/$L$8,0))</f>
        <v/>
      </c>
      <c r="N494" s="80">
        <f>IF($A494="","",INDEX(tblCustomers[حد الائتمان],MATCH($A494,tblCustomers[كود العميل],0)))</f>
        <v/>
      </c>
      <c r="O494" s="83">
        <f>IF($A494="","",IF(AND(N494&gt;0,L494&gt;N494),"⛔",""))</f>
        <v/>
      </c>
    </row>
    <row r="495">
      <c r="A495" s="78">
        <f>IFERROR(INDEX(tblCustomers[كود العميل],MATCH(486,tblCustomers[ترتيب],0)),"")</f>
        <v/>
      </c>
      <c r="B495" s="79">
        <f>IF($A495="","",INDEX(tblCustomers[اسم العميل],MATCH($A495,tblCustomers[كود العميل],0)))</f>
        <v/>
      </c>
      <c r="C495" s="80">
        <f>IF($A495="","",SUMIFS(tblInv[المتبقي],tblInv[كود العميل],$A495,tblInv[الفترة],C$7))</f>
        <v/>
      </c>
      <c r="D495" s="80">
        <f>IF($A495="","",SUMIFS(tblInv[المتبقي],tblInv[كود العميل],$A495,tblInv[الفترة],D$7))</f>
        <v/>
      </c>
      <c r="E495" s="80">
        <f>IF($A495="","",SUMIFS(tblInv[المتبقي],tblInv[كود العميل],$A495,tblInv[الفترة],E$7))</f>
        <v/>
      </c>
      <c r="F495" s="80">
        <f>IF($A495="","",SUMIFS(tblInv[المتبقي],tblInv[كود العميل],$A495,tblInv[الفترة],F$7))</f>
        <v/>
      </c>
      <c r="G495" s="80">
        <f>IF($A495="","",SUMIFS(tblInv[المتبقي],tblInv[كود العميل],$A495,tblInv[الفترة],G$7))</f>
        <v/>
      </c>
      <c r="H495" s="80">
        <f>IF($A495="","",SUMIFS(tblInv[المتبقي],tblInv[كود العميل],$A495,tblInv[الفترة],H$7))</f>
        <v/>
      </c>
      <c r="I495" s="80">
        <f>IF($A495="","",SUMIFS(tblInv[المتبقي],tblInv[كود العميل],$A495,tblInv[الفترة],I$7))</f>
        <v/>
      </c>
      <c r="J495" s="80">
        <f>IF($A495="","",SUM(C495:I495))</f>
        <v/>
      </c>
      <c r="K495" s="80">
        <f>IF($A495="","",-SUMIFS(tblRec[المبلغ],tblRec[كود العميل],$A495,tblRec[رقم الفاتورة],"",tblRec[التاريخ],"&lt;="&amp;AsOf)+SUMIFS(tblInv[المتبقي],tblInv[كود العميل],$A495,tblInv[المتبقي],"&lt;0"))</f>
        <v/>
      </c>
      <c r="L495" s="81">
        <f>IF($A495="","",J495+K495)</f>
        <v/>
      </c>
      <c r="M495" s="82">
        <f>IF($A495="","",IFERROR(L495/$L$8,0))</f>
        <v/>
      </c>
      <c r="N495" s="80">
        <f>IF($A495="","",INDEX(tblCustomers[حد الائتمان],MATCH($A495,tblCustomers[كود العميل],0)))</f>
        <v/>
      </c>
      <c r="O495" s="83">
        <f>IF($A495="","",IF(AND(N495&gt;0,L495&gt;N495),"⛔",""))</f>
        <v/>
      </c>
    </row>
    <row r="496">
      <c r="A496" s="78">
        <f>IFERROR(INDEX(tblCustomers[كود العميل],MATCH(487,tblCustomers[ترتيب],0)),"")</f>
        <v/>
      </c>
      <c r="B496" s="79">
        <f>IF($A496="","",INDEX(tblCustomers[اسم العميل],MATCH($A496,tblCustomers[كود العميل],0)))</f>
        <v/>
      </c>
      <c r="C496" s="80">
        <f>IF($A496="","",SUMIFS(tblInv[المتبقي],tblInv[كود العميل],$A496,tblInv[الفترة],C$7))</f>
        <v/>
      </c>
      <c r="D496" s="80">
        <f>IF($A496="","",SUMIFS(tblInv[المتبقي],tblInv[كود العميل],$A496,tblInv[الفترة],D$7))</f>
        <v/>
      </c>
      <c r="E496" s="80">
        <f>IF($A496="","",SUMIFS(tblInv[المتبقي],tblInv[كود العميل],$A496,tblInv[الفترة],E$7))</f>
        <v/>
      </c>
      <c r="F496" s="80">
        <f>IF($A496="","",SUMIFS(tblInv[المتبقي],tblInv[كود العميل],$A496,tblInv[الفترة],F$7))</f>
        <v/>
      </c>
      <c r="G496" s="80">
        <f>IF($A496="","",SUMIFS(tblInv[المتبقي],tblInv[كود العميل],$A496,tblInv[الفترة],G$7))</f>
        <v/>
      </c>
      <c r="H496" s="80">
        <f>IF($A496="","",SUMIFS(tblInv[المتبقي],tblInv[كود العميل],$A496,tblInv[الفترة],H$7))</f>
        <v/>
      </c>
      <c r="I496" s="80">
        <f>IF($A496="","",SUMIFS(tblInv[المتبقي],tblInv[كود العميل],$A496,tblInv[الفترة],I$7))</f>
        <v/>
      </c>
      <c r="J496" s="80">
        <f>IF($A496="","",SUM(C496:I496))</f>
        <v/>
      </c>
      <c r="K496" s="80">
        <f>IF($A496="","",-SUMIFS(tblRec[المبلغ],tblRec[كود العميل],$A496,tblRec[رقم الفاتورة],"",tblRec[التاريخ],"&lt;="&amp;AsOf)+SUMIFS(tblInv[المتبقي],tblInv[كود العميل],$A496,tblInv[المتبقي],"&lt;0"))</f>
        <v/>
      </c>
      <c r="L496" s="81">
        <f>IF($A496="","",J496+K496)</f>
        <v/>
      </c>
      <c r="M496" s="82">
        <f>IF($A496="","",IFERROR(L496/$L$8,0))</f>
        <v/>
      </c>
      <c r="N496" s="80">
        <f>IF($A496="","",INDEX(tblCustomers[حد الائتمان],MATCH($A496,tblCustomers[كود العميل],0)))</f>
        <v/>
      </c>
      <c r="O496" s="83">
        <f>IF($A496="","",IF(AND(N496&gt;0,L496&gt;N496),"⛔",""))</f>
        <v/>
      </c>
    </row>
    <row r="497">
      <c r="A497" s="78">
        <f>IFERROR(INDEX(tblCustomers[كود العميل],MATCH(488,tblCustomers[ترتيب],0)),"")</f>
        <v/>
      </c>
      <c r="B497" s="79">
        <f>IF($A497="","",INDEX(tblCustomers[اسم العميل],MATCH($A497,tblCustomers[كود العميل],0)))</f>
        <v/>
      </c>
      <c r="C497" s="80">
        <f>IF($A497="","",SUMIFS(tblInv[المتبقي],tblInv[كود العميل],$A497,tblInv[الفترة],C$7))</f>
        <v/>
      </c>
      <c r="D497" s="80">
        <f>IF($A497="","",SUMIFS(tblInv[المتبقي],tblInv[كود العميل],$A497,tblInv[الفترة],D$7))</f>
        <v/>
      </c>
      <c r="E497" s="80">
        <f>IF($A497="","",SUMIFS(tblInv[المتبقي],tblInv[كود العميل],$A497,tblInv[الفترة],E$7))</f>
        <v/>
      </c>
      <c r="F497" s="80">
        <f>IF($A497="","",SUMIFS(tblInv[المتبقي],tblInv[كود العميل],$A497,tblInv[الفترة],F$7))</f>
        <v/>
      </c>
      <c r="G497" s="80">
        <f>IF($A497="","",SUMIFS(tblInv[المتبقي],tblInv[كود العميل],$A497,tblInv[الفترة],G$7))</f>
        <v/>
      </c>
      <c r="H497" s="80">
        <f>IF($A497="","",SUMIFS(tblInv[المتبقي],tblInv[كود العميل],$A497,tblInv[الفترة],H$7))</f>
        <v/>
      </c>
      <c r="I497" s="80">
        <f>IF($A497="","",SUMIFS(tblInv[المتبقي],tblInv[كود العميل],$A497,tblInv[الفترة],I$7))</f>
        <v/>
      </c>
      <c r="J497" s="80">
        <f>IF($A497="","",SUM(C497:I497))</f>
        <v/>
      </c>
      <c r="K497" s="80">
        <f>IF($A497="","",-SUMIFS(tblRec[المبلغ],tblRec[كود العميل],$A497,tblRec[رقم الفاتورة],"",tblRec[التاريخ],"&lt;="&amp;AsOf)+SUMIFS(tblInv[المتبقي],tblInv[كود العميل],$A497,tblInv[المتبقي],"&lt;0"))</f>
        <v/>
      </c>
      <c r="L497" s="81">
        <f>IF($A497="","",J497+K497)</f>
        <v/>
      </c>
      <c r="M497" s="82">
        <f>IF($A497="","",IFERROR(L497/$L$8,0))</f>
        <v/>
      </c>
      <c r="N497" s="80">
        <f>IF($A497="","",INDEX(tblCustomers[حد الائتمان],MATCH($A497,tblCustomers[كود العميل],0)))</f>
        <v/>
      </c>
      <c r="O497" s="83">
        <f>IF($A497="","",IF(AND(N497&gt;0,L497&gt;N497),"⛔",""))</f>
        <v/>
      </c>
    </row>
    <row r="498">
      <c r="A498" s="78">
        <f>IFERROR(INDEX(tblCustomers[كود العميل],MATCH(489,tblCustomers[ترتيب],0)),"")</f>
        <v/>
      </c>
      <c r="B498" s="79">
        <f>IF($A498="","",INDEX(tblCustomers[اسم العميل],MATCH($A498,tblCustomers[كود العميل],0)))</f>
        <v/>
      </c>
      <c r="C498" s="80">
        <f>IF($A498="","",SUMIFS(tblInv[المتبقي],tblInv[كود العميل],$A498,tblInv[الفترة],C$7))</f>
        <v/>
      </c>
      <c r="D498" s="80">
        <f>IF($A498="","",SUMIFS(tblInv[المتبقي],tblInv[كود العميل],$A498,tblInv[الفترة],D$7))</f>
        <v/>
      </c>
      <c r="E498" s="80">
        <f>IF($A498="","",SUMIFS(tblInv[المتبقي],tblInv[كود العميل],$A498,tblInv[الفترة],E$7))</f>
        <v/>
      </c>
      <c r="F498" s="80">
        <f>IF($A498="","",SUMIFS(tblInv[المتبقي],tblInv[كود العميل],$A498,tblInv[الفترة],F$7))</f>
        <v/>
      </c>
      <c r="G498" s="80">
        <f>IF($A498="","",SUMIFS(tblInv[المتبقي],tblInv[كود العميل],$A498,tblInv[الفترة],G$7))</f>
        <v/>
      </c>
      <c r="H498" s="80">
        <f>IF($A498="","",SUMIFS(tblInv[المتبقي],tblInv[كود العميل],$A498,tblInv[الفترة],H$7))</f>
        <v/>
      </c>
      <c r="I498" s="80">
        <f>IF($A498="","",SUMIFS(tblInv[المتبقي],tblInv[كود العميل],$A498,tblInv[الفترة],I$7))</f>
        <v/>
      </c>
      <c r="J498" s="80">
        <f>IF($A498="","",SUM(C498:I498))</f>
        <v/>
      </c>
      <c r="K498" s="80">
        <f>IF($A498="","",-SUMIFS(tblRec[المبلغ],tblRec[كود العميل],$A498,tblRec[رقم الفاتورة],"",tblRec[التاريخ],"&lt;="&amp;AsOf)+SUMIFS(tblInv[المتبقي],tblInv[كود العميل],$A498,tblInv[المتبقي],"&lt;0"))</f>
        <v/>
      </c>
      <c r="L498" s="81">
        <f>IF($A498="","",J498+K498)</f>
        <v/>
      </c>
      <c r="M498" s="82">
        <f>IF($A498="","",IFERROR(L498/$L$8,0))</f>
        <v/>
      </c>
      <c r="N498" s="80">
        <f>IF($A498="","",INDEX(tblCustomers[حد الائتمان],MATCH($A498,tblCustomers[كود العميل],0)))</f>
        <v/>
      </c>
      <c r="O498" s="83">
        <f>IF($A498="","",IF(AND(N498&gt;0,L498&gt;N498),"⛔",""))</f>
        <v/>
      </c>
    </row>
    <row r="499">
      <c r="A499" s="78">
        <f>IFERROR(INDEX(tblCustomers[كود العميل],MATCH(490,tblCustomers[ترتيب],0)),"")</f>
        <v/>
      </c>
      <c r="B499" s="79">
        <f>IF($A499="","",INDEX(tblCustomers[اسم العميل],MATCH($A499,tblCustomers[كود العميل],0)))</f>
        <v/>
      </c>
      <c r="C499" s="80">
        <f>IF($A499="","",SUMIFS(tblInv[المتبقي],tblInv[كود العميل],$A499,tblInv[الفترة],C$7))</f>
        <v/>
      </c>
      <c r="D499" s="80">
        <f>IF($A499="","",SUMIFS(tblInv[المتبقي],tblInv[كود العميل],$A499,tblInv[الفترة],D$7))</f>
        <v/>
      </c>
      <c r="E499" s="80">
        <f>IF($A499="","",SUMIFS(tblInv[المتبقي],tblInv[كود العميل],$A499,tblInv[الفترة],E$7))</f>
        <v/>
      </c>
      <c r="F499" s="80">
        <f>IF($A499="","",SUMIFS(tblInv[المتبقي],tblInv[كود العميل],$A499,tblInv[الفترة],F$7))</f>
        <v/>
      </c>
      <c r="G499" s="80">
        <f>IF($A499="","",SUMIFS(tblInv[المتبقي],tblInv[كود العميل],$A499,tblInv[الفترة],G$7))</f>
        <v/>
      </c>
      <c r="H499" s="80">
        <f>IF($A499="","",SUMIFS(tblInv[المتبقي],tblInv[كود العميل],$A499,tblInv[الفترة],H$7))</f>
        <v/>
      </c>
      <c r="I499" s="80">
        <f>IF($A499="","",SUMIFS(tblInv[المتبقي],tblInv[كود العميل],$A499,tblInv[الفترة],I$7))</f>
        <v/>
      </c>
      <c r="J499" s="80">
        <f>IF($A499="","",SUM(C499:I499))</f>
        <v/>
      </c>
      <c r="K499" s="80">
        <f>IF($A499="","",-SUMIFS(tblRec[المبلغ],tblRec[كود العميل],$A499,tblRec[رقم الفاتورة],"",tblRec[التاريخ],"&lt;="&amp;AsOf)+SUMIFS(tblInv[المتبقي],tblInv[كود العميل],$A499,tblInv[المتبقي],"&lt;0"))</f>
        <v/>
      </c>
      <c r="L499" s="81">
        <f>IF($A499="","",J499+K499)</f>
        <v/>
      </c>
      <c r="M499" s="82">
        <f>IF($A499="","",IFERROR(L499/$L$8,0))</f>
        <v/>
      </c>
      <c r="N499" s="80">
        <f>IF($A499="","",INDEX(tblCustomers[حد الائتمان],MATCH($A499,tblCustomers[كود العميل],0)))</f>
        <v/>
      </c>
      <c r="O499" s="83">
        <f>IF($A499="","",IF(AND(N499&gt;0,L499&gt;N499),"⛔",""))</f>
        <v/>
      </c>
    </row>
    <row r="500">
      <c r="A500" s="78">
        <f>IFERROR(INDEX(tblCustomers[كود العميل],MATCH(491,tblCustomers[ترتيب],0)),"")</f>
        <v/>
      </c>
      <c r="B500" s="79">
        <f>IF($A500="","",INDEX(tblCustomers[اسم العميل],MATCH($A500,tblCustomers[كود العميل],0)))</f>
        <v/>
      </c>
      <c r="C500" s="80">
        <f>IF($A500="","",SUMIFS(tblInv[المتبقي],tblInv[كود العميل],$A500,tblInv[الفترة],C$7))</f>
        <v/>
      </c>
      <c r="D500" s="80">
        <f>IF($A500="","",SUMIFS(tblInv[المتبقي],tblInv[كود العميل],$A500,tblInv[الفترة],D$7))</f>
        <v/>
      </c>
      <c r="E500" s="80">
        <f>IF($A500="","",SUMIFS(tblInv[المتبقي],tblInv[كود العميل],$A500,tblInv[الفترة],E$7))</f>
        <v/>
      </c>
      <c r="F500" s="80">
        <f>IF($A500="","",SUMIFS(tblInv[المتبقي],tblInv[كود العميل],$A500,tblInv[الفترة],F$7))</f>
        <v/>
      </c>
      <c r="G500" s="80">
        <f>IF($A500="","",SUMIFS(tblInv[المتبقي],tblInv[كود العميل],$A500,tblInv[الفترة],G$7))</f>
        <v/>
      </c>
      <c r="H500" s="80">
        <f>IF($A500="","",SUMIFS(tblInv[المتبقي],tblInv[كود العميل],$A500,tblInv[الفترة],H$7))</f>
        <v/>
      </c>
      <c r="I500" s="80">
        <f>IF($A500="","",SUMIFS(tblInv[المتبقي],tblInv[كود العميل],$A500,tblInv[الفترة],I$7))</f>
        <v/>
      </c>
      <c r="J500" s="80">
        <f>IF($A500="","",SUM(C500:I500))</f>
        <v/>
      </c>
      <c r="K500" s="80">
        <f>IF($A500="","",-SUMIFS(tblRec[المبلغ],tblRec[كود العميل],$A500,tblRec[رقم الفاتورة],"",tblRec[التاريخ],"&lt;="&amp;AsOf)+SUMIFS(tblInv[المتبقي],tblInv[كود العميل],$A500,tblInv[المتبقي],"&lt;0"))</f>
        <v/>
      </c>
      <c r="L500" s="81">
        <f>IF($A500="","",J500+K500)</f>
        <v/>
      </c>
      <c r="M500" s="82">
        <f>IF($A500="","",IFERROR(L500/$L$8,0))</f>
        <v/>
      </c>
      <c r="N500" s="80">
        <f>IF($A500="","",INDEX(tblCustomers[حد الائتمان],MATCH($A500,tblCustomers[كود العميل],0)))</f>
        <v/>
      </c>
      <c r="O500" s="83">
        <f>IF($A500="","",IF(AND(N500&gt;0,L500&gt;N500),"⛔",""))</f>
        <v/>
      </c>
    </row>
    <row r="501">
      <c r="A501" s="78">
        <f>IFERROR(INDEX(tblCustomers[كود العميل],MATCH(492,tblCustomers[ترتيب],0)),"")</f>
        <v/>
      </c>
      <c r="B501" s="79">
        <f>IF($A501="","",INDEX(tblCustomers[اسم العميل],MATCH($A501,tblCustomers[كود العميل],0)))</f>
        <v/>
      </c>
      <c r="C501" s="80">
        <f>IF($A501="","",SUMIFS(tblInv[المتبقي],tblInv[كود العميل],$A501,tblInv[الفترة],C$7))</f>
        <v/>
      </c>
      <c r="D501" s="80">
        <f>IF($A501="","",SUMIFS(tblInv[المتبقي],tblInv[كود العميل],$A501,tblInv[الفترة],D$7))</f>
        <v/>
      </c>
      <c r="E501" s="80">
        <f>IF($A501="","",SUMIFS(tblInv[المتبقي],tblInv[كود العميل],$A501,tblInv[الفترة],E$7))</f>
        <v/>
      </c>
      <c r="F501" s="80">
        <f>IF($A501="","",SUMIFS(tblInv[المتبقي],tblInv[كود العميل],$A501,tblInv[الفترة],F$7))</f>
        <v/>
      </c>
      <c r="G501" s="80">
        <f>IF($A501="","",SUMIFS(tblInv[المتبقي],tblInv[كود العميل],$A501,tblInv[الفترة],G$7))</f>
        <v/>
      </c>
      <c r="H501" s="80">
        <f>IF($A501="","",SUMIFS(tblInv[المتبقي],tblInv[كود العميل],$A501,tblInv[الفترة],H$7))</f>
        <v/>
      </c>
      <c r="I501" s="80">
        <f>IF($A501="","",SUMIFS(tblInv[المتبقي],tblInv[كود العميل],$A501,tblInv[الفترة],I$7))</f>
        <v/>
      </c>
      <c r="J501" s="80">
        <f>IF($A501="","",SUM(C501:I501))</f>
        <v/>
      </c>
      <c r="K501" s="80">
        <f>IF($A501="","",-SUMIFS(tblRec[المبلغ],tblRec[كود العميل],$A501,tblRec[رقم الفاتورة],"",tblRec[التاريخ],"&lt;="&amp;AsOf)+SUMIFS(tblInv[المتبقي],tblInv[كود العميل],$A501,tblInv[المتبقي],"&lt;0"))</f>
        <v/>
      </c>
      <c r="L501" s="81">
        <f>IF($A501="","",J501+K501)</f>
        <v/>
      </c>
      <c r="M501" s="82">
        <f>IF($A501="","",IFERROR(L501/$L$8,0))</f>
        <v/>
      </c>
      <c r="N501" s="80">
        <f>IF($A501="","",INDEX(tblCustomers[حد الائتمان],MATCH($A501,tblCustomers[كود العميل],0)))</f>
        <v/>
      </c>
      <c r="O501" s="83">
        <f>IF($A501="","",IF(AND(N501&gt;0,L501&gt;N501),"⛔",""))</f>
        <v/>
      </c>
    </row>
    <row r="502">
      <c r="A502" s="78">
        <f>IFERROR(INDEX(tblCustomers[كود العميل],MATCH(493,tblCustomers[ترتيب],0)),"")</f>
        <v/>
      </c>
      <c r="B502" s="79">
        <f>IF($A502="","",INDEX(tblCustomers[اسم العميل],MATCH($A502,tblCustomers[كود العميل],0)))</f>
        <v/>
      </c>
      <c r="C502" s="80">
        <f>IF($A502="","",SUMIFS(tblInv[المتبقي],tblInv[كود العميل],$A502,tblInv[الفترة],C$7))</f>
        <v/>
      </c>
      <c r="D502" s="80">
        <f>IF($A502="","",SUMIFS(tblInv[المتبقي],tblInv[كود العميل],$A502,tblInv[الفترة],D$7))</f>
        <v/>
      </c>
      <c r="E502" s="80">
        <f>IF($A502="","",SUMIFS(tblInv[المتبقي],tblInv[كود العميل],$A502,tblInv[الفترة],E$7))</f>
        <v/>
      </c>
      <c r="F502" s="80">
        <f>IF($A502="","",SUMIFS(tblInv[المتبقي],tblInv[كود العميل],$A502,tblInv[الفترة],F$7))</f>
        <v/>
      </c>
      <c r="G502" s="80">
        <f>IF($A502="","",SUMIFS(tblInv[المتبقي],tblInv[كود العميل],$A502,tblInv[الفترة],G$7))</f>
        <v/>
      </c>
      <c r="H502" s="80">
        <f>IF($A502="","",SUMIFS(tblInv[المتبقي],tblInv[كود العميل],$A502,tblInv[الفترة],H$7))</f>
        <v/>
      </c>
      <c r="I502" s="80">
        <f>IF($A502="","",SUMIFS(tblInv[المتبقي],tblInv[كود العميل],$A502,tblInv[الفترة],I$7))</f>
        <v/>
      </c>
      <c r="J502" s="80">
        <f>IF($A502="","",SUM(C502:I502))</f>
        <v/>
      </c>
      <c r="K502" s="80">
        <f>IF($A502="","",-SUMIFS(tblRec[المبلغ],tblRec[كود العميل],$A502,tblRec[رقم الفاتورة],"",tblRec[التاريخ],"&lt;="&amp;AsOf)+SUMIFS(tblInv[المتبقي],tblInv[كود العميل],$A502,tblInv[المتبقي],"&lt;0"))</f>
        <v/>
      </c>
      <c r="L502" s="81">
        <f>IF($A502="","",J502+K502)</f>
        <v/>
      </c>
      <c r="M502" s="82">
        <f>IF($A502="","",IFERROR(L502/$L$8,0))</f>
        <v/>
      </c>
      <c r="N502" s="80">
        <f>IF($A502="","",INDEX(tblCustomers[حد الائتمان],MATCH($A502,tblCustomers[كود العميل],0)))</f>
        <v/>
      </c>
      <c r="O502" s="83">
        <f>IF($A502="","",IF(AND(N502&gt;0,L502&gt;N502),"⛔",""))</f>
        <v/>
      </c>
    </row>
    <row r="503">
      <c r="A503" s="78">
        <f>IFERROR(INDEX(tblCustomers[كود العميل],MATCH(494,tblCustomers[ترتيب],0)),"")</f>
        <v/>
      </c>
      <c r="B503" s="79">
        <f>IF($A503="","",INDEX(tblCustomers[اسم العميل],MATCH($A503,tblCustomers[كود العميل],0)))</f>
        <v/>
      </c>
      <c r="C503" s="80">
        <f>IF($A503="","",SUMIFS(tblInv[المتبقي],tblInv[كود العميل],$A503,tblInv[الفترة],C$7))</f>
        <v/>
      </c>
      <c r="D503" s="80">
        <f>IF($A503="","",SUMIFS(tblInv[المتبقي],tblInv[كود العميل],$A503,tblInv[الفترة],D$7))</f>
        <v/>
      </c>
      <c r="E503" s="80">
        <f>IF($A503="","",SUMIFS(tblInv[المتبقي],tblInv[كود العميل],$A503,tblInv[الفترة],E$7))</f>
        <v/>
      </c>
      <c r="F503" s="80">
        <f>IF($A503="","",SUMIFS(tblInv[المتبقي],tblInv[كود العميل],$A503,tblInv[الفترة],F$7))</f>
        <v/>
      </c>
      <c r="G503" s="80">
        <f>IF($A503="","",SUMIFS(tblInv[المتبقي],tblInv[كود العميل],$A503,tblInv[الفترة],G$7))</f>
        <v/>
      </c>
      <c r="H503" s="80">
        <f>IF($A503="","",SUMIFS(tblInv[المتبقي],tblInv[كود العميل],$A503,tblInv[الفترة],H$7))</f>
        <v/>
      </c>
      <c r="I503" s="80">
        <f>IF($A503="","",SUMIFS(tblInv[المتبقي],tblInv[كود العميل],$A503,tblInv[الفترة],I$7))</f>
        <v/>
      </c>
      <c r="J503" s="80">
        <f>IF($A503="","",SUM(C503:I503))</f>
        <v/>
      </c>
      <c r="K503" s="80">
        <f>IF($A503="","",-SUMIFS(tblRec[المبلغ],tblRec[كود العميل],$A503,tblRec[رقم الفاتورة],"",tblRec[التاريخ],"&lt;="&amp;AsOf)+SUMIFS(tblInv[المتبقي],tblInv[كود العميل],$A503,tblInv[المتبقي],"&lt;0"))</f>
        <v/>
      </c>
      <c r="L503" s="81">
        <f>IF($A503="","",J503+K503)</f>
        <v/>
      </c>
      <c r="M503" s="82">
        <f>IF($A503="","",IFERROR(L503/$L$8,0))</f>
        <v/>
      </c>
      <c r="N503" s="80">
        <f>IF($A503="","",INDEX(tblCustomers[حد الائتمان],MATCH($A503,tblCustomers[كود العميل],0)))</f>
        <v/>
      </c>
      <c r="O503" s="83">
        <f>IF($A503="","",IF(AND(N503&gt;0,L503&gt;N503),"⛔",""))</f>
        <v/>
      </c>
    </row>
    <row r="504">
      <c r="A504" s="78">
        <f>IFERROR(INDEX(tblCustomers[كود العميل],MATCH(495,tblCustomers[ترتيب],0)),"")</f>
        <v/>
      </c>
      <c r="B504" s="79">
        <f>IF($A504="","",INDEX(tblCustomers[اسم العميل],MATCH($A504,tblCustomers[كود العميل],0)))</f>
        <v/>
      </c>
      <c r="C504" s="80">
        <f>IF($A504="","",SUMIFS(tblInv[المتبقي],tblInv[كود العميل],$A504,tblInv[الفترة],C$7))</f>
        <v/>
      </c>
      <c r="D504" s="80">
        <f>IF($A504="","",SUMIFS(tblInv[المتبقي],tblInv[كود العميل],$A504,tblInv[الفترة],D$7))</f>
        <v/>
      </c>
      <c r="E504" s="80">
        <f>IF($A504="","",SUMIFS(tblInv[المتبقي],tblInv[كود العميل],$A504,tblInv[الفترة],E$7))</f>
        <v/>
      </c>
      <c r="F504" s="80">
        <f>IF($A504="","",SUMIFS(tblInv[المتبقي],tblInv[كود العميل],$A504,tblInv[الفترة],F$7))</f>
        <v/>
      </c>
      <c r="G504" s="80">
        <f>IF($A504="","",SUMIFS(tblInv[المتبقي],tblInv[كود العميل],$A504,tblInv[الفترة],G$7))</f>
        <v/>
      </c>
      <c r="H504" s="80">
        <f>IF($A504="","",SUMIFS(tblInv[المتبقي],tblInv[كود العميل],$A504,tblInv[الفترة],H$7))</f>
        <v/>
      </c>
      <c r="I504" s="80">
        <f>IF($A504="","",SUMIFS(tblInv[المتبقي],tblInv[كود العميل],$A504,tblInv[الفترة],I$7))</f>
        <v/>
      </c>
      <c r="J504" s="80">
        <f>IF($A504="","",SUM(C504:I504))</f>
        <v/>
      </c>
      <c r="K504" s="80">
        <f>IF($A504="","",-SUMIFS(tblRec[المبلغ],tblRec[كود العميل],$A504,tblRec[رقم الفاتورة],"",tblRec[التاريخ],"&lt;="&amp;AsOf)+SUMIFS(tblInv[المتبقي],tblInv[كود العميل],$A504,tblInv[المتبقي],"&lt;0"))</f>
        <v/>
      </c>
      <c r="L504" s="81">
        <f>IF($A504="","",J504+K504)</f>
        <v/>
      </c>
      <c r="M504" s="82">
        <f>IF($A504="","",IFERROR(L504/$L$8,0))</f>
        <v/>
      </c>
      <c r="N504" s="80">
        <f>IF($A504="","",INDEX(tblCustomers[حد الائتمان],MATCH($A504,tblCustomers[كود العميل],0)))</f>
        <v/>
      </c>
      <c r="O504" s="83">
        <f>IF($A504="","",IF(AND(N504&gt;0,L504&gt;N504),"⛔",""))</f>
        <v/>
      </c>
    </row>
    <row r="505">
      <c r="A505" s="78">
        <f>IFERROR(INDEX(tblCustomers[كود العميل],MATCH(496,tblCustomers[ترتيب],0)),"")</f>
        <v/>
      </c>
      <c r="B505" s="79">
        <f>IF($A505="","",INDEX(tblCustomers[اسم العميل],MATCH($A505,tblCustomers[كود العميل],0)))</f>
        <v/>
      </c>
      <c r="C505" s="80">
        <f>IF($A505="","",SUMIFS(tblInv[المتبقي],tblInv[كود العميل],$A505,tblInv[الفترة],C$7))</f>
        <v/>
      </c>
      <c r="D505" s="80">
        <f>IF($A505="","",SUMIFS(tblInv[المتبقي],tblInv[كود العميل],$A505,tblInv[الفترة],D$7))</f>
        <v/>
      </c>
      <c r="E505" s="80">
        <f>IF($A505="","",SUMIFS(tblInv[المتبقي],tblInv[كود العميل],$A505,tblInv[الفترة],E$7))</f>
        <v/>
      </c>
      <c r="F505" s="80">
        <f>IF($A505="","",SUMIFS(tblInv[المتبقي],tblInv[كود العميل],$A505,tblInv[الفترة],F$7))</f>
        <v/>
      </c>
      <c r="G505" s="80">
        <f>IF($A505="","",SUMIFS(tblInv[المتبقي],tblInv[كود العميل],$A505,tblInv[الفترة],G$7))</f>
        <v/>
      </c>
      <c r="H505" s="80">
        <f>IF($A505="","",SUMIFS(tblInv[المتبقي],tblInv[كود العميل],$A505,tblInv[الفترة],H$7))</f>
        <v/>
      </c>
      <c r="I505" s="80">
        <f>IF($A505="","",SUMIFS(tblInv[المتبقي],tblInv[كود العميل],$A505,tblInv[الفترة],I$7))</f>
        <v/>
      </c>
      <c r="J505" s="80">
        <f>IF($A505="","",SUM(C505:I505))</f>
        <v/>
      </c>
      <c r="K505" s="80">
        <f>IF($A505="","",-SUMIFS(tblRec[المبلغ],tblRec[كود العميل],$A505,tblRec[رقم الفاتورة],"",tblRec[التاريخ],"&lt;="&amp;AsOf)+SUMIFS(tblInv[المتبقي],tblInv[كود العميل],$A505,tblInv[المتبقي],"&lt;0"))</f>
        <v/>
      </c>
      <c r="L505" s="81">
        <f>IF($A505="","",J505+K505)</f>
        <v/>
      </c>
      <c r="M505" s="82">
        <f>IF($A505="","",IFERROR(L505/$L$8,0))</f>
        <v/>
      </c>
      <c r="N505" s="80">
        <f>IF($A505="","",INDEX(tblCustomers[حد الائتمان],MATCH($A505,tblCustomers[كود العميل],0)))</f>
        <v/>
      </c>
      <c r="O505" s="83">
        <f>IF($A505="","",IF(AND(N505&gt;0,L505&gt;N505),"⛔",""))</f>
        <v/>
      </c>
    </row>
    <row r="506">
      <c r="A506" s="78">
        <f>IFERROR(INDEX(tblCustomers[كود العميل],MATCH(497,tblCustomers[ترتيب],0)),"")</f>
        <v/>
      </c>
      <c r="B506" s="79">
        <f>IF($A506="","",INDEX(tblCustomers[اسم العميل],MATCH($A506,tblCustomers[كود العميل],0)))</f>
        <v/>
      </c>
      <c r="C506" s="80">
        <f>IF($A506="","",SUMIFS(tblInv[المتبقي],tblInv[كود العميل],$A506,tblInv[الفترة],C$7))</f>
        <v/>
      </c>
      <c r="D506" s="80">
        <f>IF($A506="","",SUMIFS(tblInv[المتبقي],tblInv[كود العميل],$A506,tblInv[الفترة],D$7))</f>
        <v/>
      </c>
      <c r="E506" s="80">
        <f>IF($A506="","",SUMIFS(tblInv[المتبقي],tblInv[كود العميل],$A506,tblInv[الفترة],E$7))</f>
        <v/>
      </c>
      <c r="F506" s="80">
        <f>IF($A506="","",SUMIFS(tblInv[المتبقي],tblInv[كود العميل],$A506,tblInv[الفترة],F$7))</f>
        <v/>
      </c>
      <c r="G506" s="80">
        <f>IF($A506="","",SUMIFS(tblInv[المتبقي],tblInv[كود العميل],$A506,tblInv[الفترة],G$7))</f>
        <v/>
      </c>
      <c r="H506" s="80">
        <f>IF($A506="","",SUMIFS(tblInv[المتبقي],tblInv[كود العميل],$A506,tblInv[الفترة],H$7))</f>
        <v/>
      </c>
      <c r="I506" s="80">
        <f>IF($A506="","",SUMIFS(tblInv[المتبقي],tblInv[كود العميل],$A506,tblInv[الفترة],I$7))</f>
        <v/>
      </c>
      <c r="J506" s="80">
        <f>IF($A506="","",SUM(C506:I506))</f>
        <v/>
      </c>
      <c r="K506" s="80">
        <f>IF($A506="","",-SUMIFS(tblRec[المبلغ],tblRec[كود العميل],$A506,tblRec[رقم الفاتورة],"",tblRec[التاريخ],"&lt;="&amp;AsOf)+SUMIFS(tblInv[المتبقي],tblInv[كود العميل],$A506,tblInv[المتبقي],"&lt;0"))</f>
        <v/>
      </c>
      <c r="L506" s="81">
        <f>IF($A506="","",J506+K506)</f>
        <v/>
      </c>
      <c r="M506" s="82">
        <f>IF($A506="","",IFERROR(L506/$L$8,0))</f>
        <v/>
      </c>
      <c r="N506" s="80">
        <f>IF($A506="","",INDEX(tblCustomers[حد الائتمان],MATCH($A506,tblCustomers[كود العميل],0)))</f>
        <v/>
      </c>
      <c r="O506" s="83">
        <f>IF($A506="","",IF(AND(N506&gt;0,L506&gt;N506),"⛔",""))</f>
        <v/>
      </c>
    </row>
    <row r="507">
      <c r="A507" s="78">
        <f>IFERROR(INDEX(tblCustomers[كود العميل],MATCH(498,tblCustomers[ترتيب],0)),"")</f>
        <v/>
      </c>
      <c r="B507" s="79">
        <f>IF($A507="","",INDEX(tblCustomers[اسم العميل],MATCH($A507,tblCustomers[كود العميل],0)))</f>
        <v/>
      </c>
      <c r="C507" s="80">
        <f>IF($A507="","",SUMIFS(tblInv[المتبقي],tblInv[كود العميل],$A507,tblInv[الفترة],C$7))</f>
        <v/>
      </c>
      <c r="D507" s="80">
        <f>IF($A507="","",SUMIFS(tblInv[المتبقي],tblInv[كود العميل],$A507,tblInv[الفترة],D$7))</f>
        <v/>
      </c>
      <c r="E507" s="80">
        <f>IF($A507="","",SUMIFS(tblInv[المتبقي],tblInv[كود العميل],$A507,tblInv[الفترة],E$7))</f>
        <v/>
      </c>
      <c r="F507" s="80">
        <f>IF($A507="","",SUMIFS(tblInv[المتبقي],tblInv[كود العميل],$A507,tblInv[الفترة],F$7))</f>
        <v/>
      </c>
      <c r="G507" s="80">
        <f>IF($A507="","",SUMIFS(tblInv[المتبقي],tblInv[كود العميل],$A507,tblInv[الفترة],G$7))</f>
        <v/>
      </c>
      <c r="H507" s="80">
        <f>IF($A507="","",SUMIFS(tblInv[المتبقي],tblInv[كود العميل],$A507,tblInv[الفترة],H$7))</f>
        <v/>
      </c>
      <c r="I507" s="80">
        <f>IF($A507="","",SUMIFS(tblInv[المتبقي],tblInv[كود العميل],$A507,tblInv[الفترة],I$7))</f>
        <v/>
      </c>
      <c r="J507" s="80">
        <f>IF($A507="","",SUM(C507:I507))</f>
        <v/>
      </c>
      <c r="K507" s="80">
        <f>IF($A507="","",-SUMIFS(tblRec[المبلغ],tblRec[كود العميل],$A507,tblRec[رقم الفاتورة],"",tblRec[التاريخ],"&lt;="&amp;AsOf)+SUMIFS(tblInv[المتبقي],tblInv[كود العميل],$A507,tblInv[المتبقي],"&lt;0"))</f>
        <v/>
      </c>
      <c r="L507" s="81">
        <f>IF($A507="","",J507+K507)</f>
        <v/>
      </c>
      <c r="M507" s="82">
        <f>IF($A507="","",IFERROR(L507/$L$8,0))</f>
        <v/>
      </c>
      <c r="N507" s="80">
        <f>IF($A507="","",INDEX(tblCustomers[حد الائتمان],MATCH($A507,tblCustomers[كود العميل],0)))</f>
        <v/>
      </c>
      <c r="O507" s="83">
        <f>IF($A507="","",IF(AND(N507&gt;0,L507&gt;N507),"⛔",""))</f>
        <v/>
      </c>
    </row>
    <row r="508">
      <c r="A508" s="78">
        <f>IFERROR(INDEX(tblCustomers[كود العميل],MATCH(499,tblCustomers[ترتيب],0)),"")</f>
        <v/>
      </c>
      <c r="B508" s="79">
        <f>IF($A508="","",INDEX(tblCustomers[اسم العميل],MATCH($A508,tblCustomers[كود العميل],0)))</f>
        <v/>
      </c>
      <c r="C508" s="80">
        <f>IF($A508="","",SUMIFS(tblInv[المتبقي],tblInv[كود العميل],$A508,tblInv[الفترة],C$7))</f>
        <v/>
      </c>
      <c r="D508" s="80">
        <f>IF($A508="","",SUMIFS(tblInv[المتبقي],tblInv[كود العميل],$A508,tblInv[الفترة],D$7))</f>
        <v/>
      </c>
      <c r="E508" s="80">
        <f>IF($A508="","",SUMIFS(tblInv[المتبقي],tblInv[كود العميل],$A508,tblInv[الفترة],E$7))</f>
        <v/>
      </c>
      <c r="F508" s="80">
        <f>IF($A508="","",SUMIFS(tblInv[المتبقي],tblInv[كود العميل],$A508,tblInv[الفترة],F$7))</f>
        <v/>
      </c>
      <c r="G508" s="80">
        <f>IF($A508="","",SUMIFS(tblInv[المتبقي],tblInv[كود العميل],$A508,tblInv[الفترة],G$7))</f>
        <v/>
      </c>
      <c r="H508" s="80">
        <f>IF($A508="","",SUMIFS(tblInv[المتبقي],tblInv[كود العميل],$A508,tblInv[الفترة],H$7))</f>
        <v/>
      </c>
      <c r="I508" s="80">
        <f>IF($A508="","",SUMIFS(tblInv[المتبقي],tblInv[كود العميل],$A508,tblInv[الفترة],I$7))</f>
        <v/>
      </c>
      <c r="J508" s="80">
        <f>IF($A508="","",SUM(C508:I508))</f>
        <v/>
      </c>
      <c r="K508" s="80">
        <f>IF($A508="","",-SUMIFS(tblRec[المبلغ],tblRec[كود العميل],$A508,tblRec[رقم الفاتورة],"",tblRec[التاريخ],"&lt;="&amp;AsOf)+SUMIFS(tblInv[المتبقي],tblInv[كود العميل],$A508,tblInv[المتبقي],"&lt;0"))</f>
        <v/>
      </c>
      <c r="L508" s="81">
        <f>IF($A508="","",J508+K508)</f>
        <v/>
      </c>
      <c r="M508" s="82">
        <f>IF($A508="","",IFERROR(L508/$L$8,0))</f>
        <v/>
      </c>
      <c r="N508" s="80">
        <f>IF($A508="","",INDEX(tblCustomers[حد الائتمان],MATCH($A508,tblCustomers[كود العميل],0)))</f>
        <v/>
      </c>
      <c r="O508" s="83">
        <f>IF($A508="","",IF(AND(N508&gt;0,L508&gt;N508),"⛔",""))</f>
        <v/>
      </c>
    </row>
    <row r="509">
      <c r="A509" s="78">
        <f>IFERROR(INDEX(tblCustomers[كود العميل],MATCH(500,tblCustomers[ترتيب],0)),"")</f>
        <v/>
      </c>
      <c r="B509" s="79">
        <f>IF($A509="","",INDEX(tblCustomers[اسم العميل],MATCH($A509,tblCustomers[كود العميل],0)))</f>
        <v/>
      </c>
      <c r="C509" s="80">
        <f>IF($A509="","",SUMIFS(tblInv[المتبقي],tblInv[كود العميل],$A509,tblInv[الفترة],C$7))</f>
        <v/>
      </c>
      <c r="D509" s="80">
        <f>IF($A509="","",SUMIFS(tblInv[المتبقي],tblInv[كود العميل],$A509,tblInv[الفترة],D$7))</f>
        <v/>
      </c>
      <c r="E509" s="80">
        <f>IF($A509="","",SUMIFS(tblInv[المتبقي],tblInv[كود العميل],$A509,tblInv[الفترة],E$7))</f>
        <v/>
      </c>
      <c r="F509" s="80">
        <f>IF($A509="","",SUMIFS(tblInv[المتبقي],tblInv[كود العميل],$A509,tblInv[الفترة],F$7))</f>
        <v/>
      </c>
      <c r="G509" s="80">
        <f>IF($A509="","",SUMIFS(tblInv[المتبقي],tblInv[كود العميل],$A509,tblInv[الفترة],G$7))</f>
        <v/>
      </c>
      <c r="H509" s="80">
        <f>IF($A509="","",SUMIFS(tblInv[المتبقي],tblInv[كود العميل],$A509,tblInv[الفترة],H$7))</f>
        <v/>
      </c>
      <c r="I509" s="80">
        <f>IF($A509="","",SUMIFS(tblInv[المتبقي],tblInv[كود العميل],$A509,tblInv[الفترة],I$7))</f>
        <v/>
      </c>
      <c r="J509" s="80">
        <f>IF($A509="","",SUM(C509:I509))</f>
        <v/>
      </c>
      <c r="K509" s="80">
        <f>IF($A509="","",-SUMIFS(tblRec[المبلغ],tblRec[كود العميل],$A509,tblRec[رقم الفاتورة],"",tblRec[التاريخ],"&lt;="&amp;AsOf)+SUMIFS(tblInv[المتبقي],tblInv[كود العميل],$A509,tblInv[المتبقي],"&lt;0"))</f>
        <v/>
      </c>
      <c r="L509" s="81">
        <f>IF($A509="","",J509+K509)</f>
        <v/>
      </c>
      <c r="M509" s="82">
        <f>IF($A509="","",IFERROR(L509/$L$8,0))</f>
        <v/>
      </c>
      <c r="N509" s="80">
        <f>IF($A509="","",INDEX(tblCustomers[حد الائتمان],MATCH($A509,tblCustomers[كود العميل],0)))</f>
        <v/>
      </c>
      <c r="O509" s="83">
        <f>IF($A509="","",IF(AND(N509&gt;0,L509&gt;N509),"⛔",""))</f>
        <v/>
      </c>
    </row>
  </sheetData>
  <sheetProtection selectLockedCells="0" selectUnlockedCells="0" sheet="1" objects="0" insertRows="1" insertHyperlinks="1" autoFilter="0" scenarios="0" formatColumns="1" deleteColumns="1" insertColumns="1" pivotTables="1" deleteRows="1" formatCells="1" formatRows="1" sort="1"/>
  <mergeCells count="16">
    <mergeCell ref="A4:B4"/>
    <mergeCell ref="G4:H4"/>
    <mergeCell ref="I4:J4"/>
    <mergeCell ref="A2:O2"/>
    <mergeCell ref="F4:F5"/>
    <mergeCell ref="A9:B9"/>
    <mergeCell ref="C5:D5"/>
    <mergeCell ref="A5:B5"/>
    <mergeCell ref="G5:H5"/>
    <mergeCell ref="A1:O1"/>
    <mergeCell ref="K5:L5"/>
    <mergeCell ref="I5:J5"/>
    <mergeCell ref="M4:O5"/>
    <mergeCell ref="K4:L4"/>
    <mergeCell ref="A8:B8"/>
    <mergeCell ref="C4:D4"/>
  </mergeCells>
  <conditionalFormatting sqref="K5:L5">
    <cfRule type="expression" priority="1" dxfId="2">
      <formula>ROUND($K$5,2)=0</formula>
    </cfRule>
    <cfRule type="expression" priority="2" dxfId="0">
      <formula>ROUND($K$5,2)&lt;&gt;0</formula>
    </cfRule>
  </conditionalFormatting>
  <conditionalFormatting sqref="M4:O5">
    <cfRule type="expression" priority="3" dxfId="2">
      <formula>ISNUMBER(SEARCH("✓",$M$4))</formula>
    </cfRule>
    <cfRule type="expression" priority="4" dxfId="0">
      <formula>ISNUMBER(SEARCH("⚠",$M$4))</formula>
    </cfRule>
    <cfRule type="expression" priority="5" dxfId="0">
      <formula>ISNUMBER(SEARCH("⛔",$M$4))</formula>
    </cfRule>
    <cfRule type="expression" priority="6" dxfId="3">
      <formula>ISNUMBER(SEARCH("↺",$M$4))</formula>
    </cfRule>
    <cfRule type="expression" priority="7" dxfId="0">
      <formula>ISNUMBER(SEARCH("●",$M$4))</formula>
    </cfRule>
    <cfRule type="expression" priority="8" dxfId="3">
      <formula>ISNUMBER(SEARCH("◐",$M$4))</formula>
    </cfRule>
  </conditionalFormatting>
  <conditionalFormatting sqref="A10:O509">
    <cfRule type="expression" priority="9" dxfId="12">
      <formula>AND($A10&lt;&gt;"",MOD(ROW(),2)=0)</formula>
    </cfRule>
    <cfRule type="expression" priority="10" dxfId="13">
      <formula>$A10&lt;&gt;""</formula>
    </cfRule>
  </conditionalFormatting>
  <conditionalFormatting sqref="C10:C509">
    <cfRule type="colorScale" priority="11">
      <colorScale>
        <cfvo type="num" val="0"/>
        <cfvo type="max"/>
        <color rgb="00FFFFFF"/>
        <color rgb="0043A047"/>
      </colorScale>
    </cfRule>
  </conditionalFormatting>
  <conditionalFormatting sqref="D10:D509">
    <cfRule type="colorScale" priority="12">
      <colorScale>
        <cfvo type="num" val="0"/>
        <cfvo type="max"/>
        <color rgb="00FFFFFF"/>
        <color rgb="009CCC65"/>
      </colorScale>
    </cfRule>
  </conditionalFormatting>
  <conditionalFormatting sqref="E10:E509">
    <cfRule type="colorScale" priority="13">
      <colorScale>
        <cfvo type="num" val="0"/>
        <cfvo type="max"/>
        <color rgb="00FFFFFF"/>
        <color rgb="00FDD835"/>
      </colorScale>
    </cfRule>
  </conditionalFormatting>
  <conditionalFormatting sqref="F10:F509">
    <cfRule type="colorScale" priority="14">
      <colorScale>
        <cfvo type="num" val="0"/>
        <cfvo type="max"/>
        <color rgb="00FFFFFF"/>
        <color rgb="00FFA726"/>
      </colorScale>
    </cfRule>
  </conditionalFormatting>
  <conditionalFormatting sqref="G10:G509">
    <cfRule type="colorScale" priority="15">
      <colorScale>
        <cfvo type="num" val="0"/>
        <cfvo type="max"/>
        <color rgb="00FFFFFF"/>
        <color rgb="00EF6C00"/>
      </colorScale>
    </cfRule>
  </conditionalFormatting>
  <conditionalFormatting sqref="H10:H509">
    <cfRule type="colorScale" priority="16">
      <colorScale>
        <cfvo type="num" val="0"/>
        <cfvo type="max"/>
        <color rgb="00FFFFFF"/>
        <color rgb="00E53935"/>
      </colorScale>
    </cfRule>
  </conditionalFormatting>
  <conditionalFormatting sqref="I10:I509">
    <cfRule type="colorScale" priority="17">
      <colorScale>
        <cfvo type="num" val="0"/>
        <cfvo type="max"/>
        <color rgb="00FFFFFF"/>
        <color rgb="008E0000"/>
      </colorScale>
    </cfRule>
  </conditionalFormatting>
  <conditionalFormatting sqref="O10:O509">
    <cfRule type="expression" priority="18" dxfId="0">
      <formula>O10="⛔"</formula>
    </cfRule>
  </conditionalFormatting>
  <dataValidations count="2">
    <dataValidation sqref="A5" showDropDown="0" showInputMessage="1" showErrorMessage="1" allowBlank="1" errorTitle="قيمة غير مسموحة" error="من فضلك اختر قيمة من القائمة المنسدلة." promptTitle="تنبيه" prompt="فلتر بالمندوب" type="list" errorStyle="stop">
      <formula1>RepFilterList</formula1>
    </dataValidation>
    <dataValidation sqref="C5" showDropDown="0" showInputMessage="1" showErrorMessage="1" allowBlank="1" errorTitle="قيمة غير مسموحة" error="من فضلك اختر قيمة من القائمة المنسدلة." promptTitle="تنبيه" prompt="فلتر بالمدينة" type="list" errorStyle="stop">
      <formula1>CityFilterList</formula1>
    </dataValidation>
  </dataValidations>
  <hyperlinks>
    <hyperlink ref="A3" location="'التعليمات'!A1" display="📘 التعليمات"/>
    <hyperlink ref="B3" location="'الإعدادات'!A1" display="⚙ الإعدادات"/>
    <hyperlink ref="C3" location="'العملاء'!A1" display="👥 العملاء"/>
    <hyperlink ref="D3" location="'الفواتير'!A1" display="🧾 الفواتير"/>
    <hyperlink ref="E3" location="'التحصيلات'!A1" display="💵 التحصيلات"/>
    <hyperlink ref="F3" location="'المخصص'!A1" display="🛡 المخصص"/>
    <hyperlink ref="G3" location="'كشف حساب عميل'!A1" display="📄 كشف حساب"/>
    <hyperlink ref="H3" location="'لوحة التحكم'!A1" display="📈 لوحة التحكم"/>
  </hyperlinks>
  <printOptions horizontalCentered="1"/>
  <pageMargins left="0.4" right="0.4" top="0.5" bottom="0.5"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C5282"/>
    <outlinePr summaryBelow="1" summaryRight="1"/>
    <pageSetUpPr fitToPage="1"/>
  </sheetPr>
  <dimension ref="A1:F22"/>
  <sheetViews>
    <sheetView showGridLines="0" rightToLeft="1" zoomScale="90" workbookViewId="0">
      <pane ySplit="4" topLeftCell="A5" activePane="bottomLeft" state="frozen"/>
      <selection pane="bottomLeft" activeCell="A1" sqref="A1"/>
    </sheetView>
  </sheetViews>
  <sheetFormatPr baseColWidth="8" defaultRowHeight="15"/>
  <cols>
    <col width="34" customWidth="1" min="1" max="1"/>
    <col width="20" customWidth="1" min="2" max="2"/>
    <col width="16" customWidth="1" min="3" max="3"/>
    <col width="22" customWidth="1" min="4" max="4"/>
    <col width="3" customWidth="1" min="5" max="5"/>
    <col width="36" customWidth="1" min="6" max="6"/>
  </cols>
  <sheetData>
    <row r="1" ht="34" customHeight="1">
      <c r="A1" s="1" t="inlineStr">
        <is>
          <t>🛡 مخصص الخسائر الائتمانية المتوقعة (IFRS 9 — المدخل المبسّط)</t>
        </is>
      </c>
      <c r="B1" s="1" t="n"/>
      <c r="C1" s="1" t="n"/>
      <c r="D1" s="1" t="n"/>
    </row>
    <row r="2" ht="20" customHeight="1">
      <c r="A2" s="2">
        <f>CompanyName&amp;"   |   تاريخ التقرير: "&amp;TEXT(AsOf,"dd/mm/yyyy")&amp;"   |   المبالغ بـ "&amp;Currency</f>
        <v/>
      </c>
      <c r="B2" s="2" t="n"/>
      <c r="C2" s="2" t="n"/>
      <c r="D2" s="2" t="n"/>
    </row>
    <row r="3" ht="22" customHeight="1">
      <c r="A3" s="18" t="inlineStr">
        <is>
          <t>📘 التعليمات</t>
        </is>
      </c>
      <c r="B3" s="3" t="inlineStr">
        <is>
          <t>⚙ الإعدادات</t>
        </is>
      </c>
      <c r="C3" s="3" t="inlineStr">
        <is>
          <t>👥 العملاء</t>
        </is>
      </c>
      <c r="D3" s="3" t="inlineStr">
        <is>
          <t>🧾 الفواتير</t>
        </is>
      </c>
    </row>
    <row r="4">
      <c r="A4" s="27" t="inlineStr">
        <is>
          <t>الفترة</t>
        </is>
      </c>
      <c r="B4" s="27" t="inlineStr">
        <is>
          <t>الرصيد</t>
        </is>
      </c>
      <c r="C4" s="27" t="inlineStr">
        <is>
          <t>نسبة الخسارة</t>
        </is>
      </c>
      <c r="D4" s="27" t="inlineStr">
        <is>
          <t>المخصص المطلوب</t>
        </is>
      </c>
      <c r="F4" s="84" t="inlineStr">
        <is>
          <t>ملاحظات</t>
        </is>
      </c>
    </row>
    <row r="5">
      <c r="A5" s="85">
        <f>INDEX(tblBuckets[الفترة],1)</f>
        <v/>
      </c>
      <c r="B5" s="86">
        <f>SUMIFS(tblInv[المتبقي],tblInv[الفترة],A5)</f>
        <v/>
      </c>
      <c r="C5" s="87">
        <f>INDEX(tblBuckets[نسبة المخصص],1)</f>
        <v/>
      </c>
      <c r="D5" s="88">
        <f>ROUND(B5*C5,2)</f>
        <v/>
      </c>
      <c r="F5" s="89" t="inlineStr">
        <is>
          <t>• الرصيد في كل فترة جاي من عمود «المتبقي» في الفواتير.
• النسب من جدول الفترات في الإعدادات.
• الدفعات غير المخصصة مابتدخلش في وعاء المخصص.
• لو «المطلوب تكوينه» موجب = تكوين مصروف، ولو سالب = رد مخصص.</t>
        </is>
      </c>
    </row>
    <row r="6">
      <c r="A6" s="90">
        <f>INDEX(tblBuckets[الفترة],2)</f>
        <v/>
      </c>
      <c r="B6" s="86">
        <f>SUMIFS(tblInv[المتبقي],tblInv[الفترة],A6)</f>
        <v/>
      </c>
      <c r="C6" s="87">
        <f>INDEX(tblBuckets[نسبة المخصص],2)</f>
        <v/>
      </c>
      <c r="D6" s="88">
        <f>ROUND(B6*C6,2)</f>
        <v/>
      </c>
      <c r="F6" s="89" t="n"/>
    </row>
    <row r="7">
      <c r="A7" s="91">
        <f>INDEX(tblBuckets[الفترة],3)</f>
        <v/>
      </c>
      <c r="B7" s="86">
        <f>SUMIFS(tblInv[المتبقي],tblInv[الفترة],A7)</f>
        <v/>
      </c>
      <c r="C7" s="87">
        <f>INDEX(tblBuckets[نسبة المخصص],3)</f>
        <v/>
      </c>
      <c r="D7" s="88">
        <f>ROUND(B7*C7,2)</f>
        <v/>
      </c>
      <c r="F7" s="89" t="n"/>
    </row>
    <row r="8">
      <c r="A8" s="92">
        <f>INDEX(tblBuckets[الفترة],4)</f>
        <v/>
      </c>
      <c r="B8" s="86">
        <f>SUMIFS(tblInv[المتبقي],tblInv[الفترة],A8)</f>
        <v/>
      </c>
      <c r="C8" s="87">
        <f>INDEX(tblBuckets[نسبة المخصص],4)</f>
        <v/>
      </c>
      <c r="D8" s="88">
        <f>ROUND(B8*C8,2)</f>
        <v/>
      </c>
      <c r="F8" s="89" t="n"/>
    </row>
    <row r="9">
      <c r="A9" s="93">
        <f>INDEX(tblBuckets[الفترة],5)</f>
        <v/>
      </c>
      <c r="B9" s="86">
        <f>SUMIFS(tblInv[المتبقي],tblInv[الفترة],A9)</f>
        <v/>
      </c>
      <c r="C9" s="87">
        <f>INDEX(tblBuckets[نسبة المخصص],5)</f>
        <v/>
      </c>
      <c r="D9" s="88">
        <f>ROUND(B9*C9,2)</f>
        <v/>
      </c>
      <c r="F9" s="89" t="n"/>
    </row>
    <row r="10">
      <c r="A10" s="94">
        <f>INDEX(tblBuckets[الفترة],6)</f>
        <v/>
      </c>
      <c r="B10" s="86">
        <f>SUMIFS(tblInv[المتبقي],tblInv[الفترة],A10)</f>
        <v/>
      </c>
      <c r="C10" s="87">
        <f>INDEX(tblBuckets[نسبة المخصص],6)</f>
        <v/>
      </c>
      <c r="D10" s="88">
        <f>ROUND(B10*C10,2)</f>
        <v/>
      </c>
      <c r="F10" s="89" t="n"/>
    </row>
    <row r="11">
      <c r="A11" s="95">
        <f>INDEX(tblBuckets[الفترة],7)</f>
        <v/>
      </c>
      <c r="B11" s="86">
        <f>SUMIFS(tblInv[المتبقي],tblInv[الفترة],A11)</f>
        <v/>
      </c>
      <c r="C11" s="87">
        <f>INDEX(tblBuckets[نسبة المخصص],7)</f>
        <v/>
      </c>
      <c r="D11" s="88">
        <f>ROUND(B11*C11,2)</f>
        <v/>
      </c>
      <c r="F11" s="89" t="n"/>
    </row>
    <row r="12">
      <c r="A12" s="96" t="inlineStr">
        <is>
          <t>الإجمالي</t>
        </is>
      </c>
      <c r="B12" s="97">
        <f>SUM(B5:B11)</f>
        <v/>
      </c>
      <c r="C12" s="98">
        <f>IFERROR(D12/B12,0)</f>
        <v/>
      </c>
      <c r="D12" s="97">
        <f>SUM(D5:D11)</f>
        <v/>
      </c>
    </row>
    <row r="14">
      <c r="A14" s="19" t="inlineStr">
        <is>
          <t>المخصص المطلوب</t>
        </is>
      </c>
      <c r="B14" s="99">
        <f>ProvRequired</f>
        <v/>
      </c>
    </row>
    <row r="15">
      <c r="A15" s="19" t="inlineStr">
        <is>
          <t>رصيد المخصص في الدفاتر</t>
        </is>
      </c>
      <c r="B15" s="99">
        <f>ProvBalance</f>
        <v/>
      </c>
    </row>
    <row r="16">
      <c r="A16" s="19" t="inlineStr">
        <is>
          <t>المطلوب تكوينه (أو ردّه)</t>
        </is>
      </c>
      <c r="B16" s="99">
        <f>ProvRequired-ProvBalance</f>
        <v/>
      </c>
      <c r="C16" s="100">
        <f>IF(ROUND(ProvDiff,2)=0,"لا يلزم قيد",IF(ProvDiff&gt;0,"▲ تكوين","▼ رد"))</f>
        <v/>
      </c>
      <c r="D16" s="100" t="n"/>
    </row>
    <row r="18" ht="22" customHeight="1">
      <c r="A18" s="101" t="inlineStr">
        <is>
          <t>قيد التسوية (جاهز للترحيل)</t>
        </is>
      </c>
      <c r="B18" s="101" t="n"/>
      <c r="C18" s="101" t="n"/>
      <c r="D18" s="101" t="n"/>
    </row>
    <row r="19">
      <c r="A19" s="102" t="inlineStr">
        <is>
          <t>الحساب</t>
        </is>
      </c>
      <c r="B19" s="102" t="inlineStr">
        <is>
          <t>مدين</t>
        </is>
      </c>
      <c r="C19" s="102" t="inlineStr">
        <is>
          <t>دائن</t>
        </is>
      </c>
      <c r="D19" s="102" t="inlineStr"/>
    </row>
    <row r="20">
      <c r="A20" s="11">
        <f>IF(ROUND(ProvDiff,2)=0,"—",IF(ProvDiff&gt;0,"مصروف خسائر ائتمانية متوقعة","مخصص خسائر ائتمانية متوقعة"))</f>
        <v/>
      </c>
      <c r="B20" s="103">
        <f>IF(ROUND(ProvDiff,2)=0,0,ABS(ProvDiff))</f>
        <v/>
      </c>
      <c r="C20" s="104" t="n"/>
    </row>
    <row r="21">
      <c r="A21" s="105">
        <f>IF(ROUND(ProvDiff,2)=0,"—",IF(ProvDiff&gt;0,"مخصص خسائر ائتمانية متوقعة","رد مخصص / إيرادات أخرى"))</f>
        <v/>
      </c>
      <c r="B21" s="104" t="n"/>
      <c r="C21" s="103">
        <f>IF(ROUND(ProvDiff,2)=0,0,ABS(ProvDiff))</f>
        <v/>
      </c>
    </row>
    <row r="22" ht="30" customHeight="1">
      <c r="A22" s="106">
        <f>"البيان: تسوية مخصص الخسائر الائتمانية المتوقعة عن الفترة المنتهية في "&amp;TEXT(AsOf,"dd/mm/yyyy")</f>
        <v/>
      </c>
      <c r="B22" s="106" t="n"/>
      <c r="C22" s="106" t="n"/>
      <c r="D22" s="106" t="n"/>
    </row>
  </sheetData>
  <sheetProtection selectLockedCells="0" selectUnlockedCells="0" sheet="1" objects="0" insertRows="1" insertHyperlinks="1" autoFilter="1" scenarios="0" formatColumns="1" deleteColumns="1" insertColumns="1" pivotTables="1" deleteRows="1" formatCells="1" formatRows="1" sort="1"/>
  <mergeCells count="6">
    <mergeCell ref="A1:D1"/>
    <mergeCell ref="A18:D18"/>
    <mergeCell ref="F5:F11"/>
    <mergeCell ref="C16:D16"/>
    <mergeCell ref="A22:D22"/>
    <mergeCell ref="A2:D2"/>
  </mergeCells>
  <conditionalFormatting sqref="B16:D16">
    <cfRule type="expression" priority="1" dxfId="4">
      <formula>ProvDiff&gt;0</formula>
    </cfRule>
    <cfRule type="expression" priority="2" dxfId="14">
      <formula>ProvDiff&lt;0</formula>
    </cfRule>
  </conditionalFormatting>
  <hyperlinks>
    <hyperlink ref="A3" location="'التعليمات'!A1" display="📘 التعليمات"/>
    <hyperlink ref="B3" location="'الإعدادات'!A1" display="⚙ الإعدادات"/>
    <hyperlink ref="C3" location="'العملاء'!A1" display="👥 العملاء"/>
    <hyperlink ref="D3" location="'الفواتير'!A1" display="🧾 الفواتير"/>
  </hyperlinks>
  <printOptions horizontalCentered="1"/>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2C5282"/>
    <outlinePr summaryBelow="1" summaryRight="1"/>
    <pageSetUpPr fitToPage="1"/>
  </sheetPr>
  <dimension ref="A1:O255"/>
  <sheetViews>
    <sheetView showGridLines="0" rightToLeft="1" zoomScale="9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62" customWidth="1" min="4" max="4"/>
    <col width="15" customWidth="1" min="5" max="5"/>
    <col width="15" customWidth="1" min="6" max="6"/>
    <col width="16" customWidth="1" min="7" max="7"/>
    <col width="3" customWidth="1" min="8" max="8"/>
    <col width="14" customWidth="1" min="9" max="9"/>
    <col width="22" customWidth="1" min="10" max="10"/>
    <col hidden="1" width="6" customWidth="1" min="12" max="12"/>
    <col hidden="1" width="6" customWidth="1" min="13" max="13"/>
    <col hidden="1" width="6" customWidth="1" min="14" max="14"/>
    <col hidden="1" width="6" customWidth="1" min="15" max="15"/>
  </cols>
  <sheetData>
    <row r="1" ht="32" customHeight="1">
      <c r="A1" s="1">
        <f>CompanyName</f>
        <v/>
      </c>
      <c r="B1" s="1" t="n"/>
      <c r="C1" s="1" t="n"/>
      <c r="D1" s="1" t="n"/>
      <c r="E1" s="1" t="n"/>
      <c r="F1" s="1" t="n"/>
      <c r="G1" s="1" t="n"/>
      <c r="I1" s="107" t="inlineStr">
        <is>
          <t>📄 اختيارات الكشف</t>
        </is>
      </c>
      <c r="J1" s="107" t="n"/>
    </row>
    <row r="2" ht="24" customHeight="1">
      <c r="A2" s="108">
        <f>"كشف حساب: "&amp;StName&amp;"   |   كود: "&amp;StCust&amp;IF(StVat&lt;&gt;"","   |   الرقم الضريبي: "&amp;StVat,"")</f>
        <v/>
      </c>
      <c r="B2" s="108" t="n"/>
      <c r="C2" s="108" t="n"/>
      <c r="D2" s="108" t="n"/>
      <c r="E2" s="108" t="n"/>
      <c r="F2" s="108" t="n"/>
      <c r="G2" s="108" t="n"/>
      <c r="I2" s="19" t="inlineStr">
        <is>
          <t>كود العميل</t>
        </is>
      </c>
      <c r="J2" s="109" t="inlineStr">
        <is>
          <t>C002</t>
        </is>
      </c>
    </row>
    <row r="3" ht="22" customHeight="1">
      <c r="A3" s="110">
        <f>"عن الفترة من "&amp;TEXT(StFrom,"dd/mm/yyyy")&amp;" إلى "&amp;TEXT(StTo,"dd/mm/yyyy")&amp;"     |     الرصيد الافتتاحي: "&amp;TEXT(StOpen,"#,##0.00")&amp;"     |     الرصيد الختامي: "&amp;TEXT(StClose,"#,##0.00")&amp;" "&amp;Currency</f>
        <v/>
      </c>
      <c r="B3" s="110" t="n"/>
      <c r="C3" s="110" t="n"/>
      <c r="D3" s="110" t="n"/>
      <c r="E3" s="110" t="n"/>
      <c r="F3" s="110" t="n"/>
      <c r="G3" s="110" t="n"/>
      <c r="I3" s="19" t="inlineStr">
        <is>
          <t>من تاريخ</t>
        </is>
      </c>
      <c r="J3" s="111" t="n">
        <v>46023</v>
      </c>
    </row>
    <row r="4" ht="26" customHeight="1">
      <c r="A4" s="27" t="inlineStr">
        <is>
          <t>التاريخ</t>
        </is>
      </c>
      <c r="B4" s="27" t="inlineStr">
        <is>
          <t>النوع</t>
        </is>
      </c>
      <c r="C4" s="27" t="inlineStr">
        <is>
          <t>المرجع</t>
        </is>
      </c>
      <c r="D4" s="27" t="inlineStr">
        <is>
          <t>البيان</t>
        </is>
      </c>
      <c r="E4" s="27" t="inlineStr">
        <is>
          <t>مدين</t>
        </is>
      </c>
      <c r="F4" s="27" t="inlineStr">
        <is>
          <t>دائن</t>
        </is>
      </c>
      <c r="G4" s="27" t="inlineStr">
        <is>
          <t>الرصيد</t>
        </is>
      </c>
      <c r="I4" s="19" t="inlineStr">
        <is>
          <t>إلى تاريخ</t>
        </is>
      </c>
      <c r="J4" s="111">
        <f>AsOf</f>
        <v/>
      </c>
    </row>
    <row r="5">
      <c r="A5" s="112">
        <f>StFrom</f>
        <v/>
      </c>
      <c r="B5" s="113" t="inlineStr">
        <is>
          <t>—</t>
        </is>
      </c>
      <c r="C5" s="113" t="inlineStr">
        <is>
          <t>—</t>
        </is>
      </c>
      <c r="D5" s="19" t="inlineStr">
        <is>
          <t>رصيد افتتاحي</t>
        </is>
      </c>
      <c r="E5" s="114" t="n"/>
      <c r="F5" s="114" t="n"/>
      <c r="G5" s="115">
        <f>StOpen</f>
        <v/>
      </c>
      <c r="I5" s="19" t="inlineStr">
        <is>
          <t>اسم العميل</t>
        </is>
      </c>
      <c r="J5" s="116">
        <f>IFERROR(INDEX(tblCustomers[اسم العميل],MATCH(StCust,tblCustomers[كود العميل],0)),"⚠ اختار عميل")</f>
        <v/>
      </c>
    </row>
    <row r="6">
      <c r="A6" s="117">
        <f>IF($M6="m",IF($N6&lt;&gt;"",INDEX(tblInv[تاريخ الفاتورة],$N6),INDEX(tblRec[التاريخ],$O6)),IF($M6="l",INDEX(tblBuckets[الفترة],1),IF($M6="v",TEXT(SUMIFS(tblInv[المتبقي],tblInv[كود العميل],StCust,tblInv[الفترة],INDEX(tblBuckets[الفترة],1)),"#,##0.00;-#,##0.00;-"),"")))</f>
        <v/>
      </c>
      <c r="B6" s="83">
        <f>IF($M6="m",IF($N6&lt;&gt;"","فاتورة",INDEX(tblRec[النوع],$O6)),IF($M6="l",INDEX(tblBuckets[الفترة],2),IF($M6="v",TEXT(SUMIFS(tblInv[المتبقي],tblInv[كود العميل],StCust,tblInv[الفترة],INDEX(tblBuckets[الفترة],2)),"#,##0.00;-#,##0.00;-"),"")))</f>
        <v/>
      </c>
      <c r="C6" s="83">
        <f>IF($M6="m",IF($N6&lt;&gt;"",INDEX(tblInv[رقم الفاتورة],$N6),INDEX(tblRec[رقم السند],$O6)),IF($M6="l",INDEX(tblBuckets[الفترة],3),IF($M6="v",TEXT(SUMIFS(tblInv[المتبقي],tblInv[كود العميل],StCust,tblInv[الفترة],INDEX(tblBuckets[الفترة],3)),"#,##0.00;-#,##0.00;-"),"")))</f>
        <v/>
      </c>
      <c r="D6" s="118">
        <f>IF($M6="m",IF($N6&lt;&gt;"","فاتورة مبيعات — استحقاق "&amp;TEXT(INDEX(tblInv[تاريخ الاستحقاق],$N6),"dd/mm/yyyy")&amp;IF(INDEX(tblInv[ملاحظات],$N6)&amp;""&lt;&gt;""," — "&amp;INDEX(tblInv[ملاحظات],$N6),""),INDEX(tblRec[النوع],$O6)&amp;IF(INDEX(tblRec[طريقة الدفع],$O6)&amp;""&lt;&gt;""," ("&amp;INDEX(tblRec[طريقة الدفع],$O6)&amp;")","")&amp;IF(INDEX(tblRec[رقم الفاتورة],$O6)&amp;""&lt;&gt;""," — عن فاتورة "&amp;INDEX(tblRec[رقم الفاتورة],$O6)," — دفعة على الحساب")),IF($M6="l",INDEX(tblBuckets[الفترة],4),IF($M6="v",TEXT(SUMIFS(tblInv[المتبقي],tblInv[كود العميل],StCust,tblInv[الفترة],INDEX(tblBuckets[الفترة],4)),"#,##0.00;-#,##0.00;-"),IF($M6="t","ملخص أعمار رصيد العميل كما في "&amp;TEXT(AsOf,"dd/mm/yyyy"),IF($M6="p","يُرجى مطابقة الرصيد وإفادتنا خلال 15 يوماً، وإلا اعتُبر الرصيد صحيحاً.","")))))</f>
        <v/>
      </c>
      <c r="E6" s="119">
        <f>IF($M6="m",IF($N6&lt;&gt;"",INDEX(tblInv[الإجمالي],$N6),0),IF($M6="l",INDEX(tblBuckets[الفترة],5),IF($M6="v",TEXT(SUMIFS(tblInv[المتبقي],tblInv[كود العميل],StCust,tblInv[الفترة],INDEX(tblBuckets[الفترة],5)),"#,##0.00;-#,##0.00;-"),"")))</f>
        <v/>
      </c>
      <c r="F6" s="119">
        <f>IF($M6="m",IF($O6&lt;&gt;"",INDEX(tblRec[المبلغ],$O6),0),IF($M6="l",INDEX(tblBuckets[الفترة],6),IF($M6="v",TEXT(SUMIFS(tblInv[المتبقي],tblInv[كود العميل],StCust,tblInv[الفترة],INDEX(tblBuckets[الفترة],6)),"#,##0.00;-#,##0.00;-"),"")))</f>
        <v/>
      </c>
      <c r="G6" s="120">
        <f>IF($M6="m",N(G5)+E6-F6,IF($M6="l",INDEX(tblBuckets[الفترة],7),IF($M6="v",TEXT(SUMIFS(tblInv[المتبقي],tblInv[كود العميل],StCust,tblInv[الفترة],INDEX(tblBuckets[الفترة],7)),"#,##0.00;-#,##0.00;-"),"")))</f>
        <v/>
      </c>
      <c r="I6" s="19" t="inlineStr">
        <is>
          <t>الرقم الضريبي</t>
        </is>
      </c>
      <c r="J6" s="121">
        <f>IFERROR(INDEX(tblCustomers[الرقم الضريبي],MATCH(StCust,tblCustomers[كود العميل],0))&amp;"","")</f>
        <v/>
      </c>
      <c r="L6" t="n">
        <v>1</v>
      </c>
      <c r="M6">
        <f>IF(L6&lt;=StCount,"m",IF(L6=StCount+2,"t",IF(L6=StCount+3,"l",IF(L6=StCount+4,"v",IF(L6=StCount+6,"p","")))))</f>
        <v/>
      </c>
      <c r="N6">
        <f>IF(M6="m",IFERROR(MATCH(L6,tblInv[ترتيب الكشف],0),""),"")</f>
        <v/>
      </c>
      <c r="O6">
        <f>IF(AND(M6="m",N6=""),IFERROR(MATCH(L6,tblRec[ترتيب الكشف],0),""),"")</f>
        <v/>
      </c>
    </row>
    <row r="7">
      <c r="A7" s="117">
        <f>IF($M7="m",IF($N7&lt;&gt;"",INDEX(tblInv[تاريخ الفاتورة],$N7),INDEX(tblRec[التاريخ],$O7)),IF($M7="l",INDEX(tblBuckets[الفترة],1),IF($M7="v",TEXT(SUMIFS(tblInv[المتبقي],tblInv[كود العميل],StCust,tblInv[الفترة],INDEX(tblBuckets[الفترة],1)),"#,##0.00;-#,##0.00;-"),"")))</f>
        <v/>
      </c>
      <c r="B7" s="83">
        <f>IF($M7="m",IF($N7&lt;&gt;"","فاتورة",INDEX(tblRec[النوع],$O7)),IF($M7="l",INDEX(tblBuckets[الفترة],2),IF($M7="v",TEXT(SUMIFS(tblInv[المتبقي],tblInv[كود العميل],StCust,tblInv[الفترة],INDEX(tblBuckets[الفترة],2)),"#,##0.00;-#,##0.00;-"),"")))</f>
        <v/>
      </c>
      <c r="C7" s="83">
        <f>IF($M7="m",IF($N7&lt;&gt;"",INDEX(tblInv[رقم الفاتورة],$N7),INDEX(tblRec[رقم السند],$O7)),IF($M7="l",INDEX(tblBuckets[الفترة],3),IF($M7="v",TEXT(SUMIFS(tblInv[المتبقي],tblInv[كود العميل],StCust,tblInv[الفترة],INDEX(tblBuckets[الفترة],3)),"#,##0.00;-#,##0.00;-"),"")))</f>
        <v/>
      </c>
      <c r="D7" s="118">
        <f>IF($M7="m",IF($N7&lt;&gt;"","فاتورة مبيعات — استحقاق "&amp;TEXT(INDEX(tblInv[تاريخ الاستحقاق],$N7),"dd/mm/yyyy")&amp;IF(INDEX(tblInv[ملاحظات],$N7)&amp;""&lt;&gt;""," — "&amp;INDEX(tblInv[ملاحظات],$N7),""),INDEX(tblRec[النوع],$O7)&amp;IF(INDEX(tblRec[طريقة الدفع],$O7)&amp;""&lt;&gt;""," ("&amp;INDEX(tblRec[طريقة الدفع],$O7)&amp;")","")&amp;IF(INDEX(tblRec[رقم الفاتورة],$O7)&amp;""&lt;&gt;""," — عن فاتورة "&amp;INDEX(tblRec[رقم الفاتورة],$O7)," — دفعة على الحساب")),IF($M7="l",INDEX(tblBuckets[الفترة],4),IF($M7="v",TEXT(SUMIFS(tblInv[المتبقي],tblInv[كود العميل],StCust,tblInv[الفترة],INDEX(tblBuckets[الفترة],4)),"#,##0.00;-#,##0.00;-"),IF($M7="t","ملخص أعمار رصيد العميل كما في "&amp;TEXT(AsOf,"dd/mm/yyyy"),IF($M7="p","يُرجى مطابقة الرصيد وإفادتنا خلال 15 يوماً، وإلا اعتُبر الرصيد صحيحاً.","")))))</f>
        <v/>
      </c>
      <c r="E7" s="119">
        <f>IF($M7="m",IF($N7&lt;&gt;"",INDEX(tblInv[الإجمالي],$N7),0),IF($M7="l",INDEX(tblBuckets[الفترة],5),IF($M7="v",TEXT(SUMIFS(tblInv[المتبقي],tblInv[كود العميل],StCust,tblInv[الفترة],INDEX(tblBuckets[الفترة],5)),"#,##0.00;-#,##0.00;-"),"")))</f>
        <v/>
      </c>
      <c r="F7" s="119">
        <f>IF($M7="m",IF($O7&lt;&gt;"",INDEX(tblRec[المبلغ],$O7),0),IF($M7="l",INDEX(tblBuckets[الفترة],6),IF($M7="v",TEXT(SUMIFS(tblInv[المتبقي],tblInv[كود العميل],StCust,tblInv[الفترة],INDEX(tblBuckets[الفترة],6)),"#,##0.00;-#,##0.00;-"),"")))</f>
        <v/>
      </c>
      <c r="G7" s="120">
        <f>IF($M7="m",N(G6)+E7-F7,IF($M7="l",INDEX(tblBuckets[الفترة],7),IF($M7="v",TEXT(SUMIFS(tblInv[المتبقي],tblInv[كود العميل],StCust,tblInv[الفترة],INDEX(tblBuckets[الفترة],7)),"#,##0.00;-#,##0.00;-"),"")))</f>
        <v/>
      </c>
      <c r="I7" s="19" t="inlineStr">
        <is>
          <t>الرصيد الافتتاحي</t>
        </is>
      </c>
      <c r="J7" s="103">
        <f>SUMIFS(tblInv[الإجمالي],tblInv[كود العميل],StCust,tblInv[تاريخ الفاتورة],"&lt;"&amp;StFrom)-SUMIFS(tblRec[المبلغ],tblRec[كود العميل],StCust,tblRec[التاريخ],"&lt;"&amp;StFrom)</f>
        <v/>
      </c>
      <c r="L7" t="n">
        <v>2</v>
      </c>
      <c r="M7">
        <f>IF(L7&lt;=StCount,"m",IF(L7=StCount+2,"t",IF(L7=StCount+3,"l",IF(L7=StCount+4,"v",IF(L7=StCount+6,"p","")))))</f>
        <v/>
      </c>
      <c r="N7">
        <f>IF(M7="m",IFERROR(MATCH(L7,tblInv[ترتيب الكشف],0),""),"")</f>
        <v/>
      </c>
      <c r="O7">
        <f>IF(AND(M7="m",N7=""),IFERROR(MATCH(L7,tblRec[ترتيب الكشف],0),""),"")</f>
        <v/>
      </c>
    </row>
    <row r="8">
      <c r="A8" s="117">
        <f>IF($M8="m",IF($N8&lt;&gt;"",INDEX(tblInv[تاريخ الفاتورة],$N8),INDEX(tblRec[التاريخ],$O8)),IF($M8="l",INDEX(tblBuckets[الفترة],1),IF($M8="v",TEXT(SUMIFS(tblInv[المتبقي],tblInv[كود العميل],StCust,tblInv[الفترة],INDEX(tblBuckets[الفترة],1)),"#,##0.00;-#,##0.00;-"),"")))</f>
        <v/>
      </c>
      <c r="B8" s="83">
        <f>IF($M8="m",IF($N8&lt;&gt;"","فاتورة",INDEX(tblRec[النوع],$O8)),IF($M8="l",INDEX(tblBuckets[الفترة],2),IF($M8="v",TEXT(SUMIFS(tblInv[المتبقي],tblInv[كود العميل],StCust,tblInv[الفترة],INDEX(tblBuckets[الفترة],2)),"#,##0.00;-#,##0.00;-"),"")))</f>
        <v/>
      </c>
      <c r="C8" s="83">
        <f>IF($M8="m",IF($N8&lt;&gt;"",INDEX(tblInv[رقم الفاتورة],$N8),INDEX(tblRec[رقم السند],$O8)),IF($M8="l",INDEX(tblBuckets[الفترة],3),IF($M8="v",TEXT(SUMIFS(tblInv[المتبقي],tblInv[كود العميل],StCust,tblInv[الفترة],INDEX(tblBuckets[الفترة],3)),"#,##0.00;-#,##0.00;-"),"")))</f>
        <v/>
      </c>
      <c r="D8" s="118">
        <f>IF($M8="m",IF($N8&lt;&gt;"","فاتورة مبيعات — استحقاق "&amp;TEXT(INDEX(tblInv[تاريخ الاستحقاق],$N8),"dd/mm/yyyy")&amp;IF(INDEX(tblInv[ملاحظات],$N8)&amp;""&lt;&gt;""," — "&amp;INDEX(tblInv[ملاحظات],$N8),""),INDEX(tblRec[النوع],$O8)&amp;IF(INDEX(tblRec[طريقة الدفع],$O8)&amp;""&lt;&gt;""," ("&amp;INDEX(tblRec[طريقة الدفع],$O8)&amp;")","")&amp;IF(INDEX(tblRec[رقم الفاتورة],$O8)&amp;""&lt;&gt;""," — عن فاتورة "&amp;INDEX(tblRec[رقم الفاتورة],$O8)," — دفعة على الحساب")),IF($M8="l",INDEX(tblBuckets[الفترة],4),IF($M8="v",TEXT(SUMIFS(tblInv[المتبقي],tblInv[كود العميل],StCust,tblInv[الفترة],INDEX(tblBuckets[الفترة],4)),"#,##0.00;-#,##0.00;-"),IF($M8="t","ملخص أعمار رصيد العميل كما في "&amp;TEXT(AsOf,"dd/mm/yyyy"),IF($M8="p","يُرجى مطابقة الرصيد وإفادتنا خلال 15 يوماً، وإلا اعتُبر الرصيد صحيحاً.","")))))</f>
        <v/>
      </c>
      <c r="E8" s="119">
        <f>IF($M8="m",IF($N8&lt;&gt;"",INDEX(tblInv[الإجمالي],$N8),0),IF($M8="l",INDEX(tblBuckets[الفترة],5),IF($M8="v",TEXT(SUMIFS(tblInv[المتبقي],tblInv[كود العميل],StCust,tblInv[الفترة],INDEX(tblBuckets[الفترة],5)),"#,##0.00;-#,##0.00;-"),"")))</f>
        <v/>
      </c>
      <c r="F8" s="119">
        <f>IF($M8="m",IF($O8&lt;&gt;"",INDEX(tblRec[المبلغ],$O8),0),IF($M8="l",INDEX(tblBuckets[الفترة],6),IF($M8="v",TEXT(SUMIFS(tblInv[المتبقي],tblInv[كود العميل],StCust,tblInv[الفترة],INDEX(tblBuckets[الفترة],6)),"#,##0.00;-#,##0.00;-"),"")))</f>
        <v/>
      </c>
      <c r="G8" s="120">
        <f>IF($M8="m",N(G7)+E8-F8,IF($M8="l",INDEX(tblBuckets[الفترة],7),IF($M8="v",TEXT(SUMIFS(tblInv[المتبقي],tblInv[كود العميل],StCust,tblInv[الفترة],INDEX(tblBuckets[الفترة],7)),"#,##0.00;-#,##0.00;-"),"")))</f>
        <v/>
      </c>
      <c r="I8" s="19" t="inlineStr">
        <is>
          <t>عدد الحركات</t>
        </is>
      </c>
      <c r="J8" s="122">
        <f>COUNT(tblInv[ترتيب الكشف])+COUNT(tblRec[ترتيب الكشف])</f>
        <v/>
      </c>
      <c r="L8" t="n">
        <v>3</v>
      </c>
      <c r="M8">
        <f>IF(L8&lt;=StCount,"m",IF(L8=StCount+2,"t",IF(L8=StCount+3,"l",IF(L8=StCount+4,"v",IF(L8=StCount+6,"p","")))))</f>
        <v/>
      </c>
      <c r="N8">
        <f>IF(M8="m",IFERROR(MATCH(L8,tblInv[ترتيب الكشف],0),""),"")</f>
        <v/>
      </c>
      <c r="O8">
        <f>IF(AND(M8="m",N8=""),IFERROR(MATCH(L8,tblRec[ترتيب الكشف],0),""),"")</f>
        <v/>
      </c>
    </row>
    <row r="9">
      <c r="A9" s="117">
        <f>IF($M9="m",IF($N9&lt;&gt;"",INDEX(tblInv[تاريخ الفاتورة],$N9),INDEX(tblRec[التاريخ],$O9)),IF($M9="l",INDEX(tblBuckets[الفترة],1),IF($M9="v",TEXT(SUMIFS(tblInv[المتبقي],tblInv[كود العميل],StCust,tblInv[الفترة],INDEX(tblBuckets[الفترة],1)),"#,##0.00;-#,##0.00;-"),"")))</f>
        <v/>
      </c>
      <c r="B9" s="83">
        <f>IF($M9="m",IF($N9&lt;&gt;"","فاتورة",INDEX(tblRec[النوع],$O9)),IF($M9="l",INDEX(tblBuckets[الفترة],2),IF($M9="v",TEXT(SUMIFS(tblInv[المتبقي],tblInv[كود العميل],StCust,tblInv[الفترة],INDEX(tblBuckets[الفترة],2)),"#,##0.00;-#,##0.00;-"),"")))</f>
        <v/>
      </c>
      <c r="C9" s="83">
        <f>IF($M9="m",IF($N9&lt;&gt;"",INDEX(tblInv[رقم الفاتورة],$N9),INDEX(tblRec[رقم السند],$O9)),IF($M9="l",INDEX(tblBuckets[الفترة],3),IF($M9="v",TEXT(SUMIFS(tblInv[المتبقي],tblInv[كود العميل],StCust,tblInv[الفترة],INDEX(tblBuckets[الفترة],3)),"#,##0.00;-#,##0.00;-"),"")))</f>
        <v/>
      </c>
      <c r="D9" s="118">
        <f>IF($M9="m",IF($N9&lt;&gt;"","فاتورة مبيعات — استحقاق "&amp;TEXT(INDEX(tblInv[تاريخ الاستحقاق],$N9),"dd/mm/yyyy")&amp;IF(INDEX(tblInv[ملاحظات],$N9)&amp;""&lt;&gt;""," — "&amp;INDEX(tblInv[ملاحظات],$N9),""),INDEX(tblRec[النوع],$O9)&amp;IF(INDEX(tblRec[طريقة الدفع],$O9)&amp;""&lt;&gt;""," ("&amp;INDEX(tblRec[طريقة الدفع],$O9)&amp;")","")&amp;IF(INDEX(tblRec[رقم الفاتورة],$O9)&amp;""&lt;&gt;""," — عن فاتورة "&amp;INDEX(tblRec[رقم الفاتورة],$O9)," — دفعة على الحساب")),IF($M9="l",INDEX(tblBuckets[الفترة],4),IF($M9="v",TEXT(SUMIFS(tblInv[المتبقي],tblInv[كود العميل],StCust,tblInv[الفترة],INDEX(tblBuckets[الفترة],4)),"#,##0.00;-#,##0.00;-"),IF($M9="t","ملخص أعمار رصيد العميل كما في "&amp;TEXT(AsOf,"dd/mm/yyyy"),IF($M9="p","يُرجى مطابقة الرصيد وإفادتنا خلال 15 يوماً، وإلا اعتُبر الرصيد صحيحاً.","")))))</f>
        <v/>
      </c>
      <c r="E9" s="119">
        <f>IF($M9="m",IF($N9&lt;&gt;"",INDEX(tblInv[الإجمالي],$N9),0),IF($M9="l",INDEX(tblBuckets[الفترة],5),IF($M9="v",TEXT(SUMIFS(tblInv[المتبقي],tblInv[كود العميل],StCust,tblInv[الفترة],INDEX(tblBuckets[الفترة],5)),"#,##0.00;-#,##0.00;-"),"")))</f>
        <v/>
      </c>
      <c r="F9" s="119">
        <f>IF($M9="m",IF($O9&lt;&gt;"",INDEX(tblRec[المبلغ],$O9),0),IF($M9="l",INDEX(tblBuckets[الفترة],6),IF($M9="v",TEXT(SUMIFS(tblInv[المتبقي],tblInv[كود العميل],StCust,tblInv[الفترة],INDEX(tblBuckets[الفترة],6)),"#,##0.00;-#,##0.00;-"),"")))</f>
        <v/>
      </c>
      <c r="G9" s="120">
        <f>IF($M9="m",N(G8)+E9-F9,IF($M9="l",INDEX(tblBuckets[الفترة],7),IF($M9="v",TEXT(SUMIFS(tblInv[المتبقي],tblInv[كود العميل],StCust,tblInv[الفترة],INDEX(tblBuckets[الفترة],7)),"#,##0.00;-#,##0.00;-"),"")))</f>
        <v/>
      </c>
      <c r="I9" s="19" t="inlineStr">
        <is>
          <t>الرصيد الختامي</t>
        </is>
      </c>
      <c r="J9" s="99">
        <f>G5+SUMIF($M$6:$M$255,"m",$E$6:$E$255)-SUMIF($M$6:$M$255,"m",$F$6:$F$255)</f>
        <v/>
      </c>
      <c r="L9" t="n">
        <v>4</v>
      </c>
      <c r="M9">
        <f>IF(L9&lt;=StCount,"m",IF(L9=StCount+2,"t",IF(L9=StCount+3,"l",IF(L9=StCount+4,"v",IF(L9=StCount+6,"p","")))))</f>
        <v/>
      </c>
      <c r="N9">
        <f>IF(M9="m",IFERROR(MATCH(L9,tblInv[ترتيب الكشف],0),""),"")</f>
        <v/>
      </c>
      <c r="O9">
        <f>IF(AND(M9="m",N9=""),IFERROR(MATCH(L9,tblRec[ترتيب الكشف],0),""),"")</f>
        <v/>
      </c>
    </row>
    <row r="10">
      <c r="A10" s="117">
        <f>IF($M10="m",IF($N10&lt;&gt;"",INDEX(tblInv[تاريخ الفاتورة],$N10),INDEX(tblRec[التاريخ],$O10)),IF($M10="l",INDEX(tblBuckets[الفترة],1),IF($M10="v",TEXT(SUMIFS(tblInv[المتبقي],tblInv[كود العميل],StCust,tblInv[الفترة],INDEX(tblBuckets[الفترة],1)),"#,##0.00;-#,##0.00;-"),"")))</f>
        <v/>
      </c>
      <c r="B10" s="83">
        <f>IF($M10="m",IF($N10&lt;&gt;"","فاتورة",INDEX(tblRec[النوع],$O10)),IF($M10="l",INDEX(tblBuckets[الفترة],2),IF($M10="v",TEXT(SUMIFS(tblInv[المتبقي],tblInv[كود العميل],StCust,tblInv[الفترة],INDEX(tblBuckets[الفترة],2)),"#,##0.00;-#,##0.00;-"),"")))</f>
        <v/>
      </c>
      <c r="C10" s="83">
        <f>IF($M10="m",IF($N10&lt;&gt;"",INDEX(tblInv[رقم الفاتورة],$N10),INDEX(tblRec[رقم السند],$O10)),IF($M10="l",INDEX(tblBuckets[الفترة],3),IF($M10="v",TEXT(SUMIFS(tblInv[المتبقي],tblInv[كود العميل],StCust,tblInv[الفترة],INDEX(tblBuckets[الفترة],3)),"#,##0.00;-#,##0.00;-"),"")))</f>
        <v/>
      </c>
      <c r="D10" s="118">
        <f>IF($M10="m",IF($N10&lt;&gt;"","فاتورة مبيعات — استحقاق "&amp;TEXT(INDEX(tblInv[تاريخ الاستحقاق],$N10),"dd/mm/yyyy")&amp;IF(INDEX(tblInv[ملاحظات],$N10)&amp;""&lt;&gt;""," — "&amp;INDEX(tblInv[ملاحظات],$N10),""),INDEX(tblRec[النوع],$O10)&amp;IF(INDEX(tblRec[طريقة الدفع],$O10)&amp;""&lt;&gt;""," ("&amp;INDEX(tblRec[طريقة الدفع],$O10)&amp;")","")&amp;IF(INDEX(tblRec[رقم الفاتورة],$O10)&amp;""&lt;&gt;""," — عن فاتورة "&amp;INDEX(tblRec[رقم الفاتورة],$O10)," — دفعة على الحساب")),IF($M10="l",INDEX(tblBuckets[الفترة],4),IF($M10="v",TEXT(SUMIFS(tblInv[المتبقي],tblInv[كود العميل],StCust,tblInv[الفترة],INDEX(tblBuckets[الفترة],4)),"#,##0.00;-#,##0.00;-"),IF($M10="t","ملخص أعمار رصيد العميل كما في "&amp;TEXT(AsOf,"dd/mm/yyyy"),IF($M10="p","يُرجى مطابقة الرصيد وإفادتنا خلال 15 يوماً، وإلا اعتُبر الرصيد صحيحاً.","")))))</f>
        <v/>
      </c>
      <c r="E10" s="119">
        <f>IF($M10="m",IF($N10&lt;&gt;"",INDEX(tblInv[الإجمالي],$N10),0),IF($M10="l",INDEX(tblBuckets[الفترة],5),IF($M10="v",TEXT(SUMIFS(tblInv[المتبقي],tblInv[كود العميل],StCust,tblInv[الفترة],INDEX(tblBuckets[الفترة],5)),"#,##0.00;-#,##0.00;-"),"")))</f>
        <v/>
      </c>
      <c r="F10" s="119">
        <f>IF($M10="m",IF($O10&lt;&gt;"",INDEX(tblRec[المبلغ],$O10),0),IF($M10="l",INDEX(tblBuckets[الفترة],6),IF($M10="v",TEXT(SUMIFS(tblInv[المتبقي],tblInv[كود العميل],StCust,tblInv[الفترة],INDEX(tblBuckets[الفترة],6)),"#,##0.00;-#,##0.00;-"),"")))</f>
        <v/>
      </c>
      <c r="G10" s="120">
        <f>IF($M10="m",N(G9)+E10-F10,IF($M10="l",INDEX(tblBuckets[الفترة],7),IF($M10="v",TEXT(SUMIFS(tblInv[المتبقي],tblInv[كود العميل],StCust,tblInv[الفترة],INDEX(tblBuckets[الفترة],7)),"#,##0.00;-#,##0.00;-"),"")))</f>
        <v/>
      </c>
      <c r="L10" t="n">
        <v>5</v>
      </c>
      <c r="M10">
        <f>IF(L10&lt;=StCount,"m",IF(L10=StCount+2,"t",IF(L10=StCount+3,"l",IF(L10=StCount+4,"v",IF(L10=StCount+6,"p","")))))</f>
        <v/>
      </c>
      <c r="N10">
        <f>IF(M10="m",IFERROR(MATCH(L10,tblInv[ترتيب الكشف],0),""),"")</f>
        <v/>
      </c>
      <c r="O10">
        <f>IF(AND(M10="m",N10=""),IFERROR(MATCH(L10,tblRec[ترتيب الكشف],0),""),"")</f>
        <v/>
      </c>
    </row>
    <row r="11">
      <c r="A11" s="117">
        <f>IF($M11="m",IF($N11&lt;&gt;"",INDEX(tblInv[تاريخ الفاتورة],$N11),INDEX(tblRec[التاريخ],$O11)),IF($M11="l",INDEX(tblBuckets[الفترة],1),IF($M11="v",TEXT(SUMIFS(tblInv[المتبقي],tblInv[كود العميل],StCust,tblInv[الفترة],INDEX(tblBuckets[الفترة],1)),"#,##0.00;-#,##0.00;-"),"")))</f>
        <v/>
      </c>
      <c r="B11" s="83">
        <f>IF($M11="m",IF($N11&lt;&gt;"","فاتورة",INDEX(tblRec[النوع],$O11)),IF($M11="l",INDEX(tblBuckets[الفترة],2),IF($M11="v",TEXT(SUMIFS(tblInv[المتبقي],tblInv[كود العميل],StCust,tblInv[الفترة],INDEX(tblBuckets[الفترة],2)),"#,##0.00;-#,##0.00;-"),"")))</f>
        <v/>
      </c>
      <c r="C11" s="83">
        <f>IF($M11="m",IF($N11&lt;&gt;"",INDEX(tblInv[رقم الفاتورة],$N11),INDEX(tblRec[رقم السند],$O11)),IF($M11="l",INDEX(tblBuckets[الفترة],3),IF($M11="v",TEXT(SUMIFS(tblInv[المتبقي],tblInv[كود العميل],StCust,tblInv[الفترة],INDEX(tblBuckets[الفترة],3)),"#,##0.00;-#,##0.00;-"),"")))</f>
        <v/>
      </c>
      <c r="D11" s="118">
        <f>IF($M11="m",IF($N11&lt;&gt;"","فاتورة مبيعات — استحقاق "&amp;TEXT(INDEX(tblInv[تاريخ الاستحقاق],$N11),"dd/mm/yyyy")&amp;IF(INDEX(tblInv[ملاحظات],$N11)&amp;""&lt;&gt;""," — "&amp;INDEX(tblInv[ملاحظات],$N11),""),INDEX(tblRec[النوع],$O11)&amp;IF(INDEX(tblRec[طريقة الدفع],$O11)&amp;""&lt;&gt;""," ("&amp;INDEX(tblRec[طريقة الدفع],$O11)&amp;")","")&amp;IF(INDEX(tblRec[رقم الفاتورة],$O11)&amp;""&lt;&gt;""," — عن فاتورة "&amp;INDEX(tblRec[رقم الفاتورة],$O11)," — دفعة على الحساب")),IF($M11="l",INDEX(tblBuckets[الفترة],4),IF($M11="v",TEXT(SUMIFS(tblInv[المتبقي],tblInv[كود العميل],StCust,tblInv[الفترة],INDEX(tblBuckets[الفترة],4)),"#,##0.00;-#,##0.00;-"),IF($M11="t","ملخص أعمار رصيد العميل كما في "&amp;TEXT(AsOf,"dd/mm/yyyy"),IF($M11="p","يُرجى مطابقة الرصيد وإفادتنا خلال 15 يوماً، وإلا اعتُبر الرصيد صحيحاً.","")))))</f>
        <v/>
      </c>
      <c r="E11" s="119">
        <f>IF($M11="m",IF($N11&lt;&gt;"",INDEX(tblInv[الإجمالي],$N11),0),IF($M11="l",INDEX(tblBuckets[الفترة],5),IF($M11="v",TEXT(SUMIFS(tblInv[المتبقي],tblInv[كود العميل],StCust,tblInv[الفترة],INDEX(tblBuckets[الفترة],5)),"#,##0.00;-#,##0.00;-"),"")))</f>
        <v/>
      </c>
      <c r="F11" s="119">
        <f>IF($M11="m",IF($O11&lt;&gt;"",INDEX(tblRec[المبلغ],$O11),0),IF($M11="l",INDEX(tblBuckets[الفترة],6),IF($M11="v",TEXT(SUMIFS(tblInv[المتبقي],tblInv[كود العميل],StCust,tblInv[الفترة],INDEX(tblBuckets[الفترة],6)),"#,##0.00;-#,##0.00;-"),"")))</f>
        <v/>
      </c>
      <c r="G11" s="120">
        <f>IF($M11="m",N(G10)+E11-F11,IF($M11="l",INDEX(tblBuckets[الفترة],7),IF($M11="v",TEXT(SUMIFS(tblInv[المتبقي],tblInv[كود العميل],StCust,tblInv[الفترة],INDEX(tblBuckets[الفترة],7)),"#,##0.00;-#,##0.00;-"),"")))</f>
        <v/>
      </c>
      <c r="I11" s="123" t="inlineStr">
        <is>
          <t>💡 الأعمدة من A لـ G بس هي اللي بتتطبع (A4 عرضي).
احفظ PDF من File ← Export وابعته على الواتساب.</t>
        </is>
      </c>
      <c r="J11" s="123" t="n"/>
      <c r="L11" t="n">
        <v>6</v>
      </c>
      <c r="M11">
        <f>IF(L11&lt;=StCount,"m",IF(L11=StCount+2,"t",IF(L11=StCount+3,"l",IF(L11=StCount+4,"v",IF(L11=StCount+6,"p","")))))</f>
        <v/>
      </c>
      <c r="N11">
        <f>IF(M11="m",IFERROR(MATCH(L11,tblInv[ترتيب الكشف],0),""),"")</f>
        <v/>
      </c>
      <c r="O11">
        <f>IF(AND(M11="m",N11=""),IFERROR(MATCH(L11,tblRec[ترتيب الكشف],0),""),"")</f>
        <v/>
      </c>
    </row>
    <row r="12">
      <c r="A12" s="117">
        <f>IF($M12="m",IF($N12&lt;&gt;"",INDEX(tblInv[تاريخ الفاتورة],$N12),INDEX(tblRec[التاريخ],$O12)),IF($M12="l",INDEX(tblBuckets[الفترة],1),IF($M12="v",TEXT(SUMIFS(tblInv[المتبقي],tblInv[كود العميل],StCust,tblInv[الفترة],INDEX(tblBuckets[الفترة],1)),"#,##0.00;-#,##0.00;-"),"")))</f>
        <v/>
      </c>
      <c r="B12" s="83">
        <f>IF($M12="m",IF($N12&lt;&gt;"","فاتورة",INDEX(tblRec[النوع],$O12)),IF($M12="l",INDEX(tblBuckets[الفترة],2),IF($M12="v",TEXT(SUMIFS(tblInv[المتبقي],tblInv[كود العميل],StCust,tblInv[الفترة],INDEX(tblBuckets[الفترة],2)),"#,##0.00;-#,##0.00;-"),"")))</f>
        <v/>
      </c>
      <c r="C12" s="83">
        <f>IF($M12="m",IF($N12&lt;&gt;"",INDEX(tblInv[رقم الفاتورة],$N12),INDEX(tblRec[رقم السند],$O12)),IF($M12="l",INDEX(tblBuckets[الفترة],3),IF($M12="v",TEXT(SUMIFS(tblInv[المتبقي],tblInv[كود العميل],StCust,tblInv[الفترة],INDEX(tblBuckets[الفترة],3)),"#,##0.00;-#,##0.00;-"),"")))</f>
        <v/>
      </c>
      <c r="D12" s="118">
        <f>IF($M12="m",IF($N12&lt;&gt;"","فاتورة مبيعات — استحقاق "&amp;TEXT(INDEX(tblInv[تاريخ الاستحقاق],$N12),"dd/mm/yyyy")&amp;IF(INDEX(tblInv[ملاحظات],$N12)&amp;""&lt;&gt;""," — "&amp;INDEX(tblInv[ملاحظات],$N12),""),INDEX(tblRec[النوع],$O12)&amp;IF(INDEX(tblRec[طريقة الدفع],$O12)&amp;""&lt;&gt;""," ("&amp;INDEX(tblRec[طريقة الدفع],$O12)&amp;")","")&amp;IF(INDEX(tblRec[رقم الفاتورة],$O12)&amp;""&lt;&gt;""," — عن فاتورة "&amp;INDEX(tblRec[رقم الفاتورة],$O12)," — دفعة على الحساب")),IF($M12="l",INDEX(tblBuckets[الفترة],4),IF($M12="v",TEXT(SUMIFS(tblInv[المتبقي],tblInv[كود العميل],StCust,tblInv[الفترة],INDEX(tblBuckets[الفترة],4)),"#,##0.00;-#,##0.00;-"),IF($M12="t","ملخص أعمار رصيد العميل كما في "&amp;TEXT(AsOf,"dd/mm/yyyy"),IF($M12="p","يُرجى مطابقة الرصيد وإفادتنا خلال 15 يوماً، وإلا اعتُبر الرصيد صحيحاً.","")))))</f>
        <v/>
      </c>
      <c r="E12" s="119">
        <f>IF($M12="m",IF($N12&lt;&gt;"",INDEX(tblInv[الإجمالي],$N12),0),IF($M12="l",INDEX(tblBuckets[الفترة],5),IF($M12="v",TEXT(SUMIFS(tblInv[المتبقي],tblInv[كود العميل],StCust,tblInv[الفترة],INDEX(tblBuckets[الفترة],5)),"#,##0.00;-#,##0.00;-"),"")))</f>
        <v/>
      </c>
      <c r="F12" s="119">
        <f>IF($M12="m",IF($O12&lt;&gt;"",INDEX(tblRec[المبلغ],$O12),0),IF($M12="l",INDEX(tblBuckets[الفترة],6),IF($M12="v",TEXT(SUMIFS(tblInv[المتبقي],tblInv[كود العميل],StCust,tblInv[الفترة],INDEX(tblBuckets[الفترة],6)),"#,##0.00;-#,##0.00;-"),"")))</f>
        <v/>
      </c>
      <c r="G12" s="120">
        <f>IF($M12="m",N(G11)+E12-F12,IF($M12="l",INDEX(tblBuckets[الفترة],7),IF($M12="v",TEXT(SUMIFS(tblInv[المتبقي],tblInv[كود العميل],StCust,tblInv[الفترة],INDEX(tblBuckets[الفترة],7)),"#,##0.00;-#,##0.00;-"),"")))</f>
        <v/>
      </c>
      <c r="I12" s="123" t="n"/>
      <c r="J12" s="123" t="n"/>
      <c r="L12" t="n">
        <v>7</v>
      </c>
      <c r="M12">
        <f>IF(L12&lt;=StCount,"m",IF(L12=StCount+2,"t",IF(L12=StCount+3,"l",IF(L12=StCount+4,"v",IF(L12=StCount+6,"p","")))))</f>
        <v/>
      </c>
      <c r="N12">
        <f>IF(M12="m",IFERROR(MATCH(L12,tblInv[ترتيب الكشف],0),""),"")</f>
        <v/>
      </c>
      <c r="O12">
        <f>IF(AND(M12="m",N12=""),IFERROR(MATCH(L12,tblRec[ترتيب الكشف],0),""),"")</f>
        <v/>
      </c>
    </row>
    <row r="13">
      <c r="A13" s="117">
        <f>IF($M13="m",IF($N13&lt;&gt;"",INDEX(tblInv[تاريخ الفاتورة],$N13),INDEX(tblRec[التاريخ],$O13)),IF($M13="l",INDEX(tblBuckets[الفترة],1),IF($M13="v",TEXT(SUMIFS(tblInv[المتبقي],tblInv[كود العميل],StCust,tblInv[الفترة],INDEX(tblBuckets[الفترة],1)),"#,##0.00;-#,##0.00;-"),"")))</f>
        <v/>
      </c>
      <c r="B13" s="83">
        <f>IF($M13="m",IF($N13&lt;&gt;"","فاتورة",INDEX(tblRec[النوع],$O13)),IF($M13="l",INDEX(tblBuckets[الفترة],2),IF($M13="v",TEXT(SUMIFS(tblInv[المتبقي],tblInv[كود العميل],StCust,tblInv[الفترة],INDEX(tblBuckets[الفترة],2)),"#,##0.00;-#,##0.00;-"),"")))</f>
        <v/>
      </c>
      <c r="C13" s="83">
        <f>IF($M13="m",IF($N13&lt;&gt;"",INDEX(tblInv[رقم الفاتورة],$N13),INDEX(tblRec[رقم السند],$O13)),IF($M13="l",INDEX(tblBuckets[الفترة],3),IF($M13="v",TEXT(SUMIFS(tblInv[المتبقي],tblInv[كود العميل],StCust,tblInv[الفترة],INDEX(tblBuckets[الفترة],3)),"#,##0.00;-#,##0.00;-"),"")))</f>
        <v/>
      </c>
      <c r="D13" s="118">
        <f>IF($M13="m",IF($N13&lt;&gt;"","فاتورة مبيعات — استحقاق "&amp;TEXT(INDEX(tblInv[تاريخ الاستحقاق],$N13),"dd/mm/yyyy")&amp;IF(INDEX(tblInv[ملاحظات],$N13)&amp;""&lt;&gt;""," — "&amp;INDEX(tblInv[ملاحظات],$N13),""),INDEX(tblRec[النوع],$O13)&amp;IF(INDEX(tblRec[طريقة الدفع],$O13)&amp;""&lt;&gt;""," ("&amp;INDEX(tblRec[طريقة الدفع],$O13)&amp;")","")&amp;IF(INDEX(tblRec[رقم الفاتورة],$O13)&amp;""&lt;&gt;""," — عن فاتورة "&amp;INDEX(tblRec[رقم الفاتورة],$O13)," — دفعة على الحساب")),IF($M13="l",INDEX(tblBuckets[الفترة],4),IF($M13="v",TEXT(SUMIFS(tblInv[المتبقي],tblInv[كود العميل],StCust,tblInv[الفترة],INDEX(tblBuckets[الفترة],4)),"#,##0.00;-#,##0.00;-"),IF($M13="t","ملخص أعمار رصيد العميل كما في "&amp;TEXT(AsOf,"dd/mm/yyyy"),IF($M13="p","يُرجى مطابقة الرصيد وإفادتنا خلال 15 يوماً، وإلا اعتُبر الرصيد صحيحاً.","")))))</f>
        <v/>
      </c>
      <c r="E13" s="119">
        <f>IF($M13="m",IF($N13&lt;&gt;"",INDEX(tblInv[الإجمالي],$N13),0),IF($M13="l",INDEX(tblBuckets[الفترة],5),IF($M13="v",TEXT(SUMIFS(tblInv[المتبقي],tblInv[كود العميل],StCust,tblInv[الفترة],INDEX(tblBuckets[الفترة],5)),"#,##0.00;-#,##0.00;-"),"")))</f>
        <v/>
      </c>
      <c r="F13" s="119">
        <f>IF($M13="m",IF($O13&lt;&gt;"",INDEX(tblRec[المبلغ],$O13),0),IF($M13="l",INDEX(tblBuckets[الفترة],6),IF($M13="v",TEXT(SUMIFS(tblInv[المتبقي],tblInv[كود العميل],StCust,tblInv[الفترة],INDEX(tblBuckets[الفترة],6)),"#,##0.00;-#,##0.00;-"),"")))</f>
        <v/>
      </c>
      <c r="G13" s="120">
        <f>IF($M13="m",N(G12)+E13-F13,IF($M13="l",INDEX(tblBuckets[الفترة],7),IF($M13="v",TEXT(SUMIFS(tblInv[المتبقي],tblInv[كود العميل],StCust,tblInv[الفترة],INDEX(tblBuckets[الفترة],7)),"#,##0.00;-#,##0.00;-"),"")))</f>
        <v/>
      </c>
      <c r="I13" s="123" t="n"/>
      <c r="J13" s="123" t="n"/>
      <c r="L13" t="n">
        <v>8</v>
      </c>
      <c r="M13">
        <f>IF(L13&lt;=StCount,"m",IF(L13=StCount+2,"t",IF(L13=StCount+3,"l",IF(L13=StCount+4,"v",IF(L13=StCount+6,"p","")))))</f>
        <v/>
      </c>
      <c r="N13">
        <f>IF(M13="m",IFERROR(MATCH(L13,tblInv[ترتيب الكشف],0),""),"")</f>
        <v/>
      </c>
      <c r="O13">
        <f>IF(AND(M13="m",N13=""),IFERROR(MATCH(L13,tblRec[ترتيب الكشف],0),""),"")</f>
        <v/>
      </c>
    </row>
    <row r="14">
      <c r="A14" s="117">
        <f>IF($M14="m",IF($N14&lt;&gt;"",INDEX(tblInv[تاريخ الفاتورة],$N14),INDEX(tblRec[التاريخ],$O14)),IF($M14="l",INDEX(tblBuckets[الفترة],1),IF($M14="v",TEXT(SUMIFS(tblInv[المتبقي],tblInv[كود العميل],StCust,tblInv[الفترة],INDEX(tblBuckets[الفترة],1)),"#,##0.00;-#,##0.00;-"),"")))</f>
        <v/>
      </c>
      <c r="B14" s="83">
        <f>IF($M14="m",IF($N14&lt;&gt;"","فاتورة",INDEX(tblRec[النوع],$O14)),IF($M14="l",INDEX(tblBuckets[الفترة],2),IF($M14="v",TEXT(SUMIFS(tblInv[المتبقي],tblInv[كود العميل],StCust,tblInv[الفترة],INDEX(tblBuckets[الفترة],2)),"#,##0.00;-#,##0.00;-"),"")))</f>
        <v/>
      </c>
      <c r="C14" s="83">
        <f>IF($M14="m",IF($N14&lt;&gt;"",INDEX(tblInv[رقم الفاتورة],$N14),INDEX(tblRec[رقم السند],$O14)),IF($M14="l",INDEX(tblBuckets[الفترة],3),IF($M14="v",TEXT(SUMIFS(tblInv[المتبقي],tblInv[كود العميل],StCust,tblInv[الفترة],INDEX(tblBuckets[الفترة],3)),"#,##0.00;-#,##0.00;-"),"")))</f>
        <v/>
      </c>
      <c r="D14" s="118">
        <f>IF($M14="m",IF($N14&lt;&gt;"","فاتورة مبيعات — استحقاق "&amp;TEXT(INDEX(tblInv[تاريخ الاستحقاق],$N14),"dd/mm/yyyy")&amp;IF(INDEX(tblInv[ملاحظات],$N14)&amp;""&lt;&gt;""," — "&amp;INDEX(tblInv[ملاحظات],$N14),""),INDEX(tblRec[النوع],$O14)&amp;IF(INDEX(tblRec[طريقة الدفع],$O14)&amp;""&lt;&gt;""," ("&amp;INDEX(tblRec[طريقة الدفع],$O14)&amp;")","")&amp;IF(INDEX(tblRec[رقم الفاتورة],$O14)&amp;""&lt;&gt;""," — عن فاتورة "&amp;INDEX(tblRec[رقم الفاتورة],$O14)," — دفعة على الحساب")),IF($M14="l",INDEX(tblBuckets[الفترة],4),IF($M14="v",TEXT(SUMIFS(tblInv[المتبقي],tblInv[كود العميل],StCust,tblInv[الفترة],INDEX(tblBuckets[الفترة],4)),"#,##0.00;-#,##0.00;-"),IF($M14="t","ملخص أعمار رصيد العميل كما في "&amp;TEXT(AsOf,"dd/mm/yyyy"),IF($M14="p","يُرجى مطابقة الرصيد وإفادتنا خلال 15 يوماً، وإلا اعتُبر الرصيد صحيحاً.","")))))</f>
        <v/>
      </c>
      <c r="E14" s="119">
        <f>IF($M14="m",IF($N14&lt;&gt;"",INDEX(tblInv[الإجمالي],$N14),0),IF($M14="l",INDEX(tblBuckets[الفترة],5),IF($M14="v",TEXT(SUMIFS(tblInv[المتبقي],tblInv[كود العميل],StCust,tblInv[الفترة],INDEX(tblBuckets[الفترة],5)),"#,##0.00;-#,##0.00;-"),"")))</f>
        <v/>
      </c>
      <c r="F14" s="119">
        <f>IF($M14="m",IF($O14&lt;&gt;"",INDEX(tblRec[المبلغ],$O14),0),IF($M14="l",INDEX(tblBuckets[الفترة],6),IF($M14="v",TEXT(SUMIFS(tblInv[المتبقي],tblInv[كود العميل],StCust,tblInv[الفترة],INDEX(tblBuckets[الفترة],6)),"#,##0.00;-#,##0.00;-"),"")))</f>
        <v/>
      </c>
      <c r="G14" s="120">
        <f>IF($M14="m",N(G13)+E14-F14,IF($M14="l",INDEX(tblBuckets[الفترة],7),IF($M14="v",TEXT(SUMIFS(tblInv[المتبقي],tblInv[كود العميل],StCust,tblInv[الفترة],INDEX(tblBuckets[الفترة],7)),"#,##0.00;-#,##0.00;-"),"")))</f>
        <v/>
      </c>
      <c r="I14" s="123" t="n"/>
      <c r="J14" s="123" t="n"/>
      <c r="L14" t="n">
        <v>9</v>
      </c>
      <c r="M14">
        <f>IF(L14&lt;=StCount,"m",IF(L14=StCount+2,"t",IF(L14=StCount+3,"l",IF(L14=StCount+4,"v",IF(L14=StCount+6,"p","")))))</f>
        <v/>
      </c>
      <c r="N14">
        <f>IF(M14="m",IFERROR(MATCH(L14,tblInv[ترتيب الكشف],0),""),"")</f>
        <v/>
      </c>
      <c r="O14">
        <f>IF(AND(M14="m",N14=""),IFERROR(MATCH(L14,tblRec[ترتيب الكشف],0),""),"")</f>
        <v/>
      </c>
    </row>
    <row r="15">
      <c r="A15" s="117">
        <f>IF($M15="m",IF($N15&lt;&gt;"",INDEX(tblInv[تاريخ الفاتورة],$N15),INDEX(tblRec[التاريخ],$O15)),IF($M15="l",INDEX(tblBuckets[الفترة],1),IF($M15="v",TEXT(SUMIFS(tblInv[المتبقي],tblInv[كود العميل],StCust,tblInv[الفترة],INDEX(tblBuckets[الفترة],1)),"#,##0.00;-#,##0.00;-"),"")))</f>
        <v/>
      </c>
      <c r="B15" s="83">
        <f>IF($M15="m",IF($N15&lt;&gt;"","فاتورة",INDEX(tblRec[النوع],$O15)),IF($M15="l",INDEX(tblBuckets[الفترة],2),IF($M15="v",TEXT(SUMIFS(tblInv[المتبقي],tblInv[كود العميل],StCust,tblInv[الفترة],INDEX(tblBuckets[الفترة],2)),"#,##0.00;-#,##0.00;-"),"")))</f>
        <v/>
      </c>
      <c r="C15" s="83">
        <f>IF($M15="m",IF($N15&lt;&gt;"",INDEX(tblInv[رقم الفاتورة],$N15),INDEX(tblRec[رقم السند],$O15)),IF($M15="l",INDEX(tblBuckets[الفترة],3),IF($M15="v",TEXT(SUMIFS(tblInv[المتبقي],tblInv[كود العميل],StCust,tblInv[الفترة],INDEX(tblBuckets[الفترة],3)),"#,##0.00;-#,##0.00;-"),"")))</f>
        <v/>
      </c>
      <c r="D15" s="118">
        <f>IF($M15="m",IF($N15&lt;&gt;"","فاتورة مبيعات — استحقاق "&amp;TEXT(INDEX(tblInv[تاريخ الاستحقاق],$N15),"dd/mm/yyyy")&amp;IF(INDEX(tblInv[ملاحظات],$N15)&amp;""&lt;&gt;""," — "&amp;INDEX(tblInv[ملاحظات],$N15),""),INDEX(tblRec[النوع],$O15)&amp;IF(INDEX(tblRec[طريقة الدفع],$O15)&amp;""&lt;&gt;""," ("&amp;INDEX(tblRec[طريقة الدفع],$O15)&amp;")","")&amp;IF(INDEX(tblRec[رقم الفاتورة],$O15)&amp;""&lt;&gt;""," — عن فاتورة "&amp;INDEX(tblRec[رقم الفاتورة],$O15)," — دفعة على الحساب")),IF($M15="l",INDEX(tblBuckets[الفترة],4),IF($M15="v",TEXT(SUMIFS(tblInv[المتبقي],tblInv[كود العميل],StCust,tblInv[الفترة],INDEX(tblBuckets[الفترة],4)),"#,##0.00;-#,##0.00;-"),IF($M15="t","ملخص أعمار رصيد العميل كما في "&amp;TEXT(AsOf,"dd/mm/yyyy"),IF($M15="p","يُرجى مطابقة الرصيد وإفادتنا خلال 15 يوماً، وإلا اعتُبر الرصيد صحيحاً.","")))))</f>
        <v/>
      </c>
      <c r="E15" s="119">
        <f>IF($M15="m",IF($N15&lt;&gt;"",INDEX(tblInv[الإجمالي],$N15),0),IF($M15="l",INDEX(tblBuckets[الفترة],5),IF($M15="v",TEXT(SUMIFS(tblInv[المتبقي],tblInv[كود العميل],StCust,tblInv[الفترة],INDEX(tblBuckets[الفترة],5)),"#,##0.00;-#,##0.00;-"),"")))</f>
        <v/>
      </c>
      <c r="F15" s="119">
        <f>IF($M15="m",IF($O15&lt;&gt;"",INDEX(tblRec[المبلغ],$O15),0),IF($M15="l",INDEX(tblBuckets[الفترة],6),IF($M15="v",TEXT(SUMIFS(tblInv[المتبقي],tblInv[كود العميل],StCust,tblInv[الفترة],INDEX(tblBuckets[الفترة],6)),"#,##0.00;-#,##0.00;-"),"")))</f>
        <v/>
      </c>
      <c r="G15" s="120">
        <f>IF($M15="m",N(G14)+E15-F15,IF($M15="l",INDEX(tblBuckets[الفترة],7),IF($M15="v",TEXT(SUMIFS(tblInv[المتبقي],tblInv[كود العميل],StCust,tblInv[الفترة],INDEX(tblBuckets[الفترة],7)),"#,##0.00;-#,##0.00;-"),"")))</f>
        <v/>
      </c>
      <c r="L15" t="n">
        <v>10</v>
      </c>
      <c r="M15">
        <f>IF(L15&lt;=StCount,"m",IF(L15=StCount+2,"t",IF(L15=StCount+3,"l",IF(L15=StCount+4,"v",IF(L15=StCount+6,"p","")))))</f>
        <v/>
      </c>
      <c r="N15">
        <f>IF(M15="m",IFERROR(MATCH(L15,tblInv[ترتيب الكشف],0),""),"")</f>
        <v/>
      </c>
      <c r="O15">
        <f>IF(AND(M15="m",N15=""),IFERROR(MATCH(L15,tblRec[ترتيب الكشف],0),""),"")</f>
        <v/>
      </c>
    </row>
    <row r="16">
      <c r="A16" s="117">
        <f>IF($M16="m",IF($N16&lt;&gt;"",INDEX(tblInv[تاريخ الفاتورة],$N16),INDEX(tblRec[التاريخ],$O16)),IF($M16="l",INDEX(tblBuckets[الفترة],1),IF($M16="v",TEXT(SUMIFS(tblInv[المتبقي],tblInv[كود العميل],StCust,tblInv[الفترة],INDEX(tblBuckets[الفترة],1)),"#,##0.00;-#,##0.00;-"),"")))</f>
        <v/>
      </c>
      <c r="B16" s="83">
        <f>IF($M16="m",IF($N16&lt;&gt;"","فاتورة",INDEX(tblRec[النوع],$O16)),IF($M16="l",INDEX(tblBuckets[الفترة],2),IF($M16="v",TEXT(SUMIFS(tblInv[المتبقي],tblInv[كود العميل],StCust,tblInv[الفترة],INDEX(tblBuckets[الفترة],2)),"#,##0.00;-#,##0.00;-"),"")))</f>
        <v/>
      </c>
      <c r="C16" s="83">
        <f>IF($M16="m",IF($N16&lt;&gt;"",INDEX(tblInv[رقم الفاتورة],$N16),INDEX(tblRec[رقم السند],$O16)),IF($M16="l",INDEX(tblBuckets[الفترة],3),IF($M16="v",TEXT(SUMIFS(tblInv[المتبقي],tblInv[كود العميل],StCust,tblInv[الفترة],INDEX(tblBuckets[الفترة],3)),"#,##0.00;-#,##0.00;-"),"")))</f>
        <v/>
      </c>
      <c r="D16" s="118">
        <f>IF($M16="m",IF($N16&lt;&gt;"","فاتورة مبيعات — استحقاق "&amp;TEXT(INDEX(tblInv[تاريخ الاستحقاق],$N16),"dd/mm/yyyy")&amp;IF(INDEX(tblInv[ملاحظات],$N16)&amp;""&lt;&gt;""," — "&amp;INDEX(tblInv[ملاحظات],$N16),""),INDEX(tblRec[النوع],$O16)&amp;IF(INDEX(tblRec[طريقة الدفع],$O16)&amp;""&lt;&gt;""," ("&amp;INDEX(tblRec[طريقة الدفع],$O16)&amp;")","")&amp;IF(INDEX(tblRec[رقم الفاتورة],$O16)&amp;""&lt;&gt;""," — عن فاتورة "&amp;INDEX(tblRec[رقم الفاتورة],$O16)," — دفعة على الحساب")),IF($M16="l",INDEX(tblBuckets[الفترة],4),IF($M16="v",TEXT(SUMIFS(tblInv[المتبقي],tblInv[كود العميل],StCust,tblInv[الفترة],INDEX(tblBuckets[الفترة],4)),"#,##0.00;-#,##0.00;-"),IF($M16="t","ملخص أعمار رصيد العميل كما في "&amp;TEXT(AsOf,"dd/mm/yyyy"),IF($M16="p","يُرجى مطابقة الرصيد وإفادتنا خلال 15 يوماً، وإلا اعتُبر الرصيد صحيحاً.","")))))</f>
        <v/>
      </c>
      <c r="E16" s="119">
        <f>IF($M16="m",IF($N16&lt;&gt;"",INDEX(tblInv[الإجمالي],$N16),0),IF($M16="l",INDEX(tblBuckets[الفترة],5),IF($M16="v",TEXT(SUMIFS(tblInv[المتبقي],tblInv[كود العميل],StCust,tblInv[الفترة],INDEX(tblBuckets[الفترة],5)),"#,##0.00;-#,##0.00;-"),"")))</f>
        <v/>
      </c>
      <c r="F16" s="119">
        <f>IF($M16="m",IF($O16&lt;&gt;"",INDEX(tblRec[المبلغ],$O16),0),IF($M16="l",INDEX(tblBuckets[الفترة],6),IF($M16="v",TEXT(SUMIFS(tblInv[المتبقي],tblInv[كود العميل],StCust,tblInv[الفترة],INDEX(tblBuckets[الفترة],6)),"#,##0.00;-#,##0.00;-"),"")))</f>
        <v/>
      </c>
      <c r="G16" s="120">
        <f>IF($M16="m",N(G15)+E16-F16,IF($M16="l",INDEX(tblBuckets[الفترة],7),IF($M16="v",TEXT(SUMIFS(tblInv[المتبقي],tblInv[كود العميل],StCust,tblInv[الفترة],INDEX(tblBuckets[الفترة],7)),"#,##0.00;-#,##0.00;-"),"")))</f>
        <v/>
      </c>
      <c r="L16" t="n">
        <v>11</v>
      </c>
      <c r="M16">
        <f>IF(L16&lt;=StCount,"m",IF(L16=StCount+2,"t",IF(L16=StCount+3,"l",IF(L16=StCount+4,"v",IF(L16=StCount+6,"p","")))))</f>
        <v/>
      </c>
      <c r="N16">
        <f>IF(M16="m",IFERROR(MATCH(L16,tblInv[ترتيب الكشف],0),""),"")</f>
        <v/>
      </c>
      <c r="O16">
        <f>IF(AND(M16="m",N16=""),IFERROR(MATCH(L16,tblRec[ترتيب الكشف],0),""),"")</f>
        <v/>
      </c>
    </row>
    <row r="17">
      <c r="A17" s="117">
        <f>IF($M17="m",IF($N17&lt;&gt;"",INDEX(tblInv[تاريخ الفاتورة],$N17),INDEX(tblRec[التاريخ],$O17)),IF($M17="l",INDEX(tblBuckets[الفترة],1),IF($M17="v",TEXT(SUMIFS(tblInv[المتبقي],tblInv[كود العميل],StCust,tblInv[الفترة],INDEX(tblBuckets[الفترة],1)),"#,##0.00;-#,##0.00;-"),"")))</f>
        <v/>
      </c>
      <c r="B17" s="83">
        <f>IF($M17="m",IF($N17&lt;&gt;"","فاتورة",INDEX(tblRec[النوع],$O17)),IF($M17="l",INDEX(tblBuckets[الفترة],2),IF($M17="v",TEXT(SUMIFS(tblInv[المتبقي],tblInv[كود العميل],StCust,tblInv[الفترة],INDEX(tblBuckets[الفترة],2)),"#,##0.00;-#,##0.00;-"),"")))</f>
        <v/>
      </c>
      <c r="C17" s="83">
        <f>IF($M17="m",IF($N17&lt;&gt;"",INDEX(tblInv[رقم الفاتورة],$N17),INDEX(tblRec[رقم السند],$O17)),IF($M17="l",INDEX(tblBuckets[الفترة],3),IF($M17="v",TEXT(SUMIFS(tblInv[المتبقي],tblInv[كود العميل],StCust,tblInv[الفترة],INDEX(tblBuckets[الفترة],3)),"#,##0.00;-#,##0.00;-"),"")))</f>
        <v/>
      </c>
      <c r="D17" s="118">
        <f>IF($M17="m",IF($N17&lt;&gt;"","فاتورة مبيعات — استحقاق "&amp;TEXT(INDEX(tblInv[تاريخ الاستحقاق],$N17),"dd/mm/yyyy")&amp;IF(INDEX(tblInv[ملاحظات],$N17)&amp;""&lt;&gt;""," — "&amp;INDEX(tblInv[ملاحظات],$N17),""),INDEX(tblRec[النوع],$O17)&amp;IF(INDEX(tblRec[طريقة الدفع],$O17)&amp;""&lt;&gt;""," ("&amp;INDEX(tblRec[طريقة الدفع],$O17)&amp;")","")&amp;IF(INDEX(tblRec[رقم الفاتورة],$O17)&amp;""&lt;&gt;""," — عن فاتورة "&amp;INDEX(tblRec[رقم الفاتورة],$O17)," — دفعة على الحساب")),IF($M17="l",INDEX(tblBuckets[الفترة],4),IF($M17="v",TEXT(SUMIFS(tblInv[المتبقي],tblInv[كود العميل],StCust,tblInv[الفترة],INDEX(tblBuckets[الفترة],4)),"#,##0.00;-#,##0.00;-"),IF($M17="t","ملخص أعمار رصيد العميل كما في "&amp;TEXT(AsOf,"dd/mm/yyyy"),IF($M17="p","يُرجى مطابقة الرصيد وإفادتنا خلال 15 يوماً، وإلا اعتُبر الرصيد صحيحاً.","")))))</f>
        <v/>
      </c>
      <c r="E17" s="119">
        <f>IF($M17="m",IF($N17&lt;&gt;"",INDEX(tblInv[الإجمالي],$N17),0),IF($M17="l",INDEX(tblBuckets[الفترة],5),IF($M17="v",TEXT(SUMIFS(tblInv[المتبقي],tblInv[كود العميل],StCust,tblInv[الفترة],INDEX(tblBuckets[الفترة],5)),"#,##0.00;-#,##0.00;-"),"")))</f>
        <v/>
      </c>
      <c r="F17" s="119">
        <f>IF($M17="m",IF($O17&lt;&gt;"",INDEX(tblRec[المبلغ],$O17),0),IF($M17="l",INDEX(tblBuckets[الفترة],6),IF($M17="v",TEXT(SUMIFS(tblInv[المتبقي],tblInv[كود العميل],StCust,tblInv[الفترة],INDEX(tblBuckets[الفترة],6)),"#,##0.00;-#,##0.00;-"),"")))</f>
        <v/>
      </c>
      <c r="G17" s="120">
        <f>IF($M17="m",N(G16)+E17-F17,IF($M17="l",INDEX(tblBuckets[الفترة],7),IF($M17="v",TEXT(SUMIFS(tblInv[المتبقي],tblInv[كود العميل],StCust,tblInv[الفترة],INDEX(tblBuckets[الفترة],7)),"#,##0.00;-#,##0.00;-"),"")))</f>
        <v/>
      </c>
      <c r="L17" t="n">
        <v>12</v>
      </c>
      <c r="M17">
        <f>IF(L17&lt;=StCount,"m",IF(L17=StCount+2,"t",IF(L17=StCount+3,"l",IF(L17=StCount+4,"v",IF(L17=StCount+6,"p","")))))</f>
        <v/>
      </c>
      <c r="N17">
        <f>IF(M17="m",IFERROR(MATCH(L17,tblInv[ترتيب الكشف],0),""),"")</f>
        <v/>
      </c>
      <c r="O17">
        <f>IF(AND(M17="m",N17=""),IFERROR(MATCH(L17,tblRec[ترتيب الكشف],0),""),"")</f>
        <v/>
      </c>
    </row>
    <row r="18">
      <c r="A18" s="117">
        <f>IF($M18="m",IF($N18&lt;&gt;"",INDEX(tblInv[تاريخ الفاتورة],$N18),INDEX(tblRec[التاريخ],$O18)),IF($M18="l",INDEX(tblBuckets[الفترة],1),IF($M18="v",TEXT(SUMIFS(tblInv[المتبقي],tblInv[كود العميل],StCust,tblInv[الفترة],INDEX(tblBuckets[الفترة],1)),"#,##0.00;-#,##0.00;-"),"")))</f>
        <v/>
      </c>
      <c r="B18" s="83">
        <f>IF($M18="m",IF($N18&lt;&gt;"","فاتورة",INDEX(tblRec[النوع],$O18)),IF($M18="l",INDEX(tblBuckets[الفترة],2),IF($M18="v",TEXT(SUMIFS(tblInv[المتبقي],tblInv[كود العميل],StCust,tblInv[الفترة],INDEX(tblBuckets[الفترة],2)),"#,##0.00;-#,##0.00;-"),"")))</f>
        <v/>
      </c>
      <c r="C18" s="83">
        <f>IF($M18="m",IF($N18&lt;&gt;"",INDEX(tblInv[رقم الفاتورة],$N18),INDEX(tblRec[رقم السند],$O18)),IF($M18="l",INDEX(tblBuckets[الفترة],3),IF($M18="v",TEXT(SUMIFS(tblInv[المتبقي],tblInv[كود العميل],StCust,tblInv[الفترة],INDEX(tblBuckets[الفترة],3)),"#,##0.00;-#,##0.00;-"),"")))</f>
        <v/>
      </c>
      <c r="D18" s="118">
        <f>IF($M18="m",IF($N18&lt;&gt;"","فاتورة مبيعات — استحقاق "&amp;TEXT(INDEX(tblInv[تاريخ الاستحقاق],$N18),"dd/mm/yyyy")&amp;IF(INDEX(tblInv[ملاحظات],$N18)&amp;""&lt;&gt;""," — "&amp;INDEX(tblInv[ملاحظات],$N18),""),INDEX(tblRec[النوع],$O18)&amp;IF(INDEX(tblRec[طريقة الدفع],$O18)&amp;""&lt;&gt;""," ("&amp;INDEX(tblRec[طريقة الدفع],$O18)&amp;")","")&amp;IF(INDEX(tblRec[رقم الفاتورة],$O18)&amp;""&lt;&gt;""," — عن فاتورة "&amp;INDEX(tblRec[رقم الفاتورة],$O18)," — دفعة على الحساب")),IF($M18="l",INDEX(tblBuckets[الفترة],4),IF($M18="v",TEXT(SUMIFS(tblInv[المتبقي],tblInv[كود العميل],StCust,tblInv[الفترة],INDEX(tblBuckets[الفترة],4)),"#,##0.00;-#,##0.00;-"),IF($M18="t","ملخص أعمار رصيد العميل كما في "&amp;TEXT(AsOf,"dd/mm/yyyy"),IF($M18="p","يُرجى مطابقة الرصيد وإفادتنا خلال 15 يوماً، وإلا اعتُبر الرصيد صحيحاً.","")))))</f>
        <v/>
      </c>
      <c r="E18" s="119">
        <f>IF($M18="m",IF($N18&lt;&gt;"",INDEX(tblInv[الإجمالي],$N18),0),IF($M18="l",INDEX(tblBuckets[الفترة],5),IF($M18="v",TEXT(SUMIFS(tblInv[المتبقي],tblInv[كود العميل],StCust,tblInv[الفترة],INDEX(tblBuckets[الفترة],5)),"#,##0.00;-#,##0.00;-"),"")))</f>
        <v/>
      </c>
      <c r="F18" s="119">
        <f>IF($M18="m",IF($O18&lt;&gt;"",INDEX(tblRec[المبلغ],$O18),0),IF($M18="l",INDEX(tblBuckets[الفترة],6),IF($M18="v",TEXT(SUMIFS(tblInv[المتبقي],tblInv[كود العميل],StCust,tblInv[الفترة],INDEX(tblBuckets[الفترة],6)),"#,##0.00;-#,##0.00;-"),"")))</f>
        <v/>
      </c>
      <c r="G18" s="120">
        <f>IF($M18="m",N(G17)+E18-F18,IF($M18="l",INDEX(tblBuckets[الفترة],7),IF($M18="v",TEXT(SUMIFS(tblInv[المتبقي],tblInv[كود العميل],StCust,tblInv[الفترة],INDEX(tblBuckets[الفترة],7)),"#,##0.00;-#,##0.00;-"),"")))</f>
        <v/>
      </c>
      <c r="L18" t="n">
        <v>13</v>
      </c>
      <c r="M18">
        <f>IF(L18&lt;=StCount,"m",IF(L18=StCount+2,"t",IF(L18=StCount+3,"l",IF(L18=StCount+4,"v",IF(L18=StCount+6,"p","")))))</f>
        <v/>
      </c>
      <c r="N18">
        <f>IF(M18="m",IFERROR(MATCH(L18,tblInv[ترتيب الكشف],0),""),"")</f>
        <v/>
      </c>
      <c r="O18">
        <f>IF(AND(M18="m",N18=""),IFERROR(MATCH(L18,tblRec[ترتيب الكشف],0),""),"")</f>
        <v/>
      </c>
    </row>
    <row r="19">
      <c r="A19" s="117">
        <f>IF($M19="m",IF($N19&lt;&gt;"",INDEX(tblInv[تاريخ الفاتورة],$N19),INDEX(tblRec[التاريخ],$O19)),IF($M19="l",INDEX(tblBuckets[الفترة],1),IF($M19="v",TEXT(SUMIFS(tblInv[المتبقي],tblInv[كود العميل],StCust,tblInv[الفترة],INDEX(tblBuckets[الفترة],1)),"#,##0.00;-#,##0.00;-"),"")))</f>
        <v/>
      </c>
      <c r="B19" s="83">
        <f>IF($M19="m",IF($N19&lt;&gt;"","فاتورة",INDEX(tblRec[النوع],$O19)),IF($M19="l",INDEX(tblBuckets[الفترة],2),IF($M19="v",TEXT(SUMIFS(tblInv[المتبقي],tblInv[كود العميل],StCust,tblInv[الفترة],INDEX(tblBuckets[الفترة],2)),"#,##0.00;-#,##0.00;-"),"")))</f>
        <v/>
      </c>
      <c r="C19" s="83">
        <f>IF($M19="m",IF($N19&lt;&gt;"",INDEX(tblInv[رقم الفاتورة],$N19),INDEX(tblRec[رقم السند],$O19)),IF($M19="l",INDEX(tblBuckets[الفترة],3),IF($M19="v",TEXT(SUMIFS(tblInv[المتبقي],tblInv[كود العميل],StCust,tblInv[الفترة],INDEX(tblBuckets[الفترة],3)),"#,##0.00;-#,##0.00;-"),"")))</f>
        <v/>
      </c>
      <c r="D19" s="118">
        <f>IF($M19="m",IF($N19&lt;&gt;"","فاتورة مبيعات — استحقاق "&amp;TEXT(INDEX(tblInv[تاريخ الاستحقاق],$N19),"dd/mm/yyyy")&amp;IF(INDEX(tblInv[ملاحظات],$N19)&amp;""&lt;&gt;""," — "&amp;INDEX(tblInv[ملاحظات],$N19),""),INDEX(tblRec[النوع],$O19)&amp;IF(INDEX(tblRec[طريقة الدفع],$O19)&amp;""&lt;&gt;""," ("&amp;INDEX(tblRec[طريقة الدفع],$O19)&amp;")","")&amp;IF(INDEX(tblRec[رقم الفاتورة],$O19)&amp;""&lt;&gt;""," — عن فاتورة "&amp;INDEX(tblRec[رقم الفاتورة],$O19)," — دفعة على الحساب")),IF($M19="l",INDEX(tblBuckets[الفترة],4),IF($M19="v",TEXT(SUMIFS(tblInv[المتبقي],tblInv[كود العميل],StCust,tblInv[الفترة],INDEX(tblBuckets[الفترة],4)),"#,##0.00;-#,##0.00;-"),IF($M19="t","ملخص أعمار رصيد العميل كما في "&amp;TEXT(AsOf,"dd/mm/yyyy"),IF($M19="p","يُرجى مطابقة الرصيد وإفادتنا خلال 15 يوماً، وإلا اعتُبر الرصيد صحيحاً.","")))))</f>
        <v/>
      </c>
      <c r="E19" s="119">
        <f>IF($M19="m",IF($N19&lt;&gt;"",INDEX(tblInv[الإجمالي],$N19),0),IF($M19="l",INDEX(tblBuckets[الفترة],5),IF($M19="v",TEXT(SUMIFS(tblInv[المتبقي],tblInv[كود العميل],StCust,tblInv[الفترة],INDEX(tblBuckets[الفترة],5)),"#,##0.00;-#,##0.00;-"),"")))</f>
        <v/>
      </c>
      <c r="F19" s="119">
        <f>IF($M19="m",IF($O19&lt;&gt;"",INDEX(tblRec[المبلغ],$O19),0),IF($M19="l",INDEX(tblBuckets[الفترة],6),IF($M19="v",TEXT(SUMIFS(tblInv[المتبقي],tblInv[كود العميل],StCust,tblInv[الفترة],INDEX(tblBuckets[الفترة],6)),"#,##0.00;-#,##0.00;-"),"")))</f>
        <v/>
      </c>
      <c r="G19" s="120">
        <f>IF($M19="m",N(G18)+E19-F19,IF($M19="l",INDEX(tblBuckets[الفترة],7),IF($M19="v",TEXT(SUMIFS(tblInv[المتبقي],tblInv[كود العميل],StCust,tblInv[الفترة],INDEX(tblBuckets[الفترة],7)),"#,##0.00;-#,##0.00;-"),"")))</f>
        <v/>
      </c>
      <c r="L19" t="n">
        <v>14</v>
      </c>
      <c r="M19">
        <f>IF(L19&lt;=StCount,"m",IF(L19=StCount+2,"t",IF(L19=StCount+3,"l",IF(L19=StCount+4,"v",IF(L19=StCount+6,"p","")))))</f>
        <v/>
      </c>
      <c r="N19">
        <f>IF(M19="m",IFERROR(MATCH(L19,tblInv[ترتيب الكشف],0),""),"")</f>
        <v/>
      </c>
      <c r="O19">
        <f>IF(AND(M19="m",N19=""),IFERROR(MATCH(L19,tblRec[ترتيب الكشف],0),""),"")</f>
        <v/>
      </c>
    </row>
    <row r="20">
      <c r="A20" s="117">
        <f>IF($M20="m",IF($N20&lt;&gt;"",INDEX(tblInv[تاريخ الفاتورة],$N20),INDEX(tblRec[التاريخ],$O20)),IF($M20="l",INDEX(tblBuckets[الفترة],1),IF($M20="v",TEXT(SUMIFS(tblInv[المتبقي],tblInv[كود العميل],StCust,tblInv[الفترة],INDEX(tblBuckets[الفترة],1)),"#,##0.00;-#,##0.00;-"),"")))</f>
        <v/>
      </c>
      <c r="B20" s="83">
        <f>IF($M20="m",IF($N20&lt;&gt;"","فاتورة",INDEX(tblRec[النوع],$O20)),IF($M20="l",INDEX(tblBuckets[الفترة],2),IF($M20="v",TEXT(SUMIFS(tblInv[المتبقي],tblInv[كود العميل],StCust,tblInv[الفترة],INDEX(tblBuckets[الفترة],2)),"#,##0.00;-#,##0.00;-"),"")))</f>
        <v/>
      </c>
      <c r="C20" s="83">
        <f>IF($M20="m",IF($N20&lt;&gt;"",INDEX(tblInv[رقم الفاتورة],$N20),INDEX(tblRec[رقم السند],$O20)),IF($M20="l",INDEX(tblBuckets[الفترة],3),IF($M20="v",TEXT(SUMIFS(tblInv[المتبقي],tblInv[كود العميل],StCust,tblInv[الفترة],INDEX(tblBuckets[الفترة],3)),"#,##0.00;-#,##0.00;-"),"")))</f>
        <v/>
      </c>
      <c r="D20" s="118">
        <f>IF($M20="m",IF($N20&lt;&gt;"","فاتورة مبيعات — استحقاق "&amp;TEXT(INDEX(tblInv[تاريخ الاستحقاق],$N20),"dd/mm/yyyy")&amp;IF(INDEX(tblInv[ملاحظات],$N20)&amp;""&lt;&gt;""," — "&amp;INDEX(tblInv[ملاحظات],$N20),""),INDEX(tblRec[النوع],$O20)&amp;IF(INDEX(tblRec[طريقة الدفع],$O20)&amp;""&lt;&gt;""," ("&amp;INDEX(tblRec[طريقة الدفع],$O20)&amp;")","")&amp;IF(INDEX(tblRec[رقم الفاتورة],$O20)&amp;""&lt;&gt;""," — عن فاتورة "&amp;INDEX(tblRec[رقم الفاتورة],$O20)," — دفعة على الحساب")),IF($M20="l",INDEX(tblBuckets[الفترة],4),IF($M20="v",TEXT(SUMIFS(tblInv[المتبقي],tblInv[كود العميل],StCust,tblInv[الفترة],INDEX(tblBuckets[الفترة],4)),"#,##0.00;-#,##0.00;-"),IF($M20="t","ملخص أعمار رصيد العميل كما في "&amp;TEXT(AsOf,"dd/mm/yyyy"),IF($M20="p","يُرجى مطابقة الرصيد وإفادتنا خلال 15 يوماً، وإلا اعتُبر الرصيد صحيحاً.","")))))</f>
        <v/>
      </c>
      <c r="E20" s="119">
        <f>IF($M20="m",IF($N20&lt;&gt;"",INDEX(tblInv[الإجمالي],$N20),0),IF($M20="l",INDEX(tblBuckets[الفترة],5),IF($M20="v",TEXT(SUMIFS(tblInv[المتبقي],tblInv[كود العميل],StCust,tblInv[الفترة],INDEX(tblBuckets[الفترة],5)),"#,##0.00;-#,##0.00;-"),"")))</f>
        <v/>
      </c>
      <c r="F20" s="119">
        <f>IF($M20="m",IF($O20&lt;&gt;"",INDEX(tblRec[المبلغ],$O20),0),IF($M20="l",INDEX(tblBuckets[الفترة],6),IF($M20="v",TEXT(SUMIFS(tblInv[المتبقي],tblInv[كود العميل],StCust,tblInv[الفترة],INDEX(tblBuckets[الفترة],6)),"#,##0.00;-#,##0.00;-"),"")))</f>
        <v/>
      </c>
      <c r="G20" s="120">
        <f>IF($M20="m",N(G19)+E20-F20,IF($M20="l",INDEX(tblBuckets[الفترة],7),IF($M20="v",TEXT(SUMIFS(tblInv[المتبقي],tblInv[كود العميل],StCust,tblInv[الفترة],INDEX(tblBuckets[الفترة],7)),"#,##0.00;-#,##0.00;-"),"")))</f>
        <v/>
      </c>
      <c r="L20" t="n">
        <v>15</v>
      </c>
      <c r="M20">
        <f>IF(L20&lt;=StCount,"m",IF(L20=StCount+2,"t",IF(L20=StCount+3,"l",IF(L20=StCount+4,"v",IF(L20=StCount+6,"p","")))))</f>
        <v/>
      </c>
      <c r="N20">
        <f>IF(M20="m",IFERROR(MATCH(L20,tblInv[ترتيب الكشف],0),""),"")</f>
        <v/>
      </c>
      <c r="O20">
        <f>IF(AND(M20="m",N20=""),IFERROR(MATCH(L20,tblRec[ترتيب الكشف],0),""),"")</f>
        <v/>
      </c>
    </row>
    <row r="21">
      <c r="A21" s="117">
        <f>IF($M21="m",IF($N21&lt;&gt;"",INDEX(tblInv[تاريخ الفاتورة],$N21),INDEX(tblRec[التاريخ],$O21)),IF($M21="l",INDEX(tblBuckets[الفترة],1),IF($M21="v",TEXT(SUMIFS(tblInv[المتبقي],tblInv[كود العميل],StCust,tblInv[الفترة],INDEX(tblBuckets[الفترة],1)),"#,##0.00;-#,##0.00;-"),"")))</f>
        <v/>
      </c>
      <c r="B21" s="83">
        <f>IF($M21="m",IF($N21&lt;&gt;"","فاتورة",INDEX(tblRec[النوع],$O21)),IF($M21="l",INDEX(tblBuckets[الفترة],2),IF($M21="v",TEXT(SUMIFS(tblInv[المتبقي],tblInv[كود العميل],StCust,tblInv[الفترة],INDEX(tblBuckets[الفترة],2)),"#,##0.00;-#,##0.00;-"),"")))</f>
        <v/>
      </c>
      <c r="C21" s="83">
        <f>IF($M21="m",IF($N21&lt;&gt;"",INDEX(tblInv[رقم الفاتورة],$N21),INDEX(tblRec[رقم السند],$O21)),IF($M21="l",INDEX(tblBuckets[الفترة],3),IF($M21="v",TEXT(SUMIFS(tblInv[المتبقي],tblInv[كود العميل],StCust,tblInv[الفترة],INDEX(tblBuckets[الفترة],3)),"#,##0.00;-#,##0.00;-"),"")))</f>
        <v/>
      </c>
      <c r="D21" s="118">
        <f>IF($M21="m",IF($N21&lt;&gt;"","فاتورة مبيعات — استحقاق "&amp;TEXT(INDEX(tblInv[تاريخ الاستحقاق],$N21),"dd/mm/yyyy")&amp;IF(INDEX(tblInv[ملاحظات],$N21)&amp;""&lt;&gt;""," — "&amp;INDEX(tblInv[ملاحظات],$N21),""),INDEX(tblRec[النوع],$O21)&amp;IF(INDEX(tblRec[طريقة الدفع],$O21)&amp;""&lt;&gt;""," ("&amp;INDEX(tblRec[طريقة الدفع],$O21)&amp;")","")&amp;IF(INDEX(tblRec[رقم الفاتورة],$O21)&amp;""&lt;&gt;""," — عن فاتورة "&amp;INDEX(tblRec[رقم الفاتورة],$O21)," — دفعة على الحساب")),IF($M21="l",INDEX(tblBuckets[الفترة],4),IF($M21="v",TEXT(SUMIFS(tblInv[المتبقي],tblInv[كود العميل],StCust,tblInv[الفترة],INDEX(tblBuckets[الفترة],4)),"#,##0.00;-#,##0.00;-"),IF($M21="t","ملخص أعمار رصيد العميل كما في "&amp;TEXT(AsOf,"dd/mm/yyyy"),IF($M21="p","يُرجى مطابقة الرصيد وإفادتنا خلال 15 يوماً، وإلا اعتُبر الرصيد صحيحاً.","")))))</f>
        <v/>
      </c>
      <c r="E21" s="119">
        <f>IF($M21="m",IF($N21&lt;&gt;"",INDEX(tblInv[الإجمالي],$N21),0),IF($M21="l",INDEX(tblBuckets[الفترة],5),IF($M21="v",TEXT(SUMIFS(tblInv[المتبقي],tblInv[كود العميل],StCust,tblInv[الفترة],INDEX(tblBuckets[الفترة],5)),"#,##0.00;-#,##0.00;-"),"")))</f>
        <v/>
      </c>
      <c r="F21" s="119">
        <f>IF($M21="m",IF($O21&lt;&gt;"",INDEX(tblRec[المبلغ],$O21),0),IF($M21="l",INDEX(tblBuckets[الفترة],6),IF($M21="v",TEXT(SUMIFS(tblInv[المتبقي],tblInv[كود العميل],StCust,tblInv[الفترة],INDEX(tblBuckets[الفترة],6)),"#,##0.00;-#,##0.00;-"),"")))</f>
        <v/>
      </c>
      <c r="G21" s="120">
        <f>IF($M21="m",N(G20)+E21-F21,IF($M21="l",INDEX(tblBuckets[الفترة],7),IF($M21="v",TEXT(SUMIFS(tblInv[المتبقي],tblInv[كود العميل],StCust,tblInv[الفترة],INDEX(tblBuckets[الفترة],7)),"#,##0.00;-#,##0.00;-"),"")))</f>
        <v/>
      </c>
      <c r="L21" t="n">
        <v>16</v>
      </c>
      <c r="M21">
        <f>IF(L21&lt;=StCount,"m",IF(L21=StCount+2,"t",IF(L21=StCount+3,"l",IF(L21=StCount+4,"v",IF(L21=StCount+6,"p","")))))</f>
        <v/>
      </c>
      <c r="N21">
        <f>IF(M21="m",IFERROR(MATCH(L21,tblInv[ترتيب الكشف],0),""),"")</f>
        <v/>
      </c>
      <c r="O21">
        <f>IF(AND(M21="m",N21=""),IFERROR(MATCH(L21,tblRec[ترتيب الكشف],0),""),"")</f>
        <v/>
      </c>
    </row>
    <row r="22">
      <c r="A22" s="117">
        <f>IF($M22="m",IF($N22&lt;&gt;"",INDEX(tblInv[تاريخ الفاتورة],$N22),INDEX(tblRec[التاريخ],$O22)),IF($M22="l",INDEX(tblBuckets[الفترة],1),IF($M22="v",TEXT(SUMIFS(tblInv[المتبقي],tblInv[كود العميل],StCust,tblInv[الفترة],INDEX(tblBuckets[الفترة],1)),"#,##0.00;-#,##0.00;-"),"")))</f>
        <v/>
      </c>
      <c r="B22" s="83">
        <f>IF($M22="m",IF($N22&lt;&gt;"","فاتورة",INDEX(tblRec[النوع],$O22)),IF($M22="l",INDEX(tblBuckets[الفترة],2),IF($M22="v",TEXT(SUMIFS(tblInv[المتبقي],tblInv[كود العميل],StCust,tblInv[الفترة],INDEX(tblBuckets[الفترة],2)),"#,##0.00;-#,##0.00;-"),"")))</f>
        <v/>
      </c>
      <c r="C22" s="83">
        <f>IF($M22="m",IF($N22&lt;&gt;"",INDEX(tblInv[رقم الفاتورة],$N22),INDEX(tblRec[رقم السند],$O22)),IF($M22="l",INDEX(tblBuckets[الفترة],3),IF($M22="v",TEXT(SUMIFS(tblInv[المتبقي],tblInv[كود العميل],StCust,tblInv[الفترة],INDEX(tblBuckets[الفترة],3)),"#,##0.00;-#,##0.00;-"),"")))</f>
        <v/>
      </c>
      <c r="D22" s="118">
        <f>IF($M22="m",IF($N22&lt;&gt;"","فاتورة مبيعات — استحقاق "&amp;TEXT(INDEX(tblInv[تاريخ الاستحقاق],$N22),"dd/mm/yyyy")&amp;IF(INDEX(tblInv[ملاحظات],$N22)&amp;""&lt;&gt;""," — "&amp;INDEX(tblInv[ملاحظات],$N22),""),INDEX(tblRec[النوع],$O22)&amp;IF(INDEX(tblRec[طريقة الدفع],$O22)&amp;""&lt;&gt;""," ("&amp;INDEX(tblRec[طريقة الدفع],$O22)&amp;")","")&amp;IF(INDEX(tblRec[رقم الفاتورة],$O22)&amp;""&lt;&gt;""," — عن فاتورة "&amp;INDEX(tblRec[رقم الفاتورة],$O22)," — دفعة على الحساب")),IF($M22="l",INDEX(tblBuckets[الفترة],4),IF($M22="v",TEXT(SUMIFS(tblInv[المتبقي],tblInv[كود العميل],StCust,tblInv[الفترة],INDEX(tblBuckets[الفترة],4)),"#,##0.00;-#,##0.00;-"),IF($M22="t","ملخص أعمار رصيد العميل كما في "&amp;TEXT(AsOf,"dd/mm/yyyy"),IF($M22="p","يُرجى مطابقة الرصيد وإفادتنا خلال 15 يوماً، وإلا اعتُبر الرصيد صحيحاً.","")))))</f>
        <v/>
      </c>
      <c r="E22" s="119">
        <f>IF($M22="m",IF($N22&lt;&gt;"",INDEX(tblInv[الإجمالي],$N22),0),IF($M22="l",INDEX(tblBuckets[الفترة],5),IF($M22="v",TEXT(SUMIFS(tblInv[المتبقي],tblInv[كود العميل],StCust,tblInv[الفترة],INDEX(tblBuckets[الفترة],5)),"#,##0.00;-#,##0.00;-"),"")))</f>
        <v/>
      </c>
      <c r="F22" s="119">
        <f>IF($M22="m",IF($O22&lt;&gt;"",INDEX(tblRec[المبلغ],$O22),0),IF($M22="l",INDEX(tblBuckets[الفترة],6),IF($M22="v",TEXT(SUMIFS(tblInv[المتبقي],tblInv[كود العميل],StCust,tblInv[الفترة],INDEX(tblBuckets[الفترة],6)),"#,##0.00;-#,##0.00;-"),"")))</f>
        <v/>
      </c>
      <c r="G22" s="120">
        <f>IF($M22="m",N(G21)+E22-F22,IF($M22="l",INDEX(tblBuckets[الفترة],7),IF($M22="v",TEXT(SUMIFS(tblInv[المتبقي],tblInv[كود العميل],StCust,tblInv[الفترة],INDEX(tblBuckets[الفترة],7)),"#,##0.00;-#,##0.00;-"),"")))</f>
        <v/>
      </c>
      <c r="L22" t="n">
        <v>17</v>
      </c>
      <c r="M22">
        <f>IF(L22&lt;=StCount,"m",IF(L22=StCount+2,"t",IF(L22=StCount+3,"l",IF(L22=StCount+4,"v",IF(L22=StCount+6,"p","")))))</f>
        <v/>
      </c>
      <c r="N22">
        <f>IF(M22="m",IFERROR(MATCH(L22,tblInv[ترتيب الكشف],0),""),"")</f>
        <v/>
      </c>
      <c r="O22">
        <f>IF(AND(M22="m",N22=""),IFERROR(MATCH(L22,tblRec[ترتيب الكشف],0),""),"")</f>
        <v/>
      </c>
    </row>
    <row r="23">
      <c r="A23" s="117">
        <f>IF($M23="m",IF($N23&lt;&gt;"",INDEX(tblInv[تاريخ الفاتورة],$N23),INDEX(tblRec[التاريخ],$O23)),IF($M23="l",INDEX(tblBuckets[الفترة],1),IF($M23="v",TEXT(SUMIFS(tblInv[المتبقي],tblInv[كود العميل],StCust,tblInv[الفترة],INDEX(tblBuckets[الفترة],1)),"#,##0.00;-#,##0.00;-"),"")))</f>
        <v/>
      </c>
      <c r="B23" s="83">
        <f>IF($M23="m",IF($N23&lt;&gt;"","فاتورة",INDEX(tblRec[النوع],$O23)),IF($M23="l",INDEX(tblBuckets[الفترة],2),IF($M23="v",TEXT(SUMIFS(tblInv[المتبقي],tblInv[كود العميل],StCust,tblInv[الفترة],INDEX(tblBuckets[الفترة],2)),"#,##0.00;-#,##0.00;-"),"")))</f>
        <v/>
      </c>
      <c r="C23" s="83">
        <f>IF($M23="m",IF($N23&lt;&gt;"",INDEX(tblInv[رقم الفاتورة],$N23),INDEX(tblRec[رقم السند],$O23)),IF($M23="l",INDEX(tblBuckets[الفترة],3),IF($M23="v",TEXT(SUMIFS(tblInv[المتبقي],tblInv[كود العميل],StCust,tblInv[الفترة],INDEX(tblBuckets[الفترة],3)),"#,##0.00;-#,##0.00;-"),"")))</f>
        <v/>
      </c>
      <c r="D23" s="118">
        <f>IF($M23="m",IF($N23&lt;&gt;"","فاتورة مبيعات — استحقاق "&amp;TEXT(INDEX(tblInv[تاريخ الاستحقاق],$N23),"dd/mm/yyyy")&amp;IF(INDEX(tblInv[ملاحظات],$N23)&amp;""&lt;&gt;""," — "&amp;INDEX(tblInv[ملاحظات],$N23),""),INDEX(tblRec[النوع],$O23)&amp;IF(INDEX(tblRec[طريقة الدفع],$O23)&amp;""&lt;&gt;""," ("&amp;INDEX(tblRec[طريقة الدفع],$O23)&amp;")","")&amp;IF(INDEX(tblRec[رقم الفاتورة],$O23)&amp;""&lt;&gt;""," — عن فاتورة "&amp;INDEX(tblRec[رقم الفاتورة],$O23)," — دفعة على الحساب")),IF($M23="l",INDEX(tblBuckets[الفترة],4),IF($M23="v",TEXT(SUMIFS(tblInv[المتبقي],tblInv[كود العميل],StCust,tblInv[الفترة],INDEX(tblBuckets[الفترة],4)),"#,##0.00;-#,##0.00;-"),IF($M23="t","ملخص أعمار رصيد العميل كما في "&amp;TEXT(AsOf,"dd/mm/yyyy"),IF($M23="p","يُرجى مطابقة الرصيد وإفادتنا خلال 15 يوماً، وإلا اعتُبر الرصيد صحيحاً.","")))))</f>
        <v/>
      </c>
      <c r="E23" s="119">
        <f>IF($M23="m",IF($N23&lt;&gt;"",INDEX(tblInv[الإجمالي],$N23),0),IF($M23="l",INDEX(tblBuckets[الفترة],5),IF($M23="v",TEXT(SUMIFS(tblInv[المتبقي],tblInv[كود العميل],StCust,tblInv[الفترة],INDEX(tblBuckets[الفترة],5)),"#,##0.00;-#,##0.00;-"),"")))</f>
        <v/>
      </c>
      <c r="F23" s="119">
        <f>IF($M23="m",IF($O23&lt;&gt;"",INDEX(tblRec[المبلغ],$O23),0),IF($M23="l",INDEX(tblBuckets[الفترة],6),IF($M23="v",TEXT(SUMIFS(tblInv[المتبقي],tblInv[كود العميل],StCust,tblInv[الفترة],INDEX(tblBuckets[الفترة],6)),"#,##0.00;-#,##0.00;-"),"")))</f>
        <v/>
      </c>
      <c r="G23" s="120">
        <f>IF($M23="m",N(G22)+E23-F23,IF($M23="l",INDEX(tblBuckets[الفترة],7),IF($M23="v",TEXT(SUMIFS(tblInv[المتبقي],tblInv[كود العميل],StCust,tblInv[الفترة],INDEX(tblBuckets[الفترة],7)),"#,##0.00;-#,##0.00;-"),"")))</f>
        <v/>
      </c>
      <c r="L23" t="n">
        <v>18</v>
      </c>
      <c r="M23">
        <f>IF(L23&lt;=StCount,"m",IF(L23=StCount+2,"t",IF(L23=StCount+3,"l",IF(L23=StCount+4,"v",IF(L23=StCount+6,"p","")))))</f>
        <v/>
      </c>
      <c r="N23">
        <f>IF(M23="m",IFERROR(MATCH(L23,tblInv[ترتيب الكشف],0),""),"")</f>
        <v/>
      </c>
      <c r="O23">
        <f>IF(AND(M23="m",N23=""),IFERROR(MATCH(L23,tblRec[ترتيب الكشف],0),""),"")</f>
        <v/>
      </c>
    </row>
    <row r="24">
      <c r="A24" s="117">
        <f>IF($M24="m",IF($N24&lt;&gt;"",INDEX(tblInv[تاريخ الفاتورة],$N24),INDEX(tblRec[التاريخ],$O24)),IF($M24="l",INDEX(tblBuckets[الفترة],1),IF($M24="v",TEXT(SUMIFS(tblInv[المتبقي],tblInv[كود العميل],StCust,tblInv[الفترة],INDEX(tblBuckets[الفترة],1)),"#,##0.00;-#,##0.00;-"),"")))</f>
        <v/>
      </c>
      <c r="B24" s="83">
        <f>IF($M24="m",IF($N24&lt;&gt;"","فاتورة",INDEX(tblRec[النوع],$O24)),IF($M24="l",INDEX(tblBuckets[الفترة],2),IF($M24="v",TEXT(SUMIFS(tblInv[المتبقي],tblInv[كود العميل],StCust,tblInv[الفترة],INDEX(tblBuckets[الفترة],2)),"#,##0.00;-#,##0.00;-"),"")))</f>
        <v/>
      </c>
      <c r="C24" s="83">
        <f>IF($M24="m",IF($N24&lt;&gt;"",INDEX(tblInv[رقم الفاتورة],$N24),INDEX(tblRec[رقم السند],$O24)),IF($M24="l",INDEX(tblBuckets[الفترة],3),IF($M24="v",TEXT(SUMIFS(tblInv[المتبقي],tblInv[كود العميل],StCust,tblInv[الفترة],INDEX(tblBuckets[الفترة],3)),"#,##0.00;-#,##0.00;-"),"")))</f>
        <v/>
      </c>
      <c r="D24" s="118">
        <f>IF($M24="m",IF($N24&lt;&gt;"","فاتورة مبيعات — استحقاق "&amp;TEXT(INDEX(tblInv[تاريخ الاستحقاق],$N24),"dd/mm/yyyy")&amp;IF(INDEX(tblInv[ملاحظات],$N24)&amp;""&lt;&gt;""," — "&amp;INDEX(tblInv[ملاحظات],$N24),""),INDEX(tblRec[النوع],$O24)&amp;IF(INDEX(tblRec[طريقة الدفع],$O24)&amp;""&lt;&gt;""," ("&amp;INDEX(tblRec[طريقة الدفع],$O24)&amp;")","")&amp;IF(INDEX(tblRec[رقم الفاتورة],$O24)&amp;""&lt;&gt;""," — عن فاتورة "&amp;INDEX(tblRec[رقم الفاتورة],$O24)," — دفعة على الحساب")),IF($M24="l",INDEX(tblBuckets[الفترة],4),IF($M24="v",TEXT(SUMIFS(tblInv[المتبقي],tblInv[كود العميل],StCust,tblInv[الفترة],INDEX(tblBuckets[الفترة],4)),"#,##0.00;-#,##0.00;-"),IF($M24="t","ملخص أعمار رصيد العميل كما في "&amp;TEXT(AsOf,"dd/mm/yyyy"),IF($M24="p","يُرجى مطابقة الرصيد وإفادتنا خلال 15 يوماً، وإلا اعتُبر الرصيد صحيحاً.","")))))</f>
        <v/>
      </c>
      <c r="E24" s="119">
        <f>IF($M24="m",IF($N24&lt;&gt;"",INDEX(tblInv[الإجمالي],$N24),0),IF($M24="l",INDEX(tblBuckets[الفترة],5),IF($M24="v",TEXT(SUMIFS(tblInv[المتبقي],tblInv[كود العميل],StCust,tblInv[الفترة],INDEX(tblBuckets[الفترة],5)),"#,##0.00;-#,##0.00;-"),"")))</f>
        <v/>
      </c>
      <c r="F24" s="119">
        <f>IF($M24="m",IF($O24&lt;&gt;"",INDEX(tblRec[المبلغ],$O24),0),IF($M24="l",INDEX(tblBuckets[الفترة],6),IF($M24="v",TEXT(SUMIFS(tblInv[المتبقي],tblInv[كود العميل],StCust,tblInv[الفترة],INDEX(tblBuckets[الفترة],6)),"#,##0.00;-#,##0.00;-"),"")))</f>
        <v/>
      </c>
      <c r="G24" s="120">
        <f>IF($M24="m",N(G23)+E24-F24,IF($M24="l",INDEX(tblBuckets[الفترة],7),IF($M24="v",TEXT(SUMIFS(tblInv[المتبقي],tblInv[كود العميل],StCust,tblInv[الفترة],INDEX(tblBuckets[الفترة],7)),"#,##0.00;-#,##0.00;-"),"")))</f>
        <v/>
      </c>
      <c r="L24" t="n">
        <v>19</v>
      </c>
      <c r="M24">
        <f>IF(L24&lt;=StCount,"m",IF(L24=StCount+2,"t",IF(L24=StCount+3,"l",IF(L24=StCount+4,"v",IF(L24=StCount+6,"p","")))))</f>
        <v/>
      </c>
      <c r="N24">
        <f>IF(M24="m",IFERROR(MATCH(L24,tblInv[ترتيب الكشف],0),""),"")</f>
        <v/>
      </c>
      <c r="O24">
        <f>IF(AND(M24="m",N24=""),IFERROR(MATCH(L24,tblRec[ترتيب الكشف],0),""),"")</f>
        <v/>
      </c>
    </row>
    <row r="25">
      <c r="A25" s="117">
        <f>IF($M25="m",IF($N25&lt;&gt;"",INDEX(tblInv[تاريخ الفاتورة],$N25),INDEX(tblRec[التاريخ],$O25)),IF($M25="l",INDEX(tblBuckets[الفترة],1),IF($M25="v",TEXT(SUMIFS(tblInv[المتبقي],tblInv[كود العميل],StCust,tblInv[الفترة],INDEX(tblBuckets[الفترة],1)),"#,##0.00;-#,##0.00;-"),"")))</f>
        <v/>
      </c>
      <c r="B25" s="83">
        <f>IF($M25="m",IF($N25&lt;&gt;"","فاتورة",INDEX(tblRec[النوع],$O25)),IF($M25="l",INDEX(tblBuckets[الفترة],2),IF($M25="v",TEXT(SUMIFS(tblInv[المتبقي],tblInv[كود العميل],StCust,tblInv[الفترة],INDEX(tblBuckets[الفترة],2)),"#,##0.00;-#,##0.00;-"),"")))</f>
        <v/>
      </c>
      <c r="C25" s="83">
        <f>IF($M25="m",IF($N25&lt;&gt;"",INDEX(tblInv[رقم الفاتورة],$N25),INDEX(tblRec[رقم السند],$O25)),IF($M25="l",INDEX(tblBuckets[الفترة],3),IF($M25="v",TEXT(SUMIFS(tblInv[المتبقي],tblInv[كود العميل],StCust,tblInv[الفترة],INDEX(tblBuckets[الفترة],3)),"#,##0.00;-#,##0.00;-"),"")))</f>
        <v/>
      </c>
      <c r="D25" s="118">
        <f>IF($M25="m",IF($N25&lt;&gt;"","فاتورة مبيعات — استحقاق "&amp;TEXT(INDEX(tblInv[تاريخ الاستحقاق],$N25),"dd/mm/yyyy")&amp;IF(INDEX(tblInv[ملاحظات],$N25)&amp;""&lt;&gt;""," — "&amp;INDEX(tblInv[ملاحظات],$N25),""),INDEX(tblRec[النوع],$O25)&amp;IF(INDEX(tblRec[طريقة الدفع],$O25)&amp;""&lt;&gt;""," ("&amp;INDEX(tblRec[طريقة الدفع],$O25)&amp;")","")&amp;IF(INDEX(tblRec[رقم الفاتورة],$O25)&amp;""&lt;&gt;""," — عن فاتورة "&amp;INDEX(tblRec[رقم الفاتورة],$O25)," — دفعة على الحساب")),IF($M25="l",INDEX(tblBuckets[الفترة],4),IF($M25="v",TEXT(SUMIFS(tblInv[المتبقي],tblInv[كود العميل],StCust,tblInv[الفترة],INDEX(tblBuckets[الفترة],4)),"#,##0.00;-#,##0.00;-"),IF($M25="t","ملخص أعمار رصيد العميل كما في "&amp;TEXT(AsOf,"dd/mm/yyyy"),IF($M25="p","يُرجى مطابقة الرصيد وإفادتنا خلال 15 يوماً، وإلا اعتُبر الرصيد صحيحاً.","")))))</f>
        <v/>
      </c>
      <c r="E25" s="119">
        <f>IF($M25="m",IF($N25&lt;&gt;"",INDEX(tblInv[الإجمالي],$N25),0),IF($M25="l",INDEX(tblBuckets[الفترة],5),IF($M25="v",TEXT(SUMIFS(tblInv[المتبقي],tblInv[كود العميل],StCust,tblInv[الفترة],INDEX(tblBuckets[الفترة],5)),"#,##0.00;-#,##0.00;-"),"")))</f>
        <v/>
      </c>
      <c r="F25" s="119">
        <f>IF($M25="m",IF($O25&lt;&gt;"",INDEX(tblRec[المبلغ],$O25),0),IF($M25="l",INDEX(tblBuckets[الفترة],6),IF($M25="v",TEXT(SUMIFS(tblInv[المتبقي],tblInv[كود العميل],StCust,tblInv[الفترة],INDEX(tblBuckets[الفترة],6)),"#,##0.00;-#,##0.00;-"),"")))</f>
        <v/>
      </c>
      <c r="G25" s="120">
        <f>IF($M25="m",N(G24)+E25-F25,IF($M25="l",INDEX(tblBuckets[الفترة],7),IF($M25="v",TEXT(SUMIFS(tblInv[المتبقي],tblInv[كود العميل],StCust,tblInv[الفترة],INDEX(tblBuckets[الفترة],7)),"#,##0.00;-#,##0.00;-"),"")))</f>
        <v/>
      </c>
      <c r="L25" t="n">
        <v>20</v>
      </c>
      <c r="M25">
        <f>IF(L25&lt;=StCount,"m",IF(L25=StCount+2,"t",IF(L25=StCount+3,"l",IF(L25=StCount+4,"v",IF(L25=StCount+6,"p","")))))</f>
        <v/>
      </c>
      <c r="N25">
        <f>IF(M25="m",IFERROR(MATCH(L25,tblInv[ترتيب الكشف],0),""),"")</f>
        <v/>
      </c>
      <c r="O25">
        <f>IF(AND(M25="m",N25=""),IFERROR(MATCH(L25,tblRec[ترتيب الكشف],0),""),"")</f>
        <v/>
      </c>
    </row>
    <row r="26">
      <c r="A26" s="117">
        <f>IF($M26="m",IF($N26&lt;&gt;"",INDEX(tblInv[تاريخ الفاتورة],$N26),INDEX(tblRec[التاريخ],$O26)),IF($M26="l",INDEX(tblBuckets[الفترة],1),IF($M26="v",TEXT(SUMIFS(tblInv[المتبقي],tblInv[كود العميل],StCust,tblInv[الفترة],INDEX(tblBuckets[الفترة],1)),"#,##0.00;-#,##0.00;-"),"")))</f>
        <v/>
      </c>
      <c r="B26" s="83">
        <f>IF($M26="m",IF($N26&lt;&gt;"","فاتورة",INDEX(tblRec[النوع],$O26)),IF($M26="l",INDEX(tblBuckets[الفترة],2),IF($M26="v",TEXT(SUMIFS(tblInv[المتبقي],tblInv[كود العميل],StCust,tblInv[الفترة],INDEX(tblBuckets[الفترة],2)),"#,##0.00;-#,##0.00;-"),"")))</f>
        <v/>
      </c>
      <c r="C26" s="83">
        <f>IF($M26="m",IF($N26&lt;&gt;"",INDEX(tblInv[رقم الفاتورة],$N26),INDEX(tblRec[رقم السند],$O26)),IF($M26="l",INDEX(tblBuckets[الفترة],3),IF($M26="v",TEXT(SUMIFS(tblInv[المتبقي],tblInv[كود العميل],StCust,tblInv[الفترة],INDEX(tblBuckets[الفترة],3)),"#,##0.00;-#,##0.00;-"),"")))</f>
        <v/>
      </c>
      <c r="D26" s="118">
        <f>IF($M26="m",IF($N26&lt;&gt;"","فاتورة مبيعات — استحقاق "&amp;TEXT(INDEX(tblInv[تاريخ الاستحقاق],$N26),"dd/mm/yyyy")&amp;IF(INDEX(tblInv[ملاحظات],$N26)&amp;""&lt;&gt;""," — "&amp;INDEX(tblInv[ملاحظات],$N26),""),INDEX(tblRec[النوع],$O26)&amp;IF(INDEX(tblRec[طريقة الدفع],$O26)&amp;""&lt;&gt;""," ("&amp;INDEX(tblRec[طريقة الدفع],$O26)&amp;")","")&amp;IF(INDEX(tblRec[رقم الفاتورة],$O26)&amp;""&lt;&gt;""," — عن فاتورة "&amp;INDEX(tblRec[رقم الفاتورة],$O26)," — دفعة على الحساب")),IF($M26="l",INDEX(tblBuckets[الفترة],4),IF($M26="v",TEXT(SUMIFS(tblInv[المتبقي],tblInv[كود العميل],StCust,tblInv[الفترة],INDEX(tblBuckets[الفترة],4)),"#,##0.00;-#,##0.00;-"),IF($M26="t","ملخص أعمار رصيد العميل كما في "&amp;TEXT(AsOf,"dd/mm/yyyy"),IF($M26="p","يُرجى مطابقة الرصيد وإفادتنا خلال 15 يوماً، وإلا اعتُبر الرصيد صحيحاً.","")))))</f>
        <v/>
      </c>
      <c r="E26" s="119">
        <f>IF($M26="m",IF($N26&lt;&gt;"",INDEX(tblInv[الإجمالي],$N26),0),IF($M26="l",INDEX(tblBuckets[الفترة],5),IF($M26="v",TEXT(SUMIFS(tblInv[المتبقي],tblInv[كود العميل],StCust,tblInv[الفترة],INDEX(tblBuckets[الفترة],5)),"#,##0.00;-#,##0.00;-"),"")))</f>
        <v/>
      </c>
      <c r="F26" s="119">
        <f>IF($M26="m",IF($O26&lt;&gt;"",INDEX(tblRec[المبلغ],$O26),0),IF($M26="l",INDEX(tblBuckets[الفترة],6),IF($M26="v",TEXT(SUMIFS(tblInv[المتبقي],tblInv[كود العميل],StCust,tblInv[الفترة],INDEX(tblBuckets[الفترة],6)),"#,##0.00;-#,##0.00;-"),"")))</f>
        <v/>
      </c>
      <c r="G26" s="120">
        <f>IF($M26="m",N(G25)+E26-F26,IF($M26="l",INDEX(tblBuckets[الفترة],7),IF($M26="v",TEXT(SUMIFS(tblInv[المتبقي],tblInv[كود العميل],StCust,tblInv[الفترة],INDEX(tblBuckets[الفترة],7)),"#,##0.00;-#,##0.00;-"),"")))</f>
        <v/>
      </c>
      <c r="L26" t="n">
        <v>21</v>
      </c>
      <c r="M26">
        <f>IF(L26&lt;=StCount,"m",IF(L26=StCount+2,"t",IF(L26=StCount+3,"l",IF(L26=StCount+4,"v",IF(L26=StCount+6,"p","")))))</f>
        <v/>
      </c>
      <c r="N26">
        <f>IF(M26="m",IFERROR(MATCH(L26,tblInv[ترتيب الكشف],0),""),"")</f>
        <v/>
      </c>
      <c r="O26">
        <f>IF(AND(M26="m",N26=""),IFERROR(MATCH(L26,tblRec[ترتيب الكشف],0),""),"")</f>
        <v/>
      </c>
    </row>
    <row r="27">
      <c r="A27" s="117">
        <f>IF($M27="m",IF($N27&lt;&gt;"",INDEX(tblInv[تاريخ الفاتورة],$N27),INDEX(tblRec[التاريخ],$O27)),IF($M27="l",INDEX(tblBuckets[الفترة],1),IF($M27="v",TEXT(SUMIFS(tblInv[المتبقي],tblInv[كود العميل],StCust,tblInv[الفترة],INDEX(tblBuckets[الفترة],1)),"#,##0.00;-#,##0.00;-"),"")))</f>
        <v/>
      </c>
      <c r="B27" s="83">
        <f>IF($M27="m",IF($N27&lt;&gt;"","فاتورة",INDEX(tblRec[النوع],$O27)),IF($M27="l",INDEX(tblBuckets[الفترة],2),IF($M27="v",TEXT(SUMIFS(tblInv[المتبقي],tblInv[كود العميل],StCust,tblInv[الفترة],INDEX(tblBuckets[الفترة],2)),"#,##0.00;-#,##0.00;-"),"")))</f>
        <v/>
      </c>
      <c r="C27" s="83">
        <f>IF($M27="m",IF($N27&lt;&gt;"",INDEX(tblInv[رقم الفاتورة],$N27),INDEX(tblRec[رقم السند],$O27)),IF($M27="l",INDEX(tblBuckets[الفترة],3),IF($M27="v",TEXT(SUMIFS(tblInv[المتبقي],tblInv[كود العميل],StCust,tblInv[الفترة],INDEX(tblBuckets[الفترة],3)),"#,##0.00;-#,##0.00;-"),"")))</f>
        <v/>
      </c>
      <c r="D27" s="118">
        <f>IF($M27="m",IF($N27&lt;&gt;"","فاتورة مبيعات — استحقاق "&amp;TEXT(INDEX(tblInv[تاريخ الاستحقاق],$N27),"dd/mm/yyyy")&amp;IF(INDEX(tblInv[ملاحظات],$N27)&amp;""&lt;&gt;""," — "&amp;INDEX(tblInv[ملاحظات],$N27),""),INDEX(tblRec[النوع],$O27)&amp;IF(INDEX(tblRec[طريقة الدفع],$O27)&amp;""&lt;&gt;""," ("&amp;INDEX(tblRec[طريقة الدفع],$O27)&amp;")","")&amp;IF(INDEX(tblRec[رقم الفاتورة],$O27)&amp;""&lt;&gt;""," — عن فاتورة "&amp;INDEX(tblRec[رقم الفاتورة],$O27)," — دفعة على الحساب")),IF($M27="l",INDEX(tblBuckets[الفترة],4),IF($M27="v",TEXT(SUMIFS(tblInv[المتبقي],tblInv[كود العميل],StCust,tblInv[الفترة],INDEX(tblBuckets[الفترة],4)),"#,##0.00;-#,##0.00;-"),IF($M27="t","ملخص أعمار رصيد العميل كما في "&amp;TEXT(AsOf,"dd/mm/yyyy"),IF($M27="p","يُرجى مطابقة الرصيد وإفادتنا خلال 15 يوماً، وإلا اعتُبر الرصيد صحيحاً.","")))))</f>
        <v/>
      </c>
      <c r="E27" s="119">
        <f>IF($M27="m",IF($N27&lt;&gt;"",INDEX(tblInv[الإجمالي],$N27),0),IF($M27="l",INDEX(tblBuckets[الفترة],5),IF($M27="v",TEXT(SUMIFS(tblInv[المتبقي],tblInv[كود العميل],StCust,tblInv[الفترة],INDEX(tblBuckets[الفترة],5)),"#,##0.00;-#,##0.00;-"),"")))</f>
        <v/>
      </c>
      <c r="F27" s="119">
        <f>IF($M27="m",IF($O27&lt;&gt;"",INDEX(tblRec[المبلغ],$O27),0),IF($M27="l",INDEX(tblBuckets[الفترة],6),IF($M27="v",TEXT(SUMIFS(tblInv[المتبقي],tblInv[كود العميل],StCust,tblInv[الفترة],INDEX(tblBuckets[الفترة],6)),"#,##0.00;-#,##0.00;-"),"")))</f>
        <v/>
      </c>
      <c r="G27" s="120">
        <f>IF($M27="m",N(G26)+E27-F27,IF($M27="l",INDEX(tblBuckets[الفترة],7),IF($M27="v",TEXT(SUMIFS(tblInv[المتبقي],tblInv[كود العميل],StCust,tblInv[الفترة],INDEX(tblBuckets[الفترة],7)),"#,##0.00;-#,##0.00;-"),"")))</f>
        <v/>
      </c>
      <c r="L27" t="n">
        <v>22</v>
      </c>
      <c r="M27">
        <f>IF(L27&lt;=StCount,"m",IF(L27=StCount+2,"t",IF(L27=StCount+3,"l",IF(L27=StCount+4,"v",IF(L27=StCount+6,"p","")))))</f>
        <v/>
      </c>
      <c r="N27">
        <f>IF(M27="m",IFERROR(MATCH(L27,tblInv[ترتيب الكشف],0),""),"")</f>
        <v/>
      </c>
      <c r="O27">
        <f>IF(AND(M27="m",N27=""),IFERROR(MATCH(L27,tblRec[ترتيب الكشف],0),""),"")</f>
        <v/>
      </c>
    </row>
    <row r="28">
      <c r="A28" s="117">
        <f>IF($M28="m",IF($N28&lt;&gt;"",INDEX(tblInv[تاريخ الفاتورة],$N28),INDEX(tblRec[التاريخ],$O28)),IF($M28="l",INDEX(tblBuckets[الفترة],1),IF($M28="v",TEXT(SUMIFS(tblInv[المتبقي],tblInv[كود العميل],StCust,tblInv[الفترة],INDEX(tblBuckets[الفترة],1)),"#,##0.00;-#,##0.00;-"),"")))</f>
        <v/>
      </c>
      <c r="B28" s="83">
        <f>IF($M28="m",IF($N28&lt;&gt;"","فاتورة",INDEX(tblRec[النوع],$O28)),IF($M28="l",INDEX(tblBuckets[الفترة],2),IF($M28="v",TEXT(SUMIFS(tblInv[المتبقي],tblInv[كود العميل],StCust,tblInv[الفترة],INDEX(tblBuckets[الفترة],2)),"#,##0.00;-#,##0.00;-"),"")))</f>
        <v/>
      </c>
      <c r="C28" s="83">
        <f>IF($M28="m",IF($N28&lt;&gt;"",INDEX(tblInv[رقم الفاتورة],$N28),INDEX(tblRec[رقم السند],$O28)),IF($M28="l",INDEX(tblBuckets[الفترة],3),IF($M28="v",TEXT(SUMIFS(tblInv[المتبقي],tblInv[كود العميل],StCust,tblInv[الفترة],INDEX(tblBuckets[الفترة],3)),"#,##0.00;-#,##0.00;-"),"")))</f>
        <v/>
      </c>
      <c r="D28" s="118">
        <f>IF($M28="m",IF($N28&lt;&gt;"","فاتورة مبيعات — استحقاق "&amp;TEXT(INDEX(tblInv[تاريخ الاستحقاق],$N28),"dd/mm/yyyy")&amp;IF(INDEX(tblInv[ملاحظات],$N28)&amp;""&lt;&gt;""," — "&amp;INDEX(tblInv[ملاحظات],$N28),""),INDEX(tblRec[النوع],$O28)&amp;IF(INDEX(tblRec[طريقة الدفع],$O28)&amp;""&lt;&gt;""," ("&amp;INDEX(tblRec[طريقة الدفع],$O28)&amp;")","")&amp;IF(INDEX(tblRec[رقم الفاتورة],$O28)&amp;""&lt;&gt;""," — عن فاتورة "&amp;INDEX(tblRec[رقم الفاتورة],$O28)," — دفعة على الحساب")),IF($M28="l",INDEX(tblBuckets[الفترة],4),IF($M28="v",TEXT(SUMIFS(tblInv[المتبقي],tblInv[كود العميل],StCust,tblInv[الفترة],INDEX(tblBuckets[الفترة],4)),"#,##0.00;-#,##0.00;-"),IF($M28="t","ملخص أعمار رصيد العميل كما في "&amp;TEXT(AsOf,"dd/mm/yyyy"),IF($M28="p","يُرجى مطابقة الرصيد وإفادتنا خلال 15 يوماً، وإلا اعتُبر الرصيد صحيحاً.","")))))</f>
        <v/>
      </c>
      <c r="E28" s="119">
        <f>IF($M28="m",IF($N28&lt;&gt;"",INDEX(tblInv[الإجمالي],$N28),0),IF($M28="l",INDEX(tblBuckets[الفترة],5),IF($M28="v",TEXT(SUMIFS(tblInv[المتبقي],tblInv[كود العميل],StCust,tblInv[الفترة],INDEX(tblBuckets[الفترة],5)),"#,##0.00;-#,##0.00;-"),"")))</f>
        <v/>
      </c>
      <c r="F28" s="119">
        <f>IF($M28="m",IF($O28&lt;&gt;"",INDEX(tblRec[المبلغ],$O28),0),IF($M28="l",INDEX(tblBuckets[الفترة],6),IF($M28="v",TEXT(SUMIFS(tblInv[المتبقي],tblInv[كود العميل],StCust,tblInv[الفترة],INDEX(tblBuckets[الفترة],6)),"#,##0.00;-#,##0.00;-"),"")))</f>
        <v/>
      </c>
      <c r="G28" s="120">
        <f>IF($M28="m",N(G27)+E28-F28,IF($M28="l",INDEX(tblBuckets[الفترة],7),IF($M28="v",TEXT(SUMIFS(tblInv[المتبقي],tblInv[كود العميل],StCust,tblInv[الفترة],INDEX(tblBuckets[الفترة],7)),"#,##0.00;-#,##0.00;-"),"")))</f>
        <v/>
      </c>
      <c r="L28" t="n">
        <v>23</v>
      </c>
      <c r="M28">
        <f>IF(L28&lt;=StCount,"m",IF(L28=StCount+2,"t",IF(L28=StCount+3,"l",IF(L28=StCount+4,"v",IF(L28=StCount+6,"p","")))))</f>
        <v/>
      </c>
      <c r="N28">
        <f>IF(M28="m",IFERROR(MATCH(L28,tblInv[ترتيب الكشف],0),""),"")</f>
        <v/>
      </c>
      <c r="O28">
        <f>IF(AND(M28="m",N28=""),IFERROR(MATCH(L28,tblRec[ترتيب الكشف],0),""),"")</f>
        <v/>
      </c>
    </row>
    <row r="29">
      <c r="A29" s="117">
        <f>IF($M29="m",IF($N29&lt;&gt;"",INDEX(tblInv[تاريخ الفاتورة],$N29),INDEX(tblRec[التاريخ],$O29)),IF($M29="l",INDEX(tblBuckets[الفترة],1),IF($M29="v",TEXT(SUMIFS(tblInv[المتبقي],tblInv[كود العميل],StCust,tblInv[الفترة],INDEX(tblBuckets[الفترة],1)),"#,##0.00;-#,##0.00;-"),"")))</f>
        <v/>
      </c>
      <c r="B29" s="83">
        <f>IF($M29="m",IF($N29&lt;&gt;"","فاتورة",INDEX(tblRec[النوع],$O29)),IF($M29="l",INDEX(tblBuckets[الفترة],2),IF($M29="v",TEXT(SUMIFS(tblInv[المتبقي],tblInv[كود العميل],StCust,tblInv[الفترة],INDEX(tblBuckets[الفترة],2)),"#,##0.00;-#,##0.00;-"),"")))</f>
        <v/>
      </c>
      <c r="C29" s="83">
        <f>IF($M29="m",IF($N29&lt;&gt;"",INDEX(tblInv[رقم الفاتورة],$N29),INDEX(tblRec[رقم السند],$O29)),IF($M29="l",INDEX(tblBuckets[الفترة],3),IF($M29="v",TEXT(SUMIFS(tblInv[المتبقي],tblInv[كود العميل],StCust,tblInv[الفترة],INDEX(tblBuckets[الفترة],3)),"#,##0.00;-#,##0.00;-"),"")))</f>
        <v/>
      </c>
      <c r="D29" s="118">
        <f>IF($M29="m",IF($N29&lt;&gt;"","فاتورة مبيعات — استحقاق "&amp;TEXT(INDEX(tblInv[تاريخ الاستحقاق],$N29),"dd/mm/yyyy")&amp;IF(INDEX(tblInv[ملاحظات],$N29)&amp;""&lt;&gt;""," — "&amp;INDEX(tblInv[ملاحظات],$N29),""),INDEX(tblRec[النوع],$O29)&amp;IF(INDEX(tblRec[طريقة الدفع],$O29)&amp;""&lt;&gt;""," ("&amp;INDEX(tblRec[طريقة الدفع],$O29)&amp;")","")&amp;IF(INDEX(tblRec[رقم الفاتورة],$O29)&amp;""&lt;&gt;""," — عن فاتورة "&amp;INDEX(tblRec[رقم الفاتورة],$O29)," — دفعة على الحساب")),IF($M29="l",INDEX(tblBuckets[الفترة],4),IF($M29="v",TEXT(SUMIFS(tblInv[المتبقي],tblInv[كود العميل],StCust,tblInv[الفترة],INDEX(tblBuckets[الفترة],4)),"#,##0.00;-#,##0.00;-"),IF($M29="t","ملخص أعمار رصيد العميل كما في "&amp;TEXT(AsOf,"dd/mm/yyyy"),IF($M29="p","يُرجى مطابقة الرصيد وإفادتنا خلال 15 يوماً، وإلا اعتُبر الرصيد صحيحاً.","")))))</f>
        <v/>
      </c>
      <c r="E29" s="119">
        <f>IF($M29="m",IF($N29&lt;&gt;"",INDEX(tblInv[الإجمالي],$N29),0),IF($M29="l",INDEX(tblBuckets[الفترة],5),IF($M29="v",TEXT(SUMIFS(tblInv[المتبقي],tblInv[كود العميل],StCust,tblInv[الفترة],INDEX(tblBuckets[الفترة],5)),"#,##0.00;-#,##0.00;-"),"")))</f>
        <v/>
      </c>
      <c r="F29" s="119">
        <f>IF($M29="m",IF($O29&lt;&gt;"",INDEX(tblRec[المبلغ],$O29),0),IF($M29="l",INDEX(tblBuckets[الفترة],6),IF($M29="v",TEXT(SUMIFS(tblInv[المتبقي],tblInv[كود العميل],StCust,tblInv[الفترة],INDEX(tblBuckets[الفترة],6)),"#,##0.00;-#,##0.00;-"),"")))</f>
        <v/>
      </c>
      <c r="G29" s="120">
        <f>IF($M29="m",N(G28)+E29-F29,IF($M29="l",INDEX(tblBuckets[الفترة],7),IF($M29="v",TEXT(SUMIFS(tblInv[المتبقي],tblInv[كود العميل],StCust,tblInv[الفترة],INDEX(tblBuckets[الفترة],7)),"#,##0.00;-#,##0.00;-"),"")))</f>
        <v/>
      </c>
      <c r="L29" t="n">
        <v>24</v>
      </c>
      <c r="M29">
        <f>IF(L29&lt;=StCount,"m",IF(L29=StCount+2,"t",IF(L29=StCount+3,"l",IF(L29=StCount+4,"v",IF(L29=StCount+6,"p","")))))</f>
        <v/>
      </c>
      <c r="N29">
        <f>IF(M29="m",IFERROR(MATCH(L29,tblInv[ترتيب الكشف],0),""),"")</f>
        <v/>
      </c>
      <c r="O29">
        <f>IF(AND(M29="m",N29=""),IFERROR(MATCH(L29,tblRec[ترتيب الكشف],0),""),"")</f>
        <v/>
      </c>
    </row>
    <row r="30">
      <c r="A30" s="117">
        <f>IF($M30="m",IF($N30&lt;&gt;"",INDEX(tblInv[تاريخ الفاتورة],$N30),INDEX(tblRec[التاريخ],$O30)),IF($M30="l",INDEX(tblBuckets[الفترة],1),IF($M30="v",TEXT(SUMIFS(tblInv[المتبقي],tblInv[كود العميل],StCust,tblInv[الفترة],INDEX(tblBuckets[الفترة],1)),"#,##0.00;-#,##0.00;-"),"")))</f>
        <v/>
      </c>
      <c r="B30" s="83">
        <f>IF($M30="m",IF($N30&lt;&gt;"","فاتورة",INDEX(tblRec[النوع],$O30)),IF($M30="l",INDEX(tblBuckets[الفترة],2),IF($M30="v",TEXT(SUMIFS(tblInv[المتبقي],tblInv[كود العميل],StCust,tblInv[الفترة],INDEX(tblBuckets[الفترة],2)),"#,##0.00;-#,##0.00;-"),"")))</f>
        <v/>
      </c>
      <c r="C30" s="83">
        <f>IF($M30="m",IF($N30&lt;&gt;"",INDEX(tblInv[رقم الفاتورة],$N30),INDEX(tblRec[رقم السند],$O30)),IF($M30="l",INDEX(tblBuckets[الفترة],3),IF($M30="v",TEXT(SUMIFS(tblInv[المتبقي],tblInv[كود العميل],StCust,tblInv[الفترة],INDEX(tblBuckets[الفترة],3)),"#,##0.00;-#,##0.00;-"),"")))</f>
        <v/>
      </c>
      <c r="D30" s="118">
        <f>IF($M30="m",IF($N30&lt;&gt;"","فاتورة مبيعات — استحقاق "&amp;TEXT(INDEX(tblInv[تاريخ الاستحقاق],$N30),"dd/mm/yyyy")&amp;IF(INDEX(tblInv[ملاحظات],$N30)&amp;""&lt;&gt;""," — "&amp;INDEX(tblInv[ملاحظات],$N30),""),INDEX(tblRec[النوع],$O30)&amp;IF(INDEX(tblRec[طريقة الدفع],$O30)&amp;""&lt;&gt;""," ("&amp;INDEX(tblRec[طريقة الدفع],$O30)&amp;")","")&amp;IF(INDEX(tblRec[رقم الفاتورة],$O30)&amp;""&lt;&gt;""," — عن فاتورة "&amp;INDEX(tblRec[رقم الفاتورة],$O30)," — دفعة على الحساب")),IF($M30="l",INDEX(tblBuckets[الفترة],4),IF($M30="v",TEXT(SUMIFS(tblInv[المتبقي],tblInv[كود العميل],StCust,tblInv[الفترة],INDEX(tblBuckets[الفترة],4)),"#,##0.00;-#,##0.00;-"),IF($M30="t","ملخص أعمار رصيد العميل كما في "&amp;TEXT(AsOf,"dd/mm/yyyy"),IF($M30="p","يُرجى مطابقة الرصيد وإفادتنا خلال 15 يوماً، وإلا اعتُبر الرصيد صحيحاً.","")))))</f>
        <v/>
      </c>
      <c r="E30" s="119">
        <f>IF($M30="m",IF($N30&lt;&gt;"",INDEX(tblInv[الإجمالي],$N30),0),IF($M30="l",INDEX(tblBuckets[الفترة],5),IF($M30="v",TEXT(SUMIFS(tblInv[المتبقي],tblInv[كود العميل],StCust,tblInv[الفترة],INDEX(tblBuckets[الفترة],5)),"#,##0.00;-#,##0.00;-"),"")))</f>
        <v/>
      </c>
      <c r="F30" s="119">
        <f>IF($M30="m",IF($O30&lt;&gt;"",INDEX(tblRec[المبلغ],$O30),0),IF($M30="l",INDEX(tblBuckets[الفترة],6),IF($M30="v",TEXT(SUMIFS(tblInv[المتبقي],tblInv[كود العميل],StCust,tblInv[الفترة],INDEX(tblBuckets[الفترة],6)),"#,##0.00;-#,##0.00;-"),"")))</f>
        <v/>
      </c>
      <c r="G30" s="120">
        <f>IF($M30="m",N(G29)+E30-F30,IF($M30="l",INDEX(tblBuckets[الفترة],7),IF($M30="v",TEXT(SUMIFS(tblInv[المتبقي],tblInv[كود العميل],StCust,tblInv[الفترة],INDEX(tblBuckets[الفترة],7)),"#,##0.00;-#,##0.00;-"),"")))</f>
        <v/>
      </c>
      <c r="L30" t="n">
        <v>25</v>
      </c>
      <c r="M30">
        <f>IF(L30&lt;=StCount,"m",IF(L30=StCount+2,"t",IF(L30=StCount+3,"l",IF(L30=StCount+4,"v",IF(L30=StCount+6,"p","")))))</f>
        <v/>
      </c>
      <c r="N30">
        <f>IF(M30="m",IFERROR(MATCH(L30,tblInv[ترتيب الكشف],0),""),"")</f>
        <v/>
      </c>
      <c r="O30">
        <f>IF(AND(M30="m",N30=""),IFERROR(MATCH(L30,tblRec[ترتيب الكشف],0),""),"")</f>
        <v/>
      </c>
    </row>
    <row r="31">
      <c r="A31" s="117">
        <f>IF($M31="m",IF($N31&lt;&gt;"",INDEX(tblInv[تاريخ الفاتورة],$N31),INDEX(tblRec[التاريخ],$O31)),IF($M31="l",INDEX(tblBuckets[الفترة],1),IF($M31="v",TEXT(SUMIFS(tblInv[المتبقي],tblInv[كود العميل],StCust,tblInv[الفترة],INDEX(tblBuckets[الفترة],1)),"#,##0.00;-#,##0.00;-"),"")))</f>
        <v/>
      </c>
      <c r="B31" s="83">
        <f>IF($M31="m",IF($N31&lt;&gt;"","فاتورة",INDEX(tblRec[النوع],$O31)),IF($M31="l",INDEX(tblBuckets[الفترة],2),IF($M31="v",TEXT(SUMIFS(tblInv[المتبقي],tblInv[كود العميل],StCust,tblInv[الفترة],INDEX(tblBuckets[الفترة],2)),"#,##0.00;-#,##0.00;-"),"")))</f>
        <v/>
      </c>
      <c r="C31" s="83">
        <f>IF($M31="m",IF($N31&lt;&gt;"",INDEX(tblInv[رقم الفاتورة],$N31),INDEX(tblRec[رقم السند],$O31)),IF($M31="l",INDEX(tblBuckets[الفترة],3),IF($M31="v",TEXT(SUMIFS(tblInv[المتبقي],tblInv[كود العميل],StCust,tblInv[الفترة],INDEX(tblBuckets[الفترة],3)),"#,##0.00;-#,##0.00;-"),"")))</f>
        <v/>
      </c>
      <c r="D31" s="118">
        <f>IF($M31="m",IF($N31&lt;&gt;"","فاتورة مبيعات — استحقاق "&amp;TEXT(INDEX(tblInv[تاريخ الاستحقاق],$N31),"dd/mm/yyyy")&amp;IF(INDEX(tblInv[ملاحظات],$N31)&amp;""&lt;&gt;""," — "&amp;INDEX(tblInv[ملاحظات],$N31),""),INDEX(tblRec[النوع],$O31)&amp;IF(INDEX(tblRec[طريقة الدفع],$O31)&amp;""&lt;&gt;""," ("&amp;INDEX(tblRec[طريقة الدفع],$O31)&amp;")","")&amp;IF(INDEX(tblRec[رقم الفاتورة],$O31)&amp;""&lt;&gt;""," — عن فاتورة "&amp;INDEX(tblRec[رقم الفاتورة],$O31)," — دفعة على الحساب")),IF($M31="l",INDEX(tblBuckets[الفترة],4),IF($M31="v",TEXT(SUMIFS(tblInv[المتبقي],tblInv[كود العميل],StCust,tblInv[الفترة],INDEX(tblBuckets[الفترة],4)),"#,##0.00;-#,##0.00;-"),IF($M31="t","ملخص أعمار رصيد العميل كما في "&amp;TEXT(AsOf,"dd/mm/yyyy"),IF($M31="p","يُرجى مطابقة الرصيد وإفادتنا خلال 15 يوماً، وإلا اعتُبر الرصيد صحيحاً.","")))))</f>
        <v/>
      </c>
      <c r="E31" s="119">
        <f>IF($M31="m",IF($N31&lt;&gt;"",INDEX(tblInv[الإجمالي],$N31),0),IF($M31="l",INDEX(tblBuckets[الفترة],5),IF($M31="v",TEXT(SUMIFS(tblInv[المتبقي],tblInv[كود العميل],StCust,tblInv[الفترة],INDEX(tblBuckets[الفترة],5)),"#,##0.00;-#,##0.00;-"),"")))</f>
        <v/>
      </c>
      <c r="F31" s="119">
        <f>IF($M31="m",IF($O31&lt;&gt;"",INDEX(tblRec[المبلغ],$O31),0),IF($M31="l",INDEX(tblBuckets[الفترة],6),IF($M31="v",TEXT(SUMIFS(tblInv[المتبقي],tblInv[كود العميل],StCust,tblInv[الفترة],INDEX(tblBuckets[الفترة],6)),"#,##0.00;-#,##0.00;-"),"")))</f>
        <v/>
      </c>
      <c r="G31" s="120">
        <f>IF($M31="m",N(G30)+E31-F31,IF($M31="l",INDEX(tblBuckets[الفترة],7),IF($M31="v",TEXT(SUMIFS(tblInv[المتبقي],tblInv[كود العميل],StCust,tblInv[الفترة],INDEX(tblBuckets[الفترة],7)),"#,##0.00;-#,##0.00;-"),"")))</f>
        <v/>
      </c>
      <c r="L31" t="n">
        <v>26</v>
      </c>
      <c r="M31">
        <f>IF(L31&lt;=StCount,"m",IF(L31=StCount+2,"t",IF(L31=StCount+3,"l",IF(L31=StCount+4,"v",IF(L31=StCount+6,"p","")))))</f>
        <v/>
      </c>
      <c r="N31">
        <f>IF(M31="m",IFERROR(MATCH(L31,tblInv[ترتيب الكشف],0),""),"")</f>
        <v/>
      </c>
      <c r="O31">
        <f>IF(AND(M31="m",N31=""),IFERROR(MATCH(L31,tblRec[ترتيب الكشف],0),""),"")</f>
        <v/>
      </c>
    </row>
    <row r="32">
      <c r="A32" s="117">
        <f>IF($M32="m",IF($N32&lt;&gt;"",INDEX(tblInv[تاريخ الفاتورة],$N32),INDEX(tblRec[التاريخ],$O32)),IF($M32="l",INDEX(tblBuckets[الفترة],1),IF($M32="v",TEXT(SUMIFS(tblInv[المتبقي],tblInv[كود العميل],StCust,tblInv[الفترة],INDEX(tblBuckets[الفترة],1)),"#,##0.00;-#,##0.00;-"),"")))</f>
        <v/>
      </c>
      <c r="B32" s="83">
        <f>IF($M32="m",IF($N32&lt;&gt;"","فاتورة",INDEX(tblRec[النوع],$O32)),IF($M32="l",INDEX(tblBuckets[الفترة],2),IF($M32="v",TEXT(SUMIFS(tblInv[المتبقي],tblInv[كود العميل],StCust,tblInv[الفترة],INDEX(tblBuckets[الفترة],2)),"#,##0.00;-#,##0.00;-"),"")))</f>
        <v/>
      </c>
      <c r="C32" s="83">
        <f>IF($M32="m",IF($N32&lt;&gt;"",INDEX(tblInv[رقم الفاتورة],$N32),INDEX(tblRec[رقم السند],$O32)),IF($M32="l",INDEX(tblBuckets[الفترة],3),IF($M32="v",TEXT(SUMIFS(tblInv[المتبقي],tblInv[كود العميل],StCust,tblInv[الفترة],INDEX(tblBuckets[الفترة],3)),"#,##0.00;-#,##0.00;-"),"")))</f>
        <v/>
      </c>
      <c r="D32" s="118">
        <f>IF($M32="m",IF($N32&lt;&gt;"","فاتورة مبيعات — استحقاق "&amp;TEXT(INDEX(tblInv[تاريخ الاستحقاق],$N32),"dd/mm/yyyy")&amp;IF(INDEX(tblInv[ملاحظات],$N32)&amp;""&lt;&gt;""," — "&amp;INDEX(tblInv[ملاحظات],$N32),""),INDEX(tblRec[النوع],$O32)&amp;IF(INDEX(tblRec[طريقة الدفع],$O32)&amp;""&lt;&gt;""," ("&amp;INDEX(tblRec[طريقة الدفع],$O32)&amp;")","")&amp;IF(INDEX(tblRec[رقم الفاتورة],$O32)&amp;""&lt;&gt;""," — عن فاتورة "&amp;INDEX(tblRec[رقم الفاتورة],$O32)," — دفعة على الحساب")),IF($M32="l",INDEX(tblBuckets[الفترة],4),IF($M32="v",TEXT(SUMIFS(tblInv[المتبقي],tblInv[كود العميل],StCust,tblInv[الفترة],INDEX(tblBuckets[الفترة],4)),"#,##0.00;-#,##0.00;-"),IF($M32="t","ملخص أعمار رصيد العميل كما في "&amp;TEXT(AsOf,"dd/mm/yyyy"),IF($M32="p","يُرجى مطابقة الرصيد وإفادتنا خلال 15 يوماً، وإلا اعتُبر الرصيد صحيحاً.","")))))</f>
        <v/>
      </c>
      <c r="E32" s="119">
        <f>IF($M32="m",IF($N32&lt;&gt;"",INDEX(tblInv[الإجمالي],$N32),0),IF($M32="l",INDEX(tblBuckets[الفترة],5),IF($M32="v",TEXT(SUMIFS(tblInv[المتبقي],tblInv[كود العميل],StCust,tblInv[الفترة],INDEX(tblBuckets[الفترة],5)),"#,##0.00;-#,##0.00;-"),"")))</f>
        <v/>
      </c>
      <c r="F32" s="119">
        <f>IF($M32="m",IF($O32&lt;&gt;"",INDEX(tblRec[المبلغ],$O32),0),IF($M32="l",INDEX(tblBuckets[الفترة],6),IF($M32="v",TEXT(SUMIFS(tblInv[المتبقي],tblInv[كود العميل],StCust,tblInv[الفترة],INDEX(tblBuckets[الفترة],6)),"#,##0.00;-#,##0.00;-"),"")))</f>
        <v/>
      </c>
      <c r="G32" s="120">
        <f>IF($M32="m",N(G31)+E32-F32,IF($M32="l",INDEX(tblBuckets[الفترة],7),IF($M32="v",TEXT(SUMIFS(tblInv[المتبقي],tblInv[كود العميل],StCust,tblInv[الفترة],INDEX(tblBuckets[الفترة],7)),"#,##0.00;-#,##0.00;-"),"")))</f>
        <v/>
      </c>
      <c r="L32" t="n">
        <v>27</v>
      </c>
      <c r="M32">
        <f>IF(L32&lt;=StCount,"m",IF(L32=StCount+2,"t",IF(L32=StCount+3,"l",IF(L32=StCount+4,"v",IF(L32=StCount+6,"p","")))))</f>
        <v/>
      </c>
      <c r="N32">
        <f>IF(M32="m",IFERROR(MATCH(L32,tblInv[ترتيب الكشف],0),""),"")</f>
        <v/>
      </c>
      <c r="O32">
        <f>IF(AND(M32="m",N32=""),IFERROR(MATCH(L32,tblRec[ترتيب الكشف],0),""),"")</f>
        <v/>
      </c>
    </row>
    <row r="33">
      <c r="A33" s="117">
        <f>IF($M33="m",IF($N33&lt;&gt;"",INDEX(tblInv[تاريخ الفاتورة],$N33),INDEX(tblRec[التاريخ],$O33)),IF($M33="l",INDEX(tblBuckets[الفترة],1),IF($M33="v",TEXT(SUMIFS(tblInv[المتبقي],tblInv[كود العميل],StCust,tblInv[الفترة],INDEX(tblBuckets[الفترة],1)),"#,##0.00;-#,##0.00;-"),"")))</f>
        <v/>
      </c>
      <c r="B33" s="83">
        <f>IF($M33="m",IF($N33&lt;&gt;"","فاتورة",INDEX(tblRec[النوع],$O33)),IF($M33="l",INDEX(tblBuckets[الفترة],2),IF($M33="v",TEXT(SUMIFS(tblInv[المتبقي],tblInv[كود العميل],StCust,tblInv[الفترة],INDEX(tblBuckets[الفترة],2)),"#,##0.00;-#,##0.00;-"),"")))</f>
        <v/>
      </c>
      <c r="C33" s="83">
        <f>IF($M33="m",IF($N33&lt;&gt;"",INDEX(tblInv[رقم الفاتورة],$N33),INDEX(tblRec[رقم السند],$O33)),IF($M33="l",INDEX(tblBuckets[الفترة],3),IF($M33="v",TEXT(SUMIFS(tblInv[المتبقي],tblInv[كود العميل],StCust,tblInv[الفترة],INDEX(tblBuckets[الفترة],3)),"#,##0.00;-#,##0.00;-"),"")))</f>
        <v/>
      </c>
      <c r="D33" s="118">
        <f>IF($M33="m",IF($N33&lt;&gt;"","فاتورة مبيعات — استحقاق "&amp;TEXT(INDEX(tblInv[تاريخ الاستحقاق],$N33),"dd/mm/yyyy")&amp;IF(INDEX(tblInv[ملاحظات],$N33)&amp;""&lt;&gt;""," — "&amp;INDEX(tblInv[ملاحظات],$N33),""),INDEX(tblRec[النوع],$O33)&amp;IF(INDEX(tblRec[طريقة الدفع],$O33)&amp;""&lt;&gt;""," ("&amp;INDEX(tblRec[طريقة الدفع],$O33)&amp;")","")&amp;IF(INDEX(tblRec[رقم الفاتورة],$O33)&amp;""&lt;&gt;""," — عن فاتورة "&amp;INDEX(tblRec[رقم الفاتورة],$O33)," — دفعة على الحساب")),IF($M33="l",INDEX(tblBuckets[الفترة],4),IF($M33="v",TEXT(SUMIFS(tblInv[المتبقي],tblInv[كود العميل],StCust,tblInv[الفترة],INDEX(tblBuckets[الفترة],4)),"#,##0.00;-#,##0.00;-"),IF($M33="t","ملخص أعمار رصيد العميل كما في "&amp;TEXT(AsOf,"dd/mm/yyyy"),IF($M33="p","يُرجى مطابقة الرصيد وإفادتنا خلال 15 يوماً، وإلا اعتُبر الرصيد صحيحاً.","")))))</f>
        <v/>
      </c>
      <c r="E33" s="119">
        <f>IF($M33="m",IF($N33&lt;&gt;"",INDEX(tblInv[الإجمالي],$N33),0),IF($M33="l",INDEX(tblBuckets[الفترة],5),IF($M33="v",TEXT(SUMIFS(tblInv[المتبقي],tblInv[كود العميل],StCust,tblInv[الفترة],INDEX(tblBuckets[الفترة],5)),"#,##0.00;-#,##0.00;-"),"")))</f>
        <v/>
      </c>
      <c r="F33" s="119">
        <f>IF($M33="m",IF($O33&lt;&gt;"",INDEX(tblRec[المبلغ],$O33),0),IF($M33="l",INDEX(tblBuckets[الفترة],6),IF($M33="v",TEXT(SUMIFS(tblInv[المتبقي],tblInv[كود العميل],StCust,tblInv[الفترة],INDEX(tblBuckets[الفترة],6)),"#,##0.00;-#,##0.00;-"),"")))</f>
        <v/>
      </c>
      <c r="G33" s="120">
        <f>IF($M33="m",N(G32)+E33-F33,IF($M33="l",INDEX(tblBuckets[الفترة],7),IF($M33="v",TEXT(SUMIFS(tblInv[المتبقي],tblInv[كود العميل],StCust,tblInv[الفترة],INDEX(tblBuckets[الفترة],7)),"#,##0.00;-#,##0.00;-"),"")))</f>
        <v/>
      </c>
      <c r="L33" t="n">
        <v>28</v>
      </c>
      <c r="M33">
        <f>IF(L33&lt;=StCount,"m",IF(L33=StCount+2,"t",IF(L33=StCount+3,"l",IF(L33=StCount+4,"v",IF(L33=StCount+6,"p","")))))</f>
        <v/>
      </c>
      <c r="N33">
        <f>IF(M33="m",IFERROR(MATCH(L33,tblInv[ترتيب الكشف],0),""),"")</f>
        <v/>
      </c>
      <c r="O33">
        <f>IF(AND(M33="m",N33=""),IFERROR(MATCH(L33,tblRec[ترتيب الكشف],0),""),"")</f>
        <v/>
      </c>
    </row>
    <row r="34">
      <c r="A34" s="117">
        <f>IF($M34="m",IF($N34&lt;&gt;"",INDEX(tblInv[تاريخ الفاتورة],$N34),INDEX(tblRec[التاريخ],$O34)),IF($M34="l",INDEX(tblBuckets[الفترة],1),IF($M34="v",TEXT(SUMIFS(tblInv[المتبقي],tblInv[كود العميل],StCust,tblInv[الفترة],INDEX(tblBuckets[الفترة],1)),"#,##0.00;-#,##0.00;-"),"")))</f>
        <v/>
      </c>
      <c r="B34" s="83">
        <f>IF($M34="m",IF($N34&lt;&gt;"","فاتورة",INDEX(tblRec[النوع],$O34)),IF($M34="l",INDEX(tblBuckets[الفترة],2),IF($M34="v",TEXT(SUMIFS(tblInv[المتبقي],tblInv[كود العميل],StCust,tblInv[الفترة],INDEX(tblBuckets[الفترة],2)),"#,##0.00;-#,##0.00;-"),"")))</f>
        <v/>
      </c>
      <c r="C34" s="83">
        <f>IF($M34="m",IF($N34&lt;&gt;"",INDEX(tblInv[رقم الفاتورة],$N34),INDEX(tblRec[رقم السند],$O34)),IF($M34="l",INDEX(tblBuckets[الفترة],3),IF($M34="v",TEXT(SUMIFS(tblInv[المتبقي],tblInv[كود العميل],StCust,tblInv[الفترة],INDEX(tblBuckets[الفترة],3)),"#,##0.00;-#,##0.00;-"),"")))</f>
        <v/>
      </c>
      <c r="D34" s="118">
        <f>IF($M34="m",IF($N34&lt;&gt;"","فاتورة مبيعات — استحقاق "&amp;TEXT(INDEX(tblInv[تاريخ الاستحقاق],$N34),"dd/mm/yyyy")&amp;IF(INDEX(tblInv[ملاحظات],$N34)&amp;""&lt;&gt;""," — "&amp;INDEX(tblInv[ملاحظات],$N34),""),INDEX(tblRec[النوع],$O34)&amp;IF(INDEX(tblRec[طريقة الدفع],$O34)&amp;""&lt;&gt;""," ("&amp;INDEX(tblRec[طريقة الدفع],$O34)&amp;")","")&amp;IF(INDEX(tblRec[رقم الفاتورة],$O34)&amp;""&lt;&gt;""," — عن فاتورة "&amp;INDEX(tblRec[رقم الفاتورة],$O34)," — دفعة على الحساب")),IF($M34="l",INDEX(tblBuckets[الفترة],4),IF($M34="v",TEXT(SUMIFS(tblInv[المتبقي],tblInv[كود العميل],StCust,tblInv[الفترة],INDEX(tblBuckets[الفترة],4)),"#,##0.00;-#,##0.00;-"),IF($M34="t","ملخص أعمار رصيد العميل كما في "&amp;TEXT(AsOf,"dd/mm/yyyy"),IF($M34="p","يُرجى مطابقة الرصيد وإفادتنا خلال 15 يوماً، وإلا اعتُبر الرصيد صحيحاً.","")))))</f>
        <v/>
      </c>
      <c r="E34" s="119">
        <f>IF($M34="m",IF($N34&lt;&gt;"",INDEX(tblInv[الإجمالي],$N34),0),IF($M34="l",INDEX(tblBuckets[الفترة],5),IF($M34="v",TEXT(SUMIFS(tblInv[المتبقي],tblInv[كود العميل],StCust,tblInv[الفترة],INDEX(tblBuckets[الفترة],5)),"#,##0.00;-#,##0.00;-"),"")))</f>
        <v/>
      </c>
      <c r="F34" s="119">
        <f>IF($M34="m",IF($O34&lt;&gt;"",INDEX(tblRec[المبلغ],$O34),0),IF($M34="l",INDEX(tblBuckets[الفترة],6),IF($M34="v",TEXT(SUMIFS(tblInv[المتبقي],tblInv[كود العميل],StCust,tblInv[الفترة],INDEX(tblBuckets[الفترة],6)),"#,##0.00;-#,##0.00;-"),"")))</f>
        <v/>
      </c>
      <c r="G34" s="120">
        <f>IF($M34="m",N(G33)+E34-F34,IF($M34="l",INDEX(tblBuckets[الفترة],7),IF($M34="v",TEXT(SUMIFS(tblInv[المتبقي],tblInv[كود العميل],StCust,tblInv[الفترة],INDEX(tblBuckets[الفترة],7)),"#,##0.00;-#,##0.00;-"),"")))</f>
        <v/>
      </c>
      <c r="L34" t="n">
        <v>29</v>
      </c>
      <c r="M34">
        <f>IF(L34&lt;=StCount,"m",IF(L34=StCount+2,"t",IF(L34=StCount+3,"l",IF(L34=StCount+4,"v",IF(L34=StCount+6,"p","")))))</f>
        <v/>
      </c>
      <c r="N34">
        <f>IF(M34="m",IFERROR(MATCH(L34,tblInv[ترتيب الكشف],0),""),"")</f>
        <v/>
      </c>
      <c r="O34">
        <f>IF(AND(M34="m",N34=""),IFERROR(MATCH(L34,tblRec[ترتيب الكشف],0),""),"")</f>
        <v/>
      </c>
    </row>
    <row r="35">
      <c r="A35" s="117">
        <f>IF($M35="m",IF($N35&lt;&gt;"",INDEX(tblInv[تاريخ الفاتورة],$N35),INDEX(tblRec[التاريخ],$O35)),IF($M35="l",INDEX(tblBuckets[الفترة],1),IF($M35="v",TEXT(SUMIFS(tblInv[المتبقي],tblInv[كود العميل],StCust,tblInv[الفترة],INDEX(tblBuckets[الفترة],1)),"#,##0.00;-#,##0.00;-"),"")))</f>
        <v/>
      </c>
      <c r="B35" s="83">
        <f>IF($M35="m",IF($N35&lt;&gt;"","فاتورة",INDEX(tblRec[النوع],$O35)),IF($M35="l",INDEX(tblBuckets[الفترة],2),IF($M35="v",TEXT(SUMIFS(tblInv[المتبقي],tblInv[كود العميل],StCust,tblInv[الفترة],INDEX(tblBuckets[الفترة],2)),"#,##0.00;-#,##0.00;-"),"")))</f>
        <v/>
      </c>
      <c r="C35" s="83">
        <f>IF($M35="m",IF($N35&lt;&gt;"",INDEX(tblInv[رقم الفاتورة],$N35),INDEX(tblRec[رقم السند],$O35)),IF($M35="l",INDEX(tblBuckets[الفترة],3),IF($M35="v",TEXT(SUMIFS(tblInv[المتبقي],tblInv[كود العميل],StCust,tblInv[الفترة],INDEX(tblBuckets[الفترة],3)),"#,##0.00;-#,##0.00;-"),"")))</f>
        <v/>
      </c>
      <c r="D35" s="118">
        <f>IF($M35="m",IF($N35&lt;&gt;"","فاتورة مبيعات — استحقاق "&amp;TEXT(INDEX(tblInv[تاريخ الاستحقاق],$N35),"dd/mm/yyyy")&amp;IF(INDEX(tblInv[ملاحظات],$N35)&amp;""&lt;&gt;""," — "&amp;INDEX(tblInv[ملاحظات],$N35),""),INDEX(tblRec[النوع],$O35)&amp;IF(INDEX(tblRec[طريقة الدفع],$O35)&amp;""&lt;&gt;""," ("&amp;INDEX(tblRec[طريقة الدفع],$O35)&amp;")","")&amp;IF(INDEX(tblRec[رقم الفاتورة],$O35)&amp;""&lt;&gt;""," — عن فاتورة "&amp;INDEX(tblRec[رقم الفاتورة],$O35)," — دفعة على الحساب")),IF($M35="l",INDEX(tblBuckets[الفترة],4),IF($M35="v",TEXT(SUMIFS(tblInv[المتبقي],tblInv[كود العميل],StCust,tblInv[الفترة],INDEX(tblBuckets[الفترة],4)),"#,##0.00;-#,##0.00;-"),IF($M35="t","ملخص أعمار رصيد العميل كما في "&amp;TEXT(AsOf,"dd/mm/yyyy"),IF($M35="p","يُرجى مطابقة الرصيد وإفادتنا خلال 15 يوماً، وإلا اعتُبر الرصيد صحيحاً.","")))))</f>
        <v/>
      </c>
      <c r="E35" s="119">
        <f>IF($M35="m",IF($N35&lt;&gt;"",INDEX(tblInv[الإجمالي],$N35),0),IF($M35="l",INDEX(tblBuckets[الفترة],5),IF($M35="v",TEXT(SUMIFS(tblInv[المتبقي],tblInv[كود العميل],StCust,tblInv[الفترة],INDEX(tblBuckets[الفترة],5)),"#,##0.00;-#,##0.00;-"),"")))</f>
        <v/>
      </c>
      <c r="F35" s="119">
        <f>IF($M35="m",IF($O35&lt;&gt;"",INDEX(tblRec[المبلغ],$O35),0),IF($M35="l",INDEX(tblBuckets[الفترة],6),IF($M35="v",TEXT(SUMIFS(tblInv[المتبقي],tblInv[كود العميل],StCust,tblInv[الفترة],INDEX(tblBuckets[الفترة],6)),"#,##0.00;-#,##0.00;-"),"")))</f>
        <v/>
      </c>
      <c r="G35" s="120">
        <f>IF($M35="m",N(G34)+E35-F35,IF($M35="l",INDEX(tblBuckets[الفترة],7),IF($M35="v",TEXT(SUMIFS(tblInv[المتبقي],tblInv[كود العميل],StCust,tblInv[الفترة],INDEX(tblBuckets[الفترة],7)),"#,##0.00;-#,##0.00;-"),"")))</f>
        <v/>
      </c>
      <c r="L35" t="n">
        <v>30</v>
      </c>
      <c r="M35">
        <f>IF(L35&lt;=StCount,"m",IF(L35=StCount+2,"t",IF(L35=StCount+3,"l",IF(L35=StCount+4,"v",IF(L35=StCount+6,"p","")))))</f>
        <v/>
      </c>
      <c r="N35">
        <f>IF(M35="m",IFERROR(MATCH(L35,tblInv[ترتيب الكشف],0),""),"")</f>
        <v/>
      </c>
      <c r="O35">
        <f>IF(AND(M35="m",N35=""),IFERROR(MATCH(L35,tblRec[ترتيب الكشف],0),""),"")</f>
        <v/>
      </c>
    </row>
    <row r="36">
      <c r="A36" s="117">
        <f>IF($M36="m",IF($N36&lt;&gt;"",INDEX(tblInv[تاريخ الفاتورة],$N36),INDEX(tblRec[التاريخ],$O36)),IF($M36="l",INDEX(tblBuckets[الفترة],1),IF($M36="v",TEXT(SUMIFS(tblInv[المتبقي],tblInv[كود العميل],StCust,tblInv[الفترة],INDEX(tblBuckets[الفترة],1)),"#,##0.00;-#,##0.00;-"),"")))</f>
        <v/>
      </c>
      <c r="B36" s="83">
        <f>IF($M36="m",IF($N36&lt;&gt;"","فاتورة",INDEX(tblRec[النوع],$O36)),IF($M36="l",INDEX(tblBuckets[الفترة],2),IF($M36="v",TEXT(SUMIFS(tblInv[المتبقي],tblInv[كود العميل],StCust,tblInv[الفترة],INDEX(tblBuckets[الفترة],2)),"#,##0.00;-#,##0.00;-"),"")))</f>
        <v/>
      </c>
      <c r="C36" s="83">
        <f>IF($M36="m",IF($N36&lt;&gt;"",INDEX(tblInv[رقم الفاتورة],$N36),INDEX(tblRec[رقم السند],$O36)),IF($M36="l",INDEX(tblBuckets[الفترة],3),IF($M36="v",TEXT(SUMIFS(tblInv[المتبقي],tblInv[كود العميل],StCust,tblInv[الفترة],INDEX(tblBuckets[الفترة],3)),"#,##0.00;-#,##0.00;-"),"")))</f>
        <v/>
      </c>
      <c r="D36" s="118">
        <f>IF($M36="m",IF($N36&lt;&gt;"","فاتورة مبيعات — استحقاق "&amp;TEXT(INDEX(tblInv[تاريخ الاستحقاق],$N36),"dd/mm/yyyy")&amp;IF(INDEX(tblInv[ملاحظات],$N36)&amp;""&lt;&gt;""," — "&amp;INDEX(tblInv[ملاحظات],$N36),""),INDEX(tblRec[النوع],$O36)&amp;IF(INDEX(tblRec[طريقة الدفع],$O36)&amp;""&lt;&gt;""," ("&amp;INDEX(tblRec[طريقة الدفع],$O36)&amp;")","")&amp;IF(INDEX(tblRec[رقم الفاتورة],$O36)&amp;""&lt;&gt;""," — عن فاتورة "&amp;INDEX(tblRec[رقم الفاتورة],$O36)," — دفعة على الحساب")),IF($M36="l",INDEX(tblBuckets[الفترة],4),IF($M36="v",TEXT(SUMIFS(tblInv[المتبقي],tblInv[كود العميل],StCust,tblInv[الفترة],INDEX(tblBuckets[الفترة],4)),"#,##0.00;-#,##0.00;-"),IF($M36="t","ملخص أعمار رصيد العميل كما في "&amp;TEXT(AsOf,"dd/mm/yyyy"),IF($M36="p","يُرجى مطابقة الرصيد وإفادتنا خلال 15 يوماً، وإلا اعتُبر الرصيد صحيحاً.","")))))</f>
        <v/>
      </c>
      <c r="E36" s="119">
        <f>IF($M36="m",IF($N36&lt;&gt;"",INDEX(tblInv[الإجمالي],$N36),0),IF($M36="l",INDEX(tblBuckets[الفترة],5),IF($M36="v",TEXT(SUMIFS(tblInv[المتبقي],tblInv[كود العميل],StCust,tblInv[الفترة],INDEX(tblBuckets[الفترة],5)),"#,##0.00;-#,##0.00;-"),"")))</f>
        <v/>
      </c>
      <c r="F36" s="119">
        <f>IF($M36="m",IF($O36&lt;&gt;"",INDEX(tblRec[المبلغ],$O36),0),IF($M36="l",INDEX(tblBuckets[الفترة],6),IF($M36="v",TEXT(SUMIFS(tblInv[المتبقي],tblInv[كود العميل],StCust,tblInv[الفترة],INDEX(tblBuckets[الفترة],6)),"#,##0.00;-#,##0.00;-"),"")))</f>
        <v/>
      </c>
      <c r="G36" s="120">
        <f>IF($M36="m",N(G35)+E36-F36,IF($M36="l",INDEX(tblBuckets[الفترة],7),IF($M36="v",TEXT(SUMIFS(tblInv[المتبقي],tblInv[كود العميل],StCust,tblInv[الفترة],INDEX(tblBuckets[الفترة],7)),"#,##0.00;-#,##0.00;-"),"")))</f>
        <v/>
      </c>
      <c r="L36" t="n">
        <v>31</v>
      </c>
      <c r="M36">
        <f>IF(L36&lt;=StCount,"m",IF(L36=StCount+2,"t",IF(L36=StCount+3,"l",IF(L36=StCount+4,"v",IF(L36=StCount+6,"p","")))))</f>
        <v/>
      </c>
      <c r="N36">
        <f>IF(M36="m",IFERROR(MATCH(L36,tblInv[ترتيب الكشف],0),""),"")</f>
        <v/>
      </c>
      <c r="O36">
        <f>IF(AND(M36="m",N36=""),IFERROR(MATCH(L36,tblRec[ترتيب الكشف],0),""),"")</f>
        <v/>
      </c>
    </row>
    <row r="37">
      <c r="A37" s="117">
        <f>IF($M37="m",IF($N37&lt;&gt;"",INDEX(tblInv[تاريخ الفاتورة],$N37),INDEX(tblRec[التاريخ],$O37)),IF($M37="l",INDEX(tblBuckets[الفترة],1),IF($M37="v",TEXT(SUMIFS(tblInv[المتبقي],tblInv[كود العميل],StCust,tblInv[الفترة],INDEX(tblBuckets[الفترة],1)),"#,##0.00;-#,##0.00;-"),"")))</f>
        <v/>
      </c>
      <c r="B37" s="83">
        <f>IF($M37="m",IF($N37&lt;&gt;"","فاتورة",INDEX(tblRec[النوع],$O37)),IF($M37="l",INDEX(tblBuckets[الفترة],2),IF($M37="v",TEXT(SUMIFS(tblInv[المتبقي],tblInv[كود العميل],StCust,tblInv[الفترة],INDEX(tblBuckets[الفترة],2)),"#,##0.00;-#,##0.00;-"),"")))</f>
        <v/>
      </c>
      <c r="C37" s="83">
        <f>IF($M37="m",IF($N37&lt;&gt;"",INDEX(tblInv[رقم الفاتورة],$N37),INDEX(tblRec[رقم السند],$O37)),IF($M37="l",INDEX(tblBuckets[الفترة],3),IF($M37="v",TEXT(SUMIFS(tblInv[المتبقي],tblInv[كود العميل],StCust,tblInv[الفترة],INDEX(tblBuckets[الفترة],3)),"#,##0.00;-#,##0.00;-"),"")))</f>
        <v/>
      </c>
      <c r="D37" s="118">
        <f>IF($M37="m",IF($N37&lt;&gt;"","فاتورة مبيعات — استحقاق "&amp;TEXT(INDEX(tblInv[تاريخ الاستحقاق],$N37),"dd/mm/yyyy")&amp;IF(INDEX(tblInv[ملاحظات],$N37)&amp;""&lt;&gt;""," — "&amp;INDEX(tblInv[ملاحظات],$N37),""),INDEX(tblRec[النوع],$O37)&amp;IF(INDEX(tblRec[طريقة الدفع],$O37)&amp;""&lt;&gt;""," ("&amp;INDEX(tblRec[طريقة الدفع],$O37)&amp;")","")&amp;IF(INDEX(tblRec[رقم الفاتورة],$O37)&amp;""&lt;&gt;""," — عن فاتورة "&amp;INDEX(tblRec[رقم الفاتورة],$O37)," — دفعة على الحساب")),IF($M37="l",INDEX(tblBuckets[الفترة],4),IF($M37="v",TEXT(SUMIFS(tblInv[المتبقي],tblInv[كود العميل],StCust,tblInv[الفترة],INDEX(tblBuckets[الفترة],4)),"#,##0.00;-#,##0.00;-"),IF($M37="t","ملخص أعمار رصيد العميل كما في "&amp;TEXT(AsOf,"dd/mm/yyyy"),IF($M37="p","يُرجى مطابقة الرصيد وإفادتنا خلال 15 يوماً، وإلا اعتُبر الرصيد صحيحاً.","")))))</f>
        <v/>
      </c>
      <c r="E37" s="119">
        <f>IF($M37="m",IF($N37&lt;&gt;"",INDEX(tblInv[الإجمالي],$N37),0),IF($M37="l",INDEX(tblBuckets[الفترة],5),IF($M37="v",TEXT(SUMIFS(tblInv[المتبقي],tblInv[كود العميل],StCust,tblInv[الفترة],INDEX(tblBuckets[الفترة],5)),"#,##0.00;-#,##0.00;-"),"")))</f>
        <v/>
      </c>
      <c r="F37" s="119">
        <f>IF($M37="m",IF($O37&lt;&gt;"",INDEX(tblRec[المبلغ],$O37),0),IF($M37="l",INDEX(tblBuckets[الفترة],6),IF($M37="v",TEXT(SUMIFS(tblInv[المتبقي],tblInv[كود العميل],StCust,tblInv[الفترة],INDEX(tblBuckets[الفترة],6)),"#,##0.00;-#,##0.00;-"),"")))</f>
        <v/>
      </c>
      <c r="G37" s="120">
        <f>IF($M37="m",N(G36)+E37-F37,IF($M37="l",INDEX(tblBuckets[الفترة],7),IF($M37="v",TEXT(SUMIFS(tblInv[المتبقي],tblInv[كود العميل],StCust,tblInv[الفترة],INDEX(tblBuckets[الفترة],7)),"#,##0.00;-#,##0.00;-"),"")))</f>
        <v/>
      </c>
      <c r="L37" t="n">
        <v>32</v>
      </c>
      <c r="M37">
        <f>IF(L37&lt;=StCount,"m",IF(L37=StCount+2,"t",IF(L37=StCount+3,"l",IF(L37=StCount+4,"v",IF(L37=StCount+6,"p","")))))</f>
        <v/>
      </c>
      <c r="N37">
        <f>IF(M37="m",IFERROR(MATCH(L37,tblInv[ترتيب الكشف],0),""),"")</f>
        <v/>
      </c>
      <c r="O37">
        <f>IF(AND(M37="m",N37=""),IFERROR(MATCH(L37,tblRec[ترتيب الكشف],0),""),"")</f>
        <v/>
      </c>
    </row>
    <row r="38">
      <c r="A38" s="117">
        <f>IF($M38="m",IF($N38&lt;&gt;"",INDEX(tblInv[تاريخ الفاتورة],$N38),INDEX(tblRec[التاريخ],$O38)),IF($M38="l",INDEX(tblBuckets[الفترة],1),IF($M38="v",TEXT(SUMIFS(tblInv[المتبقي],tblInv[كود العميل],StCust,tblInv[الفترة],INDEX(tblBuckets[الفترة],1)),"#,##0.00;-#,##0.00;-"),"")))</f>
        <v/>
      </c>
      <c r="B38" s="83">
        <f>IF($M38="m",IF($N38&lt;&gt;"","فاتورة",INDEX(tblRec[النوع],$O38)),IF($M38="l",INDEX(tblBuckets[الفترة],2),IF($M38="v",TEXT(SUMIFS(tblInv[المتبقي],tblInv[كود العميل],StCust,tblInv[الفترة],INDEX(tblBuckets[الفترة],2)),"#,##0.00;-#,##0.00;-"),"")))</f>
        <v/>
      </c>
      <c r="C38" s="83">
        <f>IF($M38="m",IF($N38&lt;&gt;"",INDEX(tblInv[رقم الفاتورة],$N38),INDEX(tblRec[رقم السند],$O38)),IF($M38="l",INDEX(tblBuckets[الفترة],3),IF($M38="v",TEXT(SUMIFS(tblInv[المتبقي],tblInv[كود العميل],StCust,tblInv[الفترة],INDEX(tblBuckets[الفترة],3)),"#,##0.00;-#,##0.00;-"),"")))</f>
        <v/>
      </c>
      <c r="D38" s="118">
        <f>IF($M38="m",IF($N38&lt;&gt;"","فاتورة مبيعات — استحقاق "&amp;TEXT(INDEX(tblInv[تاريخ الاستحقاق],$N38),"dd/mm/yyyy")&amp;IF(INDEX(tblInv[ملاحظات],$N38)&amp;""&lt;&gt;""," — "&amp;INDEX(tblInv[ملاحظات],$N38),""),INDEX(tblRec[النوع],$O38)&amp;IF(INDEX(tblRec[طريقة الدفع],$O38)&amp;""&lt;&gt;""," ("&amp;INDEX(tblRec[طريقة الدفع],$O38)&amp;")","")&amp;IF(INDEX(tblRec[رقم الفاتورة],$O38)&amp;""&lt;&gt;""," — عن فاتورة "&amp;INDEX(tblRec[رقم الفاتورة],$O38)," — دفعة على الحساب")),IF($M38="l",INDEX(tblBuckets[الفترة],4),IF($M38="v",TEXT(SUMIFS(tblInv[المتبقي],tblInv[كود العميل],StCust,tblInv[الفترة],INDEX(tblBuckets[الفترة],4)),"#,##0.00;-#,##0.00;-"),IF($M38="t","ملخص أعمار رصيد العميل كما في "&amp;TEXT(AsOf,"dd/mm/yyyy"),IF($M38="p","يُرجى مطابقة الرصيد وإفادتنا خلال 15 يوماً، وإلا اعتُبر الرصيد صحيحاً.","")))))</f>
        <v/>
      </c>
      <c r="E38" s="119">
        <f>IF($M38="m",IF($N38&lt;&gt;"",INDEX(tblInv[الإجمالي],$N38),0),IF($M38="l",INDEX(tblBuckets[الفترة],5),IF($M38="v",TEXT(SUMIFS(tblInv[المتبقي],tblInv[كود العميل],StCust,tblInv[الفترة],INDEX(tblBuckets[الفترة],5)),"#,##0.00;-#,##0.00;-"),"")))</f>
        <v/>
      </c>
      <c r="F38" s="119">
        <f>IF($M38="m",IF($O38&lt;&gt;"",INDEX(tblRec[المبلغ],$O38),0),IF($M38="l",INDEX(tblBuckets[الفترة],6),IF($M38="v",TEXT(SUMIFS(tblInv[المتبقي],tblInv[كود العميل],StCust,tblInv[الفترة],INDEX(tblBuckets[الفترة],6)),"#,##0.00;-#,##0.00;-"),"")))</f>
        <v/>
      </c>
      <c r="G38" s="120">
        <f>IF($M38="m",N(G37)+E38-F38,IF($M38="l",INDEX(tblBuckets[الفترة],7),IF($M38="v",TEXT(SUMIFS(tblInv[المتبقي],tblInv[كود العميل],StCust,tblInv[الفترة],INDEX(tblBuckets[الفترة],7)),"#,##0.00;-#,##0.00;-"),"")))</f>
        <v/>
      </c>
      <c r="L38" t="n">
        <v>33</v>
      </c>
      <c r="M38">
        <f>IF(L38&lt;=StCount,"m",IF(L38=StCount+2,"t",IF(L38=StCount+3,"l",IF(L38=StCount+4,"v",IF(L38=StCount+6,"p","")))))</f>
        <v/>
      </c>
      <c r="N38">
        <f>IF(M38="m",IFERROR(MATCH(L38,tblInv[ترتيب الكشف],0),""),"")</f>
        <v/>
      </c>
      <c r="O38">
        <f>IF(AND(M38="m",N38=""),IFERROR(MATCH(L38,tblRec[ترتيب الكشف],0),""),"")</f>
        <v/>
      </c>
    </row>
    <row r="39">
      <c r="A39" s="117">
        <f>IF($M39="m",IF($N39&lt;&gt;"",INDEX(tblInv[تاريخ الفاتورة],$N39),INDEX(tblRec[التاريخ],$O39)),IF($M39="l",INDEX(tblBuckets[الفترة],1),IF($M39="v",TEXT(SUMIFS(tblInv[المتبقي],tblInv[كود العميل],StCust,tblInv[الفترة],INDEX(tblBuckets[الفترة],1)),"#,##0.00;-#,##0.00;-"),"")))</f>
        <v/>
      </c>
      <c r="B39" s="83">
        <f>IF($M39="m",IF($N39&lt;&gt;"","فاتورة",INDEX(tblRec[النوع],$O39)),IF($M39="l",INDEX(tblBuckets[الفترة],2),IF($M39="v",TEXT(SUMIFS(tblInv[المتبقي],tblInv[كود العميل],StCust,tblInv[الفترة],INDEX(tblBuckets[الفترة],2)),"#,##0.00;-#,##0.00;-"),"")))</f>
        <v/>
      </c>
      <c r="C39" s="83">
        <f>IF($M39="m",IF($N39&lt;&gt;"",INDEX(tblInv[رقم الفاتورة],$N39),INDEX(tblRec[رقم السند],$O39)),IF($M39="l",INDEX(tblBuckets[الفترة],3),IF($M39="v",TEXT(SUMIFS(tblInv[المتبقي],tblInv[كود العميل],StCust,tblInv[الفترة],INDEX(tblBuckets[الفترة],3)),"#,##0.00;-#,##0.00;-"),"")))</f>
        <v/>
      </c>
      <c r="D39" s="118">
        <f>IF($M39="m",IF($N39&lt;&gt;"","فاتورة مبيعات — استحقاق "&amp;TEXT(INDEX(tblInv[تاريخ الاستحقاق],$N39),"dd/mm/yyyy")&amp;IF(INDEX(tblInv[ملاحظات],$N39)&amp;""&lt;&gt;""," — "&amp;INDEX(tblInv[ملاحظات],$N39),""),INDEX(tblRec[النوع],$O39)&amp;IF(INDEX(tblRec[طريقة الدفع],$O39)&amp;""&lt;&gt;""," ("&amp;INDEX(tblRec[طريقة الدفع],$O39)&amp;")","")&amp;IF(INDEX(tblRec[رقم الفاتورة],$O39)&amp;""&lt;&gt;""," — عن فاتورة "&amp;INDEX(tblRec[رقم الفاتورة],$O39)," — دفعة على الحساب")),IF($M39="l",INDEX(tblBuckets[الفترة],4),IF($M39="v",TEXT(SUMIFS(tblInv[المتبقي],tblInv[كود العميل],StCust,tblInv[الفترة],INDEX(tblBuckets[الفترة],4)),"#,##0.00;-#,##0.00;-"),IF($M39="t","ملخص أعمار رصيد العميل كما في "&amp;TEXT(AsOf,"dd/mm/yyyy"),IF($M39="p","يُرجى مطابقة الرصيد وإفادتنا خلال 15 يوماً، وإلا اعتُبر الرصيد صحيحاً.","")))))</f>
        <v/>
      </c>
      <c r="E39" s="119">
        <f>IF($M39="m",IF($N39&lt;&gt;"",INDEX(tblInv[الإجمالي],$N39),0),IF($M39="l",INDEX(tblBuckets[الفترة],5),IF($M39="v",TEXT(SUMIFS(tblInv[المتبقي],tblInv[كود العميل],StCust,tblInv[الفترة],INDEX(tblBuckets[الفترة],5)),"#,##0.00;-#,##0.00;-"),"")))</f>
        <v/>
      </c>
      <c r="F39" s="119">
        <f>IF($M39="m",IF($O39&lt;&gt;"",INDEX(tblRec[المبلغ],$O39),0),IF($M39="l",INDEX(tblBuckets[الفترة],6),IF($M39="v",TEXT(SUMIFS(tblInv[المتبقي],tblInv[كود العميل],StCust,tblInv[الفترة],INDEX(tblBuckets[الفترة],6)),"#,##0.00;-#,##0.00;-"),"")))</f>
        <v/>
      </c>
      <c r="G39" s="120">
        <f>IF($M39="m",N(G38)+E39-F39,IF($M39="l",INDEX(tblBuckets[الفترة],7),IF($M39="v",TEXT(SUMIFS(tblInv[المتبقي],tblInv[كود العميل],StCust,tblInv[الفترة],INDEX(tblBuckets[الفترة],7)),"#,##0.00;-#,##0.00;-"),"")))</f>
        <v/>
      </c>
      <c r="L39" t="n">
        <v>34</v>
      </c>
      <c r="M39">
        <f>IF(L39&lt;=StCount,"m",IF(L39=StCount+2,"t",IF(L39=StCount+3,"l",IF(L39=StCount+4,"v",IF(L39=StCount+6,"p","")))))</f>
        <v/>
      </c>
      <c r="N39">
        <f>IF(M39="m",IFERROR(MATCH(L39,tblInv[ترتيب الكشف],0),""),"")</f>
        <v/>
      </c>
      <c r="O39">
        <f>IF(AND(M39="m",N39=""),IFERROR(MATCH(L39,tblRec[ترتيب الكشف],0),""),"")</f>
        <v/>
      </c>
    </row>
    <row r="40">
      <c r="A40" s="117">
        <f>IF($M40="m",IF($N40&lt;&gt;"",INDEX(tblInv[تاريخ الفاتورة],$N40),INDEX(tblRec[التاريخ],$O40)),IF($M40="l",INDEX(tblBuckets[الفترة],1),IF($M40="v",TEXT(SUMIFS(tblInv[المتبقي],tblInv[كود العميل],StCust,tblInv[الفترة],INDEX(tblBuckets[الفترة],1)),"#,##0.00;-#,##0.00;-"),"")))</f>
        <v/>
      </c>
      <c r="B40" s="83">
        <f>IF($M40="m",IF($N40&lt;&gt;"","فاتورة",INDEX(tblRec[النوع],$O40)),IF($M40="l",INDEX(tblBuckets[الفترة],2),IF($M40="v",TEXT(SUMIFS(tblInv[المتبقي],tblInv[كود العميل],StCust,tblInv[الفترة],INDEX(tblBuckets[الفترة],2)),"#,##0.00;-#,##0.00;-"),"")))</f>
        <v/>
      </c>
      <c r="C40" s="83">
        <f>IF($M40="m",IF($N40&lt;&gt;"",INDEX(tblInv[رقم الفاتورة],$N40),INDEX(tblRec[رقم السند],$O40)),IF($M40="l",INDEX(tblBuckets[الفترة],3),IF($M40="v",TEXT(SUMIFS(tblInv[المتبقي],tblInv[كود العميل],StCust,tblInv[الفترة],INDEX(tblBuckets[الفترة],3)),"#,##0.00;-#,##0.00;-"),"")))</f>
        <v/>
      </c>
      <c r="D40" s="118">
        <f>IF($M40="m",IF($N40&lt;&gt;"","فاتورة مبيعات — استحقاق "&amp;TEXT(INDEX(tblInv[تاريخ الاستحقاق],$N40),"dd/mm/yyyy")&amp;IF(INDEX(tblInv[ملاحظات],$N40)&amp;""&lt;&gt;""," — "&amp;INDEX(tblInv[ملاحظات],$N40),""),INDEX(tblRec[النوع],$O40)&amp;IF(INDEX(tblRec[طريقة الدفع],$O40)&amp;""&lt;&gt;""," ("&amp;INDEX(tblRec[طريقة الدفع],$O40)&amp;")","")&amp;IF(INDEX(tblRec[رقم الفاتورة],$O40)&amp;""&lt;&gt;""," — عن فاتورة "&amp;INDEX(tblRec[رقم الفاتورة],$O40)," — دفعة على الحساب")),IF($M40="l",INDEX(tblBuckets[الفترة],4),IF($M40="v",TEXT(SUMIFS(tblInv[المتبقي],tblInv[كود العميل],StCust,tblInv[الفترة],INDEX(tblBuckets[الفترة],4)),"#,##0.00;-#,##0.00;-"),IF($M40="t","ملخص أعمار رصيد العميل كما في "&amp;TEXT(AsOf,"dd/mm/yyyy"),IF($M40="p","يُرجى مطابقة الرصيد وإفادتنا خلال 15 يوماً، وإلا اعتُبر الرصيد صحيحاً.","")))))</f>
        <v/>
      </c>
      <c r="E40" s="119">
        <f>IF($M40="m",IF($N40&lt;&gt;"",INDEX(tblInv[الإجمالي],$N40),0),IF($M40="l",INDEX(tblBuckets[الفترة],5),IF($M40="v",TEXT(SUMIFS(tblInv[المتبقي],tblInv[كود العميل],StCust,tblInv[الفترة],INDEX(tblBuckets[الفترة],5)),"#,##0.00;-#,##0.00;-"),"")))</f>
        <v/>
      </c>
      <c r="F40" s="119">
        <f>IF($M40="m",IF($O40&lt;&gt;"",INDEX(tblRec[المبلغ],$O40),0),IF($M40="l",INDEX(tblBuckets[الفترة],6),IF($M40="v",TEXT(SUMIFS(tblInv[المتبقي],tblInv[كود العميل],StCust,tblInv[الفترة],INDEX(tblBuckets[الفترة],6)),"#,##0.00;-#,##0.00;-"),"")))</f>
        <v/>
      </c>
      <c r="G40" s="120">
        <f>IF($M40="m",N(G39)+E40-F40,IF($M40="l",INDEX(tblBuckets[الفترة],7),IF($M40="v",TEXT(SUMIFS(tblInv[المتبقي],tblInv[كود العميل],StCust,tblInv[الفترة],INDEX(tblBuckets[الفترة],7)),"#,##0.00;-#,##0.00;-"),"")))</f>
        <v/>
      </c>
      <c r="L40" t="n">
        <v>35</v>
      </c>
      <c r="M40">
        <f>IF(L40&lt;=StCount,"m",IF(L40=StCount+2,"t",IF(L40=StCount+3,"l",IF(L40=StCount+4,"v",IF(L40=StCount+6,"p","")))))</f>
        <v/>
      </c>
      <c r="N40">
        <f>IF(M40="m",IFERROR(MATCH(L40,tblInv[ترتيب الكشف],0),""),"")</f>
        <v/>
      </c>
      <c r="O40">
        <f>IF(AND(M40="m",N40=""),IFERROR(MATCH(L40,tblRec[ترتيب الكشف],0),""),"")</f>
        <v/>
      </c>
    </row>
    <row r="41">
      <c r="A41" s="117">
        <f>IF($M41="m",IF($N41&lt;&gt;"",INDEX(tblInv[تاريخ الفاتورة],$N41),INDEX(tblRec[التاريخ],$O41)),IF($M41="l",INDEX(tblBuckets[الفترة],1),IF($M41="v",TEXT(SUMIFS(tblInv[المتبقي],tblInv[كود العميل],StCust,tblInv[الفترة],INDEX(tblBuckets[الفترة],1)),"#,##0.00;-#,##0.00;-"),"")))</f>
        <v/>
      </c>
      <c r="B41" s="83">
        <f>IF($M41="m",IF($N41&lt;&gt;"","فاتورة",INDEX(tblRec[النوع],$O41)),IF($M41="l",INDEX(tblBuckets[الفترة],2),IF($M41="v",TEXT(SUMIFS(tblInv[المتبقي],tblInv[كود العميل],StCust,tblInv[الفترة],INDEX(tblBuckets[الفترة],2)),"#,##0.00;-#,##0.00;-"),"")))</f>
        <v/>
      </c>
      <c r="C41" s="83">
        <f>IF($M41="m",IF($N41&lt;&gt;"",INDEX(tblInv[رقم الفاتورة],$N41),INDEX(tblRec[رقم السند],$O41)),IF($M41="l",INDEX(tblBuckets[الفترة],3),IF($M41="v",TEXT(SUMIFS(tblInv[المتبقي],tblInv[كود العميل],StCust,tblInv[الفترة],INDEX(tblBuckets[الفترة],3)),"#,##0.00;-#,##0.00;-"),"")))</f>
        <v/>
      </c>
      <c r="D41" s="118">
        <f>IF($M41="m",IF($N41&lt;&gt;"","فاتورة مبيعات — استحقاق "&amp;TEXT(INDEX(tblInv[تاريخ الاستحقاق],$N41),"dd/mm/yyyy")&amp;IF(INDEX(tblInv[ملاحظات],$N41)&amp;""&lt;&gt;""," — "&amp;INDEX(tblInv[ملاحظات],$N41),""),INDEX(tblRec[النوع],$O41)&amp;IF(INDEX(tblRec[طريقة الدفع],$O41)&amp;""&lt;&gt;""," ("&amp;INDEX(tblRec[طريقة الدفع],$O41)&amp;")","")&amp;IF(INDEX(tblRec[رقم الفاتورة],$O41)&amp;""&lt;&gt;""," — عن فاتورة "&amp;INDEX(tblRec[رقم الفاتورة],$O41)," — دفعة على الحساب")),IF($M41="l",INDEX(tblBuckets[الفترة],4),IF($M41="v",TEXT(SUMIFS(tblInv[المتبقي],tblInv[كود العميل],StCust,tblInv[الفترة],INDEX(tblBuckets[الفترة],4)),"#,##0.00;-#,##0.00;-"),IF($M41="t","ملخص أعمار رصيد العميل كما في "&amp;TEXT(AsOf,"dd/mm/yyyy"),IF($M41="p","يُرجى مطابقة الرصيد وإفادتنا خلال 15 يوماً، وإلا اعتُبر الرصيد صحيحاً.","")))))</f>
        <v/>
      </c>
      <c r="E41" s="119">
        <f>IF($M41="m",IF($N41&lt;&gt;"",INDEX(tblInv[الإجمالي],$N41),0),IF($M41="l",INDEX(tblBuckets[الفترة],5),IF($M41="v",TEXT(SUMIFS(tblInv[المتبقي],tblInv[كود العميل],StCust,tblInv[الفترة],INDEX(tblBuckets[الفترة],5)),"#,##0.00;-#,##0.00;-"),"")))</f>
        <v/>
      </c>
      <c r="F41" s="119">
        <f>IF($M41="m",IF($O41&lt;&gt;"",INDEX(tblRec[المبلغ],$O41),0),IF($M41="l",INDEX(tblBuckets[الفترة],6),IF($M41="v",TEXT(SUMIFS(tblInv[المتبقي],tblInv[كود العميل],StCust,tblInv[الفترة],INDEX(tblBuckets[الفترة],6)),"#,##0.00;-#,##0.00;-"),"")))</f>
        <v/>
      </c>
      <c r="G41" s="120">
        <f>IF($M41="m",N(G40)+E41-F41,IF($M41="l",INDEX(tblBuckets[الفترة],7),IF($M41="v",TEXT(SUMIFS(tblInv[المتبقي],tblInv[كود العميل],StCust,tblInv[الفترة],INDEX(tblBuckets[الفترة],7)),"#,##0.00;-#,##0.00;-"),"")))</f>
        <v/>
      </c>
      <c r="L41" t="n">
        <v>36</v>
      </c>
      <c r="M41">
        <f>IF(L41&lt;=StCount,"m",IF(L41=StCount+2,"t",IF(L41=StCount+3,"l",IF(L41=StCount+4,"v",IF(L41=StCount+6,"p","")))))</f>
        <v/>
      </c>
      <c r="N41">
        <f>IF(M41="m",IFERROR(MATCH(L41,tblInv[ترتيب الكشف],0),""),"")</f>
        <v/>
      </c>
      <c r="O41">
        <f>IF(AND(M41="m",N41=""),IFERROR(MATCH(L41,tblRec[ترتيب الكشف],0),""),"")</f>
        <v/>
      </c>
    </row>
    <row r="42">
      <c r="A42" s="117">
        <f>IF($M42="m",IF($N42&lt;&gt;"",INDEX(tblInv[تاريخ الفاتورة],$N42),INDEX(tblRec[التاريخ],$O42)),IF($M42="l",INDEX(tblBuckets[الفترة],1),IF($M42="v",TEXT(SUMIFS(tblInv[المتبقي],tblInv[كود العميل],StCust,tblInv[الفترة],INDEX(tblBuckets[الفترة],1)),"#,##0.00;-#,##0.00;-"),"")))</f>
        <v/>
      </c>
      <c r="B42" s="83">
        <f>IF($M42="m",IF($N42&lt;&gt;"","فاتورة",INDEX(tblRec[النوع],$O42)),IF($M42="l",INDEX(tblBuckets[الفترة],2),IF($M42="v",TEXT(SUMIFS(tblInv[المتبقي],tblInv[كود العميل],StCust,tblInv[الفترة],INDEX(tblBuckets[الفترة],2)),"#,##0.00;-#,##0.00;-"),"")))</f>
        <v/>
      </c>
      <c r="C42" s="83">
        <f>IF($M42="m",IF($N42&lt;&gt;"",INDEX(tblInv[رقم الفاتورة],$N42),INDEX(tblRec[رقم السند],$O42)),IF($M42="l",INDEX(tblBuckets[الفترة],3),IF($M42="v",TEXT(SUMIFS(tblInv[المتبقي],tblInv[كود العميل],StCust,tblInv[الفترة],INDEX(tblBuckets[الفترة],3)),"#,##0.00;-#,##0.00;-"),"")))</f>
        <v/>
      </c>
      <c r="D42" s="118">
        <f>IF($M42="m",IF($N42&lt;&gt;"","فاتورة مبيعات — استحقاق "&amp;TEXT(INDEX(tblInv[تاريخ الاستحقاق],$N42),"dd/mm/yyyy")&amp;IF(INDEX(tblInv[ملاحظات],$N42)&amp;""&lt;&gt;""," — "&amp;INDEX(tblInv[ملاحظات],$N42),""),INDEX(tblRec[النوع],$O42)&amp;IF(INDEX(tblRec[طريقة الدفع],$O42)&amp;""&lt;&gt;""," ("&amp;INDEX(tblRec[طريقة الدفع],$O42)&amp;")","")&amp;IF(INDEX(tblRec[رقم الفاتورة],$O42)&amp;""&lt;&gt;""," — عن فاتورة "&amp;INDEX(tblRec[رقم الفاتورة],$O42)," — دفعة على الحساب")),IF($M42="l",INDEX(tblBuckets[الفترة],4),IF($M42="v",TEXT(SUMIFS(tblInv[المتبقي],tblInv[كود العميل],StCust,tblInv[الفترة],INDEX(tblBuckets[الفترة],4)),"#,##0.00;-#,##0.00;-"),IF($M42="t","ملخص أعمار رصيد العميل كما في "&amp;TEXT(AsOf,"dd/mm/yyyy"),IF($M42="p","يُرجى مطابقة الرصيد وإفادتنا خلال 15 يوماً، وإلا اعتُبر الرصيد صحيحاً.","")))))</f>
        <v/>
      </c>
      <c r="E42" s="119">
        <f>IF($M42="m",IF($N42&lt;&gt;"",INDEX(tblInv[الإجمالي],$N42),0),IF($M42="l",INDEX(tblBuckets[الفترة],5),IF($M42="v",TEXT(SUMIFS(tblInv[المتبقي],tblInv[كود العميل],StCust,tblInv[الفترة],INDEX(tblBuckets[الفترة],5)),"#,##0.00;-#,##0.00;-"),"")))</f>
        <v/>
      </c>
      <c r="F42" s="119">
        <f>IF($M42="m",IF($O42&lt;&gt;"",INDEX(tblRec[المبلغ],$O42),0),IF($M42="l",INDEX(tblBuckets[الفترة],6),IF($M42="v",TEXT(SUMIFS(tblInv[المتبقي],tblInv[كود العميل],StCust,tblInv[الفترة],INDEX(tblBuckets[الفترة],6)),"#,##0.00;-#,##0.00;-"),"")))</f>
        <v/>
      </c>
      <c r="G42" s="120">
        <f>IF($M42="m",N(G41)+E42-F42,IF($M42="l",INDEX(tblBuckets[الفترة],7),IF($M42="v",TEXT(SUMIFS(tblInv[المتبقي],tblInv[كود العميل],StCust,tblInv[الفترة],INDEX(tblBuckets[الفترة],7)),"#,##0.00;-#,##0.00;-"),"")))</f>
        <v/>
      </c>
      <c r="L42" t="n">
        <v>37</v>
      </c>
      <c r="M42">
        <f>IF(L42&lt;=StCount,"m",IF(L42=StCount+2,"t",IF(L42=StCount+3,"l",IF(L42=StCount+4,"v",IF(L42=StCount+6,"p","")))))</f>
        <v/>
      </c>
      <c r="N42">
        <f>IF(M42="m",IFERROR(MATCH(L42,tblInv[ترتيب الكشف],0),""),"")</f>
        <v/>
      </c>
      <c r="O42">
        <f>IF(AND(M42="m",N42=""),IFERROR(MATCH(L42,tblRec[ترتيب الكشف],0),""),"")</f>
        <v/>
      </c>
    </row>
    <row r="43">
      <c r="A43" s="117">
        <f>IF($M43="m",IF($N43&lt;&gt;"",INDEX(tblInv[تاريخ الفاتورة],$N43),INDEX(tblRec[التاريخ],$O43)),IF($M43="l",INDEX(tblBuckets[الفترة],1),IF($M43="v",TEXT(SUMIFS(tblInv[المتبقي],tblInv[كود العميل],StCust,tblInv[الفترة],INDEX(tblBuckets[الفترة],1)),"#,##0.00;-#,##0.00;-"),"")))</f>
        <v/>
      </c>
      <c r="B43" s="83">
        <f>IF($M43="m",IF($N43&lt;&gt;"","فاتورة",INDEX(tblRec[النوع],$O43)),IF($M43="l",INDEX(tblBuckets[الفترة],2),IF($M43="v",TEXT(SUMIFS(tblInv[المتبقي],tblInv[كود العميل],StCust,tblInv[الفترة],INDEX(tblBuckets[الفترة],2)),"#,##0.00;-#,##0.00;-"),"")))</f>
        <v/>
      </c>
      <c r="C43" s="83">
        <f>IF($M43="m",IF($N43&lt;&gt;"",INDEX(tblInv[رقم الفاتورة],$N43),INDEX(tblRec[رقم السند],$O43)),IF($M43="l",INDEX(tblBuckets[الفترة],3),IF($M43="v",TEXT(SUMIFS(tblInv[المتبقي],tblInv[كود العميل],StCust,tblInv[الفترة],INDEX(tblBuckets[الفترة],3)),"#,##0.00;-#,##0.00;-"),"")))</f>
        <v/>
      </c>
      <c r="D43" s="118">
        <f>IF($M43="m",IF($N43&lt;&gt;"","فاتورة مبيعات — استحقاق "&amp;TEXT(INDEX(tblInv[تاريخ الاستحقاق],$N43),"dd/mm/yyyy")&amp;IF(INDEX(tblInv[ملاحظات],$N43)&amp;""&lt;&gt;""," — "&amp;INDEX(tblInv[ملاحظات],$N43),""),INDEX(tblRec[النوع],$O43)&amp;IF(INDEX(tblRec[طريقة الدفع],$O43)&amp;""&lt;&gt;""," ("&amp;INDEX(tblRec[طريقة الدفع],$O43)&amp;")","")&amp;IF(INDEX(tblRec[رقم الفاتورة],$O43)&amp;""&lt;&gt;""," — عن فاتورة "&amp;INDEX(tblRec[رقم الفاتورة],$O43)," — دفعة على الحساب")),IF($M43="l",INDEX(tblBuckets[الفترة],4),IF($M43="v",TEXT(SUMIFS(tblInv[المتبقي],tblInv[كود العميل],StCust,tblInv[الفترة],INDEX(tblBuckets[الفترة],4)),"#,##0.00;-#,##0.00;-"),IF($M43="t","ملخص أعمار رصيد العميل كما في "&amp;TEXT(AsOf,"dd/mm/yyyy"),IF($M43="p","يُرجى مطابقة الرصيد وإفادتنا خلال 15 يوماً، وإلا اعتُبر الرصيد صحيحاً.","")))))</f>
        <v/>
      </c>
      <c r="E43" s="119">
        <f>IF($M43="m",IF($N43&lt;&gt;"",INDEX(tblInv[الإجمالي],$N43),0),IF($M43="l",INDEX(tblBuckets[الفترة],5),IF($M43="v",TEXT(SUMIFS(tblInv[المتبقي],tblInv[كود العميل],StCust,tblInv[الفترة],INDEX(tblBuckets[الفترة],5)),"#,##0.00;-#,##0.00;-"),"")))</f>
        <v/>
      </c>
      <c r="F43" s="119">
        <f>IF($M43="m",IF($O43&lt;&gt;"",INDEX(tblRec[المبلغ],$O43),0),IF($M43="l",INDEX(tblBuckets[الفترة],6),IF($M43="v",TEXT(SUMIFS(tblInv[المتبقي],tblInv[كود العميل],StCust,tblInv[الفترة],INDEX(tblBuckets[الفترة],6)),"#,##0.00;-#,##0.00;-"),"")))</f>
        <v/>
      </c>
      <c r="G43" s="120">
        <f>IF($M43="m",N(G42)+E43-F43,IF($M43="l",INDEX(tblBuckets[الفترة],7),IF($M43="v",TEXT(SUMIFS(tblInv[المتبقي],tblInv[كود العميل],StCust,tblInv[الفترة],INDEX(tblBuckets[الفترة],7)),"#,##0.00;-#,##0.00;-"),"")))</f>
        <v/>
      </c>
      <c r="L43" t="n">
        <v>38</v>
      </c>
      <c r="M43">
        <f>IF(L43&lt;=StCount,"m",IF(L43=StCount+2,"t",IF(L43=StCount+3,"l",IF(L43=StCount+4,"v",IF(L43=StCount+6,"p","")))))</f>
        <v/>
      </c>
      <c r="N43">
        <f>IF(M43="m",IFERROR(MATCH(L43,tblInv[ترتيب الكشف],0),""),"")</f>
        <v/>
      </c>
      <c r="O43">
        <f>IF(AND(M43="m",N43=""),IFERROR(MATCH(L43,tblRec[ترتيب الكشف],0),""),"")</f>
        <v/>
      </c>
    </row>
    <row r="44">
      <c r="A44" s="117">
        <f>IF($M44="m",IF($N44&lt;&gt;"",INDEX(tblInv[تاريخ الفاتورة],$N44),INDEX(tblRec[التاريخ],$O44)),IF($M44="l",INDEX(tblBuckets[الفترة],1),IF($M44="v",TEXT(SUMIFS(tblInv[المتبقي],tblInv[كود العميل],StCust,tblInv[الفترة],INDEX(tblBuckets[الفترة],1)),"#,##0.00;-#,##0.00;-"),"")))</f>
        <v/>
      </c>
      <c r="B44" s="83">
        <f>IF($M44="m",IF($N44&lt;&gt;"","فاتورة",INDEX(tblRec[النوع],$O44)),IF($M44="l",INDEX(tblBuckets[الفترة],2),IF($M44="v",TEXT(SUMIFS(tblInv[المتبقي],tblInv[كود العميل],StCust,tblInv[الفترة],INDEX(tblBuckets[الفترة],2)),"#,##0.00;-#,##0.00;-"),"")))</f>
        <v/>
      </c>
      <c r="C44" s="83">
        <f>IF($M44="m",IF($N44&lt;&gt;"",INDEX(tblInv[رقم الفاتورة],$N44),INDEX(tblRec[رقم السند],$O44)),IF($M44="l",INDEX(tblBuckets[الفترة],3),IF($M44="v",TEXT(SUMIFS(tblInv[المتبقي],tblInv[كود العميل],StCust,tblInv[الفترة],INDEX(tblBuckets[الفترة],3)),"#,##0.00;-#,##0.00;-"),"")))</f>
        <v/>
      </c>
      <c r="D44" s="118">
        <f>IF($M44="m",IF($N44&lt;&gt;"","فاتورة مبيعات — استحقاق "&amp;TEXT(INDEX(tblInv[تاريخ الاستحقاق],$N44),"dd/mm/yyyy")&amp;IF(INDEX(tblInv[ملاحظات],$N44)&amp;""&lt;&gt;""," — "&amp;INDEX(tblInv[ملاحظات],$N44),""),INDEX(tblRec[النوع],$O44)&amp;IF(INDEX(tblRec[طريقة الدفع],$O44)&amp;""&lt;&gt;""," ("&amp;INDEX(tblRec[طريقة الدفع],$O44)&amp;")","")&amp;IF(INDEX(tblRec[رقم الفاتورة],$O44)&amp;""&lt;&gt;""," — عن فاتورة "&amp;INDEX(tblRec[رقم الفاتورة],$O44)," — دفعة على الحساب")),IF($M44="l",INDEX(tblBuckets[الفترة],4),IF($M44="v",TEXT(SUMIFS(tblInv[المتبقي],tblInv[كود العميل],StCust,tblInv[الفترة],INDEX(tblBuckets[الفترة],4)),"#,##0.00;-#,##0.00;-"),IF($M44="t","ملخص أعمار رصيد العميل كما في "&amp;TEXT(AsOf,"dd/mm/yyyy"),IF($M44="p","يُرجى مطابقة الرصيد وإفادتنا خلال 15 يوماً، وإلا اعتُبر الرصيد صحيحاً.","")))))</f>
        <v/>
      </c>
      <c r="E44" s="119">
        <f>IF($M44="m",IF($N44&lt;&gt;"",INDEX(tblInv[الإجمالي],$N44),0),IF($M44="l",INDEX(tblBuckets[الفترة],5),IF($M44="v",TEXT(SUMIFS(tblInv[المتبقي],tblInv[كود العميل],StCust,tblInv[الفترة],INDEX(tblBuckets[الفترة],5)),"#,##0.00;-#,##0.00;-"),"")))</f>
        <v/>
      </c>
      <c r="F44" s="119">
        <f>IF($M44="m",IF($O44&lt;&gt;"",INDEX(tblRec[المبلغ],$O44),0),IF($M44="l",INDEX(tblBuckets[الفترة],6),IF($M44="v",TEXT(SUMIFS(tblInv[المتبقي],tblInv[كود العميل],StCust,tblInv[الفترة],INDEX(tblBuckets[الفترة],6)),"#,##0.00;-#,##0.00;-"),"")))</f>
        <v/>
      </c>
      <c r="G44" s="120">
        <f>IF($M44="m",N(G43)+E44-F44,IF($M44="l",INDEX(tblBuckets[الفترة],7),IF($M44="v",TEXT(SUMIFS(tblInv[المتبقي],tblInv[كود العميل],StCust,tblInv[الفترة],INDEX(tblBuckets[الفترة],7)),"#,##0.00;-#,##0.00;-"),"")))</f>
        <v/>
      </c>
      <c r="L44" t="n">
        <v>39</v>
      </c>
      <c r="M44">
        <f>IF(L44&lt;=StCount,"m",IF(L44=StCount+2,"t",IF(L44=StCount+3,"l",IF(L44=StCount+4,"v",IF(L44=StCount+6,"p","")))))</f>
        <v/>
      </c>
      <c r="N44">
        <f>IF(M44="m",IFERROR(MATCH(L44,tblInv[ترتيب الكشف],0),""),"")</f>
        <v/>
      </c>
      <c r="O44">
        <f>IF(AND(M44="m",N44=""),IFERROR(MATCH(L44,tblRec[ترتيب الكشف],0),""),"")</f>
        <v/>
      </c>
    </row>
    <row r="45">
      <c r="A45" s="117">
        <f>IF($M45="m",IF($N45&lt;&gt;"",INDEX(tblInv[تاريخ الفاتورة],$N45),INDEX(tblRec[التاريخ],$O45)),IF($M45="l",INDEX(tblBuckets[الفترة],1),IF($M45="v",TEXT(SUMIFS(tblInv[المتبقي],tblInv[كود العميل],StCust,tblInv[الفترة],INDEX(tblBuckets[الفترة],1)),"#,##0.00;-#,##0.00;-"),"")))</f>
        <v/>
      </c>
      <c r="B45" s="83">
        <f>IF($M45="m",IF($N45&lt;&gt;"","فاتورة",INDEX(tblRec[النوع],$O45)),IF($M45="l",INDEX(tblBuckets[الفترة],2),IF($M45="v",TEXT(SUMIFS(tblInv[المتبقي],tblInv[كود العميل],StCust,tblInv[الفترة],INDEX(tblBuckets[الفترة],2)),"#,##0.00;-#,##0.00;-"),"")))</f>
        <v/>
      </c>
      <c r="C45" s="83">
        <f>IF($M45="m",IF($N45&lt;&gt;"",INDEX(tblInv[رقم الفاتورة],$N45),INDEX(tblRec[رقم السند],$O45)),IF($M45="l",INDEX(tblBuckets[الفترة],3),IF($M45="v",TEXT(SUMIFS(tblInv[المتبقي],tblInv[كود العميل],StCust,tblInv[الفترة],INDEX(tblBuckets[الفترة],3)),"#,##0.00;-#,##0.00;-"),"")))</f>
        <v/>
      </c>
      <c r="D45" s="118">
        <f>IF($M45="m",IF($N45&lt;&gt;"","فاتورة مبيعات — استحقاق "&amp;TEXT(INDEX(tblInv[تاريخ الاستحقاق],$N45),"dd/mm/yyyy")&amp;IF(INDEX(tblInv[ملاحظات],$N45)&amp;""&lt;&gt;""," — "&amp;INDEX(tblInv[ملاحظات],$N45),""),INDEX(tblRec[النوع],$O45)&amp;IF(INDEX(tblRec[طريقة الدفع],$O45)&amp;""&lt;&gt;""," ("&amp;INDEX(tblRec[طريقة الدفع],$O45)&amp;")","")&amp;IF(INDEX(tblRec[رقم الفاتورة],$O45)&amp;""&lt;&gt;""," — عن فاتورة "&amp;INDEX(tblRec[رقم الفاتورة],$O45)," — دفعة على الحساب")),IF($M45="l",INDEX(tblBuckets[الفترة],4),IF($M45="v",TEXT(SUMIFS(tblInv[المتبقي],tblInv[كود العميل],StCust,tblInv[الفترة],INDEX(tblBuckets[الفترة],4)),"#,##0.00;-#,##0.00;-"),IF($M45="t","ملخص أعمار رصيد العميل كما في "&amp;TEXT(AsOf,"dd/mm/yyyy"),IF($M45="p","يُرجى مطابقة الرصيد وإفادتنا خلال 15 يوماً، وإلا اعتُبر الرصيد صحيحاً.","")))))</f>
        <v/>
      </c>
      <c r="E45" s="119">
        <f>IF($M45="m",IF($N45&lt;&gt;"",INDEX(tblInv[الإجمالي],$N45),0),IF($M45="l",INDEX(tblBuckets[الفترة],5),IF($M45="v",TEXT(SUMIFS(tblInv[المتبقي],tblInv[كود العميل],StCust,tblInv[الفترة],INDEX(tblBuckets[الفترة],5)),"#,##0.00;-#,##0.00;-"),"")))</f>
        <v/>
      </c>
      <c r="F45" s="119">
        <f>IF($M45="m",IF($O45&lt;&gt;"",INDEX(tblRec[المبلغ],$O45),0),IF($M45="l",INDEX(tblBuckets[الفترة],6),IF($M45="v",TEXT(SUMIFS(tblInv[المتبقي],tblInv[كود العميل],StCust,tblInv[الفترة],INDEX(tblBuckets[الفترة],6)),"#,##0.00;-#,##0.00;-"),"")))</f>
        <v/>
      </c>
      <c r="G45" s="120">
        <f>IF($M45="m",N(G44)+E45-F45,IF($M45="l",INDEX(tblBuckets[الفترة],7),IF($M45="v",TEXT(SUMIFS(tblInv[المتبقي],tblInv[كود العميل],StCust,tblInv[الفترة],INDEX(tblBuckets[الفترة],7)),"#,##0.00;-#,##0.00;-"),"")))</f>
        <v/>
      </c>
      <c r="L45" t="n">
        <v>40</v>
      </c>
      <c r="M45">
        <f>IF(L45&lt;=StCount,"m",IF(L45=StCount+2,"t",IF(L45=StCount+3,"l",IF(L45=StCount+4,"v",IF(L45=StCount+6,"p","")))))</f>
        <v/>
      </c>
      <c r="N45">
        <f>IF(M45="m",IFERROR(MATCH(L45,tblInv[ترتيب الكشف],0),""),"")</f>
        <v/>
      </c>
      <c r="O45">
        <f>IF(AND(M45="m",N45=""),IFERROR(MATCH(L45,tblRec[ترتيب الكشف],0),""),"")</f>
        <v/>
      </c>
    </row>
    <row r="46">
      <c r="A46" s="117">
        <f>IF($M46="m",IF($N46&lt;&gt;"",INDEX(tblInv[تاريخ الفاتورة],$N46),INDEX(tblRec[التاريخ],$O46)),IF($M46="l",INDEX(tblBuckets[الفترة],1),IF($M46="v",TEXT(SUMIFS(tblInv[المتبقي],tblInv[كود العميل],StCust,tblInv[الفترة],INDEX(tblBuckets[الفترة],1)),"#,##0.00;-#,##0.00;-"),"")))</f>
        <v/>
      </c>
      <c r="B46" s="83">
        <f>IF($M46="m",IF($N46&lt;&gt;"","فاتورة",INDEX(tblRec[النوع],$O46)),IF($M46="l",INDEX(tblBuckets[الفترة],2),IF($M46="v",TEXT(SUMIFS(tblInv[المتبقي],tblInv[كود العميل],StCust,tblInv[الفترة],INDEX(tblBuckets[الفترة],2)),"#,##0.00;-#,##0.00;-"),"")))</f>
        <v/>
      </c>
      <c r="C46" s="83">
        <f>IF($M46="m",IF($N46&lt;&gt;"",INDEX(tblInv[رقم الفاتورة],$N46),INDEX(tblRec[رقم السند],$O46)),IF($M46="l",INDEX(tblBuckets[الفترة],3),IF($M46="v",TEXT(SUMIFS(tblInv[المتبقي],tblInv[كود العميل],StCust,tblInv[الفترة],INDEX(tblBuckets[الفترة],3)),"#,##0.00;-#,##0.00;-"),"")))</f>
        <v/>
      </c>
      <c r="D46" s="118">
        <f>IF($M46="m",IF($N46&lt;&gt;"","فاتورة مبيعات — استحقاق "&amp;TEXT(INDEX(tblInv[تاريخ الاستحقاق],$N46),"dd/mm/yyyy")&amp;IF(INDEX(tblInv[ملاحظات],$N46)&amp;""&lt;&gt;""," — "&amp;INDEX(tblInv[ملاحظات],$N46),""),INDEX(tblRec[النوع],$O46)&amp;IF(INDEX(tblRec[طريقة الدفع],$O46)&amp;""&lt;&gt;""," ("&amp;INDEX(tblRec[طريقة الدفع],$O46)&amp;")","")&amp;IF(INDEX(tblRec[رقم الفاتورة],$O46)&amp;""&lt;&gt;""," — عن فاتورة "&amp;INDEX(tblRec[رقم الفاتورة],$O46)," — دفعة على الحساب")),IF($M46="l",INDEX(tblBuckets[الفترة],4),IF($M46="v",TEXT(SUMIFS(tblInv[المتبقي],tblInv[كود العميل],StCust,tblInv[الفترة],INDEX(tblBuckets[الفترة],4)),"#,##0.00;-#,##0.00;-"),IF($M46="t","ملخص أعمار رصيد العميل كما في "&amp;TEXT(AsOf,"dd/mm/yyyy"),IF($M46="p","يُرجى مطابقة الرصيد وإفادتنا خلال 15 يوماً، وإلا اعتُبر الرصيد صحيحاً.","")))))</f>
        <v/>
      </c>
      <c r="E46" s="119">
        <f>IF($M46="m",IF($N46&lt;&gt;"",INDEX(tblInv[الإجمالي],$N46),0),IF($M46="l",INDEX(tblBuckets[الفترة],5),IF($M46="v",TEXT(SUMIFS(tblInv[المتبقي],tblInv[كود العميل],StCust,tblInv[الفترة],INDEX(tblBuckets[الفترة],5)),"#,##0.00;-#,##0.00;-"),"")))</f>
        <v/>
      </c>
      <c r="F46" s="119">
        <f>IF($M46="m",IF($O46&lt;&gt;"",INDEX(tblRec[المبلغ],$O46),0),IF($M46="l",INDEX(tblBuckets[الفترة],6),IF($M46="v",TEXT(SUMIFS(tblInv[المتبقي],tblInv[كود العميل],StCust,tblInv[الفترة],INDEX(tblBuckets[الفترة],6)),"#,##0.00;-#,##0.00;-"),"")))</f>
        <v/>
      </c>
      <c r="G46" s="120">
        <f>IF($M46="m",N(G45)+E46-F46,IF($M46="l",INDEX(tblBuckets[الفترة],7),IF($M46="v",TEXT(SUMIFS(tblInv[المتبقي],tblInv[كود العميل],StCust,tblInv[الفترة],INDEX(tblBuckets[الفترة],7)),"#,##0.00;-#,##0.00;-"),"")))</f>
        <v/>
      </c>
      <c r="L46" t="n">
        <v>41</v>
      </c>
      <c r="M46">
        <f>IF(L46&lt;=StCount,"m",IF(L46=StCount+2,"t",IF(L46=StCount+3,"l",IF(L46=StCount+4,"v",IF(L46=StCount+6,"p","")))))</f>
        <v/>
      </c>
      <c r="N46">
        <f>IF(M46="m",IFERROR(MATCH(L46,tblInv[ترتيب الكشف],0),""),"")</f>
        <v/>
      </c>
      <c r="O46">
        <f>IF(AND(M46="m",N46=""),IFERROR(MATCH(L46,tblRec[ترتيب الكشف],0),""),"")</f>
        <v/>
      </c>
    </row>
    <row r="47">
      <c r="A47" s="117">
        <f>IF($M47="m",IF($N47&lt;&gt;"",INDEX(tblInv[تاريخ الفاتورة],$N47),INDEX(tblRec[التاريخ],$O47)),IF($M47="l",INDEX(tblBuckets[الفترة],1),IF($M47="v",TEXT(SUMIFS(tblInv[المتبقي],tblInv[كود العميل],StCust,tblInv[الفترة],INDEX(tblBuckets[الفترة],1)),"#,##0.00;-#,##0.00;-"),"")))</f>
        <v/>
      </c>
      <c r="B47" s="83">
        <f>IF($M47="m",IF($N47&lt;&gt;"","فاتورة",INDEX(tblRec[النوع],$O47)),IF($M47="l",INDEX(tblBuckets[الفترة],2),IF($M47="v",TEXT(SUMIFS(tblInv[المتبقي],tblInv[كود العميل],StCust,tblInv[الفترة],INDEX(tblBuckets[الفترة],2)),"#,##0.00;-#,##0.00;-"),"")))</f>
        <v/>
      </c>
      <c r="C47" s="83">
        <f>IF($M47="m",IF($N47&lt;&gt;"",INDEX(tblInv[رقم الفاتورة],$N47),INDEX(tblRec[رقم السند],$O47)),IF($M47="l",INDEX(tblBuckets[الفترة],3),IF($M47="v",TEXT(SUMIFS(tblInv[المتبقي],tblInv[كود العميل],StCust,tblInv[الفترة],INDEX(tblBuckets[الفترة],3)),"#,##0.00;-#,##0.00;-"),"")))</f>
        <v/>
      </c>
      <c r="D47" s="118">
        <f>IF($M47="m",IF($N47&lt;&gt;"","فاتورة مبيعات — استحقاق "&amp;TEXT(INDEX(tblInv[تاريخ الاستحقاق],$N47),"dd/mm/yyyy")&amp;IF(INDEX(tblInv[ملاحظات],$N47)&amp;""&lt;&gt;""," — "&amp;INDEX(tblInv[ملاحظات],$N47),""),INDEX(tblRec[النوع],$O47)&amp;IF(INDEX(tblRec[طريقة الدفع],$O47)&amp;""&lt;&gt;""," ("&amp;INDEX(tblRec[طريقة الدفع],$O47)&amp;")","")&amp;IF(INDEX(tblRec[رقم الفاتورة],$O47)&amp;""&lt;&gt;""," — عن فاتورة "&amp;INDEX(tblRec[رقم الفاتورة],$O47)," — دفعة على الحساب")),IF($M47="l",INDEX(tblBuckets[الفترة],4),IF($M47="v",TEXT(SUMIFS(tblInv[المتبقي],tblInv[كود العميل],StCust,tblInv[الفترة],INDEX(tblBuckets[الفترة],4)),"#,##0.00;-#,##0.00;-"),IF($M47="t","ملخص أعمار رصيد العميل كما في "&amp;TEXT(AsOf,"dd/mm/yyyy"),IF($M47="p","يُرجى مطابقة الرصيد وإفادتنا خلال 15 يوماً، وإلا اعتُبر الرصيد صحيحاً.","")))))</f>
        <v/>
      </c>
      <c r="E47" s="119">
        <f>IF($M47="m",IF($N47&lt;&gt;"",INDEX(tblInv[الإجمالي],$N47),0),IF($M47="l",INDEX(tblBuckets[الفترة],5),IF($M47="v",TEXT(SUMIFS(tblInv[المتبقي],tblInv[كود العميل],StCust,tblInv[الفترة],INDEX(tblBuckets[الفترة],5)),"#,##0.00;-#,##0.00;-"),"")))</f>
        <v/>
      </c>
      <c r="F47" s="119">
        <f>IF($M47="m",IF($O47&lt;&gt;"",INDEX(tblRec[المبلغ],$O47),0),IF($M47="l",INDEX(tblBuckets[الفترة],6),IF($M47="v",TEXT(SUMIFS(tblInv[المتبقي],tblInv[كود العميل],StCust,tblInv[الفترة],INDEX(tblBuckets[الفترة],6)),"#,##0.00;-#,##0.00;-"),"")))</f>
        <v/>
      </c>
      <c r="G47" s="120">
        <f>IF($M47="m",N(G46)+E47-F47,IF($M47="l",INDEX(tblBuckets[الفترة],7),IF($M47="v",TEXT(SUMIFS(tblInv[المتبقي],tblInv[كود العميل],StCust,tblInv[الفترة],INDEX(tblBuckets[الفترة],7)),"#,##0.00;-#,##0.00;-"),"")))</f>
        <v/>
      </c>
      <c r="L47" t="n">
        <v>42</v>
      </c>
      <c r="M47">
        <f>IF(L47&lt;=StCount,"m",IF(L47=StCount+2,"t",IF(L47=StCount+3,"l",IF(L47=StCount+4,"v",IF(L47=StCount+6,"p","")))))</f>
        <v/>
      </c>
      <c r="N47">
        <f>IF(M47="m",IFERROR(MATCH(L47,tblInv[ترتيب الكشف],0),""),"")</f>
        <v/>
      </c>
      <c r="O47">
        <f>IF(AND(M47="m",N47=""),IFERROR(MATCH(L47,tblRec[ترتيب الكشف],0),""),"")</f>
        <v/>
      </c>
    </row>
    <row r="48">
      <c r="A48" s="117">
        <f>IF($M48="m",IF($N48&lt;&gt;"",INDEX(tblInv[تاريخ الفاتورة],$N48),INDEX(tblRec[التاريخ],$O48)),IF($M48="l",INDEX(tblBuckets[الفترة],1),IF($M48="v",TEXT(SUMIFS(tblInv[المتبقي],tblInv[كود العميل],StCust,tblInv[الفترة],INDEX(tblBuckets[الفترة],1)),"#,##0.00;-#,##0.00;-"),"")))</f>
        <v/>
      </c>
      <c r="B48" s="83">
        <f>IF($M48="m",IF($N48&lt;&gt;"","فاتورة",INDEX(tblRec[النوع],$O48)),IF($M48="l",INDEX(tblBuckets[الفترة],2),IF($M48="v",TEXT(SUMIFS(tblInv[المتبقي],tblInv[كود العميل],StCust,tblInv[الفترة],INDEX(tblBuckets[الفترة],2)),"#,##0.00;-#,##0.00;-"),"")))</f>
        <v/>
      </c>
      <c r="C48" s="83">
        <f>IF($M48="m",IF($N48&lt;&gt;"",INDEX(tblInv[رقم الفاتورة],$N48),INDEX(tblRec[رقم السند],$O48)),IF($M48="l",INDEX(tblBuckets[الفترة],3),IF($M48="v",TEXT(SUMIFS(tblInv[المتبقي],tblInv[كود العميل],StCust,tblInv[الفترة],INDEX(tblBuckets[الفترة],3)),"#,##0.00;-#,##0.00;-"),"")))</f>
        <v/>
      </c>
      <c r="D48" s="118">
        <f>IF($M48="m",IF($N48&lt;&gt;"","فاتورة مبيعات — استحقاق "&amp;TEXT(INDEX(tblInv[تاريخ الاستحقاق],$N48),"dd/mm/yyyy")&amp;IF(INDEX(tblInv[ملاحظات],$N48)&amp;""&lt;&gt;""," — "&amp;INDEX(tblInv[ملاحظات],$N48),""),INDEX(tblRec[النوع],$O48)&amp;IF(INDEX(tblRec[طريقة الدفع],$O48)&amp;""&lt;&gt;""," ("&amp;INDEX(tblRec[طريقة الدفع],$O48)&amp;")","")&amp;IF(INDEX(tblRec[رقم الفاتورة],$O48)&amp;""&lt;&gt;""," — عن فاتورة "&amp;INDEX(tblRec[رقم الفاتورة],$O48)," — دفعة على الحساب")),IF($M48="l",INDEX(tblBuckets[الفترة],4),IF($M48="v",TEXT(SUMIFS(tblInv[المتبقي],tblInv[كود العميل],StCust,tblInv[الفترة],INDEX(tblBuckets[الفترة],4)),"#,##0.00;-#,##0.00;-"),IF($M48="t","ملخص أعمار رصيد العميل كما في "&amp;TEXT(AsOf,"dd/mm/yyyy"),IF($M48="p","يُرجى مطابقة الرصيد وإفادتنا خلال 15 يوماً، وإلا اعتُبر الرصيد صحيحاً.","")))))</f>
        <v/>
      </c>
      <c r="E48" s="119">
        <f>IF($M48="m",IF($N48&lt;&gt;"",INDEX(tblInv[الإجمالي],$N48),0),IF($M48="l",INDEX(tblBuckets[الفترة],5),IF($M48="v",TEXT(SUMIFS(tblInv[المتبقي],tblInv[كود العميل],StCust,tblInv[الفترة],INDEX(tblBuckets[الفترة],5)),"#,##0.00;-#,##0.00;-"),"")))</f>
        <v/>
      </c>
      <c r="F48" s="119">
        <f>IF($M48="m",IF($O48&lt;&gt;"",INDEX(tblRec[المبلغ],$O48),0),IF($M48="l",INDEX(tblBuckets[الفترة],6),IF($M48="v",TEXT(SUMIFS(tblInv[المتبقي],tblInv[كود العميل],StCust,tblInv[الفترة],INDEX(tblBuckets[الفترة],6)),"#,##0.00;-#,##0.00;-"),"")))</f>
        <v/>
      </c>
      <c r="G48" s="120">
        <f>IF($M48="m",N(G47)+E48-F48,IF($M48="l",INDEX(tblBuckets[الفترة],7),IF($M48="v",TEXT(SUMIFS(tblInv[المتبقي],tblInv[كود العميل],StCust,tblInv[الفترة],INDEX(tblBuckets[الفترة],7)),"#,##0.00;-#,##0.00;-"),"")))</f>
        <v/>
      </c>
      <c r="L48" t="n">
        <v>43</v>
      </c>
      <c r="M48">
        <f>IF(L48&lt;=StCount,"m",IF(L48=StCount+2,"t",IF(L48=StCount+3,"l",IF(L48=StCount+4,"v",IF(L48=StCount+6,"p","")))))</f>
        <v/>
      </c>
      <c r="N48">
        <f>IF(M48="m",IFERROR(MATCH(L48,tblInv[ترتيب الكشف],0),""),"")</f>
        <v/>
      </c>
      <c r="O48">
        <f>IF(AND(M48="m",N48=""),IFERROR(MATCH(L48,tblRec[ترتيب الكشف],0),""),"")</f>
        <v/>
      </c>
    </row>
    <row r="49">
      <c r="A49" s="117">
        <f>IF($M49="m",IF($N49&lt;&gt;"",INDEX(tblInv[تاريخ الفاتورة],$N49),INDEX(tblRec[التاريخ],$O49)),IF($M49="l",INDEX(tblBuckets[الفترة],1),IF($M49="v",TEXT(SUMIFS(tblInv[المتبقي],tblInv[كود العميل],StCust,tblInv[الفترة],INDEX(tblBuckets[الفترة],1)),"#,##0.00;-#,##0.00;-"),"")))</f>
        <v/>
      </c>
      <c r="B49" s="83">
        <f>IF($M49="m",IF($N49&lt;&gt;"","فاتورة",INDEX(tblRec[النوع],$O49)),IF($M49="l",INDEX(tblBuckets[الفترة],2),IF($M49="v",TEXT(SUMIFS(tblInv[المتبقي],tblInv[كود العميل],StCust,tblInv[الفترة],INDEX(tblBuckets[الفترة],2)),"#,##0.00;-#,##0.00;-"),"")))</f>
        <v/>
      </c>
      <c r="C49" s="83">
        <f>IF($M49="m",IF($N49&lt;&gt;"",INDEX(tblInv[رقم الفاتورة],$N49),INDEX(tblRec[رقم السند],$O49)),IF($M49="l",INDEX(tblBuckets[الفترة],3),IF($M49="v",TEXT(SUMIFS(tblInv[المتبقي],tblInv[كود العميل],StCust,tblInv[الفترة],INDEX(tblBuckets[الفترة],3)),"#,##0.00;-#,##0.00;-"),"")))</f>
        <v/>
      </c>
      <c r="D49" s="118">
        <f>IF($M49="m",IF($N49&lt;&gt;"","فاتورة مبيعات — استحقاق "&amp;TEXT(INDEX(tblInv[تاريخ الاستحقاق],$N49),"dd/mm/yyyy")&amp;IF(INDEX(tblInv[ملاحظات],$N49)&amp;""&lt;&gt;""," — "&amp;INDEX(tblInv[ملاحظات],$N49),""),INDEX(tblRec[النوع],$O49)&amp;IF(INDEX(tblRec[طريقة الدفع],$O49)&amp;""&lt;&gt;""," ("&amp;INDEX(tblRec[طريقة الدفع],$O49)&amp;")","")&amp;IF(INDEX(tblRec[رقم الفاتورة],$O49)&amp;""&lt;&gt;""," — عن فاتورة "&amp;INDEX(tblRec[رقم الفاتورة],$O49)," — دفعة على الحساب")),IF($M49="l",INDEX(tblBuckets[الفترة],4),IF($M49="v",TEXT(SUMIFS(tblInv[المتبقي],tblInv[كود العميل],StCust,tblInv[الفترة],INDEX(tblBuckets[الفترة],4)),"#,##0.00;-#,##0.00;-"),IF($M49="t","ملخص أعمار رصيد العميل كما في "&amp;TEXT(AsOf,"dd/mm/yyyy"),IF($M49="p","يُرجى مطابقة الرصيد وإفادتنا خلال 15 يوماً، وإلا اعتُبر الرصيد صحيحاً.","")))))</f>
        <v/>
      </c>
      <c r="E49" s="119">
        <f>IF($M49="m",IF($N49&lt;&gt;"",INDEX(tblInv[الإجمالي],$N49),0),IF($M49="l",INDEX(tblBuckets[الفترة],5),IF($M49="v",TEXT(SUMIFS(tblInv[المتبقي],tblInv[كود العميل],StCust,tblInv[الفترة],INDEX(tblBuckets[الفترة],5)),"#,##0.00;-#,##0.00;-"),"")))</f>
        <v/>
      </c>
      <c r="F49" s="119">
        <f>IF($M49="m",IF($O49&lt;&gt;"",INDEX(tblRec[المبلغ],$O49),0),IF($M49="l",INDEX(tblBuckets[الفترة],6),IF($M49="v",TEXT(SUMIFS(tblInv[المتبقي],tblInv[كود العميل],StCust,tblInv[الفترة],INDEX(tblBuckets[الفترة],6)),"#,##0.00;-#,##0.00;-"),"")))</f>
        <v/>
      </c>
      <c r="G49" s="120">
        <f>IF($M49="m",N(G48)+E49-F49,IF($M49="l",INDEX(tblBuckets[الفترة],7),IF($M49="v",TEXT(SUMIFS(tblInv[المتبقي],tblInv[كود العميل],StCust,tblInv[الفترة],INDEX(tblBuckets[الفترة],7)),"#,##0.00;-#,##0.00;-"),"")))</f>
        <v/>
      </c>
      <c r="L49" t="n">
        <v>44</v>
      </c>
      <c r="M49">
        <f>IF(L49&lt;=StCount,"m",IF(L49=StCount+2,"t",IF(L49=StCount+3,"l",IF(L49=StCount+4,"v",IF(L49=StCount+6,"p","")))))</f>
        <v/>
      </c>
      <c r="N49">
        <f>IF(M49="m",IFERROR(MATCH(L49,tblInv[ترتيب الكشف],0),""),"")</f>
        <v/>
      </c>
      <c r="O49">
        <f>IF(AND(M49="m",N49=""),IFERROR(MATCH(L49,tblRec[ترتيب الكشف],0),""),"")</f>
        <v/>
      </c>
    </row>
    <row r="50">
      <c r="A50" s="117">
        <f>IF($M50="m",IF($N50&lt;&gt;"",INDEX(tblInv[تاريخ الفاتورة],$N50),INDEX(tblRec[التاريخ],$O50)),IF($M50="l",INDEX(tblBuckets[الفترة],1),IF($M50="v",TEXT(SUMIFS(tblInv[المتبقي],tblInv[كود العميل],StCust,tblInv[الفترة],INDEX(tblBuckets[الفترة],1)),"#,##0.00;-#,##0.00;-"),"")))</f>
        <v/>
      </c>
      <c r="B50" s="83">
        <f>IF($M50="m",IF($N50&lt;&gt;"","فاتورة",INDEX(tblRec[النوع],$O50)),IF($M50="l",INDEX(tblBuckets[الفترة],2),IF($M50="v",TEXT(SUMIFS(tblInv[المتبقي],tblInv[كود العميل],StCust,tblInv[الفترة],INDEX(tblBuckets[الفترة],2)),"#,##0.00;-#,##0.00;-"),"")))</f>
        <v/>
      </c>
      <c r="C50" s="83">
        <f>IF($M50="m",IF($N50&lt;&gt;"",INDEX(tblInv[رقم الفاتورة],$N50),INDEX(tblRec[رقم السند],$O50)),IF($M50="l",INDEX(tblBuckets[الفترة],3),IF($M50="v",TEXT(SUMIFS(tblInv[المتبقي],tblInv[كود العميل],StCust,tblInv[الفترة],INDEX(tblBuckets[الفترة],3)),"#,##0.00;-#,##0.00;-"),"")))</f>
        <v/>
      </c>
      <c r="D50" s="118">
        <f>IF($M50="m",IF($N50&lt;&gt;"","فاتورة مبيعات — استحقاق "&amp;TEXT(INDEX(tblInv[تاريخ الاستحقاق],$N50),"dd/mm/yyyy")&amp;IF(INDEX(tblInv[ملاحظات],$N50)&amp;""&lt;&gt;""," — "&amp;INDEX(tblInv[ملاحظات],$N50),""),INDEX(tblRec[النوع],$O50)&amp;IF(INDEX(tblRec[طريقة الدفع],$O50)&amp;""&lt;&gt;""," ("&amp;INDEX(tblRec[طريقة الدفع],$O50)&amp;")","")&amp;IF(INDEX(tblRec[رقم الفاتورة],$O50)&amp;""&lt;&gt;""," — عن فاتورة "&amp;INDEX(tblRec[رقم الفاتورة],$O50)," — دفعة على الحساب")),IF($M50="l",INDEX(tblBuckets[الفترة],4),IF($M50="v",TEXT(SUMIFS(tblInv[المتبقي],tblInv[كود العميل],StCust,tblInv[الفترة],INDEX(tblBuckets[الفترة],4)),"#,##0.00;-#,##0.00;-"),IF($M50="t","ملخص أعمار رصيد العميل كما في "&amp;TEXT(AsOf,"dd/mm/yyyy"),IF($M50="p","يُرجى مطابقة الرصيد وإفادتنا خلال 15 يوماً، وإلا اعتُبر الرصيد صحيحاً.","")))))</f>
        <v/>
      </c>
      <c r="E50" s="119">
        <f>IF($M50="m",IF($N50&lt;&gt;"",INDEX(tblInv[الإجمالي],$N50),0),IF($M50="l",INDEX(tblBuckets[الفترة],5),IF($M50="v",TEXT(SUMIFS(tblInv[المتبقي],tblInv[كود العميل],StCust,tblInv[الفترة],INDEX(tblBuckets[الفترة],5)),"#,##0.00;-#,##0.00;-"),"")))</f>
        <v/>
      </c>
      <c r="F50" s="119">
        <f>IF($M50="m",IF($O50&lt;&gt;"",INDEX(tblRec[المبلغ],$O50),0),IF($M50="l",INDEX(tblBuckets[الفترة],6),IF($M50="v",TEXT(SUMIFS(tblInv[المتبقي],tblInv[كود العميل],StCust,tblInv[الفترة],INDEX(tblBuckets[الفترة],6)),"#,##0.00;-#,##0.00;-"),"")))</f>
        <v/>
      </c>
      <c r="G50" s="120">
        <f>IF($M50="m",N(G49)+E50-F50,IF($M50="l",INDEX(tblBuckets[الفترة],7),IF($M50="v",TEXT(SUMIFS(tblInv[المتبقي],tblInv[كود العميل],StCust,tblInv[الفترة],INDEX(tblBuckets[الفترة],7)),"#,##0.00;-#,##0.00;-"),"")))</f>
        <v/>
      </c>
      <c r="L50" t="n">
        <v>45</v>
      </c>
      <c r="M50">
        <f>IF(L50&lt;=StCount,"m",IF(L50=StCount+2,"t",IF(L50=StCount+3,"l",IF(L50=StCount+4,"v",IF(L50=StCount+6,"p","")))))</f>
        <v/>
      </c>
      <c r="N50">
        <f>IF(M50="m",IFERROR(MATCH(L50,tblInv[ترتيب الكشف],0),""),"")</f>
        <v/>
      </c>
      <c r="O50">
        <f>IF(AND(M50="m",N50=""),IFERROR(MATCH(L50,tblRec[ترتيب الكشف],0),""),"")</f>
        <v/>
      </c>
    </row>
    <row r="51">
      <c r="A51" s="117">
        <f>IF($M51="m",IF($N51&lt;&gt;"",INDEX(tblInv[تاريخ الفاتورة],$N51),INDEX(tblRec[التاريخ],$O51)),IF($M51="l",INDEX(tblBuckets[الفترة],1),IF($M51="v",TEXT(SUMIFS(tblInv[المتبقي],tblInv[كود العميل],StCust,tblInv[الفترة],INDEX(tblBuckets[الفترة],1)),"#,##0.00;-#,##0.00;-"),"")))</f>
        <v/>
      </c>
      <c r="B51" s="83">
        <f>IF($M51="m",IF($N51&lt;&gt;"","فاتورة",INDEX(tblRec[النوع],$O51)),IF($M51="l",INDEX(tblBuckets[الفترة],2),IF($M51="v",TEXT(SUMIFS(tblInv[المتبقي],tblInv[كود العميل],StCust,tblInv[الفترة],INDEX(tblBuckets[الفترة],2)),"#,##0.00;-#,##0.00;-"),"")))</f>
        <v/>
      </c>
      <c r="C51" s="83">
        <f>IF($M51="m",IF($N51&lt;&gt;"",INDEX(tblInv[رقم الفاتورة],$N51),INDEX(tblRec[رقم السند],$O51)),IF($M51="l",INDEX(tblBuckets[الفترة],3),IF($M51="v",TEXT(SUMIFS(tblInv[المتبقي],tblInv[كود العميل],StCust,tblInv[الفترة],INDEX(tblBuckets[الفترة],3)),"#,##0.00;-#,##0.00;-"),"")))</f>
        <v/>
      </c>
      <c r="D51" s="118">
        <f>IF($M51="m",IF($N51&lt;&gt;"","فاتورة مبيعات — استحقاق "&amp;TEXT(INDEX(tblInv[تاريخ الاستحقاق],$N51),"dd/mm/yyyy")&amp;IF(INDEX(tblInv[ملاحظات],$N51)&amp;""&lt;&gt;""," — "&amp;INDEX(tblInv[ملاحظات],$N51),""),INDEX(tblRec[النوع],$O51)&amp;IF(INDEX(tblRec[طريقة الدفع],$O51)&amp;""&lt;&gt;""," ("&amp;INDEX(tblRec[طريقة الدفع],$O51)&amp;")","")&amp;IF(INDEX(tblRec[رقم الفاتورة],$O51)&amp;""&lt;&gt;""," — عن فاتورة "&amp;INDEX(tblRec[رقم الفاتورة],$O51)," — دفعة على الحساب")),IF($M51="l",INDEX(tblBuckets[الفترة],4),IF($M51="v",TEXT(SUMIFS(tblInv[المتبقي],tblInv[كود العميل],StCust,tblInv[الفترة],INDEX(tblBuckets[الفترة],4)),"#,##0.00;-#,##0.00;-"),IF($M51="t","ملخص أعمار رصيد العميل كما في "&amp;TEXT(AsOf,"dd/mm/yyyy"),IF($M51="p","يُرجى مطابقة الرصيد وإفادتنا خلال 15 يوماً، وإلا اعتُبر الرصيد صحيحاً.","")))))</f>
        <v/>
      </c>
      <c r="E51" s="119">
        <f>IF($M51="m",IF($N51&lt;&gt;"",INDEX(tblInv[الإجمالي],$N51),0),IF($M51="l",INDEX(tblBuckets[الفترة],5),IF($M51="v",TEXT(SUMIFS(tblInv[المتبقي],tblInv[كود العميل],StCust,tblInv[الفترة],INDEX(tblBuckets[الفترة],5)),"#,##0.00;-#,##0.00;-"),"")))</f>
        <v/>
      </c>
      <c r="F51" s="119">
        <f>IF($M51="m",IF($O51&lt;&gt;"",INDEX(tblRec[المبلغ],$O51),0),IF($M51="l",INDEX(tblBuckets[الفترة],6),IF($M51="v",TEXT(SUMIFS(tblInv[المتبقي],tblInv[كود العميل],StCust,tblInv[الفترة],INDEX(tblBuckets[الفترة],6)),"#,##0.00;-#,##0.00;-"),"")))</f>
        <v/>
      </c>
      <c r="G51" s="120">
        <f>IF($M51="m",N(G50)+E51-F51,IF($M51="l",INDEX(tblBuckets[الفترة],7),IF($M51="v",TEXT(SUMIFS(tblInv[المتبقي],tblInv[كود العميل],StCust,tblInv[الفترة],INDEX(tblBuckets[الفترة],7)),"#,##0.00;-#,##0.00;-"),"")))</f>
        <v/>
      </c>
      <c r="L51" t="n">
        <v>46</v>
      </c>
      <c r="M51">
        <f>IF(L51&lt;=StCount,"m",IF(L51=StCount+2,"t",IF(L51=StCount+3,"l",IF(L51=StCount+4,"v",IF(L51=StCount+6,"p","")))))</f>
        <v/>
      </c>
      <c r="N51">
        <f>IF(M51="m",IFERROR(MATCH(L51,tblInv[ترتيب الكشف],0),""),"")</f>
        <v/>
      </c>
      <c r="O51">
        <f>IF(AND(M51="m",N51=""),IFERROR(MATCH(L51,tblRec[ترتيب الكشف],0),""),"")</f>
        <v/>
      </c>
    </row>
    <row r="52">
      <c r="A52" s="117">
        <f>IF($M52="m",IF($N52&lt;&gt;"",INDEX(tblInv[تاريخ الفاتورة],$N52),INDEX(tblRec[التاريخ],$O52)),IF($M52="l",INDEX(tblBuckets[الفترة],1),IF($M52="v",TEXT(SUMIFS(tblInv[المتبقي],tblInv[كود العميل],StCust,tblInv[الفترة],INDEX(tblBuckets[الفترة],1)),"#,##0.00;-#,##0.00;-"),"")))</f>
        <v/>
      </c>
      <c r="B52" s="83">
        <f>IF($M52="m",IF($N52&lt;&gt;"","فاتورة",INDEX(tblRec[النوع],$O52)),IF($M52="l",INDEX(tblBuckets[الفترة],2),IF($M52="v",TEXT(SUMIFS(tblInv[المتبقي],tblInv[كود العميل],StCust,tblInv[الفترة],INDEX(tblBuckets[الفترة],2)),"#,##0.00;-#,##0.00;-"),"")))</f>
        <v/>
      </c>
      <c r="C52" s="83">
        <f>IF($M52="m",IF($N52&lt;&gt;"",INDEX(tblInv[رقم الفاتورة],$N52),INDEX(tblRec[رقم السند],$O52)),IF($M52="l",INDEX(tblBuckets[الفترة],3),IF($M52="v",TEXT(SUMIFS(tblInv[المتبقي],tblInv[كود العميل],StCust,tblInv[الفترة],INDEX(tblBuckets[الفترة],3)),"#,##0.00;-#,##0.00;-"),"")))</f>
        <v/>
      </c>
      <c r="D52" s="118">
        <f>IF($M52="m",IF($N52&lt;&gt;"","فاتورة مبيعات — استحقاق "&amp;TEXT(INDEX(tblInv[تاريخ الاستحقاق],$N52),"dd/mm/yyyy")&amp;IF(INDEX(tblInv[ملاحظات],$N52)&amp;""&lt;&gt;""," — "&amp;INDEX(tblInv[ملاحظات],$N52),""),INDEX(tblRec[النوع],$O52)&amp;IF(INDEX(tblRec[طريقة الدفع],$O52)&amp;""&lt;&gt;""," ("&amp;INDEX(tblRec[طريقة الدفع],$O52)&amp;")","")&amp;IF(INDEX(tblRec[رقم الفاتورة],$O52)&amp;""&lt;&gt;""," — عن فاتورة "&amp;INDEX(tblRec[رقم الفاتورة],$O52)," — دفعة على الحساب")),IF($M52="l",INDEX(tblBuckets[الفترة],4),IF($M52="v",TEXT(SUMIFS(tblInv[المتبقي],tblInv[كود العميل],StCust,tblInv[الفترة],INDEX(tblBuckets[الفترة],4)),"#,##0.00;-#,##0.00;-"),IF($M52="t","ملخص أعمار رصيد العميل كما في "&amp;TEXT(AsOf,"dd/mm/yyyy"),IF($M52="p","يُرجى مطابقة الرصيد وإفادتنا خلال 15 يوماً، وإلا اعتُبر الرصيد صحيحاً.","")))))</f>
        <v/>
      </c>
      <c r="E52" s="119">
        <f>IF($M52="m",IF($N52&lt;&gt;"",INDEX(tblInv[الإجمالي],$N52),0),IF($M52="l",INDEX(tblBuckets[الفترة],5),IF($M52="v",TEXT(SUMIFS(tblInv[المتبقي],tblInv[كود العميل],StCust,tblInv[الفترة],INDEX(tblBuckets[الفترة],5)),"#,##0.00;-#,##0.00;-"),"")))</f>
        <v/>
      </c>
      <c r="F52" s="119">
        <f>IF($M52="m",IF($O52&lt;&gt;"",INDEX(tblRec[المبلغ],$O52),0),IF($M52="l",INDEX(tblBuckets[الفترة],6),IF($M52="v",TEXT(SUMIFS(tblInv[المتبقي],tblInv[كود العميل],StCust,tblInv[الفترة],INDEX(tblBuckets[الفترة],6)),"#,##0.00;-#,##0.00;-"),"")))</f>
        <v/>
      </c>
      <c r="G52" s="120">
        <f>IF($M52="m",N(G51)+E52-F52,IF($M52="l",INDEX(tblBuckets[الفترة],7),IF($M52="v",TEXT(SUMIFS(tblInv[المتبقي],tblInv[كود العميل],StCust,tblInv[الفترة],INDEX(tblBuckets[الفترة],7)),"#,##0.00;-#,##0.00;-"),"")))</f>
        <v/>
      </c>
      <c r="L52" t="n">
        <v>47</v>
      </c>
      <c r="M52">
        <f>IF(L52&lt;=StCount,"m",IF(L52=StCount+2,"t",IF(L52=StCount+3,"l",IF(L52=StCount+4,"v",IF(L52=StCount+6,"p","")))))</f>
        <v/>
      </c>
      <c r="N52">
        <f>IF(M52="m",IFERROR(MATCH(L52,tblInv[ترتيب الكشف],0),""),"")</f>
        <v/>
      </c>
      <c r="O52">
        <f>IF(AND(M52="m",N52=""),IFERROR(MATCH(L52,tblRec[ترتيب الكشف],0),""),"")</f>
        <v/>
      </c>
    </row>
    <row r="53">
      <c r="A53" s="117">
        <f>IF($M53="m",IF($N53&lt;&gt;"",INDEX(tblInv[تاريخ الفاتورة],$N53),INDEX(tblRec[التاريخ],$O53)),IF($M53="l",INDEX(tblBuckets[الفترة],1),IF($M53="v",TEXT(SUMIFS(tblInv[المتبقي],tblInv[كود العميل],StCust,tblInv[الفترة],INDEX(tblBuckets[الفترة],1)),"#,##0.00;-#,##0.00;-"),"")))</f>
        <v/>
      </c>
      <c r="B53" s="83">
        <f>IF($M53="m",IF($N53&lt;&gt;"","فاتورة",INDEX(tblRec[النوع],$O53)),IF($M53="l",INDEX(tblBuckets[الفترة],2),IF($M53="v",TEXT(SUMIFS(tblInv[المتبقي],tblInv[كود العميل],StCust,tblInv[الفترة],INDEX(tblBuckets[الفترة],2)),"#,##0.00;-#,##0.00;-"),"")))</f>
        <v/>
      </c>
      <c r="C53" s="83">
        <f>IF($M53="m",IF($N53&lt;&gt;"",INDEX(tblInv[رقم الفاتورة],$N53),INDEX(tblRec[رقم السند],$O53)),IF($M53="l",INDEX(tblBuckets[الفترة],3),IF($M53="v",TEXT(SUMIFS(tblInv[المتبقي],tblInv[كود العميل],StCust,tblInv[الفترة],INDEX(tblBuckets[الفترة],3)),"#,##0.00;-#,##0.00;-"),"")))</f>
        <v/>
      </c>
      <c r="D53" s="118">
        <f>IF($M53="m",IF($N53&lt;&gt;"","فاتورة مبيعات — استحقاق "&amp;TEXT(INDEX(tblInv[تاريخ الاستحقاق],$N53),"dd/mm/yyyy")&amp;IF(INDEX(tblInv[ملاحظات],$N53)&amp;""&lt;&gt;""," — "&amp;INDEX(tblInv[ملاحظات],$N53),""),INDEX(tblRec[النوع],$O53)&amp;IF(INDEX(tblRec[طريقة الدفع],$O53)&amp;""&lt;&gt;""," ("&amp;INDEX(tblRec[طريقة الدفع],$O53)&amp;")","")&amp;IF(INDEX(tblRec[رقم الفاتورة],$O53)&amp;""&lt;&gt;""," — عن فاتورة "&amp;INDEX(tblRec[رقم الفاتورة],$O53)," — دفعة على الحساب")),IF($M53="l",INDEX(tblBuckets[الفترة],4),IF($M53="v",TEXT(SUMIFS(tblInv[المتبقي],tblInv[كود العميل],StCust,tblInv[الفترة],INDEX(tblBuckets[الفترة],4)),"#,##0.00;-#,##0.00;-"),IF($M53="t","ملخص أعمار رصيد العميل كما في "&amp;TEXT(AsOf,"dd/mm/yyyy"),IF($M53="p","يُرجى مطابقة الرصيد وإفادتنا خلال 15 يوماً، وإلا اعتُبر الرصيد صحيحاً.","")))))</f>
        <v/>
      </c>
      <c r="E53" s="119">
        <f>IF($M53="m",IF($N53&lt;&gt;"",INDEX(tblInv[الإجمالي],$N53),0),IF($M53="l",INDEX(tblBuckets[الفترة],5),IF($M53="v",TEXT(SUMIFS(tblInv[المتبقي],tblInv[كود العميل],StCust,tblInv[الفترة],INDEX(tblBuckets[الفترة],5)),"#,##0.00;-#,##0.00;-"),"")))</f>
        <v/>
      </c>
      <c r="F53" s="119">
        <f>IF($M53="m",IF($O53&lt;&gt;"",INDEX(tblRec[المبلغ],$O53),0),IF($M53="l",INDEX(tblBuckets[الفترة],6),IF($M53="v",TEXT(SUMIFS(tblInv[المتبقي],tblInv[كود العميل],StCust,tblInv[الفترة],INDEX(tblBuckets[الفترة],6)),"#,##0.00;-#,##0.00;-"),"")))</f>
        <v/>
      </c>
      <c r="G53" s="120">
        <f>IF($M53="m",N(G52)+E53-F53,IF($M53="l",INDEX(tblBuckets[الفترة],7),IF($M53="v",TEXT(SUMIFS(tblInv[المتبقي],tblInv[كود العميل],StCust,tblInv[الفترة],INDEX(tblBuckets[الفترة],7)),"#,##0.00;-#,##0.00;-"),"")))</f>
        <v/>
      </c>
      <c r="L53" t="n">
        <v>48</v>
      </c>
      <c r="M53">
        <f>IF(L53&lt;=StCount,"m",IF(L53=StCount+2,"t",IF(L53=StCount+3,"l",IF(L53=StCount+4,"v",IF(L53=StCount+6,"p","")))))</f>
        <v/>
      </c>
      <c r="N53">
        <f>IF(M53="m",IFERROR(MATCH(L53,tblInv[ترتيب الكشف],0),""),"")</f>
        <v/>
      </c>
      <c r="O53">
        <f>IF(AND(M53="m",N53=""),IFERROR(MATCH(L53,tblRec[ترتيب الكشف],0),""),"")</f>
        <v/>
      </c>
    </row>
    <row r="54">
      <c r="A54" s="117">
        <f>IF($M54="m",IF($N54&lt;&gt;"",INDEX(tblInv[تاريخ الفاتورة],$N54),INDEX(tblRec[التاريخ],$O54)),IF($M54="l",INDEX(tblBuckets[الفترة],1),IF($M54="v",TEXT(SUMIFS(tblInv[المتبقي],tblInv[كود العميل],StCust,tblInv[الفترة],INDEX(tblBuckets[الفترة],1)),"#,##0.00;-#,##0.00;-"),"")))</f>
        <v/>
      </c>
      <c r="B54" s="83">
        <f>IF($M54="m",IF($N54&lt;&gt;"","فاتورة",INDEX(tblRec[النوع],$O54)),IF($M54="l",INDEX(tblBuckets[الفترة],2),IF($M54="v",TEXT(SUMIFS(tblInv[المتبقي],tblInv[كود العميل],StCust,tblInv[الفترة],INDEX(tblBuckets[الفترة],2)),"#,##0.00;-#,##0.00;-"),"")))</f>
        <v/>
      </c>
      <c r="C54" s="83">
        <f>IF($M54="m",IF($N54&lt;&gt;"",INDEX(tblInv[رقم الفاتورة],$N54),INDEX(tblRec[رقم السند],$O54)),IF($M54="l",INDEX(tblBuckets[الفترة],3),IF($M54="v",TEXT(SUMIFS(tblInv[المتبقي],tblInv[كود العميل],StCust,tblInv[الفترة],INDEX(tblBuckets[الفترة],3)),"#,##0.00;-#,##0.00;-"),"")))</f>
        <v/>
      </c>
      <c r="D54" s="118">
        <f>IF($M54="m",IF($N54&lt;&gt;"","فاتورة مبيعات — استحقاق "&amp;TEXT(INDEX(tblInv[تاريخ الاستحقاق],$N54),"dd/mm/yyyy")&amp;IF(INDEX(tblInv[ملاحظات],$N54)&amp;""&lt;&gt;""," — "&amp;INDEX(tblInv[ملاحظات],$N54),""),INDEX(tblRec[النوع],$O54)&amp;IF(INDEX(tblRec[طريقة الدفع],$O54)&amp;""&lt;&gt;""," ("&amp;INDEX(tblRec[طريقة الدفع],$O54)&amp;")","")&amp;IF(INDEX(tblRec[رقم الفاتورة],$O54)&amp;""&lt;&gt;""," — عن فاتورة "&amp;INDEX(tblRec[رقم الفاتورة],$O54)," — دفعة على الحساب")),IF($M54="l",INDEX(tblBuckets[الفترة],4),IF($M54="v",TEXT(SUMIFS(tblInv[المتبقي],tblInv[كود العميل],StCust,tblInv[الفترة],INDEX(tblBuckets[الفترة],4)),"#,##0.00;-#,##0.00;-"),IF($M54="t","ملخص أعمار رصيد العميل كما في "&amp;TEXT(AsOf,"dd/mm/yyyy"),IF($M54="p","يُرجى مطابقة الرصيد وإفادتنا خلال 15 يوماً، وإلا اعتُبر الرصيد صحيحاً.","")))))</f>
        <v/>
      </c>
      <c r="E54" s="119">
        <f>IF($M54="m",IF($N54&lt;&gt;"",INDEX(tblInv[الإجمالي],$N54),0),IF($M54="l",INDEX(tblBuckets[الفترة],5),IF($M54="v",TEXT(SUMIFS(tblInv[المتبقي],tblInv[كود العميل],StCust,tblInv[الفترة],INDEX(tblBuckets[الفترة],5)),"#,##0.00;-#,##0.00;-"),"")))</f>
        <v/>
      </c>
      <c r="F54" s="119">
        <f>IF($M54="m",IF($O54&lt;&gt;"",INDEX(tblRec[المبلغ],$O54),0),IF($M54="l",INDEX(tblBuckets[الفترة],6),IF($M54="v",TEXT(SUMIFS(tblInv[المتبقي],tblInv[كود العميل],StCust,tblInv[الفترة],INDEX(tblBuckets[الفترة],6)),"#,##0.00;-#,##0.00;-"),"")))</f>
        <v/>
      </c>
      <c r="G54" s="120">
        <f>IF($M54="m",N(G53)+E54-F54,IF($M54="l",INDEX(tblBuckets[الفترة],7),IF($M54="v",TEXT(SUMIFS(tblInv[المتبقي],tblInv[كود العميل],StCust,tblInv[الفترة],INDEX(tblBuckets[الفترة],7)),"#,##0.00;-#,##0.00;-"),"")))</f>
        <v/>
      </c>
      <c r="L54" t="n">
        <v>49</v>
      </c>
      <c r="M54">
        <f>IF(L54&lt;=StCount,"m",IF(L54=StCount+2,"t",IF(L54=StCount+3,"l",IF(L54=StCount+4,"v",IF(L54=StCount+6,"p","")))))</f>
        <v/>
      </c>
      <c r="N54">
        <f>IF(M54="m",IFERROR(MATCH(L54,tblInv[ترتيب الكشف],0),""),"")</f>
        <v/>
      </c>
      <c r="O54">
        <f>IF(AND(M54="m",N54=""),IFERROR(MATCH(L54,tblRec[ترتيب الكشف],0),""),"")</f>
        <v/>
      </c>
    </row>
    <row r="55">
      <c r="A55" s="117">
        <f>IF($M55="m",IF($N55&lt;&gt;"",INDEX(tblInv[تاريخ الفاتورة],$N55),INDEX(tblRec[التاريخ],$O55)),IF($M55="l",INDEX(tblBuckets[الفترة],1),IF($M55="v",TEXT(SUMIFS(tblInv[المتبقي],tblInv[كود العميل],StCust,tblInv[الفترة],INDEX(tblBuckets[الفترة],1)),"#,##0.00;-#,##0.00;-"),"")))</f>
        <v/>
      </c>
      <c r="B55" s="83">
        <f>IF($M55="m",IF($N55&lt;&gt;"","فاتورة",INDEX(tblRec[النوع],$O55)),IF($M55="l",INDEX(tblBuckets[الفترة],2),IF($M55="v",TEXT(SUMIFS(tblInv[المتبقي],tblInv[كود العميل],StCust,tblInv[الفترة],INDEX(tblBuckets[الفترة],2)),"#,##0.00;-#,##0.00;-"),"")))</f>
        <v/>
      </c>
      <c r="C55" s="83">
        <f>IF($M55="m",IF($N55&lt;&gt;"",INDEX(tblInv[رقم الفاتورة],$N55),INDEX(tblRec[رقم السند],$O55)),IF($M55="l",INDEX(tblBuckets[الفترة],3),IF($M55="v",TEXT(SUMIFS(tblInv[المتبقي],tblInv[كود العميل],StCust,tblInv[الفترة],INDEX(tblBuckets[الفترة],3)),"#,##0.00;-#,##0.00;-"),"")))</f>
        <v/>
      </c>
      <c r="D55" s="118">
        <f>IF($M55="m",IF($N55&lt;&gt;"","فاتورة مبيعات — استحقاق "&amp;TEXT(INDEX(tblInv[تاريخ الاستحقاق],$N55),"dd/mm/yyyy")&amp;IF(INDEX(tblInv[ملاحظات],$N55)&amp;""&lt;&gt;""," — "&amp;INDEX(tblInv[ملاحظات],$N55),""),INDEX(tblRec[النوع],$O55)&amp;IF(INDEX(tblRec[طريقة الدفع],$O55)&amp;""&lt;&gt;""," ("&amp;INDEX(tblRec[طريقة الدفع],$O55)&amp;")","")&amp;IF(INDEX(tblRec[رقم الفاتورة],$O55)&amp;""&lt;&gt;""," — عن فاتورة "&amp;INDEX(tblRec[رقم الفاتورة],$O55)," — دفعة على الحساب")),IF($M55="l",INDEX(tblBuckets[الفترة],4),IF($M55="v",TEXT(SUMIFS(tblInv[المتبقي],tblInv[كود العميل],StCust,tblInv[الفترة],INDEX(tblBuckets[الفترة],4)),"#,##0.00;-#,##0.00;-"),IF($M55="t","ملخص أعمار رصيد العميل كما في "&amp;TEXT(AsOf,"dd/mm/yyyy"),IF($M55="p","يُرجى مطابقة الرصيد وإفادتنا خلال 15 يوماً، وإلا اعتُبر الرصيد صحيحاً.","")))))</f>
        <v/>
      </c>
      <c r="E55" s="119">
        <f>IF($M55="m",IF($N55&lt;&gt;"",INDEX(tblInv[الإجمالي],$N55),0),IF($M55="l",INDEX(tblBuckets[الفترة],5),IF($M55="v",TEXT(SUMIFS(tblInv[المتبقي],tblInv[كود العميل],StCust,tblInv[الفترة],INDEX(tblBuckets[الفترة],5)),"#,##0.00;-#,##0.00;-"),"")))</f>
        <v/>
      </c>
      <c r="F55" s="119">
        <f>IF($M55="m",IF($O55&lt;&gt;"",INDEX(tblRec[المبلغ],$O55),0),IF($M55="l",INDEX(tblBuckets[الفترة],6),IF($M55="v",TEXT(SUMIFS(tblInv[المتبقي],tblInv[كود العميل],StCust,tblInv[الفترة],INDEX(tblBuckets[الفترة],6)),"#,##0.00;-#,##0.00;-"),"")))</f>
        <v/>
      </c>
      <c r="G55" s="120">
        <f>IF($M55="m",N(G54)+E55-F55,IF($M55="l",INDEX(tblBuckets[الفترة],7),IF($M55="v",TEXT(SUMIFS(tblInv[المتبقي],tblInv[كود العميل],StCust,tblInv[الفترة],INDEX(tblBuckets[الفترة],7)),"#,##0.00;-#,##0.00;-"),"")))</f>
        <v/>
      </c>
      <c r="L55" t="n">
        <v>50</v>
      </c>
      <c r="M55">
        <f>IF(L55&lt;=StCount,"m",IF(L55=StCount+2,"t",IF(L55=StCount+3,"l",IF(L55=StCount+4,"v",IF(L55=StCount+6,"p","")))))</f>
        <v/>
      </c>
      <c r="N55">
        <f>IF(M55="m",IFERROR(MATCH(L55,tblInv[ترتيب الكشف],0),""),"")</f>
        <v/>
      </c>
      <c r="O55">
        <f>IF(AND(M55="m",N55=""),IFERROR(MATCH(L55,tblRec[ترتيب الكشف],0),""),"")</f>
        <v/>
      </c>
    </row>
    <row r="56">
      <c r="A56" s="117">
        <f>IF($M56="m",IF($N56&lt;&gt;"",INDEX(tblInv[تاريخ الفاتورة],$N56),INDEX(tblRec[التاريخ],$O56)),IF($M56="l",INDEX(tblBuckets[الفترة],1),IF($M56="v",TEXT(SUMIFS(tblInv[المتبقي],tblInv[كود العميل],StCust,tblInv[الفترة],INDEX(tblBuckets[الفترة],1)),"#,##0.00;-#,##0.00;-"),"")))</f>
        <v/>
      </c>
      <c r="B56" s="83">
        <f>IF($M56="m",IF($N56&lt;&gt;"","فاتورة",INDEX(tblRec[النوع],$O56)),IF($M56="l",INDEX(tblBuckets[الفترة],2),IF($M56="v",TEXT(SUMIFS(tblInv[المتبقي],tblInv[كود العميل],StCust,tblInv[الفترة],INDEX(tblBuckets[الفترة],2)),"#,##0.00;-#,##0.00;-"),"")))</f>
        <v/>
      </c>
      <c r="C56" s="83">
        <f>IF($M56="m",IF($N56&lt;&gt;"",INDEX(tblInv[رقم الفاتورة],$N56),INDEX(tblRec[رقم السند],$O56)),IF($M56="l",INDEX(tblBuckets[الفترة],3),IF($M56="v",TEXT(SUMIFS(tblInv[المتبقي],tblInv[كود العميل],StCust,tblInv[الفترة],INDEX(tblBuckets[الفترة],3)),"#,##0.00;-#,##0.00;-"),"")))</f>
        <v/>
      </c>
      <c r="D56" s="118">
        <f>IF($M56="m",IF($N56&lt;&gt;"","فاتورة مبيعات — استحقاق "&amp;TEXT(INDEX(tblInv[تاريخ الاستحقاق],$N56),"dd/mm/yyyy")&amp;IF(INDEX(tblInv[ملاحظات],$N56)&amp;""&lt;&gt;""," — "&amp;INDEX(tblInv[ملاحظات],$N56),""),INDEX(tblRec[النوع],$O56)&amp;IF(INDEX(tblRec[طريقة الدفع],$O56)&amp;""&lt;&gt;""," ("&amp;INDEX(tblRec[طريقة الدفع],$O56)&amp;")","")&amp;IF(INDEX(tblRec[رقم الفاتورة],$O56)&amp;""&lt;&gt;""," — عن فاتورة "&amp;INDEX(tblRec[رقم الفاتورة],$O56)," — دفعة على الحساب")),IF($M56="l",INDEX(tblBuckets[الفترة],4),IF($M56="v",TEXT(SUMIFS(tblInv[المتبقي],tblInv[كود العميل],StCust,tblInv[الفترة],INDEX(tblBuckets[الفترة],4)),"#,##0.00;-#,##0.00;-"),IF($M56="t","ملخص أعمار رصيد العميل كما في "&amp;TEXT(AsOf,"dd/mm/yyyy"),IF($M56="p","يُرجى مطابقة الرصيد وإفادتنا خلال 15 يوماً، وإلا اعتُبر الرصيد صحيحاً.","")))))</f>
        <v/>
      </c>
      <c r="E56" s="119">
        <f>IF($M56="m",IF($N56&lt;&gt;"",INDEX(tblInv[الإجمالي],$N56),0),IF($M56="l",INDEX(tblBuckets[الفترة],5),IF($M56="v",TEXT(SUMIFS(tblInv[المتبقي],tblInv[كود العميل],StCust,tblInv[الفترة],INDEX(tblBuckets[الفترة],5)),"#,##0.00;-#,##0.00;-"),"")))</f>
        <v/>
      </c>
      <c r="F56" s="119">
        <f>IF($M56="m",IF($O56&lt;&gt;"",INDEX(tblRec[المبلغ],$O56),0),IF($M56="l",INDEX(tblBuckets[الفترة],6),IF($M56="v",TEXT(SUMIFS(tblInv[المتبقي],tblInv[كود العميل],StCust,tblInv[الفترة],INDEX(tblBuckets[الفترة],6)),"#,##0.00;-#,##0.00;-"),"")))</f>
        <v/>
      </c>
      <c r="G56" s="120">
        <f>IF($M56="m",N(G55)+E56-F56,IF($M56="l",INDEX(tblBuckets[الفترة],7),IF($M56="v",TEXT(SUMIFS(tblInv[المتبقي],tblInv[كود العميل],StCust,tblInv[الفترة],INDEX(tblBuckets[الفترة],7)),"#,##0.00;-#,##0.00;-"),"")))</f>
        <v/>
      </c>
      <c r="L56" t="n">
        <v>51</v>
      </c>
      <c r="M56">
        <f>IF(L56&lt;=StCount,"m",IF(L56=StCount+2,"t",IF(L56=StCount+3,"l",IF(L56=StCount+4,"v",IF(L56=StCount+6,"p","")))))</f>
        <v/>
      </c>
      <c r="N56">
        <f>IF(M56="m",IFERROR(MATCH(L56,tblInv[ترتيب الكشف],0),""),"")</f>
        <v/>
      </c>
      <c r="O56">
        <f>IF(AND(M56="m",N56=""),IFERROR(MATCH(L56,tblRec[ترتيب الكشف],0),""),"")</f>
        <v/>
      </c>
    </row>
    <row r="57">
      <c r="A57" s="117">
        <f>IF($M57="m",IF($N57&lt;&gt;"",INDEX(tblInv[تاريخ الفاتورة],$N57),INDEX(tblRec[التاريخ],$O57)),IF($M57="l",INDEX(tblBuckets[الفترة],1),IF($M57="v",TEXT(SUMIFS(tblInv[المتبقي],tblInv[كود العميل],StCust,tblInv[الفترة],INDEX(tblBuckets[الفترة],1)),"#,##0.00;-#,##0.00;-"),"")))</f>
        <v/>
      </c>
      <c r="B57" s="83">
        <f>IF($M57="m",IF($N57&lt;&gt;"","فاتورة",INDEX(tblRec[النوع],$O57)),IF($M57="l",INDEX(tblBuckets[الفترة],2),IF($M57="v",TEXT(SUMIFS(tblInv[المتبقي],tblInv[كود العميل],StCust,tblInv[الفترة],INDEX(tblBuckets[الفترة],2)),"#,##0.00;-#,##0.00;-"),"")))</f>
        <v/>
      </c>
      <c r="C57" s="83">
        <f>IF($M57="m",IF($N57&lt;&gt;"",INDEX(tblInv[رقم الفاتورة],$N57),INDEX(tblRec[رقم السند],$O57)),IF($M57="l",INDEX(tblBuckets[الفترة],3),IF($M57="v",TEXT(SUMIFS(tblInv[المتبقي],tblInv[كود العميل],StCust,tblInv[الفترة],INDEX(tblBuckets[الفترة],3)),"#,##0.00;-#,##0.00;-"),"")))</f>
        <v/>
      </c>
      <c r="D57" s="118">
        <f>IF($M57="m",IF($N57&lt;&gt;"","فاتورة مبيعات — استحقاق "&amp;TEXT(INDEX(tblInv[تاريخ الاستحقاق],$N57),"dd/mm/yyyy")&amp;IF(INDEX(tblInv[ملاحظات],$N57)&amp;""&lt;&gt;""," — "&amp;INDEX(tblInv[ملاحظات],$N57),""),INDEX(tblRec[النوع],$O57)&amp;IF(INDEX(tblRec[طريقة الدفع],$O57)&amp;""&lt;&gt;""," ("&amp;INDEX(tblRec[طريقة الدفع],$O57)&amp;")","")&amp;IF(INDEX(tblRec[رقم الفاتورة],$O57)&amp;""&lt;&gt;""," — عن فاتورة "&amp;INDEX(tblRec[رقم الفاتورة],$O57)," — دفعة على الحساب")),IF($M57="l",INDEX(tblBuckets[الفترة],4),IF($M57="v",TEXT(SUMIFS(tblInv[المتبقي],tblInv[كود العميل],StCust,tblInv[الفترة],INDEX(tblBuckets[الفترة],4)),"#,##0.00;-#,##0.00;-"),IF($M57="t","ملخص أعمار رصيد العميل كما في "&amp;TEXT(AsOf,"dd/mm/yyyy"),IF($M57="p","يُرجى مطابقة الرصيد وإفادتنا خلال 15 يوماً، وإلا اعتُبر الرصيد صحيحاً.","")))))</f>
        <v/>
      </c>
      <c r="E57" s="119">
        <f>IF($M57="m",IF($N57&lt;&gt;"",INDEX(tblInv[الإجمالي],$N57),0),IF($M57="l",INDEX(tblBuckets[الفترة],5),IF($M57="v",TEXT(SUMIFS(tblInv[المتبقي],tblInv[كود العميل],StCust,tblInv[الفترة],INDEX(tblBuckets[الفترة],5)),"#,##0.00;-#,##0.00;-"),"")))</f>
        <v/>
      </c>
      <c r="F57" s="119">
        <f>IF($M57="m",IF($O57&lt;&gt;"",INDEX(tblRec[المبلغ],$O57),0),IF($M57="l",INDEX(tblBuckets[الفترة],6),IF($M57="v",TEXT(SUMIFS(tblInv[المتبقي],tblInv[كود العميل],StCust,tblInv[الفترة],INDEX(tblBuckets[الفترة],6)),"#,##0.00;-#,##0.00;-"),"")))</f>
        <v/>
      </c>
      <c r="G57" s="120">
        <f>IF($M57="m",N(G56)+E57-F57,IF($M57="l",INDEX(tblBuckets[الفترة],7),IF($M57="v",TEXT(SUMIFS(tblInv[المتبقي],tblInv[كود العميل],StCust,tblInv[الفترة],INDEX(tblBuckets[الفترة],7)),"#,##0.00;-#,##0.00;-"),"")))</f>
        <v/>
      </c>
      <c r="L57" t="n">
        <v>52</v>
      </c>
      <c r="M57">
        <f>IF(L57&lt;=StCount,"m",IF(L57=StCount+2,"t",IF(L57=StCount+3,"l",IF(L57=StCount+4,"v",IF(L57=StCount+6,"p","")))))</f>
        <v/>
      </c>
      <c r="N57">
        <f>IF(M57="m",IFERROR(MATCH(L57,tblInv[ترتيب الكشف],0),""),"")</f>
        <v/>
      </c>
      <c r="O57">
        <f>IF(AND(M57="m",N57=""),IFERROR(MATCH(L57,tblRec[ترتيب الكشف],0),""),"")</f>
        <v/>
      </c>
    </row>
    <row r="58">
      <c r="A58" s="117">
        <f>IF($M58="m",IF($N58&lt;&gt;"",INDEX(tblInv[تاريخ الفاتورة],$N58),INDEX(tblRec[التاريخ],$O58)),IF($M58="l",INDEX(tblBuckets[الفترة],1),IF($M58="v",TEXT(SUMIFS(tblInv[المتبقي],tblInv[كود العميل],StCust,tblInv[الفترة],INDEX(tblBuckets[الفترة],1)),"#,##0.00;-#,##0.00;-"),"")))</f>
        <v/>
      </c>
      <c r="B58" s="83">
        <f>IF($M58="m",IF($N58&lt;&gt;"","فاتورة",INDEX(tblRec[النوع],$O58)),IF($M58="l",INDEX(tblBuckets[الفترة],2),IF($M58="v",TEXT(SUMIFS(tblInv[المتبقي],tblInv[كود العميل],StCust,tblInv[الفترة],INDEX(tblBuckets[الفترة],2)),"#,##0.00;-#,##0.00;-"),"")))</f>
        <v/>
      </c>
      <c r="C58" s="83">
        <f>IF($M58="m",IF($N58&lt;&gt;"",INDEX(tblInv[رقم الفاتورة],$N58),INDEX(tblRec[رقم السند],$O58)),IF($M58="l",INDEX(tblBuckets[الفترة],3),IF($M58="v",TEXT(SUMIFS(tblInv[المتبقي],tblInv[كود العميل],StCust,tblInv[الفترة],INDEX(tblBuckets[الفترة],3)),"#,##0.00;-#,##0.00;-"),"")))</f>
        <v/>
      </c>
      <c r="D58" s="118">
        <f>IF($M58="m",IF($N58&lt;&gt;"","فاتورة مبيعات — استحقاق "&amp;TEXT(INDEX(tblInv[تاريخ الاستحقاق],$N58),"dd/mm/yyyy")&amp;IF(INDEX(tblInv[ملاحظات],$N58)&amp;""&lt;&gt;""," — "&amp;INDEX(tblInv[ملاحظات],$N58),""),INDEX(tblRec[النوع],$O58)&amp;IF(INDEX(tblRec[طريقة الدفع],$O58)&amp;""&lt;&gt;""," ("&amp;INDEX(tblRec[طريقة الدفع],$O58)&amp;")","")&amp;IF(INDEX(tblRec[رقم الفاتورة],$O58)&amp;""&lt;&gt;""," — عن فاتورة "&amp;INDEX(tblRec[رقم الفاتورة],$O58)," — دفعة على الحساب")),IF($M58="l",INDEX(tblBuckets[الفترة],4),IF($M58="v",TEXT(SUMIFS(tblInv[المتبقي],tblInv[كود العميل],StCust,tblInv[الفترة],INDEX(tblBuckets[الفترة],4)),"#,##0.00;-#,##0.00;-"),IF($M58="t","ملخص أعمار رصيد العميل كما في "&amp;TEXT(AsOf,"dd/mm/yyyy"),IF($M58="p","يُرجى مطابقة الرصيد وإفادتنا خلال 15 يوماً، وإلا اعتُبر الرصيد صحيحاً.","")))))</f>
        <v/>
      </c>
      <c r="E58" s="119">
        <f>IF($M58="m",IF($N58&lt;&gt;"",INDEX(tblInv[الإجمالي],$N58),0),IF($M58="l",INDEX(tblBuckets[الفترة],5),IF($M58="v",TEXT(SUMIFS(tblInv[المتبقي],tblInv[كود العميل],StCust,tblInv[الفترة],INDEX(tblBuckets[الفترة],5)),"#,##0.00;-#,##0.00;-"),"")))</f>
        <v/>
      </c>
      <c r="F58" s="119">
        <f>IF($M58="m",IF($O58&lt;&gt;"",INDEX(tblRec[المبلغ],$O58),0),IF($M58="l",INDEX(tblBuckets[الفترة],6),IF($M58="v",TEXT(SUMIFS(tblInv[المتبقي],tblInv[كود العميل],StCust,tblInv[الفترة],INDEX(tblBuckets[الفترة],6)),"#,##0.00;-#,##0.00;-"),"")))</f>
        <v/>
      </c>
      <c r="G58" s="120">
        <f>IF($M58="m",N(G57)+E58-F58,IF($M58="l",INDEX(tblBuckets[الفترة],7),IF($M58="v",TEXT(SUMIFS(tblInv[المتبقي],tblInv[كود العميل],StCust,tblInv[الفترة],INDEX(tblBuckets[الفترة],7)),"#,##0.00;-#,##0.00;-"),"")))</f>
        <v/>
      </c>
      <c r="L58" t="n">
        <v>53</v>
      </c>
      <c r="M58">
        <f>IF(L58&lt;=StCount,"m",IF(L58=StCount+2,"t",IF(L58=StCount+3,"l",IF(L58=StCount+4,"v",IF(L58=StCount+6,"p","")))))</f>
        <v/>
      </c>
      <c r="N58">
        <f>IF(M58="m",IFERROR(MATCH(L58,tblInv[ترتيب الكشف],0),""),"")</f>
        <v/>
      </c>
      <c r="O58">
        <f>IF(AND(M58="m",N58=""),IFERROR(MATCH(L58,tblRec[ترتيب الكشف],0),""),"")</f>
        <v/>
      </c>
    </row>
    <row r="59">
      <c r="A59" s="117">
        <f>IF($M59="m",IF($N59&lt;&gt;"",INDEX(tblInv[تاريخ الفاتورة],$N59),INDEX(tblRec[التاريخ],$O59)),IF($M59="l",INDEX(tblBuckets[الفترة],1),IF($M59="v",TEXT(SUMIFS(tblInv[المتبقي],tblInv[كود العميل],StCust,tblInv[الفترة],INDEX(tblBuckets[الفترة],1)),"#,##0.00;-#,##0.00;-"),"")))</f>
        <v/>
      </c>
      <c r="B59" s="83">
        <f>IF($M59="m",IF($N59&lt;&gt;"","فاتورة",INDEX(tblRec[النوع],$O59)),IF($M59="l",INDEX(tblBuckets[الفترة],2),IF($M59="v",TEXT(SUMIFS(tblInv[المتبقي],tblInv[كود العميل],StCust,tblInv[الفترة],INDEX(tblBuckets[الفترة],2)),"#,##0.00;-#,##0.00;-"),"")))</f>
        <v/>
      </c>
      <c r="C59" s="83">
        <f>IF($M59="m",IF($N59&lt;&gt;"",INDEX(tblInv[رقم الفاتورة],$N59),INDEX(tblRec[رقم السند],$O59)),IF($M59="l",INDEX(tblBuckets[الفترة],3),IF($M59="v",TEXT(SUMIFS(tblInv[المتبقي],tblInv[كود العميل],StCust,tblInv[الفترة],INDEX(tblBuckets[الفترة],3)),"#,##0.00;-#,##0.00;-"),"")))</f>
        <v/>
      </c>
      <c r="D59" s="118">
        <f>IF($M59="m",IF($N59&lt;&gt;"","فاتورة مبيعات — استحقاق "&amp;TEXT(INDEX(tblInv[تاريخ الاستحقاق],$N59),"dd/mm/yyyy")&amp;IF(INDEX(tblInv[ملاحظات],$N59)&amp;""&lt;&gt;""," — "&amp;INDEX(tblInv[ملاحظات],$N59),""),INDEX(tblRec[النوع],$O59)&amp;IF(INDEX(tblRec[طريقة الدفع],$O59)&amp;""&lt;&gt;""," ("&amp;INDEX(tblRec[طريقة الدفع],$O59)&amp;")","")&amp;IF(INDEX(tblRec[رقم الفاتورة],$O59)&amp;""&lt;&gt;""," — عن فاتورة "&amp;INDEX(tblRec[رقم الفاتورة],$O59)," — دفعة على الحساب")),IF($M59="l",INDEX(tblBuckets[الفترة],4),IF($M59="v",TEXT(SUMIFS(tblInv[المتبقي],tblInv[كود العميل],StCust,tblInv[الفترة],INDEX(tblBuckets[الفترة],4)),"#,##0.00;-#,##0.00;-"),IF($M59="t","ملخص أعمار رصيد العميل كما في "&amp;TEXT(AsOf,"dd/mm/yyyy"),IF($M59="p","يُرجى مطابقة الرصيد وإفادتنا خلال 15 يوماً، وإلا اعتُبر الرصيد صحيحاً.","")))))</f>
        <v/>
      </c>
      <c r="E59" s="119">
        <f>IF($M59="m",IF($N59&lt;&gt;"",INDEX(tblInv[الإجمالي],$N59),0),IF($M59="l",INDEX(tblBuckets[الفترة],5),IF($M59="v",TEXT(SUMIFS(tblInv[المتبقي],tblInv[كود العميل],StCust,tblInv[الفترة],INDEX(tblBuckets[الفترة],5)),"#,##0.00;-#,##0.00;-"),"")))</f>
        <v/>
      </c>
      <c r="F59" s="119">
        <f>IF($M59="m",IF($O59&lt;&gt;"",INDEX(tblRec[المبلغ],$O59),0),IF($M59="l",INDEX(tblBuckets[الفترة],6),IF($M59="v",TEXT(SUMIFS(tblInv[المتبقي],tblInv[كود العميل],StCust,tblInv[الفترة],INDEX(tblBuckets[الفترة],6)),"#,##0.00;-#,##0.00;-"),"")))</f>
        <v/>
      </c>
      <c r="G59" s="120">
        <f>IF($M59="m",N(G58)+E59-F59,IF($M59="l",INDEX(tblBuckets[الفترة],7),IF($M59="v",TEXT(SUMIFS(tblInv[المتبقي],tblInv[كود العميل],StCust,tblInv[الفترة],INDEX(tblBuckets[الفترة],7)),"#,##0.00;-#,##0.00;-"),"")))</f>
        <v/>
      </c>
      <c r="L59" t="n">
        <v>54</v>
      </c>
      <c r="M59">
        <f>IF(L59&lt;=StCount,"m",IF(L59=StCount+2,"t",IF(L59=StCount+3,"l",IF(L59=StCount+4,"v",IF(L59=StCount+6,"p","")))))</f>
        <v/>
      </c>
      <c r="N59">
        <f>IF(M59="m",IFERROR(MATCH(L59,tblInv[ترتيب الكشف],0),""),"")</f>
        <v/>
      </c>
      <c r="O59">
        <f>IF(AND(M59="m",N59=""),IFERROR(MATCH(L59,tblRec[ترتيب الكشف],0),""),"")</f>
        <v/>
      </c>
    </row>
    <row r="60">
      <c r="A60" s="117">
        <f>IF($M60="m",IF($N60&lt;&gt;"",INDEX(tblInv[تاريخ الفاتورة],$N60),INDEX(tblRec[التاريخ],$O60)),IF($M60="l",INDEX(tblBuckets[الفترة],1),IF($M60="v",TEXT(SUMIFS(tblInv[المتبقي],tblInv[كود العميل],StCust,tblInv[الفترة],INDEX(tblBuckets[الفترة],1)),"#,##0.00;-#,##0.00;-"),"")))</f>
        <v/>
      </c>
      <c r="B60" s="83">
        <f>IF($M60="m",IF($N60&lt;&gt;"","فاتورة",INDEX(tblRec[النوع],$O60)),IF($M60="l",INDEX(tblBuckets[الفترة],2),IF($M60="v",TEXT(SUMIFS(tblInv[المتبقي],tblInv[كود العميل],StCust,tblInv[الفترة],INDEX(tblBuckets[الفترة],2)),"#,##0.00;-#,##0.00;-"),"")))</f>
        <v/>
      </c>
      <c r="C60" s="83">
        <f>IF($M60="m",IF($N60&lt;&gt;"",INDEX(tblInv[رقم الفاتورة],$N60),INDEX(tblRec[رقم السند],$O60)),IF($M60="l",INDEX(tblBuckets[الفترة],3),IF($M60="v",TEXT(SUMIFS(tblInv[المتبقي],tblInv[كود العميل],StCust,tblInv[الفترة],INDEX(tblBuckets[الفترة],3)),"#,##0.00;-#,##0.00;-"),"")))</f>
        <v/>
      </c>
      <c r="D60" s="118">
        <f>IF($M60="m",IF($N60&lt;&gt;"","فاتورة مبيعات — استحقاق "&amp;TEXT(INDEX(tblInv[تاريخ الاستحقاق],$N60),"dd/mm/yyyy")&amp;IF(INDEX(tblInv[ملاحظات],$N60)&amp;""&lt;&gt;""," — "&amp;INDEX(tblInv[ملاحظات],$N60),""),INDEX(tblRec[النوع],$O60)&amp;IF(INDEX(tblRec[طريقة الدفع],$O60)&amp;""&lt;&gt;""," ("&amp;INDEX(tblRec[طريقة الدفع],$O60)&amp;")","")&amp;IF(INDEX(tblRec[رقم الفاتورة],$O60)&amp;""&lt;&gt;""," — عن فاتورة "&amp;INDEX(tblRec[رقم الفاتورة],$O60)," — دفعة على الحساب")),IF($M60="l",INDEX(tblBuckets[الفترة],4),IF($M60="v",TEXT(SUMIFS(tblInv[المتبقي],tblInv[كود العميل],StCust,tblInv[الفترة],INDEX(tblBuckets[الفترة],4)),"#,##0.00;-#,##0.00;-"),IF($M60="t","ملخص أعمار رصيد العميل كما في "&amp;TEXT(AsOf,"dd/mm/yyyy"),IF($M60="p","يُرجى مطابقة الرصيد وإفادتنا خلال 15 يوماً، وإلا اعتُبر الرصيد صحيحاً.","")))))</f>
        <v/>
      </c>
      <c r="E60" s="119">
        <f>IF($M60="m",IF($N60&lt;&gt;"",INDEX(tblInv[الإجمالي],$N60),0),IF($M60="l",INDEX(tblBuckets[الفترة],5),IF($M60="v",TEXT(SUMIFS(tblInv[المتبقي],tblInv[كود العميل],StCust,tblInv[الفترة],INDEX(tblBuckets[الفترة],5)),"#,##0.00;-#,##0.00;-"),"")))</f>
        <v/>
      </c>
      <c r="F60" s="119">
        <f>IF($M60="m",IF($O60&lt;&gt;"",INDEX(tblRec[المبلغ],$O60),0),IF($M60="l",INDEX(tblBuckets[الفترة],6),IF($M60="v",TEXT(SUMIFS(tblInv[المتبقي],tblInv[كود العميل],StCust,tblInv[الفترة],INDEX(tblBuckets[الفترة],6)),"#,##0.00;-#,##0.00;-"),"")))</f>
        <v/>
      </c>
      <c r="G60" s="120">
        <f>IF($M60="m",N(G59)+E60-F60,IF($M60="l",INDEX(tblBuckets[الفترة],7),IF($M60="v",TEXT(SUMIFS(tblInv[المتبقي],tblInv[كود العميل],StCust,tblInv[الفترة],INDEX(tblBuckets[الفترة],7)),"#,##0.00;-#,##0.00;-"),"")))</f>
        <v/>
      </c>
      <c r="L60" t="n">
        <v>55</v>
      </c>
      <c r="M60">
        <f>IF(L60&lt;=StCount,"m",IF(L60=StCount+2,"t",IF(L60=StCount+3,"l",IF(L60=StCount+4,"v",IF(L60=StCount+6,"p","")))))</f>
        <v/>
      </c>
      <c r="N60">
        <f>IF(M60="m",IFERROR(MATCH(L60,tblInv[ترتيب الكشف],0),""),"")</f>
        <v/>
      </c>
      <c r="O60">
        <f>IF(AND(M60="m",N60=""),IFERROR(MATCH(L60,tblRec[ترتيب الكشف],0),""),"")</f>
        <v/>
      </c>
    </row>
    <row r="61">
      <c r="A61" s="117">
        <f>IF($M61="m",IF($N61&lt;&gt;"",INDEX(tblInv[تاريخ الفاتورة],$N61),INDEX(tblRec[التاريخ],$O61)),IF($M61="l",INDEX(tblBuckets[الفترة],1),IF($M61="v",TEXT(SUMIFS(tblInv[المتبقي],tblInv[كود العميل],StCust,tblInv[الفترة],INDEX(tblBuckets[الفترة],1)),"#,##0.00;-#,##0.00;-"),"")))</f>
        <v/>
      </c>
      <c r="B61" s="83">
        <f>IF($M61="m",IF($N61&lt;&gt;"","فاتورة",INDEX(tblRec[النوع],$O61)),IF($M61="l",INDEX(tblBuckets[الفترة],2),IF($M61="v",TEXT(SUMIFS(tblInv[المتبقي],tblInv[كود العميل],StCust,tblInv[الفترة],INDEX(tblBuckets[الفترة],2)),"#,##0.00;-#,##0.00;-"),"")))</f>
        <v/>
      </c>
      <c r="C61" s="83">
        <f>IF($M61="m",IF($N61&lt;&gt;"",INDEX(tblInv[رقم الفاتورة],$N61),INDEX(tblRec[رقم السند],$O61)),IF($M61="l",INDEX(tblBuckets[الفترة],3),IF($M61="v",TEXT(SUMIFS(tblInv[المتبقي],tblInv[كود العميل],StCust,tblInv[الفترة],INDEX(tblBuckets[الفترة],3)),"#,##0.00;-#,##0.00;-"),"")))</f>
        <v/>
      </c>
      <c r="D61" s="118">
        <f>IF($M61="m",IF($N61&lt;&gt;"","فاتورة مبيعات — استحقاق "&amp;TEXT(INDEX(tblInv[تاريخ الاستحقاق],$N61),"dd/mm/yyyy")&amp;IF(INDEX(tblInv[ملاحظات],$N61)&amp;""&lt;&gt;""," — "&amp;INDEX(tblInv[ملاحظات],$N61),""),INDEX(tblRec[النوع],$O61)&amp;IF(INDEX(tblRec[طريقة الدفع],$O61)&amp;""&lt;&gt;""," ("&amp;INDEX(tblRec[طريقة الدفع],$O61)&amp;")","")&amp;IF(INDEX(tblRec[رقم الفاتورة],$O61)&amp;""&lt;&gt;""," — عن فاتورة "&amp;INDEX(tblRec[رقم الفاتورة],$O61)," — دفعة على الحساب")),IF($M61="l",INDEX(tblBuckets[الفترة],4),IF($M61="v",TEXT(SUMIFS(tblInv[المتبقي],tblInv[كود العميل],StCust,tblInv[الفترة],INDEX(tblBuckets[الفترة],4)),"#,##0.00;-#,##0.00;-"),IF($M61="t","ملخص أعمار رصيد العميل كما في "&amp;TEXT(AsOf,"dd/mm/yyyy"),IF($M61="p","يُرجى مطابقة الرصيد وإفادتنا خلال 15 يوماً، وإلا اعتُبر الرصيد صحيحاً.","")))))</f>
        <v/>
      </c>
      <c r="E61" s="119">
        <f>IF($M61="m",IF($N61&lt;&gt;"",INDEX(tblInv[الإجمالي],$N61),0),IF($M61="l",INDEX(tblBuckets[الفترة],5),IF($M61="v",TEXT(SUMIFS(tblInv[المتبقي],tblInv[كود العميل],StCust,tblInv[الفترة],INDEX(tblBuckets[الفترة],5)),"#,##0.00;-#,##0.00;-"),"")))</f>
        <v/>
      </c>
      <c r="F61" s="119">
        <f>IF($M61="m",IF($O61&lt;&gt;"",INDEX(tblRec[المبلغ],$O61),0),IF($M61="l",INDEX(tblBuckets[الفترة],6),IF($M61="v",TEXT(SUMIFS(tblInv[المتبقي],tblInv[كود العميل],StCust,tblInv[الفترة],INDEX(tblBuckets[الفترة],6)),"#,##0.00;-#,##0.00;-"),"")))</f>
        <v/>
      </c>
      <c r="G61" s="120">
        <f>IF($M61="m",N(G60)+E61-F61,IF($M61="l",INDEX(tblBuckets[الفترة],7),IF($M61="v",TEXT(SUMIFS(tblInv[المتبقي],tblInv[كود العميل],StCust,tblInv[الفترة],INDEX(tblBuckets[الفترة],7)),"#,##0.00;-#,##0.00;-"),"")))</f>
        <v/>
      </c>
      <c r="L61" t="n">
        <v>56</v>
      </c>
      <c r="M61">
        <f>IF(L61&lt;=StCount,"m",IF(L61=StCount+2,"t",IF(L61=StCount+3,"l",IF(L61=StCount+4,"v",IF(L61=StCount+6,"p","")))))</f>
        <v/>
      </c>
      <c r="N61">
        <f>IF(M61="m",IFERROR(MATCH(L61,tblInv[ترتيب الكشف],0),""),"")</f>
        <v/>
      </c>
      <c r="O61">
        <f>IF(AND(M61="m",N61=""),IFERROR(MATCH(L61,tblRec[ترتيب الكشف],0),""),"")</f>
        <v/>
      </c>
    </row>
    <row r="62">
      <c r="A62" s="117">
        <f>IF($M62="m",IF($N62&lt;&gt;"",INDEX(tblInv[تاريخ الفاتورة],$N62),INDEX(tblRec[التاريخ],$O62)),IF($M62="l",INDEX(tblBuckets[الفترة],1),IF($M62="v",TEXT(SUMIFS(tblInv[المتبقي],tblInv[كود العميل],StCust,tblInv[الفترة],INDEX(tblBuckets[الفترة],1)),"#,##0.00;-#,##0.00;-"),"")))</f>
        <v/>
      </c>
      <c r="B62" s="83">
        <f>IF($M62="m",IF($N62&lt;&gt;"","فاتورة",INDEX(tblRec[النوع],$O62)),IF($M62="l",INDEX(tblBuckets[الفترة],2),IF($M62="v",TEXT(SUMIFS(tblInv[المتبقي],tblInv[كود العميل],StCust,tblInv[الفترة],INDEX(tblBuckets[الفترة],2)),"#,##0.00;-#,##0.00;-"),"")))</f>
        <v/>
      </c>
      <c r="C62" s="83">
        <f>IF($M62="m",IF($N62&lt;&gt;"",INDEX(tblInv[رقم الفاتورة],$N62),INDEX(tblRec[رقم السند],$O62)),IF($M62="l",INDEX(tblBuckets[الفترة],3),IF($M62="v",TEXT(SUMIFS(tblInv[المتبقي],tblInv[كود العميل],StCust,tblInv[الفترة],INDEX(tblBuckets[الفترة],3)),"#,##0.00;-#,##0.00;-"),"")))</f>
        <v/>
      </c>
      <c r="D62" s="118">
        <f>IF($M62="m",IF($N62&lt;&gt;"","فاتورة مبيعات — استحقاق "&amp;TEXT(INDEX(tblInv[تاريخ الاستحقاق],$N62),"dd/mm/yyyy")&amp;IF(INDEX(tblInv[ملاحظات],$N62)&amp;""&lt;&gt;""," — "&amp;INDEX(tblInv[ملاحظات],$N62),""),INDEX(tblRec[النوع],$O62)&amp;IF(INDEX(tblRec[طريقة الدفع],$O62)&amp;""&lt;&gt;""," ("&amp;INDEX(tblRec[طريقة الدفع],$O62)&amp;")","")&amp;IF(INDEX(tblRec[رقم الفاتورة],$O62)&amp;""&lt;&gt;""," — عن فاتورة "&amp;INDEX(tblRec[رقم الفاتورة],$O62)," — دفعة على الحساب")),IF($M62="l",INDEX(tblBuckets[الفترة],4),IF($M62="v",TEXT(SUMIFS(tblInv[المتبقي],tblInv[كود العميل],StCust,tblInv[الفترة],INDEX(tblBuckets[الفترة],4)),"#,##0.00;-#,##0.00;-"),IF($M62="t","ملخص أعمار رصيد العميل كما في "&amp;TEXT(AsOf,"dd/mm/yyyy"),IF($M62="p","يُرجى مطابقة الرصيد وإفادتنا خلال 15 يوماً، وإلا اعتُبر الرصيد صحيحاً.","")))))</f>
        <v/>
      </c>
      <c r="E62" s="119">
        <f>IF($M62="m",IF($N62&lt;&gt;"",INDEX(tblInv[الإجمالي],$N62),0),IF($M62="l",INDEX(tblBuckets[الفترة],5),IF($M62="v",TEXT(SUMIFS(tblInv[المتبقي],tblInv[كود العميل],StCust,tblInv[الفترة],INDEX(tblBuckets[الفترة],5)),"#,##0.00;-#,##0.00;-"),"")))</f>
        <v/>
      </c>
      <c r="F62" s="119">
        <f>IF($M62="m",IF($O62&lt;&gt;"",INDEX(tblRec[المبلغ],$O62),0),IF($M62="l",INDEX(tblBuckets[الفترة],6),IF($M62="v",TEXT(SUMIFS(tblInv[المتبقي],tblInv[كود العميل],StCust,tblInv[الفترة],INDEX(tblBuckets[الفترة],6)),"#,##0.00;-#,##0.00;-"),"")))</f>
        <v/>
      </c>
      <c r="G62" s="120">
        <f>IF($M62="m",N(G61)+E62-F62,IF($M62="l",INDEX(tblBuckets[الفترة],7),IF($M62="v",TEXT(SUMIFS(tblInv[المتبقي],tblInv[كود العميل],StCust,tblInv[الفترة],INDEX(tblBuckets[الفترة],7)),"#,##0.00;-#,##0.00;-"),"")))</f>
        <v/>
      </c>
      <c r="L62" t="n">
        <v>57</v>
      </c>
      <c r="M62">
        <f>IF(L62&lt;=StCount,"m",IF(L62=StCount+2,"t",IF(L62=StCount+3,"l",IF(L62=StCount+4,"v",IF(L62=StCount+6,"p","")))))</f>
        <v/>
      </c>
      <c r="N62">
        <f>IF(M62="m",IFERROR(MATCH(L62,tblInv[ترتيب الكشف],0),""),"")</f>
        <v/>
      </c>
      <c r="O62">
        <f>IF(AND(M62="m",N62=""),IFERROR(MATCH(L62,tblRec[ترتيب الكشف],0),""),"")</f>
        <v/>
      </c>
    </row>
    <row r="63">
      <c r="A63" s="117">
        <f>IF($M63="m",IF($N63&lt;&gt;"",INDEX(tblInv[تاريخ الفاتورة],$N63),INDEX(tblRec[التاريخ],$O63)),IF($M63="l",INDEX(tblBuckets[الفترة],1),IF($M63="v",TEXT(SUMIFS(tblInv[المتبقي],tblInv[كود العميل],StCust,tblInv[الفترة],INDEX(tblBuckets[الفترة],1)),"#,##0.00;-#,##0.00;-"),"")))</f>
        <v/>
      </c>
      <c r="B63" s="83">
        <f>IF($M63="m",IF($N63&lt;&gt;"","فاتورة",INDEX(tblRec[النوع],$O63)),IF($M63="l",INDEX(tblBuckets[الفترة],2),IF($M63="v",TEXT(SUMIFS(tblInv[المتبقي],tblInv[كود العميل],StCust,tblInv[الفترة],INDEX(tblBuckets[الفترة],2)),"#,##0.00;-#,##0.00;-"),"")))</f>
        <v/>
      </c>
      <c r="C63" s="83">
        <f>IF($M63="m",IF($N63&lt;&gt;"",INDEX(tblInv[رقم الفاتورة],$N63),INDEX(tblRec[رقم السند],$O63)),IF($M63="l",INDEX(tblBuckets[الفترة],3),IF($M63="v",TEXT(SUMIFS(tblInv[المتبقي],tblInv[كود العميل],StCust,tblInv[الفترة],INDEX(tblBuckets[الفترة],3)),"#,##0.00;-#,##0.00;-"),"")))</f>
        <v/>
      </c>
      <c r="D63" s="118">
        <f>IF($M63="m",IF($N63&lt;&gt;"","فاتورة مبيعات — استحقاق "&amp;TEXT(INDEX(tblInv[تاريخ الاستحقاق],$N63),"dd/mm/yyyy")&amp;IF(INDEX(tblInv[ملاحظات],$N63)&amp;""&lt;&gt;""," — "&amp;INDEX(tblInv[ملاحظات],$N63),""),INDEX(tblRec[النوع],$O63)&amp;IF(INDEX(tblRec[طريقة الدفع],$O63)&amp;""&lt;&gt;""," ("&amp;INDEX(tblRec[طريقة الدفع],$O63)&amp;")","")&amp;IF(INDEX(tblRec[رقم الفاتورة],$O63)&amp;""&lt;&gt;""," — عن فاتورة "&amp;INDEX(tblRec[رقم الفاتورة],$O63)," — دفعة على الحساب")),IF($M63="l",INDEX(tblBuckets[الفترة],4),IF($M63="v",TEXT(SUMIFS(tblInv[المتبقي],tblInv[كود العميل],StCust,tblInv[الفترة],INDEX(tblBuckets[الفترة],4)),"#,##0.00;-#,##0.00;-"),IF($M63="t","ملخص أعمار رصيد العميل كما في "&amp;TEXT(AsOf,"dd/mm/yyyy"),IF($M63="p","يُرجى مطابقة الرصيد وإفادتنا خلال 15 يوماً، وإلا اعتُبر الرصيد صحيحاً.","")))))</f>
        <v/>
      </c>
      <c r="E63" s="119">
        <f>IF($M63="m",IF($N63&lt;&gt;"",INDEX(tblInv[الإجمالي],$N63),0),IF($M63="l",INDEX(tblBuckets[الفترة],5),IF($M63="v",TEXT(SUMIFS(tblInv[المتبقي],tblInv[كود العميل],StCust,tblInv[الفترة],INDEX(tblBuckets[الفترة],5)),"#,##0.00;-#,##0.00;-"),"")))</f>
        <v/>
      </c>
      <c r="F63" s="119">
        <f>IF($M63="m",IF($O63&lt;&gt;"",INDEX(tblRec[المبلغ],$O63),0),IF($M63="l",INDEX(tblBuckets[الفترة],6),IF($M63="v",TEXT(SUMIFS(tblInv[المتبقي],tblInv[كود العميل],StCust,tblInv[الفترة],INDEX(tblBuckets[الفترة],6)),"#,##0.00;-#,##0.00;-"),"")))</f>
        <v/>
      </c>
      <c r="G63" s="120">
        <f>IF($M63="m",N(G62)+E63-F63,IF($M63="l",INDEX(tblBuckets[الفترة],7),IF($M63="v",TEXT(SUMIFS(tblInv[المتبقي],tblInv[كود العميل],StCust,tblInv[الفترة],INDEX(tblBuckets[الفترة],7)),"#,##0.00;-#,##0.00;-"),"")))</f>
        <v/>
      </c>
      <c r="L63" t="n">
        <v>58</v>
      </c>
      <c r="M63">
        <f>IF(L63&lt;=StCount,"m",IF(L63=StCount+2,"t",IF(L63=StCount+3,"l",IF(L63=StCount+4,"v",IF(L63=StCount+6,"p","")))))</f>
        <v/>
      </c>
      <c r="N63">
        <f>IF(M63="m",IFERROR(MATCH(L63,tblInv[ترتيب الكشف],0),""),"")</f>
        <v/>
      </c>
      <c r="O63">
        <f>IF(AND(M63="m",N63=""),IFERROR(MATCH(L63,tblRec[ترتيب الكشف],0),""),"")</f>
        <v/>
      </c>
    </row>
    <row r="64">
      <c r="A64" s="117">
        <f>IF($M64="m",IF($N64&lt;&gt;"",INDEX(tblInv[تاريخ الفاتورة],$N64),INDEX(tblRec[التاريخ],$O64)),IF($M64="l",INDEX(tblBuckets[الفترة],1),IF($M64="v",TEXT(SUMIFS(tblInv[المتبقي],tblInv[كود العميل],StCust,tblInv[الفترة],INDEX(tblBuckets[الفترة],1)),"#,##0.00;-#,##0.00;-"),"")))</f>
        <v/>
      </c>
      <c r="B64" s="83">
        <f>IF($M64="m",IF($N64&lt;&gt;"","فاتورة",INDEX(tblRec[النوع],$O64)),IF($M64="l",INDEX(tblBuckets[الفترة],2),IF($M64="v",TEXT(SUMIFS(tblInv[المتبقي],tblInv[كود العميل],StCust,tblInv[الفترة],INDEX(tblBuckets[الفترة],2)),"#,##0.00;-#,##0.00;-"),"")))</f>
        <v/>
      </c>
      <c r="C64" s="83">
        <f>IF($M64="m",IF($N64&lt;&gt;"",INDEX(tblInv[رقم الفاتورة],$N64),INDEX(tblRec[رقم السند],$O64)),IF($M64="l",INDEX(tblBuckets[الفترة],3),IF($M64="v",TEXT(SUMIFS(tblInv[المتبقي],tblInv[كود العميل],StCust,tblInv[الفترة],INDEX(tblBuckets[الفترة],3)),"#,##0.00;-#,##0.00;-"),"")))</f>
        <v/>
      </c>
      <c r="D64" s="118">
        <f>IF($M64="m",IF($N64&lt;&gt;"","فاتورة مبيعات — استحقاق "&amp;TEXT(INDEX(tblInv[تاريخ الاستحقاق],$N64),"dd/mm/yyyy")&amp;IF(INDEX(tblInv[ملاحظات],$N64)&amp;""&lt;&gt;""," — "&amp;INDEX(tblInv[ملاحظات],$N64),""),INDEX(tblRec[النوع],$O64)&amp;IF(INDEX(tblRec[طريقة الدفع],$O64)&amp;""&lt;&gt;""," ("&amp;INDEX(tblRec[طريقة الدفع],$O64)&amp;")","")&amp;IF(INDEX(tblRec[رقم الفاتورة],$O64)&amp;""&lt;&gt;""," — عن فاتورة "&amp;INDEX(tblRec[رقم الفاتورة],$O64)," — دفعة على الحساب")),IF($M64="l",INDEX(tblBuckets[الفترة],4),IF($M64="v",TEXT(SUMIFS(tblInv[المتبقي],tblInv[كود العميل],StCust,tblInv[الفترة],INDEX(tblBuckets[الفترة],4)),"#,##0.00;-#,##0.00;-"),IF($M64="t","ملخص أعمار رصيد العميل كما في "&amp;TEXT(AsOf,"dd/mm/yyyy"),IF($M64="p","يُرجى مطابقة الرصيد وإفادتنا خلال 15 يوماً، وإلا اعتُبر الرصيد صحيحاً.","")))))</f>
        <v/>
      </c>
      <c r="E64" s="119">
        <f>IF($M64="m",IF($N64&lt;&gt;"",INDEX(tblInv[الإجمالي],$N64),0),IF($M64="l",INDEX(tblBuckets[الفترة],5),IF($M64="v",TEXT(SUMIFS(tblInv[المتبقي],tblInv[كود العميل],StCust,tblInv[الفترة],INDEX(tblBuckets[الفترة],5)),"#,##0.00;-#,##0.00;-"),"")))</f>
        <v/>
      </c>
      <c r="F64" s="119">
        <f>IF($M64="m",IF($O64&lt;&gt;"",INDEX(tblRec[المبلغ],$O64),0),IF($M64="l",INDEX(tblBuckets[الفترة],6),IF($M64="v",TEXT(SUMIFS(tblInv[المتبقي],tblInv[كود العميل],StCust,tblInv[الفترة],INDEX(tblBuckets[الفترة],6)),"#,##0.00;-#,##0.00;-"),"")))</f>
        <v/>
      </c>
      <c r="G64" s="120">
        <f>IF($M64="m",N(G63)+E64-F64,IF($M64="l",INDEX(tblBuckets[الفترة],7),IF($M64="v",TEXT(SUMIFS(tblInv[المتبقي],tblInv[كود العميل],StCust,tblInv[الفترة],INDEX(tblBuckets[الفترة],7)),"#,##0.00;-#,##0.00;-"),"")))</f>
        <v/>
      </c>
      <c r="L64" t="n">
        <v>59</v>
      </c>
      <c r="M64">
        <f>IF(L64&lt;=StCount,"m",IF(L64=StCount+2,"t",IF(L64=StCount+3,"l",IF(L64=StCount+4,"v",IF(L64=StCount+6,"p","")))))</f>
        <v/>
      </c>
      <c r="N64">
        <f>IF(M64="m",IFERROR(MATCH(L64,tblInv[ترتيب الكشف],0),""),"")</f>
        <v/>
      </c>
      <c r="O64">
        <f>IF(AND(M64="m",N64=""),IFERROR(MATCH(L64,tblRec[ترتيب الكشف],0),""),"")</f>
        <v/>
      </c>
    </row>
    <row r="65">
      <c r="A65" s="117">
        <f>IF($M65="m",IF($N65&lt;&gt;"",INDEX(tblInv[تاريخ الفاتورة],$N65),INDEX(tblRec[التاريخ],$O65)),IF($M65="l",INDEX(tblBuckets[الفترة],1),IF($M65="v",TEXT(SUMIFS(tblInv[المتبقي],tblInv[كود العميل],StCust,tblInv[الفترة],INDEX(tblBuckets[الفترة],1)),"#,##0.00;-#,##0.00;-"),"")))</f>
        <v/>
      </c>
      <c r="B65" s="83">
        <f>IF($M65="m",IF($N65&lt;&gt;"","فاتورة",INDEX(tblRec[النوع],$O65)),IF($M65="l",INDEX(tblBuckets[الفترة],2),IF($M65="v",TEXT(SUMIFS(tblInv[المتبقي],tblInv[كود العميل],StCust,tblInv[الفترة],INDEX(tblBuckets[الفترة],2)),"#,##0.00;-#,##0.00;-"),"")))</f>
        <v/>
      </c>
      <c r="C65" s="83">
        <f>IF($M65="m",IF($N65&lt;&gt;"",INDEX(tblInv[رقم الفاتورة],$N65),INDEX(tblRec[رقم السند],$O65)),IF($M65="l",INDEX(tblBuckets[الفترة],3),IF($M65="v",TEXT(SUMIFS(tblInv[المتبقي],tblInv[كود العميل],StCust,tblInv[الفترة],INDEX(tblBuckets[الفترة],3)),"#,##0.00;-#,##0.00;-"),"")))</f>
        <v/>
      </c>
      <c r="D65" s="118">
        <f>IF($M65="m",IF($N65&lt;&gt;"","فاتورة مبيعات — استحقاق "&amp;TEXT(INDEX(tblInv[تاريخ الاستحقاق],$N65),"dd/mm/yyyy")&amp;IF(INDEX(tblInv[ملاحظات],$N65)&amp;""&lt;&gt;""," — "&amp;INDEX(tblInv[ملاحظات],$N65),""),INDEX(tblRec[النوع],$O65)&amp;IF(INDEX(tblRec[طريقة الدفع],$O65)&amp;""&lt;&gt;""," ("&amp;INDEX(tblRec[طريقة الدفع],$O65)&amp;")","")&amp;IF(INDEX(tblRec[رقم الفاتورة],$O65)&amp;""&lt;&gt;""," — عن فاتورة "&amp;INDEX(tblRec[رقم الفاتورة],$O65)," — دفعة على الحساب")),IF($M65="l",INDEX(tblBuckets[الفترة],4),IF($M65="v",TEXT(SUMIFS(tblInv[المتبقي],tblInv[كود العميل],StCust,tblInv[الفترة],INDEX(tblBuckets[الفترة],4)),"#,##0.00;-#,##0.00;-"),IF($M65="t","ملخص أعمار رصيد العميل كما في "&amp;TEXT(AsOf,"dd/mm/yyyy"),IF($M65="p","يُرجى مطابقة الرصيد وإفادتنا خلال 15 يوماً، وإلا اعتُبر الرصيد صحيحاً.","")))))</f>
        <v/>
      </c>
      <c r="E65" s="119">
        <f>IF($M65="m",IF($N65&lt;&gt;"",INDEX(tblInv[الإجمالي],$N65),0),IF($M65="l",INDEX(tblBuckets[الفترة],5),IF($M65="v",TEXT(SUMIFS(tblInv[المتبقي],tblInv[كود العميل],StCust,tblInv[الفترة],INDEX(tblBuckets[الفترة],5)),"#,##0.00;-#,##0.00;-"),"")))</f>
        <v/>
      </c>
      <c r="F65" s="119">
        <f>IF($M65="m",IF($O65&lt;&gt;"",INDEX(tblRec[المبلغ],$O65),0),IF($M65="l",INDEX(tblBuckets[الفترة],6),IF($M65="v",TEXT(SUMIFS(tblInv[المتبقي],tblInv[كود العميل],StCust,tblInv[الفترة],INDEX(tblBuckets[الفترة],6)),"#,##0.00;-#,##0.00;-"),"")))</f>
        <v/>
      </c>
      <c r="G65" s="120">
        <f>IF($M65="m",N(G64)+E65-F65,IF($M65="l",INDEX(tblBuckets[الفترة],7),IF($M65="v",TEXT(SUMIFS(tblInv[المتبقي],tblInv[كود العميل],StCust,tblInv[الفترة],INDEX(tblBuckets[الفترة],7)),"#,##0.00;-#,##0.00;-"),"")))</f>
        <v/>
      </c>
      <c r="L65" t="n">
        <v>60</v>
      </c>
      <c r="M65">
        <f>IF(L65&lt;=StCount,"m",IF(L65=StCount+2,"t",IF(L65=StCount+3,"l",IF(L65=StCount+4,"v",IF(L65=StCount+6,"p","")))))</f>
        <v/>
      </c>
      <c r="N65">
        <f>IF(M65="m",IFERROR(MATCH(L65,tblInv[ترتيب الكشف],0),""),"")</f>
        <v/>
      </c>
      <c r="O65">
        <f>IF(AND(M65="m",N65=""),IFERROR(MATCH(L65,tblRec[ترتيب الكشف],0),""),"")</f>
        <v/>
      </c>
    </row>
    <row r="66">
      <c r="A66" s="117">
        <f>IF($M66="m",IF($N66&lt;&gt;"",INDEX(tblInv[تاريخ الفاتورة],$N66),INDEX(tblRec[التاريخ],$O66)),IF($M66="l",INDEX(tblBuckets[الفترة],1),IF($M66="v",TEXT(SUMIFS(tblInv[المتبقي],tblInv[كود العميل],StCust,tblInv[الفترة],INDEX(tblBuckets[الفترة],1)),"#,##0.00;-#,##0.00;-"),"")))</f>
        <v/>
      </c>
      <c r="B66" s="83">
        <f>IF($M66="m",IF($N66&lt;&gt;"","فاتورة",INDEX(tblRec[النوع],$O66)),IF($M66="l",INDEX(tblBuckets[الفترة],2),IF($M66="v",TEXT(SUMIFS(tblInv[المتبقي],tblInv[كود العميل],StCust,tblInv[الفترة],INDEX(tblBuckets[الفترة],2)),"#,##0.00;-#,##0.00;-"),"")))</f>
        <v/>
      </c>
      <c r="C66" s="83">
        <f>IF($M66="m",IF($N66&lt;&gt;"",INDEX(tblInv[رقم الفاتورة],$N66),INDEX(tblRec[رقم السند],$O66)),IF($M66="l",INDEX(tblBuckets[الفترة],3),IF($M66="v",TEXT(SUMIFS(tblInv[المتبقي],tblInv[كود العميل],StCust,tblInv[الفترة],INDEX(tblBuckets[الفترة],3)),"#,##0.00;-#,##0.00;-"),"")))</f>
        <v/>
      </c>
      <c r="D66" s="118">
        <f>IF($M66="m",IF($N66&lt;&gt;"","فاتورة مبيعات — استحقاق "&amp;TEXT(INDEX(tblInv[تاريخ الاستحقاق],$N66),"dd/mm/yyyy")&amp;IF(INDEX(tblInv[ملاحظات],$N66)&amp;""&lt;&gt;""," — "&amp;INDEX(tblInv[ملاحظات],$N66),""),INDEX(tblRec[النوع],$O66)&amp;IF(INDEX(tblRec[طريقة الدفع],$O66)&amp;""&lt;&gt;""," ("&amp;INDEX(tblRec[طريقة الدفع],$O66)&amp;")","")&amp;IF(INDEX(tblRec[رقم الفاتورة],$O66)&amp;""&lt;&gt;""," — عن فاتورة "&amp;INDEX(tblRec[رقم الفاتورة],$O66)," — دفعة على الحساب")),IF($M66="l",INDEX(tblBuckets[الفترة],4),IF($M66="v",TEXT(SUMIFS(tblInv[المتبقي],tblInv[كود العميل],StCust,tblInv[الفترة],INDEX(tblBuckets[الفترة],4)),"#,##0.00;-#,##0.00;-"),IF($M66="t","ملخص أعمار رصيد العميل كما في "&amp;TEXT(AsOf,"dd/mm/yyyy"),IF($M66="p","يُرجى مطابقة الرصيد وإفادتنا خلال 15 يوماً، وإلا اعتُبر الرصيد صحيحاً.","")))))</f>
        <v/>
      </c>
      <c r="E66" s="119">
        <f>IF($M66="m",IF($N66&lt;&gt;"",INDEX(tblInv[الإجمالي],$N66),0),IF($M66="l",INDEX(tblBuckets[الفترة],5),IF($M66="v",TEXT(SUMIFS(tblInv[المتبقي],tblInv[كود العميل],StCust,tblInv[الفترة],INDEX(tblBuckets[الفترة],5)),"#,##0.00;-#,##0.00;-"),"")))</f>
        <v/>
      </c>
      <c r="F66" s="119">
        <f>IF($M66="m",IF($O66&lt;&gt;"",INDEX(tblRec[المبلغ],$O66),0),IF($M66="l",INDEX(tblBuckets[الفترة],6),IF($M66="v",TEXT(SUMIFS(tblInv[المتبقي],tblInv[كود العميل],StCust,tblInv[الفترة],INDEX(tblBuckets[الفترة],6)),"#,##0.00;-#,##0.00;-"),"")))</f>
        <v/>
      </c>
      <c r="G66" s="120">
        <f>IF($M66="m",N(G65)+E66-F66,IF($M66="l",INDEX(tblBuckets[الفترة],7),IF($M66="v",TEXT(SUMIFS(tblInv[المتبقي],tblInv[كود العميل],StCust,tblInv[الفترة],INDEX(tblBuckets[الفترة],7)),"#,##0.00;-#,##0.00;-"),"")))</f>
        <v/>
      </c>
      <c r="L66" t="n">
        <v>61</v>
      </c>
      <c r="M66">
        <f>IF(L66&lt;=StCount,"m",IF(L66=StCount+2,"t",IF(L66=StCount+3,"l",IF(L66=StCount+4,"v",IF(L66=StCount+6,"p","")))))</f>
        <v/>
      </c>
      <c r="N66">
        <f>IF(M66="m",IFERROR(MATCH(L66,tblInv[ترتيب الكشف],0),""),"")</f>
        <v/>
      </c>
      <c r="O66">
        <f>IF(AND(M66="m",N66=""),IFERROR(MATCH(L66,tblRec[ترتيب الكشف],0),""),"")</f>
        <v/>
      </c>
    </row>
    <row r="67">
      <c r="A67" s="117">
        <f>IF($M67="m",IF($N67&lt;&gt;"",INDEX(tblInv[تاريخ الفاتورة],$N67),INDEX(tblRec[التاريخ],$O67)),IF($M67="l",INDEX(tblBuckets[الفترة],1),IF($M67="v",TEXT(SUMIFS(tblInv[المتبقي],tblInv[كود العميل],StCust,tblInv[الفترة],INDEX(tblBuckets[الفترة],1)),"#,##0.00;-#,##0.00;-"),"")))</f>
        <v/>
      </c>
      <c r="B67" s="83">
        <f>IF($M67="m",IF($N67&lt;&gt;"","فاتورة",INDEX(tblRec[النوع],$O67)),IF($M67="l",INDEX(tblBuckets[الفترة],2),IF($M67="v",TEXT(SUMIFS(tblInv[المتبقي],tblInv[كود العميل],StCust,tblInv[الفترة],INDEX(tblBuckets[الفترة],2)),"#,##0.00;-#,##0.00;-"),"")))</f>
        <v/>
      </c>
      <c r="C67" s="83">
        <f>IF($M67="m",IF($N67&lt;&gt;"",INDEX(tblInv[رقم الفاتورة],$N67),INDEX(tblRec[رقم السند],$O67)),IF($M67="l",INDEX(tblBuckets[الفترة],3),IF($M67="v",TEXT(SUMIFS(tblInv[المتبقي],tblInv[كود العميل],StCust,tblInv[الفترة],INDEX(tblBuckets[الفترة],3)),"#,##0.00;-#,##0.00;-"),"")))</f>
        <v/>
      </c>
      <c r="D67" s="118">
        <f>IF($M67="m",IF($N67&lt;&gt;"","فاتورة مبيعات — استحقاق "&amp;TEXT(INDEX(tblInv[تاريخ الاستحقاق],$N67),"dd/mm/yyyy")&amp;IF(INDEX(tblInv[ملاحظات],$N67)&amp;""&lt;&gt;""," — "&amp;INDEX(tblInv[ملاحظات],$N67),""),INDEX(tblRec[النوع],$O67)&amp;IF(INDEX(tblRec[طريقة الدفع],$O67)&amp;""&lt;&gt;""," ("&amp;INDEX(tblRec[طريقة الدفع],$O67)&amp;")","")&amp;IF(INDEX(tblRec[رقم الفاتورة],$O67)&amp;""&lt;&gt;""," — عن فاتورة "&amp;INDEX(tblRec[رقم الفاتورة],$O67)," — دفعة على الحساب")),IF($M67="l",INDEX(tblBuckets[الفترة],4),IF($M67="v",TEXT(SUMIFS(tblInv[المتبقي],tblInv[كود العميل],StCust,tblInv[الفترة],INDEX(tblBuckets[الفترة],4)),"#,##0.00;-#,##0.00;-"),IF($M67="t","ملخص أعمار رصيد العميل كما في "&amp;TEXT(AsOf,"dd/mm/yyyy"),IF($M67="p","يُرجى مطابقة الرصيد وإفادتنا خلال 15 يوماً، وإلا اعتُبر الرصيد صحيحاً.","")))))</f>
        <v/>
      </c>
      <c r="E67" s="119">
        <f>IF($M67="m",IF($N67&lt;&gt;"",INDEX(tblInv[الإجمالي],$N67),0),IF($M67="l",INDEX(tblBuckets[الفترة],5),IF($M67="v",TEXT(SUMIFS(tblInv[المتبقي],tblInv[كود العميل],StCust,tblInv[الفترة],INDEX(tblBuckets[الفترة],5)),"#,##0.00;-#,##0.00;-"),"")))</f>
        <v/>
      </c>
      <c r="F67" s="119">
        <f>IF($M67="m",IF($O67&lt;&gt;"",INDEX(tblRec[المبلغ],$O67),0),IF($M67="l",INDEX(tblBuckets[الفترة],6),IF($M67="v",TEXT(SUMIFS(tblInv[المتبقي],tblInv[كود العميل],StCust,tblInv[الفترة],INDEX(tblBuckets[الفترة],6)),"#,##0.00;-#,##0.00;-"),"")))</f>
        <v/>
      </c>
      <c r="G67" s="120">
        <f>IF($M67="m",N(G66)+E67-F67,IF($M67="l",INDEX(tblBuckets[الفترة],7),IF($M67="v",TEXT(SUMIFS(tblInv[المتبقي],tblInv[كود العميل],StCust,tblInv[الفترة],INDEX(tblBuckets[الفترة],7)),"#,##0.00;-#,##0.00;-"),"")))</f>
        <v/>
      </c>
      <c r="L67" t="n">
        <v>62</v>
      </c>
      <c r="M67">
        <f>IF(L67&lt;=StCount,"m",IF(L67=StCount+2,"t",IF(L67=StCount+3,"l",IF(L67=StCount+4,"v",IF(L67=StCount+6,"p","")))))</f>
        <v/>
      </c>
      <c r="N67">
        <f>IF(M67="m",IFERROR(MATCH(L67,tblInv[ترتيب الكشف],0),""),"")</f>
        <v/>
      </c>
      <c r="O67">
        <f>IF(AND(M67="m",N67=""),IFERROR(MATCH(L67,tblRec[ترتيب الكشف],0),""),"")</f>
        <v/>
      </c>
    </row>
    <row r="68">
      <c r="A68" s="117">
        <f>IF($M68="m",IF($N68&lt;&gt;"",INDEX(tblInv[تاريخ الفاتورة],$N68),INDEX(tblRec[التاريخ],$O68)),IF($M68="l",INDEX(tblBuckets[الفترة],1),IF($M68="v",TEXT(SUMIFS(tblInv[المتبقي],tblInv[كود العميل],StCust,tblInv[الفترة],INDEX(tblBuckets[الفترة],1)),"#,##0.00;-#,##0.00;-"),"")))</f>
        <v/>
      </c>
      <c r="B68" s="83">
        <f>IF($M68="m",IF($N68&lt;&gt;"","فاتورة",INDEX(tblRec[النوع],$O68)),IF($M68="l",INDEX(tblBuckets[الفترة],2),IF($M68="v",TEXT(SUMIFS(tblInv[المتبقي],tblInv[كود العميل],StCust,tblInv[الفترة],INDEX(tblBuckets[الفترة],2)),"#,##0.00;-#,##0.00;-"),"")))</f>
        <v/>
      </c>
      <c r="C68" s="83">
        <f>IF($M68="m",IF($N68&lt;&gt;"",INDEX(tblInv[رقم الفاتورة],$N68),INDEX(tblRec[رقم السند],$O68)),IF($M68="l",INDEX(tblBuckets[الفترة],3),IF($M68="v",TEXT(SUMIFS(tblInv[المتبقي],tblInv[كود العميل],StCust,tblInv[الفترة],INDEX(tblBuckets[الفترة],3)),"#,##0.00;-#,##0.00;-"),"")))</f>
        <v/>
      </c>
      <c r="D68" s="118">
        <f>IF($M68="m",IF($N68&lt;&gt;"","فاتورة مبيعات — استحقاق "&amp;TEXT(INDEX(tblInv[تاريخ الاستحقاق],$N68),"dd/mm/yyyy")&amp;IF(INDEX(tblInv[ملاحظات],$N68)&amp;""&lt;&gt;""," — "&amp;INDEX(tblInv[ملاحظات],$N68),""),INDEX(tblRec[النوع],$O68)&amp;IF(INDEX(tblRec[طريقة الدفع],$O68)&amp;""&lt;&gt;""," ("&amp;INDEX(tblRec[طريقة الدفع],$O68)&amp;")","")&amp;IF(INDEX(tblRec[رقم الفاتورة],$O68)&amp;""&lt;&gt;""," — عن فاتورة "&amp;INDEX(tblRec[رقم الفاتورة],$O68)," — دفعة على الحساب")),IF($M68="l",INDEX(tblBuckets[الفترة],4),IF($M68="v",TEXT(SUMIFS(tblInv[المتبقي],tblInv[كود العميل],StCust,tblInv[الفترة],INDEX(tblBuckets[الفترة],4)),"#,##0.00;-#,##0.00;-"),IF($M68="t","ملخص أعمار رصيد العميل كما في "&amp;TEXT(AsOf,"dd/mm/yyyy"),IF($M68="p","يُرجى مطابقة الرصيد وإفادتنا خلال 15 يوماً، وإلا اعتُبر الرصيد صحيحاً.","")))))</f>
        <v/>
      </c>
      <c r="E68" s="119">
        <f>IF($M68="m",IF($N68&lt;&gt;"",INDEX(tblInv[الإجمالي],$N68),0),IF($M68="l",INDEX(tblBuckets[الفترة],5),IF($M68="v",TEXT(SUMIFS(tblInv[المتبقي],tblInv[كود العميل],StCust,tblInv[الفترة],INDEX(tblBuckets[الفترة],5)),"#,##0.00;-#,##0.00;-"),"")))</f>
        <v/>
      </c>
      <c r="F68" s="119">
        <f>IF($M68="m",IF($O68&lt;&gt;"",INDEX(tblRec[المبلغ],$O68),0),IF($M68="l",INDEX(tblBuckets[الفترة],6),IF($M68="v",TEXT(SUMIFS(tblInv[المتبقي],tblInv[كود العميل],StCust,tblInv[الفترة],INDEX(tblBuckets[الفترة],6)),"#,##0.00;-#,##0.00;-"),"")))</f>
        <v/>
      </c>
      <c r="G68" s="120">
        <f>IF($M68="m",N(G67)+E68-F68,IF($M68="l",INDEX(tblBuckets[الفترة],7),IF($M68="v",TEXT(SUMIFS(tblInv[المتبقي],tblInv[كود العميل],StCust,tblInv[الفترة],INDEX(tblBuckets[الفترة],7)),"#,##0.00;-#,##0.00;-"),"")))</f>
        <v/>
      </c>
      <c r="L68" t="n">
        <v>63</v>
      </c>
      <c r="M68">
        <f>IF(L68&lt;=StCount,"m",IF(L68=StCount+2,"t",IF(L68=StCount+3,"l",IF(L68=StCount+4,"v",IF(L68=StCount+6,"p","")))))</f>
        <v/>
      </c>
      <c r="N68">
        <f>IF(M68="m",IFERROR(MATCH(L68,tblInv[ترتيب الكشف],0),""),"")</f>
        <v/>
      </c>
      <c r="O68">
        <f>IF(AND(M68="m",N68=""),IFERROR(MATCH(L68,tblRec[ترتيب الكشف],0),""),"")</f>
        <v/>
      </c>
    </row>
    <row r="69">
      <c r="A69" s="117">
        <f>IF($M69="m",IF($N69&lt;&gt;"",INDEX(tblInv[تاريخ الفاتورة],$N69),INDEX(tblRec[التاريخ],$O69)),IF($M69="l",INDEX(tblBuckets[الفترة],1),IF($M69="v",TEXT(SUMIFS(tblInv[المتبقي],tblInv[كود العميل],StCust,tblInv[الفترة],INDEX(tblBuckets[الفترة],1)),"#,##0.00;-#,##0.00;-"),"")))</f>
        <v/>
      </c>
      <c r="B69" s="83">
        <f>IF($M69="m",IF($N69&lt;&gt;"","فاتورة",INDEX(tblRec[النوع],$O69)),IF($M69="l",INDEX(tblBuckets[الفترة],2),IF($M69="v",TEXT(SUMIFS(tblInv[المتبقي],tblInv[كود العميل],StCust,tblInv[الفترة],INDEX(tblBuckets[الفترة],2)),"#,##0.00;-#,##0.00;-"),"")))</f>
        <v/>
      </c>
      <c r="C69" s="83">
        <f>IF($M69="m",IF($N69&lt;&gt;"",INDEX(tblInv[رقم الفاتورة],$N69),INDEX(tblRec[رقم السند],$O69)),IF($M69="l",INDEX(tblBuckets[الفترة],3),IF($M69="v",TEXT(SUMIFS(tblInv[المتبقي],tblInv[كود العميل],StCust,tblInv[الفترة],INDEX(tblBuckets[الفترة],3)),"#,##0.00;-#,##0.00;-"),"")))</f>
        <v/>
      </c>
      <c r="D69" s="118">
        <f>IF($M69="m",IF($N69&lt;&gt;"","فاتورة مبيعات — استحقاق "&amp;TEXT(INDEX(tblInv[تاريخ الاستحقاق],$N69),"dd/mm/yyyy")&amp;IF(INDEX(tblInv[ملاحظات],$N69)&amp;""&lt;&gt;""," — "&amp;INDEX(tblInv[ملاحظات],$N69),""),INDEX(tblRec[النوع],$O69)&amp;IF(INDEX(tblRec[طريقة الدفع],$O69)&amp;""&lt;&gt;""," ("&amp;INDEX(tblRec[طريقة الدفع],$O69)&amp;")","")&amp;IF(INDEX(tblRec[رقم الفاتورة],$O69)&amp;""&lt;&gt;""," — عن فاتورة "&amp;INDEX(tblRec[رقم الفاتورة],$O69)," — دفعة على الحساب")),IF($M69="l",INDEX(tblBuckets[الفترة],4),IF($M69="v",TEXT(SUMIFS(tblInv[المتبقي],tblInv[كود العميل],StCust,tblInv[الفترة],INDEX(tblBuckets[الفترة],4)),"#,##0.00;-#,##0.00;-"),IF($M69="t","ملخص أعمار رصيد العميل كما في "&amp;TEXT(AsOf,"dd/mm/yyyy"),IF($M69="p","يُرجى مطابقة الرصيد وإفادتنا خلال 15 يوماً، وإلا اعتُبر الرصيد صحيحاً.","")))))</f>
        <v/>
      </c>
      <c r="E69" s="119">
        <f>IF($M69="m",IF($N69&lt;&gt;"",INDEX(tblInv[الإجمالي],$N69),0),IF($M69="l",INDEX(tblBuckets[الفترة],5),IF($M69="v",TEXT(SUMIFS(tblInv[المتبقي],tblInv[كود العميل],StCust,tblInv[الفترة],INDEX(tblBuckets[الفترة],5)),"#,##0.00;-#,##0.00;-"),"")))</f>
        <v/>
      </c>
      <c r="F69" s="119">
        <f>IF($M69="m",IF($O69&lt;&gt;"",INDEX(tblRec[المبلغ],$O69),0),IF($M69="l",INDEX(tblBuckets[الفترة],6),IF($M69="v",TEXT(SUMIFS(tblInv[المتبقي],tblInv[كود العميل],StCust,tblInv[الفترة],INDEX(tblBuckets[الفترة],6)),"#,##0.00;-#,##0.00;-"),"")))</f>
        <v/>
      </c>
      <c r="G69" s="120">
        <f>IF($M69="m",N(G68)+E69-F69,IF($M69="l",INDEX(tblBuckets[الفترة],7),IF($M69="v",TEXT(SUMIFS(tblInv[المتبقي],tblInv[كود العميل],StCust,tblInv[الفترة],INDEX(tblBuckets[الفترة],7)),"#,##0.00;-#,##0.00;-"),"")))</f>
        <v/>
      </c>
      <c r="L69" t="n">
        <v>64</v>
      </c>
      <c r="M69">
        <f>IF(L69&lt;=StCount,"m",IF(L69=StCount+2,"t",IF(L69=StCount+3,"l",IF(L69=StCount+4,"v",IF(L69=StCount+6,"p","")))))</f>
        <v/>
      </c>
      <c r="N69">
        <f>IF(M69="m",IFERROR(MATCH(L69,tblInv[ترتيب الكشف],0),""),"")</f>
        <v/>
      </c>
      <c r="O69">
        <f>IF(AND(M69="m",N69=""),IFERROR(MATCH(L69,tblRec[ترتيب الكشف],0),""),"")</f>
        <v/>
      </c>
    </row>
    <row r="70">
      <c r="A70" s="117">
        <f>IF($M70="m",IF($N70&lt;&gt;"",INDEX(tblInv[تاريخ الفاتورة],$N70),INDEX(tblRec[التاريخ],$O70)),IF($M70="l",INDEX(tblBuckets[الفترة],1),IF($M70="v",TEXT(SUMIFS(tblInv[المتبقي],tblInv[كود العميل],StCust,tblInv[الفترة],INDEX(tblBuckets[الفترة],1)),"#,##0.00;-#,##0.00;-"),"")))</f>
        <v/>
      </c>
      <c r="B70" s="83">
        <f>IF($M70="m",IF($N70&lt;&gt;"","فاتورة",INDEX(tblRec[النوع],$O70)),IF($M70="l",INDEX(tblBuckets[الفترة],2),IF($M70="v",TEXT(SUMIFS(tblInv[المتبقي],tblInv[كود العميل],StCust,tblInv[الفترة],INDEX(tblBuckets[الفترة],2)),"#,##0.00;-#,##0.00;-"),"")))</f>
        <v/>
      </c>
      <c r="C70" s="83">
        <f>IF($M70="m",IF($N70&lt;&gt;"",INDEX(tblInv[رقم الفاتورة],$N70),INDEX(tblRec[رقم السند],$O70)),IF($M70="l",INDEX(tblBuckets[الفترة],3),IF($M70="v",TEXT(SUMIFS(tblInv[المتبقي],tblInv[كود العميل],StCust,tblInv[الفترة],INDEX(tblBuckets[الفترة],3)),"#,##0.00;-#,##0.00;-"),"")))</f>
        <v/>
      </c>
      <c r="D70" s="118">
        <f>IF($M70="m",IF($N70&lt;&gt;"","فاتورة مبيعات — استحقاق "&amp;TEXT(INDEX(tblInv[تاريخ الاستحقاق],$N70),"dd/mm/yyyy")&amp;IF(INDEX(tblInv[ملاحظات],$N70)&amp;""&lt;&gt;""," — "&amp;INDEX(tblInv[ملاحظات],$N70),""),INDEX(tblRec[النوع],$O70)&amp;IF(INDEX(tblRec[طريقة الدفع],$O70)&amp;""&lt;&gt;""," ("&amp;INDEX(tblRec[طريقة الدفع],$O70)&amp;")","")&amp;IF(INDEX(tblRec[رقم الفاتورة],$O70)&amp;""&lt;&gt;""," — عن فاتورة "&amp;INDEX(tblRec[رقم الفاتورة],$O70)," — دفعة على الحساب")),IF($M70="l",INDEX(tblBuckets[الفترة],4),IF($M70="v",TEXT(SUMIFS(tblInv[المتبقي],tblInv[كود العميل],StCust,tblInv[الفترة],INDEX(tblBuckets[الفترة],4)),"#,##0.00;-#,##0.00;-"),IF($M70="t","ملخص أعمار رصيد العميل كما في "&amp;TEXT(AsOf,"dd/mm/yyyy"),IF($M70="p","يُرجى مطابقة الرصيد وإفادتنا خلال 15 يوماً، وإلا اعتُبر الرصيد صحيحاً.","")))))</f>
        <v/>
      </c>
      <c r="E70" s="119">
        <f>IF($M70="m",IF($N70&lt;&gt;"",INDEX(tblInv[الإجمالي],$N70),0),IF($M70="l",INDEX(tblBuckets[الفترة],5),IF($M70="v",TEXT(SUMIFS(tblInv[المتبقي],tblInv[كود العميل],StCust,tblInv[الفترة],INDEX(tblBuckets[الفترة],5)),"#,##0.00;-#,##0.00;-"),"")))</f>
        <v/>
      </c>
      <c r="F70" s="119">
        <f>IF($M70="m",IF($O70&lt;&gt;"",INDEX(tblRec[المبلغ],$O70),0),IF($M70="l",INDEX(tblBuckets[الفترة],6),IF($M70="v",TEXT(SUMIFS(tblInv[المتبقي],tblInv[كود العميل],StCust,tblInv[الفترة],INDEX(tblBuckets[الفترة],6)),"#,##0.00;-#,##0.00;-"),"")))</f>
        <v/>
      </c>
      <c r="G70" s="120">
        <f>IF($M70="m",N(G69)+E70-F70,IF($M70="l",INDEX(tblBuckets[الفترة],7),IF($M70="v",TEXT(SUMIFS(tblInv[المتبقي],tblInv[كود العميل],StCust,tblInv[الفترة],INDEX(tblBuckets[الفترة],7)),"#,##0.00;-#,##0.00;-"),"")))</f>
        <v/>
      </c>
      <c r="L70" t="n">
        <v>65</v>
      </c>
      <c r="M70">
        <f>IF(L70&lt;=StCount,"m",IF(L70=StCount+2,"t",IF(L70=StCount+3,"l",IF(L70=StCount+4,"v",IF(L70=StCount+6,"p","")))))</f>
        <v/>
      </c>
      <c r="N70">
        <f>IF(M70="m",IFERROR(MATCH(L70,tblInv[ترتيب الكشف],0),""),"")</f>
        <v/>
      </c>
      <c r="O70">
        <f>IF(AND(M70="m",N70=""),IFERROR(MATCH(L70,tblRec[ترتيب الكشف],0),""),"")</f>
        <v/>
      </c>
    </row>
    <row r="71">
      <c r="A71" s="117">
        <f>IF($M71="m",IF($N71&lt;&gt;"",INDEX(tblInv[تاريخ الفاتورة],$N71),INDEX(tblRec[التاريخ],$O71)),IF($M71="l",INDEX(tblBuckets[الفترة],1),IF($M71="v",TEXT(SUMIFS(tblInv[المتبقي],tblInv[كود العميل],StCust,tblInv[الفترة],INDEX(tblBuckets[الفترة],1)),"#,##0.00;-#,##0.00;-"),"")))</f>
        <v/>
      </c>
      <c r="B71" s="83">
        <f>IF($M71="m",IF($N71&lt;&gt;"","فاتورة",INDEX(tblRec[النوع],$O71)),IF($M71="l",INDEX(tblBuckets[الفترة],2),IF($M71="v",TEXT(SUMIFS(tblInv[المتبقي],tblInv[كود العميل],StCust,tblInv[الفترة],INDEX(tblBuckets[الفترة],2)),"#,##0.00;-#,##0.00;-"),"")))</f>
        <v/>
      </c>
      <c r="C71" s="83">
        <f>IF($M71="m",IF($N71&lt;&gt;"",INDEX(tblInv[رقم الفاتورة],$N71),INDEX(tblRec[رقم السند],$O71)),IF($M71="l",INDEX(tblBuckets[الفترة],3),IF($M71="v",TEXT(SUMIFS(tblInv[المتبقي],tblInv[كود العميل],StCust,tblInv[الفترة],INDEX(tblBuckets[الفترة],3)),"#,##0.00;-#,##0.00;-"),"")))</f>
        <v/>
      </c>
      <c r="D71" s="118">
        <f>IF($M71="m",IF($N71&lt;&gt;"","فاتورة مبيعات — استحقاق "&amp;TEXT(INDEX(tblInv[تاريخ الاستحقاق],$N71),"dd/mm/yyyy")&amp;IF(INDEX(tblInv[ملاحظات],$N71)&amp;""&lt;&gt;""," — "&amp;INDEX(tblInv[ملاحظات],$N71),""),INDEX(tblRec[النوع],$O71)&amp;IF(INDEX(tblRec[طريقة الدفع],$O71)&amp;""&lt;&gt;""," ("&amp;INDEX(tblRec[طريقة الدفع],$O71)&amp;")","")&amp;IF(INDEX(tblRec[رقم الفاتورة],$O71)&amp;""&lt;&gt;""," — عن فاتورة "&amp;INDEX(tblRec[رقم الفاتورة],$O71)," — دفعة على الحساب")),IF($M71="l",INDEX(tblBuckets[الفترة],4),IF($M71="v",TEXT(SUMIFS(tblInv[المتبقي],tblInv[كود العميل],StCust,tblInv[الفترة],INDEX(tblBuckets[الفترة],4)),"#,##0.00;-#,##0.00;-"),IF($M71="t","ملخص أعمار رصيد العميل كما في "&amp;TEXT(AsOf,"dd/mm/yyyy"),IF($M71="p","يُرجى مطابقة الرصيد وإفادتنا خلال 15 يوماً، وإلا اعتُبر الرصيد صحيحاً.","")))))</f>
        <v/>
      </c>
      <c r="E71" s="119">
        <f>IF($M71="m",IF($N71&lt;&gt;"",INDEX(tblInv[الإجمالي],$N71),0),IF($M71="l",INDEX(tblBuckets[الفترة],5),IF($M71="v",TEXT(SUMIFS(tblInv[المتبقي],tblInv[كود العميل],StCust,tblInv[الفترة],INDEX(tblBuckets[الفترة],5)),"#,##0.00;-#,##0.00;-"),"")))</f>
        <v/>
      </c>
      <c r="F71" s="119">
        <f>IF($M71="m",IF($O71&lt;&gt;"",INDEX(tblRec[المبلغ],$O71),0),IF($M71="l",INDEX(tblBuckets[الفترة],6),IF($M71="v",TEXT(SUMIFS(tblInv[المتبقي],tblInv[كود العميل],StCust,tblInv[الفترة],INDEX(tblBuckets[الفترة],6)),"#,##0.00;-#,##0.00;-"),"")))</f>
        <v/>
      </c>
      <c r="G71" s="120">
        <f>IF($M71="m",N(G70)+E71-F71,IF($M71="l",INDEX(tblBuckets[الفترة],7),IF($M71="v",TEXT(SUMIFS(tblInv[المتبقي],tblInv[كود العميل],StCust,tblInv[الفترة],INDEX(tblBuckets[الفترة],7)),"#,##0.00;-#,##0.00;-"),"")))</f>
        <v/>
      </c>
      <c r="L71" t="n">
        <v>66</v>
      </c>
      <c r="M71">
        <f>IF(L71&lt;=StCount,"m",IF(L71=StCount+2,"t",IF(L71=StCount+3,"l",IF(L71=StCount+4,"v",IF(L71=StCount+6,"p","")))))</f>
        <v/>
      </c>
      <c r="N71">
        <f>IF(M71="m",IFERROR(MATCH(L71,tblInv[ترتيب الكشف],0),""),"")</f>
        <v/>
      </c>
      <c r="O71">
        <f>IF(AND(M71="m",N71=""),IFERROR(MATCH(L71,tblRec[ترتيب الكشف],0),""),"")</f>
        <v/>
      </c>
    </row>
    <row r="72">
      <c r="A72" s="117">
        <f>IF($M72="m",IF($N72&lt;&gt;"",INDEX(tblInv[تاريخ الفاتورة],$N72),INDEX(tblRec[التاريخ],$O72)),IF($M72="l",INDEX(tblBuckets[الفترة],1),IF($M72="v",TEXT(SUMIFS(tblInv[المتبقي],tblInv[كود العميل],StCust,tblInv[الفترة],INDEX(tblBuckets[الفترة],1)),"#,##0.00;-#,##0.00;-"),"")))</f>
        <v/>
      </c>
      <c r="B72" s="83">
        <f>IF($M72="m",IF($N72&lt;&gt;"","فاتورة",INDEX(tblRec[النوع],$O72)),IF($M72="l",INDEX(tblBuckets[الفترة],2),IF($M72="v",TEXT(SUMIFS(tblInv[المتبقي],tblInv[كود العميل],StCust,tblInv[الفترة],INDEX(tblBuckets[الفترة],2)),"#,##0.00;-#,##0.00;-"),"")))</f>
        <v/>
      </c>
      <c r="C72" s="83">
        <f>IF($M72="m",IF($N72&lt;&gt;"",INDEX(tblInv[رقم الفاتورة],$N72),INDEX(tblRec[رقم السند],$O72)),IF($M72="l",INDEX(tblBuckets[الفترة],3),IF($M72="v",TEXT(SUMIFS(tblInv[المتبقي],tblInv[كود العميل],StCust,tblInv[الفترة],INDEX(tblBuckets[الفترة],3)),"#,##0.00;-#,##0.00;-"),"")))</f>
        <v/>
      </c>
      <c r="D72" s="118">
        <f>IF($M72="m",IF($N72&lt;&gt;"","فاتورة مبيعات — استحقاق "&amp;TEXT(INDEX(tblInv[تاريخ الاستحقاق],$N72),"dd/mm/yyyy")&amp;IF(INDEX(tblInv[ملاحظات],$N72)&amp;""&lt;&gt;""," — "&amp;INDEX(tblInv[ملاحظات],$N72),""),INDEX(tblRec[النوع],$O72)&amp;IF(INDEX(tblRec[طريقة الدفع],$O72)&amp;""&lt;&gt;""," ("&amp;INDEX(tblRec[طريقة الدفع],$O72)&amp;")","")&amp;IF(INDEX(tblRec[رقم الفاتورة],$O72)&amp;""&lt;&gt;""," — عن فاتورة "&amp;INDEX(tblRec[رقم الفاتورة],$O72)," — دفعة على الحساب")),IF($M72="l",INDEX(tblBuckets[الفترة],4),IF($M72="v",TEXT(SUMIFS(tblInv[المتبقي],tblInv[كود العميل],StCust,tblInv[الفترة],INDEX(tblBuckets[الفترة],4)),"#,##0.00;-#,##0.00;-"),IF($M72="t","ملخص أعمار رصيد العميل كما في "&amp;TEXT(AsOf,"dd/mm/yyyy"),IF($M72="p","يُرجى مطابقة الرصيد وإفادتنا خلال 15 يوماً، وإلا اعتُبر الرصيد صحيحاً.","")))))</f>
        <v/>
      </c>
      <c r="E72" s="119">
        <f>IF($M72="m",IF($N72&lt;&gt;"",INDEX(tblInv[الإجمالي],$N72),0),IF($M72="l",INDEX(tblBuckets[الفترة],5),IF($M72="v",TEXT(SUMIFS(tblInv[المتبقي],tblInv[كود العميل],StCust,tblInv[الفترة],INDEX(tblBuckets[الفترة],5)),"#,##0.00;-#,##0.00;-"),"")))</f>
        <v/>
      </c>
      <c r="F72" s="119">
        <f>IF($M72="m",IF($O72&lt;&gt;"",INDEX(tblRec[المبلغ],$O72),0),IF($M72="l",INDEX(tblBuckets[الفترة],6),IF($M72="v",TEXT(SUMIFS(tblInv[المتبقي],tblInv[كود العميل],StCust,tblInv[الفترة],INDEX(tblBuckets[الفترة],6)),"#,##0.00;-#,##0.00;-"),"")))</f>
        <v/>
      </c>
      <c r="G72" s="120">
        <f>IF($M72="m",N(G71)+E72-F72,IF($M72="l",INDEX(tblBuckets[الفترة],7),IF($M72="v",TEXT(SUMIFS(tblInv[المتبقي],tblInv[كود العميل],StCust,tblInv[الفترة],INDEX(tblBuckets[الفترة],7)),"#,##0.00;-#,##0.00;-"),"")))</f>
        <v/>
      </c>
      <c r="L72" t="n">
        <v>67</v>
      </c>
      <c r="M72">
        <f>IF(L72&lt;=StCount,"m",IF(L72=StCount+2,"t",IF(L72=StCount+3,"l",IF(L72=StCount+4,"v",IF(L72=StCount+6,"p","")))))</f>
        <v/>
      </c>
      <c r="N72">
        <f>IF(M72="m",IFERROR(MATCH(L72,tblInv[ترتيب الكشف],0),""),"")</f>
        <v/>
      </c>
      <c r="O72">
        <f>IF(AND(M72="m",N72=""),IFERROR(MATCH(L72,tblRec[ترتيب الكشف],0),""),"")</f>
        <v/>
      </c>
    </row>
    <row r="73">
      <c r="A73" s="117">
        <f>IF($M73="m",IF($N73&lt;&gt;"",INDEX(tblInv[تاريخ الفاتورة],$N73),INDEX(tblRec[التاريخ],$O73)),IF($M73="l",INDEX(tblBuckets[الفترة],1),IF($M73="v",TEXT(SUMIFS(tblInv[المتبقي],tblInv[كود العميل],StCust,tblInv[الفترة],INDEX(tblBuckets[الفترة],1)),"#,##0.00;-#,##0.00;-"),"")))</f>
        <v/>
      </c>
      <c r="B73" s="83">
        <f>IF($M73="m",IF($N73&lt;&gt;"","فاتورة",INDEX(tblRec[النوع],$O73)),IF($M73="l",INDEX(tblBuckets[الفترة],2),IF($M73="v",TEXT(SUMIFS(tblInv[المتبقي],tblInv[كود العميل],StCust,tblInv[الفترة],INDEX(tblBuckets[الفترة],2)),"#,##0.00;-#,##0.00;-"),"")))</f>
        <v/>
      </c>
      <c r="C73" s="83">
        <f>IF($M73="m",IF($N73&lt;&gt;"",INDEX(tblInv[رقم الفاتورة],$N73),INDEX(tblRec[رقم السند],$O73)),IF($M73="l",INDEX(tblBuckets[الفترة],3),IF($M73="v",TEXT(SUMIFS(tblInv[المتبقي],tblInv[كود العميل],StCust,tblInv[الفترة],INDEX(tblBuckets[الفترة],3)),"#,##0.00;-#,##0.00;-"),"")))</f>
        <v/>
      </c>
      <c r="D73" s="118">
        <f>IF($M73="m",IF($N73&lt;&gt;"","فاتورة مبيعات — استحقاق "&amp;TEXT(INDEX(tblInv[تاريخ الاستحقاق],$N73),"dd/mm/yyyy")&amp;IF(INDEX(tblInv[ملاحظات],$N73)&amp;""&lt;&gt;""," — "&amp;INDEX(tblInv[ملاحظات],$N73),""),INDEX(tblRec[النوع],$O73)&amp;IF(INDEX(tblRec[طريقة الدفع],$O73)&amp;""&lt;&gt;""," ("&amp;INDEX(tblRec[طريقة الدفع],$O73)&amp;")","")&amp;IF(INDEX(tblRec[رقم الفاتورة],$O73)&amp;""&lt;&gt;""," — عن فاتورة "&amp;INDEX(tblRec[رقم الفاتورة],$O73)," — دفعة على الحساب")),IF($M73="l",INDEX(tblBuckets[الفترة],4),IF($M73="v",TEXT(SUMIFS(tblInv[المتبقي],tblInv[كود العميل],StCust,tblInv[الفترة],INDEX(tblBuckets[الفترة],4)),"#,##0.00;-#,##0.00;-"),IF($M73="t","ملخص أعمار رصيد العميل كما في "&amp;TEXT(AsOf,"dd/mm/yyyy"),IF($M73="p","يُرجى مطابقة الرصيد وإفادتنا خلال 15 يوماً، وإلا اعتُبر الرصيد صحيحاً.","")))))</f>
        <v/>
      </c>
      <c r="E73" s="119">
        <f>IF($M73="m",IF($N73&lt;&gt;"",INDEX(tblInv[الإجمالي],$N73),0),IF($M73="l",INDEX(tblBuckets[الفترة],5),IF($M73="v",TEXT(SUMIFS(tblInv[المتبقي],tblInv[كود العميل],StCust,tblInv[الفترة],INDEX(tblBuckets[الفترة],5)),"#,##0.00;-#,##0.00;-"),"")))</f>
        <v/>
      </c>
      <c r="F73" s="119">
        <f>IF($M73="m",IF($O73&lt;&gt;"",INDEX(tblRec[المبلغ],$O73),0),IF($M73="l",INDEX(tblBuckets[الفترة],6),IF($M73="v",TEXT(SUMIFS(tblInv[المتبقي],tblInv[كود العميل],StCust,tblInv[الفترة],INDEX(tblBuckets[الفترة],6)),"#,##0.00;-#,##0.00;-"),"")))</f>
        <v/>
      </c>
      <c r="G73" s="120">
        <f>IF($M73="m",N(G72)+E73-F73,IF($M73="l",INDEX(tblBuckets[الفترة],7),IF($M73="v",TEXT(SUMIFS(tblInv[المتبقي],tblInv[كود العميل],StCust,tblInv[الفترة],INDEX(tblBuckets[الفترة],7)),"#,##0.00;-#,##0.00;-"),"")))</f>
        <v/>
      </c>
      <c r="L73" t="n">
        <v>68</v>
      </c>
      <c r="M73">
        <f>IF(L73&lt;=StCount,"m",IF(L73=StCount+2,"t",IF(L73=StCount+3,"l",IF(L73=StCount+4,"v",IF(L73=StCount+6,"p","")))))</f>
        <v/>
      </c>
      <c r="N73">
        <f>IF(M73="m",IFERROR(MATCH(L73,tblInv[ترتيب الكشف],0),""),"")</f>
        <v/>
      </c>
      <c r="O73">
        <f>IF(AND(M73="m",N73=""),IFERROR(MATCH(L73,tblRec[ترتيب الكشف],0),""),"")</f>
        <v/>
      </c>
    </row>
    <row r="74">
      <c r="A74" s="117">
        <f>IF($M74="m",IF($N74&lt;&gt;"",INDEX(tblInv[تاريخ الفاتورة],$N74),INDEX(tblRec[التاريخ],$O74)),IF($M74="l",INDEX(tblBuckets[الفترة],1),IF($M74="v",TEXT(SUMIFS(tblInv[المتبقي],tblInv[كود العميل],StCust,tblInv[الفترة],INDEX(tblBuckets[الفترة],1)),"#,##0.00;-#,##0.00;-"),"")))</f>
        <v/>
      </c>
      <c r="B74" s="83">
        <f>IF($M74="m",IF($N74&lt;&gt;"","فاتورة",INDEX(tblRec[النوع],$O74)),IF($M74="l",INDEX(tblBuckets[الفترة],2),IF($M74="v",TEXT(SUMIFS(tblInv[المتبقي],tblInv[كود العميل],StCust,tblInv[الفترة],INDEX(tblBuckets[الفترة],2)),"#,##0.00;-#,##0.00;-"),"")))</f>
        <v/>
      </c>
      <c r="C74" s="83">
        <f>IF($M74="m",IF($N74&lt;&gt;"",INDEX(tblInv[رقم الفاتورة],$N74),INDEX(tblRec[رقم السند],$O74)),IF($M74="l",INDEX(tblBuckets[الفترة],3),IF($M74="v",TEXT(SUMIFS(tblInv[المتبقي],tblInv[كود العميل],StCust,tblInv[الفترة],INDEX(tblBuckets[الفترة],3)),"#,##0.00;-#,##0.00;-"),"")))</f>
        <v/>
      </c>
      <c r="D74" s="118">
        <f>IF($M74="m",IF($N74&lt;&gt;"","فاتورة مبيعات — استحقاق "&amp;TEXT(INDEX(tblInv[تاريخ الاستحقاق],$N74),"dd/mm/yyyy")&amp;IF(INDEX(tblInv[ملاحظات],$N74)&amp;""&lt;&gt;""," — "&amp;INDEX(tblInv[ملاحظات],$N74),""),INDEX(tblRec[النوع],$O74)&amp;IF(INDEX(tblRec[طريقة الدفع],$O74)&amp;""&lt;&gt;""," ("&amp;INDEX(tblRec[طريقة الدفع],$O74)&amp;")","")&amp;IF(INDEX(tblRec[رقم الفاتورة],$O74)&amp;""&lt;&gt;""," — عن فاتورة "&amp;INDEX(tblRec[رقم الفاتورة],$O74)," — دفعة على الحساب")),IF($M74="l",INDEX(tblBuckets[الفترة],4),IF($M74="v",TEXT(SUMIFS(tblInv[المتبقي],tblInv[كود العميل],StCust,tblInv[الفترة],INDEX(tblBuckets[الفترة],4)),"#,##0.00;-#,##0.00;-"),IF($M74="t","ملخص أعمار رصيد العميل كما في "&amp;TEXT(AsOf,"dd/mm/yyyy"),IF($M74="p","يُرجى مطابقة الرصيد وإفادتنا خلال 15 يوماً، وإلا اعتُبر الرصيد صحيحاً.","")))))</f>
        <v/>
      </c>
      <c r="E74" s="119">
        <f>IF($M74="m",IF($N74&lt;&gt;"",INDEX(tblInv[الإجمالي],$N74),0),IF($M74="l",INDEX(tblBuckets[الفترة],5),IF($M74="v",TEXT(SUMIFS(tblInv[المتبقي],tblInv[كود العميل],StCust,tblInv[الفترة],INDEX(tblBuckets[الفترة],5)),"#,##0.00;-#,##0.00;-"),"")))</f>
        <v/>
      </c>
      <c r="F74" s="119">
        <f>IF($M74="m",IF($O74&lt;&gt;"",INDEX(tblRec[المبلغ],$O74),0),IF($M74="l",INDEX(tblBuckets[الفترة],6),IF($M74="v",TEXT(SUMIFS(tblInv[المتبقي],tblInv[كود العميل],StCust,tblInv[الفترة],INDEX(tblBuckets[الفترة],6)),"#,##0.00;-#,##0.00;-"),"")))</f>
        <v/>
      </c>
      <c r="G74" s="120">
        <f>IF($M74="m",N(G73)+E74-F74,IF($M74="l",INDEX(tblBuckets[الفترة],7),IF($M74="v",TEXT(SUMIFS(tblInv[المتبقي],tblInv[كود العميل],StCust,tblInv[الفترة],INDEX(tblBuckets[الفترة],7)),"#,##0.00;-#,##0.00;-"),"")))</f>
        <v/>
      </c>
      <c r="L74" t="n">
        <v>69</v>
      </c>
      <c r="M74">
        <f>IF(L74&lt;=StCount,"m",IF(L74=StCount+2,"t",IF(L74=StCount+3,"l",IF(L74=StCount+4,"v",IF(L74=StCount+6,"p","")))))</f>
        <v/>
      </c>
      <c r="N74">
        <f>IF(M74="m",IFERROR(MATCH(L74,tblInv[ترتيب الكشف],0),""),"")</f>
        <v/>
      </c>
      <c r="O74">
        <f>IF(AND(M74="m",N74=""),IFERROR(MATCH(L74,tblRec[ترتيب الكشف],0),""),"")</f>
        <v/>
      </c>
    </row>
    <row r="75">
      <c r="A75" s="117">
        <f>IF($M75="m",IF($N75&lt;&gt;"",INDEX(tblInv[تاريخ الفاتورة],$N75),INDEX(tblRec[التاريخ],$O75)),IF($M75="l",INDEX(tblBuckets[الفترة],1),IF($M75="v",TEXT(SUMIFS(tblInv[المتبقي],tblInv[كود العميل],StCust,tblInv[الفترة],INDEX(tblBuckets[الفترة],1)),"#,##0.00;-#,##0.00;-"),"")))</f>
        <v/>
      </c>
      <c r="B75" s="83">
        <f>IF($M75="m",IF($N75&lt;&gt;"","فاتورة",INDEX(tblRec[النوع],$O75)),IF($M75="l",INDEX(tblBuckets[الفترة],2),IF($M75="v",TEXT(SUMIFS(tblInv[المتبقي],tblInv[كود العميل],StCust,tblInv[الفترة],INDEX(tblBuckets[الفترة],2)),"#,##0.00;-#,##0.00;-"),"")))</f>
        <v/>
      </c>
      <c r="C75" s="83">
        <f>IF($M75="m",IF($N75&lt;&gt;"",INDEX(tblInv[رقم الفاتورة],$N75),INDEX(tblRec[رقم السند],$O75)),IF($M75="l",INDEX(tblBuckets[الفترة],3),IF($M75="v",TEXT(SUMIFS(tblInv[المتبقي],tblInv[كود العميل],StCust,tblInv[الفترة],INDEX(tblBuckets[الفترة],3)),"#,##0.00;-#,##0.00;-"),"")))</f>
        <v/>
      </c>
      <c r="D75" s="118">
        <f>IF($M75="m",IF($N75&lt;&gt;"","فاتورة مبيعات — استحقاق "&amp;TEXT(INDEX(tblInv[تاريخ الاستحقاق],$N75),"dd/mm/yyyy")&amp;IF(INDEX(tblInv[ملاحظات],$N75)&amp;""&lt;&gt;""," — "&amp;INDEX(tblInv[ملاحظات],$N75),""),INDEX(tblRec[النوع],$O75)&amp;IF(INDEX(tblRec[طريقة الدفع],$O75)&amp;""&lt;&gt;""," ("&amp;INDEX(tblRec[طريقة الدفع],$O75)&amp;")","")&amp;IF(INDEX(tblRec[رقم الفاتورة],$O75)&amp;""&lt;&gt;""," — عن فاتورة "&amp;INDEX(tblRec[رقم الفاتورة],$O75)," — دفعة على الحساب")),IF($M75="l",INDEX(tblBuckets[الفترة],4),IF($M75="v",TEXT(SUMIFS(tblInv[المتبقي],tblInv[كود العميل],StCust,tblInv[الفترة],INDEX(tblBuckets[الفترة],4)),"#,##0.00;-#,##0.00;-"),IF($M75="t","ملخص أعمار رصيد العميل كما في "&amp;TEXT(AsOf,"dd/mm/yyyy"),IF($M75="p","يُرجى مطابقة الرصيد وإفادتنا خلال 15 يوماً، وإلا اعتُبر الرصيد صحيحاً.","")))))</f>
        <v/>
      </c>
      <c r="E75" s="119">
        <f>IF($M75="m",IF($N75&lt;&gt;"",INDEX(tblInv[الإجمالي],$N75),0),IF($M75="l",INDEX(tblBuckets[الفترة],5),IF($M75="v",TEXT(SUMIFS(tblInv[المتبقي],tblInv[كود العميل],StCust,tblInv[الفترة],INDEX(tblBuckets[الفترة],5)),"#,##0.00;-#,##0.00;-"),"")))</f>
        <v/>
      </c>
      <c r="F75" s="119">
        <f>IF($M75="m",IF($O75&lt;&gt;"",INDEX(tblRec[المبلغ],$O75),0),IF($M75="l",INDEX(tblBuckets[الفترة],6),IF($M75="v",TEXT(SUMIFS(tblInv[المتبقي],tblInv[كود العميل],StCust,tblInv[الفترة],INDEX(tblBuckets[الفترة],6)),"#,##0.00;-#,##0.00;-"),"")))</f>
        <v/>
      </c>
      <c r="G75" s="120">
        <f>IF($M75="m",N(G74)+E75-F75,IF($M75="l",INDEX(tblBuckets[الفترة],7),IF($M75="v",TEXT(SUMIFS(tblInv[المتبقي],tblInv[كود العميل],StCust,tblInv[الفترة],INDEX(tblBuckets[الفترة],7)),"#,##0.00;-#,##0.00;-"),"")))</f>
        <v/>
      </c>
      <c r="L75" t="n">
        <v>70</v>
      </c>
      <c r="M75">
        <f>IF(L75&lt;=StCount,"m",IF(L75=StCount+2,"t",IF(L75=StCount+3,"l",IF(L75=StCount+4,"v",IF(L75=StCount+6,"p","")))))</f>
        <v/>
      </c>
      <c r="N75">
        <f>IF(M75="m",IFERROR(MATCH(L75,tblInv[ترتيب الكشف],0),""),"")</f>
        <v/>
      </c>
      <c r="O75">
        <f>IF(AND(M75="m",N75=""),IFERROR(MATCH(L75,tblRec[ترتيب الكشف],0),""),"")</f>
        <v/>
      </c>
    </row>
    <row r="76">
      <c r="A76" s="117">
        <f>IF($M76="m",IF($N76&lt;&gt;"",INDEX(tblInv[تاريخ الفاتورة],$N76),INDEX(tblRec[التاريخ],$O76)),IF($M76="l",INDEX(tblBuckets[الفترة],1),IF($M76="v",TEXT(SUMIFS(tblInv[المتبقي],tblInv[كود العميل],StCust,tblInv[الفترة],INDEX(tblBuckets[الفترة],1)),"#,##0.00;-#,##0.00;-"),"")))</f>
        <v/>
      </c>
      <c r="B76" s="83">
        <f>IF($M76="m",IF($N76&lt;&gt;"","فاتورة",INDEX(tblRec[النوع],$O76)),IF($M76="l",INDEX(tblBuckets[الفترة],2),IF($M76="v",TEXT(SUMIFS(tblInv[المتبقي],tblInv[كود العميل],StCust,tblInv[الفترة],INDEX(tblBuckets[الفترة],2)),"#,##0.00;-#,##0.00;-"),"")))</f>
        <v/>
      </c>
      <c r="C76" s="83">
        <f>IF($M76="m",IF($N76&lt;&gt;"",INDEX(tblInv[رقم الفاتورة],$N76),INDEX(tblRec[رقم السند],$O76)),IF($M76="l",INDEX(tblBuckets[الفترة],3),IF($M76="v",TEXT(SUMIFS(tblInv[المتبقي],tblInv[كود العميل],StCust,tblInv[الفترة],INDEX(tblBuckets[الفترة],3)),"#,##0.00;-#,##0.00;-"),"")))</f>
        <v/>
      </c>
      <c r="D76" s="118">
        <f>IF($M76="m",IF($N76&lt;&gt;"","فاتورة مبيعات — استحقاق "&amp;TEXT(INDEX(tblInv[تاريخ الاستحقاق],$N76),"dd/mm/yyyy")&amp;IF(INDEX(tblInv[ملاحظات],$N76)&amp;""&lt;&gt;""," — "&amp;INDEX(tblInv[ملاحظات],$N76),""),INDEX(tblRec[النوع],$O76)&amp;IF(INDEX(tblRec[طريقة الدفع],$O76)&amp;""&lt;&gt;""," ("&amp;INDEX(tblRec[طريقة الدفع],$O76)&amp;")","")&amp;IF(INDEX(tblRec[رقم الفاتورة],$O76)&amp;""&lt;&gt;""," — عن فاتورة "&amp;INDEX(tblRec[رقم الفاتورة],$O76)," — دفعة على الحساب")),IF($M76="l",INDEX(tblBuckets[الفترة],4),IF($M76="v",TEXT(SUMIFS(tblInv[المتبقي],tblInv[كود العميل],StCust,tblInv[الفترة],INDEX(tblBuckets[الفترة],4)),"#,##0.00;-#,##0.00;-"),IF($M76="t","ملخص أعمار رصيد العميل كما في "&amp;TEXT(AsOf,"dd/mm/yyyy"),IF($M76="p","يُرجى مطابقة الرصيد وإفادتنا خلال 15 يوماً، وإلا اعتُبر الرصيد صحيحاً.","")))))</f>
        <v/>
      </c>
      <c r="E76" s="119">
        <f>IF($M76="m",IF($N76&lt;&gt;"",INDEX(tblInv[الإجمالي],$N76),0),IF($M76="l",INDEX(tblBuckets[الفترة],5),IF($M76="v",TEXT(SUMIFS(tblInv[المتبقي],tblInv[كود العميل],StCust,tblInv[الفترة],INDEX(tblBuckets[الفترة],5)),"#,##0.00;-#,##0.00;-"),"")))</f>
        <v/>
      </c>
      <c r="F76" s="119">
        <f>IF($M76="m",IF($O76&lt;&gt;"",INDEX(tblRec[المبلغ],$O76),0),IF($M76="l",INDEX(tblBuckets[الفترة],6),IF($M76="v",TEXT(SUMIFS(tblInv[المتبقي],tblInv[كود العميل],StCust,tblInv[الفترة],INDEX(tblBuckets[الفترة],6)),"#,##0.00;-#,##0.00;-"),"")))</f>
        <v/>
      </c>
      <c r="G76" s="120">
        <f>IF($M76="m",N(G75)+E76-F76,IF($M76="l",INDEX(tblBuckets[الفترة],7),IF($M76="v",TEXT(SUMIFS(tblInv[المتبقي],tblInv[كود العميل],StCust,tblInv[الفترة],INDEX(tblBuckets[الفترة],7)),"#,##0.00;-#,##0.00;-"),"")))</f>
        <v/>
      </c>
      <c r="L76" t="n">
        <v>71</v>
      </c>
      <c r="M76">
        <f>IF(L76&lt;=StCount,"m",IF(L76=StCount+2,"t",IF(L76=StCount+3,"l",IF(L76=StCount+4,"v",IF(L76=StCount+6,"p","")))))</f>
        <v/>
      </c>
      <c r="N76">
        <f>IF(M76="m",IFERROR(MATCH(L76,tblInv[ترتيب الكشف],0),""),"")</f>
        <v/>
      </c>
      <c r="O76">
        <f>IF(AND(M76="m",N76=""),IFERROR(MATCH(L76,tblRec[ترتيب الكشف],0),""),"")</f>
        <v/>
      </c>
    </row>
    <row r="77">
      <c r="A77" s="117">
        <f>IF($M77="m",IF($N77&lt;&gt;"",INDEX(tblInv[تاريخ الفاتورة],$N77),INDEX(tblRec[التاريخ],$O77)),IF($M77="l",INDEX(tblBuckets[الفترة],1),IF($M77="v",TEXT(SUMIFS(tblInv[المتبقي],tblInv[كود العميل],StCust,tblInv[الفترة],INDEX(tblBuckets[الفترة],1)),"#,##0.00;-#,##0.00;-"),"")))</f>
        <v/>
      </c>
      <c r="B77" s="83">
        <f>IF($M77="m",IF($N77&lt;&gt;"","فاتورة",INDEX(tblRec[النوع],$O77)),IF($M77="l",INDEX(tblBuckets[الفترة],2),IF($M77="v",TEXT(SUMIFS(tblInv[المتبقي],tblInv[كود العميل],StCust,tblInv[الفترة],INDEX(tblBuckets[الفترة],2)),"#,##0.00;-#,##0.00;-"),"")))</f>
        <v/>
      </c>
      <c r="C77" s="83">
        <f>IF($M77="m",IF($N77&lt;&gt;"",INDEX(tblInv[رقم الفاتورة],$N77),INDEX(tblRec[رقم السند],$O77)),IF($M77="l",INDEX(tblBuckets[الفترة],3),IF($M77="v",TEXT(SUMIFS(tblInv[المتبقي],tblInv[كود العميل],StCust,tblInv[الفترة],INDEX(tblBuckets[الفترة],3)),"#,##0.00;-#,##0.00;-"),"")))</f>
        <v/>
      </c>
      <c r="D77" s="118">
        <f>IF($M77="m",IF($N77&lt;&gt;"","فاتورة مبيعات — استحقاق "&amp;TEXT(INDEX(tblInv[تاريخ الاستحقاق],$N77),"dd/mm/yyyy")&amp;IF(INDEX(tblInv[ملاحظات],$N77)&amp;""&lt;&gt;""," — "&amp;INDEX(tblInv[ملاحظات],$N77),""),INDEX(tblRec[النوع],$O77)&amp;IF(INDEX(tblRec[طريقة الدفع],$O77)&amp;""&lt;&gt;""," ("&amp;INDEX(tblRec[طريقة الدفع],$O77)&amp;")","")&amp;IF(INDEX(tblRec[رقم الفاتورة],$O77)&amp;""&lt;&gt;""," — عن فاتورة "&amp;INDEX(tblRec[رقم الفاتورة],$O77)," — دفعة على الحساب")),IF($M77="l",INDEX(tblBuckets[الفترة],4),IF($M77="v",TEXT(SUMIFS(tblInv[المتبقي],tblInv[كود العميل],StCust,tblInv[الفترة],INDEX(tblBuckets[الفترة],4)),"#,##0.00;-#,##0.00;-"),IF($M77="t","ملخص أعمار رصيد العميل كما في "&amp;TEXT(AsOf,"dd/mm/yyyy"),IF($M77="p","يُرجى مطابقة الرصيد وإفادتنا خلال 15 يوماً، وإلا اعتُبر الرصيد صحيحاً.","")))))</f>
        <v/>
      </c>
      <c r="E77" s="119">
        <f>IF($M77="m",IF($N77&lt;&gt;"",INDEX(tblInv[الإجمالي],$N77),0),IF($M77="l",INDEX(tblBuckets[الفترة],5),IF($M77="v",TEXT(SUMIFS(tblInv[المتبقي],tblInv[كود العميل],StCust,tblInv[الفترة],INDEX(tblBuckets[الفترة],5)),"#,##0.00;-#,##0.00;-"),"")))</f>
        <v/>
      </c>
      <c r="F77" s="119">
        <f>IF($M77="m",IF($O77&lt;&gt;"",INDEX(tblRec[المبلغ],$O77),0),IF($M77="l",INDEX(tblBuckets[الفترة],6),IF($M77="v",TEXT(SUMIFS(tblInv[المتبقي],tblInv[كود العميل],StCust,tblInv[الفترة],INDEX(tblBuckets[الفترة],6)),"#,##0.00;-#,##0.00;-"),"")))</f>
        <v/>
      </c>
      <c r="G77" s="120">
        <f>IF($M77="m",N(G76)+E77-F77,IF($M77="l",INDEX(tblBuckets[الفترة],7),IF($M77="v",TEXT(SUMIFS(tblInv[المتبقي],tblInv[كود العميل],StCust,tblInv[الفترة],INDEX(tblBuckets[الفترة],7)),"#,##0.00;-#,##0.00;-"),"")))</f>
        <v/>
      </c>
      <c r="L77" t="n">
        <v>72</v>
      </c>
      <c r="M77">
        <f>IF(L77&lt;=StCount,"m",IF(L77=StCount+2,"t",IF(L77=StCount+3,"l",IF(L77=StCount+4,"v",IF(L77=StCount+6,"p","")))))</f>
        <v/>
      </c>
      <c r="N77">
        <f>IF(M77="m",IFERROR(MATCH(L77,tblInv[ترتيب الكشف],0),""),"")</f>
        <v/>
      </c>
      <c r="O77">
        <f>IF(AND(M77="m",N77=""),IFERROR(MATCH(L77,tblRec[ترتيب الكشف],0),""),"")</f>
        <v/>
      </c>
    </row>
    <row r="78">
      <c r="A78" s="117">
        <f>IF($M78="m",IF($N78&lt;&gt;"",INDEX(tblInv[تاريخ الفاتورة],$N78),INDEX(tblRec[التاريخ],$O78)),IF($M78="l",INDEX(tblBuckets[الفترة],1),IF($M78="v",TEXT(SUMIFS(tblInv[المتبقي],tblInv[كود العميل],StCust,tblInv[الفترة],INDEX(tblBuckets[الفترة],1)),"#,##0.00;-#,##0.00;-"),"")))</f>
        <v/>
      </c>
      <c r="B78" s="83">
        <f>IF($M78="m",IF($N78&lt;&gt;"","فاتورة",INDEX(tblRec[النوع],$O78)),IF($M78="l",INDEX(tblBuckets[الفترة],2),IF($M78="v",TEXT(SUMIFS(tblInv[المتبقي],tblInv[كود العميل],StCust,tblInv[الفترة],INDEX(tblBuckets[الفترة],2)),"#,##0.00;-#,##0.00;-"),"")))</f>
        <v/>
      </c>
      <c r="C78" s="83">
        <f>IF($M78="m",IF($N78&lt;&gt;"",INDEX(tblInv[رقم الفاتورة],$N78),INDEX(tblRec[رقم السند],$O78)),IF($M78="l",INDEX(tblBuckets[الفترة],3),IF($M78="v",TEXT(SUMIFS(tblInv[المتبقي],tblInv[كود العميل],StCust,tblInv[الفترة],INDEX(tblBuckets[الفترة],3)),"#,##0.00;-#,##0.00;-"),"")))</f>
        <v/>
      </c>
      <c r="D78" s="118">
        <f>IF($M78="m",IF($N78&lt;&gt;"","فاتورة مبيعات — استحقاق "&amp;TEXT(INDEX(tblInv[تاريخ الاستحقاق],$N78),"dd/mm/yyyy")&amp;IF(INDEX(tblInv[ملاحظات],$N78)&amp;""&lt;&gt;""," — "&amp;INDEX(tblInv[ملاحظات],$N78),""),INDEX(tblRec[النوع],$O78)&amp;IF(INDEX(tblRec[طريقة الدفع],$O78)&amp;""&lt;&gt;""," ("&amp;INDEX(tblRec[طريقة الدفع],$O78)&amp;")","")&amp;IF(INDEX(tblRec[رقم الفاتورة],$O78)&amp;""&lt;&gt;""," — عن فاتورة "&amp;INDEX(tblRec[رقم الفاتورة],$O78)," — دفعة على الحساب")),IF($M78="l",INDEX(tblBuckets[الفترة],4),IF($M78="v",TEXT(SUMIFS(tblInv[المتبقي],tblInv[كود العميل],StCust,tblInv[الفترة],INDEX(tblBuckets[الفترة],4)),"#,##0.00;-#,##0.00;-"),IF($M78="t","ملخص أعمار رصيد العميل كما في "&amp;TEXT(AsOf,"dd/mm/yyyy"),IF($M78="p","يُرجى مطابقة الرصيد وإفادتنا خلال 15 يوماً، وإلا اعتُبر الرصيد صحيحاً.","")))))</f>
        <v/>
      </c>
      <c r="E78" s="119">
        <f>IF($M78="m",IF($N78&lt;&gt;"",INDEX(tblInv[الإجمالي],$N78),0),IF($M78="l",INDEX(tblBuckets[الفترة],5),IF($M78="v",TEXT(SUMIFS(tblInv[المتبقي],tblInv[كود العميل],StCust,tblInv[الفترة],INDEX(tblBuckets[الفترة],5)),"#,##0.00;-#,##0.00;-"),"")))</f>
        <v/>
      </c>
      <c r="F78" s="119">
        <f>IF($M78="m",IF($O78&lt;&gt;"",INDEX(tblRec[المبلغ],$O78),0),IF($M78="l",INDEX(tblBuckets[الفترة],6),IF($M78="v",TEXT(SUMIFS(tblInv[المتبقي],tblInv[كود العميل],StCust,tblInv[الفترة],INDEX(tblBuckets[الفترة],6)),"#,##0.00;-#,##0.00;-"),"")))</f>
        <v/>
      </c>
      <c r="G78" s="120">
        <f>IF($M78="m",N(G77)+E78-F78,IF($M78="l",INDEX(tblBuckets[الفترة],7),IF($M78="v",TEXT(SUMIFS(tblInv[المتبقي],tblInv[كود العميل],StCust,tblInv[الفترة],INDEX(tblBuckets[الفترة],7)),"#,##0.00;-#,##0.00;-"),"")))</f>
        <v/>
      </c>
      <c r="L78" t="n">
        <v>73</v>
      </c>
      <c r="M78">
        <f>IF(L78&lt;=StCount,"m",IF(L78=StCount+2,"t",IF(L78=StCount+3,"l",IF(L78=StCount+4,"v",IF(L78=StCount+6,"p","")))))</f>
        <v/>
      </c>
      <c r="N78">
        <f>IF(M78="m",IFERROR(MATCH(L78,tblInv[ترتيب الكشف],0),""),"")</f>
        <v/>
      </c>
      <c r="O78">
        <f>IF(AND(M78="m",N78=""),IFERROR(MATCH(L78,tblRec[ترتيب الكشف],0),""),"")</f>
        <v/>
      </c>
    </row>
    <row r="79">
      <c r="A79" s="117">
        <f>IF($M79="m",IF($N79&lt;&gt;"",INDEX(tblInv[تاريخ الفاتورة],$N79),INDEX(tblRec[التاريخ],$O79)),IF($M79="l",INDEX(tblBuckets[الفترة],1),IF($M79="v",TEXT(SUMIFS(tblInv[المتبقي],tblInv[كود العميل],StCust,tblInv[الفترة],INDEX(tblBuckets[الفترة],1)),"#,##0.00;-#,##0.00;-"),"")))</f>
        <v/>
      </c>
      <c r="B79" s="83">
        <f>IF($M79="m",IF($N79&lt;&gt;"","فاتورة",INDEX(tblRec[النوع],$O79)),IF($M79="l",INDEX(tblBuckets[الفترة],2),IF($M79="v",TEXT(SUMIFS(tblInv[المتبقي],tblInv[كود العميل],StCust,tblInv[الفترة],INDEX(tblBuckets[الفترة],2)),"#,##0.00;-#,##0.00;-"),"")))</f>
        <v/>
      </c>
      <c r="C79" s="83">
        <f>IF($M79="m",IF($N79&lt;&gt;"",INDEX(tblInv[رقم الفاتورة],$N79),INDEX(tblRec[رقم السند],$O79)),IF($M79="l",INDEX(tblBuckets[الفترة],3),IF($M79="v",TEXT(SUMIFS(tblInv[المتبقي],tblInv[كود العميل],StCust,tblInv[الفترة],INDEX(tblBuckets[الفترة],3)),"#,##0.00;-#,##0.00;-"),"")))</f>
        <v/>
      </c>
      <c r="D79" s="118">
        <f>IF($M79="m",IF($N79&lt;&gt;"","فاتورة مبيعات — استحقاق "&amp;TEXT(INDEX(tblInv[تاريخ الاستحقاق],$N79),"dd/mm/yyyy")&amp;IF(INDEX(tblInv[ملاحظات],$N79)&amp;""&lt;&gt;""," — "&amp;INDEX(tblInv[ملاحظات],$N79),""),INDEX(tblRec[النوع],$O79)&amp;IF(INDEX(tblRec[طريقة الدفع],$O79)&amp;""&lt;&gt;""," ("&amp;INDEX(tblRec[طريقة الدفع],$O79)&amp;")","")&amp;IF(INDEX(tblRec[رقم الفاتورة],$O79)&amp;""&lt;&gt;""," — عن فاتورة "&amp;INDEX(tblRec[رقم الفاتورة],$O79)," — دفعة على الحساب")),IF($M79="l",INDEX(tblBuckets[الفترة],4),IF($M79="v",TEXT(SUMIFS(tblInv[المتبقي],tblInv[كود العميل],StCust,tblInv[الفترة],INDEX(tblBuckets[الفترة],4)),"#,##0.00;-#,##0.00;-"),IF($M79="t","ملخص أعمار رصيد العميل كما في "&amp;TEXT(AsOf,"dd/mm/yyyy"),IF($M79="p","يُرجى مطابقة الرصيد وإفادتنا خلال 15 يوماً، وإلا اعتُبر الرصيد صحيحاً.","")))))</f>
        <v/>
      </c>
      <c r="E79" s="119">
        <f>IF($M79="m",IF($N79&lt;&gt;"",INDEX(tblInv[الإجمالي],$N79),0),IF($M79="l",INDEX(tblBuckets[الفترة],5),IF($M79="v",TEXT(SUMIFS(tblInv[المتبقي],tblInv[كود العميل],StCust,tblInv[الفترة],INDEX(tblBuckets[الفترة],5)),"#,##0.00;-#,##0.00;-"),"")))</f>
        <v/>
      </c>
      <c r="F79" s="119">
        <f>IF($M79="m",IF($O79&lt;&gt;"",INDEX(tblRec[المبلغ],$O79),0),IF($M79="l",INDEX(tblBuckets[الفترة],6),IF($M79="v",TEXT(SUMIFS(tblInv[المتبقي],tblInv[كود العميل],StCust,tblInv[الفترة],INDEX(tblBuckets[الفترة],6)),"#,##0.00;-#,##0.00;-"),"")))</f>
        <v/>
      </c>
      <c r="G79" s="120">
        <f>IF($M79="m",N(G78)+E79-F79,IF($M79="l",INDEX(tblBuckets[الفترة],7),IF($M79="v",TEXT(SUMIFS(tblInv[المتبقي],tblInv[كود العميل],StCust,tblInv[الفترة],INDEX(tblBuckets[الفترة],7)),"#,##0.00;-#,##0.00;-"),"")))</f>
        <v/>
      </c>
      <c r="L79" t="n">
        <v>74</v>
      </c>
      <c r="M79">
        <f>IF(L79&lt;=StCount,"m",IF(L79=StCount+2,"t",IF(L79=StCount+3,"l",IF(L79=StCount+4,"v",IF(L79=StCount+6,"p","")))))</f>
        <v/>
      </c>
      <c r="N79">
        <f>IF(M79="m",IFERROR(MATCH(L79,tblInv[ترتيب الكشف],0),""),"")</f>
        <v/>
      </c>
      <c r="O79">
        <f>IF(AND(M79="m",N79=""),IFERROR(MATCH(L79,tblRec[ترتيب الكشف],0),""),"")</f>
        <v/>
      </c>
    </row>
    <row r="80">
      <c r="A80" s="117">
        <f>IF($M80="m",IF($N80&lt;&gt;"",INDEX(tblInv[تاريخ الفاتورة],$N80),INDEX(tblRec[التاريخ],$O80)),IF($M80="l",INDEX(tblBuckets[الفترة],1),IF($M80="v",TEXT(SUMIFS(tblInv[المتبقي],tblInv[كود العميل],StCust,tblInv[الفترة],INDEX(tblBuckets[الفترة],1)),"#,##0.00;-#,##0.00;-"),"")))</f>
        <v/>
      </c>
      <c r="B80" s="83">
        <f>IF($M80="m",IF($N80&lt;&gt;"","فاتورة",INDEX(tblRec[النوع],$O80)),IF($M80="l",INDEX(tblBuckets[الفترة],2),IF($M80="v",TEXT(SUMIFS(tblInv[المتبقي],tblInv[كود العميل],StCust,tblInv[الفترة],INDEX(tblBuckets[الفترة],2)),"#,##0.00;-#,##0.00;-"),"")))</f>
        <v/>
      </c>
      <c r="C80" s="83">
        <f>IF($M80="m",IF($N80&lt;&gt;"",INDEX(tblInv[رقم الفاتورة],$N80),INDEX(tblRec[رقم السند],$O80)),IF($M80="l",INDEX(tblBuckets[الفترة],3),IF($M80="v",TEXT(SUMIFS(tblInv[المتبقي],tblInv[كود العميل],StCust,tblInv[الفترة],INDEX(tblBuckets[الفترة],3)),"#,##0.00;-#,##0.00;-"),"")))</f>
        <v/>
      </c>
      <c r="D80" s="118">
        <f>IF($M80="m",IF($N80&lt;&gt;"","فاتورة مبيعات — استحقاق "&amp;TEXT(INDEX(tblInv[تاريخ الاستحقاق],$N80),"dd/mm/yyyy")&amp;IF(INDEX(tblInv[ملاحظات],$N80)&amp;""&lt;&gt;""," — "&amp;INDEX(tblInv[ملاحظات],$N80),""),INDEX(tblRec[النوع],$O80)&amp;IF(INDEX(tblRec[طريقة الدفع],$O80)&amp;""&lt;&gt;""," ("&amp;INDEX(tblRec[طريقة الدفع],$O80)&amp;")","")&amp;IF(INDEX(tblRec[رقم الفاتورة],$O80)&amp;""&lt;&gt;""," — عن فاتورة "&amp;INDEX(tblRec[رقم الفاتورة],$O80)," — دفعة على الحساب")),IF($M80="l",INDEX(tblBuckets[الفترة],4),IF($M80="v",TEXT(SUMIFS(tblInv[المتبقي],tblInv[كود العميل],StCust,tblInv[الفترة],INDEX(tblBuckets[الفترة],4)),"#,##0.00;-#,##0.00;-"),IF($M80="t","ملخص أعمار رصيد العميل كما في "&amp;TEXT(AsOf,"dd/mm/yyyy"),IF($M80="p","يُرجى مطابقة الرصيد وإفادتنا خلال 15 يوماً، وإلا اعتُبر الرصيد صحيحاً.","")))))</f>
        <v/>
      </c>
      <c r="E80" s="119">
        <f>IF($M80="m",IF($N80&lt;&gt;"",INDEX(tblInv[الإجمالي],$N80),0),IF($M80="l",INDEX(tblBuckets[الفترة],5),IF($M80="v",TEXT(SUMIFS(tblInv[المتبقي],tblInv[كود العميل],StCust,tblInv[الفترة],INDEX(tblBuckets[الفترة],5)),"#,##0.00;-#,##0.00;-"),"")))</f>
        <v/>
      </c>
      <c r="F80" s="119">
        <f>IF($M80="m",IF($O80&lt;&gt;"",INDEX(tblRec[المبلغ],$O80),0),IF($M80="l",INDEX(tblBuckets[الفترة],6),IF($M80="v",TEXT(SUMIFS(tblInv[المتبقي],tblInv[كود العميل],StCust,tblInv[الفترة],INDEX(tblBuckets[الفترة],6)),"#,##0.00;-#,##0.00;-"),"")))</f>
        <v/>
      </c>
      <c r="G80" s="120">
        <f>IF($M80="m",N(G79)+E80-F80,IF($M80="l",INDEX(tblBuckets[الفترة],7),IF($M80="v",TEXT(SUMIFS(tblInv[المتبقي],tblInv[كود العميل],StCust,tblInv[الفترة],INDEX(tblBuckets[الفترة],7)),"#,##0.00;-#,##0.00;-"),"")))</f>
        <v/>
      </c>
      <c r="L80" t="n">
        <v>75</v>
      </c>
      <c r="M80">
        <f>IF(L80&lt;=StCount,"m",IF(L80=StCount+2,"t",IF(L80=StCount+3,"l",IF(L80=StCount+4,"v",IF(L80=StCount+6,"p","")))))</f>
        <v/>
      </c>
      <c r="N80">
        <f>IF(M80="m",IFERROR(MATCH(L80,tblInv[ترتيب الكشف],0),""),"")</f>
        <v/>
      </c>
      <c r="O80">
        <f>IF(AND(M80="m",N80=""),IFERROR(MATCH(L80,tblRec[ترتيب الكشف],0),""),"")</f>
        <v/>
      </c>
    </row>
    <row r="81">
      <c r="A81" s="117">
        <f>IF($M81="m",IF($N81&lt;&gt;"",INDEX(tblInv[تاريخ الفاتورة],$N81),INDEX(tblRec[التاريخ],$O81)),IF($M81="l",INDEX(tblBuckets[الفترة],1),IF($M81="v",TEXT(SUMIFS(tblInv[المتبقي],tblInv[كود العميل],StCust,tblInv[الفترة],INDEX(tblBuckets[الفترة],1)),"#,##0.00;-#,##0.00;-"),"")))</f>
        <v/>
      </c>
      <c r="B81" s="83">
        <f>IF($M81="m",IF($N81&lt;&gt;"","فاتورة",INDEX(tblRec[النوع],$O81)),IF($M81="l",INDEX(tblBuckets[الفترة],2),IF($M81="v",TEXT(SUMIFS(tblInv[المتبقي],tblInv[كود العميل],StCust,tblInv[الفترة],INDEX(tblBuckets[الفترة],2)),"#,##0.00;-#,##0.00;-"),"")))</f>
        <v/>
      </c>
      <c r="C81" s="83">
        <f>IF($M81="m",IF($N81&lt;&gt;"",INDEX(tblInv[رقم الفاتورة],$N81),INDEX(tblRec[رقم السند],$O81)),IF($M81="l",INDEX(tblBuckets[الفترة],3),IF($M81="v",TEXT(SUMIFS(tblInv[المتبقي],tblInv[كود العميل],StCust,tblInv[الفترة],INDEX(tblBuckets[الفترة],3)),"#,##0.00;-#,##0.00;-"),"")))</f>
        <v/>
      </c>
      <c r="D81" s="118">
        <f>IF($M81="m",IF($N81&lt;&gt;"","فاتورة مبيعات — استحقاق "&amp;TEXT(INDEX(tblInv[تاريخ الاستحقاق],$N81),"dd/mm/yyyy")&amp;IF(INDEX(tblInv[ملاحظات],$N81)&amp;""&lt;&gt;""," — "&amp;INDEX(tblInv[ملاحظات],$N81),""),INDEX(tblRec[النوع],$O81)&amp;IF(INDEX(tblRec[طريقة الدفع],$O81)&amp;""&lt;&gt;""," ("&amp;INDEX(tblRec[طريقة الدفع],$O81)&amp;")","")&amp;IF(INDEX(tblRec[رقم الفاتورة],$O81)&amp;""&lt;&gt;""," — عن فاتورة "&amp;INDEX(tblRec[رقم الفاتورة],$O81)," — دفعة على الحساب")),IF($M81="l",INDEX(tblBuckets[الفترة],4),IF($M81="v",TEXT(SUMIFS(tblInv[المتبقي],tblInv[كود العميل],StCust,tblInv[الفترة],INDEX(tblBuckets[الفترة],4)),"#,##0.00;-#,##0.00;-"),IF($M81="t","ملخص أعمار رصيد العميل كما في "&amp;TEXT(AsOf,"dd/mm/yyyy"),IF($M81="p","يُرجى مطابقة الرصيد وإفادتنا خلال 15 يوماً، وإلا اعتُبر الرصيد صحيحاً.","")))))</f>
        <v/>
      </c>
      <c r="E81" s="119">
        <f>IF($M81="m",IF($N81&lt;&gt;"",INDEX(tblInv[الإجمالي],$N81),0),IF($M81="l",INDEX(tblBuckets[الفترة],5),IF($M81="v",TEXT(SUMIFS(tblInv[المتبقي],tblInv[كود العميل],StCust,tblInv[الفترة],INDEX(tblBuckets[الفترة],5)),"#,##0.00;-#,##0.00;-"),"")))</f>
        <v/>
      </c>
      <c r="F81" s="119">
        <f>IF($M81="m",IF($O81&lt;&gt;"",INDEX(tblRec[المبلغ],$O81),0),IF($M81="l",INDEX(tblBuckets[الفترة],6),IF($M81="v",TEXT(SUMIFS(tblInv[المتبقي],tblInv[كود العميل],StCust,tblInv[الفترة],INDEX(tblBuckets[الفترة],6)),"#,##0.00;-#,##0.00;-"),"")))</f>
        <v/>
      </c>
      <c r="G81" s="120">
        <f>IF($M81="m",N(G80)+E81-F81,IF($M81="l",INDEX(tblBuckets[الفترة],7),IF($M81="v",TEXT(SUMIFS(tblInv[المتبقي],tblInv[كود العميل],StCust,tblInv[الفترة],INDEX(tblBuckets[الفترة],7)),"#,##0.00;-#,##0.00;-"),"")))</f>
        <v/>
      </c>
      <c r="L81" t="n">
        <v>76</v>
      </c>
      <c r="M81">
        <f>IF(L81&lt;=StCount,"m",IF(L81=StCount+2,"t",IF(L81=StCount+3,"l",IF(L81=StCount+4,"v",IF(L81=StCount+6,"p","")))))</f>
        <v/>
      </c>
      <c r="N81">
        <f>IF(M81="m",IFERROR(MATCH(L81,tblInv[ترتيب الكشف],0),""),"")</f>
        <v/>
      </c>
      <c r="O81">
        <f>IF(AND(M81="m",N81=""),IFERROR(MATCH(L81,tblRec[ترتيب الكشف],0),""),"")</f>
        <v/>
      </c>
    </row>
    <row r="82">
      <c r="A82" s="117">
        <f>IF($M82="m",IF($N82&lt;&gt;"",INDEX(tblInv[تاريخ الفاتورة],$N82),INDEX(tblRec[التاريخ],$O82)),IF($M82="l",INDEX(tblBuckets[الفترة],1),IF($M82="v",TEXT(SUMIFS(tblInv[المتبقي],tblInv[كود العميل],StCust,tblInv[الفترة],INDEX(tblBuckets[الفترة],1)),"#,##0.00;-#,##0.00;-"),"")))</f>
        <v/>
      </c>
      <c r="B82" s="83">
        <f>IF($M82="m",IF($N82&lt;&gt;"","فاتورة",INDEX(tblRec[النوع],$O82)),IF($M82="l",INDEX(tblBuckets[الفترة],2),IF($M82="v",TEXT(SUMIFS(tblInv[المتبقي],tblInv[كود العميل],StCust,tblInv[الفترة],INDEX(tblBuckets[الفترة],2)),"#,##0.00;-#,##0.00;-"),"")))</f>
        <v/>
      </c>
      <c r="C82" s="83">
        <f>IF($M82="m",IF($N82&lt;&gt;"",INDEX(tblInv[رقم الفاتورة],$N82),INDEX(tblRec[رقم السند],$O82)),IF($M82="l",INDEX(tblBuckets[الفترة],3),IF($M82="v",TEXT(SUMIFS(tblInv[المتبقي],tblInv[كود العميل],StCust,tblInv[الفترة],INDEX(tblBuckets[الفترة],3)),"#,##0.00;-#,##0.00;-"),"")))</f>
        <v/>
      </c>
      <c r="D82" s="118">
        <f>IF($M82="m",IF($N82&lt;&gt;"","فاتورة مبيعات — استحقاق "&amp;TEXT(INDEX(tblInv[تاريخ الاستحقاق],$N82),"dd/mm/yyyy")&amp;IF(INDEX(tblInv[ملاحظات],$N82)&amp;""&lt;&gt;""," — "&amp;INDEX(tblInv[ملاحظات],$N82),""),INDEX(tblRec[النوع],$O82)&amp;IF(INDEX(tblRec[طريقة الدفع],$O82)&amp;""&lt;&gt;""," ("&amp;INDEX(tblRec[طريقة الدفع],$O82)&amp;")","")&amp;IF(INDEX(tblRec[رقم الفاتورة],$O82)&amp;""&lt;&gt;""," — عن فاتورة "&amp;INDEX(tblRec[رقم الفاتورة],$O82)," — دفعة على الحساب")),IF($M82="l",INDEX(tblBuckets[الفترة],4),IF($M82="v",TEXT(SUMIFS(tblInv[المتبقي],tblInv[كود العميل],StCust,tblInv[الفترة],INDEX(tblBuckets[الفترة],4)),"#,##0.00;-#,##0.00;-"),IF($M82="t","ملخص أعمار رصيد العميل كما في "&amp;TEXT(AsOf,"dd/mm/yyyy"),IF($M82="p","يُرجى مطابقة الرصيد وإفادتنا خلال 15 يوماً، وإلا اعتُبر الرصيد صحيحاً.","")))))</f>
        <v/>
      </c>
      <c r="E82" s="119">
        <f>IF($M82="m",IF($N82&lt;&gt;"",INDEX(tblInv[الإجمالي],$N82),0),IF($M82="l",INDEX(tblBuckets[الفترة],5),IF($M82="v",TEXT(SUMIFS(tblInv[المتبقي],tblInv[كود العميل],StCust,tblInv[الفترة],INDEX(tblBuckets[الفترة],5)),"#,##0.00;-#,##0.00;-"),"")))</f>
        <v/>
      </c>
      <c r="F82" s="119">
        <f>IF($M82="m",IF($O82&lt;&gt;"",INDEX(tblRec[المبلغ],$O82),0),IF($M82="l",INDEX(tblBuckets[الفترة],6),IF($M82="v",TEXT(SUMIFS(tblInv[المتبقي],tblInv[كود العميل],StCust,tblInv[الفترة],INDEX(tblBuckets[الفترة],6)),"#,##0.00;-#,##0.00;-"),"")))</f>
        <v/>
      </c>
      <c r="G82" s="120">
        <f>IF($M82="m",N(G81)+E82-F82,IF($M82="l",INDEX(tblBuckets[الفترة],7),IF($M82="v",TEXT(SUMIFS(tblInv[المتبقي],tblInv[كود العميل],StCust,tblInv[الفترة],INDEX(tblBuckets[الفترة],7)),"#,##0.00;-#,##0.00;-"),"")))</f>
        <v/>
      </c>
      <c r="L82" t="n">
        <v>77</v>
      </c>
      <c r="M82">
        <f>IF(L82&lt;=StCount,"m",IF(L82=StCount+2,"t",IF(L82=StCount+3,"l",IF(L82=StCount+4,"v",IF(L82=StCount+6,"p","")))))</f>
        <v/>
      </c>
      <c r="N82">
        <f>IF(M82="m",IFERROR(MATCH(L82,tblInv[ترتيب الكشف],0),""),"")</f>
        <v/>
      </c>
      <c r="O82">
        <f>IF(AND(M82="m",N82=""),IFERROR(MATCH(L82,tblRec[ترتيب الكشف],0),""),"")</f>
        <v/>
      </c>
    </row>
    <row r="83">
      <c r="A83" s="117">
        <f>IF($M83="m",IF($N83&lt;&gt;"",INDEX(tblInv[تاريخ الفاتورة],$N83),INDEX(tblRec[التاريخ],$O83)),IF($M83="l",INDEX(tblBuckets[الفترة],1),IF($M83="v",TEXT(SUMIFS(tblInv[المتبقي],tblInv[كود العميل],StCust,tblInv[الفترة],INDEX(tblBuckets[الفترة],1)),"#,##0.00;-#,##0.00;-"),"")))</f>
        <v/>
      </c>
      <c r="B83" s="83">
        <f>IF($M83="m",IF($N83&lt;&gt;"","فاتورة",INDEX(tblRec[النوع],$O83)),IF($M83="l",INDEX(tblBuckets[الفترة],2),IF($M83="v",TEXT(SUMIFS(tblInv[المتبقي],tblInv[كود العميل],StCust,tblInv[الفترة],INDEX(tblBuckets[الفترة],2)),"#,##0.00;-#,##0.00;-"),"")))</f>
        <v/>
      </c>
      <c r="C83" s="83">
        <f>IF($M83="m",IF($N83&lt;&gt;"",INDEX(tblInv[رقم الفاتورة],$N83),INDEX(tblRec[رقم السند],$O83)),IF($M83="l",INDEX(tblBuckets[الفترة],3),IF($M83="v",TEXT(SUMIFS(tblInv[المتبقي],tblInv[كود العميل],StCust,tblInv[الفترة],INDEX(tblBuckets[الفترة],3)),"#,##0.00;-#,##0.00;-"),"")))</f>
        <v/>
      </c>
      <c r="D83" s="118">
        <f>IF($M83="m",IF($N83&lt;&gt;"","فاتورة مبيعات — استحقاق "&amp;TEXT(INDEX(tblInv[تاريخ الاستحقاق],$N83),"dd/mm/yyyy")&amp;IF(INDEX(tblInv[ملاحظات],$N83)&amp;""&lt;&gt;""," — "&amp;INDEX(tblInv[ملاحظات],$N83),""),INDEX(tblRec[النوع],$O83)&amp;IF(INDEX(tblRec[طريقة الدفع],$O83)&amp;""&lt;&gt;""," ("&amp;INDEX(tblRec[طريقة الدفع],$O83)&amp;")","")&amp;IF(INDEX(tblRec[رقم الفاتورة],$O83)&amp;""&lt;&gt;""," — عن فاتورة "&amp;INDEX(tblRec[رقم الفاتورة],$O83)," — دفعة على الحساب")),IF($M83="l",INDEX(tblBuckets[الفترة],4),IF($M83="v",TEXT(SUMIFS(tblInv[المتبقي],tblInv[كود العميل],StCust,tblInv[الفترة],INDEX(tblBuckets[الفترة],4)),"#,##0.00;-#,##0.00;-"),IF($M83="t","ملخص أعمار رصيد العميل كما في "&amp;TEXT(AsOf,"dd/mm/yyyy"),IF($M83="p","يُرجى مطابقة الرصيد وإفادتنا خلال 15 يوماً، وإلا اعتُبر الرصيد صحيحاً.","")))))</f>
        <v/>
      </c>
      <c r="E83" s="119">
        <f>IF($M83="m",IF($N83&lt;&gt;"",INDEX(tblInv[الإجمالي],$N83),0),IF($M83="l",INDEX(tblBuckets[الفترة],5),IF($M83="v",TEXT(SUMIFS(tblInv[المتبقي],tblInv[كود العميل],StCust,tblInv[الفترة],INDEX(tblBuckets[الفترة],5)),"#,##0.00;-#,##0.00;-"),"")))</f>
        <v/>
      </c>
      <c r="F83" s="119">
        <f>IF($M83="m",IF($O83&lt;&gt;"",INDEX(tblRec[المبلغ],$O83),0),IF($M83="l",INDEX(tblBuckets[الفترة],6),IF($M83="v",TEXT(SUMIFS(tblInv[المتبقي],tblInv[كود العميل],StCust,tblInv[الفترة],INDEX(tblBuckets[الفترة],6)),"#,##0.00;-#,##0.00;-"),"")))</f>
        <v/>
      </c>
      <c r="G83" s="120">
        <f>IF($M83="m",N(G82)+E83-F83,IF($M83="l",INDEX(tblBuckets[الفترة],7),IF($M83="v",TEXT(SUMIFS(tblInv[المتبقي],tblInv[كود العميل],StCust,tblInv[الفترة],INDEX(tblBuckets[الفترة],7)),"#,##0.00;-#,##0.00;-"),"")))</f>
        <v/>
      </c>
      <c r="L83" t="n">
        <v>78</v>
      </c>
      <c r="M83">
        <f>IF(L83&lt;=StCount,"m",IF(L83=StCount+2,"t",IF(L83=StCount+3,"l",IF(L83=StCount+4,"v",IF(L83=StCount+6,"p","")))))</f>
        <v/>
      </c>
      <c r="N83">
        <f>IF(M83="m",IFERROR(MATCH(L83,tblInv[ترتيب الكشف],0),""),"")</f>
        <v/>
      </c>
      <c r="O83">
        <f>IF(AND(M83="m",N83=""),IFERROR(MATCH(L83,tblRec[ترتيب الكشف],0),""),"")</f>
        <v/>
      </c>
    </row>
    <row r="84">
      <c r="A84" s="117">
        <f>IF($M84="m",IF($N84&lt;&gt;"",INDEX(tblInv[تاريخ الفاتورة],$N84),INDEX(tblRec[التاريخ],$O84)),IF($M84="l",INDEX(tblBuckets[الفترة],1),IF($M84="v",TEXT(SUMIFS(tblInv[المتبقي],tblInv[كود العميل],StCust,tblInv[الفترة],INDEX(tblBuckets[الفترة],1)),"#,##0.00;-#,##0.00;-"),"")))</f>
        <v/>
      </c>
      <c r="B84" s="83">
        <f>IF($M84="m",IF($N84&lt;&gt;"","فاتورة",INDEX(tblRec[النوع],$O84)),IF($M84="l",INDEX(tblBuckets[الفترة],2),IF($M84="v",TEXT(SUMIFS(tblInv[المتبقي],tblInv[كود العميل],StCust,tblInv[الفترة],INDEX(tblBuckets[الفترة],2)),"#,##0.00;-#,##0.00;-"),"")))</f>
        <v/>
      </c>
      <c r="C84" s="83">
        <f>IF($M84="m",IF($N84&lt;&gt;"",INDEX(tblInv[رقم الفاتورة],$N84),INDEX(tblRec[رقم السند],$O84)),IF($M84="l",INDEX(tblBuckets[الفترة],3),IF($M84="v",TEXT(SUMIFS(tblInv[المتبقي],tblInv[كود العميل],StCust,tblInv[الفترة],INDEX(tblBuckets[الفترة],3)),"#,##0.00;-#,##0.00;-"),"")))</f>
        <v/>
      </c>
      <c r="D84" s="118">
        <f>IF($M84="m",IF($N84&lt;&gt;"","فاتورة مبيعات — استحقاق "&amp;TEXT(INDEX(tblInv[تاريخ الاستحقاق],$N84),"dd/mm/yyyy")&amp;IF(INDEX(tblInv[ملاحظات],$N84)&amp;""&lt;&gt;""," — "&amp;INDEX(tblInv[ملاحظات],$N84),""),INDEX(tblRec[النوع],$O84)&amp;IF(INDEX(tblRec[طريقة الدفع],$O84)&amp;""&lt;&gt;""," ("&amp;INDEX(tblRec[طريقة الدفع],$O84)&amp;")","")&amp;IF(INDEX(tblRec[رقم الفاتورة],$O84)&amp;""&lt;&gt;""," — عن فاتورة "&amp;INDEX(tblRec[رقم الفاتورة],$O84)," — دفعة على الحساب")),IF($M84="l",INDEX(tblBuckets[الفترة],4),IF($M84="v",TEXT(SUMIFS(tblInv[المتبقي],tblInv[كود العميل],StCust,tblInv[الفترة],INDEX(tblBuckets[الفترة],4)),"#,##0.00;-#,##0.00;-"),IF($M84="t","ملخص أعمار رصيد العميل كما في "&amp;TEXT(AsOf,"dd/mm/yyyy"),IF($M84="p","يُرجى مطابقة الرصيد وإفادتنا خلال 15 يوماً، وإلا اعتُبر الرصيد صحيحاً.","")))))</f>
        <v/>
      </c>
      <c r="E84" s="119">
        <f>IF($M84="m",IF($N84&lt;&gt;"",INDEX(tblInv[الإجمالي],$N84),0),IF($M84="l",INDEX(tblBuckets[الفترة],5),IF($M84="v",TEXT(SUMIFS(tblInv[المتبقي],tblInv[كود العميل],StCust,tblInv[الفترة],INDEX(tblBuckets[الفترة],5)),"#,##0.00;-#,##0.00;-"),"")))</f>
        <v/>
      </c>
      <c r="F84" s="119">
        <f>IF($M84="m",IF($O84&lt;&gt;"",INDEX(tblRec[المبلغ],$O84),0),IF($M84="l",INDEX(tblBuckets[الفترة],6),IF($M84="v",TEXT(SUMIFS(tblInv[المتبقي],tblInv[كود العميل],StCust,tblInv[الفترة],INDEX(tblBuckets[الفترة],6)),"#,##0.00;-#,##0.00;-"),"")))</f>
        <v/>
      </c>
      <c r="G84" s="120">
        <f>IF($M84="m",N(G83)+E84-F84,IF($M84="l",INDEX(tblBuckets[الفترة],7),IF($M84="v",TEXT(SUMIFS(tblInv[المتبقي],tblInv[كود العميل],StCust,tblInv[الفترة],INDEX(tblBuckets[الفترة],7)),"#,##0.00;-#,##0.00;-"),"")))</f>
        <v/>
      </c>
      <c r="L84" t="n">
        <v>79</v>
      </c>
      <c r="M84">
        <f>IF(L84&lt;=StCount,"m",IF(L84=StCount+2,"t",IF(L84=StCount+3,"l",IF(L84=StCount+4,"v",IF(L84=StCount+6,"p","")))))</f>
        <v/>
      </c>
      <c r="N84">
        <f>IF(M84="m",IFERROR(MATCH(L84,tblInv[ترتيب الكشف],0),""),"")</f>
        <v/>
      </c>
      <c r="O84">
        <f>IF(AND(M84="m",N84=""),IFERROR(MATCH(L84,tblRec[ترتيب الكشف],0),""),"")</f>
        <v/>
      </c>
    </row>
    <row r="85">
      <c r="A85" s="117">
        <f>IF($M85="m",IF($N85&lt;&gt;"",INDEX(tblInv[تاريخ الفاتورة],$N85),INDEX(tblRec[التاريخ],$O85)),IF($M85="l",INDEX(tblBuckets[الفترة],1),IF($M85="v",TEXT(SUMIFS(tblInv[المتبقي],tblInv[كود العميل],StCust,tblInv[الفترة],INDEX(tblBuckets[الفترة],1)),"#,##0.00;-#,##0.00;-"),"")))</f>
        <v/>
      </c>
      <c r="B85" s="83">
        <f>IF($M85="m",IF($N85&lt;&gt;"","فاتورة",INDEX(tblRec[النوع],$O85)),IF($M85="l",INDEX(tblBuckets[الفترة],2),IF($M85="v",TEXT(SUMIFS(tblInv[المتبقي],tblInv[كود العميل],StCust,tblInv[الفترة],INDEX(tblBuckets[الفترة],2)),"#,##0.00;-#,##0.00;-"),"")))</f>
        <v/>
      </c>
      <c r="C85" s="83">
        <f>IF($M85="m",IF($N85&lt;&gt;"",INDEX(tblInv[رقم الفاتورة],$N85),INDEX(tblRec[رقم السند],$O85)),IF($M85="l",INDEX(tblBuckets[الفترة],3),IF($M85="v",TEXT(SUMIFS(tblInv[المتبقي],tblInv[كود العميل],StCust,tblInv[الفترة],INDEX(tblBuckets[الفترة],3)),"#,##0.00;-#,##0.00;-"),"")))</f>
        <v/>
      </c>
      <c r="D85" s="118">
        <f>IF($M85="m",IF($N85&lt;&gt;"","فاتورة مبيعات — استحقاق "&amp;TEXT(INDEX(tblInv[تاريخ الاستحقاق],$N85),"dd/mm/yyyy")&amp;IF(INDEX(tblInv[ملاحظات],$N85)&amp;""&lt;&gt;""," — "&amp;INDEX(tblInv[ملاحظات],$N85),""),INDEX(tblRec[النوع],$O85)&amp;IF(INDEX(tblRec[طريقة الدفع],$O85)&amp;""&lt;&gt;""," ("&amp;INDEX(tblRec[طريقة الدفع],$O85)&amp;")","")&amp;IF(INDEX(tblRec[رقم الفاتورة],$O85)&amp;""&lt;&gt;""," — عن فاتورة "&amp;INDEX(tblRec[رقم الفاتورة],$O85)," — دفعة على الحساب")),IF($M85="l",INDEX(tblBuckets[الفترة],4),IF($M85="v",TEXT(SUMIFS(tblInv[المتبقي],tblInv[كود العميل],StCust,tblInv[الفترة],INDEX(tblBuckets[الفترة],4)),"#,##0.00;-#,##0.00;-"),IF($M85="t","ملخص أعمار رصيد العميل كما في "&amp;TEXT(AsOf,"dd/mm/yyyy"),IF($M85="p","يُرجى مطابقة الرصيد وإفادتنا خلال 15 يوماً، وإلا اعتُبر الرصيد صحيحاً.","")))))</f>
        <v/>
      </c>
      <c r="E85" s="119">
        <f>IF($M85="m",IF($N85&lt;&gt;"",INDEX(tblInv[الإجمالي],$N85),0),IF($M85="l",INDEX(tblBuckets[الفترة],5),IF($M85="v",TEXT(SUMIFS(tblInv[المتبقي],tblInv[كود العميل],StCust,tblInv[الفترة],INDEX(tblBuckets[الفترة],5)),"#,##0.00;-#,##0.00;-"),"")))</f>
        <v/>
      </c>
      <c r="F85" s="119">
        <f>IF($M85="m",IF($O85&lt;&gt;"",INDEX(tblRec[المبلغ],$O85),0),IF($M85="l",INDEX(tblBuckets[الفترة],6),IF($M85="v",TEXT(SUMIFS(tblInv[المتبقي],tblInv[كود العميل],StCust,tblInv[الفترة],INDEX(tblBuckets[الفترة],6)),"#,##0.00;-#,##0.00;-"),"")))</f>
        <v/>
      </c>
      <c r="G85" s="120">
        <f>IF($M85="m",N(G84)+E85-F85,IF($M85="l",INDEX(tblBuckets[الفترة],7),IF($M85="v",TEXT(SUMIFS(tblInv[المتبقي],tblInv[كود العميل],StCust,tblInv[الفترة],INDEX(tblBuckets[الفترة],7)),"#,##0.00;-#,##0.00;-"),"")))</f>
        <v/>
      </c>
      <c r="L85" t="n">
        <v>80</v>
      </c>
      <c r="M85">
        <f>IF(L85&lt;=StCount,"m",IF(L85=StCount+2,"t",IF(L85=StCount+3,"l",IF(L85=StCount+4,"v",IF(L85=StCount+6,"p","")))))</f>
        <v/>
      </c>
      <c r="N85">
        <f>IF(M85="m",IFERROR(MATCH(L85,tblInv[ترتيب الكشف],0),""),"")</f>
        <v/>
      </c>
      <c r="O85">
        <f>IF(AND(M85="m",N85=""),IFERROR(MATCH(L85,tblRec[ترتيب الكشف],0),""),"")</f>
        <v/>
      </c>
    </row>
    <row r="86">
      <c r="A86" s="117">
        <f>IF($M86="m",IF($N86&lt;&gt;"",INDEX(tblInv[تاريخ الفاتورة],$N86),INDEX(tblRec[التاريخ],$O86)),IF($M86="l",INDEX(tblBuckets[الفترة],1),IF($M86="v",TEXT(SUMIFS(tblInv[المتبقي],tblInv[كود العميل],StCust,tblInv[الفترة],INDEX(tblBuckets[الفترة],1)),"#,##0.00;-#,##0.00;-"),"")))</f>
        <v/>
      </c>
      <c r="B86" s="83">
        <f>IF($M86="m",IF($N86&lt;&gt;"","فاتورة",INDEX(tblRec[النوع],$O86)),IF($M86="l",INDEX(tblBuckets[الفترة],2),IF($M86="v",TEXT(SUMIFS(tblInv[المتبقي],tblInv[كود العميل],StCust,tblInv[الفترة],INDEX(tblBuckets[الفترة],2)),"#,##0.00;-#,##0.00;-"),"")))</f>
        <v/>
      </c>
      <c r="C86" s="83">
        <f>IF($M86="m",IF($N86&lt;&gt;"",INDEX(tblInv[رقم الفاتورة],$N86),INDEX(tblRec[رقم السند],$O86)),IF($M86="l",INDEX(tblBuckets[الفترة],3),IF($M86="v",TEXT(SUMIFS(tblInv[المتبقي],tblInv[كود العميل],StCust,tblInv[الفترة],INDEX(tblBuckets[الفترة],3)),"#,##0.00;-#,##0.00;-"),"")))</f>
        <v/>
      </c>
      <c r="D86" s="118">
        <f>IF($M86="m",IF($N86&lt;&gt;"","فاتورة مبيعات — استحقاق "&amp;TEXT(INDEX(tblInv[تاريخ الاستحقاق],$N86),"dd/mm/yyyy")&amp;IF(INDEX(tblInv[ملاحظات],$N86)&amp;""&lt;&gt;""," — "&amp;INDEX(tblInv[ملاحظات],$N86),""),INDEX(tblRec[النوع],$O86)&amp;IF(INDEX(tblRec[طريقة الدفع],$O86)&amp;""&lt;&gt;""," ("&amp;INDEX(tblRec[طريقة الدفع],$O86)&amp;")","")&amp;IF(INDEX(tblRec[رقم الفاتورة],$O86)&amp;""&lt;&gt;""," — عن فاتورة "&amp;INDEX(tblRec[رقم الفاتورة],$O86)," — دفعة على الحساب")),IF($M86="l",INDEX(tblBuckets[الفترة],4),IF($M86="v",TEXT(SUMIFS(tblInv[المتبقي],tblInv[كود العميل],StCust,tblInv[الفترة],INDEX(tblBuckets[الفترة],4)),"#,##0.00;-#,##0.00;-"),IF($M86="t","ملخص أعمار رصيد العميل كما في "&amp;TEXT(AsOf,"dd/mm/yyyy"),IF($M86="p","يُرجى مطابقة الرصيد وإفادتنا خلال 15 يوماً، وإلا اعتُبر الرصيد صحيحاً.","")))))</f>
        <v/>
      </c>
      <c r="E86" s="119">
        <f>IF($M86="m",IF($N86&lt;&gt;"",INDEX(tblInv[الإجمالي],$N86),0),IF($M86="l",INDEX(tblBuckets[الفترة],5),IF($M86="v",TEXT(SUMIFS(tblInv[المتبقي],tblInv[كود العميل],StCust,tblInv[الفترة],INDEX(tblBuckets[الفترة],5)),"#,##0.00;-#,##0.00;-"),"")))</f>
        <v/>
      </c>
      <c r="F86" s="119">
        <f>IF($M86="m",IF($O86&lt;&gt;"",INDEX(tblRec[المبلغ],$O86),0),IF($M86="l",INDEX(tblBuckets[الفترة],6),IF($M86="v",TEXT(SUMIFS(tblInv[المتبقي],tblInv[كود العميل],StCust,tblInv[الفترة],INDEX(tblBuckets[الفترة],6)),"#,##0.00;-#,##0.00;-"),"")))</f>
        <v/>
      </c>
      <c r="G86" s="120">
        <f>IF($M86="m",N(G85)+E86-F86,IF($M86="l",INDEX(tblBuckets[الفترة],7),IF($M86="v",TEXT(SUMIFS(tblInv[المتبقي],tblInv[كود العميل],StCust,tblInv[الفترة],INDEX(tblBuckets[الفترة],7)),"#,##0.00;-#,##0.00;-"),"")))</f>
        <v/>
      </c>
      <c r="L86" t="n">
        <v>81</v>
      </c>
      <c r="M86">
        <f>IF(L86&lt;=StCount,"m",IF(L86=StCount+2,"t",IF(L86=StCount+3,"l",IF(L86=StCount+4,"v",IF(L86=StCount+6,"p","")))))</f>
        <v/>
      </c>
      <c r="N86">
        <f>IF(M86="m",IFERROR(MATCH(L86,tblInv[ترتيب الكشف],0),""),"")</f>
        <v/>
      </c>
      <c r="O86">
        <f>IF(AND(M86="m",N86=""),IFERROR(MATCH(L86,tblRec[ترتيب الكشف],0),""),"")</f>
        <v/>
      </c>
    </row>
    <row r="87">
      <c r="A87" s="117">
        <f>IF($M87="m",IF($N87&lt;&gt;"",INDEX(tblInv[تاريخ الفاتورة],$N87),INDEX(tblRec[التاريخ],$O87)),IF($M87="l",INDEX(tblBuckets[الفترة],1),IF($M87="v",TEXT(SUMIFS(tblInv[المتبقي],tblInv[كود العميل],StCust,tblInv[الفترة],INDEX(tblBuckets[الفترة],1)),"#,##0.00;-#,##0.00;-"),"")))</f>
        <v/>
      </c>
      <c r="B87" s="83">
        <f>IF($M87="m",IF($N87&lt;&gt;"","فاتورة",INDEX(tblRec[النوع],$O87)),IF($M87="l",INDEX(tblBuckets[الفترة],2),IF($M87="v",TEXT(SUMIFS(tblInv[المتبقي],tblInv[كود العميل],StCust,tblInv[الفترة],INDEX(tblBuckets[الفترة],2)),"#,##0.00;-#,##0.00;-"),"")))</f>
        <v/>
      </c>
      <c r="C87" s="83">
        <f>IF($M87="m",IF($N87&lt;&gt;"",INDEX(tblInv[رقم الفاتورة],$N87),INDEX(tblRec[رقم السند],$O87)),IF($M87="l",INDEX(tblBuckets[الفترة],3),IF($M87="v",TEXT(SUMIFS(tblInv[المتبقي],tblInv[كود العميل],StCust,tblInv[الفترة],INDEX(tblBuckets[الفترة],3)),"#,##0.00;-#,##0.00;-"),"")))</f>
        <v/>
      </c>
      <c r="D87" s="118">
        <f>IF($M87="m",IF($N87&lt;&gt;"","فاتورة مبيعات — استحقاق "&amp;TEXT(INDEX(tblInv[تاريخ الاستحقاق],$N87),"dd/mm/yyyy")&amp;IF(INDEX(tblInv[ملاحظات],$N87)&amp;""&lt;&gt;""," — "&amp;INDEX(tblInv[ملاحظات],$N87),""),INDEX(tblRec[النوع],$O87)&amp;IF(INDEX(tblRec[طريقة الدفع],$O87)&amp;""&lt;&gt;""," ("&amp;INDEX(tblRec[طريقة الدفع],$O87)&amp;")","")&amp;IF(INDEX(tblRec[رقم الفاتورة],$O87)&amp;""&lt;&gt;""," — عن فاتورة "&amp;INDEX(tblRec[رقم الفاتورة],$O87)," — دفعة على الحساب")),IF($M87="l",INDEX(tblBuckets[الفترة],4),IF($M87="v",TEXT(SUMIFS(tblInv[المتبقي],tblInv[كود العميل],StCust,tblInv[الفترة],INDEX(tblBuckets[الفترة],4)),"#,##0.00;-#,##0.00;-"),IF($M87="t","ملخص أعمار رصيد العميل كما في "&amp;TEXT(AsOf,"dd/mm/yyyy"),IF($M87="p","يُرجى مطابقة الرصيد وإفادتنا خلال 15 يوماً، وإلا اعتُبر الرصيد صحيحاً.","")))))</f>
        <v/>
      </c>
      <c r="E87" s="119">
        <f>IF($M87="m",IF($N87&lt;&gt;"",INDEX(tblInv[الإجمالي],$N87),0),IF($M87="l",INDEX(tblBuckets[الفترة],5),IF($M87="v",TEXT(SUMIFS(tblInv[المتبقي],tblInv[كود العميل],StCust,tblInv[الفترة],INDEX(tblBuckets[الفترة],5)),"#,##0.00;-#,##0.00;-"),"")))</f>
        <v/>
      </c>
      <c r="F87" s="119">
        <f>IF($M87="m",IF($O87&lt;&gt;"",INDEX(tblRec[المبلغ],$O87),0),IF($M87="l",INDEX(tblBuckets[الفترة],6),IF($M87="v",TEXT(SUMIFS(tblInv[المتبقي],tblInv[كود العميل],StCust,tblInv[الفترة],INDEX(tblBuckets[الفترة],6)),"#,##0.00;-#,##0.00;-"),"")))</f>
        <v/>
      </c>
      <c r="G87" s="120">
        <f>IF($M87="m",N(G86)+E87-F87,IF($M87="l",INDEX(tblBuckets[الفترة],7),IF($M87="v",TEXT(SUMIFS(tblInv[المتبقي],tblInv[كود العميل],StCust,tblInv[الفترة],INDEX(tblBuckets[الفترة],7)),"#,##0.00;-#,##0.00;-"),"")))</f>
        <v/>
      </c>
      <c r="L87" t="n">
        <v>82</v>
      </c>
      <c r="M87">
        <f>IF(L87&lt;=StCount,"m",IF(L87=StCount+2,"t",IF(L87=StCount+3,"l",IF(L87=StCount+4,"v",IF(L87=StCount+6,"p","")))))</f>
        <v/>
      </c>
      <c r="N87">
        <f>IF(M87="m",IFERROR(MATCH(L87,tblInv[ترتيب الكشف],0),""),"")</f>
        <v/>
      </c>
      <c r="O87">
        <f>IF(AND(M87="m",N87=""),IFERROR(MATCH(L87,tblRec[ترتيب الكشف],0),""),"")</f>
        <v/>
      </c>
    </row>
    <row r="88">
      <c r="A88" s="117">
        <f>IF($M88="m",IF($N88&lt;&gt;"",INDEX(tblInv[تاريخ الفاتورة],$N88),INDEX(tblRec[التاريخ],$O88)),IF($M88="l",INDEX(tblBuckets[الفترة],1),IF($M88="v",TEXT(SUMIFS(tblInv[المتبقي],tblInv[كود العميل],StCust,tblInv[الفترة],INDEX(tblBuckets[الفترة],1)),"#,##0.00;-#,##0.00;-"),"")))</f>
        <v/>
      </c>
      <c r="B88" s="83">
        <f>IF($M88="m",IF($N88&lt;&gt;"","فاتورة",INDEX(tblRec[النوع],$O88)),IF($M88="l",INDEX(tblBuckets[الفترة],2),IF($M88="v",TEXT(SUMIFS(tblInv[المتبقي],tblInv[كود العميل],StCust,tblInv[الفترة],INDEX(tblBuckets[الفترة],2)),"#,##0.00;-#,##0.00;-"),"")))</f>
        <v/>
      </c>
      <c r="C88" s="83">
        <f>IF($M88="m",IF($N88&lt;&gt;"",INDEX(tblInv[رقم الفاتورة],$N88),INDEX(tblRec[رقم السند],$O88)),IF($M88="l",INDEX(tblBuckets[الفترة],3),IF($M88="v",TEXT(SUMIFS(tblInv[المتبقي],tblInv[كود العميل],StCust,tblInv[الفترة],INDEX(tblBuckets[الفترة],3)),"#,##0.00;-#,##0.00;-"),"")))</f>
        <v/>
      </c>
      <c r="D88" s="118">
        <f>IF($M88="m",IF($N88&lt;&gt;"","فاتورة مبيعات — استحقاق "&amp;TEXT(INDEX(tblInv[تاريخ الاستحقاق],$N88),"dd/mm/yyyy")&amp;IF(INDEX(tblInv[ملاحظات],$N88)&amp;""&lt;&gt;""," — "&amp;INDEX(tblInv[ملاحظات],$N88),""),INDEX(tblRec[النوع],$O88)&amp;IF(INDEX(tblRec[طريقة الدفع],$O88)&amp;""&lt;&gt;""," ("&amp;INDEX(tblRec[طريقة الدفع],$O88)&amp;")","")&amp;IF(INDEX(tblRec[رقم الفاتورة],$O88)&amp;""&lt;&gt;""," — عن فاتورة "&amp;INDEX(tblRec[رقم الفاتورة],$O88)," — دفعة على الحساب")),IF($M88="l",INDEX(tblBuckets[الفترة],4),IF($M88="v",TEXT(SUMIFS(tblInv[المتبقي],tblInv[كود العميل],StCust,tblInv[الفترة],INDEX(tblBuckets[الفترة],4)),"#,##0.00;-#,##0.00;-"),IF($M88="t","ملخص أعمار رصيد العميل كما في "&amp;TEXT(AsOf,"dd/mm/yyyy"),IF($M88="p","يُرجى مطابقة الرصيد وإفادتنا خلال 15 يوماً، وإلا اعتُبر الرصيد صحيحاً.","")))))</f>
        <v/>
      </c>
      <c r="E88" s="119">
        <f>IF($M88="m",IF($N88&lt;&gt;"",INDEX(tblInv[الإجمالي],$N88),0),IF($M88="l",INDEX(tblBuckets[الفترة],5),IF($M88="v",TEXT(SUMIFS(tblInv[المتبقي],tblInv[كود العميل],StCust,tblInv[الفترة],INDEX(tblBuckets[الفترة],5)),"#,##0.00;-#,##0.00;-"),"")))</f>
        <v/>
      </c>
      <c r="F88" s="119">
        <f>IF($M88="m",IF($O88&lt;&gt;"",INDEX(tblRec[المبلغ],$O88),0),IF($M88="l",INDEX(tblBuckets[الفترة],6),IF($M88="v",TEXT(SUMIFS(tblInv[المتبقي],tblInv[كود العميل],StCust,tblInv[الفترة],INDEX(tblBuckets[الفترة],6)),"#,##0.00;-#,##0.00;-"),"")))</f>
        <v/>
      </c>
      <c r="G88" s="120">
        <f>IF($M88="m",N(G87)+E88-F88,IF($M88="l",INDEX(tblBuckets[الفترة],7),IF($M88="v",TEXT(SUMIFS(tblInv[المتبقي],tblInv[كود العميل],StCust,tblInv[الفترة],INDEX(tblBuckets[الفترة],7)),"#,##0.00;-#,##0.00;-"),"")))</f>
        <v/>
      </c>
      <c r="L88" t="n">
        <v>83</v>
      </c>
      <c r="M88">
        <f>IF(L88&lt;=StCount,"m",IF(L88=StCount+2,"t",IF(L88=StCount+3,"l",IF(L88=StCount+4,"v",IF(L88=StCount+6,"p","")))))</f>
        <v/>
      </c>
      <c r="N88">
        <f>IF(M88="m",IFERROR(MATCH(L88,tblInv[ترتيب الكشف],0),""),"")</f>
        <v/>
      </c>
      <c r="O88">
        <f>IF(AND(M88="m",N88=""),IFERROR(MATCH(L88,tblRec[ترتيب الكشف],0),""),"")</f>
        <v/>
      </c>
    </row>
    <row r="89">
      <c r="A89" s="117">
        <f>IF($M89="m",IF($N89&lt;&gt;"",INDEX(tblInv[تاريخ الفاتورة],$N89),INDEX(tblRec[التاريخ],$O89)),IF($M89="l",INDEX(tblBuckets[الفترة],1),IF($M89="v",TEXT(SUMIFS(tblInv[المتبقي],tblInv[كود العميل],StCust,tblInv[الفترة],INDEX(tblBuckets[الفترة],1)),"#,##0.00;-#,##0.00;-"),"")))</f>
        <v/>
      </c>
      <c r="B89" s="83">
        <f>IF($M89="m",IF($N89&lt;&gt;"","فاتورة",INDEX(tblRec[النوع],$O89)),IF($M89="l",INDEX(tblBuckets[الفترة],2),IF($M89="v",TEXT(SUMIFS(tblInv[المتبقي],tblInv[كود العميل],StCust,tblInv[الفترة],INDEX(tblBuckets[الفترة],2)),"#,##0.00;-#,##0.00;-"),"")))</f>
        <v/>
      </c>
      <c r="C89" s="83">
        <f>IF($M89="m",IF($N89&lt;&gt;"",INDEX(tblInv[رقم الفاتورة],$N89),INDEX(tblRec[رقم السند],$O89)),IF($M89="l",INDEX(tblBuckets[الفترة],3),IF($M89="v",TEXT(SUMIFS(tblInv[المتبقي],tblInv[كود العميل],StCust,tblInv[الفترة],INDEX(tblBuckets[الفترة],3)),"#,##0.00;-#,##0.00;-"),"")))</f>
        <v/>
      </c>
      <c r="D89" s="118">
        <f>IF($M89="m",IF($N89&lt;&gt;"","فاتورة مبيعات — استحقاق "&amp;TEXT(INDEX(tblInv[تاريخ الاستحقاق],$N89),"dd/mm/yyyy")&amp;IF(INDEX(tblInv[ملاحظات],$N89)&amp;""&lt;&gt;""," — "&amp;INDEX(tblInv[ملاحظات],$N89),""),INDEX(tblRec[النوع],$O89)&amp;IF(INDEX(tblRec[طريقة الدفع],$O89)&amp;""&lt;&gt;""," ("&amp;INDEX(tblRec[طريقة الدفع],$O89)&amp;")","")&amp;IF(INDEX(tblRec[رقم الفاتورة],$O89)&amp;""&lt;&gt;""," — عن فاتورة "&amp;INDEX(tblRec[رقم الفاتورة],$O89)," — دفعة على الحساب")),IF($M89="l",INDEX(tblBuckets[الفترة],4),IF($M89="v",TEXT(SUMIFS(tblInv[المتبقي],tblInv[كود العميل],StCust,tblInv[الفترة],INDEX(tblBuckets[الفترة],4)),"#,##0.00;-#,##0.00;-"),IF($M89="t","ملخص أعمار رصيد العميل كما في "&amp;TEXT(AsOf,"dd/mm/yyyy"),IF($M89="p","يُرجى مطابقة الرصيد وإفادتنا خلال 15 يوماً، وإلا اعتُبر الرصيد صحيحاً.","")))))</f>
        <v/>
      </c>
      <c r="E89" s="119">
        <f>IF($M89="m",IF($N89&lt;&gt;"",INDEX(tblInv[الإجمالي],$N89),0),IF($M89="l",INDEX(tblBuckets[الفترة],5),IF($M89="v",TEXT(SUMIFS(tblInv[المتبقي],tblInv[كود العميل],StCust,tblInv[الفترة],INDEX(tblBuckets[الفترة],5)),"#,##0.00;-#,##0.00;-"),"")))</f>
        <v/>
      </c>
      <c r="F89" s="119">
        <f>IF($M89="m",IF($O89&lt;&gt;"",INDEX(tblRec[المبلغ],$O89),0),IF($M89="l",INDEX(tblBuckets[الفترة],6),IF($M89="v",TEXT(SUMIFS(tblInv[المتبقي],tblInv[كود العميل],StCust,tblInv[الفترة],INDEX(tblBuckets[الفترة],6)),"#,##0.00;-#,##0.00;-"),"")))</f>
        <v/>
      </c>
      <c r="G89" s="120">
        <f>IF($M89="m",N(G88)+E89-F89,IF($M89="l",INDEX(tblBuckets[الفترة],7),IF($M89="v",TEXT(SUMIFS(tblInv[المتبقي],tblInv[كود العميل],StCust,tblInv[الفترة],INDEX(tblBuckets[الفترة],7)),"#,##0.00;-#,##0.00;-"),"")))</f>
        <v/>
      </c>
      <c r="L89" t="n">
        <v>84</v>
      </c>
      <c r="M89">
        <f>IF(L89&lt;=StCount,"m",IF(L89=StCount+2,"t",IF(L89=StCount+3,"l",IF(L89=StCount+4,"v",IF(L89=StCount+6,"p","")))))</f>
        <v/>
      </c>
      <c r="N89">
        <f>IF(M89="m",IFERROR(MATCH(L89,tblInv[ترتيب الكشف],0),""),"")</f>
        <v/>
      </c>
      <c r="O89">
        <f>IF(AND(M89="m",N89=""),IFERROR(MATCH(L89,tblRec[ترتيب الكشف],0),""),"")</f>
        <v/>
      </c>
    </row>
    <row r="90">
      <c r="A90" s="117">
        <f>IF($M90="m",IF($N90&lt;&gt;"",INDEX(tblInv[تاريخ الفاتورة],$N90),INDEX(tblRec[التاريخ],$O90)),IF($M90="l",INDEX(tblBuckets[الفترة],1),IF($M90="v",TEXT(SUMIFS(tblInv[المتبقي],tblInv[كود العميل],StCust,tblInv[الفترة],INDEX(tblBuckets[الفترة],1)),"#,##0.00;-#,##0.00;-"),"")))</f>
        <v/>
      </c>
      <c r="B90" s="83">
        <f>IF($M90="m",IF($N90&lt;&gt;"","فاتورة",INDEX(tblRec[النوع],$O90)),IF($M90="l",INDEX(tblBuckets[الفترة],2),IF($M90="v",TEXT(SUMIFS(tblInv[المتبقي],tblInv[كود العميل],StCust,tblInv[الفترة],INDEX(tblBuckets[الفترة],2)),"#,##0.00;-#,##0.00;-"),"")))</f>
        <v/>
      </c>
      <c r="C90" s="83">
        <f>IF($M90="m",IF($N90&lt;&gt;"",INDEX(tblInv[رقم الفاتورة],$N90),INDEX(tblRec[رقم السند],$O90)),IF($M90="l",INDEX(tblBuckets[الفترة],3),IF($M90="v",TEXT(SUMIFS(tblInv[المتبقي],tblInv[كود العميل],StCust,tblInv[الفترة],INDEX(tblBuckets[الفترة],3)),"#,##0.00;-#,##0.00;-"),"")))</f>
        <v/>
      </c>
      <c r="D90" s="118">
        <f>IF($M90="m",IF($N90&lt;&gt;"","فاتورة مبيعات — استحقاق "&amp;TEXT(INDEX(tblInv[تاريخ الاستحقاق],$N90),"dd/mm/yyyy")&amp;IF(INDEX(tblInv[ملاحظات],$N90)&amp;""&lt;&gt;""," — "&amp;INDEX(tblInv[ملاحظات],$N90),""),INDEX(tblRec[النوع],$O90)&amp;IF(INDEX(tblRec[طريقة الدفع],$O90)&amp;""&lt;&gt;""," ("&amp;INDEX(tblRec[طريقة الدفع],$O90)&amp;")","")&amp;IF(INDEX(tblRec[رقم الفاتورة],$O90)&amp;""&lt;&gt;""," — عن فاتورة "&amp;INDEX(tblRec[رقم الفاتورة],$O90)," — دفعة على الحساب")),IF($M90="l",INDEX(tblBuckets[الفترة],4),IF($M90="v",TEXT(SUMIFS(tblInv[المتبقي],tblInv[كود العميل],StCust,tblInv[الفترة],INDEX(tblBuckets[الفترة],4)),"#,##0.00;-#,##0.00;-"),IF($M90="t","ملخص أعمار رصيد العميل كما في "&amp;TEXT(AsOf,"dd/mm/yyyy"),IF($M90="p","يُرجى مطابقة الرصيد وإفادتنا خلال 15 يوماً، وإلا اعتُبر الرصيد صحيحاً.","")))))</f>
        <v/>
      </c>
      <c r="E90" s="119">
        <f>IF($M90="m",IF($N90&lt;&gt;"",INDEX(tblInv[الإجمالي],$N90),0),IF($M90="l",INDEX(tblBuckets[الفترة],5),IF($M90="v",TEXT(SUMIFS(tblInv[المتبقي],tblInv[كود العميل],StCust,tblInv[الفترة],INDEX(tblBuckets[الفترة],5)),"#,##0.00;-#,##0.00;-"),"")))</f>
        <v/>
      </c>
      <c r="F90" s="119">
        <f>IF($M90="m",IF($O90&lt;&gt;"",INDEX(tblRec[المبلغ],$O90),0),IF($M90="l",INDEX(tblBuckets[الفترة],6),IF($M90="v",TEXT(SUMIFS(tblInv[المتبقي],tblInv[كود العميل],StCust,tblInv[الفترة],INDEX(tblBuckets[الفترة],6)),"#,##0.00;-#,##0.00;-"),"")))</f>
        <v/>
      </c>
      <c r="G90" s="120">
        <f>IF($M90="m",N(G89)+E90-F90,IF($M90="l",INDEX(tblBuckets[الفترة],7),IF($M90="v",TEXT(SUMIFS(tblInv[المتبقي],tblInv[كود العميل],StCust,tblInv[الفترة],INDEX(tblBuckets[الفترة],7)),"#,##0.00;-#,##0.00;-"),"")))</f>
        <v/>
      </c>
      <c r="L90" t="n">
        <v>85</v>
      </c>
      <c r="M90">
        <f>IF(L90&lt;=StCount,"m",IF(L90=StCount+2,"t",IF(L90=StCount+3,"l",IF(L90=StCount+4,"v",IF(L90=StCount+6,"p","")))))</f>
        <v/>
      </c>
      <c r="N90">
        <f>IF(M90="m",IFERROR(MATCH(L90,tblInv[ترتيب الكشف],0),""),"")</f>
        <v/>
      </c>
      <c r="O90">
        <f>IF(AND(M90="m",N90=""),IFERROR(MATCH(L90,tblRec[ترتيب الكشف],0),""),"")</f>
        <v/>
      </c>
    </row>
    <row r="91">
      <c r="A91" s="117">
        <f>IF($M91="m",IF($N91&lt;&gt;"",INDEX(tblInv[تاريخ الفاتورة],$N91),INDEX(tblRec[التاريخ],$O91)),IF($M91="l",INDEX(tblBuckets[الفترة],1),IF($M91="v",TEXT(SUMIFS(tblInv[المتبقي],tblInv[كود العميل],StCust,tblInv[الفترة],INDEX(tblBuckets[الفترة],1)),"#,##0.00;-#,##0.00;-"),"")))</f>
        <v/>
      </c>
      <c r="B91" s="83">
        <f>IF($M91="m",IF($N91&lt;&gt;"","فاتورة",INDEX(tblRec[النوع],$O91)),IF($M91="l",INDEX(tblBuckets[الفترة],2),IF($M91="v",TEXT(SUMIFS(tblInv[المتبقي],tblInv[كود العميل],StCust,tblInv[الفترة],INDEX(tblBuckets[الفترة],2)),"#,##0.00;-#,##0.00;-"),"")))</f>
        <v/>
      </c>
      <c r="C91" s="83">
        <f>IF($M91="m",IF($N91&lt;&gt;"",INDEX(tblInv[رقم الفاتورة],$N91),INDEX(tblRec[رقم السند],$O91)),IF($M91="l",INDEX(tblBuckets[الفترة],3),IF($M91="v",TEXT(SUMIFS(tblInv[المتبقي],tblInv[كود العميل],StCust,tblInv[الفترة],INDEX(tblBuckets[الفترة],3)),"#,##0.00;-#,##0.00;-"),"")))</f>
        <v/>
      </c>
      <c r="D91" s="118">
        <f>IF($M91="m",IF($N91&lt;&gt;"","فاتورة مبيعات — استحقاق "&amp;TEXT(INDEX(tblInv[تاريخ الاستحقاق],$N91),"dd/mm/yyyy")&amp;IF(INDEX(tblInv[ملاحظات],$N91)&amp;""&lt;&gt;""," — "&amp;INDEX(tblInv[ملاحظات],$N91),""),INDEX(tblRec[النوع],$O91)&amp;IF(INDEX(tblRec[طريقة الدفع],$O91)&amp;""&lt;&gt;""," ("&amp;INDEX(tblRec[طريقة الدفع],$O91)&amp;")","")&amp;IF(INDEX(tblRec[رقم الفاتورة],$O91)&amp;""&lt;&gt;""," — عن فاتورة "&amp;INDEX(tblRec[رقم الفاتورة],$O91)," — دفعة على الحساب")),IF($M91="l",INDEX(tblBuckets[الفترة],4),IF($M91="v",TEXT(SUMIFS(tblInv[المتبقي],tblInv[كود العميل],StCust,tblInv[الفترة],INDEX(tblBuckets[الفترة],4)),"#,##0.00;-#,##0.00;-"),IF($M91="t","ملخص أعمار رصيد العميل كما في "&amp;TEXT(AsOf,"dd/mm/yyyy"),IF($M91="p","يُرجى مطابقة الرصيد وإفادتنا خلال 15 يوماً، وإلا اعتُبر الرصيد صحيحاً.","")))))</f>
        <v/>
      </c>
      <c r="E91" s="119">
        <f>IF($M91="m",IF($N91&lt;&gt;"",INDEX(tblInv[الإجمالي],$N91),0),IF($M91="l",INDEX(tblBuckets[الفترة],5),IF($M91="v",TEXT(SUMIFS(tblInv[المتبقي],tblInv[كود العميل],StCust,tblInv[الفترة],INDEX(tblBuckets[الفترة],5)),"#,##0.00;-#,##0.00;-"),"")))</f>
        <v/>
      </c>
      <c r="F91" s="119">
        <f>IF($M91="m",IF($O91&lt;&gt;"",INDEX(tblRec[المبلغ],$O91),0),IF($M91="l",INDEX(tblBuckets[الفترة],6),IF($M91="v",TEXT(SUMIFS(tblInv[المتبقي],tblInv[كود العميل],StCust,tblInv[الفترة],INDEX(tblBuckets[الفترة],6)),"#,##0.00;-#,##0.00;-"),"")))</f>
        <v/>
      </c>
      <c r="G91" s="120">
        <f>IF($M91="m",N(G90)+E91-F91,IF($M91="l",INDEX(tblBuckets[الفترة],7),IF($M91="v",TEXT(SUMIFS(tblInv[المتبقي],tblInv[كود العميل],StCust,tblInv[الفترة],INDEX(tblBuckets[الفترة],7)),"#,##0.00;-#,##0.00;-"),"")))</f>
        <v/>
      </c>
      <c r="L91" t="n">
        <v>86</v>
      </c>
      <c r="M91">
        <f>IF(L91&lt;=StCount,"m",IF(L91=StCount+2,"t",IF(L91=StCount+3,"l",IF(L91=StCount+4,"v",IF(L91=StCount+6,"p","")))))</f>
        <v/>
      </c>
      <c r="N91">
        <f>IF(M91="m",IFERROR(MATCH(L91,tblInv[ترتيب الكشف],0),""),"")</f>
        <v/>
      </c>
      <c r="O91">
        <f>IF(AND(M91="m",N91=""),IFERROR(MATCH(L91,tblRec[ترتيب الكشف],0),""),"")</f>
        <v/>
      </c>
    </row>
    <row r="92">
      <c r="A92" s="117">
        <f>IF($M92="m",IF($N92&lt;&gt;"",INDEX(tblInv[تاريخ الفاتورة],$N92),INDEX(tblRec[التاريخ],$O92)),IF($M92="l",INDEX(tblBuckets[الفترة],1),IF($M92="v",TEXT(SUMIFS(tblInv[المتبقي],tblInv[كود العميل],StCust,tblInv[الفترة],INDEX(tblBuckets[الفترة],1)),"#,##0.00;-#,##0.00;-"),"")))</f>
        <v/>
      </c>
      <c r="B92" s="83">
        <f>IF($M92="m",IF($N92&lt;&gt;"","فاتورة",INDEX(tblRec[النوع],$O92)),IF($M92="l",INDEX(tblBuckets[الفترة],2),IF($M92="v",TEXT(SUMIFS(tblInv[المتبقي],tblInv[كود العميل],StCust,tblInv[الفترة],INDEX(tblBuckets[الفترة],2)),"#,##0.00;-#,##0.00;-"),"")))</f>
        <v/>
      </c>
      <c r="C92" s="83">
        <f>IF($M92="m",IF($N92&lt;&gt;"",INDEX(tblInv[رقم الفاتورة],$N92),INDEX(tblRec[رقم السند],$O92)),IF($M92="l",INDEX(tblBuckets[الفترة],3),IF($M92="v",TEXT(SUMIFS(tblInv[المتبقي],tblInv[كود العميل],StCust,tblInv[الفترة],INDEX(tblBuckets[الفترة],3)),"#,##0.00;-#,##0.00;-"),"")))</f>
        <v/>
      </c>
      <c r="D92" s="118">
        <f>IF($M92="m",IF($N92&lt;&gt;"","فاتورة مبيعات — استحقاق "&amp;TEXT(INDEX(tblInv[تاريخ الاستحقاق],$N92),"dd/mm/yyyy")&amp;IF(INDEX(tblInv[ملاحظات],$N92)&amp;""&lt;&gt;""," — "&amp;INDEX(tblInv[ملاحظات],$N92),""),INDEX(tblRec[النوع],$O92)&amp;IF(INDEX(tblRec[طريقة الدفع],$O92)&amp;""&lt;&gt;""," ("&amp;INDEX(tblRec[طريقة الدفع],$O92)&amp;")","")&amp;IF(INDEX(tblRec[رقم الفاتورة],$O92)&amp;""&lt;&gt;""," — عن فاتورة "&amp;INDEX(tblRec[رقم الفاتورة],$O92)," — دفعة على الحساب")),IF($M92="l",INDEX(tblBuckets[الفترة],4),IF($M92="v",TEXT(SUMIFS(tblInv[المتبقي],tblInv[كود العميل],StCust,tblInv[الفترة],INDEX(tblBuckets[الفترة],4)),"#,##0.00;-#,##0.00;-"),IF($M92="t","ملخص أعمار رصيد العميل كما في "&amp;TEXT(AsOf,"dd/mm/yyyy"),IF($M92="p","يُرجى مطابقة الرصيد وإفادتنا خلال 15 يوماً، وإلا اعتُبر الرصيد صحيحاً.","")))))</f>
        <v/>
      </c>
      <c r="E92" s="119">
        <f>IF($M92="m",IF($N92&lt;&gt;"",INDEX(tblInv[الإجمالي],$N92),0),IF($M92="l",INDEX(tblBuckets[الفترة],5),IF($M92="v",TEXT(SUMIFS(tblInv[المتبقي],tblInv[كود العميل],StCust,tblInv[الفترة],INDEX(tblBuckets[الفترة],5)),"#,##0.00;-#,##0.00;-"),"")))</f>
        <v/>
      </c>
      <c r="F92" s="119">
        <f>IF($M92="m",IF($O92&lt;&gt;"",INDEX(tblRec[المبلغ],$O92),0),IF($M92="l",INDEX(tblBuckets[الفترة],6),IF($M92="v",TEXT(SUMIFS(tblInv[المتبقي],tblInv[كود العميل],StCust,tblInv[الفترة],INDEX(tblBuckets[الفترة],6)),"#,##0.00;-#,##0.00;-"),"")))</f>
        <v/>
      </c>
      <c r="G92" s="120">
        <f>IF($M92="m",N(G91)+E92-F92,IF($M92="l",INDEX(tblBuckets[الفترة],7),IF($M92="v",TEXT(SUMIFS(tblInv[المتبقي],tblInv[كود العميل],StCust,tblInv[الفترة],INDEX(tblBuckets[الفترة],7)),"#,##0.00;-#,##0.00;-"),"")))</f>
        <v/>
      </c>
      <c r="L92" t="n">
        <v>87</v>
      </c>
      <c r="M92">
        <f>IF(L92&lt;=StCount,"m",IF(L92=StCount+2,"t",IF(L92=StCount+3,"l",IF(L92=StCount+4,"v",IF(L92=StCount+6,"p","")))))</f>
        <v/>
      </c>
      <c r="N92">
        <f>IF(M92="m",IFERROR(MATCH(L92,tblInv[ترتيب الكشف],0),""),"")</f>
        <v/>
      </c>
      <c r="O92">
        <f>IF(AND(M92="m",N92=""),IFERROR(MATCH(L92,tblRec[ترتيب الكشف],0),""),"")</f>
        <v/>
      </c>
    </row>
    <row r="93">
      <c r="A93" s="117">
        <f>IF($M93="m",IF($N93&lt;&gt;"",INDEX(tblInv[تاريخ الفاتورة],$N93),INDEX(tblRec[التاريخ],$O93)),IF($M93="l",INDEX(tblBuckets[الفترة],1),IF($M93="v",TEXT(SUMIFS(tblInv[المتبقي],tblInv[كود العميل],StCust,tblInv[الفترة],INDEX(tblBuckets[الفترة],1)),"#,##0.00;-#,##0.00;-"),"")))</f>
        <v/>
      </c>
      <c r="B93" s="83">
        <f>IF($M93="m",IF($N93&lt;&gt;"","فاتورة",INDEX(tblRec[النوع],$O93)),IF($M93="l",INDEX(tblBuckets[الفترة],2),IF($M93="v",TEXT(SUMIFS(tblInv[المتبقي],tblInv[كود العميل],StCust,tblInv[الفترة],INDEX(tblBuckets[الفترة],2)),"#,##0.00;-#,##0.00;-"),"")))</f>
        <v/>
      </c>
      <c r="C93" s="83">
        <f>IF($M93="m",IF($N93&lt;&gt;"",INDEX(tblInv[رقم الفاتورة],$N93),INDEX(tblRec[رقم السند],$O93)),IF($M93="l",INDEX(tblBuckets[الفترة],3),IF($M93="v",TEXT(SUMIFS(tblInv[المتبقي],tblInv[كود العميل],StCust,tblInv[الفترة],INDEX(tblBuckets[الفترة],3)),"#,##0.00;-#,##0.00;-"),"")))</f>
        <v/>
      </c>
      <c r="D93" s="118">
        <f>IF($M93="m",IF($N93&lt;&gt;"","فاتورة مبيعات — استحقاق "&amp;TEXT(INDEX(tblInv[تاريخ الاستحقاق],$N93),"dd/mm/yyyy")&amp;IF(INDEX(tblInv[ملاحظات],$N93)&amp;""&lt;&gt;""," — "&amp;INDEX(tblInv[ملاحظات],$N93),""),INDEX(tblRec[النوع],$O93)&amp;IF(INDEX(tblRec[طريقة الدفع],$O93)&amp;""&lt;&gt;""," ("&amp;INDEX(tblRec[طريقة الدفع],$O93)&amp;")","")&amp;IF(INDEX(tblRec[رقم الفاتورة],$O93)&amp;""&lt;&gt;""," — عن فاتورة "&amp;INDEX(tblRec[رقم الفاتورة],$O93)," — دفعة على الحساب")),IF($M93="l",INDEX(tblBuckets[الفترة],4),IF($M93="v",TEXT(SUMIFS(tblInv[المتبقي],tblInv[كود العميل],StCust,tblInv[الفترة],INDEX(tblBuckets[الفترة],4)),"#,##0.00;-#,##0.00;-"),IF($M93="t","ملخص أعمار رصيد العميل كما في "&amp;TEXT(AsOf,"dd/mm/yyyy"),IF($M93="p","يُرجى مطابقة الرصيد وإفادتنا خلال 15 يوماً، وإلا اعتُبر الرصيد صحيحاً.","")))))</f>
        <v/>
      </c>
      <c r="E93" s="119">
        <f>IF($M93="m",IF($N93&lt;&gt;"",INDEX(tblInv[الإجمالي],$N93),0),IF($M93="l",INDEX(tblBuckets[الفترة],5),IF($M93="v",TEXT(SUMIFS(tblInv[المتبقي],tblInv[كود العميل],StCust,tblInv[الفترة],INDEX(tblBuckets[الفترة],5)),"#,##0.00;-#,##0.00;-"),"")))</f>
        <v/>
      </c>
      <c r="F93" s="119">
        <f>IF($M93="m",IF($O93&lt;&gt;"",INDEX(tblRec[المبلغ],$O93),0),IF($M93="l",INDEX(tblBuckets[الفترة],6),IF($M93="v",TEXT(SUMIFS(tblInv[المتبقي],tblInv[كود العميل],StCust,tblInv[الفترة],INDEX(tblBuckets[الفترة],6)),"#,##0.00;-#,##0.00;-"),"")))</f>
        <v/>
      </c>
      <c r="G93" s="120">
        <f>IF($M93="m",N(G92)+E93-F93,IF($M93="l",INDEX(tblBuckets[الفترة],7),IF($M93="v",TEXT(SUMIFS(tblInv[المتبقي],tblInv[كود العميل],StCust,tblInv[الفترة],INDEX(tblBuckets[الفترة],7)),"#,##0.00;-#,##0.00;-"),"")))</f>
        <v/>
      </c>
      <c r="L93" t="n">
        <v>88</v>
      </c>
      <c r="M93">
        <f>IF(L93&lt;=StCount,"m",IF(L93=StCount+2,"t",IF(L93=StCount+3,"l",IF(L93=StCount+4,"v",IF(L93=StCount+6,"p","")))))</f>
        <v/>
      </c>
      <c r="N93">
        <f>IF(M93="m",IFERROR(MATCH(L93,tblInv[ترتيب الكشف],0),""),"")</f>
        <v/>
      </c>
      <c r="O93">
        <f>IF(AND(M93="m",N93=""),IFERROR(MATCH(L93,tblRec[ترتيب الكشف],0),""),"")</f>
        <v/>
      </c>
    </row>
    <row r="94">
      <c r="A94" s="117">
        <f>IF($M94="m",IF($N94&lt;&gt;"",INDEX(tblInv[تاريخ الفاتورة],$N94),INDEX(tblRec[التاريخ],$O94)),IF($M94="l",INDEX(tblBuckets[الفترة],1),IF($M94="v",TEXT(SUMIFS(tblInv[المتبقي],tblInv[كود العميل],StCust,tblInv[الفترة],INDEX(tblBuckets[الفترة],1)),"#,##0.00;-#,##0.00;-"),"")))</f>
        <v/>
      </c>
      <c r="B94" s="83">
        <f>IF($M94="m",IF($N94&lt;&gt;"","فاتورة",INDEX(tblRec[النوع],$O94)),IF($M94="l",INDEX(tblBuckets[الفترة],2),IF($M94="v",TEXT(SUMIFS(tblInv[المتبقي],tblInv[كود العميل],StCust,tblInv[الفترة],INDEX(tblBuckets[الفترة],2)),"#,##0.00;-#,##0.00;-"),"")))</f>
        <v/>
      </c>
      <c r="C94" s="83">
        <f>IF($M94="m",IF($N94&lt;&gt;"",INDEX(tblInv[رقم الفاتورة],$N94),INDEX(tblRec[رقم السند],$O94)),IF($M94="l",INDEX(tblBuckets[الفترة],3),IF($M94="v",TEXT(SUMIFS(tblInv[المتبقي],tblInv[كود العميل],StCust,tblInv[الفترة],INDEX(tblBuckets[الفترة],3)),"#,##0.00;-#,##0.00;-"),"")))</f>
        <v/>
      </c>
      <c r="D94" s="118">
        <f>IF($M94="m",IF($N94&lt;&gt;"","فاتورة مبيعات — استحقاق "&amp;TEXT(INDEX(tblInv[تاريخ الاستحقاق],$N94),"dd/mm/yyyy")&amp;IF(INDEX(tblInv[ملاحظات],$N94)&amp;""&lt;&gt;""," — "&amp;INDEX(tblInv[ملاحظات],$N94),""),INDEX(tblRec[النوع],$O94)&amp;IF(INDEX(tblRec[طريقة الدفع],$O94)&amp;""&lt;&gt;""," ("&amp;INDEX(tblRec[طريقة الدفع],$O94)&amp;")","")&amp;IF(INDEX(tblRec[رقم الفاتورة],$O94)&amp;""&lt;&gt;""," — عن فاتورة "&amp;INDEX(tblRec[رقم الفاتورة],$O94)," — دفعة على الحساب")),IF($M94="l",INDEX(tblBuckets[الفترة],4),IF($M94="v",TEXT(SUMIFS(tblInv[المتبقي],tblInv[كود العميل],StCust,tblInv[الفترة],INDEX(tblBuckets[الفترة],4)),"#,##0.00;-#,##0.00;-"),IF($M94="t","ملخص أعمار رصيد العميل كما في "&amp;TEXT(AsOf,"dd/mm/yyyy"),IF($M94="p","يُرجى مطابقة الرصيد وإفادتنا خلال 15 يوماً، وإلا اعتُبر الرصيد صحيحاً.","")))))</f>
        <v/>
      </c>
      <c r="E94" s="119">
        <f>IF($M94="m",IF($N94&lt;&gt;"",INDEX(tblInv[الإجمالي],$N94),0),IF($M94="l",INDEX(tblBuckets[الفترة],5),IF($M94="v",TEXT(SUMIFS(tblInv[المتبقي],tblInv[كود العميل],StCust,tblInv[الفترة],INDEX(tblBuckets[الفترة],5)),"#,##0.00;-#,##0.00;-"),"")))</f>
        <v/>
      </c>
      <c r="F94" s="119">
        <f>IF($M94="m",IF($O94&lt;&gt;"",INDEX(tblRec[المبلغ],$O94),0),IF($M94="l",INDEX(tblBuckets[الفترة],6),IF($M94="v",TEXT(SUMIFS(tblInv[المتبقي],tblInv[كود العميل],StCust,tblInv[الفترة],INDEX(tblBuckets[الفترة],6)),"#,##0.00;-#,##0.00;-"),"")))</f>
        <v/>
      </c>
      <c r="G94" s="120">
        <f>IF($M94="m",N(G93)+E94-F94,IF($M94="l",INDEX(tblBuckets[الفترة],7),IF($M94="v",TEXT(SUMIFS(tblInv[المتبقي],tblInv[كود العميل],StCust,tblInv[الفترة],INDEX(tblBuckets[الفترة],7)),"#,##0.00;-#,##0.00;-"),"")))</f>
        <v/>
      </c>
      <c r="L94" t="n">
        <v>89</v>
      </c>
      <c r="M94">
        <f>IF(L94&lt;=StCount,"m",IF(L94=StCount+2,"t",IF(L94=StCount+3,"l",IF(L94=StCount+4,"v",IF(L94=StCount+6,"p","")))))</f>
        <v/>
      </c>
      <c r="N94">
        <f>IF(M94="m",IFERROR(MATCH(L94,tblInv[ترتيب الكشف],0),""),"")</f>
        <v/>
      </c>
      <c r="O94">
        <f>IF(AND(M94="m",N94=""),IFERROR(MATCH(L94,tblRec[ترتيب الكشف],0),""),"")</f>
        <v/>
      </c>
    </row>
    <row r="95">
      <c r="A95" s="117">
        <f>IF($M95="m",IF($N95&lt;&gt;"",INDEX(tblInv[تاريخ الفاتورة],$N95),INDEX(tblRec[التاريخ],$O95)),IF($M95="l",INDEX(tblBuckets[الفترة],1),IF($M95="v",TEXT(SUMIFS(tblInv[المتبقي],tblInv[كود العميل],StCust,tblInv[الفترة],INDEX(tblBuckets[الفترة],1)),"#,##0.00;-#,##0.00;-"),"")))</f>
        <v/>
      </c>
      <c r="B95" s="83">
        <f>IF($M95="m",IF($N95&lt;&gt;"","فاتورة",INDEX(tblRec[النوع],$O95)),IF($M95="l",INDEX(tblBuckets[الفترة],2),IF($M95="v",TEXT(SUMIFS(tblInv[المتبقي],tblInv[كود العميل],StCust,tblInv[الفترة],INDEX(tblBuckets[الفترة],2)),"#,##0.00;-#,##0.00;-"),"")))</f>
        <v/>
      </c>
      <c r="C95" s="83">
        <f>IF($M95="m",IF($N95&lt;&gt;"",INDEX(tblInv[رقم الفاتورة],$N95),INDEX(tblRec[رقم السند],$O95)),IF($M95="l",INDEX(tblBuckets[الفترة],3),IF($M95="v",TEXT(SUMIFS(tblInv[المتبقي],tblInv[كود العميل],StCust,tblInv[الفترة],INDEX(tblBuckets[الفترة],3)),"#,##0.00;-#,##0.00;-"),"")))</f>
        <v/>
      </c>
      <c r="D95" s="118">
        <f>IF($M95="m",IF($N95&lt;&gt;"","فاتورة مبيعات — استحقاق "&amp;TEXT(INDEX(tblInv[تاريخ الاستحقاق],$N95),"dd/mm/yyyy")&amp;IF(INDEX(tblInv[ملاحظات],$N95)&amp;""&lt;&gt;""," — "&amp;INDEX(tblInv[ملاحظات],$N95),""),INDEX(tblRec[النوع],$O95)&amp;IF(INDEX(tblRec[طريقة الدفع],$O95)&amp;""&lt;&gt;""," ("&amp;INDEX(tblRec[طريقة الدفع],$O95)&amp;")","")&amp;IF(INDEX(tblRec[رقم الفاتورة],$O95)&amp;""&lt;&gt;""," — عن فاتورة "&amp;INDEX(tblRec[رقم الفاتورة],$O95)," — دفعة على الحساب")),IF($M95="l",INDEX(tblBuckets[الفترة],4),IF($M95="v",TEXT(SUMIFS(tblInv[المتبقي],tblInv[كود العميل],StCust,tblInv[الفترة],INDEX(tblBuckets[الفترة],4)),"#,##0.00;-#,##0.00;-"),IF($M95="t","ملخص أعمار رصيد العميل كما في "&amp;TEXT(AsOf,"dd/mm/yyyy"),IF($M95="p","يُرجى مطابقة الرصيد وإفادتنا خلال 15 يوماً، وإلا اعتُبر الرصيد صحيحاً.","")))))</f>
        <v/>
      </c>
      <c r="E95" s="119">
        <f>IF($M95="m",IF($N95&lt;&gt;"",INDEX(tblInv[الإجمالي],$N95),0),IF($M95="l",INDEX(tblBuckets[الفترة],5),IF($M95="v",TEXT(SUMIFS(tblInv[المتبقي],tblInv[كود العميل],StCust,tblInv[الفترة],INDEX(tblBuckets[الفترة],5)),"#,##0.00;-#,##0.00;-"),"")))</f>
        <v/>
      </c>
      <c r="F95" s="119">
        <f>IF($M95="m",IF($O95&lt;&gt;"",INDEX(tblRec[المبلغ],$O95),0),IF($M95="l",INDEX(tblBuckets[الفترة],6),IF($M95="v",TEXT(SUMIFS(tblInv[المتبقي],tblInv[كود العميل],StCust,tblInv[الفترة],INDEX(tblBuckets[الفترة],6)),"#,##0.00;-#,##0.00;-"),"")))</f>
        <v/>
      </c>
      <c r="G95" s="120">
        <f>IF($M95="m",N(G94)+E95-F95,IF($M95="l",INDEX(tblBuckets[الفترة],7),IF($M95="v",TEXT(SUMIFS(tblInv[المتبقي],tblInv[كود العميل],StCust,tblInv[الفترة],INDEX(tblBuckets[الفترة],7)),"#,##0.00;-#,##0.00;-"),"")))</f>
        <v/>
      </c>
      <c r="L95" t="n">
        <v>90</v>
      </c>
      <c r="M95">
        <f>IF(L95&lt;=StCount,"m",IF(L95=StCount+2,"t",IF(L95=StCount+3,"l",IF(L95=StCount+4,"v",IF(L95=StCount+6,"p","")))))</f>
        <v/>
      </c>
      <c r="N95">
        <f>IF(M95="m",IFERROR(MATCH(L95,tblInv[ترتيب الكشف],0),""),"")</f>
        <v/>
      </c>
      <c r="O95">
        <f>IF(AND(M95="m",N95=""),IFERROR(MATCH(L95,tblRec[ترتيب الكشف],0),""),"")</f>
        <v/>
      </c>
    </row>
    <row r="96">
      <c r="A96" s="117">
        <f>IF($M96="m",IF($N96&lt;&gt;"",INDEX(tblInv[تاريخ الفاتورة],$N96),INDEX(tblRec[التاريخ],$O96)),IF($M96="l",INDEX(tblBuckets[الفترة],1),IF($M96="v",TEXT(SUMIFS(tblInv[المتبقي],tblInv[كود العميل],StCust,tblInv[الفترة],INDEX(tblBuckets[الفترة],1)),"#,##0.00;-#,##0.00;-"),"")))</f>
        <v/>
      </c>
      <c r="B96" s="83">
        <f>IF($M96="m",IF($N96&lt;&gt;"","فاتورة",INDEX(tblRec[النوع],$O96)),IF($M96="l",INDEX(tblBuckets[الفترة],2),IF($M96="v",TEXT(SUMIFS(tblInv[المتبقي],tblInv[كود العميل],StCust,tblInv[الفترة],INDEX(tblBuckets[الفترة],2)),"#,##0.00;-#,##0.00;-"),"")))</f>
        <v/>
      </c>
      <c r="C96" s="83">
        <f>IF($M96="m",IF($N96&lt;&gt;"",INDEX(tblInv[رقم الفاتورة],$N96),INDEX(tblRec[رقم السند],$O96)),IF($M96="l",INDEX(tblBuckets[الفترة],3),IF($M96="v",TEXT(SUMIFS(tblInv[المتبقي],tblInv[كود العميل],StCust,tblInv[الفترة],INDEX(tblBuckets[الفترة],3)),"#,##0.00;-#,##0.00;-"),"")))</f>
        <v/>
      </c>
      <c r="D96" s="118">
        <f>IF($M96="m",IF($N96&lt;&gt;"","فاتورة مبيعات — استحقاق "&amp;TEXT(INDEX(tblInv[تاريخ الاستحقاق],$N96),"dd/mm/yyyy")&amp;IF(INDEX(tblInv[ملاحظات],$N96)&amp;""&lt;&gt;""," — "&amp;INDEX(tblInv[ملاحظات],$N96),""),INDEX(tblRec[النوع],$O96)&amp;IF(INDEX(tblRec[طريقة الدفع],$O96)&amp;""&lt;&gt;""," ("&amp;INDEX(tblRec[طريقة الدفع],$O96)&amp;")","")&amp;IF(INDEX(tblRec[رقم الفاتورة],$O96)&amp;""&lt;&gt;""," — عن فاتورة "&amp;INDEX(tblRec[رقم الفاتورة],$O96)," — دفعة على الحساب")),IF($M96="l",INDEX(tblBuckets[الفترة],4),IF($M96="v",TEXT(SUMIFS(tblInv[المتبقي],tblInv[كود العميل],StCust,tblInv[الفترة],INDEX(tblBuckets[الفترة],4)),"#,##0.00;-#,##0.00;-"),IF($M96="t","ملخص أعمار رصيد العميل كما في "&amp;TEXT(AsOf,"dd/mm/yyyy"),IF($M96="p","يُرجى مطابقة الرصيد وإفادتنا خلال 15 يوماً، وإلا اعتُبر الرصيد صحيحاً.","")))))</f>
        <v/>
      </c>
      <c r="E96" s="119">
        <f>IF($M96="m",IF($N96&lt;&gt;"",INDEX(tblInv[الإجمالي],$N96),0),IF($M96="l",INDEX(tblBuckets[الفترة],5),IF($M96="v",TEXT(SUMIFS(tblInv[المتبقي],tblInv[كود العميل],StCust,tblInv[الفترة],INDEX(tblBuckets[الفترة],5)),"#,##0.00;-#,##0.00;-"),"")))</f>
        <v/>
      </c>
      <c r="F96" s="119">
        <f>IF($M96="m",IF($O96&lt;&gt;"",INDEX(tblRec[المبلغ],$O96),0),IF($M96="l",INDEX(tblBuckets[الفترة],6),IF($M96="v",TEXT(SUMIFS(tblInv[المتبقي],tblInv[كود العميل],StCust,tblInv[الفترة],INDEX(tblBuckets[الفترة],6)),"#,##0.00;-#,##0.00;-"),"")))</f>
        <v/>
      </c>
      <c r="G96" s="120">
        <f>IF($M96="m",N(G95)+E96-F96,IF($M96="l",INDEX(tblBuckets[الفترة],7),IF($M96="v",TEXT(SUMIFS(tblInv[المتبقي],tblInv[كود العميل],StCust,tblInv[الفترة],INDEX(tblBuckets[الفترة],7)),"#,##0.00;-#,##0.00;-"),"")))</f>
        <v/>
      </c>
      <c r="L96" t="n">
        <v>91</v>
      </c>
      <c r="M96">
        <f>IF(L96&lt;=StCount,"m",IF(L96=StCount+2,"t",IF(L96=StCount+3,"l",IF(L96=StCount+4,"v",IF(L96=StCount+6,"p","")))))</f>
        <v/>
      </c>
      <c r="N96">
        <f>IF(M96="m",IFERROR(MATCH(L96,tblInv[ترتيب الكشف],0),""),"")</f>
        <v/>
      </c>
      <c r="O96">
        <f>IF(AND(M96="m",N96=""),IFERROR(MATCH(L96,tblRec[ترتيب الكشف],0),""),"")</f>
        <v/>
      </c>
    </row>
    <row r="97">
      <c r="A97" s="117">
        <f>IF($M97="m",IF($N97&lt;&gt;"",INDEX(tblInv[تاريخ الفاتورة],$N97),INDEX(tblRec[التاريخ],$O97)),IF($M97="l",INDEX(tblBuckets[الفترة],1),IF($M97="v",TEXT(SUMIFS(tblInv[المتبقي],tblInv[كود العميل],StCust,tblInv[الفترة],INDEX(tblBuckets[الفترة],1)),"#,##0.00;-#,##0.00;-"),"")))</f>
        <v/>
      </c>
      <c r="B97" s="83">
        <f>IF($M97="m",IF($N97&lt;&gt;"","فاتورة",INDEX(tblRec[النوع],$O97)),IF($M97="l",INDEX(tblBuckets[الفترة],2),IF($M97="v",TEXT(SUMIFS(tblInv[المتبقي],tblInv[كود العميل],StCust,tblInv[الفترة],INDEX(tblBuckets[الفترة],2)),"#,##0.00;-#,##0.00;-"),"")))</f>
        <v/>
      </c>
      <c r="C97" s="83">
        <f>IF($M97="m",IF($N97&lt;&gt;"",INDEX(tblInv[رقم الفاتورة],$N97),INDEX(tblRec[رقم السند],$O97)),IF($M97="l",INDEX(tblBuckets[الفترة],3),IF($M97="v",TEXT(SUMIFS(tblInv[المتبقي],tblInv[كود العميل],StCust,tblInv[الفترة],INDEX(tblBuckets[الفترة],3)),"#,##0.00;-#,##0.00;-"),"")))</f>
        <v/>
      </c>
      <c r="D97" s="118">
        <f>IF($M97="m",IF($N97&lt;&gt;"","فاتورة مبيعات — استحقاق "&amp;TEXT(INDEX(tblInv[تاريخ الاستحقاق],$N97),"dd/mm/yyyy")&amp;IF(INDEX(tblInv[ملاحظات],$N97)&amp;""&lt;&gt;""," — "&amp;INDEX(tblInv[ملاحظات],$N97),""),INDEX(tblRec[النوع],$O97)&amp;IF(INDEX(tblRec[طريقة الدفع],$O97)&amp;""&lt;&gt;""," ("&amp;INDEX(tblRec[طريقة الدفع],$O97)&amp;")","")&amp;IF(INDEX(tblRec[رقم الفاتورة],$O97)&amp;""&lt;&gt;""," — عن فاتورة "&amp;INDEX(tblRec[رقم الفاتورة],$O97)," — دفعة على الحساب")),IF($M97="l",INDEX(tblBuckets[الفترة],4),IF($M97="v",TEXT(SUMIFS(tblInv[المتبقي],tblInv[كود العميل],StCust,tblInv[الفترة],INDEX(tblBuckets[الفترة],4)),"#,##0.00;-#,##0.00;-"),IF($M97="t","ملخص أعمار رصيد العميل كما في "&amp;TEXT(AsOf,"dd/mm/yyyy"),IF($M97="p","يُرجى مطابقة الرصيد وإفادتنا خلال 15 يوماً، وإلا اعتُبر الرصيد صحيحاً.","")))))</f>
        <v/>
      </c>
      <c r="E97" s="119">
        <f>IF($M97="m",IF($N97&lt;&gt;"",INDEX(tblInv[الإجمالي],$N97),0),IF($M97="l",INDEX(tblBuckets[الفترة],5),IF($M97="v",TEXT(SUMIFS(tblInv[المتبقي],tblInv[كود العميل],StCust,tblInv[الفترة],INDEX(tblBuckets[الفترة],5)),"#,##0.00;-#,##0.00;-"),"")))</f>
        <v/>
      </c>
      <c r="F97" s="119">
        <f>IF($M97="m",IF($O97&lt;&gt;"",INDEX(tblRec[المبلغ],$O97),0),IF($M97="l",INDEX(tblBuckets[الفترة],6),IF($M97="v",TEXT(SUMIFS(tblInv[المتبقي],tblInv[كود العميل],StCust,tblInv[الفترة],INDEX(tblBuckets[الفترة],6)),"#,##0.00;-#,##0.00;-"),"")))</f>
        <v/>
      </c>
      <c r="G97" s="120">
        <f>IF($M97="m",N(G96)+E97-F97,IF($M97="l",INDEX(tblBuckets[الفترة],7),IF($M97="v",TEXT(SUMIFS(tblInv[المتبقي],tblInv[كود العميل],StCust,tblInv[الفترة],INDEX(tblBuckets[الفترة],7)),"#,##0.00;-#,##0.00;-"),"")))</f>
        <v/>
      </c>
      <c r="L97" t="n">
        <v>92</v>
      </c>
      <c r="M97">
        <f>IF(L97&lt;=StCount,"m",IF(L97=StCount+2,"t",IF(L97=StCount+3,"l",IF(L97=StCount+4,"v",IF(L97=StCount+6,"p","")))))</f>
        <v/>
      </c>
      <c r="N97">
        <f>IF(M97="m",IFERROR(MATCH(L97,tblInv[ترتيب الكشف],0),""),"")</f>
        <v/>
      </c>
      <c r="O97">
        <f>IF(AND(M97="m",N97=""),IFERROR(MATCH(L97,tblRec[ترتيب الكشف],0),""),"")</f>
        <v/>
      </c>
    </row>
    <row r="98">
      <c r="A98" s="117">
        <f>IF($M98="m",IF($N98&lt;&gt;"",INDEX(tblInv[تاريخ الفاتورة],$N98),INDEX(tblRec[التاريخ],$O98)),IF($M98="l",INDEX(tblBuckets[الفترة],1),IF($M98="v",TEXT(SUMIFS(tblInv[المتبقي],tblInv[كود العميل],StCust,tblInv[الفترة],INDEX(tblBuckets[الفترة],1)),"#,##0.00;-#,##0.00;-"),"")))</f>
        <v/>
      </c>
      <c r="B98" s="83">
        <f>IF($M98="m",IF($N98&lt;&gt;"","فاتورة",INDEX(tblRec[النوع],$O98)),IF($M98="l",INDEX(tblBuckets[الفترة],2),IF($M98="v",TEXT(SUMIFS(tblInv[المتبقي],tblInv[كود العميل],StCust,tblInv[الفترة],INDEX(tblBuckets[الفترة],2)),"#,##0.00;-#,##0.00;-"),"")))</f>
        <v/>
      </c>
      <c r="C98" s="83">
        <f>IF($M98="m",IF($N98&lt;&gt;"",INDEX(tblInv[رقم الفاتورة],$N98),INDEX(tblRec[رقم السند],$O98)),IF($M98="l",INDEX(tblBuckets[الفترة],3),IF($M98="v",TEXT(SUMIFS(tblInv[المتبقي],tblInv[كود العميل],StCust,tblInv[الفترة],INDEX(tblBuckets[الفترة],3)),"#,##0.00;-#,##0.00;-"),"")))</f>
        <v/>
      </c>
      <c r="D98" s="118">
        <f>IF($M98="m",IF($N98&lt;&gt;"","فاتورة مبيعات — استحقاق "&amp;TEXT(INDEX(tblInv[تاريخ الاستحقاق],$N98),"dd/mm/yyyy")&amp;IF(INDEX(tblInv[ملاحظات],$N98)&amp;""&lt;&gt;""," — "&amp;INDEX(tblInv[ملاحظات],$N98),""),INDEX(tblRec[النوع],$O98)&amp;IF(INDEX(tblRec[طريقة الدفع],$O98)&amp;""&lt;&gt;""," ("&amp;INDEX(tblRec[طريقة الدفع],$O98)&amp;")","")&amp;IF(INDEX(tblRec[رقم الفاتورة],$O98)&amp;""&lt;&gt;""," — عن فاتورة "&amp;INDEX(tblRec[رقم الفاتورة],$O98)," — دفعة على الحساب")),IF($M98="l",INDEX(tblBuckets[الفترة],4),IF($M98="v",TEXT(SUMIFS(tblInv[المتبقي],tblInv[كود العميل],StCust,tblInv[الفترة],INDEX(tblBuckets[الفترة],4)),"#,##0.00;-#,##0.00;-"),IF($M98="t","ملخص أعمار رصيد العميل كما في "&amp;TEXT(AsOf,"dd/mm/yyyy"),IF($M98="p","يُرجى مطابقة الرصيد وإفادتنا خلال 15 يوماً، وإلا اعتُبر الرصيد صحيحاً.","")))))</f>
        <v/>
      </c>
      <c r="E98" s="119">
        <f>IF($M98="m",IF($N98&lt;&gt;"",INDEX(tblInv[الإجمالي],$N98),0),IF($M98="l",INDEX(tblBuckets[الفترة],5),IF($M98="v",TEXT(SUMIFS(tblInv[المتبقي],tblInv[كود العميل],StCust,tblInv[الفترة],INDEX(tblBuckets[الفترة],5)),"#,##0.00;-#,##0.00;-"),"")))</f>
        <v/>
      </c>
      <c r="F98" s="119">
        <f>IF($M98="m",IF($O98&lt;&gt;"",INDEX(tblRec[المبلغ],$O98),0),IF($M98="l",INDEX(tblBuckets[الفترة],6),IF($M98="v",TEXT(SUMIFS(tblInv[المتبقي],tblInv[كود العميل],StCust,tblInv[الفترة],INDEX(tblBuckets[الفترة],6)),"#,##0.00;-#,##0.00;-"),"")))</f>
        <v/>
      </c>
      <c r="G98" s="120">
        <f>IF($M98="m",N(G97)+E98-F98,IF($M98="l",INDEX(tblBuckets[الفترة],7),IF($M98="v",TEXT(SUMIFS(tblInv[المتبقي],tblInv[كود العميل],StCust,tblInv[الفترة],INDEX(tblBuckets[الفترة],7)),"#,##0.00;-#,##0.00;-"),"")))</f>
        <v/>
      </c>
      <c r="L98" t="n">
        <v>93</v>
      </c>
      <c r="M98">
        <f>IF(L98&lt;=StCount,"m",IF(L98=StCount+2,"t",IF(L98=StCount+3,"l",IF(L98=StCount+4,"v",IF(L98=StCount+6,"p","")))))</f>
        <v/>
      </c>
      <c r="N98">
        <f>IF(M98="m",IFERROR(MATCH(L98,tblInv[ترتيب الكشف],0),""),"")</f>
        <v/>
      </c>
      <c r="O98">
        <f>IF(AND(M98="m",N98=""),IFERROR(MATCH(L98,tblRec[ترتيب الكشف],0),""),"")</f>
        <v/>
      </c>
    </row>
    <row r="99">
      <c r="A99" s="117">
        <f>IF($M99="m",IF($N99&lt;&gt;"",INDEX(tblInv[تاريخ الفاتورة],$N99),INDEX(tblRec[التاريخ],$O99)),IF($M99="l",INDEX(tblBuckets[الفترة],1),IF($M99="v",TEXT(SUMIFS(tblInv[المتبقي],tblInv[كود العميل],StCust,tblInv[الفترة],INDEX(tblBuckets[الفترة],1)),"#,##0.00;-#,##0.00;-"),"")))</f>
        <v/>
      </c>
      <c r="B99" s="83">
        <f>IF($M99="m",IF($N99&lt;&gt;"","فاتورة",INDEX(tblRec[النوع],$O99)),IF($M99="l",INDEX(tblBuckets[الفترة],2),IF($M99="v",TEXT(SUMIFS(tblInv[المتبقي],tblInv[كود العميل],StCust,tblInv[الفترة],INDEX(tblBuckets[الفترة],2)),"#,##0.00;-#,##0.00;-"),"")))</f>
        <v/>
      </c>
      <c r="C99" s="83">
        <f>IF($M99="m",IF($N99&lt;&gt;"",INDEX(tblInv[رقم الفاتورة],$N99),INDEX(tblRec[رقم السند],$O99)),IF($M99="l",INDEX(tblBuckets[الفترة],3),IF($M99="v",TEXT(SUMIFS(tblInv[المتبقي],tblInv[كود العميل],StCust,tblInv[الفترة],INDEX(tblBuckets[الفترة],3)),"#,##0.00;-#,##0.00;-"),"")))</f>
        <v/>
      </c>
      <c r="D99" s="118">
        <f>IF($M99="m",IF($N99&lt;&gt;"","فاتورة مبيعات — استحقاق "&amp;TEXT(INDEX(tblInv[تاريخ الاستحقاق],$N99),"dd/mm/yyyy")&amp;IF(INDEX(tblInv[ملاحظات],$N99)&amp;""&lt;&gt;""," — "&amp;INDEX(tblInv[ملاحظات],$N99),""),INDEX(tblRec[النوع],$O99)&amp;IF(INDEX(tblRec[طريقة الدفع],$O99)&amp;""&lt;&gt;""," ("&amp;INDEX(tblRec[طريقة الدفع],$O99)&amp;")","")&amp;IF(INDEX(tblRec[رقم الفاتورة],$O99)&amp;""&lt;&gt;""," — عن فاتورة "&amp;INDEX(tblRec[رقم الفاتورة],$O99)," — دفعة على الحساب")),IF($M99="l",INDEX(tblBuckets[الفترة],4),IF($M99="v",TEXT(SUMIFS(tblInv[المتبقي],tblInv[كود العميل],StCust,tblInv[الفترة],INDEX(tblBuckets[الفترة],4)),"#,##0.00;-#,##0.00;-"),IF($M99="t","ملخص أعمار رصيد العميل كما في "&amp;TEXT(AsOf,"dd/mm/yyyy"),IF($M99="p","يُرجى مطابقة الرصيد وإفادتنا خلال 15 يوماً، وإلا اعتُبر الرصيد صحيحاً.","")))))</f>
        <v/>
      </c>
      <c r="E99" s="119">
        <f>IF($M99="m",IF($N99&lt;&gt;"",INDEX(tblInv[الإجمالي],$N99),0),IF($M99="l",INDEX(tblBuckets[الفترة],5),IF($M99="v",TEXT(SUMIFS(tblInv[المتبقي],tblInv[كود العميل],StCust,tblInv[الفترة],INDEX(tblBuckets[الفترة],5)),"#,##0.00;-#,##0.00;-"),"")))</f>
        <v/>
      </c>
      <c r="F99" s="119">
        <f>IF($M99="m",IF($O99&lt;&gt;"",INDEX(tblRec[المبلغ],$O99),0),IF($M99="l",INDEX(tblBuckets[الفترة],6),IF($M99="v",TEXT(SUMIFS(tblInv[المتبقي],tblInv[كود العميل],StCust,tblInv[الفترة],INDEX(tblBuckets[الفترة],6)),"#,##0.00;-#,##0.00;-"),"")))</f>
        <v/>
      </c>
      <c r="G99" s="120">
        <f>IF($M99="m",N(G98)+E99-F99,IF($M99="l",INDEX(tblBuckets[الفترة],7),IF($M99="v",TEXT(SUMIFS(tblInv[المتبقي],tblInv[كود العميل],StCust,tblInv[الفترة],INDEX(tblBuckets[الفترة],7)),"#,##0.00;-#,##0.00;-"),"")))</f>
        <v/>
      </c>
      <c r="L99" t="n">
        <v>94</v>
      </c>
      <c r="M99">
        <f>IF(L99&lt;=StCount,"m",IF(L99=StCount+2,"t",IF(L99=StCount+3,"l",IF(L99=StCount+4,"v",IF(L99=StCount+6,"p","")))))</f>
        <v/>
      </c>
      <c r="N99">
        <f>IF(M99="m",IFERROR(MATCH(L99,tblInv[ترتيب الكشف],0),""),"")</f>
        <v/>
      </c>
      <c r="O99">
        <f>IF(AND(M99="m",N99=""),IFERROR(MATCH(L99,tblRec[ترتيب الكشف],0),""),"")</f>
        <v/>
      </c>
    </row>
    <row r="100">
      <c r="A100" s="117">
        <f>IF($M100="m",IF($N100&lt;&gt;"",INDEX(tblInv[تاريخ الفاتورة],$N100),INDEX(tblRec[التاريخ],$O100)),IF($M100="l",INDEX(tblBuckets[الفترة],1),IF($M100="v",TEXT(SUMIFS(tblInv[المتبقي],tblInv[كود العميل],StCust,tblInv[الفترة],INDEX(tblBuckets[الفترة],1)),"#,##0.00;-#,##0.00;-"),"")))</f>
        <v/>
      </c>
      <c r="B100" s="83">
        <f>IF($M100="m",IF($N100&lt;&gt;"","فاتورة",INDEX(tblRec[النوع],$O100)),IF($M100="l",INDEX(tblBuckets[الفترة],2),IF($M100="v",TEXT(SUMIFS(tblInv[المتبقي],tblInv[كود العميل],StCust,tblInv[الفترة],INDEX(tblBuckets[الفترة],2)),"#,##0.00;-#,##0.00;-"),"")))</f>
        <v/>
      </c>
      <c r="C100" s="83">
        <f>IF($M100="m",IF($N100&lt;&gt;"",INDEX(tblInv[رقم الفاتورة],$N100),INDEX(tblRec[رقم السند],$O100)),IF($M100="l",INDEX(tblBuckets[الفترة],3),IF($M100="v",TEXT(SUMIFS(tblInv[المتبقي],tblInv[كود العميل],StCust,tblInv[الفترة],INDEX(tblBuckets[الفترة],3)),"#,##0.00;-#,##0.00;-"),"")))</f>
        <v/>
      </c>
      <c r="D100" s="118">
        <f>IF($M100="m",IF($N100&lt;&gt;"","فاتورة مبيعات — استحقاق "&amp;TEXT(INDEX(tblInv[تاريخ الاستحقاق],$N100),"dd/mm/yyyy")&amp;IF(INDEX(tblInv[ملاحظات],$N100)&amp;""&lt;&gt;""," — "&amp;INDEX(tblInv[ملاحظات],$N100),""),INDEX(tblRec[النوع],$O100)&amp;IF(INDEX(tblRec[طريقة الدفع],$O100)&amp;""&lt;&gt;""," ("&amp;INDEX(tblRec[طريقة الدفع],$O100)&amp;")","")&amp;IF(INDEX(tblRec[رقم الفاتورة],$O100)&amp;""&lt;&gt;""," — عن فاتورة "&amp;INDEX(tblRec[رقم الفاتورة],$O100)," — دفعة على الحساب")),IF($M100="l",INDEX(tblBuckets[الفترة],4),IF($M100="v",TEXT(SUMIFS(tblInv[المتبقي],tblInv[كود العميل],StCust,tblInv[الفترة],INDEX(tblBuckets[الفترة],4)),"#,##0.00;-#,##0.00;-"),IF($M100="t","ملخص أعمار رصيد العميل كما في "&amp;TEXT(AsOf,"dd/mm/yyyy"),IF($M100="p","يُرجى مطابقة الرصيد وإفادتنا خلال 15 يوماً، وإلا اعتُبر الرصيد صحيحاً.","")))))</f>
        <v/>
      </c>
      <c r="E100" s="119">
        <f>IF($M100="m",IF($N100&lt;&gt;"",INDEX(tblInv[الإجمالي],$N100),0),IF($M100="l",INDEX(tblBuckets[الفترة],5),IF($M100="v",TEXT(SUMIFS(tblInv[المتبقي],tblInv[كود العميل],StCust,tblInv[الفترة],INDEX(tblBuckets[الفترة],5)),"#,##0.00;-#,##0.00;-"),"")))</f>
        <v/>
      </c>
      <c r="F100" s="119">
        <f>IF($M100="m",IF($O100&lt;&gt;"",INDEX(tblRec[المبلغ],$O100),0),IF($M100="l",INDEX(tblBuckets[الفترة],6),IF($M100="v",TEXT(SUMIFS(tblInv[المتبقي],tblInv[كود العميل],StCust,tblInv[الفترة],INDEX(tblBuckets[الفترة],6)),"#,##0.00;-#,##0.00;-"),"")))</f>
        <v/>
      </c>
      <c r="G100" s="120">
        <f>IF($M100="m",N(G99)+E100-F100,IF($M100="l",INDEX(tblBuckets[الفترة],7),IF($M100="v",TEXT(SUMIFS(tblInv[المتبقي],tblInv[كود العميل],StCust,tblInv[الفترة],INDEX(tblBuckets[الفترة],7)),"#,##0.00;-#,##0.00;-"),"")))</f>
        <v/>
      </c>
      <c r="L100" t="n">
        <v>95</v>
      </c>
      <c r="M100">
        <f>IF(L100&lt;=StCount,"m",IF(L100=StCount+2,"t",IF(L100=StCount+3,"l",IF(L100=StCount+4,"v",IF(L100=StCount+6,"p","")))))</f>
        <v/>
      </c>
      <c r="N100">
        <f>IF(M100="m",IFERROR(MATCH(L100,tblInv[ترتيب الكشف],0),""),"")</f>
        <v/>
      </c>
      <c r="O100">
        <f>IF(AND(M100="m",N100=""),IFERROR(MATCH(L100,tblRec[ترتيب الكشف],0),""),"")</f>
        <v/>
      </c>
    </row>
    <row r="101">
      <c r="A101" s="117">
        <f>IF($M101="m",IF($N101&lt;&gt;"",INDEX(tblInv[تاريخ الفاتورة],$N101),INDEX(tblRec[التاريخ],$O101)),IF($M101="l",INDEX(tblBuckets[الفترة],1),IF($M101="v",TEXT(SUMIFS(tblInv[المتبقي],tblInv[كود العميل],StCust,tblInv[الفترة],INDEX(tblBuckets[الفترة],1)),"#,##0.00;-#,##0.00;-"),"")))</f>
        <v/>
      </c>
      <c r="B101" s="83">
        <f>IF($M101="m",IF($N101&lt;&gt;"","فاتورة",INDEX(tblRec[النوع],$O101)),IF($M101="l",INDEX(tblBuckets[الفترة],2),IF($M101="v",TEXT(SUMIFS(tblInv[المتبقي],tblInv[كود العميل],StCust,tblInv[الفترة],INDEX(tblBuckets[الفترة],2)),"#,##0.00;-#,##0.00;-"),"")))</f>
        <v/>
      </c>
      <c r="C101" s="83">
        <f>IF($M101="m",IF($N101&lt;&gt;"",INDEX(tblInv[رقم الفاتورة],$N101),INDEX(tblRec[رقم السند],$O101)),IF($M101="l",INDEX(tblBuckets[الفترة],3),IF($M101="v",TEXT(SUMIFS(tblInv[المتبقي],tblInv[كود العميل],StCust,tblInv[الفترة],INDEX(tblBuckets[الفترة],3)),"#,##0.00;-#,##0.00;-"),"")))</f>
        <v/>
      </c>
      <c r="D101" s="118">
        <f>IF($M101="m",IF($N101&lt;&gt;"","فاتورة مبيعات — استحقاق "&amp;TEXT(INDEX(tblInv[تاريخ الاستحقاق],$N101),"dd/mm/yyyy")&amp;IF(INDEX(tblInv[ملاحظات],$N101)&amp;""&lt;&gt;""," — "&amp;INDEX(tblInv[ملاحظات],$N101),""),INDEX(tblRec[النوع],$O101)&amp;IF(INDEX(tblRec[طريقة الدفع],$O101)&amp;""&lt;&gt;""," ("&amp;INDEX(tblRec[طريقة الدفع],$O101)&amp;")","")&amp;IF(INDEX(tblRec[رقم الفاتورة],$O101)&amp;""&lt;&gt;""," — عن فاتورة "&amp;INDEX(tblRec[رقم الفاتورة],$O101)," — دفعة على الحساب")),IF($M101="l",INDEX(tblBuckets[الفترة],4),IF($M101="v",TEXT(SUMIFS(tblInv[المتبقي],tblInv[كود العميل],StCust,tblInv[الفترة],INDEX(tblBuckets[الفترة],4)),"#,##0.00;-#,##0.00;-"),IF($M101="t","ملخص أعمار رصيد العميل كما في "&amp;TEXT(AsOf,"dd/mm/yyyy"),IF($M101="p","يُرجى مطابقة الرصيد وإفادتنا خلال 15 يوماً، وإلا اعتُبر الرصيد صحيحاً.","")))))</f>
        <v/>
      </c>
      <c r="E101" s="119">
        <f>IF($M101="m",IF($N101&lt;&gt;"",INDEX(tblInv[الإجمالي],$N101),0),IF($M101="l",INDEX(tblBuckets[الفترة],5),IF($M101="v",TEXT(SUMIFS(tblInv[المتبقي],tblInv[كود العميل],StCust,tblInv[الفترة],INDEX(tblBuckets[الفترة],5)),"#,##0.00;-#,##0.00;-"),"")))</f>
        <v/>
      </c>
      <c r="F101" s="119">
        <f>IF($M101="m",IF($O101&lt;&gt;"",INDEX(tblRec[المبلغ],$O101),0),IF($M101="l",INDEX(tblBuckets[الفترة],6),IF($M101="v",TEXT(SUMIFS(tblInv[المتبقي],tblInv[كود العميل],StCust,tblInv[الفترة],INDEX(tblBuckets[الفترة],6)),"#,##0.00;-#,##0.00;-"),"")))</f>
        <v/>
      </c>
      <c r="G101" s="120">
        <f>IF($M101="m",N(G100)+E101-F101,IF($M101="l",INDEX(tblBuckets[الفترة],7),IF($M101="v",TEXT(SUMIFS(tblInv[المتبقي],tblInv[كود العميل],StCust,tblInv[الفترة],INDEX(tblBuckets[الفترة],7)),"#,##0.00;-#,##0.00;-"),"")))</f>
        <v/>
      </c>
      <c r="L101" t="n">
        <v>96</v>
      </c>
      <c r="M101">
        <f>IF(L101&lt;=StCount,"m",IF(L101=StCount+2,"t",IF(L101=StCount+3,"l",IF(L101=StCount+4,"v",IF(L101=StCount+6,"p","")))))</f>
        <v/>
      </c>
      <c r="N101">
        <f>IF(M101="m",IFERROR(MATCH(L101,tblInv[ترتيب الكشف],0),""),"")</f>
        <v/>
      </c>
      <c r="O101">
        <f>IF(AND(M101="m",N101=""),IFERROR(MATCH(L101,tblRec[ترتيب الكشف],0),""),"")</f>
        <v/>
      </c>
    </row>
    <row r="102">
      <c r="A102" s="117">
        <f>IF($M102="m",IF($N102&lt;&gt;"",INDEX(tblInv[تاريخ الفاتورة],$N102),INDEX(tblRec[التاريخ],$O102)),IF($M102="l",INDEX(tblBuckets[الفترة],1),IF($M102="v",TEXT(SUMIFS(tblInv[المتبقي],tblInv[كود العميل],StCust,tblInv[الفترة],INDEX(tblBuckets[الفترة],1)),"#,##0.00;-#,##0.00;-"),"")))</f>
        <v/>
      </c>
      <c r="B102" s="83">
        <f>IF($M102="m",IF($N102&lt;&gt;"","فاتورة",INDEX(tblRec[النوع],$O102)),IF($M102="l",INDEX(tblBuckets[الفترة],2),IF($M102="v",TEXT(SUMIFS(tblInv[المتبقي],tblInv[كود العميل],StCust,tblInv[الفترة],INDEX(tblBuckets[الفترة],2)),"#,##0.00;-#,##0.00;-"),"")))</f>
        <v/>
      </c>
      <c r="C102" s="83">
        <f>IF($M102="m",IF($N102&lt;&gt;"",INDEX(tblInv[رقم الفاتورة],$N102),INDEX(tblRec[رقم السند],$O102)),IF($M102="l",INDEX(tblBuckets[الفترة],3),IF($M102="v",TEXT(SUMIFS(tblInv[المتبقي],tblInv[كود العميل],StCust,tblInv[الفترة],INDEX(tblBuckets[الفترة],3)),"#,##0.00;-#,##0.00;-"),"")))</f>
        <v/>
      </c>
      <c r="D102" s="118">
        <f>IF($M102="m",IF($N102&lt;&gt;"","فاتورة مبيعات — استحقاق "&amp;TEXT(INDEX(tblInv[تاريخ الاستحقاق],$N102),"dd/mm/yyyy")&amp;IF(INDEX(tblInv[ملاحظات],$N102)&amp;""&lt;&gt;""," — "&amp;INDEX(tblInv[ملاحظات],$N102),""),INDEX(tblRec[النوع],$O102)&amp;IF(INDEX(tblRec[طريقة الدفع],$O102)&amp;""&lt;&gt;""," ("&amp;INDEX(tblRec[طريقة الدفع],$O102)&amp;")","")&amp;IF(INDEX(tblRec[رقم الفاتورة],$O102)&amp;""&lt;&gt;""," — عن فاتورة "&amp;INDEX(tblRec[رقم الفاتورة],$O102)," — دفعة على الحساب")),IF($M102="l",INDEX(tblBuckets[الفترة],4),IF($M102="v",TEXT(SUMIFS(tblInv[المتبقي],tblInv[كود العميل],StCust,tblInv[الفترة],INDEX(tblBuckets[الفترة],4)),"#,##0.00;-#,##0.00;-"),IF($M102="t","ملخص أعمار رصيد العميل كما في "&amp;TEXT(AsOf,"dd/mm/yyyy"),IF($M102="p","يُرجى مطابقة الرصيد وإفادتنا خلال 15 يوماً، وإلا اعتُبر الرصيد صحيحاً.","")))))</f>
        <v/>
      </c>
      <c r="E102" s="119">
        <f>IF($M102="m",IF($N102&lt;&gt;"",INDEX(tblInv[الإجمالي],$N102),0),IF($M102="l",INDEX(tblBuckets[الفترة],5),IF($M102="v",TEXT(SUMIFS(tblInv[المتبقي],tblInv[كود العميل],StCust,tblInv[الفترة],INDEX(tblBuckets[الفترة],5)),"#,##0.00;-#,##0.00;-"),"")))</f>
        <v/>
      </c>
      <c r="F102" s="119">
        <f>IF($M102="m",IF($O102&lt;&gt;"",INDEX(tblRec[المبلغ],$O102),0),IF($M102="l",INDEX(tblBuckets[الفترة],6),IF($M102="v",TEXT(SUMIFS(tblInv[المتبقي],tblInv[كود العميل],StCust,tblInv[الفترة],INDEX(tblBuckets[الفترة],6)),"#,##0.00;-#,##0.00;-"),"")))</f>
        <v/>
      </c>
      <c r="G102" s="120">
        <f>IF($M102="m",N(G101)+E102-F102,IF($M102="l",INDEX(tblBuckets[الفترة],7),IF($M102="v",TEXT(SUMIFS(tblInv[المتبقي],tblInv[كود العميل],StCust,tblInv[الفترة],INDEX(tblBuckets[الفترة],7)),"#,##0.00;-#,##0.00;-"),"")))</f>
        <v/>
      </c>
      <c r="L102" t="n">
        <v>97</v>
      </c>
      <c r="M102">
        <f>IF(L102&lt;=StCount,"m",IF(L102=StCount+2,"t",IF(L102=StCount+3,"l",IF(L102=StCount+4,"v",IF(L102=StCount+6,"p","")))))</f>
        <v/>
      </c>
      <c r="N102">
        <f>IF(M102="m",IFERROR(MATCH(L102,tblInv[ترتيب الكشف],0),""),"")</f>
        <v/>
      </c>
      <c r="O102">
        <f>IF(AND(M102="m",N102=""),IFERROR(MATCH(L102,tblRec[ترتيب الكشف],0),""),"")</f>
        <v/>
      </c>
    </row>
    <row r="103">
      <c r="A103" s="117">
        <f>IF($M103="m",IF($N103&lt;&gt;"",INDEX(tblInv[تاريخ الفاتورة],$N103),INDEX(tblRec[التاريخ],$O103)),IF($M103="l",INDEX(tblBuckets[الفترة],1),IF($M103="v",TEXT(SUMIFS(tblInv[المتبقي],tblInv[كود العميل],StCust,tblInv[الفترة],INDEX(tblBuckets[الفترة],1)),"#,##0.00;-#,##0.00;-"),"")))</f>
        <v/>
      </c>
      <c r="B103" s="83">
        <f>IF($M103="m",IF($N103&lt;&gt;"","فاتورة",INDEX(tblRec[النوع],$O103)),IF($M103="l",INDEX(tblBuckets[الفترة],2),IF($M103="v",TEXT(SUMIFS(tblInv[المتبقي],tblInv[كود العميل],StCust,tblInv[الفترة],INDEX(tblBuckets[الفترة],2)),"#,##0.00;-#,##0.00;-"),"")))</f>
        <v/>
      </c>
      <c r="C103" s="83">
        <f>IF($M103="m",IF($N103&lt;&gt;"",INDEX(tblInv[رقم الفاتورة],$N103),INDEX(tblRec[رقم السند],$O103)),IF($M103="l",INDEX(tblBuckets[الفترة],3),IF($M103="v",TEXT(SUMIFS(tblInv[المتبقي],tblInv[كود العميل],StCust,tblInv[الفترة],INDEX(tblBuckets[الفترة],3)),"#,##0.00;-#,##0.00;-"),"")))</f>
        <v/>
      </c>
      <c r="D103" s="118">
        <f>IF($M103="m",IF($N103&lt;&gt;"","فاتورة مبيعات — استحقاق "&amp;TEXT(INDEX(tblInv[تاريخ الاستحقاق],$N103),"dd/mm/yyyy")&amp;IF(INDEX(tblInv[ملاحظات],$N103)&amp;""&lt;&gt;""," — "&amp;INDEX(tblInv[ملاحظات],$N103),""),INDEX(tblRec[النوع],$O103)&amp;IF(INDEX(tblRec[طريقة الدفع],$O103)&amp;""&lt;&gt;""," ("&amp;INDEX(tblRec[طريقة الدفع],$O103)&amp;")","")&amp;IF(INDEX(tblRec[رقم الفاتورة],$O103)&amp;""&lt;&gt;""," — عن فاتورة "&amp;INDEX(tblRec[رقم الفاتورة],$O103)," — دفعة على الحساب")),IF($M103="l",INDEX(tblBuckets[الفترة],4),IF($M103="v",TEXT(SUMIFS(tblInv[المتبقي],tblInv[كود العميل],StCust,tblInv[الفترة],INDEX(tblBuckets[الفترة],4)),"#,##0.00;-#,##0.00;-"),IF($M103="t","ملخص أعمار رصيد العميل كما في "&amp;TEXT(AsOf,"dd/mm/yyyy"),IF($M103="p","يُرجى مطابقة الرصيد وإفادتنا خلال 15 يوماً، وإلا اعتُبر الرصيد صحيحاً.","")))))</f>
        <v/>
      </c>
      <c r="E103" s="119">
        <f>IF($M103="m",IF($N103&lt;&gt;"",INDEX(tblInv[الإجمالي],$N103),0),IF($M103="l",INDEX(tblBuckets[الفترة],5),IF($M103="v",TEXT(SUMIFS(tblInv[المتبقي],tblInv[كود العميل],StCust,tblInv[الفترة],INDEX(tblBuckets[الفترة],5)),"#,##0.00;-#,##0.00;-"),"")))</f>
        <v/>
      </c>
      <c r="F103" s="119">
        <f>IF($M103="m",IF($O103&lt;&gt;"",INDEX(tblRec[المبلغ],$O103),0),IF($M103="l",INDEX(tblBuckets[الفترة],6),IF($M103="v",TEXT(SUMIFS(tblInv[المتبقي],tblInv[كود العميل],StCust,tblInv[الفترة],INDEX(tblBuckets[الفترة],6)),"#,##0.00;-#,##0.00;-"),"")))</f>
        <v/>
      </c>
      <c r="G103" s="120">
        <f>IF($M103="m",N(G102)+E103-F103,IF($M103="l",INDEX(tblBuckets[الفترة],7),IF($M103="v",TEXT(SUMIFS(tblInv[المتبقي],tblInv[كود العميل],StCust,tblInv[الفترة],INDEX(tblBuckets[الفترة],7)),"#,##0.00;-#,##0.00;-"),"")))</f>
        <v/>
      </c>
      <c r="L103" t="n">
        <v>98</v>
      </c>
      <c r="M103">
        <f>IF(L103&lt;=StCount,"m",IF(L103=StCount+2,"t",IF(L103=StCount+3,"l",IF(L103=StCount+4,"v",IF(L103=StCount+6,"p","")))))</f>
        <v/>
      </c>
      <c r="N103">
        <f>IF(M103="m",IFERROR(MATCH(L103,tblInv[ترتيب الكشف],0),""),"")</f>
        <v/>
      </c>
      <c r="O103">
        <f>IF(AND(M103="m",N103=""),IFERROR(MATCH(L103,tblRec[ترتيب الكشف],0),""),"")</f>
        <v/>
      </c>
    </row>
    <row r="104">
      <c r="A104" s="117">
        <f>IF($M104="m",IF($N104&lt;&gt;"",INDEX(tblInv[تاريخ الفاتورة],$N104),INDEX(tblRec[التاريخ],$O104)),IF($M104="l",INDEX(tblBuckets[الفترة],1),IF($M104="v",TEXT(SUMIFS(tblInv[المتبقي],tblInv[كود العميل],StCust,tblInv[الفترة],INDEX(tblBuckets[الفترة],1)),"#,##0.00;-#,##0.00;-"),"")))</f>
        <v/>
      </c>
      <c r="B104" s="83">
        <f>IF($M104="m",IF($N104&lt;&gt;"","فاتورة",INDEX(tblRec[النوع],$O104)),IF($M104="l",INDEX(tblBuckets[الفترة],2),IF($M104="v",TEXT(SUMIFS(tblInv[المتبقي],tblInv[كود العميل],StCust,tblInv[الفترة],INDEX(tblBuckets[الفترة],2)),"#,##0.00;-#,##0.00;-"),"")))</f>
        <v/>
      </c>
      <c r="C104" s="83">
        <f>IF($M104="m",IF($N104&lt;&gt;"",INDEX(tblInv[رقم الفاتورة],$N104),INDEX(tblRec[رقم السند],$O104)),IF($M104="l",INDEX(tblBuckets[الفترة],3),IF($M104="v",TEXT(SUMIFS(tblInv[المتبقي],tblInv[كود العميل],StCust,tblInv[الفترة],INDEX(tblBuckets[الفترة],3)),"#,##0.00;-#,##0.00;-"),"")))</f>
        <v/>
      </c>
      <c r="D104" s="118">
        <f>IF($M104="m",IF($N104&lt;&gt;"","فاتورة مبيعات — استحقاق "&amp;TEXT(INDEX(tblInv[تاريخ الاستحقاق],$N104),"dd/mm/yyyy")&amp;IF(INDEX(tblInv[ملاحظات],$N104)&amp;""&lt;&gt;""," — "&amp;INDEX(tblInv[ملاحظات],$N104),""),INDEX(tblRec[النوع],$O104)&amp;IF(INDEX(tblRec[طريقة الدفع],$O104)&amp;""&lt;&gt;""," ("&amp;INDEX(tblRec[طريقة الدفع],$O104)&amp;")","")&amp;IF(INDEX(tblRec[رقم الفاتورة],$O104)&amp;""&lt;&gt;""," — عن فاتورة "&amp;INDEX(tblRec[رقم الفاتورة],$O104)," — دفعة على الحساب")),IF($M104="l",INDEX(tblBuckets[الفترة],4),IF($M104="v",TEXT(SUMIFS(tblInv[المتبقي],tblInv[كود العميل],StCust,tblInv[الفترة],INDEX(tblBuckets[الفترة],4)),"#,##0.00;-#,##0.00;-"),IF($M104="t","ملخص أعمار رصيد العميل كما في "&amp;TEXT(AsOf,"dd/mm/yyyy"),IF($M104="p","يُرجى مطابقة الرصيد وإفادتنا خلال 15 يوماً، وإلا اعتُبر الرصيد صحيحاً.","")))))</f>
        <v/>
      </c>
      <c r="E104" s="119">
        <f>IF($M104="m",IF($N104&lt;&gt;"",INDEX(tblInv[الإجمالي],$N104),0),IF($M104="l",INDEX(tblBuckets[الفترة],5),IF($M104="v",TEXT(SUMIFS(tblInv[المتبقي],tblInv[كود العميل],StCust,tblInv[الفترة],INDEX(tblBuckets[الفترة],5)),"#,##0.00;-#,##0.00;-"),"")))</f>
        <v/>
      </c>
      <c r="F104" s="119">
        <f>IF($M104="m",IF($O104&lt;&gt;"",INDEX(tblRec[المبلغ],$O104),0),IF($M104="l",INDEX(tblBuckets[الفترة],6),IF($M104="v",TEXT(SUMIFS(tblInv[المتبقي],tblInv[كود العميل],StCust,tblInv[الفترة],INDEX(tblBuckets[الفترة],6)),"#,##0.00;-#,##0.00;-"),"")))</f>
        <v/>
      </c>
      <c r="G104" s="120">
        <f>IF($M104="m",N(G103)+E104-F104,IF($M104="l",INDEX(tblBuckets[الفترة],7),IF($M104="v",TEXT(SUMIFS(tblInv[المتبقي],tblInv[كود العميل],StCust,tblInv[الفترة],INDEX(tblBuckets[الفترة],7)),"#,##0.00;-#,##0.00;-"),"")))</f>
        <v/>
      </c>
      <c r="L104" t="n">
        <v>99</v>
      </c>
      <c r="M104">
        <f>IF(L104&lt;=StCount,"m",IF(L104=StCount+2,"t",IF(L104=StCount+3,"l",IF(L104=StCount+4,"v",IF(L104=StCount+6,"p","")))))</f>
        <v/>
      </c>
      <c r="N104">
        <f>IF(M104="m",IFERROR(MATCH(L104,tblInv[ترتيب الكشف],0),""),"")</f>
        <v/>
      </c>
      <c r="O104">
        <f>IF(AND(M104="m",N104=""),IFERROR(MATCH(L104,tblRec[ترتيب الكشف],0),""),"")</f>
        <v/>
      </c>
    </row>
    <row r="105">
      <c r="A105" s="117">
        <f>IF($M105="m",IF($N105&lt;&gt;"",INDEX(tblInv[تاريخ الفاتورة],$N105),INDEX(tblRec[التاريخ],$O105)),IF($M105="l",INDEX(tblBuckets[الفترة],1),IF($M105="v",TEXT(SUMIFS(tblInv[المتبقي],tblInv[كود العميل],StCust,tblInv[الفترة],INDEX(tblBuckets[الفترة],1)),"#,##0.00;-#,##0.00;-"),"")))</f>
        <v/>
      </c>
      <c r="B105" s="83">
        <f>IF($M105="m",IF($N105&lt;&gt;"","فاتورة",INDEX(tblRec[النوع],$O105)),IF($M105="l",INDEX(tblBuckets[الفترة],2),IF($M105="v",TEXT(SUMIFS(tblInv[المتبقي],tblInv[كود العميل],StCust,tblInv[الفترة],INDEX(tblBuckets[الفترة],2)),"#,##0.00;-#,##0.00;-"),"")))</f>
        <v/>
      </c>
      <c r="C105" s="83">
        <f>IF($M105="m",IF($N105&lt;&gt;"",INDEX(tblInv[رقم الفاتورة],$N105),INDEX(tblRec[رقم السند],$O105)),IF($M105="l",INDEX(tblBuckets[الفترة],3),IF($M105="v",TEXT(SUMIFS(tblInv[المتبقي],tblInv[كود العميل],StCust,tblInv[الفترة],INDEX(tblBuckets[الفترة],3)),"#,##0.00;-#,##0.00;-"),"")))</f>
        <v/>
      </c>
      <c r="D105" s="118">
        <f>IF($M105="m",IF($N105&lt;&gt;"","فاتورة مبيعات — استحقاق "&amp;TEXT(INDEX(tblInv[تاريخ الاستحقاق],$N105),"dd/mm/yyyy")&amp;IF(INDEX(tblInv[ملاحظات],$N105)&amp;""&lt;&gt;""," — "&amp;INDEX(tblInv[ملاحظات],$N105),""),INDEX(tblRec[النوع],$O105)&amp;IF(INDEX(tblRec[طريقة الدفع],$O105)&amp;""&lt;&gt;""," ("&amp;INDEX(tblRec[طريقة الدفع],$O105)&amp;")","")&amp;IF(INDEX(tblRec[رقم الفاتورة],$O105)&amp;""&lt;&gt;""," — عن فاتورة "&amp;INDEX(tblRec[رقم الفاتورة],$O105)," — دفعة على الحساب")),IF($M105="l",INDEX(tblBuckets[الفترة],4),IF($M105="v",TEXT(SUMIFS(tblInv[المتبقي],tblInv[كود العميل],StCust,tblInv[الفترة],INDEX(tblBuckets[الفترة],4)),"#,##0.00;-#,##0.00;-"),IF($M105="t","ملخص أعمار رصيد العميل كما في "&amp;TEXT(AsOf,"dd/mm/yyyy"),IF($M105="p","يُرجى مطابقة الرصيد وإفادتنا خلال 15 يوماً، وإلا اعتُبر الرصيد صحيحاً.","")))))</f>
        <v/>
      </c>
      <c r="E105" s="119">
        <f>IF($M105="m",IF($N105&lt;&gt;"",INDEX(tblInv[الإجمالي],$N105),0),IF($M105="l",INDEX(tblBuckets[الفترة],5),IF($M105="v",TEXT(SUMIFS(tblInv[المتبقي],tblInv[كود العميل],StCust,tblInv[الفترة],INDEX(tblBuckets[الفترة],5)),"#,##0.00;-#,##0.00;-"),"")))</f>
        <v/>
      </c>
      <c r="F105" s="119">
        <f>IF($M105="m",IF($O105&lt;&gt;"",INDEX(tblRec[المبلغ],$O105),0),IF($M105="l",INDEX(tblBuckets[الفترة],6),IF($M105="v",TEXT(SUMIFS(tblInv[المتبقي],tblInv[كود العميل],StCust,tblInv[الفترة],INDEX(tblBuckets[الفترة],6)),"#,##0.00;-#,##0.00;-"),"")))</f>
        <v/>
      </c>
      <c r="G105" s="120">
        <f>IF($M105="m",N(G104)+E105-F105,IF($M105="l",INDEX(tblBuckets[الفترة],7),IF($M105="v",TEXT(SUMIFS(tblInv[المتبقي],tblInv[كود العميل],StCust,tblInv[الفترة],INDEX(tblBuckets[الفترة],7)),"#,##0.00;-#,##0.00;-"),"")))</f>
        <v/>
      </c>
      <c r="L105" t="n">
        <v>100</v>
      </c>
      <c r="M105">
        <f>IF(L105&lt;=StCount,"m",IF(L105=StCount+2,"t",IF(L105=StCount+3,"l",IF(L105=StCount+4,"v",IF(L105=StCount+6,"p","")))))</f>
        <v/>
      </c>
      <c r="N105">
        <f>IF(M105="m",IFERROR(MATCH(L105,tblInv[ترتيب الكشف],0),""),"")</f>
        <v/>
      </c>
      <c r="O105">
        <f>IF(AND(M105="m",N105=""),IFERROR(MATCH(L105,tblRec[ترتيب الكشف],0),""),"")</f>
        <v/>
      </c>
    </row>
    <row r="106">
      <c r="A106" s="117">
        <f>IF($M106="m",IF($N106&lt;&gt;"",INDEX(tblInv[تاريخ الفاتورة],$N106),INDEX(tblRec[التاريخ],$O106)),IF($M106="l",INDEX(tblBuckets[الفترة],1),IF($M106="v",TEXT(SUMIFS(tblInv[المتبقي],tblInv[كود العميل],StCust,tblInv[الفترة],INDEX(tblBuckets[الفترة],1)),"#,##0.00;-#,##0.00;-"),"")))</f>
        <v/>
      </c>
      <c r="B106" s="83">
        <f>IF($M106="m",IF($N106&lt;&gt;"","فاتورة",INDEX(tblRec[النوع],$O106)),IF($M106="l",INDEX(tblBuckets[الفترة],2),IF($M106="v",TEXT(SUMIFS(tblInv[المتبقي],tblInv[كود العميل],StCust,tblInv[الفترة],INDEX(tblBuckets[الفترة],2)),"#,##0.00;-#,##0.00;-"),"")))</f>
        <v/>
      </c>
      <c r="C106" s="83">
        <f>IF($M106="m",IF($N106&lt;&gt;"",INDEX(tblInv[رقم الفاتورة],$N106),INDEX(tblRec[رقم السند],$O106)),IF($M106="l",INDEX(tblBuckets[الفترة],3),IF($M106="v",TEXT(SUMIFS(tblInv[المتبقي],tblInv[كود العميل],StCust,tblInv[الفترة],INDEX(tblBuckets[الفترة],3)),"#,##0.00;-#,##0.00;-"),"")))</f>
        <v/>
      </c>
      <c r="D106" s="118">
        <f>IF($M106="m",IF($N106&lt;&gt;"","فاتورة مبيعات — استحقاق "&amp;TEXT(INDEX(tblInv[تاريخ الاستحقاق],$N106),"dd/mm/yyyy")&amp;IF(INDEX(tblInv[ملاحظات],$N106)&amp;""&lt;&gt;""," — "&amp;INDEX(tblInv[ملاحظات],$N106),""),INDEX(tblRec[النوع],$O106)&amp;IF(INDEX(tblRec[طريقة الدفع],$O106)&amp;""&lt;&gt;""," ("&amp;INDEX(tblRec[طريقة الدفع],$O106)&amp;")","")&amp;IF(INDEX(tblRec[رقم الفاتورة],$O106)&amp;""&lt;&gt;""," — عن فاتورة "&amp;INDEX(tblRec[رقم الفاتورة],$O106)," — دفعة على الحساب")),IF($M106="l",INDEX(tblBuckets[الفترة],4),IF($M106="v",TEXT(SUMIFS(tblInv[المتبقي],tblInv[كود العميل],StCust,tblInv[الفترة],INDEX(tblBuckets[الفترة],4)),"#,##0.00;-#,##0.00;-"),IF($M106="t","ملخص أعمار رصيد العميل كما في "&amp;TEXT(AsOf,"dd/mm/yyyy"),IF($M106="p","يُرجى مطابقة الرصيد وإفادتنا خلال 15 يوماً، وإلا اعتُبر الرصيد صحيحاً.","")))))</f>
        <v/>
      </c>
      <c r="E106" s="119">
        <f>IF($M106="m",IF($N106&lt;&gt;"",INDEX(tblInv[الإجمالي],$N106),0),IF($M106="l",INDEX(tblBuckets[الفترة],5),IF($M106="v",TEXT(SUMIFS(tblInv[المتبقي],tblInv[كود العميل],StCust,tblInv[الفترة],INDEX(tblBuckets[الفترة],5)),"#,##0.00;-#,##0.00;-"),"")))</f>
        <v/>
      </c>
      <c r="F106" s="119">
        <f>IF($M106="m",IF($O106&lt;&gt;"",INDEX(tblRec[المبلغ],$O106),0),IF($M106="l",INDEX(tblBuckets[الفترة],6),IF($M106="v",TEXT(SUMIFS(tblInv[المتبقي],tblInv[كود العميل],StCust,tblInv[الفترة],INDEX(tblBuckets[الفترة],6)),"#,##0.00;-#,##0.00;-"),"")))</f>
        <v/>
      </c>
      <c r="G106" s="120">
        <f>IF($M106="m",N(G105)+E106-F106,IF($M106="l",INDEX(tblBuckets[الفترة],7),IF($M106="v",TEXT(SUMIFS(tblInv[المتبقي],tblInv[كود العميل],StCust,tblInv[الفترة],INDEX(tblBuckets[الفترة],7)),"#,##0.00;-#,##0.00;-"),"")))</f>
        <v/>
      </c>
      <c r="L106" t="n">
        <v>101</v>
      </c>
      <c r="M106">
        <f>IF(L106&lt;=StCount,"m",IF(L106=StCount+2,"t",IF(L106=StCount+3,"l",IF(L106=StCount+4,"v",IF(L106=StCount+6,"p","")))))</f>
        <v/>
      </c>
      <c r="N106">
        <f>IF(M106="m",IFERROR(MATCH(L106,tblInv[ترتيب الكشف],0),""),"")</f>
        <v/>
      </c>
      <c r="O106">
        <f>IF(AND(M106="m",N106=""),IFERROR(MATCH(L106,tblRec[ترتيب الكشف],0),""),"")</f>
        <v/>
      </c>
    </row>
    <row r="107">
      <c r="A107" s="117">
        <f>IF($M107="m",IF($N107&lt;&gt;"",INDEX(tblInv[تاريخ الفاتورة],$N107),INDEX(tblRec[التاريخ],$O107)),IF($M107="l",INDEX(tblBuckets[الفترة],1),IF($M107="v",TEXT(SUMIFS(tblInv[المتبقي],tblInv[كود العميل],StCust,tblInv[الفترة],INDEX(tblBuckets[الفترة],1)),"#,##0.00;-#,##0.00;-"),"")))</f>
        <v/>
      </c>
      <c r="B107" s="83">
        <f>IF($M107="m",IF($N107&lt;&gt;"","فاتورة",INDEX(tblRec[النوع],$O107)),IF($M107="l",INDEX(tblBuckets[الفترة],2),IF($M107="v",TEXT(SUMIFS(tblInv[المتبقي],tblInv[كود العميل],StCust,tblInv[الفترة],INDEX(tblBuckets[الفترة],2)),"#,##0.00;-#,##0.00;-"),"")))</f>
        <v/>
      </c>
      <c r="C107" s="83">
        <f>IF($M107="m",IF($N107&lt;&gt;"",INDEX(tblInv[رقم الفاتورة],$N107),INDEX(tblRec[رقم السند],$O107)),IF($M107="l",INDEX(tblBuckets[الفترة],3),IF($M107="v",TEXT(SUMIFS(tblInv[المتبقي],tblInv[كود العميل],StCust,tblInv[الفترة],INDEX(tblBuckets[الفترة],3)),"#,##0.00;-#,##0.00;-"),"")))</f>
        <v/>
      </c>
      <c r="D107" s="118">
        <f>IF($M107="m",IF($N107&lt;&gt;"","فاتورة مبيعات — استحقاق "&amp;TEXT(INDEX(tblInv[تاريخ الاستحقاق],$N107),"dd/mm/yyyy")&amp;IF(INDEX(tblInv[ملاحظات],$N107)&amp;""&lt;&gt;""," — "&amp;INDEX(tblInv[ملاحظات],$N107),""),INDEX(tblRec[النوع],$O107)&amp;IF(INDEX(tblRec[طريقة الدفع],$O107)&amp;""&lt;&gt;""," ("&amp;INDEX(tblRec[طريقة الدفع],$O107)&amp;")","")&amp;IF(INDEX(tblRec[رقم الفاتورة],$O107)&amp;""&lt;&gt;""," — عن فاتورة "&amp;INDEX(tblRec[رقم الفاتورة],$O107)," — دفعة على الحساب")),IF($M107="l",INDEX(tblBuckets[الفترة],4),IF($M107="v",TEXT(SUMIFS(tblInv[المتبقي],tblInv[كود العميل],StCust,tblInv[الفترة],INDEX(tblBuckets[الفترة],4)),"#,##0.00;-#,##0.00;-"),IF($M107="t","ملخص أعمار رصيد العميل كما في "&amp;TEXT(AsOf,"dd/mm/yyyy"),IF($M107="p","يُرجى مطابقة الرصيد وإفادتنا خلال 15 يوماً، وإلا اعتُبر الرصيد صحيحاً.","")))))</f>
        <v/>
      </c>
      <c r="E107" s="119">
        <f>IF($M107="m",IF($N107&lt;&gt;"",INDEX(tblInv[الإجمالي],$N107),0),IF($M107="l",INDEX(tblBuckets[الفترة],5),IF($M107="v",TEXT(SUMIFS(tblInv[المتبقي],tblInv[كود العميل],StCust,tblInv[الفترة],INDEX(tblBuckets[الفترة],5)),"#,##0.00;-#,##0.00;-"),"")))</f>
        <v/>
      </c>
      <c r="F107" s="119">
        <f>IF($M107="m",IF($O107&lt;&gt;"",INDEX(tblRec[المبلغ],$O107),0),IF($M107="l",INDEX(tblBuckets[الفترة],6),IF($M107="v",TEXT(SUMIFS(tblInv[المتبقي],tblInv[كود العميل],StCust,tblInv[الفترة],INDEX(tblBuckets[الفترة],6)),"#,##0.00;-#,##0.00;-"),"")))</f>
        <v/>
      </c>
      <c r="G107" s="120">
        <f>IF($M107="m",N(G106)+E107-F107,IF($M107="l",INDEX(tblBuckets[الفترة],7),IF($M107="v",TEXT(SUMIFS(tblInv[المتبقي],tblInv[كود العميل],StCust,tblInv[الفترة],INDEX(tblBuckets[الفترة],7)),"#,##0.00;-#,##0.00;-"),"")))</f>
        <v/>
      </c>
      <c r="L107" t="n">
        <v>102</v>
      </c>
      <c r="M107">
        <f>IF(L107&lt;=StCount,"m",IF(L107=StCount+2,"t",IF(L107=StCount+3,"l",IF(L107=StCount+4,"v",IF(L107=StCount+6,"p","")))))</f>
        <v/>
      </c>
      <c r="N107">
        <f>IF(M107="m",IFERROR(MATCH(L107,tblInv[ترتيب الكشف],0),""),"")</f>
        <v/>
      </c>
      <c r="O107">
        <f>IF(AND(M107="m",N107=""),IFERROR(MATCH(L107,tblRec[ترتيب الكشف],0),""),"")</f>
        <v/>
      </c>
    </row>
    <row r="108">
      <c r="A108" s="117">
        <f>IF($M108="m",IF($N108&lt;&gt;"",INDEX(tblInv[تاريخ الفاتورة],$N108),INDEX(tblRec[التاريخ],$O108)),IF($M108="l",INDEX(tblBuckets[الفترة],1),IF($M108="v",TEXT(SUMIFS(tblInv[المتبقي],tblInv[كود العميل],StCust,tblInv[الفترة],INDEX(tblBuckets[الفترة],1)),"#,##0.00;-#,##0.00;-"),"")))</f>
        <v/>
      </c>
      <c r="B108" s="83">
        <f>IF($M108="m",IF($N108&lt;&gt;"","فاتورة",INDEX(tblRec[النوع],$O108)),IF($M108="l",INDEX(tblBuckets[الفترة],2),IF($M108="v",TEXT(SUMIFS(tblInv[المتبقي],tblInv[كود العميل],StCust,tblInv[الفترة],INDEX(tblBuckets[الفترة],2)),"#,##0.00;-#,##0.00;-"),"")))</f>
        <v/>
      </c>
      <c r="C108" s="83">
        <f>IF($M108="m",IF($N108&lt;&gt;"",INDEX(tblInv[رقم الفاتورة],$N108),INDEX(tblRec[رقم السند],$O108)),IF($M108="l",INDEX(tblBuckets[الفترة],3),IF($M108="v",TEXT(SUMIFS(tblInv[المتبقي],tblInv[كود العميل],StCust,tblInv[الفترة],INDEX(tblBuckets[الفترة],3)),"#,##0.00;-#,##0.00;-"),"")))</f>
        <v/>
      </c>
      <c r="D108" s="118">
        <f>IF($M108="m",IF($N108&lt;&gt;"","فاتورة مبيعات — استحقاق "&amp;TEXT(INDEX(tblInv[تاريخ الاستحقاق],$N108),"dd/mm/yyyy")&amp;IF(INDEX(tblInv[ملاحظات],$N108)&amp;""&lt;&gt;""," — "&amp;INDEX(tblInv[ملاحظات],$N108),""),INDEX(tblRec[النوع],$O108)&amp;IF(INDEX(tblRec[طريقة الدفع],$O108)&amp;""&lt;&gt;""," ("&amp;INDEX(tblRec[طريقة الدفع],$O108)&amp;")","")&amp;IF(INDEX(tblRec[رقم الفاتورة],$O108)&amp;""&lt;&gt;""," — عن فاتورة "&amp;INDEX(tblRec[رقم الفاتورة],$O108)," — دفعة على الحساب")),IF($M108="l",INDEX(tblBuckets[الفترة],4),IF($M108="v",TEXT(SUMIFS(tblInv[المتبقي],tblInv[كود العميل],StCust,tblInv[الفترة],INDEX(tblBuckets[الفترة],4)),"#,##0.00;-#,##0.00;-"),IF($M108="t","ملخص أعمار رصيد العميل كما في "&amp;TEXT(AsOf,"dd/mm/yyyy"),IF($M108="p","يُرجى مطابقة الرصيد وإفادتنا خلال 15 يوماً، وإلا اعتُبر الرصيد صحيحاً.","")))))</f>
        <v/>
      </c>
      <c r="E108" s="119">
        <f>IF($M108="m",IF($N108&lt;&gt;"",INDEX(tblInv[الإجمالي],$N108),0),IF($M108="l",INDEX(tblBuckets[الفترة],5),IF($M108="v",TEXT(SUMIFS(tblInv[المتبقي],tblInv[كود العميل],StCust,tblInv[الفترة],INDEX(tblBuckets[الفترة],5)),"#,##0.00;-#,##0.00;-"),"")))</f>
        <v/>
      </c>
      <c r="F108" s="119">
        <f>IF($M108="m",IF($O108&lt;&gt;"",INDEX(tblRec[المبلغ],$O108),0),IF($M108="l",INDEX(tblBuckets[الفترة],6),IF($M108="v",TEXT(SUMIFS(tblInv[المتبقي],tblInv[كود العميل],StCust,tblInv[الفترة],INDEX(tblBuckets[الفترة],6)),"#,##0.00;-#,##0.00;-"),"")))</f>
        <v/>
      </c>
      <c r="G108" s="120">
        <f>IF($M108="m",N(G107)+E108-F108,IF($M108="l",INDEX(tblBuckets[الفترة],7),IF($M108="v",TEXT(SUMIFS(tblInv[المتبقي],tblInv[كود العميل],StCust,tblInv[الفترة],INDEX(tblBuckets[الفترة],7)),"#,##0.00;-#,##0.00;-"),"")))</f>
        <v/>
      </c>
      <c r="L108" t="n">
        <v>103</v>
      </c>
      <c r="M108">
        <f>IF(L108&lt;=StCount,"m",IF(L108=StCount+2,"t",IF(L108=StCount+3,"l",IF(L108=StCount+4,"v",IF(L108=StCount+6,"p","")))))</f>
        <v/>
      </c>
      <c r="N108">
        <f>IF(M108="m",IFERROR(MATCH(L108,tblInv[ترتيب الكشف],0),""),"")</f>
        <v/>
      </c>
      <c r="O108">
        <f>IF(AND(M108="m",N108=""),IFERROR(MATCH(L108,tblRec[ترتيب الكشف],0),""),"")</f>
        <v/>
      </c>
    </row>
    <row r="109">
      <c r="A109" s="117">
        <f>IF($M109="m",IF($N109&lt;&gt;"",INDEX(tblInv[تاريخ الفاتورة],$N109),INDEX(tblRec[التاريخ],$O109)),IF($M109="l",INDEX(tblBuckets[الفترة],1),IF($M109="v",TEXT(SUMIFS(tblInv[المتبقي],tblInv[كود العميل],StCust,tblInv[الفترة],INDEX(tblBuckets[الفترة],1)),"#,##0.00;-#,##0.00;-"),"")))</f>
        <v/>
      </c>
      <c r="B109" s="83">
        <f>IF($M109="m",IF($N109&lt;&gt;"","فاتورة",INDEX(tblRec[النوع],$O109)),IF($M109="l",INDEX(tblBuckets[الفترة],2),IF($M109="v",TEXT(SUMIFS(tblInv[المتبقي],tblInv[كود العميل],StCust,tblInv[الفترة],INDEX(tblBuckets[الفترة],2)),"#,##0.00;-#,##0.00;-"),"")))</f>
        <v/>
      </c>
      <c r="C109" s="83">
        <f>IF($M109="m",IF($N109&lt;&gt;"",INDEX(tblInv[رقم الفاتورة],$N109),INDEX(tblRec[رقم السند],$O109)),IF($M109="l",INDEX(tblBuckets[الفترة],3),IF($M109="v",TEXT(SUMIFS(tblInv[المتبقي],tblInv[كود العميل],StCust,tblInv[الفترة],INDEX(tblBuckets[الفترة],3)),"#,##0.00;-#,##0.00;-"),"")))</f>
        <v/>
      </c>
      <c r="D109" s="118">
        <f>IF($M109="m",IF($N109&lt;&gt;"","فاتورة مبيعات — استحقاق "&amp;TEXT(INDEX(tblInv[تاريخ الاستحقاق],$N109),"dd/mm/yyyy")&amp;IF(INDEX(tblInv[ملاحظات],$N109)&amp;""&lt;&gt;""," — "&amp;INDEX(tblInv[ملاحظات],$N109),""),INDEX(tblRec[النوع],$O109)&amp;IF(INDEX(tblRec[طريقة الدفع],$O109)&amp;""&lt;&gt;""," ("&amp;INDEX(tblRec[طريقة الدفع],$O109)&amp;")","")&amp;IF(INDEX(tblRec[رقم الفاتورة],$O109)&amp;""&lt;&gt;""," — عن فاتورة "&amp;INDEX(tblRec[رقم الفاتورة],$O109)," — دفعة على الحساب")),IF($M109="l",INDEX(tblBuckets[الفترة],4),IF($M109="v",TEXT(SUMIFS(tblInv[المتبقي],tblInv[كود العميل],StCust,tblInv[الفترة],INDEX(tblBuckets[الفترة],4)),"#,##0.00;-#,##0.00;-"),IF($M109="t","ملخص أعمار رصيد العميل كما في "&amp;TEXT(AsOf,"dd/mm/yyyy"),IF($M109="p","يُرجى مطابقة الرصيد وإفادتنا خلال 15 يوماً، وإلا اعتُبر الرصيد صحيحاً.","")))))</f>
        <v/>
      </c>
      <c r="E109" s="119">
        <f>IF($M109="m",IF($N109&lt;&gt;"",INDEX(tblInv[الإجمالي],$N109),0),IF($M109="l",INDEX(tblBuckets[الفترة],5),IF($M109="v",TEXT(SUMIFS(tblInv[المتبقي],tblInv[كود العميل],StCust,tblInv[الفترة],INDEX(tblBuckets[الفترة],5)),"#,##0.00;-#,##0.00;-"),"")))</f>
        <v/>
      </c>
      <c r="F109" s="119">
        <f>IF($M109="m",IF($O109&lt;&gt;"",INDEX(tblRec[المبلغ],$O109),0),IF($M109="l",INDEX(tblBuckets[الفترة],6),IF($M109="v",TEXT(SUMIFS(tblInv[المتبقي],tblInv[كود العميل],StCust,tblInv[الفترة],INDEX(tblBuckets[الفترة],6)),"#,##0.00;-#,##0.00;-"),"")))</f>
        <v/>
      </c>
      <c r="G109" s="120">
        <f>IF($M109="m",N(G108)+E109-F109,IF($M109="l",INDEX(tblBuckets[الفترة],7),IF($M109="v",TEXT(SUMIFS(tblInv[المتبقي],tblInv[كود العميل],StCust,tblInv[الفترة],INDEX(tblBuckets[الفترة],7)),"#,##0.00;-#,##0.00;-"),"")))</f>
        <v/>
      </c>
      <c r="L109" t="n">
        <v>104</v>
      </c>
      <c r="M109">
        <f>IF(L109&lt;=StCount,"m",IF(L109=StCount+2,"t",IF(L109=StCount+3,"l",IF(L109=StCount+4,"v",IF(L109=StCount+6,"p","")))))</f>
        <v/>
      </c>
      <c r="N109">
        <f>IF(M109="m",IFERROR(MATCH(L109,tblInv[ترتيب الكشف],0),""),"")</f>
        <v/>
      </c>
      <c r="O109">
        <f>IF(AND(M109="m",N109=""),IFERROR(MATCH(L109,tblRec[ترتيب الكشف],0),""),"")</f>
        <v/>
      </c>
    </row>
    <row r="110">
      <c r="A110" s="117">
        <f>IF($M110="m",IF($N110&lt;&gt;"",INDEX(tblInv[تاريخ الفاتورة],$N110),INDEX(tblRec[التاريخ],$O110)),IF($M110="l",INDEX(tblBuckets[الفترة],1),IF($M110="v",TEXT(SUMIFS(tblInv[المتبقي],tblInv[كود العميل],StCust,tblInv[الفترة],INDEX(tblBuckets[الفترة],1)),"#,##0.00;-#,##0.00;-"),"")))</f>
        <v/>
      </c>
      <c r="B110" s="83">
        <f>IF($M110="m",IF($N110&lt;&gt;"","فاتورة",INDEX(tblRec[النوع],$O110)),IF($M110="l",INDEX(tblBuckets[الفترة],2),IF($M110="v",TEXT(SUMIFS(tblInv[المتبقي],tblInv[كود العميل],StCust,tblInv[الفترة],INDEX(tblBuckets[الفترة],2)),"#,##0.00;-#,##0.00;-"),"")))</f>
        <v/>
      </c>
      <c r="C110" s="83">
        <f>IF($M110="m",IF($N110&lt;&gt;"",INDEX(tblInv[رقم الفاتورة],$N110),INDEX(tblRec[رقم السند],$O110)),IF($M110="l",INDEX(tblBuckets[الفترة],3),IF($M110="v",TEXT(SUMIFS(tblInv[المتبقي],tblInv[كود العميل],StCust,tblInv[الفترة],INDEX(tblBuckets[الفترة],3)),"#,##0.00;-#,##0.00;-"),"")))</f>
        <v/>
      </c>
      <c r="D110" s="118">
        <f>IF($M110="m",IF($N110&lt;&gt;"","فاتورة مبيعات — استحقاق "&amp;TEXT(INDEX(tblInv[تاريخ الاستحقاق],$N110),"dd/mm/yyyy")&amp;IF(INDEX(tblInv[ملاحظات],$N110)&amp;""&lt;&gt;""," — "&amp;INDEX(tblInv[ملاحظات],$N110),""),INDEX(tblRec[النوع],$O110)&amp;IF(INDEX(tblRec[طريقة الدفع],$O110)&amp;""&lt;&gt;""," ("&amp;INDEX(tblRec[طريقة الدفع],$O110)&amp;")","")&amp;IF(INDEX(tblRec[رقم الفاتورة],$O110)&amp;""&lt;&gt;""," — عن فاتورة "&amp;INDEX(tblRec[رقم الفاتورة],$O110)," — دفعة على الحساب")),IF($M110="l",INDEX(tblBuckets[الفترة],4),IF($M110="v",TEXT(SUMIFS(tblInv[المتبقي],tblInv[كود العميل],StCust,tblInv[الفترة],INDEX(tblBuckets[الفترة],4)),"#,##0.00;-#,##0.00;-"),IF($M110="t","ملخص أعمار رصيد العميل كما في "&amp;TEXT(AsOf,"dd/mm/yyyy"),IF($M110="p","يُرجى مطابقة الرصيد وإفادتنا خلال 15 يوماً، وإلا اعتُبر الرصيد صحيحاً.","")))))</f>
        <v/>
      </c>
      <c r="E110" s="119">
        <f>IF($M110="m",IF($N110&lt;&gt;"",INDEX(tblInv[الإجمالي],$N110),0),IF($M110="l",INDEX(tblBuckets[الفترة],5),IF($M110="v",TEXT(SUMIFS(tblInv[المتبقي],tblInv[كود العميل],StCust,tblInv[الفترة],INDEX(tblBuckets[الفترة],5)),"#,##0.00;-#,##0.00;-"),"")))</f>
        <v/>
      </c>
      <c r="F110" s="119">
        <f>IF($M110="m",IF($O110&lt;&gt;"",INDEX(tblRec[المبلغ],$O110),0),IF($M110="l",INDEX(tblBuckets[الفترة],6),IF($M110="v",TEXT(SUMIFS(tblInv[المتبقي],tblInv[كود العميل],StCust,tblInv[الفترة],INDEX(tblBuckets[الفترة],6)),"#,##0.00;-#,##0.00;-"),"")))</f>
        <v/>
      </c>
      <c r="G110" s="120">
        <f>IF($M110="m",N(G109)+E110-F110,IF($M110="l",INDEX(tblBuckets[الفترة],7),IF($M110="v",TEXT(SUMIFS(tblInv[المتبقي],tblInv[كود العميل],StCust,tblInv[الفترة],INDEX(tblBuckets[الفترة],7)),"#,##0.00;-#,##0.00;-"),"")))</f>
        <v/>
      </c>
      <c r="L110" t="n">
        <v>105</v>
      </c>
      <c r="M110">
        <f>IF(L110&lt;=StCount,"m",IF(L110=StCount+2,"t",IF(L110=StCount+3,"l",IF(L110=StCount+4,"v",IF(L110=StCount+6,"p","")))))</f>
        <v/>
      </c>
      <c r="N110">
        <f>IF(M110="m",IFERROR(MATCH(L110,tblInv[ترتيب الكشف],0),""),"")</f>
        <v/>
      </c>
      <c r="O110">
        <f>IF(AND(M110="m",N110=""),IFERROR(MATCH(L110,tblRec[ترتيب الكشف],0),""),"")</f>
        <v/>
      </c>
    </row>
    <row r="111">
      <c r="A111" s="117">
        <f>IF($M111="m",IF($N111&lt;&gt;"",INDEX(tblInv[تاريخ الفاتورة],$N111),INDEX(tblRec[التاريخ],$O111)),IF($M111="l",INDEX(tblBuckets[الفترة],1),IF($M111="v",TEXT(SUMIFS(tblInv[المتبقي],tblInv[كود العميل],StCust,tblInv[الفترة],INDEX(tblBuckets[الفترة],1)),"#,##0.00;-#,##0.00;-"),"")))</f>
        <v/>
      </c>
      <c r="B111" s="83">
        <f>IF($M111="m",IF($N111&lt;&gt;"","فاتورة",INDEX(tblRec[النوع],$O111)),IF($M111="l",INDEX(tblBuckets[الفترة],2),IF($M111="v",TEXT(SUMIFS(tblInv[المتبقي],tblInv[كود العميل],StCust,tblInv[الفترة],INDEX(tblBuckets[الفترة],2)),"#,##0.00;-#,##0.00;-"),"")))</f>
        <v/>
      </c>
      <c r="C111" s="83">
        <f>IF($M111="m",IF($N111&lt;&gt;"",INDEX(tblInv[رقم الفاتورة],$N111),INDEX(tblRec[رقم السند],$O111)),IF($M111="l",INDEX(tblBuckets[الفترة],3),IF($M111="v",TEXT(SUMIFS(tblInv[المتبقي],tblInv[كود العميل],StCust,tblInv[الفترة],INDEX(tblBuckets[الفترة],3)),"#,##0.00;-#,##0.00;-"),"")))</f>
        <v/>
      </c>
      <c r="D111" s="118">
        <f>IF($M111="m",IF($N111&lt;&gt;"","فاتورة مبيعات — استحقاق "&amp;TEXT(INDEX(tblInv[تاريخ الاستحقاق],$N111),"dd/mm/yyyy")&amp;IF(INDEX(tblInv[ملاحظات],$N111)&amp;""&lt;&gt;""," — "&amp;INDEX(tblInv[ملاحظات],$N111),""),INDEX(tblRec[النوع],$O111)&amp;IF(INDEX(tblRec[طريقة الدفع],$O111)&amp;""&lt;&gt;""," ("&amp;INDEX(tblRec[طريقة الدفع],$O111)&amp;")","")&amp;IF(INDEX(tblRec[رقم الفاتورة],$O111)&amp;""&lt;&gt;""," — عن فاتورة "&amp;INDEX(tblRec[رقم الفاتورة],$O111)," — دفعة على الحساب")),IF($M111="l",INDEX(tblBuckets[الفترة],4),IF($M111="v",TEXT(SUMIFS(tblInv[المتبقي],tblInv[كود العميل],StCust,tblInv[الفترة],INDEX(tblBuckets[الفترة],4)),"#,##0.00;-#,##0.00;-"),IF($M111="t","ملخص أعمار رصيد العميل كما في "&amp;TEXT(AsOf,"dd/mm/yyyy"),IF($M111="p","يُرجى مطابقة الرصيد وإفادتنا خلال 15 يوماً، وإلا اعتُبر الرصيد صحيحاً.","")))))</f>
        <v/>
      </c>
      <c r="E111" s="119">
        <f>IF($M111="m",IF($N111&lt;&gt;"",INDEX(tblInv[الإجمالي],$N111),0),IF($M111="l",INDEX(tblBuckets[الفترة],5),IF($M111="v",TEXT(SUMIFS(tblInv[المتبقي],tblInv[كود العميل],StCust,tblInv[الفترة],INDEX(tblBuckets[الفترة],5)),"#,##0.00;-#,##0.00;-"),"")))</f>
        <v/>
      </c>
      <c r="F111" s="119">
        <f>IF($M111="m",IF($O111&lt;&gt;"",INDEX(tblRec[المبلغ],$O111),0),IF($M111="l",INDEX(tblBuckets[الفترة],6),IF($M111="v",TEXT(SUMIFS(tblInv[المتبقي],tblInv[كود العميل],StCust,tblInv[الفترة],INDEX(tblBuckets[الفترة],6)),"#,##0.00;-#,##0.00;-"),"")))</f>
        <v/>
      </c>
      <c r="G111" s="120">
        <f>IF($M111="m",N(G110)+E111-F111,IF($M111="l",INDEX(tblBuckets[الفترة],7),IF($M111="v",TEXT(SUMIFS(tblInv[المتبقي],tblInv[كود العميل],StCust,tblInv[الفترة],INDEX(tblBuckets[الفترة],7)),"#,##0.00;-#,##0.00;-"),"")))</f>
        <v/>
      </c>
      <c r="L111" t="n">
        <v>106</v>
      </c>
      <c r="M111">
        <f>IF(L111&lt;=StCount,"m",IF(L111=StCount+2,"t",IF(L111=StCount+3,"l",IF(L111=StCount+4,"v",IF(L111=StCount+6,"p","")))))</f>
        <v/>
      </c>
      <c r="N111">
        <f>IF(M111="m",IFERROR(MATCH(L111,tblInv[ترتيب الكشف],0),""),"")</f>
        <v/>
      </c>
      <c r="O111">
        <f>IF(AND(M111="m",N111=""),IFERROR(MATCH(L111,tblRec[ترتيب الكشف],0),""),"")</f>
        <v/>
      </c>
    </row>
    <row r="112">
      <c r="A112" s="117">
        <f>IF($M112="m",IF($N112&lt;&gt;"",INDEX(tblInv[تاريخ الفاتورة],$N112),INDEX(tblRec[التاريخ],$O112)),IF($M112="l",INDEX(tblBuckets[الفترة],1),IF($M112="v",TEXT(SUMIFS(tblInv[المتبقي],tblInv[كود العميل],StCust,tblInv[الفترة],INDEX(tblBuckets[الفترة],1)),"#,##0.00;-#,##0.00;-"),"")))</f>
        <v/>
      </c>
      <c r="B112" s="83">
        <f>IF($M112="m",IF($N112&lt;&gt;"","فاتورة",INDEX(tblRec[النوع],$O112)),IF($M112="l",INDEX(tblBuckets[الفترة],2),IF($M112="v",TEXT(SUMIFS(tblInv[المتبقي],tblInv[كود العميل],StCust,tblInv[الفترة],INDEX(tblBuckets[الفترة],2)),"#,##0.00;-#,##0.00;-"),"")))</f>
        <v/>
      </c>
      <c r="C112" s="83">
        <f>IF($M112="m",IF($N112&lt;&gt;"",INDEX(tblInv[رقم الفاتورة],$N112),INDEX(tblRec[رقم السند],$O112)),IF($M112="l",INDEX(tblBuckets[الفترة],3),IF($M112="v",TEXT(SUMIFS(tblInv[المتبقي],tblInv[كود العميل],StCust,tblInv[الفترة],INDEX(tblBuckets[الفترة],3)),"#,##0.00;-#,##0.00;-"),"")))</f>
        <v/>
      </c>
      <c r="D112" s="118">
        <f>IF($M112="m",IF($N112&lt;&gt;"","فاتورة مبيعات — استحقاق "&amp;TEXT(INDEX(tblInv[تاريخ الاستحقاق],$N112),"dd/mm/yyyy")&amp;IF(INDEX(tblInv[ملاحظات],$N112)&amp;""&lt;&gt;""," — "&amp;INDEX(tblInv[ملاحظات],$N112),""),INDEX(tblRec[النوع],$O112)&amp;IF(INDEX(tblRec[طريقة الدفع],$O112)&amp;""&lt;&gt;""," ("&amp;INDEX(tblRec[طريقة الدفع],$O112)&amp;")","")&amp;IF(INDEX(tblRec[رقم الفاتورة],$O112)&amp;""&lt;&gt;""," — عن فاتورة "&amp;INDEX(tblRec[رقم الفاتورة],$O112)," — دفعة على الحساب")),IF($M112="l",INDEX(tblBuckets[الفترة],4),IF($M112="v",TEXT(SUMIFS(tblInv[المتبقي],tblInv[كود العميل],StCust,tblInv[الفترة],INDEX(tblBuckets[الفترة],4)),"#,##0.00;-#,##0.00;-"),IF($M112="t","ملخص أعمار رصيد العميل كما في "&amp;TEXT(AsOf,"dd/mm/yyyy"),IF($M112="p","يُرجى مطابقة الرصيد وإفادتنا خلال 15 يوماً، وإلا اعتُبر الرصيد صحيحاً.","")))))</f>
        <v/>
      </c>
      <c r="E112" s="119">
        <f>IF($M112="m",IF($N112&lt;&gt;"",INDEX(tblInv[الإجمالي],$N112),0),IF($M112="l",INDEX(tblBuckets[الفترة],5),IF($M112="v",TEXT(SUMIFS(tblInv[المتبقي],tblInv[كود العميل],StCust,tblInv[الفترة],INDEX(tblBuckets[الفترة],5)),"#,##0.00;-#,##0.00;-"),"")))</f>
        <v/>
      </c>
      <c r="F112" s="119">
        <f>IF($M112="m",IF($O112&lt;&gt;"",INDEX(tblRec[المبلغ],$O112),0),IF($M112="l",INDEX(tblBuckets[الفترة],6),IF($M112="v",TEXT(SUMIFS(tblInv[المتبقي],tblInv[كود العميل],StCust,tblInv[الفترة],INDEX(tblBuckets[الفترة],6)),"#,##0.00;-#,##0.00;-"),"")))</f>
        <v/>
      </c>
      <c r="G112" s="120">
        <f>IF($M112="m",N(G111)+E112-F112,IF($M112="l",INDEX(tblBuckets[الفترة],7),IF($M112="v",TEXT(SUMIFS(tblInv[المتبقي],tblInv[كود العميل],StCust,tblInv[الفترة],INDEX(tblBuckets[الفترة],7)),"#,##0.00;-#,##0.00;-"),"")))</f>
        <v/>
      </c>
      <c r="L112" t="n">
        <v>107</v>
      </c>
      <c r="M112">
        <f>IF(L112&lt;=StCount,"m",IF(L112=StCount+2,"t",IF(L112=StCount+3,"l",IF(L112=StCount+4,"v",IF(L112=StCount+6,"p","")))))</f>
        <v/>
      </c>
      <c r="N112">
        <f>IF(M112="m",IFERROR(MATCH(L112,tblInv[ترتيب الكشف],0),""),"")</f>
        <v/>
      </c>
      <c r="O112">
        <f>IF(AND(M112="m",N112=""),IFERROR(MATCH(L112,tblRec[ترتيب الكشف],0),""),"")</f>
        <v/>
      </c>
    </row>
    <row r="113">
      <c r="A113" s="117">
        <f>IF($M113="m",IF($N113&lt;&gt;"",INDEX(tblInv[تاريخ الفاتورة],$N113),INDEX(tblRec[التاريخ],$O113)),IF($M113="l",INDEX(tblBuckets[الفترة],1),IF($M113="v",TEXT(SUMIFS(tblInv[المتبقي],tblInv[كود العميل],StCust,tblInv[الفترة],INDEX(tblBuckets[الفترة],1)),"#,##0.00;-#,##0.00;-"),"")))</f>
        <v/>
      </c>
      <c r="B113" s="83">
        <f>IF($M113="m",IF($N113&lt;&gt;"","فاتورة",INDEX(tblRec[النوع],$O113)),IF($M113="l",INDEX(tblBuckets[الفترة],2),IF($M113="v",TEXT(SUMIFS(tblInv[المتبقي],tblInv[كود العميل],StCust,tblInv[الفترة],INDEX(tblBuckets[الفترة],2)),"#,##0.00;-#,##0.00;-"),"")))</f>
        <v/>
      </c>
      <c r="C113" s="83">
        <f>IF($M113="m",IF($N113&lt;&gt;"",INDEX(tblInv[رقم الفاتورة],$N113),INDEX(tblRec[رقم السند],$O113)),IF($M113="l",INDEX(tblBuckets[الفترة],3),IF($M113="v",TEXT(SUMIFS(tblInv[المتبقي],tblInv[كود العميل],StCust,tblInv[الفترة],INDEX(tblBuckets[الفترة],3)),"#,##0.00;-#,##0.00;-"),"")))</f>
        <v/>
      </c>
      <c r="D113" s="118">
        <f>IF($M113="m",IF($N113&lt;&gt;"","فاتورة مبيعات — استحقاق "&amp;TEXT(INDEX(tblInv[تاريخ الاستحقاق],$N113),"dd/mm/yyyy")&amp;IF(INDEX(tblInv[ملاحظات],$N113)&amp;""&lt;&gt;""," — "&amp;INDEX(tblInv[ملاحظات],$N113),""),INDEX(tblRec[النوع],$O113)&amp;IF(INDEX(tblRec[طريقة الدفع],$O113)&amp;""&lt;&gt;""," ("&amp;INDEX(tblRec[طريقة الدفع],$O113)&amp;")","")&amp;IF(INDEX(tblRec[رقم الفاتورة],$O113)&amp;""&lt;&gt;""," — عن فاتورة "&amp;INDEX(tblRec[رقم الفاتورة],$O113)," — دفعة على الحساب")),IF($M113="l",INDEX(tblBuckets[الفترة],4),IF($M113="v",TEXT(SUMIFS(tblInv[المتبقي],tblInv[كود العميل],StCust,tblInv[الفترة],INDEX(tblBuckets[الفترة],4)),"#,##0.00;-#,##0.00;-"),IF($M113="t","ملخص أعمار رصيد العميل كما في "&amp;TEXT(AsOf,"dd/mm/yyyy"),IF($M113="p","يُرجى مطابقة الرصيد وإفادتنا خلال 15 يوماً، وإلا اعتُبر الرصيد صحيحاً.","")))))</f>
        <v/>
      </c>
      <c r="E113" s="119">
        <f>IF($M113="m",IF($N113&lt;&gt;"",INDEX(tblInv[الإجمالي],$N113),0),IF($M113="l",INDEX(tblBuckets[الفترة],5),IF($M113="v",TEXT(SUMIFS(tblInv[المتبقي],tblInv[كود العميل],StCust,tblInv[الفترة],INDEX(tblBuckets[الفترة],5)),"#,##0.00;-#,##0.00;-"),"")))</f>
        <v/>
      </c>
      <c r="F113" s="119">
        <f>IF($M113="m",IF($O113&lt;&gt;"",INDEX(tblRec[المبلغ],$O113),0),IF($M113="l",INDEX(tblBuckets[الفترة],6),IF($M113="v",TEXT(SUMIFS(tblInv[المتبقي],tblInv[كود العميل],StCust,tblInv[الفترة],INDEX(tblBuckets[الفترة],6)),"#,##0.00;-#,##0.00;-"),"")))</f>
        <v/>
      </c>
      <c r="G113" s="120">
        <f>IF($M113="m",N(G112)+E113-F113,IF($M113="l",INDEX(tblBuckets[الفترة],7),IF($M113="v",TEXT(SUMIFS(tblInv[المتبقي],tblInv[كود العميل],StCust,tblInv[الفترة],INDEX(tblBuckets[الفترة],7)),"#,##0.00;-#,##0.00;-"),"")))</f>
        <v/>
      </c>
      <c r="L113" t="n">
        <v>108</v>
      </c>
      <c r="M113">
        <f>IF(L113&lt;=StCount,"m",IF(L113=StCount+2,"t",IF(L113=StCount+3,"l",IF(L113=StCount+4,"v",IF(L113=StCount+6,"p","")))))</f>
        <v/>
      </c>
      <c r="N113">
        <f>IF(M113="m",IFERROR(MATCH(L113,tblInv[ترتيب الكشف],0),""),"")</f>
        <v/>
      </c>
      <c r="O113">
        <f>IF(AND(M113="m",N113=""),IFERROR(MATCH(L113,tblRec[ترتيب الكشف],0),""),"")</f>
        <v/>
      </c>
    </row>
    <row r="114">
      <c r="A114" s="117">
        <f>IF($M114="m",IF($N114&lt;&gt;"",INDEX(tblInv[تاريخ الفاتورة],$N114),INDEX(tblRec[التاريخ],$O114)),IF($M114="l",INDEX(tblBuckets[الفترة],1),IF($M114="v",TEXT(SUMIFS(tblInv[المتبقي],tblInv[كود العميل],StCust,tblInv[الفترة],INDEX(tblBuckets[الفترة],1)),"#,##0.00;-#,##0.00;-"),"")))</f>
        <v/>
      </c>
      <c r="B114" s="83">
        <f>IF($M114="m",IF($N114&lt;&gt;"","فاتورة",INDEX(tblRec[النوع],$O114)),IF($M114="l",INDEX(tblBuckets[الفترة],2),IF($M114="v",TEXT(SUMIFS(tblInv[المتبقي],tblInv[كود العميل],StCust,tblInv[الفترة],INDEX(tblBuckets[الفترة],2)),"#,##0.00;-#,##0.00;-"),"")))</f>
        <v/>
      </c>
      <c r="C114" s="83">
        <f>IF($M114="m",IF($N114&lt;&gt;"",INDEX(tblInv[رقم الفاتورة],$N114),INDEX(tblRec[رقم السند],$O114)),IF($M114="l",INDEX(tblBuckets[الفترة],3),IF($M114="v",TEXT(SUMIFS(tblInv[المتبقي],tblInv[كود العميل],StCust,tblInv[الفترة],INDEX(tblBuckets[الفترة],3)),"#,##0.00;-#,##0.00;-"),"")))</f>
        <v/>
      </c>
      <c r="D114" s="118">
        <f>IF($M114="m",IF($N114&lt;&gt;"","فاتورة مبيعات — استحقاق "&amp;TEXT(INDEX(tblInv[تاريخ الاستحقاق],$N114),"dd/mm/yyyy")&amp;IF(INDEX(tblInv[ملاحظات],$N114)&amp;""&lt;&gt;""," — "&amp;INDEX(tblInv[ملاحظات],$N114),""),INDEX(tblRec[النوع],$O114)&amp;IF(INDEX(tblRec[طريقة الدفع],$O114)&amp;""&lt;&gt;""," ("&amp;INDEX(tblRec[طريقة الدفع],$O114)&amp;")","")&amp;IF(INDEX(tblRec[رقم الفاتورة],$O114)&amp;""&lt;&gt;""," — عن فاتورة "&amp;INDEX(tblRec[رقم الفاتورة],$O114)," — دفعة على الحساب")),IF($M114="l",INDEX(tblBuckets[الفترة],4),IF($M114="v",TEXT(SUMIFS(tblInv[المتبقي],tblInv[كود العميل],StCust,tblInv[الفترة],INDEX(tblBuckets[الفترة],4)),"#,##0.00;-#,##0.00;-"),IF($M114="t","ملخص أعمار رصيد العميل كما في "&amp;TEXT(AsOf,"dd/mm/yyyy"),IF($M114="p","يُرجى مطابقة الرصيد وإفادتنا خلال 15 يوماً، وإلا اعتُبر الرصيد صحيحاً.","")))))</f>
        <v/>
      </c>
      <c r="E114" s="119">
        <f>IF($M114="m",IF($N114&lt;&gt;"",INDEX(tblInv[الإجمالي],$N114),0),IF($M114="l",INDEX(tblBuckets[الفترة],5),IF($M114="v",TEXT(SUMIFS(tblInv[المتبقي],tblInv[كود العميل],StCust,tblInv[الفترة],INDEX(tblBuckets[الفترة],5)),"#,##0.00;-#,##0.00;-"),"")))</f>
        <v/>
      </c>
      <c r="F114" s="119">
        <f>IF($M114="m",IF($O114&lt;&gt;"",INDEX(tblRec[المبلغ],$O114),0),IF($M114="l",INDEX(tblBuckets[الفترة],6),IF($M114="v",TEXT(SUMIFS(tblInv[المتبقي],tblInv[كود العميل],StCust,tblInv[الفترة],INDEX(tblBuckets[الفترة],6)),"#,##0.00;-#,##0.00;-"),"")))</f>
        <v/>
      </c>
      <c r="G114" s="120">
        <f>IF($M114="m",N(G113)+E114-F114,IF($M114="l",INDEX(tblBuckets[الفترة],7),IF($M114="v",TEXT(SUMIFS(tblInv[المتبقي],tblInv[كود العميل],StCust,tblInv[الفترة],INDEX(tblBuckets[الفترة],7)),"#,##0.00;-#,##0.00;-"),"")))</f>
        <v/>
      </c>
      <c r="L114" t="n">
        <v>109</v>
      </c>
      <c r="M114">
        <f>IF(L114&lt;=StCount,"m",IF(L114=StCount+2,"t",IF(L114=StCount+3,"l",IF(L114=StCount+4,"v",IF(L114=StCount+6,"p","")))))</f>
        <v/>
      </c>
      <c r="N114">
        <f>IF(M114="m",IFERROR(MATCH(L114,tblInv[ترتيب الكشف],0),""),"")</f>
        <v/>
      </c>
      <c r="O114">
        <f>IF(AND(M114="m",N114=""),IFERROR(MATCH(L114,tblRec[ترتيب الكشف],0),""),"")</f>
        <v/>
      </c>
    </row>
    <row r="115">
      <c r="A115" s="117">
        <f>IF($M115="m",IF($N115&lt;&gt;"",INDEX(tblInv[تاريخ الفاتورة],$N115),INDEX(tblRec[التاريخ],$O115)),IF($M115="l",INDEX(tblBuckets[الفترة],1),IF($M115="v",TEXT(SUMIFS(tblInv[المتبقي],tblInv[كود العميل],StCust,tblInv[الفترة],INDEX(tblBuckets[الفترة],1)),"#,##0.00;-#,##0.00;-"),"")))</f>
        <v/>
      </c>
      <c r="B115" s="83">
        <f>IF($M115="m",IF($N115&lt;&gt;"","فاتورة",INDEX(tblRec[النوع],$O115)),IF($M115="l",INDEX(tblBuckets[الفترة],2),IF($M115="v",TEXT(SUMIFS(tblInv[المتبقي],tblInv[كود العميل],StCust,tblInv[الفترة],INDEX(tblBuckets[الفترة],2)),"#,##0.00;-#,##0.00;-"),"")))</f>
        <v/>
      </c>
      <c r="C115" s="83">
        <f>IF($M115="m",IF($N115&lt;&gt;"",INDEX(tblInv[رقم الفاتورة],$N115),INDEX(tblRec[رقم السند],$O115)),IF($M115="l",INDEX(tblBuckets[الفترة],3),IF($M115="v",TEXT(SUMIFS(tblInv[المتبقي],tblInv[كود العميل],StCust,tblInv[الفترة],INDEX(tblBuckets[الفترة],3)),"#,##0.00;-#,##0.00;-"),"")))</f>
        <v/>
      </c>
      <c r="D115" s="118">
        <f>IF($M115="m",IF($N115&lt;&gt;"","فاتورة مبيعات — استحقاق "&amp;TEXT(INDEX(tblInv[تاريخ الاستحقاق],$N115),"dd/mm/yyyy")&amp;IF(INDEX(tblInv[ملاحظات],$N115)&amp;""&lt;&gt;""," — "&amp;INDEX(tblInv[ملاحظات],$N115),""),INDEX(tblRec[النوع],$O115)&amp;IF(INDEX(tblRec[طريقة الدفع],$O115)&amp;""&lt;&gt;""," ("&amp;INDEX(tblRec[طريقة الدفع],$O115)&amp;")","")&amp;IF(INDEX(tblRec[رقم الفاتورة],$O115)&amp;""&lt;&gt;""," — عن فاتورة "&amp;INDEX(tblRec[رقم الفاتورة],$O115)," — دفعة على الحساب")),IF($M115="l",INDEX(tblBuckets[الفترة],4),IF($M115="v",TEXT(SUMIFS(tblInv[المتبقي],tblInv[كود العميل],StCust,tblInv[الفترة],INDEX(tblBuckets[الفترة],4)),"#,##0.00;-#,##0.00;-"),IF($M115="t","ملخص أعمار رصيد العميل كما في "&amp;TEXT(AsOf,"dd/mm/yyyy"),IF($M115="p","يُرجى مطابقة الرصيد وإفادتنا خلال 15 يوماً، وإلا اعتُبر الرصيد صحيحاً.","")))))</f>
        <v/>
      </c>
      <c r="E115" s="119">
        <f>IF($M115="m",IF($N115&lt;&gt;"",INDEX(tblInv[الإجمالي],$N115),0),IF($M115="l",INDEX(tblBuckets[الفترة],5),IF($M115="v",TEXT(SUMIFS(tblInv[المتبقي],tblInv[كود العميل],StCust,tblInv[الفترة],INDEX(tblBuckets[الفترة],5)),"#,##0.00;-#,##0.00;-"),"")))</f>
        <v/>
      </c>
      <c r="F115" s="119">
        <f>IF($M115="m",IF($O115&lt;&gt;"",INDEX(tblRec[المبلغ],$O115),0),IF($M115="l",INDEX(tblBuckets[الفترة],6),IF($M115="v",TEXT(SUMIFS(tblInv[المتبقي],tblInv[كود العميل],StCust,tblInv[الفترة],INDEX(tblBuckets[الفترة],6)),"#,##0.00;-#,##0.00;-"),"")))</f>
        <v/>
      </c>
      <c r="G115" s="120">
        <f>IF($M115="m",N(G114)+E115-F115,IF($M115="l",INDEX(tblBuckets[الفترة],7),IF($M115="v",TEXT(SUMIFS(tblInv[المتبقي],tblInv[كود العميل],StCust,tblInv[الفترة],INDEX(tblBuckets[الفترة],7)),"#,##0.00;-#,##0.00;-"),"")))</f>
        <v/>
      </c>
      <c r="L115" t="n">
        <v>110</v>
      </c>
      <c r="M115">
        <f>IF(L115&lt;=StCount,"m",IF(L115=StCount+2,"t",IF(L115=StCount+3,"l",IF(L115=StCount+4,"v",IF(L115=StCount+6,"p","")))))</f>
        <v/>
      </c>
      <c r="N115">
        <f>IF(M115="m",IFERROR(MATCH(L115,tblInv[ترتيب الكشف],0),""),"")</f>
        <v/>
      </c>
      <c r="O115">
        <f>IF(AND(M115="m",N115=""),IFERROR(MATCH(L115,tblRec[ترتيب الكشف],0),""),"")</f>
        <v/>
      </c>
    </row>
    <row r="116">
      <c r="A116" s="117">
        <f>IF($M116="m",IF($N116&lt;&gt;"",INDEX(tblInv[تاريخ الفاتورة],$N116),INDEX(tblRec[التاريخ],$O116)),IF($M116="l",INDEX(tblBuckets[الفترة],1),IF($M116="v",TEXT(SUMIFS(tblInv[المتبقي],tblInv[كود العميل],StCust,tblInv[الفترة],INDEX(tblBuckets[الفترة],1)),"#,##0.00;-#,##0.00;-"),"")))</f>
        <v/>
      </c>
      <c r="B116" s="83">
        <f>IF($M116="m",IF($N116&lt;&gt;"","فاتورة",INDEX(tblRec[النوع],$O116)),IF($M116="l",INDEX(tblBuckets[الفترة],2),IF($M116="v",TEXT(SUMIFS(tblInv[المتبقي],tblInv[كود العميل],StCust,tblInv[الفترة],INDEX(tblBuckets[الفترة],2)),"#,##0.00;-#,##0.00;-"),"")))</f>
        <v/>
      </c>
      <c r="C116" s="83">
        <f>IF($M116="m",IF($N116&lt;&gt;"",INDEX(tblInv[رقم الفاتورة],$N116),INDEX(tblRec[رقم السند],$O116)),IF($M116="l",INDEX(tblBuckets[الفترة],3),IF($M116="v",TEXT(SUMIFS(tblInv[المتبقي],tblInv[كود العميل],StCust,tblInv[الفترة],INDEX(tblBuckets[الفترة],3)),"#,##0.00;-#,##0.00;-"),"")))</f>
        <v/>
      </c>
      <c r="D116" s="118">
        <f>IF($M116="m",IF($N116&lt;&gt;"","فاتورة مبيعات — استحقاق "&amp;TEXT(INDEX(tblInv[تاريخ الاستحقاق],$N116),"dd/mm/yyyy")&amp;IF(INDEX(tblInv[ملاحظات],$N116)&amp;""&lt;&gt;""," — "&amp;INDEX(tblInv[ملاحظات],$N116),""),INDEX(tblRec[النوع],$O116)&amp;IF(INDEX(tblRec[طريقة الدفع],$O116)&amp;""&lt;&gt;""," ("&amp;INDEX(tblRec[طريقة الدفع],$O116)&amp;")","")&amp;IF(INDEX(tblRec[رقم الفاتورة],$O116)&amp;""&lt;&gt;""," — عن فاتورة "&amp;INDEX(tblRec[رقم الفاتورة],$O116)," — دفعة على الحساب")),IF($M116="l",INDEX(tblBuckets[الفترة],4),IF($M116="v",TEXT(SUMIFS(tblInv[المتبقي],tblInv[كود العميل],StCust,tblInv[الفترة],INDEX(tblBuckets[الفترة],4)),"#,##0.00;-#,##0.00;-"),IF($M116="t","ملخص أعمار رصيد العميل كما في "&amp;TEXT(AsOf,"dd/mm/yyyy"),IF($M116="p","يُرجى مطابقة الرصيد وإفادتنا خلال 15 يوماً، وإلا اعتُبر الرصيد صحيحاً.","")))))</f>
        <v/>
      </c>
      <c r="E116" s="119">
        <f>IF($M116="m",IF($N116&lt;&gt;"",INDEX(tblInv[الإجمالي],$N116),0),IF($M116="l",INDEX(tblBuckets[الفترة],5),IF($M116="v",TEXT(SUMIFS(tblInv[المتبقي],tblInv[كود العميل],StCust,tblInv[الفترة],INDEX(tblBuckets[الفترة],5)),"#,##0.00;-#,##0.00;-"),"")))</f>
        <v/>
      </c>
      <c r="F116" s="119">
        <f>IF($M116="m",IF($O116&lt;&gt;"",INDEX(tblRec[المبلغ],$O116),0),IF($M116="l",INDEX(tblBuckets[الفترة],6),IF($M116="v",TEXT(SUMIFS(tblInv[المتبقي],tblInv[كود العميل],StCust,tblInv[الفترة],INDEX(tblBuckets[الفترة],6)),"#,##0.00;-#,##0.00;-"),"")))</f>
        <v/>
      </c>
      <c r="G116" s="120">
        <f>IF($M116="m",N(G115)+E116-F116,IF($M116="l",INDEX(tblBuckets[الفترة],7),IF($M116="v",TEXT(SUMIFS(tblInv[المتبقي],tblInv[كود العميل],StCust,tblInv[الفترة],INDEX(tblBuckets[الفترة],7)),"#,##0.00;-#,##0.00;-"),"")))</f>
        <v/>
      </c>
      <c r="L116" t="n">
        <v>111</v>
      </c>
      <c r="M116">
        <f>IF(L116&lt;=StCount,"m",IF(L116=StCount+2,"t",IF(L116=StCount+3,"l",IF(L116=StCount+4,"v",IF(L116=StCount+6,"p","")))))</f>
        <v/>
      </c>
      <c r="N116">
        <f>IF(M116="m",IFERROR(MATCH(L116,tblInv[ترتيب الكشف],0),""),"")</f>
        <v/>
      </c>
      <c r="O116">
        <f>IF(AND(M116="m",N116=""),IFERROR(MATCH(L116,tblRec[ترتيب الكشف],0),""),"")</f>
        <v/>
      </c>
    </row>
    <row r="117">
      <c r="A117" s="117">
        <f>IF($M117="m",IF($N117&lt;&gt;"",INDEX(tblInv[تاريخ الفاتورة],$N117),INDEX(tblRec[التاريخ],$O117)),IF($M117="l",INDEX(tblBuckets[الفترة],1),IF($M117="v",TEXT(SUMIFS(tblInv[المتبقي],tblInv[كود العميل],StCust,tblInv[الفترة],INDEX(tblBuckets[الفترة],1)),"#,##0.00;-#,##0.00;-"),"")))</f>
        <v/>
      </c>
      <c r="B117" s="83">
        <f>IF($M117="m",IF($N117&lt;&gt;"","فاتورة",INDEX(tblRec[النوع],$O117)),IF($M117="l",INDEX(tblBuckets[الفترة],2),IF($M117="v",TEXT(SUMIFS(tblInv[المتبقي],tblInv[كود العميل],StCust,tblInv[الفترة],INDEX(tblBuckets[الفترة],2)),"#,##0.00;-#,##0.00;-"),"")))</f>
        <v/>
      </c>
      <c r="C117" s="83">
        <f>IF($M117="m",IF($N117&lt;&gt;"",INDEX(tblInv[رقم الفاتورة],$N117),INDEX(tblRec[رقم السند],$O117)),IF($M117="l",INDEX(tblBuckets[الفترة],3),IF($M117="v",TEXT(SUMIFS(tblInv[المتبقي],tblInv[كود العميل],StCust,tblInv[الفترة],INDEX(tblBuckets[الفترة],3)),"#,##0.00;-#,##0.00;-"),"")))</f>
        <v/>
      </c>
      <c r="D117" s="118">
        <f>IF($M117="m",IF($N117&lt;&gt;"","فاتورة مبيعات — استحقاق "&amp;TEXT(INDEX(tblInv[تاريخ الاستحقاق],$N117),"dd/mm/yyyy")&amp;IF(INDEX(tblInv[ملاحظات],$N117)&amp;""&lt;&gt;""," — "&amp;INDEX(tblInv[ملاحظات],$N117),""),INDEX(tblRec[النوع],$O117)&amp;IF(INDEX(tblRec[طريقة الدفع],$O117)&amp;""&lt;&gt;""," ("&amp;INDEX(tblRec[طريقة الدفع],$O117)&amp;")","")&amp;IF(INDEX(tblRec[رقم الفاتورة],$O117)&amp;""&lt;&gt;""," — عن فاتورة "&amp;INDEX(tblRec[رقم الفاتورة],$O117)," — دفعة على الحساب")),IF($M117="l",INDEX(tblBuckets[الفترة],4),IF($M117="v",TEXT(SUMIFS(tblInv[المتبقي],tblInv[كود العميل],StCust,tblInv[الفترة],INDEX(tblBuckets[الفترة],4)),"#,##0.00;-#,##0.00;-"),IF($M117="t","ملخص أعمار رصيد العميل كما في "&amp;TEXT(AsOf,"dd/mm/yyyy"),IF($M117="p","يُرجى مطابقة الرصيد وإفادتنا خلال 15 يوماً، وإلا اعتُبر الرصيد صحيحاً.","")))))</f>
        <v/>
      </c>
      <c r="E117" s="119">
        <f>IF($M117="m",IF($N117&lt;&gt;"",INDEX(tblInv[الإجمالي],$N117),0),IF($M117="l",INDEX(tblBuckets[الفترة],5),IF($M117="v",TEXT(SUMIFS(tblInv[المتبقي],tblInv[كود العميل],StCust,tblInv[الفترة],INDEX(tblBuckets[الفترة],5)),"#,##0.00;-#,##0.00;-"),"")))</f>
        <v/>
      </c>
      <c r="F117" s="119">
        <f>IF($M117="m",IF($O117&lt;&gt;"",INDEX(tblRec[المبلغ],$O117),0),IF($M117="l",INDEX(tblBuckets[الفترة],6),IF($M117="v",TEXT(SUMIFS(tblInv[المتبقي],tblInv[كود العميل],StCust,tblInv[الفترة],INDEX(tblBuckets[الفترة],6)),"#,##0.00;-#,##0.00;-"),"")))</f>
        <v/>
      </c>
      <c r="G117" s="120">
        <f>IF($M117="m",N(G116)+E117-F117,IF($M117="l",INDEX(tblBuckets[الفترة],7),IF($M117="v",TEXT(SUMIFS(tblInv[المتبقي],tblInv[كود العميل],StCust,tblInv[الفترة],INDEX(tblBuckets[الفترة],7)),"#,##0.00;-#,##0.00;-"),"")))</f>
        <v/>
      </c>
      <c r="L117" t="n">
        <v>112</v>
      </c>
      <c r="M117">
        <f>IF(L117&lt;=StCount,"m",IF(L117=StCount+2,"t",IF(L117=StCount+3,"l",IF(L117=StCount+4,"v",IF(L117=StCount+6,"p","")))))</f>
        <v/>
      </c>
      <c r="N117">
        <f>IF(M117="m",IFERROR(MATCH(L117,tblInv[ترتيب الكشف],0),""),"")</f>
        <v/>
      </c>
      <c r="O117">
        <f>IF(AND(M117="m",N117=""),IFERROR(MATCH(L117,tblRec[ترتيب الكشف],0),""),"")</f>
        <v/>
      </c>
    </row>
    <row r="118">
      <c r="A118" s="117">
        <f>IF($M118="m",IF($N118&lt;&gt;"",INDEX(tblInv[تاريخ الفاتورة],$N118),INDEX(tblRec[التاريخ],$O118)),IF($M118="l",INDEX(tblBuckets[الفترة],1),IF($M118="v",TEXT(SUMIFS(tblInv[المتبقي],tblInv[كود العميل],StCust,tblInv[الفترة],INDEX(tblBuckets[الفترة],1)),"#,##0.00;-#,##0.00;-"),"")))</f>
        <v/>
      </c>
      <c r="B118" s="83">
        <f>IF($M118="m",IF($N118&lt;&gt;"","فاتورة",INDEX(tblRec[النوع],$O118)),IF($M118="l",INDEX(tblBuckets[الفترة],2),IF($M118="v",TEXT(SUMIFS(tblInv[المتبقي],tblInv[كود العميل],StCust,tblInv[الفترة],INDEX(tblBuckets[الفترة],2)),"#,##0.00;-#,##0.00;-"),"")))</f>
        <v/>
      </c>
      <c r="C118" s="83">
        <f>IF($M118="m",IF($N118&lt;&gt;"",INDEX(tblInv[رقم الفاتورة],$N118),INDEX(tblRec[رقم السند],$O118)),IF($M118="l",INDEX(tblBuckets[الفترة],3),IF($M118="v",TEXT(SUMIFS(tblInv[المتبقي],tblInv[كود العميل],StCust,tblInv[الفترة],INDEX(tblBuckets[الفترة],3)),"#,##0.00;-#,##0.00;-"),"")))</f>
        <v/>
      </c>
      <c r="D118" s="118">
        <f>IF($M118="m",IF($N118&lt;&gt;"","فاتورة مبيعات — استحقاق "&amp;TEXT(INDEX(tblInv[تاريخ الاستحقاق],$N118),"dd/mm/yyyy")&amp;IF(INDEX(tblInv[ملاحظات],$N118)&amp;""&lt;&gt;""," — "&amp;INDEX(tblInv[ملاحظات],$N118),""),INDEX(tblRec[النوع],$O118)&amp;IF(INDEX(tblRec[طريقة الدفع],$O118)&amp;""&lt;&gt;""," ("&amp;INDEX(tblRec[طريقة الدفع],$O118)&amp;")","")&amp;IF(INDEX(tblRec[رقم الفاتورة],$O118)&amp;""&lt;&gt;""," — عن فاتورة "&amp;INDEX(tblRec[رقم الفاتورة],$O118)," — دفعة على الحساب")),IF($M118="l",INDEX(tblBuckets[الفترة],4),IF($M118="v",TEXT(SUMIFS(tblInv[المتبقي],tblInv[كود العميل],StCust,tblInv[الفترة],INDEX(tblBuckets[الفترة],4)),"#,##0.00;-#,##0.00;-"),IF($M118="t","ملخص أعمار رصيد العميل كما في "&amp;TEXT(AsOf,"dd/mm/yyyy"),IF($M118="p","يُرجى مطابقة الرصيد وإفادتنا خلال 15 يوماً، وإلا اعتُبر الرصيد صحيحاً.","")))))</f>
        <v/>
      </c>
      <c r="E118" s="119">
        <f>IF($M118="m",IF($N118&lt;&gt;"",INDEX(tblInv[الإجمالي],$N118),0),IF($M118="l",INDEX(tblBuckets[الفترة],5),IF($M118="v",TEXT(SUMIFS(tblInv[المتبقي],tblInv[كود العميل],StCust,tblInv[الفترة],INDEX(tblBuckets[الفترة],5)),"#,##0.00;-#,##0.00;-"),"")))</f>
        <v/>
      </c>
      <c r="F118" s="119">
        <f>IF($M118="m",IF($O118&lt;&gt;"",INDEX(tblRec[المبلغ],$O118),0),IF($M118="l",INDEX(tblBuckets[الفترة],6),IF($M118="v",TEXT(SUMIFS(tblInv[المتبقي],tblInv[كود العميل],StCust,tblInv[الفترة],INDEX(tblBuckets[الفترة],6)),"#,##0.00;-#,##0.00;-"),"")))</f>
        <v/>
      </c>
      <c r="G118" s="120">
        <f>IF($M118="m",N(G117)+E118-F118,IF($M118="l",INDEX(tblBuckets[الفترة],7),IF($M118="v",TEXT(SUMIFS(tblInv[المتبقي],tblInv[كود العميل],StCust,tblInv[الفترة],INDEX(tblBuckets[الفترة],7)),"#,##0.00;-#,##0.00;-"),"")))</f>
        <v/>
      </c>
      <c r="L118" t="n">
        <v>113</v>
      </c>
      <c r="M118">
        <f>IF(L118&lt;=StCount,"m",IF(L118=StCount+2,"t",IF(L118=StCount+3,"l",IF(L118=StCount+4,"v",IF(L118=StCount+6,"p","")))))</f>
        <v/>
      </c>
      <c r="N118">
        <f>IF(M118="m",IFERROR(MATCH(L118,tblInv[ترتيب الكشف],0),""),"")</f>
        <v/>
      </c>
      <c r="O118">
        <f>IF(AND(M118="m",N118=""),IFERROR(MATCH(L118,tblRec[ترتيب الكشف],0),""),"")</f>
        <v/>
      </c>
    </row>
    <row r="119">
      <c r="A119" s="117">
        <f>IF($M119="m",IF($N119&lt;&gt;"",INDEX(tblInv[تاريخ الفاتورة],$N119),INDEX(tblRec[التاريخ],$O119)),IF($M119="l",INDEX(tblBuckets[الفترة],1),IF($M119="v",TEXT(SUMIFS(tblInv[المتبقي],tblInv[كود العميل],StCust,tblInv[الفترة],INDEX(tblBuckets[الفترة],1)),"#,##0.00;-#,##0.00;-"),"")))</f>
        <v/>
      </c>
      <c r="B119" s="83">
        <f>IF($M119="m",IF($N119&lt;&gt;"","فاتورة",INDEX(tblRec[النوع],$O119)),IF($M119="l",INDEX(tblBuckets[الفترة],2),IF($M119="v",TEXT(SUMIFS(tblInv[المتبقي],tblInv[كود العميل],StCust,tblInv[الفترة],INDEX(tblBuckets[الفترة],2)),"#,##0.00;-#,##0.00;-"),"")))</f>
        <v/>
      </c>
      <c r="C119" s="83">
        <f>IF($M119="m",IF($N119&lt;&gt;"",INDEX(tblInv[رقم الفاتورة],$N119),INDEX(tblRec[رقم السند],$O119)),IF($M119="l",INDEX(tblBuckets[الفترة],3),IF($M119="v",TEXT(SUMIFS(tblInv[المتبقي],tblInv[كود العميل],StCust,tblInv[الفترة],INDEX(tblBuckets[الفترة],3)),"#,##0.00;-#,##0.00;-"),"")))</f>
        <v/>
      </c>
      <c r="D119" s="118">
        <f>IF($M119="m",IF($N119&lt;&gt;"","فاتورة مبيعات — استحقاق "&amp;TEXT(INDEX(tblInv[تاريخ الاستحقاق],$N119),"dd/mm/yyyy")&amp;IF(INDEX(tblInv[ملاحظات],$N119)&amp;""&lt;&gt;""," — "&amp;INDEX(tblInv[ملاحظات],$N119),""),INDEX(tblRec[النوع],$O119)&amp;IF(INDEX(tblRec[طريقة الدفع],$O119)&amp;""&lt;&gt;""," ("&amp;INDEX(tblRec[طريقة الدفع],$O119)&amp;")","")&amp;IF(INDEX(tblRec[رقم الفاتورة],$O119)&amp;""&lt;&gt;""," — عن فاتورة "&amp;INDEX(tblRec[رقم الفاتورة],$O119)," — دفعة على الحساب")),IF($M119="l",INDEX(tblBuckets[الفترة],4),IF($M119="v",TEXT(SUMIFS(tblInv[المتبقي],tblInv[كود العميل],StCust,tblInv[الفترة],INDEX(tblBuckets[الفترة],4)),"#,##0.00;-#,##0.00;-"),IF($M119="t","ملخص أعمار رصيد العميل كما في "&amp;TEXT(AsOf,"dd/mm/yyyy"),IF($M119="p","يُرجى مطابقة الرصيد وإفادتنا خلال 15 يوماً، وإلا اعتُبر الرصيد صحيحاً.","")))))</f>
        <v/>
      </c>
      <c r="E119" s="119">
        <f>IF($M119="m",IF($N119&lt;&gt;"",INDEX(tblInv[الإجمالي],$N119),0),IF($M119="l",INDEX(tblBuckets[الفترة],5),IF($M119="v",TEXT(SUMIFS(tblInv[المتبقي],tblInv[كود العميل],StCust,tblInv[الفترة],INDEX(tblBuckets[الفترة],5)),"#,##0.00;-#,##0.00;-"),"")))</f>
        <v/>
      </c>
      <c r="F119" s="119">
        <f>IF($M119="m",IF($O119&lt;&gt;"",INDEX(tblRec[المبلغ],$O119),0),IF($M119="l",INDEX(tblBuckets[الفترة],6),IF($M119="v",TEXT(SUMIFS(tblInv[المتبقي],tblInv[كود العميل],StCust,tblInv[الفترة],INDEX(tblBuckets[الفترة],6)),"#,##0.00;-#,##0.00;-"),"")))</f>
        <v/>
      </c>
      <c r="G119" s="120">
        <f>IF($M119="m",N(G118)+E119-F119,IF($M119="l",INDEX(tblBuckets[الفترة],7),IF($M119="v",TEXT(SUMIFS(tblInv[المتبقي],tblInv[كود العميل],StCust,tblInv[الفترة],INDEX(tblBuckets[الفترة],7)),"#,##0.00;-#,##0.00;-"),"")))</f>
        <v/>
      </c>
      <c r="L119" t="n">
        <v>114</v>
      </c>
      <c r="M119">
        <f>IF(L119&lt;=StCount,"m",IF(L119=StCount+2,"t",IF(L119=StCount+3,"l",IF(L119=StCount+4,"v",IF(L119=StCount+6,"p","")))))</f>
        <v/>
      </c>
      <c r="N119">
        <f>IF(M119="m",IFERROR(MATCH(L119,tblInv[ترتيب الكشف],0),""),"")</f>
        <v/>
      </c>
      <c r="O119">
        <f>IF(AND(M119="m",N119=""),IFERROR(MATCH(L119,tblRec[ترتيب الكشف],0),""),"")</f>
        <v/>
      </c>
    </row>
    <row r="120">
      <c r="A120" s="117">
        <f>IF($M120="m",IF($N120&lt;&gt;"",INDEX(tblInv[تاريخ الفاتورة],$N120),INDEX(tblRec[التاريخ],$O120)),IF($M120="l",INDEX(tblBuckets[الفترة],1),IF($M120="v",TEXT(SUMIFS(tblInv[المتبقي],tblInv[كود العميل],StCust,tblInv[الفترة],INDEX(tblBuckets[الفترة],1)),"#,##0.00;-#,##0.00;-"),"")))</f>
        <v/>
      </c>
      <c r="B120" s="83">
        <f>IF($M120="m",IF($N120&lt;&gt;"","فاتورة",INDEX(tblRec[النوع],$O120)),IF($M120="l",INDEX(tblBuckets[الفترة],2),IF($M120="v",TEXT(SUMIFS(tblInv[المتبقي],tblInv[كود العميل],StCust,tblInv[الفترة],INDEX(tblBuckets[الفترة],2)),"#,##0.00;-#,##0.00;-"),"")))</f>
        <v/>
      </c>
      <c r="C120" s="83">
        <f>IF($M120="m",IF($N120&lt;&gt;"",INDEX(tblInv[رقم الفاتورة],$N120),INDEX(tblRec[رقم السند],$O120)),IF($M120="l",INDEX(tblBuckets[الفترة],3),IF($M120="v",TEXT(SUMIFS(tblInv[المتبقي],tblInv[كود العميل],StCust,tblInv[الفترة],INDEX(tblBuckets[الفترة],3)),"#,##0.00;-#,##0.00;-"),"")))</f>
        <v/>
      </c>
      <c r="D120" s="118">
        <f>IF($M120="m",IF($N120&lt;&gt;"","فاتورة مبيعات — استحقاق "&amp;TEXT(INDEX(tblInv[تاريخ الاستحقاق],$N120),"dd/mm/yyyy")&amp;IF(INDEX(tblInv[ملاحظات],$N120)&amp;""&lt;&gt;""," — "&amp;INDEX(tblInv[ملاحظات],$N120),""),INDEX(tblRec[النوع],$O120)&amp;IF(INDEX(tblRec[طريقة الدفع],$O120)&amp;""&lt;&gt;""," ("&amp;INDEX(tblRec[طريقة الدفع],$O120)&amp;")","")&amp;IF(INDEX(tblRec[رقم الفاتورة],$O120)&amp;""&lt;&gt;""," — عن فاتورة "&amp;INDEX(tblRec[رقم الفاتورة],$O120)," — دفعة على الحساب")),IF($M120="l",INDEX(tblBuckets[الفترة],4),IF($M120="v",TEXT(SUMIFS(tblInv[المتبقي],tblInv[كود العميل],StCust,tblInv[الفترة],INDEX(tblBuckets[الفترة],4)),"#,##0.00;-#,##0.00;-"),IF($M120="t","ملخص أعمار رصيد العميل كما في "&amp;TEXT(AsOf,"dd/mm/yyyy"),IF($M120="p","يُرجى مطابقة الرصيد وإفادتنا خلال 15 يوماً، وإلا اعتُبر الرصيد صحيحاً.","")))))</f>
        <v/>
      </c>
      <c r="E120" s="119">
        <f>IF($M120="m",IF($N120&lt;&gt;"",INDEX(tblInv[الإجمالي],$N120),0),IF($M120="l",INDEX(tblBuckets[الفترة],5),IF($M120="v",TEXT(SUMIFS(tblInv[المتبقي],tblInv[كود العميل],StCust,tblInv[الفترة],INDEX(tblBuckets[الفترة],5)),"#,##0.00;-#,##0.00;-"),"")))</f>
        <v/>
      </c>
      <c r="F120" s="119">
        <f>IF($M120="m",IF($O120&lt;&gt;"",INDEX(tblRec[المبلغ],$O120),0),IF($M120="l",INDEX(tblBuckets[الفترة],6),IF($M120="v",TEXT(SUMIFS(tblInv[المتبقي],tblInv[كود العميل],StCust,tblInv[الفترة],INDEX(tblBuckets[الفترة],6)),"#,##0.00;-#,##0.00;-"),"")))</f>
        <v/>
      </c>
      <c r="G120" s="120">
        <f>IF($M120="m",N(G119)+E120-F120,IF($M120="l",INDEX(tblBuckets[الفترة],7),IF($M120="v",TEXT(SUMIFS(tblInv[المتبقي],tblInv[كود العميل],StCust,tblInv[الفترة],INDEX(tblBuckets[الفترة],7)),"#,##0.00;-#,##0.00;-"),"")))</f>
        <v/>
      </c>
      <c r="L120" t="n">
        <v>115</v>
      </c>
      <c r="M120">
        <f>IF(L120&lt;=StCount,"m",IF(L120=StCount+2,"t",IF(L120=StCount+3,"l",IF(L120=StCount+4,"v",IF(L120=StCount+6,"p","")))))</f>
        <v/>
      </c>
      <c r="N120">
        <f>IF(M120="m",IFERROR(MATCH(L120,tblInv[ترتيب الكشف],0),""),"")</f>
        <v/>
      </c>
      <c r="O120">
        <f>IF(AND(M120="m",N120=""),IFERROR(MATCH(L120,tblRec[ترتيب الكشف],0),""),"")</f>
        <v/>
      </c>
    </row>
    <row r="121">
      <c r="A121" s="117">
        <f>IF($M121="m",IF($N121&lt;&gt;"",INDEX(tblInv[تاريخ الفاتورة],$N121),INDEX(tblRec[التاريخ],$O121)),IF($M121="l",INDEX(tblBuckets[الفترة],1),IF($M121="v",TEXT(SUMIFS(tblInv[المتبقي],tblInv[كود العميل],StCust,tblInv[الفترة],INDEX(tblBuckets[الفترة],1)),"#,##0.00;-#,##0.00;-"),"")))</f>
        <v/>
      </c>
      <c r="B121" s="83">
        <f>IF($M121="m",IF($N121&lt;&gt;"","فاتورة",INDEX(tblRec[النوع],$O121)),IF($M121="l",INDEX(tblBuckets[الفترة],2),IF($M121="v",TEXT(SUMIFS(tblInv[المتبقي],tblInv[كود العميل],StCust,tblInv[الفترة],INDEX(tblBuckets[الفترة],2)),"#,##0.00;-#,##0.00;-"),"")))</f>
        <v/>
      </c>
      <c r="C121" s="83">
        <f>IF($M121="m",IF($N121&lt;&gt;"",INDEX(tblInv[رقم الفاتورة],$N121),INDEX(tblRec[رقم السند],$O121)),IF($M121="l",INDEX(tblBuckets[الفترة],3),IF($M121="v",TEXT(SUMIFS(tblInv[المتبقي],tblInv[كود العميل],StCust,tblInv[الفترة],INDEX(tblBuckets[الفترة],3)),"#,##0.00;-#,##0.00;-"),"")))</f>
        <v/>
      </c>
      <c r="D121" s="118">
        <f>IF($M121="m",IF($N121&lt;&gt;"","فاتورة مبيعات — استحقاق "&amp;TEXT(INDEX(tblInv[تاريخ الاستحقاق],$N121),"dd/mm/yyyy")&amp;IF(INDEX(tblInv[ملاحظات],$N121)&amp;""&lt;&gt;""," — "&amp;INDEX(tblInv[ملاحظات],$N121),""),INDEX(tblRec[النوع],$O121)&amp;IF(INDEX(tblRec[طريقة الدفع],$O121)&amp;""&lt;&gt;""," ("&amp;INDEX(tblRec[طريقة الدفع],$O121)&amp;")","")&amp;IF(INDEX(tblRec[رقم الفاتورة],$O121)&amp;""&lt;&gt;""," — عن فاتورة "&amp;INDEX(tblRec[رقم الفاتورة],$O121)," — دفعة على الحساب")),IF($M121="l",INDEX(tblBuckets[الفترة],4),IF($M121="v",TEXT(SUMIFS(tblInv[المتبقي],tblInv[كود العميل],StCust,tblInv[الفترة],INDEX(tblBuckets[الفترة],4)),"#,##0.00;-#,##0.00;-"),IF($M121="t","ملخص أعمار رصيد العميل كما في "&amp;TEXT(AsOf,"dd/mm/yyyy"),IF($M121="p","يُرجى مطابقة الرصيد وإفادتنا خلال 15 يوماً، وإلا اعتُبر الرصيد صحيحاً.","")))))</f>
        <v/>
      </c>
      <c r="E121" s="119">
        <f>IF($M121="m",IF($N121&lt;&gt;"",INDEX(tblInv[الإجمالي],$N121),0),IF($M121="l",INDEX(tblBuckets[الفترة],5),IF($M121="v",TEXT(SUMIFS(tblInv[المتبقي],tblInv[كود العميل],StCust,tblInv[الفترة],INDEX(tblBuckets[الفترة],5)),"#,##0.00;-#,##0.00;-"),"")))</f>
        <v/>
      </c>
      <c r="F121" s="119">
        <f>IF($M121="m",IF($O121&lt;&gt;"",INDEX(tblRec[المبلغ],$O121),0),IF($M121="l",INDEX(tblBuckets[الفترة],6),IF($M121="v",TEXT(SUMIFS(tblInv[المتبقي],tblInv[كود العميل],StCust,tblInv[الفترة],INDEX(tblBuckets[الفترة],6)),"#,##0.00;-#,##0.00;-"),"")))</f>
        <v/>
      </c>
      <c r="G121" s="120">
        <f>IF($M121="m",N(G120)+E121-F121,IF($M121="l",INDEX(tblBuckets[الفترة],7),IF($M121="v",TEXT(SUMIFS(tblInv[المتبقي],tblInv[كود العميل],StCust,tblInv[الفترة],INDEX(tblBuckets[الفترة],7)),"#,##0.00;-#,##0.00;-"),"")))</f>
        <v/>
      </c>
      <c r="L121" t="n">
        <v>116</v>
      </c>
      <c r="M121">
        <f>IF(L121&lt;=StCount,"m",IF(L121=StCount+2,"t",IF(L121=StCount+3,"l",IF(L121=StCount+4,"v",IF(L121=StCount+6,"p","")))))</f>
        <v/>
      </c>
      <c r="N121">
        <f>IF(M121="m",IFERROR(MATCH(L121,tblInv[ترتيب الكشف],0),""),"")</f>
        <v/>
      </c>
      <c r="O121">
        <f>IF(AND(M121="m",N121=""),IFERROR(MATCH(L121,tblRec[ترتيب الكشف],0),""),"")</f>
        <v/>
      </c>
    </row>
    <row r="122">
      <c r="A122" s="117">
        <f>IF($M122="m",IF($N122&lt;&gt;"",INDEX(tblInv[تاريخ الفاتورة],$N122),INDEX(tblRec[التاريخ],$O122)),IF($M122="l",INDEX(tblBuckets[الفترة],1),IF($M122="v",TEXT(SUMIFS(tblInv[المتبقي],tblInv[كود العميل],StCust,tblInv[الفترة],INDEX(tblBuckets[الفترة],1)),"#,##0.00;-#,##0.00;-"),"")))</f>
        <v/>
      </c>
      <c r="B122" s="83">
        <f>IF($M122="m",IF($N122&lt;&gt;"","فاتورة",INDEX(tblRec[النوع],$O122)),IF($M122="l",INDEX(tblBuckets[الفترة],2),IF($M122="v",TEXT(SUMIFS(tblInv[المتبقي],tblInv[كود العميل],StCust,tblInv[الفترة],INDEX(tblBuckets[الفترة],2)),"#,##0.00;-#,##0.00;-"),"")))</f>
        <v/>
      </c>
      <c r="C122" s="83">
        <f>IF($M122="m",IF($N122&lt;&gt;"",INDEX(tblInv[رقم الفاتورة],$N122),INDEX(tblRec[رقم السند],$O122)),IF($M122="l",INDEX(tblBuckets[الفترة],3),IF($M122="v",TEXT(SUMIFS(tblInv[المتبقي],tblInv[كود العميل],StCust,tblInv[الفترة],INDEX(tblBuckets[الفترة],3)),"#,##0.00;-#,##0.00;-"),"")))</f>
        <v/>
      </c>
      <c r="D122" s="118">
        <f>IF($M122="m",IF($N122&lt;&gt;"","فاتورة مبيعات — استحقاق "&amp;TEXT(INDEX(tblInv[تاريخ الاستحقاق],$N122),"dd/mm/yyyy")&amp;IF(INDEX(tblInv[ملاحظات],$N122)&amp;""&lt;&gt;""," — "&amp;INDEX(tblInv[ملاحظات],$N122),""),INDEX(tblRec[النوع],$O122)&amp;IF(INDEX(tblRec[طريقة الدفع],$O122)&amp;""&lt;&gt;""," ("&amp;INDEX(tblRec[طريقة الدفع],$O122)&amp;")","")&amp;IF(INDEX(tblRec[رقم الفاتورة],$O122)&amp;""&lt;&gt;""," — عن فاتورة "&amp;INDEX(tblRec[رقم الفاتورة],$O122)," — دفعة على الحساب")),IF($M122="l",INDEX(tblBuckets[الفترة],4),IF($M122="v",TEXT(SUMIFS(tblInv[المتبقي],tblInv[كود العميل],StCust,tblInv[الفترة],INDEX(tblBuckets[الفترة],4)),"#,##0.00;-#,##0.00;-"),IF($M122="t","ملخص أعمار رصيد العميل كما في "&amp;TEXT(AsOf,"dd/mm/yyyy"),IF($M122="p","يُرجى مطابقة الرصيد وإفادتنا خلال 15 يوماً، وإلا اعتُبر الرصيد صحيحاً.","")))))</f>
        <v/>
      </c>
      <c r="E122" s="119">
        <f>IF($M122="m",IF($N122&lt;&gt;"",INDEX(tblInv[الإجمالي],$N122),0),IF($M122="l",INDEX(tblBuckets[الفترة],5),IF($M122="v",TEXT(SUMIFS(tblInv[المتبقي],tblInv[كود العميل],StCust,tblInv[الفترة],INDEX(tblBuckets[الفترة],5)),"#,##0.00;-#,##0.00;-"),"")))</f>
        <v/>
      </c>
      <c r="F122" s="119">
        <f>IF($M122="m",IF($O122&lt;&gt;"",INDEX(tblRec[المبلغ],$O122),0),IF($M122="l",INDEX(tblBuckets[الفترة],6),IF($M122="v",TEXT(SUMIFS(tblInv[المتبقي],tblInv[كود العميل],StCust,tblInv[الفترة],INDEX(tblBuckets[الفترة],6)),"#,##0.00;-#,##0.00;-"),"")))</f>
        <v/>
      </c>
      <c r="G122" s="120">
        <f>IF($M122="m",N(G121)+E122-F122,IF($M122="l",INDEX(tblBuckets[الفترة],7),IF($M122="v",TEXT(SUMIFS(tblInv[المتبقي],tblInv[كود العميل],StCust,tblInv[الفترة],INDEX(tblBuckets[الفترة],7)),"#,##0.00;-#,##0.00;-"),"")))</f>
        <v/>
      </c>
      <c r="L122" t="n">
        <v>117</v>
      </c>
      <c r="M122">
        <f>IF(L122&lt;=StCount,"m",IF(L122=StCount+2,"t",IF(L122=StCount+3,"l",IF(L122=StCount+4,"v",IF(L122=StCount+6,"p","")))))</f>
        <v/>
      </c>
      <c r="N122">
        <f>IF(M122="m",IFERROR(MATCH(L122,tblInv[ترتيب الكشف],0),""),"")</f>
        <v/>
      </c>
      <c r="O122">
        <f>IF(AND(M122="m",N122=""),IFERROR(MATCH(L122,tblRec[ترتيب الكشف],0),""),"")</f>
        <v/>
      </c>
    </row>
    <row r="123">
      <c r="A123" s="117">
        <f>IF($M123="m",IF($N123&lt;&gt;"",INDEX(tblInv[تاريخ الفاتورة],$N123),INDEX(tblRec[التاريخ],$O123)),IF($M123="l",INDEX(tblBuckets[الفترة],1),IF($M123="v",TEXT(SUMIFS(tblInv[المتبقي],tblInv[كود العميل],StCust,tblInv[الفترة],INDEX(tblBuckets[الفترة],1)),"#,##0.00;-#,##0.00;-"),"")))</f>
        <v/>
      </c>
      <c r="B123" s="83">
        <f>IF($M123="m",IF($N123&lt;&gt;"","فاتورة",INDEX(tblRec[النوع],$O123)),IF($M123="l",INDEX(tblBuckets[الفترة],2),IF($M123="v",TEXT(SUMIFS(tblInv[المتبقي],tblInv[كود العميل],StCust,tblInv[الفترة],INDEX(tblBuckets[الفترة],2)),"#,##0.00;-#,##0.00;-"),"")))</f>
        <v/>
      </c>
      <c r="C123" s="83">
        <f>IF($M123="m",IF($N123&lt;&gt;"",INDEX(tblInv[رقم الفاتورة],$N123),INDEX(tblRec[رقم السند],$O123)),IF($M123="l",INDEX(tblBuckets[الفترة],3),IF($M123="v",TEXT(SUMIFS(tblInv[المتبقي],tblInv[كود العميل],StCust,tblInv[الفترة],INDEX(tblBuckets[الفترة],3)),"#,##0.00;-#,##0.00;-"),"")))</f>
        <v/>
      </c>
      <c r="D123" s="118">
        <f>IF($M123="m",IF($N123&lt;&gt;"","فاتورة مبيعات — استحقاق "&amp;TEXT(INDEX(tblInv[تاريخ الاستحقاق],$N123),"dd/mm/yyyy")&amp;IF(INDEX(tblInv[ملاحظات],$N123)&amp;""&lt;&gt;""," — "&amp;INDEX(tblInv[ملاحظات],$N123),""),INDEX(tblRec[النوع],$O123)&amp;IF(INDEX(tblRec[طريقة الدفع],$O123)&amp;""&lt;&gt;""," ("&amp;INDEX(tblRec[طريقة الدفع],$O123)&amp;")","")&amp;IF(INDEX(tblRec[رقم الفاتورة],$O123)&amp;""&lt;&gt;""," — عن فاتورة "&amp;INDEX(tblRec[رقم الفاتورة],$O123)," — دفعة على الحساب")),IF($M123="l",INDEX(tblBuckets[الفترة],4),IF($M123="v",TEXT(SUMIFS(tblInv[المتبقي],tblInv[كود العميل],StCust,tblInv[الفترة],INDEX(tblBuckets[الفترة],4)),"#,##0.00;-#,##0.00;-"),IF($M123="t","ملخص أعمار رصيد العميل كما في "&amp;TEXT(AsOf,"dd/mm/yyyy"),IF($M123="p","يُرجى مطابقة الرصيد وإفادتنا خلال 15 يوماً، وإلا اعتُبر الرصيد صحيحاً.","")))))</f>
        <v/>
      </c>
      <c r="E123" s="119">
        <f>IF($M123="m",IF($N123&lt;&gt;"",INDEX(tblInv[الإجمالي],$N123),0),IF($M123="l",INDEX(tblBuckets[الفترة],5),IF($M123="v",TEXT(SUMIFS(tblInv[المتبقي],tblInv[كود العميل],StCust,tblInv[الفترة],INDEX(tblBuckets[الفترة],5)),"#,##0.00;-#,##0.00;-"),"")))</f>
        <v/>
      </c>
      <c r="F123" s="119">
        <f>IF($M123="m",IF($O123&lt;&gt;"",INDEX(tblRec[المبلغ],$O123),0),IF($M123="l",INDEX(tblBuckets[الفترة],6),IF($M123="v",TEXT(SUMIFS(tblInv[المتبقي],tblInv[كود العميل],StCust,tblInv[الفترة],INDEX(tblBuckets[الفترة],6)),"#,##0.00;-#,##0.00;-"),"")))</f>
        <v/>
      </c>
      <c r="G123" s="120">
        <f>IF($M123="m",N(G122)+E123-F123,IF($M123="l",INDEX(tblBuckets[الفترة],7),IF($M123="v",TEXT(SUMIFS(tblInv[المتبقي],tblInv[كود العميل],StCust,tblInv[الفترة],INDEX(tblBuckets[الفترة],7)),"#,##0.00;-#,##0.00;-"),"")))</f>
        <v/>
      </c>
      <c r="L123" t="n">
        <v>118</v>
      </c>
      <c r="M123">
        <f>IF(L123&lt;=StCount,"m",IF(L123=StCount+2,"t",IF(L123=StCount+3,"l",IF(L123=StCount+4,"v",IF(L123=StCount+6,"p","")))))</f>
        <v/>
      </c>
      <c r="N123">
        <f>IF(M123="m",IFERROR(MATCH(L123,tblInv[ترتيب الكشف],0),""),"")</f>
        <v/>
      </c>
      <c r="O123">
        <f>IF(AND(M123="m",N123=""),IFERROR(MATCH(L123,tblRec[ترتيب الكشف],0),""),"")</f>
        <v/>
      </c>
    </row>
    <row r="124">
      <c r="A124" s="117">
        <f>IF($M124="m",IF($N124&lt;&gt;"",INDEX(tblInv[تاريخ الفاتورة],$N124),INDEX(tblRec[التاريخ],$O124)),IF($M124="l",INDEX(tblBuckets[الفترة],1),IF($M124="v",TEXT(SUMIFS(tblInv[المتبقي],tblInv[كود العميل],StCust,tblInv[الفترة],INDEX(tblBuckets[الفترة],1)),"#,##0.00;-#,##0.00;-"),"")))</f>
        <v/>
      </c>
      <c r="B124" s="83">
        <f>IF($M124="m",IF($N124&lt;&gt;"","فاتورة",INDEX(tblRec[النوع],$O124)),IF($M124="l",INDEX(tblBuckets[الفترة],2),IF($M124="v",TEXT(SUMIFS(tblInv[المتبقي],tblInv[كود العميل],StCust,tblInv[الفترة],INDEX(tblBuckets[الفترة],2)),"#,##0.00;-#,##0.00;-"),"")))</f>
        <v/>
      </c>
      <c r="C124" s="83">
        <f>IF($M124="m",IF($N124&lt;&gt;"",INDEX(tblInv[رقم الفاتورة],$N124),INDEX(tblRec[رقم السند],$O124)),IF($M124="l",INDEX(tblBuckets[الفترة],3),IF($M124="v",TEXT(SUMIFS(tblInv[المتبقي],tblInv[كود العميل],StCust,tblInv[الفترة],INDEX(tblBuckets[الفترة],3)),"#,##0.00;-#,##0.00;-"),"")))</f>
        <v/>
      </c>
      <c r="D124" s="118">
        <f>IF($M124="m",IF($N124&lt;&gt;"","فاتورة مبيعات — استحقاق "&amp;TEXT(INDEX(tblInv[تاريخ الاستحقاق],$N124),"dd/mm/yyyy")&amp;IF(INDEX(tblInv[ملاحظات],$N124)&amp;""&lt;&gt;""," — "&amp;INDEX(tblInv[ملاحظات],$N124),""),INDEX(tblRec[النوع],$O124)&amp;IF(INDEX(tblRec[طريقة الدفع],$O124)&amp;""&lt;&gt;""," ("&amp;INDEX(tblRec[طريقة الدفع],$O124)&amp;")","")&amp;IF(INDEX(tblRec[رقم الفاتورة],$O124)&amp;""&lt;&gt;""," — عن فاتورة "&amp;INDEX(tblRec[رقم الفاتورة],$O124)," — دفعة على الحساب")),IF($M124="l",INDEX(tblBuckets[الفترة],4),IF($M124="v",TEXT(SUMIFS(tblInv[المتبقي],tblInv[كود العميل],StCust,tblInv[الفترة],INDEX(tblBuckets[الفترة],4)),"#,##0.00;-#,##0.00;-"),IF($M124="t","ملخص أعمار رصيد العميل كما في "&amp;TEXT(AsOf,"dd/mm/yyyy"),IF($M124="p","يُرجى مطابقة الرصيد وإفادتنا خلال 15 يوماً، وإلا اعتُبر الرصيد صحيحاً.","")))))</f>
        <v/>
      </c>
      <c r="E124" s="119">
        <f>IF($M124="m",IF($N124&lt;&gt;"",INDEX(tblInv[الإجمالي],$N124),0),IF($M124="l",INDEX(tblBuckets[الفترة],5),IF($M124="v",TEXT(SUMIFS(tblInv[المتبقي],tblInv[كود العميل],StCust,tblInv[الفترة],INDEX(tblBuckets[الفترة],5)),"#,##0.00;-#,##0.00;-"),"")))</f>
        <v/>
      </c>
      <c r="F124" s="119">
        <f>IF($M124="m",IF($O124&lt;&gt;"",INDEX(tblRec[المبلغ],$O124),0),IF($M124="l",INDEX(tblBuckets[الفترة],6),IF($M124="v",TEXT(SUMIFS(tblInv[المتبقي],tblInv[كود العميل],StCust,tblInv[الفترة],INDEX(tblBuckets[الفترة],6)),"#,##0.00;-#,##0.00;-"),"")))</f>
        <v/>
      </c>
      <c r="G124" s="120">
        <f>IF($M124="m",N(G123)+E124-F124,IF($M124="l",INDEX(tblBuckets[الفترة],7),IF($M124="v",TEXT(SUMIFS(tblInv[المتبقي],tblInv[كود العميل],StCust,tblInv[الفترة],INDEX(tblBuckets[الفترة],7)),"#,##0.00;-#,##0.00;-"),"")))</f>
        <v/>
      </c>
      <c r="L124" t="n">
        <v>119</v>
      </c>
      <c r="M124">
        <f>IF(L124&lt;=StCount,"m",IF(L124=StCount+2,"t",IF(L124=StCount+3,"l",IF(L124=StCount+4,"v",IF(L124=StCount+6,"p","")))))</f>
        <v/>
      </c>
      <c r="N124">
        <f>IF(M124="m",IFERROR(MATCH(L124,tblInv[ترتيب الكشف],0),""),"")</f>
        <v/>
      </c>
      <c r="O124">
        <f>IF(AND(M124="m",N124=""),IFERROR(MATCH(L124,tblRec[ترتيب الكشف],0),""),"")</f>
        <v/>
      </c>
    </row>
    <row r="125">
      <c r="A125" s="117">
        <f>IF($M125="m",IF($N125&lt;&gt;"",INDEX(tblInv[تاريخ الفاتورة],$N125),INDEX(tblRec[التاريخ],$O125)),IF($M125="l",INDEX(tblBuckets[الفترة],1),IF($M125="v",TEXT(SUMIFS(tblInv[المتبقي],tblInv[كود العميل],StCust,tblInv[الفترة],INDEX(tblBuckets[الفترة],1)),"#,##0.00;-#,##0.00;-"),"")))</f>
        <v/>
      </c>
      <c r="B125" s="83">
        <f>IF($M125="m",IF($N125&lt;&gt;"","فاتورة",INDEX(tblRec[النوع],$O125)),IF($M125="l",INDEX(tblBuckets[الفترة],2),IF($M125="v",TEXT(SUMIFS(tblInv[المتبقي],tblInv[كود العميل],StCust,tblInv[الفترة],INDEX(tblBuckets[الفترة],2)),"#,##0.00;-#,##0.00;-"),"")))</f>
        <v/>
      </c>
      <c r="C125" s="83">
        <f>IF($M125="m",IF($N125&lt;&gt;"",INDEX(tblInv[رقم الفاتورة],$N125),INDEX(tblRec[رقم السند],$O125)),IF($M125="l",INDEX(tblBuckets[الفترة],3),IF($M125="v",TEXT(SUMIFS(tblInv[المتبقي],tblInv[كود العميل],StCust,tblInv[الفترة],INDEX(tblBuckets[الفترة],3)),"#,##0.00;-#,##0.00;-"),"")))</f>
        <v/>
      </c>
      <c r="D125" s="118">
        <f>IF($M125="m",IF($N125&lt;&gt;"","فاتورة مبيعات — استحقاق "&amp;TEXT(INDEX(tblInv[تاريخ الاستحقاق],$N125),"dd/mm/yyyy")&amp;IF(INDEX(tblInv[ملاحظات],$N125)&amp;""&lt;&gt;""," — "&amp;INDEX(tblInv[ملاحظات],$N125),""),INDEX(tblRec[النوع],$O125)&amp;IF(INDEX(tblRec[طريقة الدفع],$O125)&amp;""&lt;&gt;""," ("&amp;INDEX(tblRec[طريقة الدفع],$O125)&amp;")","")&amp;IF(INDEX(tblRec[رقم الفاتورة],$O125)&amp;""&lt;&gt;""," — عن فاتورة "&amp;INDEX(tblRec[رقم الفاتورة],$O125)," — دفعة على الحساب")),IF($M125="l",INDEX(tblBuckets[الفترة],4),IF($M125="v",TEXT(SUMIFS(tblInv[المتبقي],tblInv[كود العميل],StCust,tblInv[الفترة],INDEX(tblBuckets[الفترة],4)),"#,##0.00;-#,##0.00;-"),IF($M125="t","ملخص أعمار رصيد العميل كما في "&amp;TEXT(AsOf,"dd/mm/yyyy"),IF($M125="p","يُرجى مطابقة الرصيد وإفادتنا خلال 15 يوماً، وإلا اعتُبر الرصيد صحيحاً.","")))))</f>
        <v/>
      </c>
      <c r="E125" s="119">
        <f>IF($M125="m",IF($N125&lt;&gt;"",INDEX(tblInv[الإجمالي],$N125),0),IF($M125="l",INDEX(tblBuckets[الفترة],5),IF($M125="v",TEXT(SUMIFS(tblInv[المتبقي],tblInv[كود العميل],StCust,tblInv[الفترة],INDEX(tblBuckets[الفترة],5)),"#,##0.00;-#,##0.00;-"),"")))</f>
        <v/>
      </c>
      <c r="F125" s="119">
        <f>IF($M125="m",IF($O125&lt;&gt;"",INDEX(tblRec[المبلغ],$O125),0),IF($M125="l",INDEX(tblBuckets[الفترة],6),IF($M125="v",TEXT(SUMIFS(tblInv[المتبقي],tblInv[كود العميل],StCust,tblInv[الفترة],INDEX(tblBuckets[الفترة],6)),"#,##0.00;-#,##0.00;-"),"")))</f>
        <v/>
      </c>
      <c r="G125" s="120">
        <f>IF($M125="m",N(G124)+E125-F125,IF($M125="l",INDEX(tblBuckets[الفترة],7),IF($M125="v",TEXT(SUMIFS(tblInv[المتبقي],tblInv[كود العميل],StCust,tblInv[الفترة],INDEX(tblBuckets[الفترة],7)),"#,##0.00;-#,##0.00;-"),"")))</f>
        <v/>
      </c>
      <c r="L125" t="n">
        <v>120</v>
      </c>
      <c r="M125">
        <f>IF(L125&lt;=StCount,"m",IF(L125=StCount+2,"t",IF(L125=StCount+3,"l",IF(L125=StCount+4,"v",IF(L125=StCount+6,"p","")))))</f>
        <v/>
      </c>
      <c r="N125">
        <f>IF(M125="m",IFERROR(MATCH(L125,tblInv[ترتيب الكشف],0),""),"")</f>
        <v/>
      </c>
      <c r="O125">
        <f>IF(AND(M125="m",N125=""),IFERROR(MATCH(L125,tblRec[ترتيب الكشف],0),""),"")</f>
        <v/>
      </c>
    </row>
    <row r="126">
      <c r="A126" s="117">
        <f>IF($M126="m",IF($N126&lt;&gt;"",INDEX(tblInv[تاريخ الفاتورة],$N126),INDEX(tblRec[التاريخ],$O126)),IF($M126="l",INDEX(tblBuckets[الفترة],1),IF($M126="v",TEXT(SUMIFS(tblInv[المتبقي],tblInv[كود العميل],StCust,tblInv[الفترة],INDEX(tblBuckets[الفترة],1)),"#,##0.00;-#,##0.00;-"),"")))</f>
        <v/>
      </c>
      <c r="B126" s="83">
        <f>IF($M126="m",IF($N126&lt;&gt;"","فاتورة",INDEX(tblRec[النوع],$O126)),IF($M126="l",INDEX(tblBuckets[الفترة],2),IF($M126="v",TEXT(SUMIFS(tblInv[المتبقي],tblInv[كود العميل],StCust,tblInv[الفترة],INDEX(tblBuckets[الفترة],2)),"#,##0.00;-#,##0.00;-"),"")))</f>
        <v/>
      </c>
      <c r="C126" s="83">
        <f>IF($M126="m",IF($N126&lt;&gt;"",INDEX(tblInv[رقم الفاتورة],$N126),INDEX(tblRec[رقم السند],$O126)),IF($M126="l",INDEX(tblBuckets[الفترة],3),IF($M126="v",TEXT(SUMIFS(tblInv[المتبقي],tblInv[كود العميل],StCust,tblInv[الفترة],INDEX(tblBuckets[الفترة],3)),"#,##0.00;-#,##0.00;-"),"")))</f>
        <v/>
      </c>
      <c r="D126" s="118">
        <f>IF($M126="m",IF($N126&lt;&gt;"","فاتورة مبيعات — استحقاق "&amp;TEXT(INDEX(tblInv[تاريخ الاستحقاق],$N126),"dd/mm/yyyy")&amp;IF(INDEX(tblInv[ملاحظات],$N126)&amp;""&lt;&gt;""," — "&amp;INDEX(tblInv[ملاحظات],$N126),""),INDEX(tblRec[النوع],$O126)&amp;IF(INDEX(tblRec[طريقة الدفع],$O126)&amp;""&lt;&gt;""," ("&amp;INDEX(tblRec[طريقة الدفع],$O126)&amp;")","")&amp;IF(INDEX(tblRec[رقم الفاتورة],$O126)&amp;""&lt;&gt;""," — عن فاتورة "&amp;INDEX(tblRec[رقم الفاتورة],$O126)," — دفعة على الحساب")),IF($M126="l",INDEX(tblBuckets[الفترة],4),IF($M126="v",TEXT(SUMIFS(tblInv[المتبقي],tblInv[كود العميل],StCust,tblInv[الفترة],INDEX(tblBuckets[الفترة],4)),"#,##0.00;-#,##0.00;-"),IF($M126="t","ملخص أعمار رصيد العميل كما في "&amp;TEXT(AsOf,"dd/mm/yyyy"),IF($M126="p","يُرجى مطابقة الرصيد وإفادتنا خلال 15 يوماً، وإلا اعتُبر الرصيد صحيحاً.","")))))</f>
        <v/>
      </c>
      <c r="E126" s="119">
        <f>IF($M126="m",IF($N126&lt;&gt;"",INDEX(tblInv[الإجمالي],$N126),0),IF($M126="l",INDEX(tblBuckets[الفترة],5),IF($M126="v",TEXT(SUMIFS(tblInv[المتبقي],tblInv[كود العميل],StCust,tblInv[الفترة],INDEX(tblBuckets[الفترة],5)),"#,##0.00;-#,##0.00;-"),"")))</f>
        <v/>
      </c>
      <c r="F126" s="119">
        <f>IF($M126="m",IF($O126&lt;&gt;"",INDEX(tblRec[المبلغ],$O126),0),IF($M126="l",INDEX(tblBuckets[الفترة],6),IF($M126="v",TEXT(SUMIFS(tblInv[المتبقي],tblInv[كود العميل],StCust,tblInv[الفترة],INDEX(tblBuckets[الفترة],6)),"#,##0.00;-#,##0.00;-"),"")))</f>
        <v/>
      </c>
      <c r="G126" s="120">
        <f>IF($M126="m",N(G125)+E126-F126,IF($M126="l",INDEX(tblBuckets[الفترة],7),IF($M126="v",TEXT(SUMIFS(tblInv[المتبقي],tblInv[كود العميل],StCust,tblInv[الفترة],INDEX(tblBuckets[الفترة],7)),"#,##0.00;-#,##0.00;-"),"")))</f>
        <v/>
      </c>
      <c r="L126" t="n">
        <v>121</v>
      </c>
      <c r="M126">
        <f>IF(L126&lt;=StCount,"m",IF(L126=StCount+2,"t",IF(L126=StCount+3,"l",IF(L126=StCount+4,"v",IF(L126=StCount+6,"p","")))))</f>
        <v/>
      </c>
      <c r="N126">
        <f>IF(M126="m",IFERROR(MATCH(L126,tblInv[ترتيب الكشف],0),""),"")</f>
        <v/>
      </c>
      <c r="O126">
        <f>IF(AND(M126="m",N126=""),IFERROR(MATCH(L126,tblRec[ترتيب الكشف],0),""),"")</f>
        <v/>
      </c>
    </row>
    <row r="127">
      <c r="A127" s="117">
        <f>IF($M127="m",IF($N127&lt;&gt;"",INDEX(tblInv[تاريخ الفاتورة],$N127),INDEX(tblRec[التاريخ],$O127)),IF($M127="l",INDEX(tblBuckets[الفترة],1),IF($M127="v",TEXT(SUMIFS(tblInv[المتبقي],tblInv[كود العميل],StCust,tblInv[الفترة],INDEX(tblBuckets[الفترة],1)),"#,##0.00;-#,##0.00;-"),"")))</f>
        <v/>
      </c>
      <c r="B127" s="83">
        <f>IF($M127="m",IF($N127&lt;&gt;"","فاتورة",INDEX(tblRec[النوع],$O127)),IF($M127="l",INDEX(tblBuckets[الفترة],2),IF($M127="v",TEXT(SUMIFS(tblInv[المتبقي],tblInv[كود العميل],StCust,tblInv[الفترة],INDEX(tblBuckets[الفترة],2)),"#,##0.00;-#,##0.00;-"),"")))</f>
        <v/>
      </c>
      <c r="C127" s="83">
        <f>IF($M127="m",IF($N127&lt;&gt;"",INDEX(tblInv[رقم الفاتورة],$N127),INDEX(tblRec[رقم السند],$O127)),IF($M127="l",INDEX(tblBuckets[الفترة],3),IF($M127="v",TEXT(SUMIFS(tblInv[المتبقي],tblInv[كود العميل],StCust,tblInv[الفترة],INDEX(tblBuckets[الفترة],3)),"#,##0.00;-#,##0.00;-"),"")))</f>
        <v/>
      </c>
      <c r="D127" s="118">
        <f>IF($M127="m",IF($N127&lt;&gt;"","فاتورة مبيعات — استحقاق "&amp;TEXT(INDEX(tblInv[تاريخ الاستحقاق],$N127),"dd/mm/yyyy")&amp;IF(INDEX(tblInv[ملاحظات],$N127)&amp;""&lt;&gt;""," — "&amp;INDEX(tblInv[ملاحظات],$N127),""),INDEX(tblRec[النوع],$O127)&amp;IF(INDEX(tblRec[طريقة الدفع],$O127)&amp;""&lt;&gt;""," ("&amp;INDEX(tblRec[طريقة الدفع],$O127)&amp;")","")&amp;IF(INDEX(tblRec[رقم الفاتورة],$O127)&amp;""&lt;&gt;""," — عن فاتورة "&amp;INDEX(tblRec[رقم الفاتورة],$O127)," — دفعة على الحساب")),IF($M127="l",INDEX(tblBuckets[الفترة],4),IF($M127="v",TEXT(SUMIFS(tblInv[المتبقي],tblInv[كود العميل],StCust,tblInv[الفترة],INDEX(tblBuckets[الفترة],4)),"#,##0.00;-#,##0.00;-"),IF($M127="t","ملخص أعمار رصيد العميل كما في "&amp;TEXT(AsOf,"dd/mm/yyyy"),IF($M127="p","يُرجى مطابقة الرصيد وإفادتنا خلال 15 يوماً، وإلا اعتُبر الرصيد صحيحاً.","")))))</f>
        <v/>
      </c>
      <c r="E127" s="119">
        <f>IF($M127="m",IF($N127&lt;&gt;"",INDEX(tblInv[الإجمالي],$N127),0),IF($M127="l",INDEX(tblBuckets[الفترة],5),IF($M127="v",TEXT(SUMIFS(tblInv[المتبقي],tblInv[كود العميل],StCust,tblInv[الفترة],INDEX(tblBuckets[الفترة],5)),"#,##0.00;-#,##0.00;-"),"")))</f>
        <v/>
      </c>
      <c r="F127" s="119">
        <f>IF($M127="m",IF($O127&lt;&gt;"",INDEX(tblRec[المبلغ],$O127),0),IF($M127="l",INDEX(tblBuckets[الفترة],6),IF($M127="v",TEXT(SUMIFS(tblInv[المتبقي],tblInv[كود العميل],StCust,tblInv[الفترة],INDEX(tblBuckets[الفترة],6)),"#,##0.00;-#,##0.00;-"),"")))</f>
        <v/>
      </c>
      <c r="G127" s="120">
        <f>IF($M127="m",N(G126)+E127-F127,IF($M127="l",INDEX(tblBuckets[الفترة],7),IF($M127="v",TEXT(SUMIFS(tblInv[المتبقي],tblInv[كود العميل],StCust,tblInv[الفترة],INDEX(tblBuckets[الفترة],7)),"#,##0.00;-#,##0.00;-"),"")))</f>
        <v/>
      </c>
      <c r="L127" t="n">
        <v>122</v>
      </c>
      <c r="M127">
        <f>IF(L127&lt;=StCount,"m",IF(L127=StCount+2,"t",IF(L127=StCount+3,"l",IF(L127=StCount+4,"v",IF(L127=StCount+6,"p","")))))</f>
        <v/>
      </c>
      <c r="N127">
        <f>IF(M127="m",IFERROR(MATCH(L127,tblInv[ترتيب الكشف],0),""),"")</f>
        <v/>
      </c>
      <c r="O127">
        <f>IF(AND(M127="m",N127=""),IFERROR(MATCH(L127,tblRec[ترتيب الكشف],0),""),"")</f>
        <v/>
      </c>
    </row>
    <row r="128">
      <c r="A128" s="117">
        <f>IF($M128="m",IF($N128&lt;&gt;"",INDEX(tblInv[تاريخ الفاتورة],$N128),INDEX(tblRec[التاريخ],$O128)),IF($M128="l",INDEX(tblBuckets[الفترة],1),IF($M128="v",TEXT(SUMIFS(tblInv[المتبقي],tblInv[كود العميل],StCust,tblInv[الفترة],INDEX(tblBuckets[الفترة],1)),"#,##0.00;-#,##0.00;-"),"")))</f>
        <v/>
      </c>
      <c r="B128" s="83">
        <f>IF($M128="m",IF($N128&lt;&gt;"","فاتورة",INDEX(tblRec[النوع],$O128)),IF($M128="l",INDEX(tblBuckets[الفترة],2),IF($M128="v",TEXT(SUMIFS(tblInv[المتبقي],tblInv[كود العميل],StCust,tblInv[الفترة],INDEX(tblBuckets[الفترة],2)),"#,##0.00;-#,##0.00;-"),"")))</f>
        <v/>
      </c>
      <c r="C128" s="83">
        <f>IF($M128="m",IF($N128&lt;&gt;"",INDEX(tblInv[رقم الفاتورة],$N128),INDEX(tblRec[رقم السند],$O128)),IF($M128="l",INDEX(tblBuckets[الفترة],3),IF($M128="v",TEXT(SUMIFS(tblInv[المتبقي],tblInv[كود العميل],StCust,tblInv[الفترة],INDEX(tblBuckets[الفترة],3)),"#,##0.00;-#,##0.00;-"),"")))</f>
        <v/>
      </c>
      <c r="D128" s="118">
        <f>IF($M128="m",IF($N128&lt;&gt;"","فاتورة مبيعات — استحقاق "&amp;TEXT(INDEX(tblInv[تاريخ الاستحقاق],$N128),"dd/mm/yyyy")&amp;IF(INDEX(tblInv[ملاحظات],$N128)&amp;""&lt;&gt;""," — "&amp;INDEX(tblInv[ملاحظات],$N128),""),INDEX(tblRec[النوع],$O128)&amp;IF(INDEX(tblRec[طريقة الدفع],$O128)&amp;""&lt;&gt;""," ("&amp;INDEX(tblRec[طريقة الدفع],$O128)&amp;")","")&amp;IF(INDEX(tblRec[رقم الفاتورة],$O128)&amp;""&lt;&gt;""," — عن فاتورة "&amp;INDEX(tblRec[رقم الفاتورة],$O128)," — دفعة على الحساب")),IF($M128="l",INDEX(tblBuckets[الفترة],4),IF($M128="v",TEXT(SUMIFS(tblInv[المتبقي],tblInv[كود العميل],StCust,tblInv[الفترة],INDEX(tblBuckets[الفترة],4)),"#,##0.00;-#,##0.00;-"),IF($M128="t","ملخص أعمار رصيد العميل كما في "&amp;TEXT(AsOf,"dd/mm/yyyy"),IF($M128="p","يُرجى مطابقة الرصيد وإفادتنا خلال 15 يوماً، وإلا اعتُبر الرصيد صحيحاً.","")))))</f>
        <v/>
      </c>
      <c r="E128" s="119">
        <f>IF($M128="m",IF($N128&lt;&gt;"",INDEX(tblInv[الإجمالي],$N128),0),IF($M128="l",INDEX(tblBuckets[الفترة],5),IF($M128="v",TEXT(SUMIFS(tblInv[المتبقي],tblInv[كود العميل],StCust,tblInv[الفترة],INDEX(tblBuckets[الفترة],5)),"#,##0.00;-#,##0.00;-"),"")))</f>
        <v/>
      </c>
      <c r="F128" s="119">
        <f>IF($M128="m",IF($O128&lt;&gt;"",INDEX(tblRec[المبلغ],$O128),0),IF($M128="l",INDEX(tblBuckets[الفترة],6),IF($M128="v",TEXT(SUMIFS(tblInv[المتبقي],tblInv[كود العميل],StCust,tblInv[الفترة],INDEX(tblBuckets[الفترة],6)),"#,##0.00;-#,##0.00;-"),"")))</f>
        <v/>
      </c>
      <c r="G128" s="120">
        <f>IF($M128="m",N(G127)+E128-F128,IF($M128="l",INDEX(tblBuckets[الفترة],7),IF($M128="v",TEXT(SUMIFS(tblInv[المتبقي],tblInv[كود العميل],StCust,tblInv[الفترة],INDEX(tblBuckets[الفترة],7)),"#,##0.00;-#,##0.00;-"),"")))</f>
        <v/>
      </c>
      <c r="L128" t="n">
        <v>123</v>
      </c>
      <c r="M128">
        <f>IF(L128&lt;=StCount,"m",IF(L128=StCount+2,"t",IF(L128=StCount+3,"l",IF(L128=StCount+4,"v",IF(L128=StCount+6,"p","")))))</f>
        <v/>
      </c>
      <c r="N128">
        <f>IF(M128="m",IFERROR(MATCH(L128,tblInv[ترتيب الكشف],0),""),"")</f>
        <v/>
      </c>
      <c r="O128">
        <f>IF(AND(M128="m",N128=""),IFERROR(MATCH(L128,tblRec[ترتيب الكشف],0),""),"")</f>
        <v/>
      </c>
    </row>
    <row r="129">
      <c r="A129" s="117">
        <f>IF($M129="m",IF($N129&lt;&gt;"",INDEX(tblInv[تاريخ الفاتورة],$N129),INDEX(tblRec[التاريخ],$O129)),IF($M129="l",INDEX(tblBuckets[الفترة],1),IF($M129="v",TEXT(SUMIFS(tblInv[المتبقي],tblInv[كود العميل],StCust,tblInv[الفترة],INDEX(tblBuckets[الفترة],1)),"#,##0.00;-#,##0.00;-"),"")))</f>
        <v/>
      </c>
      <c r="B129" s="83">
        <f>IF($M129="m",IF($N129&lt;&gt;"","فاتورة",INDEX(tblRec[النوع],$O129)),IF($M129="l",INDEX(tblBuckets[الفترة],2),IF($M129="v",TEXT(SUMIFS(tblInv[المتبقي],tblInv[كود العميل],StCust,tblInv[الفترة],INDEX(tblBuckets[الفترة],2)),"#,##0.00;-#,##0.00;-"),"")))</f>
        <v/>
      </c>
      <c r="C129" s="83">
        <f>IF($M129="m",IF($N129&lt;&gt;"",INDEX(tblInv[رقم الفاتورة],$N129),INDEX(tblRec[رقم السند],$O129)),IF($M129="l",INDEX(tblBuckets[الفترة],3),IF($M129="v",TEXT(SUMIFS(tblInv[المتبقي],tblInv[كود العميل],StCust,tblInv[الفترة],INDEX(tblBuckets[الفترة],3)),"#,##0.00;-#,##0.00;-"),"")))</f>
        <v/>
      </c>
      <c r="D129" s="118">
        <f>IF($M129="m",IF($N129&lt;&gt;"","فاتورة مبيعات — استحقاق "&amp;TEXT(INDEX(tblInv[تاريخ الاستحقاق],$N129),"dd/mm/yyyy")&amp;IF(INDEX(tblInv[ملاحظات],$N129)&amp;""&lt;&gt;""," — "&amp;INDEX(tblInv[ملاحظات],$N129),""),INDEX(tblRec[النوع],$O129)&amp;IF(INDEX(tblRec[طريقة الدفع],$O129)&amp;""&lt;&gt;""," ("&amp;INDEX(tblRec[طريقة الدفع],$O129)&amp;")","")&amp;IF(INDEX(tblRec[رقم الفاتورة],$O129)&amp;""&lt;&gt;""," — عن فاتورة "&amp;INDEX(tblRec[رقم الفاتورة],$O129)," — دفعة على الحساب")),IF($M129="l",INDEX(tblBuckets[الفترة],4),IF($M129="v",TEXT(SUMIFS(tblInv[المتبقي],tblInv[كود العميل],StCust,tblInv[الفترة],INDEX(tblBuckets[الفترة],4)),"#,##0.00;-#,##0.00;-"),IF($M129="t","ملخص أعمار رصيد العميل كما في "&amp;TEXT(AsOf,"dd/mm/yyyy"),IF($M129="p","يُرجى مطابقة الرصيد وإفادتنا خلال 15 يوماً، وإلا اعتُبر الرصيد صحيحاً.","")))))</f>
        <v/>
      </c>
      <c r="E129" s="119">
        <f>IF($M129="m",IF($N129&lt;&gt;"",INDEX(tblInv[الإجمالي],$N129),0),IF($M129="l",INDEX(tblBuckets[الفترة],5),IF($M129="v",TEXT(SUMIFS(tblInv[المتبقي],tblInv[كود العميل],StCust,tblInv[الفترة],INDEX(tblBuckets[الفترة],5)),"#,##0.00;-#,##0.00;-"),"")))</f>
        <v/>
      </c>
      <c r="F129" s="119">
        <f>IF($M129="m",IF($O129&lt;&gt;"",INDEX(tblRec[المبلغ],$O129),0),IF($M129="l",INDEX(tblBuckets[الفترة],6),IF($M129="v",TEXT(SUMIFS(tblInv[المتبقي],tblInv[كود العميل],StCust,tblInv[الفترة],INDEX(tblBuckets[الفترة],6)),"#,##0.00;-#,##0.00;-"),"")))</f>
        <v/>
      </c>
      <c r="G129" s="120">
        <f>IF($M129="m",N(G128)+E129-F129,IF($M129="l",INDEX(tblBuckets[الفترة],7),IF($M129="v",TEXT(SUMIFS(tblInv[المتبقي],tblInv[كود العميل],StCust,tblInv[الفترة],INDEX(tblBuckets[الفترة],7)),"#,##0.00;-#,##0.00;-"),"")))</f>
        <v/>
      </c>
      <c r="L129" t="n">
        <v>124</v>
      </c>
      <c r="M129">
        <f>IF(L129&lt;=StCount,"m",IF(L129=StCount+2,"t",IF(L129=StCount+3,"l",IF(L129=StCount+4,"v",IF(L129=StCount+6,"p","")))))</f>
        <v/>
      </c>
      <c r="N129">
        <f>IF(M129="m",IFERROR(MATCH(L129,tblInv[ترتيب الكشف],0),""),"")</f>
        <v/>
      </c>
      <c r="O129">
        <f>IF(AND(M129="m",N129=""),IFERROR(MATCH(L129,tblRec[ترتيب الكشف],0),""),"")</f>
        <v/>
      </c>
    </row>
    <row r="130">
      <c r="A130" s="117">
        <f>IF($M130="m",IF($N130&lt;&gt;"",INDEX(tblInv[تاريخ الفاتورة],$N130),INDEX(tblRec[التاريخ],$O130)),IF($M130="l",INDEX(tblBuckets[الفترة],1),IF($M130="v",TEXT(SUMIFS(tblInv[المتبقي],tblInv[كود العميل],StCust,tblInv[الفترة],INDEX(tblBuckets[الفترة],1)),"#,##0.00;-#,##0.00;-"),"")))</f>
        <v/>
      </c>
      <c r="B130" s="83">
        <f>IF($M130="m",IF($N130&lt;&gt;"","فاتورة",INDEX(tblRec[النوع],$O130)),IF($M130="l",INDEX(tblBuckets[الفترة],2),IF($M130="v",TEXT(SUMIFS(tblInv[المتبقي],tblInv[كود العميل],StCust,tblInv[الفترة],INDEX(tblBuckets[الفترة],2)),"#,##0.00;-#,##0.00;-"),"")))</f>
        <v/>
      </c>
      <c r="C130" s="83">
        <f>IF($M130="m",IF($N130&lt;&gt;"",INDEX(tblInv[رقم الفاتورة],$N130),INDEX(tblRec[رقم السند],$O130)),IF($M130="l",INDEX(tblBuckets[الفترة],3),IF($M130="v",TEXT(SUMIFS(tblInv[المتبقي],tblInv[كود العميل],StCust,tblInv[الفترة],INDEX(tblBuckets[الفترة],3)),"#,##0.00;-#,##0.00;-"),"")))</f>
        <v/>
      </c>
      <c r="D130" s="118">
        <f>IF($M130="m",IF($N130&lt;&gt;"","فاتورة مبيعات — استحقاق "&amp;TEXT(INDEX(tblInv[تاريخ الاستحقاق],$N130),"dd/mm/yyyy")&amp;IF(INDEX(tblInv[ملاحظات],$N130)&amp;""&lt;&gt;""," — "&amp;INDEX(tblInv[ملاحظات],$N130),""),INDEX(tblRec[النوع],$O130)&amp;IF(INDEX(tblRec[طريقة الدفع],$O130)&amp;""&lt;&gt;""," ("&amp;INDEX(tblRec[طريقة الدفع],$O130)&amp;")","")&amp;IF(INDEX(tblRec[رقم الفاتورة],$O130)&amp;""&lt;&gt;""," — عن فاتورة "&amp;INDEX(tblRec[رقم الفاتورة],$O130)," — دفعة على الحساب")),IF($M130="l",INDEX(tblBuckets[الفترة],4),IF($M130="v",TEXT(SUMIFS(tblInv[المتبقي],tblInv[كود العميل],StCust,tblInv[الفترة],INDEX(tblBuckets[الفترة],4)),"#,##0.00;-#,##0.00;-"),IF($M130="t","ملخص أعمار رصيد العميل كما في "&amp;TEXT(AsOf,"dd/mm/yyyy"),IF($M130="p","يُرجى مطابقة الرصيد وإفادتنا خلال 15 يوماً، وإلا اعتُبر الرصيد صحيحاً.","")))))</f>
        <v/>
      </c>
      <c r="E130" s="119">
        <f>IF($M130="m",IF($N130&lt;&gt;"",INDEX(tblInv[الإجمالي],$N130),0),IF($M130="l",INDEX(tblBuckets[الفترة],5),IF($M130="v",TEXT(SUMIFS(tblInv[المتبقي],tblInv[كود العميل],StCust,tblInv[الفترة],INDEX(tblBuckets[الفترة],5)),"#,##0.00;-#,##0.00;-"),"")))</f>
        <v/>
      </c>
      <c r="F130" s="119">
        <f>IF($M130="m",IF($O130&lt;&gt;"",INDEX(tblRec[المبلغ],$O130),0),IF($M130="l",INDEX(tblBuckets[الفترة],6),IF($M130="v",TEXT(SUMIFS(tblInv[المتبقي],tblInv[كود العميل],StCust,tblInv[الفترة],INDEX(tblBuckets[الفترة],6)),"#,##0.00;-#,##0.00;-"),"")))</f>
        <v/>
      </c>
      <c r="G130" s="120">
        <f>IF($M130="m",N(G129)+E130-F130,IF($M130="l",INDEX(tblBuckets[الفترة],7),IF($M130="v",TEXT(SUMIFS(tblInv[المتبقي],tblInv[كود العميل],StCust,tblInv[الفترة],INDEX(tblBuckets[الفترة],7)),"#,##0.00;-#,##0.00;-"),"")))</f>
        <v/>
      </c>
      <c r="L130" t="n">
        <v>125</v>
      </c>
      <c r="M130">
        <f>IF(L130&lt;=StCount,"m",IF(L130=StCount+2,"t",IF(L130=StCount+3,"l",IF(L130=StCount+4,"v",IF(L130=StCount+6,"p","")))))</f>
        <v/>
      </c>
      <c r="N130">
        <f>IF(M130="m",IFERROR(MATCH(L130,tblInv[ترتيب الكشف],0),""),"")</f>
        <v/>
      </c>
      <c r="O130">
        <f>IF(AND(M130="m",N130=""),IFERROR(MATCH(L130,tblRec[ترتيب الكشف],0),""),"")</f>
        <v/>
      </c>
    </row>
    <row r="131">
      <c r="A131" s="117">
        <f>IF($M131="m",IF($N131&lt;&gt;"",INDEX(tblInv[تاريخ الفاتورة],$N131),INDEX(tblRec[التاريخ],$O131)),IF($M131="l",INDEX(tblBuckets[الفترة],1),IF($M131="v",TEXT(SUMIFS(tblInv[المتبقي],tblInv[كود العميل],StCust,tblInv[الفترة],INDEX(tblBuckets[الفترة],1)),"#,##0.00;-#,##0.00;-"),"")))</f>
        <v/>
      </c>
      <c r="B131" s="83">
        <f>IF($M131="m",IF($N131&lt;&gt;"","فاتورة",INDEX(tblRec[النوع],$O131)),IF($M131="l",INDEX(tblBuckets[الفترة],2),IF($M131="v",TEXT(SUMIFS(tblInv[المتبقي],tblInv[كود العميل],StCust,tblInv[الفترة],INDEX(tblBuckets[الفترة],2)),"#,##0.00;-#,##0.00;-"),"")))</f>
        <v/>
      </c>
      <c r="C131" s="83">
        <f>IF($M131="m",IF($N131&lt;&gt;"",INDEX(tblInv[رقم الفاتورة],$N131),INDEX(tblRec[رقم السند],$O131)),IF($M131="l",INDEX(tblBuckets[الفترة],3),IF($M131="v",TEXT(SUMIFS(tblInv[المتبقي],tblInv[كود العميل],StCust,tblInv[الفترة],INDEX(tblBuckets[الفترة],3)),"#,##0.00;-#,##0.00;-"),"")))</f>
        <v/>
      </c>
      <c r="D131" s="118">
        <f>IF($M131="m",IF($N131&lt;&gt;"","فاتورة مبيعات — استحقاق "&amp;TEXT(INDEX(tblInv[تاريخ الاستحقاق],$N131),"dd/mm/yyyy")&amp;IF(INDEX(tblInv[ملاحظات],$N131)&amp;""&lt;&gt;""," — "&amp;INDEX(tblInv[ملاحظات],$N131),""),INDEX(tblRec[النوع],$O131)&amp;IF(INDEX(tblRec[طريقة الدفع],$O131)&amp;""&lt;&gt;""," ("&amp;INDEX(tblRec[طريقة الدفع],$O131)&amp;")","")&amp;IF(INDEX(tblRec[رقم الفاتورة],$O131)&amp;""&lt;&gt;""," — عن فاتورة "&amp;INDEX(tblRec[رقم الفاتورة],$O131)," — دفعة على الحساب")),IF($M131="l",INDEX(tblBuckets[الفترة],4),IF($M131="v",TEXT(SUMIFS(tblInv[المتبقي],tblInv[كود العميل],StCust,tblInv[الفترة],INDEX(tblBuckets[الفترة],4)),"#,##0.00;-#,##0.00;-"),IF($M131="t","ملخص أعمار رصيد العميل كما في "&amp;TEXT(AsOf,"dd/mm/yyyy"),IF($M131="p","يُرجى مطابقة الرصيد وإفادتنا خلال 15 يوماً، وإلا اعتُبر الرصيد صحيحاً.","")))))</f>
        <v/>
      </c>
      <c r="E131" s="119">
        <f>IF($M131="m",IF($N131&lt;&gt;"",INDEX(tblInv[الإجمالي],$N131),0),IF($M131="l",INDEX(tblBuckets[الفترة],5),IF($M131="v",TEXT(SUMIFS(tblInv[المتبقي],tblInv[كود العميل],StCust,tblInv[الفترة],INDEX(tblBuckets[الفترة],5)),"#,##0.00;-#,##0.00;-"),"")))</f>
        <v/>
      </c>
      <c r="F131" s="119">
        <f>IF($M131="m",IF($O131&lt;&gt;"",INDEX(tblRec[المبلغ],$O131),0),IF($M131="l",INDEX(tblBuckets[الفترة],6),IF($M131="v",TEXT(SUMIFS(tblInv[المتبقي],tblInv[كود العميل],StCust,tblInv[الفترة],INDEX(tblBuckets[الفترة],6)),"#,##0.00;-#,##0.00;-"),"")))</f>
        <v/>
      </c>
      <c r="G131" s="120">
        <f>IF($M131="m",N(G130)+E131-F131,IF($M131="l",INDEX(tblBuckets[الفترة],7),IF($M131="v",TEXT(SUMIFS(tblInv[المتبقي],tblInv[كود العميل],StCust,tblInv[الفترة],INDEX(tblBuckets[الفترة],7)),"#,##0.00;-#,##0.00;-"),"")))</f>
        <v/>
      </c>
      <c r="L131" t="n">
        <v>126</v>
      </c>
      <c r="M131">
        <f>IF(L131&lt;=StCount,"m",IF(L131=StCount+2,"t",IF(L131=StCount+3,"l",IF(L131=StCount+4,"v",IF(L131=StCount+6,"p","")))))</f>
        <v/>
      </c>
      <c r="N131">
        <f>IF(M131="m",IFERROR(MATCH(L131,tblInv[ترتيب الكشف],0),""),"")</f>
        <v/>
      </c>
      <c r="O131">
        <f>IF(AND(M131="m",N131=""),IFERROR(MATCH(L131,tblRec[ترتيب الكشف],0),""),"")</f>
        <v/>
      </c>
    </row>
    <row r="132">
      <c r="A132" s="117">
        <f>IF($M132="m",IF($N132&lt;&gt;"",INDEX(tblInv[تاريخ الفاتورة],$N132),INDEX(tblRec[التاريخ],$O132)),IF($M132="l",INDEX(tblBuckets[الفترة],1),IF($M132="v",TEXT(SUMIFS(tblInv[المتبقي],tblInv[كود العميل],StCust,tblInv[الفترة],INDEX(tblBuckets[الفترة],1)),"#,##0.00;-#,##0.00;-"),"")))</f>
        <v/>
      </c>
      <c r="B132" s="83">
        <f>IF($M132="m",IF($N132&lt;&gt;"","فاتورة",INDEX(tblRec[النوع],$O132)),IF($M132="l",INDEX(tblBuckets[الفترة],2),IF($M132="v",TEXT(SUMIFS(tblInv[المتبقي],tblInv[كود العميل],StCust,tblInv[الفترة],INDEX(tblBuckets[الفترة],2)),"#,##0.00;-#,##0.00;-"),"")))</f>
        <v/>
      </c>
      <c r="C132" s="83">
        <f>IF($M132="m",IF($N132&lt;&gt;"",INDEX(tblInv[رقم الفاتورة],$N132),INDEX(tblRec[رقم السند],$O132)),IF($M132="l",INDEX(tblBuckets[الفترة],3),IF($M132="v",TEXT(SUMIFS(tblInv[المتبقي],tblInv[كود العميل],StCust,tblInv[الفترة],INDEX(tblBuckets[الفترة],3)),"#,##0.00;-#,##0.00;-"),"")))</f>
        <v/>
      </c>
      <c r="D132" s="118">
        <f>IF($M132="m",IF($N132&lt;&gt;"","فاتورة مبيعات — استحقاق "&amp;TEXT(INDEX(tblInv[تاريخ الاستحقاق],$N132),"dd/mm/yyyy")&amp;IF(INDEX(tblInv[ملاحظات],$N132)&amp;""&lt;&gt;""," — "&amp;INDEX(tblInv[ملاحظات],$N132),""),INDEX(tblRec[النوع],$O132)&amp;IF(INDEX(tblRec[طريقة الدفع],$O132)&amp;""&lt;&gt;""," ("&amp;INDEX(tblRec[طريقة الدفع],$O132)&amp;")","")&amp;IF(INDEX(tblRec[رقم الفاتورة],$O132)&amp;""&lt;&gt;""," — عن فاتورة "&amp;INDEX(tblRec[رقم الفاتورة],$O132)," — دفعة على الحساب")),IF($M132="l",INDEX(tblBuckets[الفترة],4),IF($M132="v",TEXT(SUMIFS(tblInv[المتبقي],tblInv[كود العميل],StCust,tblInv[الفترة],INDEX(tblBuckets[الفترة],4)),"#,##0.00;-#,##0.00;-"),IF($M132="t","ملخص أعمار رصيد العميل كما في "&amp;TEXT(AsOf,"dd/mm/yyyy"),IF($M132="p","يُرجى مطابقة الرصيد وإفادتنا خلال 15 يوماً، وإلا اعتُبر الرصيد صحيحاً.","")))))</f>
        <v/>
      </c>
      <c r="E132" s="119">
        <f>IF($M132="m",IF($N132&lt;&gt;"",INDEX(tblInv[الإجمالي],$N132),0),IF($M132="l",INDEX(tblBuckets[الفترة],5),IF($M132="v",TEXT(SUMIFS(tblInv[المتبقي],tblInv[كود العميل],StCust,tblInv[الفترة],INDEX(tblBuckets[الفترة],5)),"#,##0.00;-#,##0.00;-"),"")))</f>
        <v/>
      </c>
      <c r="F132" s="119">
        <f>IF($M132="m",IF($O132&lt;&gt;"",INDEX(tblRec[المبلغ],$O132),0),IF($M132="l",INDEX(tblBuckets[الفترة],6),IF($M132="v",TEXT(SUMIFS(tblInv[المتبقي],tblInv[كود العميل],StCust,tblInv[الفترة],INDEX(tblBuckets[الفترة],6)),"#,##0.00;-#,##0.00;-"),"")))</f>
        <v/>
      </c>
      <c r="G132" s="120">
        <f>IF($M132="m",N(G131)+E132-F132,IF($M132="l",INDEX(tblBuckets[الفترة],7),IF($M132="v",TEXT(SUMIFS(tblInv[المتبقي],tblInv[كود العميل],StCust,tblInv[الفترة],INDEX(tblBuckets[الفترة],7)),"#,##0.00;-#,##0.00;-"),"")))</f>
        <v/>
      </c>
      <c r="L132" t="n">
        <v>127</v>
      </c>
      <c r="M132">
        <f>IF(L132&lt;=StCount,"m",IF(L132=StCount+2,"t",IF(L132=StCount+3,"l",IF(L132=StCount+4,"v",IF(L132=StCount+6,"p","")))))</f>
        <v/>
      </c>
      <c r="N132">
        <f>IF(M132="m",IFERROR(MATCH(L132,tblInv[ترتيب الكشف],0),""),"")</f>
        <v/>
      </c>
      <c r="O132">
        <f>IF(AND(M132="m",N132=""),IFERROR(MATCH(L132,tblRec[ترتيب الكشف],0),""),"")</f>
        <v/>
      </c>
    </row>
    <row r="133">
      <c r="A133" s="117">
        <f>IF($M133="m",IF($N133&lt;&gt;"",INDEX(tblInv[تاريخ الفاتورة],$N133),INDEX(tblRec[التاريخ],$O133)),IF($M133="l",INDEX(tblBuckets[الفترة],1),IF($M133="v",TEXT(SUMIFS(tblInv[المتبقي],tblInv[كود العميل],StCust,tblInv[الفترة],INDEX(tblBuckets[الفترة],1)),"#,##0.00;-#,##0.00;-"),"")))</f>
        <v/>
      </c>
      <c r="B133" s="83">
        <f>IF($M133="m",IF($N133&lt;&gt;"","فاتورة",INDEX(tblRec[النوع],$O133)),IF($M133="l",INDEX(tblBuckets[الفترة],2),IF($M133="v",TEXT(SUMIFS(tblInv[المتبقي],tblInv[كود العميل],StCust,tblInv[الفترة],INDEX(tblBuckets[الفترة],2)),"#,##0.00;-#,##0.00;-"),"")))</f>
        <v/>
      </c>
      <c r="C133" s="83">
        <f>IF($M133="m",IF($N133&lt;&gt;"",INDEX(tblInv[رقم الفاتورة],$N133),INDEX(tblRec[رقم السند],$O133)),IF($M133="l",INDEX(tblBuckets[الفترة],3),IF($M133="v",TEXT(SUMIFS(tblInv[المتبقي],tblInv[كود العميل],StCust,tblInv[الفترة],INDEX(tblBuckets[الفترة],3)),"#,##0.00;-#,##0.00;-"),"")))</f>
        <v/>
      </c>
      <c r="D133" s="118">
        <f>IF($M133="m",IF($N133&lt;&gt;"","فاتورة مبيعات — استحقاق "&amp;TEXT(INDEX(tblInv[تاريخ الاستحقاق],$N133),"dd/mm/yyyy")&amp;IF(INDEX(tblInv[ملاحظات],$N133)&amp;""&lt;&gt;""," — "&amp;INDEX(tblInv[ملاحظات],$N133),""),INDEX(tblRec[النوع],$O133)&amp;IF(INDEX(tblRec[طريقة الدفع],$O133)&amp;""&lt;&gt;""," ("&amp;INDEX(tblRec[طريقة الدفع],$O133)&amp;")","")&amp;IF(INDEX(tblRec[رقم الفاتورة],$O133)&amp;""&lt;&gt;""," — عن فاتورة "&amp;INDEX(tblRec[رقم الفاتورة],$O133)," — دفعة على الحساب")),IF($M133="l",INDEX(tblBuckets[الفترة],4),IF($M133="v",TEXT(SUMIFS(tblInv[المتبقي],tblInv[كود العميل],StCust,tblInv[الفترة],INDEX(tblBuckets[الفترة],4)),"#,##0.00;-#,##0.00;-"),IF($M133="t","ملخص أعمار رصيد العميل كما في "&amp;TEXT(AsOf,"dd/mm/yyyy"),IF($M133="p","يُرجى مطابقة الرصيد وإفادتنا خلال 15 يوماً، وإلا اعتُبر الرصيد صحيحاً.","")))))</f>
        <v/>
      </c>
      <c r="E133" s="119">
        <f>IF($M133="m",IF($N133&lt;&gt;"",INDEX(tblInv[الإجمالي],$N133),0),IF($M133="l",INDEX(tblBuckets[الفترة],5),IF($M133="v",TEXT(SUMIFS(tblInv[المتبقي],tblInv[كود العميل],StCust,tblInv[الفترة],INDEX(tblBuckets[الفترة],5)),"#,##0.00;-#,##0.00;-"),"")))</f>
        <v/>
      </c>
      <c r="F133" s="119">
        <f>IF($M133="m",IF($O133&lt;&gt;"",INDEX(tblRec[المبلغ],$O133),0),IF($M133="l",INDEX(tblBuckets[الفترة],6),IF($M133="v",TEXT(SUMIFS(tblInv[المتبقي],tblInv[كود العميل],StCust,tblInv[الفترة],INDEX(tblBuckets[الفترة],6)),"#,##0.00;-#,##0.00;-"),"")))</f>
        <v/>
      </c>
      <c r="G133" s="120">
        <f>IF($M133="m",N(G132)+E133-F133,IF($M133="l",INDEX(tblBuckets[الفترة],7),IF($M133="v",TEXT(SUMIFS(tblInv[المتبقي],tblInv[كود العميل],StCust,tblInv[الفترة],INDEX(tblBuckets[الفترة],7)),"#,##0.00;-#,##0.00;-"),"")))</f>
        <v/>
      </c>
      <c r="L133" t="n">
        <v>128</v>
      </c>
      <c r="M133">
        <f>IF(L133&lt;=StCount,"m",IF(L133=StCount+2,"t",IF(L133=StCount+3,"l",IF(L133=StCount+4,"v",IF(L133=StCount+6,"p","")))))</f>
        <v/>
      </c>
      <c r="N133">
        <f>IF(M133="m",IFERROR(MATCH(L133,tblInv[ترتيب الكشف],0),""),"")</f>
        <v/>
      </c>
      <c r="O133">
        <f>IF(AND(M133="m",N133=""),IFERROR(MATCH(L133,tblRec[ترتيب الكشف],0),""),"")</f>
        <v/>
      </c>
    </row>
    <row r="134">
      <c r="A134" s="117">
        <f>IF($M134="m",IF($N134&lt;&gt;"",INDEX(tblInv[تاريخ الفاتورة],$N134),INDEX(tblRec[التاريخ],$O134)),IF($M134="l",INDEX(tblBuckets[الفترة],1),IF($M134="v",TEXT(SUMIFS(tblInv[المتبقي],tblInv[كود العميل],StCust,tblInv[الفترة],INDEX(tblBuckets[الفترة],1)),"#,##0.00;-#,##0.00;-"),"")))</f>
        <v/>
      </c>
      <c r="B134" s="83">
        <f>IF($M134="m",IF($N134&lt;&gt;"","فاتورة",INDEX(tblRec[النوع],$O134)),IF($M134="l",INDEX(tblBuckets[الفترة],2),IF($M134="v",TEXT(SUMIFS(tblInv[المتبقي],tblInv[كود العميل],StCust,tblInv[الفترة],INDEX(tblBuckets[الفترة],2)),"#,##0.00;-#,##0.00;-"),"")))</f>
        <v/>
      </c>
      <c r="C134" s="83">
        <f>IF($M134="m",IF($N134&lt;&gt;"",INDEX(tblInv[رقم الفاتورة],$N134),INDEX(tblRec[رقم السند],$O134)),IF($M134="l",INDEX(tblBuckets[الفترة],3),IF($M134="v",TEXT(SUMIFS(tblInv[المتبقي],tblInv[كود العميل],StCust,tblInv[الفترة],INDEX(tblBuckets[الفترة],3)),"#,##0.00;-#,##0.00;-"),"")))</f>
        <v/>
      </c>
      <c r="D134" s="118">
        <f>IF($M134="m",IF($N134&lt;&gt;"","فاتورة مبيعات — استحقاق "&amp;TEXT(INDEX(tblInv[تاريخ الاستحقاق],$N134),"dd/mm/yyyy")&amp;IF(INDEX(tblInv[ملاحظات],$N134)&amp;""&lt;&gt;""," — "&amp;INDEX(tblInv[ملاحظات],$N134),""),INDEX(tblRec[النوع],$O134)&amp;IF(INDEX(tblRec[طريقة الدفع],$O134)&amp;""&lt;&gt;""," ("&amp;INDEX(tblRec[طريقة الدفع],$O134)&amp;")","")&amp;IF(INDEX(tblRec[رقم الفاتورة],$O134)&amp;""&lt;&gt;""," — عن فاتورة "&amp;INDEX(tblRec[رقم الفاتورة],$O134)," — دفعة على الحساب")),IF($M134="l",INDEX(tblBuckets[الفترة],4),IF($M134="v",TEXT(SUMIFS(tblInv[المتبقي],tblInv[كود العميل],StCust,tblInv[الفترة],INDEX(tblBuckets[الفترة],4)),"#,##0.00;-#,##0.00;-"),IF($M134="t","ملخص أعمار رصيد العميل كما في "&amp;TEXT(AsOf,"dd/mm/yyyy"),IF($M134="p","يُرجى مطابقة الرصيد وإفادتنا خلال 15 يوماً، وإلا اعتُبر الرصيد صحيحاً.","")))))</f>
        <v/>
      </c>
      <c r="E134" s="119">
        <f>IF($M134="m",IF($N134&lt;&gt;"",INDEX(tblInv[الإجمالي],$N134),0),IF($M134="l",INDEX(tblBuckets[الفترة],5),IF($M134="v",TEXT(SUMIFS(tblInv[المتبقي],tblInv[كود العميل],StCust,tblInv[الفترة],INDEX(tblBuckets[الفترة],5)),"#,##0.00;-#,##0.00;-"),"")))</f>
        <v/>
      </c>
      <c r="F134" s="119">
        <f>IF($M134="m",IF($O134&lt;&gt;"",INDEX(tblRec[المبلغ],$O134),0),IF($M134="l",INDEX(tblBuckets[الفترة],6),IF($M134="v",TEXT(SUMIFS(tblInv[المتبقي],tblInv[كود العميل],StCust,tblInv[الفترة],INDEX(tblBuckets[الفترة],6)),"#,##0.00;-#,##0.00;-"),"")))</f>
        <v/>
      </c>
      <c r="G134" s="120">
        <f>IF($M134="m",N(G133)+E134-F134,IF($M134="l",INDEX(tblBuckets[الفترة],7),IF($M134="v",TEXT(SUMIFS(tblInv[المتبقي],tblInv[كود العميل],StCust,tblInv[الفترة],INDEX(tblBuckets[الفترة],7)),"#,##0.00;-#,##0.00;-"),"")))</f>
        <v/>
      </c>
      <c r="L134" t="n">
        <v>129</v>
      </c>
      <c r="M134">
        <f>IF(L134&lt;=StCount,"m",IF(L134=StCount+2,"t",IF(L134=StCount+3,"l",IF(L134=StCount+4,"v",IF(L134=StCount+6,"p","")))))</f>
        <v/>
      </c>
      <c r="N134">
        <f>IF(M134="m",IFERROR(MATCH(L134,tblInv[ترتيب الكشف],0),""),"")</f>
        <v/>
      </c>
      <c r="O134">
        <f>IF(AND(M134="m",N134=""),IFERROR(MATCH(L134,tblRec[ترتيب الكشف],0),""),"")</f>
        <v/>
      </c>
    </row>
    <row r="135">
      <c r="A135" s="117">
        <f>IF($M135="m",IF($N135&lt;&gt;"",INDEX(tblInv[تاريخ الفاتورة],$N135),INDEX(tblRec[التاريخ],$O135)),IF($M135="l",INDEX(tblBuckets[الفترة],1),IF($M135="v",TEXT(SUMIFS(tblInv[المتبقي],tblInv[كود العميل],StCust,tblInv[الفترة],INDEX(tblBuckets[الفترة],1)),"#,##0.00;-#,##0.00;-"),"")))</f>
        <v/>
      </c>
      <c r="B135" s="83">
        <f>IF($M135="m",IF($N135&lt;&gt;"","فاتورة",INDEX(tblRec[النوع],$O135)),IF($M135="l",INDEX(tblBuckets[الفترة],2),IF($M135="v",TEXT(SUMIFS(tblInv[المتبقي],tblInv[كود العميل],StCust,tblInv[الفترة],INDEX(tblBuckets[الفترة],2)),"#,##0.00;-#,##0.00;-"),"")))</f>
        <v/>
      </c>
      <c r="C135" s="83">
        <f>IF($M135="m",IF($N135&lt;&gt;"",INDEX(tblInv[رقم الفاتورة],$N135),INDEX(tblRec[رقم السند],$O135)),IF($M135="l",INDEX(tblBuckets[الفترة],3),IF($M135="v",TEXT(SUMIFS(tblInv[المتبقي],tblInv[كود العميل],StCust,tblInv[الفترة],INDEX(tblBuckets[الفترة],3)),"#,##0.00;-#,##0.00;-"),"")))</f>
        <v/>
      </c>
      <c r="D135" s="118">
        <f>IF($M135="m",IF($N135&lt;&gt;"","فاتورة مبيعات — استحقاق "&amp;TEXT(INDEX(tblInv[تاريخ الاستحقاق],$N135),"dd/mm/yyyy")&amp;IF(INDEX(tblInv[ملاحظات],$N135)&amp;""&lt;&gt;""," — "&amp;INDEX(tblInv[ملاحظات],$N135),""),INDEX(tblRec[النوع],$O135)&amp;IF(INDEX(tblRec[طريقة الدفع],$O135)&amp;""&lt;&gt;""," ("&amp;INDEX(tblRec[طريقة الدفع],$O135)&amp;")","")&amp;IF(INDEX(tblRec[رقم الفاتورة],$O135)&amp;""&lt;&gt;""," — عن فاتورة "&amp;INDEX(tblRec[رقم الفاتورة],$O135)," — دفعة على الحساب")),IF($M135="l",INDEX(tblBuckets[الفترة],4),IF($M135="v",TEXT(SUMIFS(tblInv[المتبقي],tblInv[كود العميل],StCust,tblInv[الفترة],INDEX(tblBuckets[الفترة],4)),"#,##0.00;-#,##0.00;-"),IF($M135="t","ملخص أعمار رصيد العميل كما في "&amp;TEXT(AsOf,"dd/mm/yyyy"),IF($M135="p","يُرجى مطابقة الرصيد وإفادتنا خلال 15 يوماً، وإلا اعتُبر الرصيد صحيحاً.","")))))</f>
        <v/>
      </c>
      <c r="E135" s="119">
        <f>IF($M135="m",IF($N135&lt;&gt;"",INDEX(tblInv[الإجمالي],$N135),0),IF($M135="l",INDEX(tblBuckets[الفترة],5),IF($M135="v",TEXT(SUMIFS(tblInv[المتبقي],tblInv[كود العميل],StCust,tblInv[الفترة],INDEX(tblBuckets[الفترة],5)),"#,##0.00;-#,##0.00;-"),"")))</f>
        <v/>
      </c>
      <c r="F135" s="119">
        <f>IF($M135="m",IF($O135&lt;&gt;"",INDEX(tblRec[المبلغ],$O135),0),IF($M135="l",INDEX(tblBuckets[الفترة],6),IF($M135="v",TEXT(SUMIFS(tblInv[المتبقي],tblInv[كود العميل],StCust,tblInv[الفترة],INDEX(tblBuckets[الفترة],6)),"#,##0.00;-#,##0.00;-"),"")))</f>
        <v/>
      </c>
      <c r="G135" s="120">
        <f>IF($M135="m",N(G134)+E135-F135,IF($M135="l",INDEX(tblBuckets[الفترة],7),IF($M135="v",TEXT(SUMIFS(tblInv[المتبقي],tblInv[كود العميل],StCust,tblInv[الفترة],INDEX(tblBuckets[الفترة],7)),"#,##0.00;-#,##0.00;-"),"")))</f>
        <v/>
      </c>
      <c r="L135" t="n">
        <v>130</v>
      </c>
      <c r="M135">
        <f>IF(L135&lt;=StCount,"m",IF(L135=StCount+2,"t",IF(L135=StCount+3,"l",IF(L135=StCount+4,"v",IF(L135=StCount+6,"p","")))))</f>
        <v/>
      </c>
      <c r="N135">
        <f>IF(M135="m",IFERROR(MATCH(L135,tblInv[ترتيب الكشف],0),""),"")</f>
        <v/>
      </c>
      <c r="O135">
        <f>IF(AND(M135="m",N135=""),IFERROR(MATCH(L135,tblRec[ترتيب الكشف],0),""),"")</f>
        <v/>
      </c>
    </row>
    <row r="136">
      <c r="A136" s="117">
        <f>IF($M136="m",IF($N136&lt;&gt;"",INDEX(tblInv[تاريخ الفاتورة],$N136),INDEX(tblRec[التاريخ],$O136)),IF($M136="l",INDEX(tblBuckets[الفترة],1),IF($M136="v",TEXT(SUMIFS(tblInv[المتبقي],tblInv[كود العميل],StCust,tblInv[الفترة],INDEX(tblBuckets[الفترة],1)),"#,##0.00;-#,##0.00;-"),"")))</f>
        <v/>
      </c>
      <c r="B136" s="83">
        <f>IF($M136="m",IF($N136&lt;&gt;"","فاتورة",INDEX(tblRec[النوع],$O136)),IF($M136="l",INDEX(tblBuckets[الفترة],2),IF($M136="v",TEXT(SUMIFS(tblInv[المتبقي],tblInv[كود العميل],StCust,tblInv[الفترة],INDEX(tblBuckets[الفترة],2)),"#,##0.00;-#,##0.00;-"),"")))</f>
        <v/>
      </c>
      <c r="C136" s="83">
        <f>IF($M136="m",IF($N136&lt;&gt;"",INDEX(tblInv[رقم الفاتورة],$N136),INDEX(tblRec[رقم السند],$O136)),IF($M136="l",INDEX(tblBuckets[الفترة],3),IF($M136="v",TEXT(SUMIFS(tblInv[المتبقي],tblInv[كود العميل],StCust,tblInv[الفترة],INDEX(tblBuckets[الفترة],3)),"#,##0.00;-#,##0.00;-"),"")))</f>
        <v/>
      </c>
      <c r="D136" s="118">
        <f>IF($M136="m",IF($N136&lt;&gt;"","فاتورة مبيعات — استحقاق "&amp;TEXT(INDEX(tblInv[تاريخ الاستحقاق],$N136),"dd/mm/yyyy")&amp;IF(INDEX(tblInv[ملاحظات],$N136)&amp;""&lt;&gt;""," — "&amp;INDEX(tblInv[ملاحظات],$N136),""),INDEX(tblRec[النوع],$O136)&amp;IF(INDEX(tblRec[طريقة الدفع],$O136)&amp;""&lt;&gt;""," ("&amp;INDEX(tblRec[طريقة الدفع],$O136)&amp;")","")&amp;IF(INDEX(tblRec[رقم الفاتورة],$O136)&amp;""&lt;&gt;""," — عن فاتورة "&amp;INDEX(tblRec[رقم الفاتورة],$O136)," — دفعة على الحساب")),IF($M136="l",INDEX(tblBuckets[الفترة],4),IF($M136="v",TEXT(SUMIFS(tblInv[المتبقي],tblInv[كود العميل],StCust,tblInv[الفترة],INDEX(tblBuckets[الفترة],4)),"#,##0.00;-#,##0.00;-"),IF($M136="t","ملخص أعمار رصيد العميل كما في "&amp;TEXT(AsOf,"dd/mm/yyyy"),IF($M136="p","يُرجى مطابقة الرصيد وإفادتنا خلال 15 يوماً، وإلا اعتُبر الرصيد صحيحاً.","")))))</f>
        <v/>
      </c>
      <c r="E136" s="119">
        <f>IF($M136="m",IF($N136&lt;&gt;"",INDEX(tblInv[الإجمالي],$N136),0),IF($M136="l",INDEX(tblBuckets[الفترة],5),IF($M136="v",TEXT(SUMIFS(tblInv[المتبقي],tblInv[كود العميل],StCust,tblInv[الفترة],INDEX(tblBuckets[الفترة],5)),"#,##0.00;-#,##0.00;-"),"")))</f>
        <v/>
      </c>
      <c r="F136" s="119">
        <f>IF($M136="m",IF($O136&lt;&gt;"",INDEX(tblRec[المبلغ],$O136),0),IF($M136="l",INDEX(tblBuckets[الفترة],6),IF($M136="v",TEXT(SUMIFS(tblInv[المتبقي],tblInv[كود العميل],StCust,tblInv[الفترة],INDEX(tblBuckets[الفترة],6)),"#,##0.00;-#,##0.00;-"),"")))</f>
        <v/>
      </c>
      <c r="G136" s="120">
        <f>IF($M136="m",N(G135)+E136-F136,IF($M136="l",INDEX(tblBuckets[الفترة],7),IF($M136="v",TEXT(SUMIFS(tblInv[المتبقي],tblInv[كود العميل],StCust,tblInv[الفترة],INDEX(tblBuckets[الفترة],7)),"#,##0.00;-#,##0.00;-"),"")))</f>
        <v/>
      </c>
      <c r="L136" t="n">
        <v>131</v>
      </c>
      <c r="M136">
        <f>IF(L136&lt;=StCount,"m",IF(L136=StCount+2,"t",IF(L136=StCount+3,"l",IF(L136=StCount+4,"v",IF(L136=StCount+6,"p","")))))</f>
        <v/>
      </c>
      <c r="N136">
        <f>IF(M136="m",IFERROR(MATCH(L136,tblInv[ترتيب الكشف],0),""),"")</f>
        <v/>
      </c>
      <c r="O136">
        <f>IF(AND(M136="m",N136=""),IFERROR(MATCH(L136,tblRec[ترتيب الكشف],0),""),"")</f>
        <v/>
      </c>
    </row>
    <row r="137">
      <c r="A137" s="117">
        <f>IF($M137="m",IF($N137&lt;&gt;"",INDEX(tblInv[تاريخ الفاتورة],$N137),INDEX(tblRec[التاريخ],$O137)),IF($M137="l",INDEX(tblBuckets[الفترة],1),IF($M137="v",TEXT(SUMIFS(tblInv[المتبقي],tblInv[كود العميل],StCust,tblInv[الفترة],INDEX(tblBuckets[الفترة],1)),"#,##0.00;-#,##0.00;-"),"")))</f>
        <v/>
      </c>
      <c r="B137" s="83">
        <f>IF($M137="m",IF($N137&lt;&gt;"","فاتورة",INDEX(tblRec[النوع],$O137)),IF($M137="l",INDEX(tblBuckets[الفترة],2),IF($M137="v",TEXT(SUMIFS(tblInv[المتبقي],tblInv[كود العميل],StCust,tblInv[الفترة],INDEX(tblBuckets[الفترة],2)),"#,##0.00;-#,##0.00;-"),"")))</f>
        <v/>
      </c>
      <c r="C137" s="83">
        <f>IF($M137="m",IF($N137&lt;&gt;"",INDEX(tblInv[رقم الفاتورة],$N137),INDEX(tblRec[رقم السند],$O137)),IF($M137="l",INDEX(tblBuckets[الفترة],3),IF($M137="v",TEXT(SUMIFS(tblInv[المتبقي],tblInv[كود العميل],StCust,tblInv[الفترة],INDEX(tblBuckets[الفترة],3)),"#,##0.00;-#,##0.00;-"),"")))</f>
        <v/>
      </c>
      <c r="D137" s="118">
        <f>IF($M137="m",IF($N137&lt;&gt;"","فاتورة مبيعات — استحقاق "&amp;TEXT(INDEX(tblInv[تاريخ الاستحقاق],$N137),"dd/mm/yyyy")&amp;IF(INDEX(tblInv[ملاحظات],$N137)&amp;""&lt;&gt;""," — "&amp;INDEX(tblInv[ملاحظات],$N137),""),INDEX(tblRec[النوع],$O137)&amp;IF(INDEX(tblRec[طريقة الدفع],$O137)&amp;""&lt;&gt;""," ("&amp;INDEX(tblRec[طريقة الدفع],$O137)&amp;")","")&amp;IF(INDEX(tblRec[رقم الفاتورة],$O137)&amp;""&lt;&gt;""," — عن فاتورة "&amp;INDEX(tblRec[رقم الفاتورة],$O137)," — دفعة على الحساب")),IF($M137="l",INDEX(tblBuckets[الفترة],4),IF($M137="v",TEXT(SUMIFS(tblInv[المتبقي],tblInv[كود العميل],StCust,tblInv[الفترة],INDEX(tblBuckets[الفترة],4)),"#,##0.00;-#,##0.00;-"),IF($M137="t","ملخص أعمار رصيد العميل كما في "&amp;TEXT(AsOf,"dd/mm/yyyy"),IF($M137="p","يُرجى مطابقة الرصيد وإفادتنا خلال 15 يوماً، وإلا اعتُبر الرصيد صحيحاً.","")))))</f>
        <v/>
      </c>
      <c r="E137" s="119">
        <f>IF($M137="m",IF($N137&lt;&gt;"",INDEX(tblInv[الإجمالي],$N137),0),IF($M137="l",INDEX(tblBuckets[الفترة],5),IF($M137="v",TEXT(SUMIFS(tblInv[المتبقي],tblInv[كود العميل],StCust,tblInv[الفترة],INDEX(tblBuckets[الفترة],5)),"#,##0.00;-#,##0.00;-"),"")))</f>
        <v/>
      </c>
      <c r="F137" s="119">
        <f>IF($M137="m",IF($O137&lt;&gt;"",INDEX(tblRec[المبلغ],$O137),0),IF($M137="l",INDEX(tblBuckets[الفترة],6),IF($M137="v",TEXT(SUMIFS(tblInv[المتبقي],tblInv[كود العميل],StCust,tblInv[الفترة],INDEX(tblBuckets[الفترة],6)),"#,##0.00;-#,##0.00;-"),"")))</f>
        <v/>
      </c>
      <c r="G137" s="120">
        <f>IF($M137="m",N(G136)+E137-F137,IF($M137="l",INDEX(tblBuckets[الفترة],7),IF($M137="v",TEXT(SUMIFS(tblInv[المتبقي],tblInv[كود العميل],StCust,tblInv[الفترة],INDEX(tblBuckets[الفترة],7)),"#,##0.00;-#,##0.00;-"),"")))</f>
        <v/>
      </c>
      <c r="L137" t="n">
        <v>132</v>
      </c>
      <c r="M137">
        <f>IF(L137&lt;=StCount,"m",IF(L137=StCount+2,"t",IF(L137=StCount+3,"l",IF(L137=StCount+4,"v",IF(L137=StCount+6,"p","")))))</f>
        <v/>
      </c>
      <c r="N137">
        <f>IF(M137="m",IFERROR(MATCH(L137,tblInv[ترتيب الكشف],0),""),"")</f>
        <v/>
      </c>
      <c r="O137">
        <f>IF(AND(M137="m",N137=""),IFERROR(MATCH(L137,tblRec[ترتيب الكشف],0),""),"")</f>
        <v/>
      </c>
    </row>
    <row r="138">
      <c r="A138" s="117">
        <f>IF($M138="m",IF($N138&lt;&gt;"",INDEX(tblInv[تاريخ الفاتورة],$N138),INDEX(tblRec[التاريخ],$O138)),IF($M138="l",INDEX(tblBuckets[الفترة],1),IF($M138="v",TEXT(SUMIFS(tblInv[المتبقي],tblInv[كود العميل],StCust,tblInv[الفترة],INDEX(tblBuckets[الفترة],1)),"#,##0.00;-#,##0.00;-"),"")))</f>
        <v/>
      </c>
      <c r="B138" s="83">
        <f>IF($M138="m",IF($N138&lt;&gt;"","فاتورة",INDEX(tblRec[النوع],$O138)),IF($M138="l",INDEX(tblBuckets[الفترة],2),IF($M138="v",TEXT(SUMIFS(tblInv[المتبقي],tblInv[كود العميل],StCust,tblInv[الفترة],INDEX(tblBuckets[الفترة],2)),"#,##0.00;-#,##0.00;-"),"")))</f>
        <v/>
      </c>
      <c r="C138" s="83">
        <f>IF($M138="m",IF($N138&lt;&gt;"",INDEX(tblInv[رقم الفاتورة],$N138),INDEX(tblRec[رقم السند],$O138)),IF($M138="l",INDEX(tblBuckets[الفترة],3),IF($M138="v",TEXT(SUMIFS(tblInv[المتبقي],tblInv[كود العميل],StCust,tblInv[الفترة],INDEX(tblBuckets[الفترة],3)),"#,##0.00;-#,##0.00;-"),"")))</f>
        <v/>
      </c>
      <c r="D138" s="118">
        <f>IF($M138="m",IF($N138&lt;&gt;"","فاتورة مبيعات — استحقاق "&amp;TEXT(INDEX(tblInv[تاريخ الاستحقاق],$N138),"dd/mm/yyyy")&amp;IF(INDEX(tblInv[ملاحظات],$N138)&amp;""&lt;&gt;""," — "&amp;INDEX(tblInv[ملاحظات],$N138),""),INDEX(tblRec[النوع],$O138)&amp;IF(INDEX(tblRec[طريقة الدفع],$O138)&amp;""&lt;&gt;""," ("&amp;INDEX(tblRec[طريقة الدفع],$O138)&amp;")","")&amp;IF(INDEX(tblRec[رقم الفاتورة],$O138)&amp;""&lt;&gt;""," — عن فاتورة "&amp;INDEX(tblRec[رقم الفاتورة],$O138)," — دفعة على الحساب")),IF($M138="l",INDEX(tblBuckets[الفترة],4),IF($M138="v",TEXT(SUMIFS(tblInv[المتبقي],tblInv[كود العميل],StCust,tblInv[الفترة],INDEX(tblBuckets[الفترة],4)),"#,##0.00;-#,##0.00;-"),IF($M138="t","ملخص أعمار رصيد العميل كما في "&amp;TEXT(AsOf,"dd/mm/yyyy"),IF($M138="p","يُرجى مطابقة الرصيد وإفادتنا خلال 15 يوماً، وإلا اعتُبر الرصيد صحيحاً.","")))))</f>
        <v/>
      </c>
      <c r="E138" s="119">
        <f>IF($M138="m",IF($N138&lt;&gt;"",INDEX(tblInv[الإجمالي],$N138),0),IF($M138="l",INDEX(tblBuckets[الفترة],5),IF($M138="v",TEXT(SUMIFS(tblInv[المتبقي],tblInv[كود العميل],StCust,tblInv[الفترة],INDEX(tblBuckets[الفترة],5)),"#,##0.00;-#,##0.00;-"),"")))</f>
        <v/>
      </c>
      <c r="F138" s="119">
        <f>IF($M138="m",IF($O138&lt;&gt;"",INDEX(tblRec[المبلغ],$O138),0),IF($M138="l",INDEX(tblBuckets[الفترة],6),IF($M138="v",TEXT(SUMIFS(tblInv[المتبقي],tblInv[كود العميل],StCust,tblInv[الفترة],INDEX(tblBuckets[الفترة],6)),"#,##0.00;-#,##0.00;-"),"")))</f>
        <v/>
      </c>
      <c r="G138" s="120">
        <f>IF($M138="m",N(G137)+E138-F138,IF($M138="l",INDEX(tblBuckets[الفترة],7),IF($M138="v",TEXT(SUMIFS(tblInv[المتبقي],tblInv[كود العميل],StCust,tblInv[الفترة],INDEX(tblBuckets[الفترة],7)),"#,##0.00;-#,##0.00;-"),"")))</f>
        <v/>
      </c>
      <c r="L138" t="n">
        <v>133</v>
      </c>
      <c r="M138">
        <f>IF(L138&lt;=StCount,"m",IF(L138=StCount+2,"t",IF(L138=StCount+3,"l",IF(L138=StCount+4,"v",IF(L138=StCount+6,"p","")))))</f>
        <v/>
      </c>
      <c r="N138">
        <f>IF(M138="m",IFERROR(MATCH(L138,tblInv[ترتيب الكشف],0),""),"")</f>
        <v/>
      </c>
      <c r="O138">
        <f>IF(AND(M138="m",N138=""),IFERROR(MATCH(L138,tblRec[ترتيب الكشف],0),""),"")</f>
        <v/>
      </c>
    </row>
    <row r="139">
      <c r="A139" s="117">
        <f>IF($M139="m",IF($N139&lt;&gt;"",INDEX(tblInv[تاريخ الفاتورة],$N139),INDEX(tblRec[التاريخ],$O139)),IF($M139="l",INDEX(tblBuckets[الفترة],1),IF($M139="v",TEXT(SUMIFS(tblInv[المتبقي],tblInv[كود العميل],StCust,tblInv[الفترة],INDEX(tblBuckets[الفترة],1)),"#,##0.00;-#,##0.00;-"),"")))</f>
        <v/>
      </c>
      <c r="B139" s="83">
        <f>IF($M139="m",IF($N139&lt;&gt;"","فاتورة",INDEX(tblRec[النوع],$O139)),IF($M139="l",INDEX(tblBuckets[الفترة],2),IF($M139="v",TEXT(SUMIFS(tblInv[المتبقي],tblInv[كود العميل],StCust,tblInv[الفترة],INDEX(tblBuckets[الفترة],2)),"#,##0.00;-#,##0.00;-"),"")))</f>
        <v/>
      </c>
      <c r="C139" s="83">
        <f>IF($M139="m",IF($N139&lt;&gt;"",INDEX(tblInv[رقم الفاتورة],$N139),INDEX(tblRec[رقم السند],$O139)),IF($M139="l",INDEX(tblBuckets[الفترة],3),IF($M139="v",TEXT(SUMIFS(tblInv[المتبقي],tblInv[كود العميل],StCust,tblInv[الفترة],INDEX(tblBuckets[الفترة],3)),"#,##0.00;-#,##0.00;-"),"")))</f>
        <v/>
      </c>
      <c r="D139" s="118">
        <f>IF($M139="m",IF($N139&lt;&gt;"","فاتورة مبيعات — استحقاق "&amp;TEXT(INDEX(tblInv[تاريخ الاستحقاق],$N139),"dd/mm/yyyy")&amp;IF(INDEX(tblInv[ملاحظات],$N139)&amp;""&lt;&gt;""," — "&amp;INDEX(tblInv[ملاحظات],$N139),""),INDEX(tblRec[النوع],$O139)&amp;IF(INDEX(tblRec[طريقة الدفع],$O139)&amp;""&lt;&gt;""," ("&amp;INDEX(tblRec[طريقة الدفع],$O139)&amp;")","")&amp;IF(INDEX(tblRec[رقم الفاتورة],$O139)&amp;""&lt;&gt;""," — عن فاتورة "&amp;INDEX(tblRec[رقم الفاتورة],$O139)," — دفعة على الحساب")),IF($M139="l",INDEX(tblBuckets[الفترة],4),IF($M139="v",TEXT(SUMIFS(tblInv[المتبقي],tblInv[كود العميل],StCust,tblInv[الفترة],INDEX(tblBuckets[الفترة],4)),"#,##0.00;-#,##0.00;-"),IF($M139="t","ملخص أعمار رصيد العميل كما في "&amp;TEXT(AsOf,"dd/mm/yyyy"),IF($M139="p","يُرجى مطابقة الرصيد وإفادتنا خلال 15 يوماً، وإلا اعتُبر الرصيد صحيحاً.","")))))</f>
        <v/>
      </c>
      <c r="E139" s="119">
        <f>IF($M139="m",IF($N139&lt;&gt;"",INDEX(tblInv[الإجمالي],$N139),0),IF($M139="l",INDEX(tblBuckets[الفترة],5),IF($M139="v",TEXT(SUMIFS(tblInv[المتبقي],tblInv[كود العميل],StCust,tblInv[الفترة],INDEX(tblBuckets[الفترة],5)),"#,##0.00;-#,##0.00;-"),"")))</f>
        <v/>
      </c>
      <c r="F139" s="119">
        <f>IF($M139="m",IF($O139&lt;&gt;"",INDEX(tblRec[المبلغ],$O139),0),IF($M139="l",INDEX(tblBuckets[الفترة],6),IF($M139="v",TEXT(SUMIFS(tblInv[المتبقي],tblInv[كود العميل],StCust,tblInv[الفترة],INDEX(tblBuckets[الفترة],6)),"#,##0.00;-#,##0.00;-"),"")))</f>
        <v/>
      </c>
      <c r="G139" s="120">
        <f>IF($M139="m",N(G138)+E139-F139,IF($M139="l",INDEX(tblBuckets[الفترة],7),IF($M139="v",TEXT(SUMIFS(tblInv[المتبقي],tblInv[كود العميل],StCust,tblInv[الفترة],INDEX(tblBuckets[الفترة],7)),"#,##0.00;-#,##0.00;-"),"")))</f>
        <v/>
      </c>
      <c r="L139" t="n">
        <v>134</v>
      </c>
      <c r="M139">
        <f>IF(L139&lt;=StCount,"m",IF(L139=StCount+2,"t",IF(L139=StCount+3,"l",IF(L139=StCount+4,"v",IF(L139=StCount+6,"p","")))))</f>
        <v/>
      </c>
      <c r="N139">
        <f>IF(M139="m",IFERROR(MATCH(L139,tblInv[ترتيب الكشف],0),""),"")</f>
        <v/>
      </c>
      <c r="O139">
        <f>IF(AND(M139="m",N139=""),IFERROR(MATCH(L139,tblRec[ترتيب الكشف],0),""),"")</f>
        <v/>
      </c>
    </row>
    <row r="140">
      <c r="A140" s="117">
        <f>IF($M140="m",IF($N140&lt;&gt;"",INDEX(tblInv[تاريخ الفاتورة],$N140),INDEX(tblRec[التاريخ],$O140)),IF($M140="l",INDEX(tblBuckets[الفترة],1),IF($M140="v",TEXT(SUMIFS(tblInv[المتبقي],tblInv[كود العميل],StCust,tblInv[الفترة],INDEX(tblBuckets[الفترة],1)),"#,##0.00;-#,##0.00;-"),"")))</f>
        <v/>
      </c>
      <c r="B140" s="83">
        <f>IF($M140="m",IF($N140&lt;&gt;"","فاتورة",INDEX(tblRec[النوع],$O140)),IF($M140="l",INDEX(tblBuckets[الفترة],2),IF($M140="v",TEXT(SUMIFS(tblInv[المتبقي],tblInv[كود العميل],StCust,tblInv[الفترة],INDEX(tblBuckets[الفترة],2)),"#,##0.00;-#,##0.00;-"),"")))</f>
        <v/>
      </c>
      <c r="C140" s="83">
        <f>IF($M140="m",IF($N140&lt;&gt;"",INDEX(tblInv[رقم الفاتورة],$N140),INDEX(tblRec[رقم السند],$O140)),IF($M140="l",INDEX(tblBuckets[الفترة],3),IF($M140="v",TEXT(SUMIFS(tblInv[المتبقي],tblInv[كود العميل],StCust,tblInv[الفترة],INDEX(tblBuckets[الفترة],3)),"#,##0.00;-#,##0.00;-"),"")))</f>
        <v/>
      </c>
      <c r="D140" s="118">
        <f>IF($M140="m",IF($N140&lt;&gt;"","فاتورة مبيعات — استحقاق "&amp;TEXT(INDEX(tblInv[تاريخ الاستحقاق],$N140),"dd/mm/yyyy")&amp;IF(INDEX(tblInv[ملاحظات],$N140)&amp;""&lt;&gt;""," — "&amp;INDEX(tblInv[ملاحظات],$N140),""),INDEX(tblRec[النوع],$O140)&amp;IF(INDEX(tblRec[طريقة الدفع],$O140)&amp;""&lt;&gt;""," ("&amp;INDEX(tblRec[طريقة الدفع],$O140)&amp;")","")&amp;IF(INDEX(tblRec[رقم الفاتورة],$O140)&amp;""&lt;&gt;""," — عن فاتورة "&amp;INDEX(tblRec[رقم الفاتورة],$O140)," — دفعة على الحساب")),IF($M140="l",INDEX(tblBuckets[الفترة],4),IF($M140="v",TEXT(SUMIFS(tblInv[المتبقي],tblInv[كود العميل],StCust,tblInv[الفترة],INDEX(tblBuckets[الفترة],4)),"#,##0.00;-#,##0.00;-"),IF($M140="t","ملخص أعمار رصيد العميل كما في "&amp;TEXT(AsOf,"dd/mm/yyyy"),IF($M140="p","يُرجى مطابقة الرصيد وإفادتنا خلال 15 يوماً، وإلا اعتُبر الرصيد صحيحاً.","")))))</f>
        <v/>
      </c>
      <c r="E140" s="119">
        <f>IF($M140="m",IF($N140&lt;&gt;"",INDEX(tblInv[الإجمالي],$N140),0),IF($M140="l",INDEX(tblBuckets[الفترة],5),IF($M140="v",TEXT(SUMIFS(tblInv[المتبقي],tblInv[كود العميل],StCust,tblInv[الفترة],INDEX(tblBuckets[الفترة],5)),"#,##0.00;-#,##0.00;-"),"")))</f>
        <v/>
      </c>
      <c r="F140" s="119">
        <f>IF($M140="m",IF($O140&lt;&gt;"",INDEX(tblRec[المبلغ],$O140),0),IF($M140="l",INDEX(tblBuckets[الفترة],6),IF($M140="v",TEXT(SUMIFS(tblInv[المتبقي],tblInv[كود العميل],StCust,tblInv[الفترة],INDEX(tblBuckets[الفترة],6)),"#,##0.00;-#,##0.00;-"),"")))</f>
        <v/>
      </c>
      <c r="G140" s="120">
        <f>IF($M140="m",N(G139)+E140-F140,IF($M140="l",INDEX(tblBuckets[الفترة],7),IF($M140="v",TEXT(SUMIFS(tblInv[المتبقي],tblInv[كود العميل],StCust,tblInv[الفترة],INDEX(tblBuckets[الفترة],7)),"#,##0.00;-#,##0.00;-"),"")))</f>
        <v/>
      </c>
      <c r="L140" t="n">
        <v>135</v>
      </c>
      <c r="M140">
        <f>IF(L140&lt;=StCount,"m",IF(L140=StCount+2,"t",IF(L140=StCount+3,"l",IF(L140=StCount+4,"v",IF(L140=StCount+6,"p","")))))</f>
        <v/>
      </c>
      <c r="N140">
        <f>IF(M140="m",IFERROR(MATCH(L140,tblInv[ترتيب الكشف],0),""),"")</f>
        <v/>
      </c>
      <c r="O140">
        <f>IF(AND(M140="m",N140=""),IFERROR(MATCH(L140,tblRec[ترتيب الكشف],0),""),"")</f>
        <v/>
      </c>
    </row>
    <row r="141">
      <c r="A141" s="117">
        <f>IF($M141="m",IF($N141&lt;&gt;"",INDEX(tblInv[تاريخ الفاتورة],$N141),INDEX(tblRec[التاريخ],$O141)),IF($M141="l",INDEX(tblBuckets[الفترة],1),IF($M141="v",TEXT(SUMIFS(tblInv[المتبقي],tblInv[كود العميل],StCust,tblInv[الفترة],INDEX(tblBuckets[الفترة],1)),"#,##0.00;-#,##0.00;-"),"")))</f>
        <v/>
      </c>
      <c r="B141" s="83">
        <f>IF($M141="m",IF($N141&lt;&gt;"","فاتورة",INDEX(tblRec[النوع],$O141)),IF($M141="l",INDEX(tblBuckets[الفترة],2),IF($M141="v",TEXT(SUMIFS(tblInv[المتبقي],tblInv[كود العميل],StCust,tblInv[الفترة],INDEX(tblBuckets[الفترة],2)),"#,##0.00;-#,##0.00;-"),"")))</f>
        <v/>
      </c>
      <c r="C141" s="83">
        <f>IF($M141="m",IF($N141&lt;&gt;"",INDEX(tblInv[رقم الفاتورة],$N141),INDEX(tblRec[رقم السند],$O141)),IF($M141="l",INDEX(tblBuckets[الفترة],3),IF($M141="v",TEXT(SUMIFS(tblInv[المتبقي],tblInv[كود العميل],StCust,tblInv[الفترة],INDEX(tblBuckets[الفترة],3)),"#,##0.00;-#,##0.00;-"),"")))</f>
        <v/>
      </c>
      <c r="D141" s="118">
        <f>IF($M141="m",IF($N141&lt;&gt;"","فاتورة مبيعات — استحقاق "&amp;TEXT(INDEX(tblInv[تاريخ الاستحقاق],$N141),"dd/mm/yyyy")&amp;IF(INDEX(tblInv[ملاحظات],$N141)&amp;""&lt;&gt;""," — "&amp;INDEX(tblInv[ملاحظات],$N141),""),INDEX(tblRec[النوع],$O141)&amp;IF(INDEX(tblRec[طريقة الدفع],$O141)&amp;""&lt;&gt;""," ("&amp;INDEX(tblRec[طريقة الدفع],$O141)&amp;")","")&amp;IF(INDEX(tblRec[رقم الفاتورة],$O141)&amp;""&lt;&gt;""," — عن فاتورة "&amp;INDEX(tblRec[رقم الفاتورة],$O141)," — دفعة على الحساب")),IF($M141="l",INDEX(tblBuckets[الفترة],4),IF($M141="v",TEXT(SUMIFS(tblInv[المتبقي],tblInv[كود العميل],StCust,tblInv[الفترة],INDEX(tblBuckets[الفترة],4)),"#,##0.00;-#,##0.00;-"),IF($M141="t","ملخص أعمار رصيد العميل كما في "&amp;TEXT(AsOf,"dd/mm/yyyy"),IF($M141="p","يُرجى مطابقة الرصيد وإفادتنا خلال 15 يوماً، وإلا اعتُبر الرصيد صحيحاً.","")))))</f>
        <v/>
      </c>
      <c r="E141" s="119">
        <f>IF($M141="m",IF($N141&lt;&gt;"",INDEX(tblInv[الإجمالي],$N141),0),IF($M141="l",INDEX(tblBuckets[الفترة],5),IF($M141="v",TEXT(SUMIFS(tblInv[المتبقي],tblInv[كود العميل],StCust,tblInv[الفترة],INDEX(tblBuckets[الفترة],5)),"#,##0.00;-#,##0.00;-"),"")))</f>
        <v/>
      </c>
      <c r="F141" s="119">
        <f>IF($M141="m",IF($O141&lt;&gt;"",INDEX(tblRec[المبلغ],$O141),0),IF($M141="l",INDEX(tblBuckets[الفترة],6),IF($M141="v",TEXT(SUMIFS(tblInv[المتبقي],tblInv[كود العميل],StCust,tblInv[الفترة],INDEX(tblBuckets[الفترة],6)),"#,##0.00;-#,##0.00;-"),"")))</f>
        <v/>
      </c>
      <c r="G141" s="120">
        <f>IF($M141="m",N(G140)+E141-F141,IF($M141="l",INDEX(tblBuckets[الفترة],7),IF($M141="v",TEXT(SUMIFS(tblInv[المتبقي],tblInv[كود العميل],StCust,tblInv[الفترة],INDEX(tblBuckets[الفترة],7)),"#,##0.00;-#,##0.00;-"),"")))</f>
        <v/>
      </c>
      <c r="L141" t="n">
        <v>136</v>
      </c>
      <c r="M141">
        <f>IF(L141&lt;=StCount,"m",IF(L141=StCount+2,"t",IF(L141=StCount+3,"l",IF(L141=StCount+4,"v",IF(L141=StCount+6,"p","")))))</f>
        <v/>
      </c>
      <c r="N141">
        <f>IF(M141="m",IFERROR(MATCH(L141,tblInv[ترتيب الكشف],0),""),"")</f>
        <v/>
      </c>
      <c r="O141">
        <f>IF(AND(M141="m",N141=""),IFERROR(MATCH(L141,tblRec[ترتيب الكشف],0),""),"")</f>
        <v/>
      </c>
    </row>
    <row r="142">
      <c r="A142" s="117">
        <f>IF($M142="m",IF($N142&lt;&gt;"",INDEX(tblInv[تاريخ الفاتورة],$N142),INDEX(tblRec[التاريخ],$O142)),IF($M142="l",INDEX(tblBuckets[الفترة],1),IF($M142="v",TEXT(SUMIFS(tblInv[المتبقي],tblInv[كود العميل],StCust,tblInv[الفترة],INDEX(tblBuckets[الفترة],1)),"#,##0.00;-#,##0.00;-"),"")))</f>
        <v/>
      </c>
      <c r="B142" s="83">
        <f>IF($M142="m",IF($N142&lt;&gt;"","فاتورة",INDEX(tblRec[النوع],$O142)),IF($M142="l",INDEX(tblBuckets[الفترة],2),IF($M142="v",TEXT(SUMIFS(tblInv[المتبقي],tblInv[كود العميل],StCust,tblInv[الفترة],INDEX(tblBuckets[الفترة],2)),"#,##0.00;-#,##0.00;-"),"")))</f>
        <v/>
      </c>
      <c r="C142" s="83">
        <f>IF($M142="m",IF($N142&lt;&gt;"",INDEX(tblInv[رقم الفاتورة],$N142),INDEX(tblRec[رقم السند],$O142)),IF($M142="l",INDEX(tblBuckets[الفترة],3),IF($M142="v",TEXT(SUMIFS(tblInv[المتبقي],tblInv[كود العميل],StCust,tblInv[الفترة],INDEX(tblBuckets[الفترة],3)),"#,##0.00;-#,##0.00;-"),"")))</f>
        <v/>
      </c>
      <c r="D142" s="118">
        <f>IF($M142="m",IF($N142&lt;&gt;"","فاتورة مبيعات — استحقاق "&amp;TEXT(INDEX(tblInv[تاريخ الاستحقاق],$N142),"dd/mm/yyyy")&amp;IF(INDEX(tblInv[ملاحظات],$N142)&amp;""&lt;&gt;""," — "&amp;INDEX(tblInv[ملاحظات],$N142),""),INDEX(tblRec[النوع],$O142)&amp;IF(INDEX(tblRec[طريقة الدفع],$O142)&amp;""&lt;&gt;""," ("&amp;INDEX(tblRec[طريقة الدفع],$O142)&amp;")","")&amp;IF(INDEX(tblRec[رقم الفاتورة],$O142)&amp;""&lt;&gt;""," — عن فاتورة "&amp;INDEX(tblRec[رقم الفاتورة],$O142)," — دفعة على الحساب")),IF($M142="l",INDEX(tblBuckets[الفترة],4),IF($M142="v",TEXT(SUMIFS(tblInv[المتبقي],tblInv[كود العميل],StCust,tblInv[الفترة],INDEX(tblBuckets[الفترة],4)),"#,##0.00;-#,##0.00;-"),IF($M142="t","ملخص أعمار رصيد العميل كما في "&amp;TEXT(AsOf,"dd/mm/yyyy"),IF($M142="p","يُرجى مطابقة الرصيد وإفادتنا خلال 15 يوماً، وإلا اعتُبر الرصيد صحيحاً.","")))))</f>
        <v/>
      </c>
      <c r="E142" s="119">
        <f>IF($M142="m",IF($N142&lt;&gt;"",INDEX(tblInv[الإجمالي],$N142),0),IF($M142="l",INDEX(tblBuckets[الفترة],5),IF($M142="v",TEXT(SUMIFS(tblInv[المتبقي],tblInv[كود العميل],StCust,tblInv[الفترة],INDEX(tblBuckets[الفترة],5)),"#,##0.00;-#,##0.00;-"),"")))</f>
        <v/>
      </c>
      <c r="F142" s="119">
        <f>IF($M142="m",IF($O142&lt;&gt;"",INDEX(tblRec[المبلغ],$O142),0),IF($M142="l",INDEX(tblBuckets[الفترة],6),IF($M142="v",TEXT(SUMIFS(tblInv[المتبقي],tblInv[كود العميل],StCust,tblInv[الفترة],INDEX(tblBuckets[الفترة],6)),"#,##0.00;-#,##0.00;-"),"")))</f>
        <v/>
      </c>
      <c r="G142" s="120">
        <f>IF($M142="m",N(G141)+E142-F142,IF($M142="l",INDEX(tblBuckets[الفترة],7),IF($M142="v",TEXT(SUMIFS(tblInv[المتبقي],tblInv[كود العميل],StCust,tblInv[الفترة],INDEX(tblBuckets[الفترة],7)),"#,##0.00;-#,##0.00;-"),"")))</f>
        <v/>
      </c>
      <c r="L142" t="n">
        <v>137</v>
      </c>
      <c r="M142">
        <f>IF(L142&lt;=StCount,"m",IF(L142=StCount+2,"t",IF(L142=StCount+3,"l",IF(L142=StCount+4,"v",IF(L142=StCount+6,"p","")))))</f>
        <v/>
      </c>
      <c r="N142">
        <f>IF(M142="m",IFERROR(MATCH(L142,tblInv[ترتيب الكشف],0),""),"")</f>
        <v/>
      </c>
      <c r="O142">
        <f>IF(AND(M142="m",N142=""),IFERROR(MATCH(L142,tblRec[ترتيب الكشف],0),""),"")</f>
        <v/>
      </c>
    </row>
    <row r="143">
      <c r="A143" s="117">
        <f>IF($M143="m",IF($N143&lt;&gt;"",INDEX(tblInv[تاريخ الفاتورة],$N143),INDEX(tblRec[التاريخ],$O143)),IF($M143="l",INDEX(tblBuckets[الفترة],1),IF($M143="v",TEXT(SUMIFS(tblInv[المتبقي],tblInv[كود العميل],StCust,tblInv[الفترة],INDEX(tblBuckets[الفترة],1)),"#,##0.00;-#,##0.00;-"),"")))</f>
        <v/>
      </c>
      <c r="B143" s="83">
        <f>IF($M143="m",IF($N143&lt;&gt;"","فاتورة",INDEX(tblRec[النوع],$O143)),IF($M143="l",INDEX(tblBuckets[الفترة],2),IF($M143="v",TEXT(SUMIFS(tblInv[المتبقي],tblInv[كود العميل],StCust,tblInv[الفترة],INDEX(tblBuckets[الفترة],2)),"#,##0.00;-#,##0.00;-"),"")))</f>
        <v/>
      </c>
      <c r="C143" s="83">
        <f>IF($M143="m",IF($N143&lt;&gt;"",INDEX(tblInv[رقم الفاتورة],$N143),INDEX(tblRec[رقم السند],$O143)),IF($M143="l",INDEX(tblBuckets[الفترة],3),IF($M143="v",TEXT(SUMIFS(tblInv[المتبقي],tblInv[كود العميل],StCust,tblInv[الفترة],INDEX(tblBuckets[الفترة],3)),"#,##0.00;-#,##0.00;-"),"")))</f>
        <v/>
      </c>
      <c r="D143" s="118">
        <f>IF($M143="m",IF($N143&lt;&gt;"","فاتورة مبيعات — استحقاق "&amp;TEXT(INDEX(tblInv[تاريخ الاستحقاق],$N143),"dd/mm/yyyy")&amp;IF(INDEX(tblInv[ملاحظات],$N143)&amp;""&lt;&gt;""," — "&amp;INDEX(tblInv[ملاحظات],$N143),""),INDEX(tblRec[النوع],$O143)&amp;IF(INDEX(tblRec[طريقة الدفع],$O143)&amp;""&lt;&gt;""," ("&amp;INDEX(tblRec[طريقة الدفع],$O143)&amp;")","")&amp;IF(INDEX(tblRec[رقم الفاتورة],$O143)&amp;""&lt;&gt;""," — عن فاتورة "&amp;INDEX(tblRec[رقم الفاتورة],$O143)," — دفعة على الحساب")),IF($M143="l",INDEX(tblBuckets[الفترة],4),IF($M143="v",TEXT(SUMIFS(tblInv[المتبقي],tblInv[كود العميل],StCust,tblInv[الفترة],INDEX(tblBuckets[الفترة],4)),"#,##0.00;-#,##0.00;-"),IF($M143="t","ملخص أعمار رصيد العميل كما في "&amp;TEXT(AsOf,"dd/mm/yyyy"),IF($M143="p","يُرجى مطابقة الرصيد وإفادتنا خلال 15 يوماً، وإلا اعتُبر الرصيد صحيحاً.","")))))</f>
        <v/>
      </c>
      <c r="E143" s="119">
        <f>IF($M143="m",IF($N143&lt;&gt;"",INDEX(tblInv[الإجمالي],$N143),0),IF($M143="l",INDEX(tblBuckets[الفترة],5),IF($M143="v",TEXT(SUMIFS(tblInv[المتبقي],tblInv[كود العميل],StCust,tblInv[الفترة],INDEX(tblBuckets[الفترة],5)),"#,##0.00;-#,##0.00;-"),"")))</f>
        <v/>
      </c>
      <c r="F143" s="119">
        <f>IF($M143="m",IF($O143&lt;&gt;"",INDEX(tblRec[المبلغ],$O143),0),IF($M143="l",INDEX(tblBuckets[الفترة],6),IF($M143="v",TEXT(SUMIFS(tblInv[المتبقي],tblInv[كود العميل],StCust,tblInv[الفترة],INDEX(tblBuckets[الفترة],6)),"#,##0.00;-#,##0.00;-"),"")))</f>
        <v/>
      </c>
      <c r="G143" s="120">
        <f>IF($M143="m",N(G142)+E143-F143,IF($M143="l",INDEX(tblBuckets[الفترة],7),IF($M143="v",TEXT(SUMIFS(tblInv[المتبقي],tblInv[كود العميل],StCust,tblInv[الفترة],INDEX(tblBuckets[الفترة],7)),"#,##0.00;-#,##0.00;-"),"")))</f>
        <v/>
      </c>
      <c r="L143" t="n">
        <v>138</v>
      </c>
      <c r="M143">
        <f>IF(L143&lt;=StCount,"m",IF(L143=StCount+2,"t",IF(L143=StCount+3,"l",IF(L143=StCount+4,"v",IF(L143=StCount+6,"p","")))))</f>
        <v/>
      </c>
      <c r="N143">
        <f>IF(M143="m",IFERROR(MATCH(L143,tblInv[ترتيب الكشف],0),""),"")</f>
        <v/>
      </c>
      <c r="O143">
        <f>IF(AND(M143="m",N143=""),IFERROR(MATCH(L143,tblRec[ترتيب الكشف],0),""),"")</f>
        <v/>
      </c>
    </row>
    <row r="144">
      <c r="A144" s="117">
        <f>IF($M144="m",IF($N144&lt;&gt;"",INDEX(tblInv[تاريخ الفاتورة],$N144),INDEX(tblRec[التاريخ],$O144)),IF($M144="l",INDEX(tblBuckets[الفترة],1),IF($M144="v",TEXT(SUMIFS(tblInv[المتبقي],tblInv[كود العميل],StCust,tblInv[الفترة],INDEX(tblBuckets[الفترة],1)),"#,##0.00;-#,##0.00;-"),"")))</f>
        <v/>
      </c>
      <c r="B144" s="83">
        <f>IF($M144="m",IF($N144&lt;&gt;"","فاتورة",INDEX(tblRec[النوع],$O144)),IF($M144="l",INDEX(tblBuckets[الفترة],2),IF($M144="v",TEXT(SUMIFS(tblInv[المتبقي],tblInv[كود العميل],StCust,tblInv[الفترة],INDEX(tblBuckets[الفترة],2)),"#,##0.00;-#,##0.00;-"),"")))</f>
        <v/>
      </c>
      <c r="C144" s="83">
        <f>IF($M144="m",IF($N144&lt;&gt;"",INDEX(tblInv[رقم الفاتورة],$N144),INDEX(tblRec[رقم السند],$O144)),IF($M144="l",INDEX(tblBuckets[الفترة],3),IF($M144="v",TEXT(SUMIFS(tblInv[المتبقي],tblInv[كود العميل],StCust,tblInv[الفترة],INDEX(tblBuckets[الفترة],3)),"#,##0.00;-#,##0.00;-"),"")))</f>
        <v/>
      </c>
      <c r="D144" s="118">
        <f>IF($M144="m",IF($N144&lt;&gt;"","فاتورة مبيعات — استحقاق "&amp;TEXT(INDEX(tblInv[تاريخ الاستحقاق],$N144),"dd/mm/yyyy")&amp;IF(INDEX(tblInv[ملاحظات],$N144)&amp;""&lt;&gt;""," — "&amp;INDEX(tblInv[ملاحظات],$N144),""),INDEX(tblRec[النوع],$O144)&amp;IF(INDEX(tblRec[طريقة الدفع],$O144)&amp;""&lt;&gt;""," ("&amp;INDEX(tblRec[طريقة الدفع],$O144)&amp;")","")&amp;IF(INDEX(tblRec[رقم الفاتورة],$O144)&amp;""&lt;&gt;""," — عن فاتورة "&amp;INDEX(tblRec[رقم الفاتورة],$O144)," — دفعة على الحساب")),IF($M144="l",INDEX(tblBuckets[الفترة],4),IF($M144="v",TEXT(SUMIFS(tblInv[المتبقي],tblInv[كود العميل],StCust,tblInv[الفترة],INDEX(tblBuckets[الفترة],4)),"#,##0.00;-#,##0.00;-"),IF($M144="t","ملخص أعمار رصيد العميل كما في "&amp;TEXT(AsOf,"dd/mm/yyyy"),IF($M144="p","يُرجى مطابقة الرصيد وإفادتنا خلال 15 يوماً، وإلا اعتُبر الرصيد صحيحاً.","")))))</f>
        <v/>
      </c>
      <c r="E144" s="119">
        <f>IF($M144="m",IF($N144&lt;&gt;"",INDEX(tblInv[الإجمالي],$N144),0),IF($M144="l",INDEX(tblBuckets[الفترة],5),IF($M144="v",TEXT(SUMIFS(tblInv[المتبقي],tblInv[كود العميل],StCust,tblInv[الفترة],INDEX(tblBuckets[الفترة],5)),"#,##0.00;-#,##0.00;-"),"")))</f>
        <v/>
      </c>
      <c r="F144" s="119">
        <f>IF($M144="m",IF($O144&lt;&gt;"",INDEX(tblRec[المبلغ],$O144),0),IF($M144="l",INDEX(tblBuckets[الفترة],6),IF($M144="v",TEXT(SUMIFS(tblInv[المتبقي],tblInv[كود العميل],StCust,tblInv[الفترة],INDEX(tblBuckets[الفترة],6)),"#,##0.00;-#,##0.00;-"),"")))</f>
        <v/>
      </c>
      <c r="G144" s="120">
        <f>IF($M144="m",N(G143)+E144-F144,IF($M144="l",INDEX(tblBuckets[الفترة],7),IF($M144="v",TEXT(SUMIFS(tblInv[المتبقي],tblInv[كود العميل],StCust,tblInv[الفترة],INDEX(tblBuckets[الفترة],7)),"#,##0.00;-#,##0.00;-"),"")))</f>
        <v/>
      </c>
      <c r="L144" t="n">
        <v>139</v>
      </c>
      <c r="M144">
        <f>IF(L144&lt;=StCount,"m",IF(L144=StCount+2,"t",IF(L144=StCount+3,"l",IF(L144=StCount+4,"v",IF(L144=StCount+6,"p","")))))</f>
        <v/>
      </c>
      <c r="N144">
        <f>IF(M144="m",IFERROR(MATCH(L144,tblInv[ترتيب الكشف],0),""),"")</f>
        <v/>
      </c>
      <c r="O144">
        <f>IF(AND(M144="m",N144=""),IFERROR(MATCH(L144,tblRec[ترتيب الكشف],0),""),"")</f>
        <v/>
      </c>
    </row>
    <row r="145">
      <c r="A145" s="117">
        <f>IF($M145="m",IF($N145&lt;&gt;"",INDEX(tblInv[تاريخ الفاتورة],$N145),INDEX(tblRec[التاريخ],$O145)),IF($M145="l",INDEX(tblBuckets[الفترة],1),IF($M145="v",TEXT(SUMIFS(tblInv[المتبقي],tblInv[كود العميل],StCust,tblInv[الفترة],INDEX(tblBuckets[الفترة],1)),"#,##0.00;-#,##0.00;-"),"")))</f>
        <v/>
      </c>
      <c r="B145" s="83">
        <f>IF($M145="m",IF($N145&lt;&gt;"","فاتورة",INDEX(tblRec[النوع],$O145)),IF($M145="l",INDEX(tblBuckets[الفترة],2),IF($M145="v",TEXT(SUMIFS(tblInv[المتبقي],tblInv[كود العميل],StCust,tblInv[الفترة],INDEX(tblBuckets[الفترة],2)),"#,##0.00;-#,##0.00;-"),"")))</f>
        <v/>
      </c>
      <c r="C145" s="83">
        <f>IF($M145="m",IF($N145&lt;&gt;"",INDEX(tblInv[رقم الفاتورة],$N145),INDEX(tblRec[رقم السند],$O145)),IF($M145="l",INDEX(tblBuckets[الفترة],3),IF($M145="v",TEXT(SUMIFS(tblInv[المتبقي],tblInv[كود العميل],StCust,tblInv[الفترة],INDEX(tblBuckets[الفترة],3)),"#,##0.00;-#,##0.00;-"),"")))</f>
        <v/>
      </c>
      <c r="D145" s="118">
        <f>IF($M145="m",IF($N145&lt;&gt;"","فاتورة مبيعات — استحقاق "&amp;TEXT(INDEX(tblInv[تاريخ الاستحقاق],$N145),"dd/mm/yyyy")&amp;IF(INDEX(tblInv[ملاحظات],$N145)&amp;""&lt;&gt;""," — "&amp;INDEX(tblInv[ملاحظات],$N145),""),INDEX(tblRec[النوع],$O145)&amp;IF(INDEX(tblRec[طريقة الدفع],$O145)&amp;""&lt;&gt;""," ("&amp;INDEX(tblRec[طريقة الدفع],$O145)&amp;")","")&amp;IF(INDEX(tblRec[رقم الفاتورة],$O145)&amp;""&lt;&gt;""," — عن فاتورة "&amp;INDEX(tblRec[رقم الفاتورة],$O145)," — دفعة على الحساب")),IF($M145="l",INDEX(tblBuckets[الفترة],4),IF($M145="v",TEXT(SUMIFS(tblInv[المتبقي],tblInv[كود العميل],StCust,tblInv[الفترة],INDEX(tblBuckets[الفترة],4)),"#,##0.00;-#,##0.00;-"),IF($M145="t","ملخص أعمار رصيد العميل كما في "&amp;TEXT(AsOf,"dd/mm/yyyy"),IF($M145="p","يُرجى مطابقة الرصيد وإفادتنا خلال 15 يوماً، وإلا اعتُبر الرصيد صحيحاً.","")))))</f>
        <v/>
      </c>
      <c r="E145" s="119">
        <f>IF($M145="m",IF($N145&lt;&gt;"",INDEX(tblInv[الإجمالي],$N145),0),IF($M145="l",INDEX(tblBuckets[الفترة],5),IF($M145="v",TEXT(SUMIFS(tblInv[المتبقي],tblInv[كود العميل],StCust,tblInv[الفترة],INDEX(tblBuckets[الفترة],5)),"#,##0.00;-#,##0.00;-"),"")))</f>
        <v/>
      </c>
      <c r="F145" s="119">
        <f>IF($M145="m",IF($O145&lt;&gt;"",INDEX(tblRec[المبلغ],$O145),0),IF($M145="l",INDEX(tblBuckets[الفترة],6),IF($M145="v",TEXT(SUMIFS(tblInv[المتبقي],tblInv[كود العميل],StCust,tblInv[الفترة],INDEX(tblBuckets[الفترة],6)),"#,##0.00;-#,##0.00;-"),"")))</f>
        <v/>
      </c>
      <c r="G145" s="120">
        <f>IF($M145="m",N(G144)+E145-F145,IF($M145="l",INDEX(tblBuckets[الفترة],7),IF($M145="v",TEXT(SUMIFS(tblInv[المتبقي],tblInv[كود العميل],StCust,tblInv[الفترة],INDEX(tblBuckets[الفترة],7)),"#,##0.00;-#,##0.00;-"),"")))</f>
        <v/>
      </c>
      <c r="L145" t="n">
        <v>140</v>
      </c>
      <c r="M145">
        <f>IF(L145&lt;=StCount,"m",IF(L145=StCount+2,"t",IF(L145=StCount+3,"l",IF(L145=StCount+4,"v",IF(L145=StCount+6,"p","")))))</f>
        <v/>
      </c>
      <c r="N145">
        <f>IF(M145="m",IFERROR(MATCH(L145,tblInv[ترتيب الكشف],0),""),"")</f>
        <v/>
      </c>
      <c r="O145">
        <f>IF(AND(M145="m",N145=""),IFERROR(MATCH(L145,tblRec[ترتيب الكشف],0),""),"")</f>
        <v/>
      </c>
    </row>
    <row r="146">
      <c r="A146" s="117">
        <f>IF($M146="m",IF($N146&lt;&gt;"",INDEX(tblInv[تاريخ الفاتورة],$N146),INDEX(tblRec[التاريخ],$O146)),IF($M146="l",INDEX(tblBuckets[الفترة],1),IF($M146="v",TEXT(SUMIFS(tblInv[المتبقي],tblInv[كود العميل],StCust,tblInv[الفترة],INDEX(tblBuckets[الفترة],1)),"#,##0.00;-#,##0.00;-"),"")))</f>
        <v/>
      </c>
      <c r="B146" s="83">
        <f>IF($M146="m",IF($N146&lt;&gt;"","فاتورة",INDEX(tblRec[النوع],$O146)),IF($M146="l",INDEX(tblBuckets[الفترة],2),IF($M146="v",TEXT(SUMIFS(tblInv[المتبقي],tblInv[كود العميل],StCust,tblInv[الفترة],INDEX(tblBuckets[الفترة],2)),"#,##0.00;-#,##0.00;-"),"")))</f>
        <v/>
      </c>
      <c r="C146" s="83">
        <f>IF($M146="m",IF($N146&lt;&gt;"",INDEX(tblInv[رقم الفاتورة],$N146),INDEX(tblRec[رقم السند],$O146)),IF($M146="l",INDEX(tblBuckets[الفترة],3),IF($M146="v",TEXT(SUMIFS(tblInv[المتبقي],tblInv[كود العميل],StCust,tblInv[الفترة],INDEX(tblBuckets[الفترة],3)),"#,##0.00;-#,##0.00;-"),"")))</f>
        <v/>
      </c>
      <c r="D146" s="118">
        <f>IF($M146="m",IF($N146&lt;&gt;"","فاتورة مبيعات — استحقاق "&amp;TEXT(INDEX(tblInv[تاريخ الاستحقاق],$N146),"dd/mm/yyyy")&amp;IF(INDEX(tblInv[ملاحظات],$N146)&amp;""&lt;&gt;""," — "&amp;INDEX(tblInv[ملاحظات],$N146),""),INDEX(tblRec[النوع],$O146)&amp;IF(INDEX(tblRec[طريقة الدفع],$O146)&amp;""&lt;&gt;""," ("&amp;INDEX(tblRec[طريقة الدفع],$O146)&amp;")","")&amp;IF(INDEX(tblRec[رقم الفاتورة],$O146)&amp;""&lt;&gt;""," — عن فاتورة "&amp;INDEX(tblRec[رقم الفاتورة],$O146)," — دفعة على الحساب")),IF($M146="l",INDEX(tblBuckets[الفترة],4),IF($M146="v",TEXT(SUMIFS(tblInv[المتبقي],tblInv[كود العميل],StCust,tblInv[الفترة],INDEX(tblBuckets[الفترة],4)),"#,##0.00;-#,##0.00;-"),IF($M146="t","ملخص أعمار رصيد العميل كما في "&amp;TEXT(AsOf,"dd/mm/yyyy"),IF($M146="p","يُرجى مطابقة الرصيد وإفادتنا خلال 15 يوماً، وإلا اعتُبر الرصيد صحيحاً.","")))))</f>
        <v/>
      </c>
      <c r="E146" s="119">
        <f>IF($M146="m",IF($N146&lt;&gt;"",INDEX(tblInv[الإجمالي],$N146),0),IF($M146="l",INDEX(tblBuckets[الفترة],5),IF($M146="v",TEXT(SUMIFS(tblInv[المتبقي],tblInv[كود العميل],StCust,tblInv[الفترة],INDEX(tblBuckets[الفترة],5)),"#,##0.00;-#,##0.00;-"),"")))</f>
        <v/>
      </c>
      <c r="F146" s="119">
        <f>IF($M146="m",IF($O146&lt;&gt;"",INDEX(tblRec[المبلغ],$O146),0),IF($M146="l",INDEX(tblBuckets[الفترة],6),IF($M146="v",TEXT(SUMIFS(tblInv[المتبقي],tblInv[كود العميل],StCust,tblInv[الفترة],INDEX(tblBuckets[الفترة],6)),"#,##0.00;-#,##0.00;-"),"")))</f>
        <v/>
      </c>
      <c r="G146" s="120">
        <f>IF($M146="m",N(G145)+E146-F146,IF($M146="l",INDEX(tblBuckets[الفترة],7),IF($M146="v",TEXT(SUMIFS(tblInv[المتبقي],tblInv[كود العميل],StCust,tblInv[الفترة],INDEX(tblBuckets[الفترة],7)),"#,##0.00;-#,##0.00;-"),"")))</f>
        <v/>
      </c>
      <c r="L146" t="n">
        <v>141</v>
      </c>
      <c r="M146">
        <f>IF(L146&lt;=StCount,"m",IF(L146=StCount+2,"t",IF(L146=StCount+3,"l",IF(L146=StCount+4,"v",IF(L146=StCount+6,"p","")))))</f>
        <v/>
      </c>
      <c r="N146">
        <f>IF(M146="m",IFERROR(MATCH(L146,tblInv[ترتيب الكشف],0),""),"")</f>
        <v/>
      </c>
      <c r="O146">
        <f>IF(AND(M146="m",N146=""),IFERROR(MATCH(L146,tblRec[ترتيب الكشف],0),""),"")</f>
        <v/>
      </c>
    </row>
    <row r="147">
      <c r="A147" s="117">
        <f>IF($M147="m",IF($N147&lt;&gt;"",INDEX(tblInv[تاريخ الفاتورة],$N147),INDEX(tblRec[التاريخ],$O147)),IF($M147="l",INDEX(tblBuckets[الفترة],1),IF($M147="v",TEXT(SUMIFS(tblInv[المتبقي],tblInv[كود العميل],StCust,tblInv[الفترة],INDEX(tblBuckets[الفترة],1)),"#,##0.00;-#,##0.00;-"),"")))</f>
        <v/>
      </c>
      <c r="B147" s="83">
        <f>IF($M147="m",IF($N147&lt;&gt;"","فاتورة",INDEX(tblRec[النوع],$O147)),IF($M147="l",INDEX(tblBuckets[الفترة],2),IF($M147="v",TEXT(SUMIFS(tblInv[المتبقي],tblInv[كود العميل],StCust,tblInv[الفترة],INDEX(tblBuckets[الفترة],2)),"#,##0.00;-#,##0.00;-"),"")))</f>
        <v/>
      </c>
      <c r="C147" s="83">
        <f>IF($M147="m",IF($N147&lt;&gt;"",INDEX(tblInv[رقم الفاتورة],$N147),INDEX(tblRec[رقم السند],$O147)),IF($M147="l",INDEX(tblBuckets[الفترة],3),IF($M147="v",TEXT(SUMIFS(tblInv[المتبقي],tblInv[كود العميل],StCust,tblInv[الفترة],INDEX(tblBuckets[الفترة],3)),"#,##0.00;-#,##0.00;-"),"")))</f>
        <v/>
      </c>
      <c r="D147" s="118">
        <f>IF($M147="m",IF($N147&lt;&gt;"","فاتورة مبيعات — استحقاق "&amp;TEXT(INDEX(tblInv[تاريخ الاستحقاق],$N147),"dd/mm/yyyy")&amp;IF(INDEX(tblInv[ملاحظات],$N147)&amp;""&lt;&gt;""," — "&amp;INDEX(tblInv[ملاحظات],$N147),""),INDEX(tblRec[النوع],$O147)&amp;IF(INDEX(tblRec[طريقة الدفع],$O147)&amp;""&lt;&gt;""," ("&amp;INDEX(tblRec[طريقة الدفع],$O147)&amp;")","")&amp;IF(INDEX(tblRec[رقم الفاتورة],$O147)&amp;""&lt;&gt;""," — عن فاتورة "&amp;INDEX(tblRec[رقم الفاتورة],$O147)," — دفعة على الحساب")),IF($M147="l",INDEX(tblBuckets[الفترة],4),IF($M147="v",TEXT(SUMIFS(tblInv[المتبقي],tblInv[كود العميل],StCust,tblInv[الفترة],INDEX(tblBuckets[الفترة],4)),"#,##0.00;-#,##0.00;-"),IF($M147="t","ملخص أعمار رصيد العميل كما في "&amp;TEXT(AsOf,"dd/mm/yyyy"),IF($M147="p","يُرجى مطابقة الرصيد وإفادتنا خلال 15 يوماً، وإلا اعتُبر الرصيد صحيحاً.","")))))</f>
        <v/>
      </c>
      <c r="E147" s="119">
        <f>IF($M147="m",IF($N147&lt;&gt;"",INDEX(tblInv[الإجمالي],$N147),0),IF($M147="l",INDEX(tblBuckets[الفترة],5),IF($M147="v",TEXT(SUMIFS(tblInv[المتبقي],tblInv[كود العميل],StCust,tblInv[الفترة],INDEX(tblBuckets[الفترة],5)),"#,##0.00;-#,##0.00;-"),"")))</f>
        <v/>
      </c>
      <c r="F147" s="119">
        <f>IF($M147="m",IF($O147&lt;&gt;"",INDEX(tblRec[المبلغ],$O147),0),IF($M147="l",INDEX(tblBuckets[الفترة],6),IF($M147="v",TEXT(SUMIFS(tblInv[المتبقي],tblInv[كود العميل],StCust,tblInv[الفترة],INDEX(tblBuckets[الفترة],6)),"#,##0.00;-#,##0.00;-"),"")))</f>
        <v/>
      </c>
      <c r="G147" s="120">
        <f>IF($M147="m",N(G146)+E147-F147,IF($M147="l",INDEX(tblBuckets[الفترة],7),IF($M147="v",TEXT(SUMIFS(tblInv[المتبقي],tblInv[كود العميل],StCust,tblInv[الفترة],INDEX(tblBuckets[الفترة],7)),"#,##0.00;-#,##0.00;-"),"")))</f>
        <v/>
      </c>
      <c r="L147" t="n">
        <v>142</v>
      </c>
      <c r="M147">
        <f>IF(L147&lt;=StCount,"m",IF(L147=StCount+2,"t",IF(L147=StCount+3,"l",IF(L147=StCount+4,"v",IF(L147=StCount+6,"p","")))))</f>
        <v/>
      </c>
      <c r="N147">
        <f>IF(M147="m",IFERROR(MATCH(L147,tblInv[ترتيب الكشف],0),""),"")</f>
        <v/>
      </c>
      <c r="O147">
        <f>IF(AND(M147="m",N147=""),IFERROR(MATCH(L147,tblRec[ترتيب الكشف],0),""),"")</f>
        <v/>
      </c>
    </row>
    <row r="148">
      <c r="A148" s="117">
        <f>IF($M148="m",IF($N148&lt;&gt;"",INDEX(tblInv[تاريخ الفاتورة],$N148),INDEX(tblRec[التاريخ],$O148)),IF($M148="l",INDEX(tblBuckets[الفترة],1),IF($M148="v",TEXT(SUMIFS(tblInv[المتبقي],tblInv[كود العميل],StCust,tblInv[الفترة],INDEX(tblBuckets[الفترة],1)),"#,##0.00;-#,##0.00;-"),"")))</f>
        <v/>
      </c>
      <c r="B148" s="83">
        <f>IF($M148="m",IF($N148&lt;&gt;"","فاتورة",INDEX(tblRec[النوع],$O148)),IF($M148="l",INDEX(tblBuckets[الفترة],2),IF($M148="v",TEXT(SUMIFS(tblInv[المتبقي],tblInv[كود العميل],StCust,tblInv[الفترة],INDEX(tblBuckets[الفترة],2)),"#,##0.00;-#,##0.00;-"),"")))</f>
        <v/>
      </c>
      <c r="C148" s="83">
        <f>IF($M148="m",IF($N148&lt;&gt;"",INDEX(tblInv[رقم الفاتورة],$N148),INDEX(tblRec[رقم السند],$O148)),IF($M148="l",INDEX(tblBuckets[الفترة],3),IF($M148="v",TEXT(SUMIFS(tblInv[المتبقي],tblInv[كود العميل],StCust,tblInv[الفترة],INDEX(tblBuckets[الفترة],3)),"#,##0.00;-#,##0.00;-"),"")))</f>
        <v/>
      </c>
      <c r="D148" s="118">
        <f>IF($M148="m",IF($N148&lt;&gt;"","فاتورة مبيعات — استحقاق "&amp;TEXT(INDEX(tblInv[تاريخ الاستحقاق],$N148),"dd/mm/yyyy")&amp;IF(INDEX(tblInv[ملاحظات],$N148)&amp;""&lt;&gt;""," — "&amp;INDEX(tblInv[ملاحظات],$N148),""),INDEX(tblRec[النوع],$O148)&amp;IF(INDEX(tblRec[طريقة الدفع],$O148)&amp;""&lt;&gt;""," ("&amp;INDEX(tblRec[طريقة الدفع],$O148)&amp;")","")&amp;IF(INDEX(tblRec[رقم الفاتورة],$O148)&amp;""&lt;&gt;""," — عن فاتورة "&amp;INDEX(tblRec[رقم الفاتورة],$O148)," — دفعة على الحساب")),IF($M148="l",INDEX(tblBuckets[الفترة],4),IF($M148="v",TEXT(SUMIFS(tblInv[المتبقي],tblInv[كود العميل],StCust,tblInv[الفترة],INDEX(tblBuckets[الفترة],4)),"#,##0.00;-#,##0.00;-"),IF($M148="t","ملخص أعمار رصيد العميل كما في "&amp;TEXT(AsOf,"dd/mm/yyyy"),IF($M148="p","يُرجى مطابقة الرصيد وإفادتنا خلال 15 يوماً، وإلا اعتُبر الرصيد صحيحاً.","")))))</f>
        <v/>
      </c>
      <c r="E148" s="119">
        <f>IF($M148="m",IF($N148&lt;&gt;"",INDEX(tblInv[الإجمالي],$N148),0),IF($M148="l",INDEX(tblBuckets[الفترة],5),IF($M148="v",TEXT(SUMIFS(tblInv[المتبقي],tblInv[كود العميل],StCust,tblInv[الفترة],INDEX(tblBuckets[الفترة],5)),"#,##0.00;-#,##0.00;-"),"")))</f>
        <v/>
      </c>
      <c r="F148" s="119">
        <f>IF($M148="m",IF($O148&lt;&gt;"",INDEX(tblRec[المبلغ],$O148),0),IF($M148="l",INDEX(tblBuckets[الفترة],6),IF($M148="v",TEXT(SUMIFS(tblInv[المتبقي],tblInv[كود العميل],StCust,tblInv[الفترة],INDEX(tblBuckets[الفترة],6)),"#,##0.00;-#,##0.00;-"),"")))</f>
        <v/>
      </c>
      <c r="G148" s="120">
        <f>IF($M148="m",N(G147)+E148-F148,IF($M148="l",INDEX(tblBuckets[الفترة],7),IF($M148="v",TEXT(SUMIFS(tblInv[المتبقي],tblInv[كود العميل],StCust,tblInv[الفترة],INDEX(tblBuckets[الفترة],7)),"#,##0.00;-#,##0.00;-"),"")))</f>
        <v/>
      </c>
      <c r="L148" t="n">
        <v>143</v>
      </c>
      <c r="M148">
        <f>IF(L148&lt;=StCount,"m",IF(L148=StCount+2,"t",IF(L148=StCount+3,"l",IF(L148=StCount+4,"v",IF(L148=StCount+6,"p","")))))</f>
        <v/>
      </c>
      <c r="N148">
        <f>IF(M148="m",IFERROR(MATCH(L148,tblInv[ترتيب الكشف],0),""),"")</f>
        <v/>
      </c>
      <c r="O148">
        <f>IF(AND(M148="m",N148=""),IFERROR(MATCH(L148,tblRec[ترتيب الكشف],0),""),"")</f>
        <v/>
      </c>
    </row>
    <row r="149">
      <c r="A149" s="117">
        <f>IF($M149="m",IF($N149&lt;&gt;"",INDEX(tblInv[تاريخ الفاتورة],$N149),INDEX(tblRec[التاريخ],$O149)),IF($M149="l",INDEX(tblBuckets[الفترة],1),IF($M149="v",TEXT(SUMIFS(tblInv[المتبقي],tblInv[كود العميل],StCust,tblInv[الفترة],INDEX(tblBuckets[الفترة],1)),"#,##0.00;-#,##0.00;-"),"")))</f>
        <v/>
      </c>
      <c r="B149" s="83">
        <f>IF($M149="m",IF($N149&lt;&gt;"","فاتورة",INDEX(tblRec[النوع],$O149)),IF($M149="l",INDEX(tblBuckets[الفترة],2),IF($M149="v",TEXT(SUMIFS(tblInv[المتبقي],tblInv[كود العميل],StCust,tblInv[الفترة],INDEX(tblBuckets[الفترة],2)),"#,##0.00;-#,##0.00;-"),"")))</f>
        <v/>
      </c>
      <c r="C149" s="83">
        <f>IF($M149="m",IF($N149&lt;&gt;"",INDEX(tblInv[رقم الفاتورة],$N149),INDEX(tblRec[رقم السند],$O149)),IF($M149="l",INDEX(tblBuckets[الفترة],3),IF($M149="v",TEXT(SUMIFS(tblInv[المتبقي],tblInv[كود العميل],StCust,tblInv[الفترة],INDEX(tblBuckets[الفترة],3)),"#,##0.00;-#,##0.00;-"),"")))</f>
        <v/>
      </c>
      <c r="D149" s="118">
        <f>IF($M149="m",IF($N149&lt;&gt;"","فاتورة مبيعات — استحقاق "&amp;TEXT(INDEX(tblInv[تاريخ الاستحقاق],$N149),"dd/mm/yyyy")&amp;IF(INDEX(tblInv[ملاحظات],$N149)&amp;""&lt;&gt;""," — "&amp;INDEX(tblInv[ملاحظات],$N149),""),INDEX(tblRec[النوع],$O149)&amp;IF(INDEX(tblRec[طريقة الدفع],$O149)&amp;""&lt;&gt;""," ("&amp;INDEX(tblRec[طريقة الدفع],$O149)&amp;")","")&amp;IF(INDEX(tblRec[رقم الفاتورة],$O149)&amp;""&lt;&gt;""," — عن فاتورة "&amp;INDEX(tblRec[رقم الفاتورة],$O149)," — دفعة على الحساب")),IF($M149="l",INDEX(tblBuckets[الفترة],4),IF($M149="v",TEXT(SUMIFS(tblInv[المتبقي],tblInv[كود العميل],StCust,tblInv[الفترة],INDEX(tblBuckets[الفترة],4)),"#,##0.00;-#,##0.00;-"),IF($M149="t","ملخص أعمار رصيد العميل كما في "&amp;TEXT(AsOf,"dd/mm/yyyy"),IF($M149="p","يُرجى مطابقة الرصيد وإفادتنا خلال 15 يوماً، وإلا اعتُبر الرصيد صحيحاً.","")))))</f>
        <v/>
      </c>
      <c r="E149" s="119">
        <f>IF($M149="m",IF($N149&lt;&gt;"",INDEX(tblInv[الإجمالي],$N149),0),IF($M149="l",INDEX(tblBuckets[الفترة],5),IF($M149="v",TEXT(SUMIFS(tblInv[المتبقي],tblInv[كود العميل],StCust,tblInv[الفترة],INDEX(tblBuckets[الفترة],5)),"#,##0.00;-#,##0.00;-"),"")))</f>
        <v/>
      </c>
      <c r="F149" s="119">
        <f>IF($M149="m",IF($O149&lt;&gt;"",INDEX(tblRec[المبلغ],$O149),0),IF($M149="l",INDEX(tblBuckets[الفترة],6),IF($M149="v",TEXT(SUMIFS(tblInv[المتبقي],tblInv[كود العميل],StCust,tblInv[الفترة],INDEX(tblBuckets[الفترة],6)),"#,##0.00;-#,##0.00;-"),"")))</f>
        <v/>
      </c>
      <c r="G149" s="120">
        <f>IF($M149="m",N(G148)+E149-F149,IF($M149="l",INDEX(tblBuckets[الفترة],7),IF($M149="v",TEXT(SUMIFS(tblInv[المتبقي],tblInv[كود العميل],StCust,tblInv[الفترة],INDEX(tblBuckets[الفترة],7)),"#,##0.00;-#,##0.00;-"),"")))</f>
        <v/>
      </c>
      <c r="L149" t="n">
        <v>144</v>
      </c>
      <c r="M149">
        <f>IF(L149&lt;=StCount,"m",IF(L149=StCount+2,"t",IF(L149=StCount+3,"l",IF(L149=StCount+4,"v",IF(L149=StCount+6,"p","")))))</f>
        <v/>
      </c>
      <c r="N149">
        <f>IF(M149="m",IFERROR(MATCH(L149,tblInv[ترتيب الكشف],0),""),"")</f>
        <v/>
      </c>
      <c r="O149">
        <f>IF(AND(M149="m",N149=""),IFERROR(MATCH(L149,tblRec[ترتيب الكشف],0),""),"")</f>
        <v/>
      </c>
    </row>
    <row r="150">
      <c r="A150" s="117">
        <f>IF($M150="m",IF($N150&lt;&gt;"",INDEX(tblInv[تاريخ الفاتورة],$N150),INDEX(tblRec[التاريخ],$O150)),IF($M150="l",INDEX(tblBuckets[الفترة],1),IF($M150="v",TEXT(SUMIFS(tblInv[المتبقي],tblInv[كود العميل],StCust,tblInv[الفترة],INDEX(tblBuckets[الفترة],1)),"#,##0.00;-#,##0.00;-"),"")))</f>
        <v/>
      </c>
      <c r="B150" s="83">
        <f>IF($M150="m",IF($N150&lt;&gt;"","فاتورة",INDEX(tblRec[النوع],$O150)),IF($M150="l",INDEX(tblBuckets[الفترة],2),IF($M150="v",TEXT(SUMIFS(tblInv[المتبقي],tblInv[كود العميل],StCust,tblInv[الفترة],INDEX(tblBuckets[الفترة],2)),"#,##0.00;-#,##0.00;-"),"")))</f>
        <v/>
      </c>
      <c r="C150" s="83">
        <f>IF($M150="m",IF($N150&lt;&gt;"",INDEX(tblInv[رقم الفاتورة],$N150),INDEX(tblRec[رقم السند],$O150)),IF($M150="l",INDEX(tblBuckets[الفترة],3),IF($M150="v",TEXT(SUMIFS(tblInv[المتبقي],tblInv[كود العميل],StCust,tblInv[الفترة],INDEX(tblBuckets[الفترة],3)),"#,##0.00;-#,##0.00;-"),"")))</f>
        <v/>
      </c>
      <c r="D150" s="118">
        <f>IF($M150="m",IF($N150&lt;&gt;"","فاتورة مبيعات — استحقاق "&amp;TEXT(INDEX(tblInv[تاريخ الاستحقاق],$N150),"dd/mm/yyyy")&amp;IF(INDEX(tblInv[ملاحظات],$N150)&amp;""&lt;&gt;""," — "&amp;INDEX(tblInv[ملاحظات],$N150),""),INDEX(tblRec[النوع],$O150)&amp;IF(INDEX(tblRec[طريقة الدفع],$O150)&amp;""&lt;&gt;""," ("&amp;INDEX(tblRec[طريقة الدفع],$O150)&amp;")","")&amp;IF(INDEX(tblRec[رقم الفاتورة],$O150)&amp;""&lt;&gt;""," — عن فاتورة "&amp;INDEX(tblRec[رقم الفاتورة],$O150)," — دفعة على الحساب")),IF($M150="l",INDEX(tblBuckets[الفترة],4),IF($M150="v",TEXT(SUMIFS(tblInv[المتبقي],tblInv[كود العميل],StCust,tblInv[الفترة],INDEX(tblBuckets[الفترة],4)),"#,##0.00;-#,##0.00;-"),IF($M150="t","ملخص أعمار رصيد العميل كما في "&amp;TEXT(AsOf,"dd/mm/yyyy"),IF($M150="p","يُرجى مطابقة الرصيد وإفادتنا خلال 15 يوماً، وإلا اعتُبر الرصيد صحيحاً.","")))))</f>
        <v/>
      </c>
      <c r="E150" s="119">
        <f>IF($M150="m",IF($N150&lt;&gt;"",INDEX(tblInv[الإجمالي],$N150),0),IF($M150="l",INDEX(tblBuckets[الفترة],5),IF($M150="v",TEXT(SUMIFS(tblInv[المتبقي],tblInv[كود العميل],StCust,tblInv[الفترة],INDEX(tblBuckets[الفترة],5)),"#,##0.00;-#,##0.00;-"),"")))</f>
        <v/>
      </c>
      <c r="F150" s="119">
        <f>IF($M150="m",IF($O150&lt;&gt;"",INDEX(tblRec[المبلغ],$O150),0),IF($M150="l",INDEX(tblBuckets[الفترة],6),IF($M150="v",TEXT(SUMIFS(tblInv[المتبقي],tblInv[كود العميل],StCust,tblInv[الفترة],INDEX(tblBuckets[الفترة],6)),"#,##0.00;-#,##0.00;-"),"")))</f>
        <v/>
      </c>
      <c r="G150" s="120">
        <f>IF($M150="m",N(G149)+E150-F150,IF($M150="l",INDEX(tblBuckets[الفترة],7),IF($M150="v",TEXT(SUMIFS(tblInv[المتبقي],tblInv[كود العميل],StCust,tblInv[الفترة],INDEX(tblBuckets[الفترة],7)),"#,##0.00;-#,##0.00;-"),"")))</f>
        <v/>
      </c>
      <c r="L150" t="n">
        <v>145</v>
      </c>
      <c r="M150">
        <f>IF(L150&lt;=StCount,"m",IF(L150=StCount+2,"t",IF(L150=StCount+3,"l",IF(L150=StCount+4,"v",IF(L150=StCount+6,"p","")))))</f>
        <v/>
      </c>
      <c r="N150">
        <f>IF(M150="m",IFERROR(MATCH(L150,tblInv[ترتيب الكشف],0),""),"")</f>
        <v/>
      </c>
      <c r="O150">
        <f>IF(AND(M150="m",N150=""),IFERROR(MATCH(L150,tblRec[ترتيب الكشف],0),""),"")</f>
        <v/>
      </c>
    </row>
    <row r="151">
      <c r="A151" s="117">
        <f>IF($M151="m",IF($N151&lt;&gt;"",INDEX(tblInv[تاريخ الفاتورة],$N151),INDEX(tblRec[التاريخ],$O151)),IF($M151="l",INDEX(tblBuckets[الفترة],1),IF($M151="v",TEXT(SUMIFS(tblInv[المتبقي],tblInv[كود العميل],StCust,tblInv[الفترة],INDEX(tblBuckets[الفترة],1)),"#,##0.00;-#,##0.00;-"),"")))</f>
        <v/>
      </c>
      <c r="B151" s="83">
        <f>IF($M151="m",IF($N151&lt;&gt;"","فاتورة",INDEX(tblRec[النوع],$O151)),IF($M151="l",INDEX(tblBuckets[الفترة],2),IF($M151="v",TEXT(SUMIFS(tblInv[المتبقي],tblInv[كود العميل],StCust,tblInv[الفترة],INDEX(tblBuckets[الفترة],2)),"#,##0.00;-#,##0.00;-"),"")))</f>
        <v/>
      </c>
      <c r="C151" s="83">
        <f>IF($M151="m",IF($N151&lt;&gt;"",INDEX(tblInv[رقم الفاتورة],$N151),INDEX(tblRec[رقم السند],$O151)),IF($M151="l",INDEX(tblBuckets[الفترة],3),IF($M151="v",TEXT(SUMIFS(tblInv[المتبقي],tblInv[كود العميل],StCust,tblInv[الفترة],INDEX(tblBuckets[الفترة],3)),"#,##0.00;-#,##0.00;-"),"")))</f>
        <v/>
      </c>
      <c r="D151" s="118">
        <f>IF($M151="m",IF($N151&lt;&gt;"","فاتورة مبيعات — استحقاق "&amp;TEXT(INDEX(tblInv[تاريخ الاستحقاق],$N151),"dd/mm/yyyy")&amp;IF(INDEX(tblInv[ملاحظات],$N151)&amp;""&lt;&gt;""," — "&amp;INDEX(tblInv[ملاحظات],$N151),""),INDEX(tblRec[النوع],$O151)&amp;IF(INDEX(tblRec[طريقة الدفع],$O151)&amp;""&lt;&gt;""," ("&amp;INDEX(tblRec[طريقة الدفع],$O151)&amp;")","")&amp;IF(INDEX(tblRec[رقم الفاتورة],$O151)&amp;""&lt;&gt;""," — عن فاتورة "&amp;INDEX(tblRec[رقم الفاتورة],$O151)," — دفعة على الحساب")),IF($M151="l",INDEX(tblBuckets[الفترة],4),IF($M151="v",TEXT(SUMIFS(tblInv[المتبقي],tblInv[كود العميل],StCust,tblInv[الفترة],INDEX(tblBuckets[الفترة],4)),"#,##0.00;-#,##0.00;-"),IF($M151="t","ملخص أعمار رصيد العميل كما في "&amp;TEXT(AsOf,"dd/mm/yyyy"),IF($M151="p","يُرجى مطابقة الرصيد وإفادتنا خلال 15 يوماً، وإلا اعتُبر الرصيد صحيحاً.","")))))</f>
        <v/>
      </c>
      <c r="E151" s="119">
        <f>IF($M151="m",IF($N151&lt;&gt;"",INDEX(tblInv[الإجمالي],$N151),0),IF($M151="l",INDEX(tblBuckets[الفترة],5),IF($M151="v",TEXT(SUMIFS(tblInv[المتبقي],tblInv[كود العميل],StCust,tblInv[الفترة],INDEX(tblBuckets[الفترة],5)),"#,##0.00;-#,##0.00;-"),"")))</f>
        <v/>
      </c>
      <c r="F151" s="119">
        <f>IF($M151="m",IF($O151&lt;&gt;"",INDEX(tblRec[المبلغ],$O151),0),IF($M151="l",INDEX(tblBuckets[الفترة],6),IF($M151="v",TEXT(SUMIFS(tblInv[المتبقي],tblInv[كود العميل],StCust,tblInv[الفترة],INDEX(tblBuckets[الفترة],6)),"#,##0.00;-#,##0.00;-"),"")))</f>
        <v/>
      </c>
      <c r="G151" s="120">
        <f>IF($M151="m",N(G150)+E151-F151,IF($M151="l",INDEX(tblBuckets[الفترة],7),IF($M151="v",TEXT(SUMIFS(tblInv[المتبقي],tblInv[كود العميل],StCust,tblInv[الفترة],INDEX(tblBuckets[الفترة],7)),"#,##0.00;-#,##0.00;-"),"")))</f>
        <v/>
      </c>
      <c r="L151" t="n">
        <v>146</v>
      </c>
      <c r="M151">
        <f>IF(L151&lt;=StCount,"m",IF(L151=StCount+2,"t",IF(L151=StCount+3,"l",IF(L151=StCount+4,"v",IF(L151=StCount+6,"p","")))))</f>
        <v/>
      </c>
      <c r="N151">
        <f>IF(M151="m",IFERROR(MATCH(L151,tblInv[ترتيب الكشف],0),""),"")</f>
        <v/>
      </c>
      <c r="O151">
        <f>IF(AND(M151="m",N151=""),IFERROR(MATCH(L151,tblRec[ترتيب الكشف],0),""),"")</f>
        <v/>
      </c>
    </row>
    <row r="152">
      <c r="A152" s="117">
        <f>IF($M152="m",IF($N152&lt;&gt;"",INDEX(tblInv[تاريخ الفاتورة],$N152),INDEX(tblRec[التاريخ],$O152)),IF($M152="l",INDEX(tblBuckets[الفترة],1),IF($M152="v",TEXT(SUMIFS(tblInv[المتبقي],tblInv[كود العميل],StCust,tblInv[الفترة],INDEX(tblBuckets[الفترة],1)),"#,##0.00;-#,##0.00;-"),"")))</f>
        <v/>
      </c>
      <c r="B152" s="83">
        <f>IF($M152="m",IF($N152&lt;&gt;"","فاتورة",INDEX(tblRec[النوع],$O152)),IF($M152="l",INDEX(tblBuckets[الفترة],2),IF($M152="v",TEXT(SUMIFS(tblInv[المتبقي],tblInv[كود العميل],StCust,tblInv[الفترة],INDEX(tblBuckets[الفترة],2)),"#,##0.00;-#,##0.00;-"),"")))</f>
        <v/>
      </c>
      <c r="C152" s="83">
        <f>IF($M152="m",IF($N152&lt;&gt;"",INDEX(tblInv[رقم الفاتورة],$N152),INDEX(tblRec[رقم السند],$O152)),IF($M152="l",INDEX(tblBuckets[الفترة],3),IF($M152="v",TEXT(SUMIFS(tblInv[المتبقي],tblInv[كود العميل],StCust,tblInv[الفترة],INDEX(tblBuckets[الفترة],3)),"#,##0.00;-#,##0.00;-"),"")))</f>
        <v/>
      </c>
      <c r="D152" s="118">
        <f>IF($M152="m",IF($N152&lt;&gt;"","فاتورة مبيعات — استحقاق "&amp;TEXT(INDEX(tblInv[تاريخ الاستحقاق],$N152),"dd/mm/yyyy")&amp;IF(INDEX(tblInv[ملاحظات],$N152)&amp;""&lt;&gt;""," — "&amp;INDEX(tblInv[ملاحظات],$N152),""),INDEX(tblRec[النوع],$O152)&amp;IF(INDEX(tblRec[طريقة الدفع],$O152)&amp;""&lt;&gt;""," ("&amp;INDEX(tblRec[طريقة الدفع],$O152)&amp;")","")&amp;IF(INDEX(tblRec[رقم الفاتورة],$O152)&amp;""&lt;&gt;""," — عن فاتورة "&amp;INDEX(tblRec[رقم الفاتورة],$O152)," — دفعة على الحساب")),IF($M152="l",INDEX(tblBuckets[الفترة],4),IF($M152="v",TEXT(SUMIFS(tblInv[المتبقي],tblInv[كود العميل],StCust,tblInv[الفترة],INDEX(tblBuckets[الفترة],4)),"#,##0.00;-#,##0.00;-"),IF($M152="t","ملخص أعمار رصيد العميل كما في "&amp;TEXT(AsOf,"dd/mm/yyyy"),IF($M152="p","يُرجى مطابقة الرصيد وإفادتنا خلال 15 يوماً، وإلا اعتُبر الرصيد صحيحاً.","")))))</f>
        <v/>
      </c>
      <c r="E152" s="119">
        <f>IF($M152="m",IF($N152&lt;&gt;"",INDEX(tblInv[الإجمالي],$N152),0),IF($M152="l",INDEX(tblBuckets[الفترة],5),IF($M152="v",TEXT(SUMIFS(tblInv[المتبقي],tblInv[كود العميل],StCust,tblInv[الفترة],INDEX(tblBuckets[الفترة],5)),"#,##0.00;-#,##0.00;-"),"")))</f>
        <v/>
      </c>
      <c r="F152" s="119">
        <f>IF($M152="m",IF($O152&lt;&gt;"",INDEX(tblRec[المبلغ],$O152),0),IF($M152="l",INDEX(tblBuckets[الفترة],6),IF($M152="v",TEXT(SUMIFS(tblInv[المتبقي],tblInv[كود العميل],StCust,tblInv[الفترة],INDEX(tblBuckets[الفترة],6)),"#,##0.00;-#,##0.00;-"),"")))</f>
        <v/>
      </c>
      <c r="G152" s="120">
        <f>IF($M152="m",N(G151)+E152-F152,IF($M152="l",INDEX(tblBuckets[الفترة],7),IF($M152="v",TEXT(SUMIFS(tblInv[المتبقي],tblInv[كود العميل],StCust,tblInv[الفترة],INDEX(tblBuckets[الفترة],7)),"#,##0.00;-#,##0.00;-"),"")))</f>
        <v/>
      </c>
      <c r="L152" t="n">
        <v>147</v>
      </c>
      <c r="M152">
        <f>IF(L152&lt;=StCount,"m",IF(L152=StCount+2,"t",IF(L152=StCount+3,"l",IF(L152=StCount+4,"v",IF(L152=StCount+6,"p","")))))</f>
        <v/>
      </c>
      <c r="N152">
        <f>IF(M152="m",IFERROR(MATCH(L152,tblInv[ترتيب الكشف],0),""),"")</f>
        <v/>
      </c>
      <c r="O152">
        <f>IF(AND(M152="m",N152=""),IFERROR(MATCH(L152,tblRec[ترتيب الكشف],0),""),"")</f>
        <v/>
      </c>
    </row>
    <row r="153">
      <c r="A153" s="117">
        <f>IF($M153="m",IF($N153&lt;&gt;"",INDEX(tblInv[تاريخ الفاتورة],$N153),INDEX(tblRec[التاريخ],$O153)),IF($M153="l",INDEX(tblBuckets[الفترة],1),IF($M153="v",TEXT(SUMIFS(tblInv[المتبقي],tblInv[كود العميل],StCust,tblInv[الفترة],INDEX(tblBuckets[الفترة],1)),"#,##0.00;-#,##0.00;-"),"")))</f>
        <v/>
      </c>
      <c r="B153" s="83">
        <f>IF($M153="m",IF($N153&lt;&gt;"","فاتورة",INDEX(tblRec[النوع],$O153)),IF($M153="l",INDEX(tblBuckets[الفترة],2),IF($M153="v",TEXT(SUMIFS(tblInv[المتبقي],tblInv[كود العميل],StCust,tblInv[الفترة],INDEX(tblBuckets[الفترة],2)),"#,##0.00;-#,##0.00;-"),"")))</f>
        <v/>
      </c>
      <c r="C153" s="83">
        <f>IF($M153="m",IF($N153&lt;&gt;"",INDEX(tblInv[رقم الفاتورة],$N153),INDEX(tblRec[رقم السند],$O153)),IF($M153="l",INDEX(tblBuckets[الفترة],3),IF($M153="v",TEXT(SUMIFS(tblInv[المتبقي],tblInv[كود العميل],StCust,tblInv[الفترة],INDEX(tblBuckets[الفترة],3)),"#,##0.00;-#,##0.00;-"),"")))</f>
        <v/>
      </c>
      <c r="D153" s="118">
        <f>IF($M153="m",IF($N153&lt;&gt;"","فاتورة مبيعات — استحقاق "&amp;TEXT(INDEX(tblInv[تاريخ الاستحقاق],$N153),"dd/mm/yyyy")&amp;IF(INDEX(tblInv[ملاحظات],$N153)&amp;""&lt;&gt;""," — "&amp;INDEX(tblInv[ملاحظات],$N153),""),INDEX(tblRec[النوع],$O153)&amp;IF(INDEX(tblRec[طريقة الدفع],$O153)&amp;""&lt;&gt;""," ("&amp;INDEX(tblRec[طريقة الدفع],$O153)&amp;")","")&amp;IF(INDEX(tblRec[رقم الفاتورة],$O153)&amp;""&lt;&gt;""," — عن فاتورة "&amp;INDEX(tblRec[رقم الفاتورة],$O153)," — دفعة على الحساب")),IF($M153="l",INDEX(tblBuckets[الفترة],4),IF($M153="v",TEXT(SUMIFS(tblInv[المتبقي],tblInv[كود العميل],StCust,tblInv[الفترة],INDEX(tblBuckets[الفترة],4)),"#,##0.00;-#,##0.00;-"),IF($M153="t","ملخص أعمار رصيد العميل كما في "&amp;TEXT(AsOf,"dd/mm/yyyy"),IF($M153="p","يُرجى مطابقة الرصيد وإفادتنا خلال 15 يوماً، وإلا اعتُبر الرصيد صحيحاً.","")))))</f>
        <v/>
      </c>
      <c r="E153" s="119">
        <f>IF($M153="m",IF($N153&lt;&gt;"",INDEX(tblInv[الإجمالي],$N153),0),IF($M153="l",INDEX(tblBuckets[الفترة],5),IF($M153="v",TEXT(SUMIFS(tblInv[المتبقي],tblInv[كود العميل],StCust,tblInv[الفترة],INDEX(tblBuckets[الفترة],5)),"#,##0.00;-#,##0.00;-"),"")))</f>
        <v/>
      </c>
      <c r="F153" s="119">
        <f>IF($M153="m",IF($O153&lt;&gt;"",INDEX(tblRec[المبلغ],$O153),0),IF($M153="l",INDEX(tblBuckets[الفترة],6),IF($M153="v",TEXT(SUMIFS(tblInv[المتبقي],tblInv[كود العميل],StCust,tblInv[الفترة],INDEX(tblBuckets[الفترة],6)),"#,##0.00;-#,##0.00;-"),"")))</f>
        <v/>
      </c>
      <c r="G153" s="120">
        <f>IF($M153="m",N(G152)+E153-F153,IF($M153="l",INDEX(tblBuckets[الفترة],7),IF($M153="v",TEXT(SUMIFS(tblInv[المتبقي],tblInv[كود العميل],StCust,tblInv[الفترة],INDEX(tblBuckets[الفترة],7)),"#,##0.00;-#,##0.00;-"),"")))</f>
        <v/>
      </c>
      <c r="L153" t="n">
        <v>148</v>
      </c>
      <c r="M153">
        <f>IF(L153&lt;=StCount,"m",IF(L153=StCount+2,"t",IF(L153=StCount+3,"l",IF(L153=StCount+4,"v",IF(L153=StCount+6,"p","")))))</f>
        <v/>
      </c>
      <c r="N153">
        <f>IF(M153="m",IFERROR(MATCH(L153,tblInv[ترتيب الكشف],0),""),"")</f>
        <v/>
      </c>
      <c r="O153">
        <f>IF(AND(M153="m",N153=""),IFERROR(MATCH(L153,tblRec[ترتيب الكشف],0),""),"")</f>
        <v/>
      </c>
    </row>
    <row r="154">
      <c r="A154" s="117">
        <f>IF($M154="m",IF($N154&lt;&gt;"",INDEX(tblInv[تاريخ الفاتورة],$N154),INDEX(tblRec[التاريخ],$O154)),IF($M154="l",INDEX(tblBuckets[الفترة],1),IF($M154="v",TEXT(SUMIFS(tblInv[المتبقي],tblInv[كود العميل],StCust,tblInv[الفترة],INDEX(tblBuckets[الفترة],1)),"#,##0.00;-#,##0.00;-"),"")))</f>
        <v/>
      </c>
      <c r="B154" s="83">
        <f>IF($M154="m",IF($N154&lt;&gt;"","فاتورة",INDEX(tblRec[النوع],$O154)),IF($M154="l",INDEX(tblBuckets[الفترة],2),IF($M154="v",TEXT(SUMIFS(tblInv[المتبقي],tblInv[كود العميل],StCust,tblInv[الفترة],INDEX(tblBuckets[الفترة],2)),"#,##0.00;-#,##0.00;-"),"")))</f>
        <v/>
      </c>
      <c r="C154" s="83">
        <f>IF($M154="m",IF($N154&lt;&gt;"",INDEX(tblInv[رقم الفاتورة],$N154),INDEX(tblRec[رقم السند],$O154)),IF($M154="l",INDEX(tblBuckets[الفترة],3),IF($M154="v",TEXT(SUMIFS(tblInv[المتبقي],tblInv[كود العميل],StCust,tblInv[الفترة],INDEX(tblBuckets[الفترة],3)),"#,##0.00;-#,##0.00;-"),"")))</f>
        <v/>
      </c>
      <c r="D154" s="118">
        <f>IF($M154="m",IF($N154&lt;&gt;"","فاتورة مبيعات — استحقاق "&amp;TEXT(INDEX(tblInv[تاريخ الاستحقاق],$N154),"dd/mm/yyyy")&amp;IF(INDEX(tblInv[ملاحظات],$N154)&amp;""&lt;&gt;""," — "&amp;INDEX(tblInv[ملاحظات],$N154),""),INDEX(tblRec[النوع],$O154)&amp;IF(INDEX(tblRec[طريقة الدفع],$O154)&amp;""&lt;&gt;""," ("&amp;INDEX(tblRec[طريقة الدفع],$O154)&amp;")","")&amp;IF(INDEX(tblRec[رقم الفاتورة],$O154)&amp;""&lt;&gt;""," — عن فاتورة "&amp;INDEX(tblRec[رقم الفاتورة],$O154)," — دفعة على الحساب")),IF($M154="l",INDEX(tblBuckets[الفترة],4),IF($M154="v",TEXT(SUMIFS(tblInv[المتبقي],tblInv[كود العميل],StCust,tblInv[الفترة],INDEX(tblBuckets[الفترة],4)),"#,##0.00;-#,##0.00;-"),IF($M154="t","ملخص أعمار رصيد العميل كما في "&amp;TEXT(AsOf,"dd/mm/yyyy"),IF($M154="p","يُرجى مطابقة الرصيد وإفادتنا خلال 15 يوماً، وإلا اعتُبر الرصيد صحيحاً.","")))))</f>
        <v/>
      </c>
      <c r="E154" s="119">
        <f>IF($M154="m",IF($N154&lt;&gt;"",INDEX(tblInv[الإجمالي],$N154),0),IF($M154="l",INDEX(tblBuckets[الفترة],5),IF($M154="v",TEXT(SUMIFS(tblInv[المتبقي],tblInv[كود العميل],StCust,tblInv[الفترة],INDEX(tblBuckets[الفترة],5)),"#,##0.00;-#,##0.00;-"),"")))</f>
        <v/>
      </c>
      <c r="F154" s="119">
        <f>IF($M154="m",IF($O154&lt;&gt;"",INDEX(tblRec[المبلغ],$O154),0),IF($M154="l",INDEX(tblBuckets[الفترة],6),IF($M154="v",TEXT(SUMIFS(tblInv[المتبقي],tblInv[كود العميل],StCust,tblInv[الفترة],INDEX(tblBuckets[الفترة],6)),"#,##0.00;-#,##0.00;-"),"")))</f>
        <v/>
      </c>
      <c r="G154" s="120">
        <f>IF($M154="m",N(G153)+E154-F154,IF($M154="l",INDEX(tblBuckets[الفترة],7),IF($M154="v",TEXT(SUMIFS(tblInv[المتبقي],tblInv[كود العميل],StCust,tblInv[الفترة],INDEX(tblBuckets[الفترة],7)),"#,##0.00;-#,##0.00;-"),"")))</f>
        <v/>
      </c>
      <c r="L154" t="n">
        <v>149</v>
      </c>
      <c r="M154">
        <f>IF(L154&lt;=StCount,"m",IF(L154=StCount+2,"t",IF(L154=StCount+3,"l",IF(L154=StCount+4,"v",IF(L154=StCount+6,"p","")))))</f>
        <v/>
      </c>
      <c r="N154">
        <f>IF(M154="m",IFERROR(MATCH(L154,tblInv[ترتيب الكشف],0),""),"")</f>
        <v/>
      </c>
      <c r="O154">
        <f>IF(AND(M154="m",N154=""),IFERROR(MATCH(L154,tblRec[ترتيب الكشف],0),""),"")</f>
        <v/>
      </c>
    </row>
    <row r="155">
      <c r="A155" s="117">
        <f>IF($M155="m",IF($N155&lt;&gt;"",INDEX(tblInv[تاريخ الفاتورة],$N155),INDEX(tblRec[التاريخ],$O155)),IF($M155="l",INDEX(tblBuckets[الفترة],1),IF($M155="v",TEXT(SUMIFS(tblInv[المتبقي],tblInv[كود العميل],StCust,tblInv[الفترة],INDEX(tblBuckets[الفترة],1)),"#,##0.00;-#,##0.00;-"),"")))</f>
        <v/>
      </c>
      <c r="B155" s="83">
        <f>IF($M155="m",IF($N155&lt;&gt;"","فاتورة",INDEX(tblRec[النوع],$O155)),IF($M155="l",INDEX(tblBuckets[الفترة],2),IF($M155="v",TEXT(SUMIFS(tblInv[المتبقي],tblInv[كود العميل],StCust,tblInv[الفترة],INDEX(tblBuckets[الفترة],2)),"#,##0.00;-#,##0.00;-"),"")))</f>
        <v/>
      </c>
      <c r="C155" s="83">
        <f>IF($M155="m",IF($N155&lt;&gt;"",INDEX(tblInv[رقم الفاتورة],$N155),INDEX(tblRec[رقم السند],$O155)),IF($M155="l",INDEX(tblBuckets[الفترة],3),IF($M155="v",TEXT(SUMIFS(tblInv[المتبقي],tblInv[كود العميل],StCust,tblInv[الفترة],INDEX(tblBuckets[الفترة],3)),"#,##0.00;-#,##0.00;-"),"")))</f>
        <v/>
      </c>
      <c r="D155" s="118">
        <f>IF($M155="m",IF($N155&lt;&gt;"","فاتورة مبيعات — استحقاق "&amp;TEXT(INDEX(tblInv[تاريخ الاستحقاق],$N155),"dd/mm/yyyy")&amp;IF(INDEX(tblInv[ملاحظات],$N155)&amp;""&lt;&gt;""," — "&amp;INDEX(tblInv[ملاحظات],$N155),""),INDEX(tblRec[النوع],$O155)&amp;IF(INDEX(tblRec[طريقة الدفع],$O155)&amp;""&lt;&gt;""," ("&amp;INDEX(tblRec[طريقة الدفع],$O155)&amp;")","")&amp;IF(INDEX(tblRec[رقم الفاتورة],$O155)&amp;""&lt;&gt;""," — عن فاتورة "&amp;INDEX(tblRec[رقم الفاتورة],$O155)," — دفعة على الحساب")),IF($M155="l",INDEX(tblBuckets[الفترة],4),IF($M155="v",TEXT(SUMIFS(tblInv[المتبقي],tblInv[كود العميل],StCust,tblInv[الفترة],INDEX(tblBuckets[الفترة],4)),"#,##0.00;-#,##0.00;-"),IF($M155="t","ملخص أعمار رصيد العميل كما في "&amp;TEXT(AsOf,"dd/mm/yyyy"),IF($M155="p","يُرجى مطابقة الرصيد وإفادتنا خلال 15 يوماً، وإلا اعتُبر الرصيد صحيحاً.","")))))</f>
        <v/>
      </c>
      <c r="E155" s="119">
        <f>IF($M155="m",IF($N155&lt;&gt;"",INDEX(tblInv[الإجمالي],$N155),0),IF($M155="l",INDEX(tblBuckets[الفترة],5),IF($M155="v",TEXT(SUMIFS(tblInv[المتبقي],tblInv[كود العميل],StCust,tblInv[الفترة],INDEX(tblBuckets[الفترة],5)),"#,##0.00;-#,##0.00;-"),"")))</f>
        <v/>
      </c>
      <c r="F155" s="119">
        <f>IF($M155="m",IF($O155&lt;&gt;"",INDEX(tblRec[المبلغ],$O155),0),IF($M155="l",INDEX(tblBuckets[الفترة],6),IF($M155="v",TEXT(SUMIFS(tblInv[المتبقي],tblInv[كود العميل],StCust,tblInv[الفترة],INDEX(tblBuckets[الفترة],6)),"#,##0.00;-#,##0.00;-"),"")))</f>
        <v/>
      </c>
      <c r="G155" s="120">
        <f>IF($M155="m",N(G154)+E155-F155,IF($M155="l",INDEX(tblBuckets[الفترة],7),IF($M155="v",TEXT(SUMIFS(tblInv[المتبقي],tblInv[كود العميل],StCust,tblInv[الفترة],INDEX(tblBuckets[الفترة],7)),"#,##0.00;-#,##0.00;-"),"")))</f>
        <v/>
      </c>
      <c r="L155" t="n">
        <v>150</v>
      </c>
      <c r="M155">
        <f>IF(L155&lt;=StCount,"m",IF(L155=StCount+2,"t",IF(L155=StCount+3,"l",IF(L155=StCount+4,"v",IF(L155=StCount+6,"p","")))))</f>
        <v/>
      </c>
      <c r="N155">
        <f>IF(M155="m",IFERROR(MATCH(L155,tblInv[ترتيب الكشف],0),""),"")</f>
        <v/>
      </c>
      <c r="O155">
        <f>IF(AND(M155="m",N155=""),IFERROR(MATCH(L155,tblRec[ترتيب الكشف],0),""),"")</f>
        <v/>
      </c>
    </row>
    <row r="156">
      <c r="A156" s="117">
        <f>IF($M156="m",IF($N156&lt;&gt;"",INDEX(tblInv[تاريخ الفاتورة],$N156),INDEX(tblRec[التاريخ],$O156)),IF($M156="l",INDEX(tblBuckets[الفترة],1),IF($M156="v",TEXT(SUMIFS(tblInv[المتبقي],tblInv[كود العميل],StCust,tblInv[الفترة],INDEX(tblBuckets[الفترة],1)),"#,##0.00;-#,##0.00;-"),"")))</f>
        <v/>
      </c>
      <c r="B156" s="83">
        <f>IF($M156="m",IF($N156&lt;&gt;"","فاتورة",INDEX(tblRec[النوع],$O156)),IF($M156="l",INDEX(tblBuckets[الفترة],2),IF($M156="v",TEXT(SUMIFS(tblInv[المتبقي],tblInv[كود العميل],StCust,tblInv[الفترة],INDEX(tblBuckets[الفترة],2)),"#,##0.00;-#,##0.00;-"),"")))</f>
        <v/>
      </c>
      <c r="C156" s="83">
        <f>IF($M156="m",IF($N156&lt;&gt;"",INDEX(tblInv[رقم الفاتورة],$N156),INDEX(tblRec[رقم السند],$O156)),IF($M156="l",INDEX(tblBuckets[الفترة],3),IF($M156="v",TEXT(SUMIFS(tblInv[المتبقي],tblInv[كود العميل],StCust,tblInv[الفترة],INDEX(tblBuckets[الفترة],3)),"#,##0.00;-#,##0.00;-"),"")))</f>
        <v/>
      </c>
      <c r="D156" s="118">
        <f>IF($M156="m",IF($N156&lt;&gt;"","فاتورة مبيعات — استحقاق "&amp;TEXT(INDEX(tblInv[تاريخ الاستحقاق],$N156),"dd/mm/yyyy")&amp;IF(INDEX(tblInv[ملاحظات],$N156)&amp;""&lt;&gt;""," — "&amp;INDEX(tblInv[ملاحظات],$N156),""),INDEX(tblRec[النوع],$O156)&amp;IF(INDEX(tblRec[طريقة الدفع],$O156)&amp;""&lt;&gt;""," ("&amp;INDEX(tblRec[طريقة الدفع],$O156)&amp;")","")&amp;IF(INDEX(tblRec[رقم الفاتورة],$O156)&amp;""&lt;&gt;""," — عن فاتورة "&amp;INDEX(tblRec[رقم الفاتورة],$O156)," — دفعة على الحساب")),IF($M156="l",INDEX(tblBuckets[الفترة],4),IF($M156="v",TEXT(SUMIFS(tblInv[المتبقي],tblInv[كود العميل],StCust,tblInv[الفترة],INDEX(tblBuckets[الفترة],4)),"#,##0.00;-#,##0.00;-"),IF($M156="t","ملخص أعمار رصيد العميل كما في "&amp;TEXT(AsOf,"dd/mm/yyyy"),IF($M156="p","يُرجى مطابقة الرصيد وإفادتنا خلال 15 يوماً، وإلا اعتُبر الرصيد صحيحاً.","")))))</f>
        <v/>
      </c>
      <c r="E156" s="119">
        <f>IF($M156="m",IF($N156&lt;&gt;"",INDEX(tblInv[الإجمالي],$N156),0),IF($M156="l",INDEX(tblBuckets[الفترة],5),IF($M156="v",TEXT(SUMIFS(tblInv[المتبقي],tblInv[كود العميل],StCust,tblInv[الفترة],INDEX(tblBuckets[الفترة],5)),"#,##0.00;-#,##0.00;-"),"")))</f>
        <v/>
      </c>
      <c r="F156" s="119">
        <f>IF($M156="m",IF($O156&lt;&gt;"",INDEX(tblRec[المبلغ],$O156),0),IF($M156="l",INDEX(tblBuckets[الفترة],6),IF($M156="v",TEXT(SUMIFS(tblInv[المتبقي],tblInv[كود العميل],StCust,tblInv[الفترة],INDEX(tblBuckets[الفترة],6)),"#,##0.00;-#,##0.00;-"),"")))</f>
        <v/>
      </c>
      <c r="G156" s="120">
        <f>IF($M156="m",N(G155)+E156-F156,IF($M156="l",INDEX(tblBuckets[الفترة],7),IF($M156="v",TEXT(SUMIFS(tblInv[المتبقي],tblInv[كود العميل],StCust,tblInv[الفترة],INDEX(tblBuckets[الفترة],7)),"#,##0.00;-#,##0.00;-"),"")))</f>
        <v/>
      </c>
      <c r="L156" t="n">
        <v>151</v>
      </c>
      <c r="M156">
        <f>IF(L156&lt;=StCount,"m",IF(L156=StCount+2,"t",IF(L156=StCount+3,"l",IF(L156=StCount+4,"v",IF(L156=StCount+6,"p","")))))</f>
        <v/>
      </c>
      <c r="N156">
        <f>IF(M156="m",IFERROR(MATCH(L156,tblInv[ترتيب الكشف],0),""),"")</f>
        <v/>
      </c>
      <c r="O156">
        <f>IF(AND(M156="m",N156=""),IFERROR(MATCH(L156,tblRec[ترتيب الكشف],0),""),"")</f>
        <v/>
      </c>
    </row>
    <row r="157">
      <c r="A157" s="117">
        <f>IF($M157="m",IF($N157&lt;&gt;"",INDEX(tblInv[تاريخ الفاتورة],$N157),INDEX(tblRec[التاريخ],$O157)),IF($M157="l",INDEX(tblBuckets[الفترة],1),IF($M157="v",TEXT(SUMIFS(tblInv[المتبقي],tblInv[كود العميل],StCust,tblInv[الفترة],INDEX(tblBuckets[الفترة],1)),"#,##0.00;-#,##0.00;-"),"")))</f>
        <v/>
      </c>
      <c r="B157" s="83">
        <f>IF($M157="m",IF($N157&lt;&gt;"","فاتورة",INDEX(tblRec[النوع],$O157)),IF($M157="l",INDEX(tblBuckets[الفترة],2),IF($M157="v",TEXT(SUMIFS(tblInv[المتبقي],tblInv[كود العميل],StCust,tblInv[الفترة],INDEX(tblBuckets[الفترة],2)),"#,##0.00;-#,##0.00;-"),"")))</f>
        <v/>
      </c>
      <c r="C157" s="83">
        <f>IF($M157="m",IF($N157&lt;&gt;"",INDEX(tblInv[رقم الفاتورة],$N157),INDEX(tblRec[رقم السند],$O157)),IF($M157="l",INDEX(tblBuckets[الفترة],3),IF($M157="v",TEXT(SUMIFS(tblInv[المتبقي],tblInv[كود العميل],StCust,tblInv[الفترة],INDEX(tblBuckets[الفترة],3)),"#,##0.00;-#,##0.00;-"),"")))</f>
        <v/>
      </c>
      <c r="D157" s="118">
        <f>IF($M157="m",IF($N157&lt;&gt;"","فاتورة مبيعات — استحقاق "&amp;TEXT(INDEX(tblInv[تاريخ الاستحقاق],$N157),"dd/mm/yyyy")&amp;IF(INDEX(tblInv[ملاحظات],$N157)&amp;""&lt;&gt;""," — "&amp;INDEX(tblInv[ملاحظات],$N157),""),INDEX(tblRec[النوع],$O157)&amp;IF(INDEX(tblRec[طريقة الدفع],$O157)&amp;""&lt;&gt;""," ("&amp;INDEX(tblRec[طريقة الدفع],$O157)&amp;")","")&amp;IF(INDEX(tblRec[رقم الفاتورة],$O157)&amp;""&lt;&gt;""," — عن فاتورة "&amp;INDEX(tblRec[رقم الفاتورة],$O157)," — دفعة على الحساب")),IF($M157="l",INDEX(tblBuckets[الفترة],4),IF($M157="v",TEXT(SUMIFS(tblInv[المتبقي],tblInv[كود العميل],StCust,tblInv[الفترة],INDEX(tblBuckets[الفترة],4)),"#,##0.00;-#,##0.00;-"),IF($M157="t","ملخص أعمار رصيد العميل كما في "&amp;TEXT(AsOf,"dd/mm/yyyy"),IF($M157="p","يُرجى مطابقة الرصيد وإفادتنا خلال 15 يوماً، وإلا اعتُبر الرصيد صحيحاً.","")))))</f>
        <v/>
      </c>
      <c r="E157" s="119">
        <f>IF($M157="m",IF($N157&lt;&gt;"",INDEX(tblInv[الإجمالي],$N157),0),IF($M157="l",INDEX(tblBuckets[الفترة],5),IF($M157="v",TEXT(SUMIFS(tblInv[المتبقي],tblInv[كود العميل],StCust,tblInv[الفترة],INDEX(tblBuckets[الفترة],5)),"#,##0.00;-#,##0.00;-"),"")))</f>
        <v/>
      </c>
      <c r="F157" s="119">
        <f>IF($M157="m",IF($O157&lt;&gt;"",INDEX(tblRec[المبلغ],$O157),0),IF($M157="l",INDEX(tblBuckets[الفترة],6),IF($M157="v",TEXT(SUMIFS(tblInv[المتبقي],tblInv[كود العميل],StCust,tblInv[الفترة],INDEX(tblBuckets[الفترة],6)),"#,##0.00;-#,##0.00;-"),"")))</f>
        <v/>
      </c>
      <c r="G157" s="120">
        <f>IF($M157="m",N(G156)+E157-F157,IF($M157="l",INDEX(tblBuckets[الفترة],7),IF($M157="v",TEXT(SUMIFS(tblInv[المتبقي],tblInv[كود العميل],StCust,tblInv[الفترة],INDEX(tblBuckets[الفترة],7)),"#,##0.00;-#,##0.00;-"),"")))</f>
        <v/>
      </c>
      <c r="L157" t="n">
        <v>152</v>
      </c>
      <c r="M157">
        <f>IF(L157&lt;=StCount,"m",IF(L157=StCount+2,"t",IF(L157=StCount+3,"l",IF(L157=StCount+4,"v",IF(L157=StCount+6,"p","")))))</f>
        <v/>
      </c>
      <c r="N157">
        <f>IF(M157="m",IFERROR(MATCH(L157,tblInv[ترتيب الكشف],0),""),"")</f>
        <v/>
      </c>
      <c r="O157">
        <f>IF(AND(M157="m",N157=""),IFERROR(MATCH(L157,tblRec[ترتيب الكشف],0),""),"")</f>
        <v/>
      </c>
    </row>
    <row r="158">
      <c r="A158" s="117">
        <f>IF($M158="m",IF($N158&lt;&gt;"",INDEX(tblInv[تاريخ الفاتورة],$N158),INDEX(tblRec[التاريخ],$O158)),IF($M158="l",INDEX(tblBuckets[الفترة],1),IF($M158="v",TEXT(SUMIFS(tblInv[المتبقي],tblInv[كود العميل],StCust,tblInv[الفترة],INDEX(tblBuckets[الفترة],1)),"#,##0.00;-#,##0.00;-"),"")))</f>
        <v/>
      </c>
      <c r="B158" s="83">
        <f>IF($M158="m",IF($N158&lt;&gt;"","فاتورة",INDEX(tblRec[النوع],$O158)),IF($M158="l",INDEX(tblBuckets[الفترة],2),IF($M158="v",TEXT(SUMIFS(tblInv[المتبقي],tblInv[كود العميل],StCust,tblInv[الفترة],INDEX(tblBuckets[الفترة],2)),"#,##0.00;-#,##0.00;-"),"")))</f>
        <v/>
      </c>
      <c r="C158" s="83">
        <f>IF($M158="m",IF($N158&lt;&gt;"",INDEX(tblInv[رقم الفاتورة],$N158),INDEX(tblRec[رقم السند],$O158)),IF($M158="l",INDEX(tblBuckets[الفترة],3),IF($M158="v",TEXT(SUMIFS(tblInv[المتبقي],tblInv[كود العميل],StCust,tblInv[الفترة],INDEX(tblBuckets[الفترة],3)),"#,##0.00;-#,##0.00;-"),"")))</f>
        <v/>
      </c>
      <c r="D158" s="118">
        <f>IF($M158="m",IF($N158&lt;&gt;"","فاتورة مبيعات — استحقاق "&amp;TEXT(INDEX(tblInv[تاريخ الاستحقاق],$N158),"dd/mm/yyyy")&amp;IF(INDEX(tblInv[ملاحظات],$N158)&amp;""&lt;&gt;""," — "&amp;INDEX(tblInv[ملاحظات],$N158),""),INDEX(tblRec[النوع],$O158)&amp;IF(INDEX(tblRec[طريقة الدفع],$O158)&amp;""&lt;&gt;""," ("&amp;INDEX(tblRec[طريقة الدفع],$O158)&amp;")","")&amp;IF(INDEX(tblRec[رقم الفاتورة],$O158)&amp;""&lt;&gt;""," — عن فاتورة "&amp;INDEX(tblRec[رقم الفاتورة],$O158)," — دفعة على الحساب")),IF($M158="l",INDEX(tblBuckets[الفترة],4),IF($M158="v",TEXT(SUMIFS(tblInv[المتبقي],tblInv[كود العميل],StCust,tblInv[الفترة],INDEX(tblBuckets[الفترة],4)),"#,##0.00;-#,##0.00;-"),IF($M158="t","ملخص أعمار رصيد العميل كما في "&amp;TEXT(AsOf,"dd/mm/yyyy"),IF($M158="p","يُرجى مطابقة الرصيد وإفادتنا خلال 15 يوماً، وإلا اعتُبر الرصيد صحيحاً.","")))))</f>
        <v/>
      </c>
      <c r="E158" s="119">
        <f>IF($M158="m",IF($N158&lt;&gt;"",INDEX(tblInv[الإجمالي],$N158),0),IF($M158="l",INDEX(tblBuckets[الفترة],5),IF($M158="v",TEXT(SUMIFS(tblInv[المتبقي],tblInv[كود العميل],StCust,tblInv[الفترة],INDEX(tblBuckets[الفترة],5)),"#,##0.00;-#,##0.00;-"),"")))</f>
        <v/>
      </c>
      <c r="F158" s="119">
        <f>IF($M158="m",IF($O158&lt;&gt;"",INDEX(tblRec[المبلغ],$O158),0),IF($M158="l",INDEX(tblBuckets[الفترة],6),IF($M158="v",TEXT(SUMIFS(tblInv[المتبقي],tblInv[كود العميل],StCust,tblInv[الفترة],INDEX(tblBuckets[الفترة],6)),"#,##0.00;-#,##0.00;-"),"")))</f>
        <v/>
      </c>
      <c r="G158" s="120">
        <f>IF($M158="m",N(G157)+E158-F158,IF($M158="l",INDEX(tblBuckets[الفترة],7),IF($M158="v",TEXT(SUMIFS(tblInv[المتبقي],tblInv[كود العميل],StCust,tblInv[الفترة],INDEX(tblBuckets[الفترة],7)),"#,##0.00;-#,##0.00;-"),"")))</f>
        <v/>
      </c>
      <c r="L158" t="n">
        <v>153</v>
      </c>
      <c r="M158">
        <f>IF(L158&lt;=StCount,"m",IF(L158=StCount+2,"t",IF(L158=StCount+3,"l",IF(L158=StCount+4,"v",IF(L158=StCount+6,"p","")))))</f>
        <v/>
      </c>
      <c r="N158">
        <f>IF(M158="m",IFERROR(MATCH(L158,tblInv[ترتيب الكشف],0),""),"")</f>
        <v/>
      </c>
      <c r="O158">
        <f>IF(AND(M158="m",N158=""),IFERROR(MATCH(L158,tblRec[ترتيب الكشف],0),""),"")</f>
        <v/>
      </c>
    </row>
    <row r="159">
      <c r="A159" s="117">
        <f>IF($M159="m",IF($N159&lt;&gt;"",INDEX(tblInv[تاريخ الفاتورة],$N159),INDEX(tblRec[التاريخ],$O159)),IF($M159="l",INDEX(tblBuckets[الفترة],1),IF($M159="v",TEXT(SUMIFS(tblInv[المتبقي],tblInv[كود العميل],StCust,tblInv[الفترة],INDEX(tblBuckets[الفترة],1)),"#,##0.00;-#,##0.00;-"),"")))</f>
        <v/>
      </c>
      <c r="B159" s="83">
        <f>IF($M159="m",IF($N159&lt;&gt;"","فاتورة",INDEX(tblRec[النوع],$O159)),IF($M159="l",INDEX(tblBuckets[الفترة],2),IF($M159="v",TEXT(SUMIFS(tblInv[المتبقي],tblInv[كود العميل],StCust,tblInv[الفترة],INDEX(tblBuckets[الفترة],2)),"#,##0.00;-#,##0.00;-"),"")))</f>
        <v/>
      </c>
      <c r="C159" s="83">
        <f>IF($M159="m",IF($N159&lt;&gt;"",INDEX(tblInv[رقم الفاتورة],$N159),INDEX(tblRec[رقم السند],$O159)),IF($M159="l",INDEX(tblBuckets[الفترة],3),IF($M159="v",TEXT(SUMIFS(tblInv[المتبقي],tblInv[كود العميل],StCust,tblInv[الفترة],INDEX(tblBuckets[الفترة],3)),"#,##0.00;-#,##0.00;-"),"")))</f>
        <v/>
      </c>
      <c r="D159" s="118">
        <f>IF($M159="m",IF($N159&lt;&gt;"","فاتورة مبيعات — استحقاق "&amp;TEXT(INDEX(tblInv[تاريخ الاستحقاق],$N159),"dd/mm/yyyy")&amp;IF(INDEX(tblInv[ملاحظات],$N159)&amp;""&lt;&gt;""," — "&amp;INDEX(tblInv[ملاحظات],$N159),""),INDEX(tblRec[النوع],$O159)&amp;IF(INDEX(tblRec[طريقة الدفع],$O159)&amp;""&lt;&gt;""," ("&amp;INDEX(tblRec[طريقة الدفع],$O159)&amp;")","")&amp;IF(INDEX(tblRec[رقم الفاتورة],$O159)&amp;""&lt;&gt;""," — عن فاتورة "&amp;INDEX(tblRec[رقم الفاتورة],$O159)," — دفعة على الحساب")),IF($M159="l",INDEX(tblBuckets[الفترة],4),IF($M159="v",TEXT(SUMIFS(tblInv[المتبقي],tblInv[كود العميل],StCust,tblInv[الفترة],INDEX(tblBuckets[الفترة],4)),"#,##0.00;-#,##0.00;-"),IF($M159="t","ملخص أعمار رصيد العميل كما في "&amp;TEXT(AsOf,"dd/mm/yyyy"),IF($M159="p","يُرجى مطابقة الرصيد وإفادتنا خلال 15 يوماً، وإلا اعتُبر الرصيد صحيحاً.","")))))</f>
        <v/>
      </c>
      <c r="E159" s="119">
        <f>IF($M159="m",IF($N159&lt;&gt;"",INDEX(tblInv[الإجمالي],$N159),0),IF($M159="l",INDEX(tblBuckets[الفترة],5),IF($M159="v",TEXT(SUMIFS(tblInv[المتبقي],tblInv[كود العميل],StCust,tblInv[الفترة],INDEX(tblBuckets[الفترة],5)),"#,##0.00;-#,##0.00;-"),"")))</f>
        <v/>
      </c>
      <c r="F159" s="119">
        <f>IF($M159="m",IF($O159&lt;&gt;"",INDEX(tblRec[المبلغ],$O159),0),IF($M159="l",INDEX(tblBuckets[الفترة],6),IF($M159="v",TEXT(SUMIFS(tblInv[المتبقي],tblInv[كود العميل],StCust,tblInv[الفترة],INDEX(tblBuckets[الفترة],6)),"#,##0.00;-#,##0.00;-"),"")))</f>
        <v/>
      </c>
      <c r="G159" s="120">
        <f>IF($M159="m",N(G158)+E159-F159,IF($M159="l",INDEX(tblBuckets[الفترة],7),IF($M159="v",TEXT(SUMIFS(tblInv[المتبقي],tblInv[كود العميل],StCust,tblInv[الفترة],INDEX(tblBuckets[الفترة],7)),"#,##0.00;-#,##0.00;-"),"")))</f>
        <v/>
      </c>
      <c r="L159" t="n">
        <v>154</v>
      </c>
      <c r="M159">
        <f>IF(L159&lt;=StCount,"m",IF(L159=StCount+2,"t",IF(L159=StCount+3,"l",IF(L159=StCount+4,"v",IF(L159=StCount+6,"p","")))))</f>
        <v/>
      </c>
      <c r="N159">
        <f>IF(M159="m",IFERROR(MATCH(L159,tblInv[ترتيب الكشف],0),""),"")</f>
        <v/>
      </c>
      <c r="O159">
        <f>IF(AND(M159="m",N159=""),IFERROR(MATCH(L159,tblRec[ترتيب الكشف],0),""),"")</f>
        <v/>
      </c>
    </row>
    <row r="160">
      <c r="A160" s="117">
        <f>IF($M160="m",IF($N160&lt;&gt;"",INDEX(tblInv[تاريخ الفاتورة],$N160),INDEX(tblRec[التاريخ],$O160)),IF($M160="l",INDEX(tblBuckets[الفترة],1),IF($M160="v",TEXT(SUMIFS(tblInv[المتبقي],tblInv[كود العميل],StCust,tblInv[الفترة],INDEX(tblBuckets[الفترة],1)),"#,##0.00;-#,##0.00;-"),"")))</f>
        <v/>
      </c>
      <c r="B160" s="83">
        <f>IF($M160="m",IF($N160&lt;&gt;"","فاتورة",INDEX(tblRec[النوع],$O160)),IF($M160="l",INDEX(tblBuckets[الفترة],2),IF($M160="v",TEXT(SUMIFS(tblInv[المتبقي],tblInv[كود العميل],StCust,tblInv[الفترة],INDEX(tblBuckets[الفترة],2)),"#,##0.00;-#,##0.00;-"),"")))</f>
        <v/>
      </c>
      <c r="C160" s="83">
        <f>IF($M160="m",IF($N160&lt;&gt;"",INDEX(tblInv[رقم الفاتورة],$N160),INDEX(tblRec[رقم السند],$O160)),IF($M160="l",INDEX(tblBuckets[الفترة],3),IF($M160="v",TEXT(SUMIFS(tblInv[المتبقي],tblInv[كود العميل],StCust,tblInv[الفترة],INDEX(tblBuckets[الفترة],3)),"#,##0.00;-#,##0.00;-"),"")))</f>
        <v/>
      </c>
      <c r="D160" s="118">
        <f>IF($M160="m",IF($N160&lt;&gt;"","فاتورة مبيعات — استحقاق "&amp;TEXT(INDEX(tblInv[تاريخ الاستحقاق],$N160),"dd/mm/yyyy")&amp;IF(INDEX(tblInv[ملاحظات],$N160)&amp;""&lt;&gt;""," — "&amp;INDEX(tblInv[ملاحظات],$N160),""),INDEX(tblRec[النوع],$O160)&amp;IF(INDEX(tblRec[طريقة الدفع],$O160)&amp;""&lt;&gt;""," ("&amp;INDEX(tblRec[طريقة الدفع],$O160)&amp;")","")&amp;IF(INDEX(tblRec[رقم الفاتورة],$O160)&amp;""&lt;&gt;""," — عن فاتورة "&amp;INDEX(tblRec[رقم الفاتورة],$O160)," — دفعة على الحساب")),IF($M160="l",INDEX(tblBuckets[الفترة],4),IF($M160="v",TEXT(SUMIFS(tblInv[المتبقي],tblInv[كود العميل],StCust,tblInv[الفترة],INDEX(tblBuckets[الفترة],4)),"#,##0.00;-#,##0.00;-"),IF($M160="t","ملخص أعمار رصيد العميل كما في "&amp;TEXT(AsOf,"dd/mm/yyyy"),IF($M160="p","يُرجى مطابقة الرصيد وإفادتنا خلال 15 يوماً، وإلا اعتُبر الرصيد صحيحاً.","")))))</f>
        <v/>
      </c>
      <c r="E160" s="119">
        <f>IF($M160="m",IF($N160&lt;&gt;"",INDEX(tblInv[الإجمالي],$N160),0),IF($M160="l",INDEX(tblBuckets[الفترة],5),IF($M160="v",TEXT(SUMIFS(tblInv[المتبقي],tblInv[كود العميل],StCust,tblInv[الفترة],INDEX(tblBuckets[الفترة],5)),"#,##0.00;-#,##0.00;-"),"")))</f>
        <v/>
      </c>
      <c r="F160" s="119">
        <f>IF($M160="m",IF($O160&lt;&gt;"",INDEX(tblRec[المبلغ],$O160),0),IF($M160="l",INDEX(tblBuckets[الفترة],6),IF($M160="v",TEXT(SUMIFS(tblInv[المتبقي],tblInv[كود العميل],StCust,tblInv[الفترة],INDEX(tblBuckets[الفترة],6)),"#,##0.00;-#,##0.00;-"),"")))</f>
        <v/>
      </c>
      <c r="G160" s="120">
        <f>IF($M160="m",N(G159)+E160-F160,IF($M160="l",INDEX(tblBuckets[الفترة],7),IF($M160="v",TEXT(SUMIFS(tblInv[المتبقي],tblInv[كود العميل],StCust,tblInv[الفترة],INDEX(tblBuckets[الفترة],7)),"#,##0.00;-#,##0.00;-"),"")))</f>
        <v/>
      </c>
      <c r="L160" t="n">
        <v>155</v>
      </c>
      <c r="M160">
        <f>IF(L160&lt;=StCount,"m",IF(L160=StCount+2,"t",IF(L160=StCount+3,"l",IF(L160=StCount+4,"v",IF(L160=StCount+6,"p","")))))</f>
        <v/>
      </c>
      <c r="N160">
        <f>IF(M160="m",IFERROR(MATCH(L160,tblInv[ترتيب الكشف],0),""),"")</f>
        <v/>
      </c>
      <c r="O160">
        <f>IF(AND(M160="m",N160=""),IFERROR(MATCH(L160,tblRec[ترتيب الكشف],0),""),"")</f>
        <v/>
      </c>
    </row>
    <row r="161">
      <c r="A161" s="117">
        <f>IF($M161="m",IF($N161&lt;&gt;"",INDEX(tblInv[تاريخ الفاتورة],$N161),INDEX(tblRec[التاريخ],$O161)),IF($M161="l",INDEX(tblBuckets[الفترة],1),IF($M161="v",TEXT(SUMIFS(tblInv[المتبقي],tblInv[كود العميل],StCust,tblInv[الفترة],INDEX(tblBuckets[الفترة],1)),"#,##0.00;-#,##0.00;-"),"")))</f>
        <v/>
      </c>
      <c r="B161" s="83">
        <f>IF($M161="m",IF($N161&lt;&gt;"","فاتورة",INDEX(tblRec[النوع],$O161)),IF($M161="l",INDEX(tblBuckets[الفترة],2),IF($M161="v",TEXT(SUMIFS(tblInv[المتبقي],tblInv[كود العميل],StCust,tblInv[الفترة],INDEX(tblBuckets[الفترة],2)),"#,##0.00;-#,##0.00;-"),"")))</f>
        <v/>
      </c>
      <c r="C161" s="83">
        <f>IF($M161="m",IF($N161&lt;&gt;"",INDEX(tblInv[رقم الفاتورة],$N161),INDEX(tblRec[رقم السند],$O161)),IF($M161="l",INDEX(tblBuckets[الفترة],3),IF($M161="v",TEXT(SUMIFS(tblInv[المتبقي],tblInv[كود العميل],StCust,tblInv[الفترة],INDEX(tblBuckets[الفترة],3)),"#,##0.00;-#,##0.00;-"),"")))</f>
        <v/>
      </c>
      <c r="D161" s="118">
        <f>IF($M161="m",IF($N161&lt;&gt;"","فاتورة مبيعات — استحقاق "&amp;TEXT(INDEX(tblInv[تاريخ الاستحقاق],$N161),"dd/mm/yyyy")&amp;IF(INDEX(tblInv[ملاحظات],$N161)&amp;""&lt;&gt;""," — "&amp;INDEX(tblInv[ملاحظات],$N161),""),INDEX(tblRec[النوع],$O161)&amp;IF(INDEX(tblRec[طريقة الدفع],$O161)&amp;""&lt;&gt;""," ("&amp;INDEX(tblRec[طريقة الدفع],$O161)&amp;")","")&amp;IF(INDEX(tblRec[رقم الفاتورة],$O161)&amp;""&lt;&gt;""," — عن فاتورة "&amp;INDEX(tblRec[رقم الفاتورة],$O161)," — دفعة على الحساب")),IF($M161="l",INDEX(tblBuckets[الفترة],4),IF($M161="v",TEXT(SUMIFS(tblInv[المتبقي],tblInv[كود العميل],StCust,tblInv[الفترة],INDEX(tblBuckets[الفترة],4)),"#,##0.00;-#,##0.00;-"),IF($M161="t","ملخص أعمار رصيد العميل كما في "&amp;TEXT(AsOf,"dd/mm/yyyy"),IF($M161="p","يُرجى مطابقة الرصيد وإفادتنا خلال 15 يوماً، وإلا اعتُبر الرصيد صحيحاً.","")))))</f>
        <v/>
      </c>
      <c r="E161" s="119">
        <f>IF($M161="m",IF($N161&lt;&gt;"",INDEX(tblInv[الإجمالي],$N161),0),IF($M161="l",INDEX(tblBuckets[الفترة],5),IF($M161="v",TEXT(SUMIFS(tblInv[المتبقي],tblInv[كود العميل],StCust,tblInv[الفترة],INDEX(tblBuckets[الفترة],5)),"#,##0.00;-#,##0.00;-"),"")))</f>
        <v/>
      </c>
      <c r="F161" s="119">
        <f>IF($M161="m",IF($O161&lt;&gt;"",INDEX(tblRec[المبلغ],$O161),0),IF($M161="l",INDEX(tblBuckets[الفترة],6),IF($M161="v",TEXT(SUMIFS(tblInv[المتبقي],tblInv[كود العميل],StCust,tblInv[الفترة],INDEX(tblBuckets[الفترة],6)),"#,##0.00;-#,##0.00;-"),"")))</f>
        <v/>
      </c>
      <c r="G161" s="120">
        <f>IF($M161="m",N(G160)+E161-F161,IF($M161="l",INDEX(tblBuckets[الفترة],7),IF($M161="v",TEXT(SUMIFS(tblInv[المتبقي],tblInv[كود العميل],StCust,tblInv[الفترة],INDEX(tblBuckets[الفترة],7)),"#,##0.00;-#,##0.00;-"),"")))</f>
        <v/>
      </c>
      <c r="L161" t="n">
        <v>156</v>
      </c>
      <c r="M161">
        <f>IF(L161&lt;=StCount,"m",IF(L161=StCount+2,"t",IF(L161=StCount+3,"l",IF(L161=StCount+4,"v",IF(L161=StCount+6,"p","")))))</f>
        <v/>
      </c>
      <c r="N161">
        <f>IF(M161="m",IFERROR(MATCH(L161,tblInv[ترتيب الكشف],0),""),"")</f>
        <v/>
      </c>
      <c r="O161">
        <f>IF(AND(M161="m",N161=""),IFERROR(MATCH(L161,tblRec[ترتيب الكشف],0),""),"")</f>
        <v/>
      </c>
    </row>
    <row r="162">
      <c r="A162" s="117">
        <f>IF($M162="m",IF($N162&lt;&gt;"",INDEX(tblInv[تاريخ الفاتورة],$N162),INDEX(tblRec[التاريخ],$O162)),IF($M162="l",INDEX(tblBuckets[الفترة],1),IF($M162="v",TEXT(SUMIFS(tblInv[المتبقي],tblInv[كود العميل],StCust,tblInv[الفترة],INDEX(tblBuckets[الفترة],1)),"#,##0.00;-#,##0.00;-"),"")))</f>
        <v/>
      </c>
      <c r="B162" s="83">
        <f>IF($M162="m",IF($N162&lt;&gt;"","فاتورة",INDEX(tblRec[النوع],$O162)),IF($M162="l",INDEX(tblBuckets[الفترة],2),IF($M162="v",TEXT(SUMIFS(tblInv[المتبقي],tblInv[كود العميل],StCust,tblInv[الفترة],INDEX(tblBuckets[الفترة],2)),"#,##0.00;-#,##0.00;-"),"")))</f>
        <v/>
      </c>
      <c r="C162" s="83">
        <f>IF($M162="m",IF($N162&lt;&gt;"",INDEX(tblInv[رقم الفاتورة],$N162),INDEX(tblRec[رقم السند],$O162)),IF($M162="l",INDEX(tblBuckets[الفترة],3),IF($M162="v",TEXT(SUMIFS(tblInv[المتبقي],tblInv[كود العميل],StCust,tblInv[الفترة],INDEX(tblBuckets[الفترة],3)),"#,##0.00;-#,##0.00;-"),"")))</f>
        <v/>
      </c>
      <c r="D162" s="118">
        <f>IF($M162="m",IF($N162&lt;&gt;"","فاتورة مبيعات — استحقاق "&amp;TEXT(INDEX(tblInv[تاريخ الاستحقاق],$N162),"dd/mm/yyyy")&amp;IF(INDEX(tblInv[ملاحظات],$N162)&amp;""&lt;&gt;""," — "&amp;INDEX(tblInv[ملاحظات],$N162),""),INDEX(tblRec[النوع],$O162)&amp;IF(INDEX(tblRec[طريقة الدفع],$O162)&amp;""&lt;&gt;""," ("&amp;INDEX(tblRec[طريقة الدفع],$O162)&amp;")","")&amp;IF(INDEX(tblRec[رقم الفاتورة],$O162)&amp;""&lt;&gt;""," — عن فاتورة "&amp;INDEX(tblRec[رقم الفاتورة],$O162)," — دفعة على الحساب")),IF($M162="l",INDEX(tblBuckets[الفترة],4),IF($M162="v",TEXT(SUMIFS(tblInv[المتبقي],tblInv[كود العميل],StCust,tblInv[الفترة],INDEX(tblBuckets[الفترة],4)),"#,##0.00;-#,##0.00;-"),IF($M162="t","ملخص أعمار رصيد العميل كما في "&amp;TEXT(AsOf,"dd/mm/yyyy"),IF($M162="p","يُرجى مطابقة الرصيد وإفادتنا خلال 15 يوماً، وإلا اعتُبر الرصيد صحيحاً.","")))))</f>
        <v/>
      </c>
      <c r="E162" s="119">
        <f>IF($M162="m",IF($N162&lt;&gt;"",INDEX(tblInv[الإجمالي],$N162),0),IF($M162="l",INDEX(tblBuckets[الفترة],5),IF($M162="v",TEXT(SUMIFS(tblInv[المتبقي],tblInv[كود العميل],StCust,tblInv[الفترة],INDEX(tblBuckets[الفترة],5)),"#,##0.00;-#,##0.00;-"),"")))</f>
        <v/>
      </c>
      <c r="F162" s="119">
        <f>IF($M162="m",IF($O162&lt;&gt;"",INDEX(tblRec[المبلغ],$O162),0),IF($M162="l",INDEX(tblBuckets[الفترة],6),IF($M162="v",TEXT(SUMIFS(tblInv[المتبقي],tblInv[كود العميل],StCust,tblInv[الفترة],INDEX(tblBuckets[الفترة],6)),"#,##0.00;-#,##0.00;-"),"")))</f>
        <v/>
      </c>
      <c r="G162" s="120">
        <f>IF($M162="m",N(G161)+E162-F162,IF($M162="l",INDEX(tblBuckets[الفترة],7),IF($M162="v",TEXT(SUMIFS(tblInv[المتبقي],tblInv[كود العميل],StCust,tblInv[الفترة],INDEX(tblBuckets[الفترة],7)),"#,##0.00;-#,##0.00;-"),"")))</f>
        <v/>
      </c>
      <c r="L162" t="n">
        <v>157</v>
      </c>
      <c r="M162">
        <f>IF(L162&lt;=StCount,"m",IF(L162=StCount+2,"t",IF(L162=StCount+3,"l",IF(L162=StCount+4,"v",IF(L162=StCount+6,"p","")))))</f>
        <v/>
      </c>
      <c r="N162">
        <f>IF(M162="m",IFERROR(MATCH(L162,tblInv[ترتيب الكشف],0),""),"")</f>
        <v/>
      </c>
      <c r="O162">
        <f>IF(AND(M162="m",N162=""),IFERROR(MATCH(L162,tblRec[ترتيب الكشف],0),""),"")</f>
        <v/>
      </c>
    </row>
    <row r="163">
      <c r="A163" s="117">
        <f>IF($M163="m",IF($N163&lt;&gt;"",INDEX(tblInv[تاريخ الفاتورة],$N163),INDEX(tblRec[التاريخ],$O163)),IF($M163="l",INDEX(tblBuckets[الفترة],1),IF($M163="v",TEXT(SUMIFS(tblInv[المتبقي],tblInv[كود العميل],StCust,tblInv[الفترة],INDEX(tblBuckets[الفترة],1)),"#,##0.00;-#,##0.00;-"),"")))</f>
        <v/>
      </c>
      <c r="B163" s="83">
        <f>IF($M163="m",IF($N163&lt;&gt;"","فاتورة",INDEX(tblRec[النوع],$O163)),IF($M163="l",INDEX(tblBuckets[الفترة],2),IF($M163="v",TEXT(SUMIFS(tblInv[المتبقي],tblInv[كود العميل],StCust,tblInv[الفترة],INDEX(tblBuckets[الفترة],2)),"#,##0.00;-#,##0.00;-"),"")))</f>
        <v/>
      </c>
      <c r="C163" s="83">
        <f>IF($M163="m",IF($N163&lt;&gt;"",INDEX(tblInv[رقم الفاتورة],$N163),INDEX(tblRec[رقم السند],$O163)),IF($M163="l",INDEX(tblBuckets[الفترة],3),IF($M163="v",TEXT(SUMIFS(tblInv[المتبقي],tblInv[كود العميل],StCust,tblInv[الفترة],INDEX(tblBuckets[الفترة],3)),"#,##0.00;-#,##0.00;-"),"")))</f>
        <v/>
      </c>
      <c r="D163" s="118">
        <f>IF($M163="m",IF($N163&lt;&gt;"","فاتورة مبيعات — استحقاق "&amp;TEXT(INDEX(tblInv[تاريخ الاستحقاق],$N163),"dd/mm/yyyy")&amp;IF(INDEX(tblInv[ملاحظات],$N163)&amp;""&lt;&gt;""," — "&amp;INDEX(tblInv[ملاحظات],$N163),""),INDEX(tblRec[النوع],$O163)&amp;IF(INDEX(tblRec[طريقة الدفع],$O163)&amp;""&lt;&gt;""," ("&amp;INDEX(tblRec[طريقة الدفع],$O163)&amp;")","")&amp;IF(INDEX(tblRec[رقم الفاتورة],$O163)&amp;""&lt;&gt;""," — عن فاتورة "&amp;INDEX(tblRec[رقم الفاتورة],$O163)," — دفعة على الحساب")),IF($M163="l",INDEX(tblBuckets[الفترة],4),IF($M163="v",TEXT(SUMIFS(tblInv[المتبقي],tblInv[كود العميل],StCust,tblInv[الفترة],INDEX(tblBuckets[الفترة],4)),"#,##0.00;-#,##0.00;-"),IF($M163="t","ملخص أعمار رصيد العميل كما في "&amp;TEXT(AsOf,"dd/mm/yyyy"),IF($M163="p","يُرجى مطابقة الرصيد وإفادتنا خلال 15 يوماً، وإلا اعتُبر الرصيد صحيحاً.","")))))</f>
        <v/>
      </c>
      <c r="E163" s="119">
        <f>IF($M163="m",IF($N163&lt;&gt;"",INDEX(tblInv[الإجمالي],$N163),0),IF($M163="l",INDEX(tblBuckets[الفترة],5),IF($M163="v",TEXT(SUMIFS(tblInv[المتبقي],tblInv[كود العميل],StCust,tblInv[الفترة],INDEX(tblBuckets[الفترة],5)),"#,##0.00;-#,##0.00;-"),"")))</f>
        <v/>
      </c>
      <c r="F163" s="119">
        <f>IF($M163="m",IF($O163&lt;&gt;"",INDEX(tblRec[المبلغ],$O163),0),IF($M163="l",INDEX(tblBuckets[الفترة],6),IF($M163="v",TEXT(SUMIFS(tblInv[المتبقي],tblInv[كود العميل],StCust,tblInv[الفترة],INDEX(tblBuckets[الفترة],6)),"#,##0.00;-#,##0.00;-"),"")))</f>
        <v/>
      </c>
      <c r="G163" s="120">
        <f>IF($M163="m",N(G162)+E163-F163,IF($M163="l",INDEX(tblBuckets[الفترة],7),IF($M163="v",TEXT(SUMIFS(tblInv[المتبقي],tblInv[كود العميل],StCust,tblInv[الفترة],INDEX(tblBuckets[الفترة],7)),"#,##0.00;-#,##0.00;-"),"")))</f>
        <v/>
      </c>
      <c r="L163" t="n">
        <v>158</v>
      </c>
      <c r="M163">
        <f>IF(L163&lt;=StCount,"m",IF(L163=StCount+2,"t",IF(L163=StCount+3,"l",IF(L163=StCount+4,"v",IF(L163=StCount+6,"p","")))))</f>
        <v/>
      </c>
      <c r="N163">
        <f>IF(M163="m",IFERROR(MATCH(L163,tblInv[ترتيب الكشف],0),""),"")</f>
        <v/>
      </c>
      <c r="O163">
        <f>IF(AND(M163="m",N163=""),IFERROR(MATCH(L163,tblRec[ترتيب الكشف],0),""),"")</f>
        <v/>
      </c>
    </row>
    <row r="164">
      <c r="A164" s="117">
        <f>IF($M164="m",IF($N164&lt;&gt;"",INDEX(tblInv[تاريخ الفاتورة],$N164),INDEX(tblRec[التاريخ],$O164)),IF($M164="l",INDEX(tblBuckets[الفترة],1),IF($M164="v",TEXT(SUMIFS(tblInv[المتبقي],tblInv[كود العميل],StCust,tblInv[الفترة],INDEX(tblBuckets[الفترة],1)),"#,##0.00;-#,##0.00;-"),"")))</f>
        <v/>
      </c>
      <c r="B164" s="83">
        <f>IF($M164="m",IF($N164&lt;&gt;"","فاتورة",INDEX(tblRec[النوع],$O164)),IF($M164="l",INDEX(tblBuckets[الفترة],2),IF($M164="v",TEXT(SUMIFS(tblInv[المتبقي],tblInv[كود العميل],StCust,tblInv[الفترة],INDEX(tblBuckets[الفترة],2)),"#,##0.00;-#,##0.00;-"),"")))</f>
        <v/>
      </c>
      <c r="C164" s="83">
        <f>IF($M164="m",IF($N164&lt;&gt;"",INDEX(tblInv[رقم الفاتورة],$N164),INDEX(tblRec[رقم السند],$O164)),IF($M164="l",INDEX(tblBuckets[الفترة],3),IF($M164="v",TEXT(SUMIFS(tblInv[المتبقي],tblInv[كود العميل],StCust,tblInv[الفترة],INDEX(tblBuckets[الفترة],3)),"#,##0.00;-#,##0.00;-"),"")))</f>
        <v/>
      </c>
      <c r="D164" s="118">
        <f>IF($M164="m",IF($N164&lt;&gt;"","فاتورة مبيعات — استحقاق "&amp;TEXT(INDEX(tblInv[تاريخ الاستحقاق],$N164),"dd/mm/yyyy")&amp;IF(INDEX(tblInv[ملاحظات],$N164)&amp;""&lt;&gt;""," — "&amp;INDEX(tblInv[ملاحظات],$N164),""),INDEX(tblRec[النوع],$O164)&amp;IF(INDEX(tblRec[طريقة الدفع],$O164)&amp;""&lt;&gt;""," ("&amp;INDEX(tblRec[طريقة الدفع],$O164)&amp;")","")&amp;IF(INDEX(tblRec[رقم الفاتورة],$O164)&amp;""&lt;&gt;""," — عن فاتورة "&amp;INDEX(tblRec[رقم الفاتورة],$O164)," — دفعة على الحساب")),IF($M164="l",INDEX(tblBuckets[الفترة],4),IF($M164="v",TEXT(SUMIFS(tblInv[المتبقي],tblInv[كود العميل],StCust,tblInv[الفترة],INDEX(tblBuckets[الفترة],4)),"#,##0.00;-#,##0.00;-"),IF($M164="t","ملخص أعمار رصيد العميل كما في "&amp;TEXT(AsOf,"dd/mm/yyyy"),IF($M164="p","يُرجى مطابقة الرصيد وإفادتنا خلال 15 يوماً، وإلا اعتُبر الرصيد صحيحاً.","")))))</f>
        <v/>
      </c>
      <c r="E164" s="119">
        <f>IF($M164="m",IF($N164&lt;&gt;"",INDEX(tblInv[الإجمالي],$N164),0),IF($M164="l",INDEX(tblBuckets[الفترة],5),IF($M164="v",TEXT(SUMIFS(tblInv[المتبقي],tblInv[كود العميل],StCust,tblInv[الفترة],INDEX(tblBuckets[الفترة],5)),"#,##0.00;-#,##0.00;-"),"")))</f>
        <v/>
      </c>
      <c r="F164" s="119">
        <f>IF($M164="m",IF($O164&lt;&gt;"",INDEX(tblRec[المبلغ],$O164),0),IF($M164="l",INDEX(tblBuckets[الفترة],6),IF($M164="v",TEXT(SUMIFS(tblInv[المتبقي],tblInv[كود العميل],StCust,tblInv[الفترة],INDEX(tblBuckets[الفترة],6)),"#,##0.00;-#,##0.00;-"),"")))</f>
        <v/>
      </c>
      <c r="G164" s="120">
        <f>IF($M164="m",N(G163)+E164-F164,IF($M164="l",INDEX(tblBuckets[الفترة],7),IF($M164="v",TEXT(SUMIFS(tblInv[المتبقي],tblInv[كود العميل],StCust,tblInv[الفترة],INDEX(tblBuckets[الفترة],7)),"#,##0.00;-#,##0.00;-"),"")))</f>
        <v/>
      </c>
      <c r="L164" t="n">
        <v>159</v>
      </c>
      <c r="M164">
        <f>IF(L164&lt;=StCount,"m",IF(L164=StCount+2,"t",IF(L164=StCount+3,"l",IF(L164=StCount+4,"v",IF(L164=StCount+6,"p","")))))</f>
        <v/>
      </c>
      <c r="N164">
        <f>IF(M164="m",IFERROR(MATCH(L164,tblInv[ترتيب الكشف],0),""),"")</f>
        <v/>
      </c>
      <c r="O164">
        <f>IF(AND(M164="m",N164=""),IFERROR(MATCH(L164,tblRec[ترتيب الكشف],0),""),"")</f>
        <v/>
      </c>
    </row>
    <row r="165">
      <c r="A165" s="117">
        <f>IF($M165="m",IF($N165&lt;&gt;"",INDEX(tblInv[تاريخ الفاتورة],$N165),INDEX(tblRec[التاريخ],$O165)),IF($M165="l",INDEX(tblBuckets[الفترة],1),IF($M165="v",TEXT(SUMIFS(tblInv[المتبقي],tblInv[كود العميل],StCust,tblInv[الفترة],INDEX(tblBuckets[الفترة],1)),"#,##0.00;-#,##0.00;-"),"")))</f>
        <v/>
      </c>
      <c r="B165" s="83">
        <f>IF($M165="m",IF($N165&lt;&gt;"","فاتورة",INDEX(tblRec[النوع],$O165)),IF($M165="l",INDEX(tblBuckets[الفترة],2),IF($M165="v",TEXT(SUMIFS(tblInv[المتبقي],tblInv[كود العميل],StCust,tblInv[الفترة],INDEX(tblBuckets[الفترة],2)),"#,##0.00;-#,##0.00;-"),"")))</f>
        <v/>
      </c>
      <c r="C165" s="83">
        <f>IF($M165="m",IF($N165&lt;&gt;"",INDEX(tblInv[رقم الفاتورة],$N165),INDEX(tblRec[رقم السند],$O165)),IF($M165="l",INDEX(tblBuckets[الفترة],3),IF($M165="v",TEXT(SUMIFS(tblInv[المتبقي],tblInv[كود العميل],StCust,tblInv[الفترة],INDEX(tblBuckets[الفترة],3)),"#,##0.00;-#,##0.00;-"),"")))</f>
        <v/>
      </c>
      <c r="D165" s="118">
        <f>IF($M165="m",IF($N165&lt;&gt;"","فاتورة مبيعات — استحقاق "&amp;TEXT(INDEX(tblInv[تاريخ الاستحقاق],$N165),"dd/mm/yyyy")&amp;IF(INDEX(tblInv[ملاحظات],$N165)&amp;""&lt;&gt;""," — "&amp;INDEX(tblInv[ملاحظات],$N165),""),INDEX(tblRec[النوع],$O165)&amp;IF(INDEX(tblRec[طريقة الدفع],$O165)&amp;""&lt;&gt;""," ("&amp;INDEX(tblRec[طريقة الدفع],$O165)&amp;")","")&amp;IF(INDEX(tblRec[رقم الفاتورة],$O165)&amp;""&lt;&gt;""," — عن فاتورة "&amp;INDEX(tblRec[رقم الفاتورة],$O165)," — دفعة على الحساب")),IF($M165="l",INDEX(tblBuckets[الفترة],4),IF($M165="v",TEXT(SUMIFS(tblInv[المتبقي],tblInv[كود العميل],StCust,tblInv[الفترة],INDEX(tblBuckets[الفترة],4)),"#,##0.00;-#,##0.00;-"),IF($M165="t","ملخص أعمار رصيد العميل كما في "&amp;TEXT(AsOf,"dd/mm/yyyy"),IF($M165="p","يُرجى مطابقة الرصيد وإفادتنا خلال 15 يوماً، وإلا اعتُبر الرصيد صحيحاً.","")))))</f>
        <v/>
      </c>
      <c r="E165" s="119">
        <f>IF($M165="m",IF($N165&lt;&gt;"",INDEX(tblInv[الإجمالي],$N165),0),IF($M165="l",INDEX(tblBuckets[الفترة],5),IF($M165="v",TEXT(SUMIFS(tblInv[المتبقي],tblInv[كود العميل],StCust,tblInv[الفترة],INDEX(tblBuckets[الفترة],5)),"#,##0.00;-#,##0.00;-"),"")))</f>
        <v/>
      </c>
      <c r="F165" s="119">
        <f>IF($M165="m",IF($O165&lt;&gt;"",INDEX(tblRec[المبلغ],$O165),0),IF($M165="l",INDEX(tblBuckets[الفترة],6),IF($M165="v",TEXT(SUMIFS(tblInv[المتبقي],tblInv[كود العميل],StCust,tblInv[الفترة],INDEX(tblBuckets[الفترة],6)),"#,##0.00;-#,##0.00;-"),"")))</f>
        <v/>
      </c>
      <c r="G165" s="120">
        <f>IF($M165="m",N(G164)+E165-F165,IF($M165="l",INDEX(tblBuckets[الفترة],7),IF($M165="v",TEXT(SUMIFS(tblInv[المتبقي],tblInv[كود العميل],StCust,tblInv[الفترة],INDEX(tblBuckets[الفترة],7)),"#,##0.00;-#,##0.00;-"),"")))</f>
        <v/>
      </c>
      <c r="L165" t="n">
        <v>160</v>
      </c>
      <c r="M165">
        <f>IF(L165&lt;=StCount,"m",IF(L165=StCount+2,"t",IF(L165=StCount+3,"l",IF(L165=StCount+4,"v",IF(L165=StCount+6,"p","")))))</f>
        <v/>
      </c>
      <c r="N165">
        <f>IF(M165="m",IFERROR(MATCH(L165,tblInv[ترتيب الكشف],0),""),"")</f>
        <v/>
      </c>
      <c r="O165">
        <f>IF(AND(M165="m",N165=""),IFERROR(MATCH(L165,tblRec[ترتيب الكشف],0),""),"")</f>
        <v/>
      </c>
    </row>
    <row r="166">
      <c r="A166" s="117">
        <f>IF($M166="m",IF($N166&lt;&gt;"",INDEX(tblInv[تاريخ الفاتورة],$N166),INDEX(tblRec[التاريخ],$O166)),IF($M166="l",INDEX(tblBuckets[الفترة],1),IF($M166="v",TEXT(SUMIFS(tblInv[المتبقي],tblInv[كود العميل],StCust,tblInv[الفترة],INDEX(tblBuckets[الفترة],1)),"#,##0.00;-#,##0.00;-"),"")))</f>
        <v/>
      </c>
      <c r="B166" s="83">
        <f>IF($M166="m",IF($N166&lt;&gt;"","فاتورة",INDEX(tblRec[النوع],$O166)),IF($M166="l",INDEX(tblBuckets[الفترة],2),IF($M166="v",TEXT(SUMIFS(tblInv[المتبقي],tblInv[كود العميل],StCust,tblInv[الفترة],INDEX(tblBuckets[الفترة],2)),"#,##0.00;-#,##0.00;-"),"")))</f>
        <v/>
      </c>
      <c r="C166" s="83">
        <f>IF($M166="m",IF($N166&lt;&gt;"",INDEX(tblInv[رقم الفاتورة],$N166),INDEX(tblRec[رقم السند],$O166)),IF($M166="l",INDEX(tblBuckets[الفترة],3),IF($M166="v",TEXT(SUMIFS(tblInv[المتبقي],tblInv[كود العميل],StCust,tblInv[الفترة],INDEX(tblBuckets[الفترة],3)),"#,##0.00;-#,##0.00;-"),"")))</f>
        <v/>
      </c>
      <c r="D166" s="118">
        <f>IF($M166="m",IF($N166&lt;&gt;"","فاتورة مبيعات — استحقاق "&amp;TEXT(INDEX(tblInv[تاريخ الاستحقاق],$N166),"dd/mm/yyyy")&amp;IF(INDEX(tblInv[ملاحظات],$N166)&amp;""&lt;&gt;""," — "&amp;INDEX(tblInv[ملاحظات],$N166),""),INDEX(tblRec[النوع],$O166)&amp;IF(INDEX(tblRec[طريقة الدفع],$O166)&amp;""&lt;&gt;""," ("&amp;INDEX(tblRec[طريقة الدفع],$O166)&amp;")","")&amp;IF(INDEX(tblRec[رقم الفاتورة],$O166)&amp;""&lt;&gt;""," — عن فاتورة "&amp;INDEX(tblRec[رقم الفاتورة],$O166)," — دفعة على الحساب")),IF($M166="l",INDEX(tblBuckets[الفترة],4),IF($M166="v",TEXT(SUMIFS(tblInv[المتبقي],tblInv[كود العميل],StCust,tblInv[الفترة],INDEX(tblBuckets[الفترة],4)),"#,##0.00;-#,##0.00;-"),IF($M166="t","ملخص أعمار رصيد العميل كما في "&amp;TEXT(AsOf,"dd/mm/yyyy"),IF($M166="p","يُرجى مطابقة الرصيد وإفادتنا خلال 15 يوماً، وإلا اعتُبر الرصيد صحيحاً.","")))))</f>
        <v/>
      </c>
      <c r="E166" s="119">
        <f>IF($M166="m",IF($N166&lt;&gt;"",INDEX(tblInv[الإجمالي],$N166),0),IF($M166="l",INDEX(tblBuckets[الفترة],5),IF($M166="v",TEXT(SUMIFS(tblInv[المتبقي],tblInv[كود العميل],StCust,tblInv[الفترة],INDEX(tblBuckets[الفترة],5)),"#,##0.00;-#,##0.00;-"),"")))</f>
        <v/>
      </c>
      <c r="F166" s="119">
        <f>IF($M166="m",IF($O166&lt;&gt;"",INDEX(tblRec[المبلغ],$O166),0),IF($M166="l",INDEX(tblBuckets[الفترة],6),IF($M166="v",TEXT(SUMIFS(tblInv[المتبقي],tblInv[كود العميل],StCust,tblInv[الفترة],INDEX(tblBuckets[الفترة],6)),"#,##0.00;-#,##0.00;-"),"")))</f>
        <v/>
      </c>
      <c r="G166" s="120">
        <f>IF($M166="m",N(G165)+E166-F166,IF($M166="l",INDEX(tblBuckets[الفترة],7),IF($M166="v",TEXT(SUMIFS(tblInv[المتبقي],tblInv[كود العميل],StCust,tblInv[الفترة],INDEX(tblBuckets[الفترة],7)),"#,##0.00;-#,##0.00;-"),"")))</f>
        <v/>
      </c>
      <c r="L166" t="n">
        <v>161</v>
      </c>
      <c r="M166">
        <f>IF(L166&lt;=StCount,"m",IF(L166=StCount+2,"t",IF(L166=StCount+3,"l",IF(L166=StCount+4,"v",IF(L166=StCount+6,"p","")))))</f>
        <v/>
      </c>
      <c r="N166">
        <f>IF(M166="m",IFERROR(MATCH(L166,tblInv[ترتيب الكشف],0),""),"")</f>
        <v/>
      </c>
      <c r="O166">
        <f>IF(AND(M166="m",N166=""),IFERROR(MATCH(L166,tblRec[ترتيب الكشف],0),""),"")</f>
        <v/>
      </c>
    </row>
    <row r="167">
      <c r="A167" s="117">
        <f>IF($M167="m",IF($N167&lt;&gt;"",INDEX(tblInv[تاريخ الفاتورة],$N167),INDEX(tblRec[التاريخ],$O167)),IF($M167="l",INDEX(tblBuckets[الفترة],1),IF($M167="v",TEXT(SUMIFS(tblInv[المتبقي],tblInv[كود العميل],StCust,tblInv[الفترة],INDEX(tblBuckets[الفترة],1)),"#,##0.00;-#,##0.00;-"),"")))</f>
        <v/>
      </c>
      <c r="B167" s="83">
        <f>IF($M167="m",IF($N167&lt;&gt;"","فاتورة",INDEX(tblRec[النوع],$O167)),IF($M167="l",INDEX(tblBuckets[الفترة],2),IF($M167="v",TEXT(SUMIFS(tblInv[المتبقي],tblInv[كود العميل],StCust,tblInv[الفترة],INDEX(tblBuckets[الفترة],2)),"#,##0.00;-#,##0.00;-"),"")))</f>
        <v/>
      </c>
      <c r="C167" s="83">
        <f>IF($M167="m",IF($N167&lt;&gt;"",INDEX(tblInv[رقم الفاتورة],$N167),INDEX(tblRec[رقم السند],$O167)),IF($M167="l",INDEX(tblBuckets[الفترة],3),IF($M167="v",TEXT(SUMIFS(tblInv[المتبقي],tblInv[كود العميل],StCust,tblInv[الفترة],INDEX(tblBuckets[الفترة],3)),"#,##0.00;-#,##0.00;-"),"")))</f>
        <v/>
      </c>
      <c r="D167" s="118">
        <f>IF($M167="m",IF($N167&lt;&gt;"","فاتورة مبيعات — استحقاق "&amp;TEXT(INDEX(tblInv[تاريخ الاستحقاق],$N167),"dd/mm/yyyy")&amp;IF(INDEX(tblInv[ملاحظات],$N167)&amp;""&lt;&gt;""," — "&amp;INDEX(tblInv[ملاحظات],$N167),""),INDEX(tblRec[النوع],$O167)&amp;IF(INDEX(tblRec[طريقة الدفع],$O167)&amp;""&lt;&gt;""," ("&amp;INDEX(tblRec[طريقة الدفع],$O167)&amp;")","")&amp;IF(INDEX(tblRec[رقم الفاتورة],$O167)&amp;""&lt;&gt;""," — عن فاتورة "&amp;INDEX(tblRec[رقم الفاتورة],$O167)," — دفعة على الحساب")),IF($M167="l",INDEX(tblBuckets[الفترة],4),IF($M167="v",TEXT(SUMIFS(tblInv[المتبقي],tblInv[كود العميل],StCust,tblInv[الفترة],INDEX(tblBuckets[الفترة],4)),"#,##0.00;-#,##0.00;-"),IF($M167="t","ملخص أعمار رصيد العميل كما في "&amp;TEXT(AsOf,"dd/mm/yyyy"),IF($M167="p","يُرجى مطابقة الرصيد وإفادتنا خلال 15 يوماً، وإلا اعتُبر الرصيد صحيحاً.","")))))</f>
        <v/>
      </c>
      <c r="E167" s="119">
        <f>IF($M167="m",IF($N167&lt;&gt;"",INDEX(tblInv[الإجمالي],$N167),0),IF($M167="l",INDEX(tblBuckets[الفترة],5),IF($M167="v",TEXT(SUMIFS(tblInv[المتبقي],tblInv[كود العميل],StCust,tblInv[الفترة],INDEX(tblBuckets[الفترة],5)),"#,##0.00;-#,##0.00;-"),"")))</f>
        <v/>
      </c>
      <c r="F167" s="119">
        <f>IF($M167="m",IF($O167&lt;&gt;"",INDEX(tblRec[المبلغ],$O167),0),IF($M167="l",INDEX(tblBuckets[الفترة],6),IF($M167="v",TEXT(SUMIFS(tblInv[المتبقي],tblInv[كود العميل],StCust,tblInv[الفترة],INDEX(tblBuckets[الفترة],6)),"#,##0.00;-#,##0.00;-"),"")))</f>
        <v/>
      </c>
      <c r="G167" s="120">
        <f>IF($M167="m",N(G166)+E167-F167,IF($M167="l",INDEX(tblBuckets[الفترة],7),IF($M167="v",TEXT(SUMIFS(tblInv[المتبقي],tblInv[كود العميل],StCust,tblInv[الفترة],INDEX(tblBuckets[الفترة],7)),"#,##0.00;-#,##0.00;-"),"")))</f>
        <v/>
      </c>
      <c r="L167" t="n">
        <v>162</v>
      </c>
      <c r="M167">
        <f>IF(L167&lt;=StCount,"m",IF(L167=StCount+2,"t",IF(L167=StCount+3,"l",IF(L167=StCount+4,"v",IF(L167=StCount+6,"p","")))))</f>
        <v/>
      </c>
      <c r="N167">
        <f>IF(M167="m",IFERROR(MATCH(L167,tblInv[ترتيب الكشف],0),""),"")</f>
        <v/>
      </c>
      <c r="O167">
        <f>IF(AND(M167="m",N167=""),IFERROR(MATCH(L167,tblRec[ترتيب الكشف],0),""),"")</f>
        <v/>
      </c>
    </row>
    <row r="168">
      <c r="A168" s="117">
        <f>IF($M168="m",IF($N168&lt;&gt;"",INDEX(tblInv[تاريخ الفاتورة],$N168),INDEX(tblRec[التاريخ],$O168)),IF($M168="l",INDEX(tblBuckets[الفترة],1),IF($M168="v",TEXT(SUMIFS(tblInv[المتبقي],tblInv[كود العميل],StCust,tblInv[الفترة],INDEX(tblBuckets[الفترة],1)),"#,##0.00;-#,##0.00;-"),"")))</f>
        <v/>
      </c>
      <c r="B168" s="83">
        <f>IF($M168="m",IF($N168&lt;&gt;"","فاتورة",INDEX(tblRec[النوع],$O168)),IF($M168="l",INDEX(tblBuckets[الفترة],2),IF($M168="v",TEXT(SUMIFS(tblInv[المتبقي],tblInv[كود العميل],StCust,tblInv[الفترة],INDEX(tblBuckets[الفترة],2)),"#,##0.00;-#,##0.00;-"),"")))</f>
        <v/>
      </c>
      <c r="C168" s="83">
        <f>IF($M168="m",IF($N168&lt;&gt;"",INDEX(tblInv[رقم الفاتورة],$N168),INDEX(tblRec[رقم السند],$O168)),IF($M168="l",INDEX(tblBuckets[الفترة],3),IF($M168="v",TEXT(SUMIFS(tblInv[المتبقي],tblInv[كود العميل],StCust,tblInv[الفترة],INDEX(tblBuckets[الفترة],3)),"#,##0.00;-#,##0.00;-"),"")))</f>
        <v/>
      </c>
      <c r="D168" s="118">
        <f>IF($M168="m",IF($N168&lt;&gt;"","فاتورة مبيعات — استحقاق "&amp;TEXT(INDEX(tblInv[تاريخ الاستحقاق],$N168),"dd/mm/yyyy")&amp;IF(INDEX(tblInv[ملاحظات],$N168)&amp;""&lt;&gt;""," — "&amp;INDEX(tblInv[ملاحظات],$N168),""),INDEX(tblRec[النوع],$O168)&amp;IF(INDEX(tblRec[طريقة الدفع],$O168)&amp;""&lt;&gt;""," ("&amp;INDEX(tblRec[طريقة الدفع],$O168)&amp;")","")&amp;IF(INDEX(tblRec[رقم الفاتورة],$O168)&amp;""&lt;&gt;""," — عن فاتورة "&amp;INDEX(tblRec[رقم الفاتورة],$O168)," — دفعة على الحساب")),IF($M168="l",INDEX(tblBuckets[الفترة],4),IF($M168="v",TEXT(SUMIFS(tblInv[المتبقي],tblInv[كود العميل],StCust,tblInv[الفترة],INDEX(tblBuckets[الفترة],4)),"#,##0.00;-#,##0.00;-"),IF($M168="t","ملخص أعمار رصيد العميل كما في "&amp;TEXT(AsOf,"dd/mm/yyyy"),IF($M168="p","يُرجى مطابقة الرصيد وإفادتنا خلال 15 يوماً، وإلا اعتُبر الرصيد صحيحاً.","")))))</f>
        <v/>
      </c>
      <c r="E168" s="119">
        <f>IF($M168="m",IF($N168&lt;&gt;"",INDEX(tblInv[الإجمالي],$N168),0),IF($M168="l",INDEX(tblBuckets[الفترة],5),IF($M168="v",TEXT(SUMIFS(tblInv[المتبقي],tblInv[كود العميل],StCust,tblInv[الفترة],INDEX(tblBuckets[الفترة],5)),"#,##0.00;-#,##0.00;-"),"")))</f>
        <v/>
      </c>
      <c r="F168" s="119">
        <f>IF($M168="m",IF($O168&lt;&gt;"",INDEX(tblRec[المبلغ],$O168),0),IF($M168="l",INDEX(tblBuckets[الفترة],6),IF($M168="v",TEXT(SUMIFS(tblInv[المتبقي],tblInv[كود العميل],StCust,tblInv[الفترة],INDEX(tblBuckets[الفترة],6)),"#,##0.00;-#,##0.00;-"),"")))</f>
        <v/>
      </c>
      <c r="G168" s="120">
        <f>IF($M168="m",N(G167)+E168-F168,IF($M168="l",INDEX(tblBuckets[الفترة],7),IF($M168="v",TEXT(SUMIFS(tblInv[المتبقي],tblInv[كود العميل],StCust,tblInv[الفترة],INDEX(tblBuckets[الفترة],7)),"#,##0.00;-#,##0.00;-"),"")))</f>
        <v/>
      </c>
      <c r="L168" t="n">
        <v>163</v>
      </c>
      <c r="M168">
        <f>IF(L168&lt;=StCount,"m",IF(L168=StCount+2,"t",IF(L168=StCount+3,"l",IF(L168=StCount+4,"v",IF(L168=StCount+6,"p","")))))</f>
        <v/>
      </c>
      <c r="N168">
        <f>IF(M168="m",IFERROR(MATCH(L168,tblInv[ترتيب الكشف],0),""),"")</f>
        <v/>
      </c>
      <c r="O168">
        <f>IF(AND(M168="m",N168=""),IFERROR(MATCH(L168,tblRec[ترتيب الكشف],0),""),"")</f>
        <v/>
      </c>
    </row>
    <row r="169">
      <c r="A169" s="117">
        <f>IF($M169="m",IF($N169&lt;&gt;"",INDEX(tblInv[تاريخ الفاتورة],$N169),INDEX(tblRec[التاريخ],$O169)),IF($M169="l",INDEX(tblBuckets[الفترة],1),IF($M169="v",TEXT(SUMIFS(tblInv[المتبقي],tblInv[كود العميل],StCust,tblInv[الفترة],INDEX(tblBuckets[الفترة],1)),"#,##0.00;-#,##0.00;-"),"")))</f>
        <v/>
      </c>
      <c r="B169" s="83">
        <f>IF($M169="m",IF($N169&lt;&gt;"","فاتورة",INDEX(tblRec[النوع],$O169)),IF($M169="l",INDEX(tblBuckets[الفترة],2),IF($M169="v",TEXT(SUMIFS(tblInv[المتبقي],tblInv[كود العميل],StCust,tblInv[الفترة],INDEX(tblBuckets[الفترة],2)),"#,##0.00;-#,##0.00;-"),"")))</f>
        <v/>
      </c>
      <c r="C169" s="83">
        <f>IF($M169="m",IF($N169&lt;&gt;"",INDEX(tblInv[رقم الفاتورة],$N169),INDEX(tblRec[رقم السند],$O169)),IF($M169="l",INDEX(tblBuckets[الفترة],3),IF($M169="v",TEXT(SUMIFS(tblInv[المتبقي],tblInv[كود العميل],StCust,tblInv[الفترة],INDEX(tblBuckets[الفترة],3)),"#,##0.00;-#,##0.00;-"),"")))</f>
        <v/>
      </c>
      <c r="D169" s="118">
        <f>IF($M169="m",IF($N169&lt;&gt;"","فاتورة مبيعات — استحقاق "&amp;TEXT(INDEX(tblInv[تاريخ الاستحقاق],$N169),"dd/mm/yyyy")&amp;IF(INDEX(tblInv[ملاحظات],$N169)&amp;""&lt;&gt;""," — "&amp;INDEX(tblInv[ملاحظات],$N169),""),INDEX(tblRec[النوع],$O169)&amp;IF(INDEX(tblRec[طريقة الدفع],$O169)&amp;""&lt;&gt;""," ("&amp;INDEX(tblRec[طريقة الدفع],$O169)&amp;")","")&amp;IF(INDEX(tblRec[رقم الفاتورة],$O169)&amp;""&lt;&gt;""," — عن فاتورة "&amp;INDEX(tblRec[رقم الفاتورة],$O169)," — دفعة على الحساب")),IF($M169="l",INDEX(tblBuckets[الفترة],4),IF($M169="v",TEXT(SUMIFS(tblInv[المتبقي],tblInv[كود العميل],StCust,tblInv[الفترة],INDEX(tblBuckets[الفترة],4)),"#,##0.00;-#,##0.00;-"),IF($M169="t","ملخص أعمار رصيد العميل كما في "&amp;TEXT(AsOf,"dd/mm/yyyy"),IF($M169="p","يُرجى مطابقة الرصيد وإفادتنا خلال 15 يوماً، وإلا اعتُبر الرصيد صحيحاً.","")))))</f>
        <v/>
      </c>
      <c r="E169" s="119">
        <f>IF($M169="m",IF($N169&lt;&gt;"",INDEX(tblInv[الإجمالي],$N169),0),IF($M169="l",INDEX(tblBuckets[الفترة],5),IF($M169="v",TEXT(SUMIFS(tblInv[المتبقي],tblInv[كود العميل],StCust,tblInv[الفترة],INDEX(tblBuckets[الفترة],5)),"#,##0.00;-#,##0.00;-"),"")))</f>
        <v/>
      </c>
      <c r="F169" s="119">
        <f>IF($M169="m",IF($O169&lt;&gt;"",INDEX(tblRec[المبلغ],$O169),0),IF($M169="l",INDEX(tblBuckets[الفترة],6),IF($M169="v",TEXT(SUMIFS(tblInv[المتبقي],tblInv[كود العميل],StCust,tblInv[الفترة],INDEX(tblBuckets[الفترة],6)),"#,##0.00;-#,##0.00;-"),"")))</f>
        <v/>
      </c>
      <c r="G169" s="120">
        <f>IF($M169="m",N(G168)+E169-F169,IF($M169="l",INDEX(tblBuckets[الفترة],7),IF($M169="v",TEXT(SUMIFS(tblInv[المتبقي],tblInv[كود العميل],StCust,tblInv[الفترة],INDEX(tblBuckets[الفترة],7)),"#,##0.00;-#,##0.00;-"),"")))</f>
        <v/>
      </c>
      <c r="L169" t="n">
        <v>164</v>
      </c>
      <c r="M169">
        <f>IF(L169&lt;=StCount,"m",IF(L169=StCount+2,"t",IF(L169=StCount+3,"l",IF(L169=StCount+4,"v",IF(L169=StCount+6,"p","")))))</f>
        <v/>
      </c>
      <c r="N169">
        <f>IF(M169="m",IFERROR(MATCH(L169,tblInv[ترتيب الكشف],0),""),"")</f>
        <v/>
      </c>
      <c r="O169">
        <f>IF(AND(M169="m",N169=""),IFERROR(MATCH(L169,tblRec[ترتيب الكشف],0),""),"")</f>
        <v/>
      </c>
    </row>
    <row r="170">
      <c r="A170" s="117">
        <f>IF($M170="m",IF($N170&lt;&gt;"",INDEX(tblInv[تاريخ الفاتورة],$N170),INDEX(tblRec[التاريخ],$O170)),IF($M170="l",INDEX(tblBuckets[الفترة],1),IF($M170="v",TEXT(SUMIFS(tblInv[المتبقي],tblInv[كود العميل],StCust,tblInv[الفترة],INDEX(tblBuckets[الفترة],1)),"#,##0.00;-#,##0.00;-"),"")))</f>
        <v/>
      </c>
      <c r="B170" s="83">
        <f>IF($M170="m",IF($N170&lt;&gt;"","فاتورة",INDEX(tblRec[النوع],$O170)),IF($M170="l",INDEX(tblBuckets[الفترة],2),IF($M170="v",TEXT(SUMIFS(tblInv[المتبقي],tblInv[كود العميل],StCust,tblInv[الفترة],INDEX(tblBuckets[الفترة],2)),"#,##0.00;-#,##0.00;-"),"")))</f>
        <v/>
      </c>
      <c r="C170" s="83">
        <f>IF($M170="m",IF($N170&lt;&gt;"",INDEX(tblInv[رقم الفاتورة],$N170),INDEX(tblRec[رقم السند],$O170)),IF($M170="l",INDEX(tblBuckets[الفترة],3),IF($M170="v",TEXT(SUMIFS(tblInv[المتبقي],tblInv[كود العميل],StCust,tblInv[الفترة],INDEX(tblBuckets[الفترة],3)),"#,##0.00;-#,##0.00;-"),"")))</f>
        <v/>
      </c>
      <c r="D170" s="118">
        <f>IF($M170="m",IF($N170&lt;&gt;"","فاتورة مبيعات — استحقاق "&amp;TEXT(INDEX(tblInv[تاريخ الاستحقاق],$N170),"dd/mm/yyyy")&amp;IF(INDEX(tblInv[ملاحظات],$N170)&amp;""&lt;&gt;""," — "&amp;INDEX(tblInv[ملاحظات],$N170),""),INDEX(tblRec[النوع],$O170)&amp;IF(INDEX(tblRec[طريقة الدفع],$O170)&amp;""&lt;&gt;""," ("&amp;INDEX(tblRec[طريقة الدفع],$O170)&amp;")","")&amp;IF(INDEX(tblRec[رقم الفاتورة],$O170)&amp;""&lt;&gt;""," — عن فاتورة "&amp;INDEX(tblRec[رقم الفاتورة],$O170)," — دفعة على الحساب")),IF($M170="l",INDEX(tblBuckets[الفترة],4),IF($M170="v",TEXT(SUMIFS(tblInv[المتبقي],tblInv[كود العميل],StCust,tblInv[الفترة],INDEX(tblBuckets[الفترة],4)),"#,##0.00;-#,##0.00;-"),IF($M170="t","ملخص أعمار رصيد العميل كما في "&amp;TEXT(AsOf,"dd/mm/yyyy"),IF($M170="p","يُرجى مطابقة الرصيد وإفادتنا خلال 15 يوماً، وإلا اعتُبر الرصيد صحيحاً.","")))))</f>
        <v/>
      </c>
      <c r="E170" s="119">
        <f>IF($M170="m",IF($N170&lt;&gt;"",INDEX(tblInv[الإجمالي],$N170),0),IF($M170="l",INDEX(tblBuckets[الفترة],5),IF($M170="v",TEXT(SUMIFS(tblInv[المتبقي],tblInv[كود العميل],StCust,tblInv[الفترة],INDEX(tblBuckets[الفترة],5)),"#,##0.00;-#,##0.00;-"),"")))</f>
        <v/>
      </c>
      <c r="F170" s="119">
        <f>IF($M170="m",IF($O170&lt;&gt;"",INDEX(tblRec[المبلغ],$O170),0),IF($M170="l",INDEX(tblBuckets[الفترة],6),IF($M170="v",TEXT(SUMIFS(tblInv[المتبقي],tblInv[كود العميل],StCust,tblInv[الفترة],INDEX(tblBuckets[الفترة],6)),"#,##0.00;-#,##0.00;-"),"")))</f>
        <v/>
      </c>
      <c r="G170" s="120">
        <f>IF($M170="m",N(G169)+E170-F170,IF($M170="l",INDEX(tblBuckets[الفترة],7),IF($M170="v",TEXT(SUMIFS(tblInv[المتبقي],tblInv[كود العميل],StCust,tblInv[الفترة],INDEX(tblBuckets[الفترة],7)),"#,##0.00;-#,##0.00;-"),"")))</f>
        <v/>
      </c>
      <c r="L170" t="n">
        <v>165</v>
      </c>
      <c r="M170">
        <f>IF(L170&lt;=StCount,"m",IF(L170=StCount+2,"t",IF(L170=StCount+3,"l",IF(L170=StCount+4,"v",IF(L170=StCount+6,"p","")))))</f>
        <v/>
      </c>
      <c r="N170">
        <f>IF(M170="m",IFERROR(MATCH(L170,tblInv[ترتيب الكشف],0),""),"")</f>
        <v/>
      </c>
      <c r="O170">
        <f>IF(AND(M170="m",N170=""),IFERROR(MATCH(L170,tblRec[ترتيب الكشف],0),""),"")</f>
        <v/>
      </c>
    </row>
    <row r="171">
      <c r="A171" s="117">
        <f>IF($M171="m",IF($N171&lt;&gt;"",INDEX(tblInv[تاريخ الفاتورة],$N171),INDEX(tblRec[التاريخ],$O171)),IF($M171="l",INDEX(tblBuckets[الفترة],1),IF($M171="v",TEXT(SUMIFS(tblInv[المتبقي],tblInv[كود العميل],StCust,tblInv[الفترة],INDEX(tblBuckets[الفترة],1)),"#,##0.00;-#,##0.00;-"),"")))</f>
        <v/>
      </c>
      <c r="B171" s="83">
        <f>IF($M171="m",IF($N171&lt;&gt;"","فاتورة",INDEX(tblRec[النوع],$O171)),IF($M171="l",INDEX(tblBuckets[الفترة],2),IF($M171="v",TEXT(SUMIFS(tblInv[المتبقي],tblInv[كود العميل],StCust,tblInv[الفترة],INDEX(tblBuckets[الفترة],2)),"#,##0.00;-#,##0.00;-"),"")))</f>
        <v/>
      </c>
      <c r="C171" s="83">
        <f>IF($M171="m",IF($N171&lt;&gt;"",INDEX(tblInv[رقم الفاتورة],$N171),INDEX(tblRec[رقم السند],$O171)),IF($M171="l",INDEX(tblBuckets[الفترة],3),IF($M171="v",TEXT(SUMIFS(tblInv[المتبقي],tblInv[كود العميل],StCust,tblInv[الفترة],INDEX(tblBuckets[الفترة],3)),"#,##0.00;-#,##0.00;-"),"")))</f>
        <v/>
      </c>
      <c r="D171" s="118">
        <f>IF($M171="m",IF($N171&lt;&gt;"","فاتورة مبيعات — استحقاق "&amp;TEXT(INDEX(tblInv[تاريخ الاستحقاق],$N171),"dd/mm/yyyy")&amp;IF(INDEX(tblInv[ملاحظات],$N171)&amp;""&lt;&gt;""," — "&amp;INDEX(tblInv[ملاحظات],$N171),""),INDEX(tblRec[النوع],$O171)&amp;IF(INDEX(tblRec[طريقة الدفع],$O171)&amp;""&lt;&gt;""," ("&amp;INDEX(tblRec[طريقة الدفع],$O171)&amp;")","")&amp;IF(INDEX(tblRec[رقم الفاتورة],$O171)&amp;""&lt;&gt;""," — عن فاتورة "&amp;INDEX(tblRec[رقم الفاتورة],$O171)," — دفعة على الحساب")),IF($M171="l",INDEX(tblBuckets[الفترة],4),IF($M171="v",TEXT(SUMIFS(tblInv[المتبقي],tblInv[كود العميل],StCust,tblInv[الفترة],INDEX(tblBuckets[الفترة],4)),"#,##0.00;-#,##0.00;-"),IF($M171="t","ملخص أعمار رصيد العميل كما في "&amp;TEXT(AsOf,"dd/mm/yyyy"),IF($M171="p","يُرجى مطابقة الرصيد وإفادتنا خلال 15 يوماً، وإلا اعتُبر الرصيد صحيحاً.","")))))</f>
        <v/>
      </c>
      <c r="E171" s="119">
        <f>IF($M171="m",IF($N171&lt;&gt;"",INDEX(tblInv[الإجمالي],$N171),0),IF($M171="l",INDEX(tblBuckets[الفترة],5),IF($M171="v",TEXT(SUMIFS(tblInv[المتبقي],tblInv[كود العميل],StCust,tblInv[الفترة],INDEX(tblBuckets[الفترة],5)),"#,##0.00;-#,##0.00;-"),"")))</f>
        <v/>
      </c>
      <c r="F171" s="119">
        <f>IF($M171="m",IF($O171&lt;&gt;"",INDEX(tblRec[المبلغ],$O171),0),IF($M171="l",INDEX(tblBuckets[الفترة],6),IF($M171="v",TEXT(SUMIFS(tblInv[المتبقي],tblInv[كود العميل],StCust,tblInv[الفترة],INDEX(tblBuckets[الفترة],6)),"#,##0.00;-#,##0.00;-"),"")))</f>
        <v/>
      </c>
      <c r="G171" s="120">
        <f>IF($M171="m",N(G170)+E171-F171,IF($M171="l",INDEX(tblBuckets[الفترة],7),IF($M171="v",TEXT(SUMIFS(tblInv[المتبقي],tblInv[كود العميل],StCust,tblInv[الفترة],INDEX(tblBuckets[الفترة],7)),"#,##0.00;-#,##0.00;-"),"")))</f>
        <v/>
      </c>
      <c r="L171" t="n">
        <v>166</v>
      </c>
      <c r="M171">
        <f>IF(L171&lt;=StCount,"m",IF(L171=StCount+2,"t",IF(L171=StCount+3,"l",IF(L171=StCount+4,"v",IF(L171=StCount+6,"p","")))))</f>
        <v/>
      </c>
      <c r="N171">
        <f>IF(M171="m",IFERROR(MATCH(L171,tblInv[ترتيب الكشف],0),""),"")</f>
        <v/>
      </c>
      <c r="O171">
        <f>IF(AND(M171="m",N171=""),IFERROR(MATCH(L171,tblRec[ترتيب الكشف],0),""),"")</f>
        <v/>
      </c>
    </row>
    <row r="172">
      <c r="A172" s="117">
        <f>IF($M172="m",IF($N172&lt;&gt;"",INDEX(tblInv[تاريخ الفاتورة],$N172),INDEX(tblRec[التاريخ],$O172)),IF($M172="l",INDEX(tblBuckets[الفترة],1),IF($M172="v",TEXT(SUMIFS(tblInv[المتبقي],tblInv[كود العميل],StCust,tblInv[الفترة],INDEX(tblBuckets[الفترة],1)),"#,##0.00;-#,##0.00;-"),"")))</f>
        <v/>
      </c>
      <c r="B172" s="83">
        <f>IF($M172="m",IF($N172&lt;&gt;"","فاتورة",INDEX(tblRec[النوع],$O172)),IF($M172="l",INDEX(tblBuckets[الفترة],2),IF($M172="v",TEXT(SUMIFS(tblInv[المتبقي],tblInv[كود العميل],StCust,tblInv[الفترة],INDEX(tblBuckets[الفترة],2)),"#,##0.00;-#,##0.00;-"),"")))</f>
        <v/>
      </c>
      <c r="C172" s="83">
        <f>IF($M172="m",IF($N172&lt;&gt;"",INDEX(tblInv[رقم الفاتورة],$N172),INDEX(tblRec[رقم السند],$O172)),IF($M172="l",INDEX(tblBuckets[الفترة],3),IF($M172="v",TEXT(SUMIFS(tblInv[المتبقي],tblInv[كود العميل],StCust,tblInv[الفترة],INDEX(tblBuckets[الفترة],3)),"#,##0.00;-#,##0.00;-"),"")))</f>
        <v/>
      </c>
      <c r="D172" s="118">
        <f>IF($M172="m",IF($N172&lt;&gt;"","فاتورة مبيعات — استحقاق "&amp;TEXT(INDEX(tblInv[تاريخ الاستحقاق],$N172),"dd/mm/yyyy")&amp;IF(INDEX(tblInv[ملاحظات],$N172)&amp;""&lt;&gt;""," — "&amp;INDEX(tblInv[ملاحظات],$N172),""),INDEX(tblRec[النوع],$O172)&amp;IF(INDEX(tblRec[طريقة الدفع],$O172)&amp;""&lt;&gt;""," ("&amp;INDEX(tblRec[طريقة الدفع],$O172)&amp;")","")&amp;IF(INDEX(tblRec[رقم الفاتورة],$O172)&amp;""&lt;&gt;""," — عن فاتورة "&amp;INDEX(tblRec[رقم الفاتورة],$O172)," — دفعة على الحساب")),IF($M172="l",INDEX(tblBuckets[الفترة],4),IF($M172="v",TEXT(SUMIFS(tblInv[المتبقي],tblInv[كود العميل],StCust,tblInv[الفترة],INDEX(tblBuckets[الفترة],4)),"#,##0.00;-#,##0.00;-"),IF($M172="t","ملخص أعمار رصيد العميل كما في "&amp;TEXT(AsOf,"dd/mm/yyyy"),IF($M172="p","يُرجى مطابقة الرصيد وإفادتنا خلال 15 يوماً، وإلا اعتُبر الرصيد صحيحاً.","")))))</f>
        <v/>
      </c>
      <c r="E172" s="119">
        <f>IF($M172="m",IF($N172&lt;&gt;"",INDEX(tblInv[الإجمالي],$N172),0),IF($M172="l",INDEX(tblBuckets[الفترة],5),IF($M172="v",TEXT(SUMIFS(tblInv[المتبقي],tblInv[كود العميل],StCust,tblInv[الفترة],INDEX(tblBuckets[الفترة],5)),"#,##0.00;-#,##0.00;-"),"")))</f>
        <v/>
      </c>
      <c r="F172" s="119">
        <f>IF($M172="m",IF($O172&lt;&gt;"",INDEX(tblRec[المبلغ],$O172),0),IF($M172="l",INDEX(tblBuckets[الفترة],6),IF($M172="v",TEXT(SUMIFS(tblInv[المتبقي],tblInv[كود العميل],StCust,tblInv[الفترة],INDEX(tblBuckets[الفترة],6)),"#,##0.00;-#,##0.00;-"),"")))</f>
        <v/>
      </c>
      <c r="G172" s="120">
        <f>IF($M172="m",N(G171)+E172-F172,IF($M172="l",INDEX(tblBuckets[الفترة],7),IF($M172="v",TEXT(SUMIFS(tblInv[المتبقي],tblInv[كود العميل],StCust,tblInv[الفترة],INDEX(tblBuckets[الفترة],7)),"#,##0.00;-#,##0.00;-"),"")))</f>
        <v/>
      </c>
      <c r="L172" t="n">
        <v>167</v>
      </c>
      <c r="M172">
        <f>IF(L172&lt;=StCount,"m",IF(L172=StCount+2,"t",IF(L172=StCount+3,"l",IF(L172=StCount+4,"v",IF(L172=StCount+6,"p","")))))</f>
        <v/>
      </c>
      <c r="N172">
        <f>IF(M172="m",IFERROR(MATCH(L172,tblInv[ترتيب الكشف],0),""),"")</f>
        <v/>
      </c>
      <c r="O172">
        <f>IF(AND(M172="m",N172=""),IFERROR(MATCH(L172,tblRec[ترتيب الكشف],0),""),"")</f>
        <v/>
      </c>
    </row>
    <row r="173">
      <c r="A173" s="117">
        <f>IF($M173="m",IF($N173&lt;&gt;"",INDEX(tblInv[تاريخ الفاتورة],$N173),INDEX(tblRec[التاريخ],$O173)),IF($M173="l",INDEX(tblBuckets[الفترة],1),IF($M173="v",TEXT(SUMIFS(tblInv[المتبقي],tblInv[كود العميل],StCust,tblInv[الفترة],INDEX(tblBuckets[الفترة],1)),"#,##0.00;-#,##0.00;-"),"")))</f>
        <v/>
      </c>
      <c r="B173" s="83">
        <f>IF($M173="m",IF($N173&lt;&gt;"","فاتورة",INDEX(tblRec[النوع],$O173)),IF($M173="l",INDEX(tblBuckets[الفترة],2),IF($M173="v",TEXT(SUMIFS(tblInv[المتبقي],tblInv[كود العميل],StCust,tblInv[الفترة],INDEX(tblBuckets[الفترة],2)),"#,##0.00;-#,##0.00;-"),"")))</f>
        <v/>
      </c>
      <c r="C173" s="83">
        <f>IF($M173="m",IF($N173&lt;&gt;"",INDEX(tblInv[رقم الفاتورة],$N173),INDEX(tblRec[رقم السند],$O173)),IF($M173="l",INDEX(tblBuckets[الفترة],3),IF($M173="v",TEXT(SUMIFS(tblInv[المتبقي],tblInv[كود العميل],StCust,tblInv[الفترة],INDEX(tblBuckets[الفترة],3)),"#,##0.00;-#,##0.00;-"),"")))</f>
        <v/>
      </c>
      <c r="D173" s="118">
        <f>IF($M173="m",IF($N173&lt;&gt;"","فاتورة مبيعات — استحقاق "&amp;TEXT(INDEX(tblInv[تاريخ الاستحقاق],$N173),"dd/mm/yyyy")&amp;IF(INDEX(tblInv[ملاحظات],$N173)&amp;""&lt;&gt;""," — "&amp;INDEX(tblInv[ملاحظات],$N173),""),INDEX(tblRec[النوع],$O173)&amp;IF(INDEX(tblRec[طريقة الدفع],$O173)&amp;""&lt;&gt;""," ("&amp;INDEX(tblRec[طريقة الدفع],$O173)&amp;")","")&amp;IF(INDEX(tblRec[رقم الفاتورة],$O173)&amp;""&lt;&gt;""," — عن فاتورة "&amp;INDEX(tblRec[رقم الفاتورة],$O173)," — دفعة على الحساب")),IF($M173="l",INDEX(tblBuckets[الفترة],4),IF($M173="v",TEXT(SUMIFS(tblInv[المتبقي],tblInv[كود العميل],StCust,tblInv[الفترة],INDEX(tblBuckets[الفترة],4)),"#,##0.00;-#,##0.00;-"),IF($M173="t","ملخص أعمار رصيد العميل كما في "&amp;TEXT(AsOf,"dd/mm/yyyy"),IF($M173="p","يُرجى مطابقة الرصيد وإفادتنا خلال 15 يوماً، وإلا اعتُبر الرصيد صحيحاً.","")))))</f>
        <v/>
      </c>
      <c r="E173" s="119">
        <f>IF($M173="m",IF($N173&lt;&gt;"",INDEX(tblInv[الإجمالي],$N173),0),IF($M173="l",INDEX(tblBuckets[الفترة],5),IF($M173="v",TEXT(SUMIFS(tblInv[المتبقي],tblInv[كود العميل],StCust,tblInv[الفترة],INDEX(tblBuckets[الفترة],5)),"#,##0.00;-#,##0.00;-"),"")))</f>
        <v/>
      </c>
      <c r="F173" s="119">
        <f>IF($M173="m",IF($O173&lt;&gt;"",INDEX(tblRec[المبلغ],$O173),0),IF($M173="l",INDEX(tblBuckets[الفترة],6),IF($M173="v",TEXT(SUMIFS(tblInv[المتبقي],tblInv[كود العميل],StCust,tblInv[الفترة],INDEX(tblBuckets[الفترة],6)),"#,##0.00;-#,##0.00;-"),"")))</f>
        <v/>
      </c>
      <c r="G173" s="120">
        <f>IF($M173="m",N(G172)+E173-F173,IF($M173="l",INDEX(tblBuckets[الفترة],7),IF($M173="v",TEXT(SUMIFS(tblInv[المتبقي],tblInv[كود العميل],StCust,tblInv[الفترة],INDEX(tblBuckets[الفترة],7)),"#,##0.00;-#,##0.00;-"),"")))</f>
        <v/>
      </c>
      <c r="L173" t="n">
        <v>168</v>
      </c>
      <c r="M173">
        <f>IF(L173&lt;=StCount,"m",IF(L173=StCount+2,"t",IF(L173=StCount+3,"l",IF(L173=StCount+4,"v",IF(L173=StCount+6,"p","")))))</f>
        <v/>
      </c>
      <c r="N173">
        <f>IF(M173="m",IFERROR(MATCH(L173,tblInv[ترتيب الكشف],0),""),"")</f>
        <v/>
      </c>
      <c r="O173">
        <f>IF(AND(M173="m",N173=""),IFERROR(MATCH(L173,tblRec[ترتيب الكشف],0),""),"")</f>
        <v/>
      </c>
    </row>
    <row r="174">
      <c r="A174" s="117">
        <f>IF($M174="m",IF($N174&lt;&gt;"",INDEX(tblInv[تاريخ الفاتورة],$N174),INDEX(tblRec[التاريخ],$O174)),IF($M174="l",INDEX(tblBuckets[الفترة],1),IF($M174="v",TEXT(SUMIFS(tblInv[المتبقي],tblInv[كود العميل],StCust,tblInv[الفترة],INDEX(tblBuckets[الفترة],1)),"#,##0.00;-#,##0.00;-"),"")))</f>
        <v/>
      </c>
      <c r="B174" s="83">
        <f>IF($M174="m",IF($N174&lt;&gt;"","فاتورة",INDEX(tblRec[النوع],$O174)),IF($M174="l",INDEX(tblBuckets[الفترة],2),IF($M174="v",TEXT(SUMIFS(tblInv[المتبقي],tblInv[كود العميل],StCust,tblInv[الفترة],INDEX(tblBuckets[الفترة],2)),"#,##0.00;-#,##0.00;-"),"")))</f>
        <v/>
      </c>
      <c r="C174" s="83">
        <f>IF($M174="m",IF($N174&lt;&gt;"",INDEX(tblInv[رقم الفاتورة],$N174),INDEX(tblRec[رقم السند],$O174)),IF($M174="l",INDEX(tblBuckets[الفترة],3),IF($M174="v",TEXT(SUMIFS(tblInv[المتبقي],tblInv[كود العميل],StCust,tblInv[الفترة],INDEX(tblBuckets[الفترة],3)),"#,##0.00;-#,##0.00;-"),"")))</f>
        <v/>
      </c>
      <c r="D174" s="118">
        <f>IF($M174="m",IF($N174&lt;&gt;"","فاتورة مبيعات — استحقاق "&amp;TEXT(INDEX(tblInv[تاريخ الاستحقاق],$N174),"dd/mm/yyyy")&amp;IF(INDEX(tblInv[ملاحظات],$N174)&amp;""&lt;&gt;""," — "&amp;INDEX(tblInv[ملاحظات],$N174),""),INDEX(tblRec[النوع],$O174)&amp;IF(INDEX(tblRec[طريقة الدفع],$O174)&amp;""&lt;&gt;""," ("&amp;INDEX(tblRec[طريقة الدفع],$O174)&amp;")","")&amp;IF(INDEX(tblRec[رقم الفاتورة],$O174)&amp;""&lt;&gt;""," — عن فاتورة "&amp;INDEX(tblRec[رقم الفاتورة],$O174)," — دفعة على الحساب")),IF($M174="l",INDEX(tblBuckets[الفترة],4),IF($M174="v",TEXT(SUMIFS(tblInv[المتبقي],tblInv[كود العميل],StCust,tblInv[الفترة],INDEX(tblBuckets[الفترة],4)),"#,##0.00;-#,##0.00;-"),IF($M174="t","ملخص أعمار رصيد العميل كما في "&amp;TEXT(AsOf,"dd/mm/yyyy"),IF($M174="p","يُرجى مطابقة الرصيد وإفادتنا خلال 15 يوماً، وإلا اعتُبر الرصيد صحيحاً.","")))))</f>
        <v/>
      </c>
      <c r="E174" s="119">
        <f>IF($M174="m",IF($N174&lt;&gt;"",INDEX(tblInv[الإجمالي],$N174),0),IF($M174="l",INDEX(tblBuckets[الفترة],5),IF($M174="v",TEXT(SUMIFS(tblInv[المتبقي],tblInv[كود العميل],StCust,tblInv[الفترة],INDEX(tblBuckets[الفترة],5)),"#,##0.00;-#,##0.00;-"),"")))</f>
        <v/>
      </c>
      <c r="F174" s="119">
        <f>IF($M174="m",IF($O174&lt;&gt;"",INDEX(tblRec[المبلغ],$O174),0),IF($M174="l",INDEX(tblBuckets[الفترة],6),IF($M174="v",TEXT(SUMIFS(tblInv[المتبقي],tblInv[كود العميل],StCust,tblInv[الفترة],INDEX(tblBuckets[الفترة],6)),"#,##0.00;-#,##0.00;-"),"")))</f>
        <v/>
      </c>
      <c r="G174" s="120">
        <f>IF($M174="m",N(G173)+E174-F174,IF($M174="l",INDEX(tblBuckets[الفترة],7),IF($M174="v",TEXT(SUMIFS(tblInv[المتبقي],tblInv[كود العميل],StCust,tblInv[الفترة],INDEX(tblBuckets[الفترة],7)),"#,##0.00;-#,##0.00;-"),"")))</f>
        <v/>
      </c>
      <c r="L174" t="n">
        <v>169</v>
      </c>
      <c r="M174">
        <f>IF(L174&lt;=StCount,"m",IF(L174=StCount+2,"t",IF(L174=StCount+3,"l",IF(L174=StCount+4,"v",IF(L174=StCount+6,"p","")))))</f>
        <v/>
      </c>
      <c r="N174">
        <f>IF(M174="m",IFERROR(MATCH(L174,tblInv[ترتيب الكشف],0),""),"")</f>
        <v/>
      </c>
      <c r="O174">
        <f>IF(AND(M174="m",N174=""),IFERROR(MATCH(L174,tblRec[ترتيب الكشف],0),""),"")</f>
        <v/>
      </c>
    </row>
    <row r="175">
      <c r="A175" s="117">
        <f>IF($M175="m",IF($N175&lt;&gt;"",INDEX(tblInv[تاريخ الفاتورة],$N175),INDEX(tblRec[التاريخ],$O175)),IF($M175="l",INDEX(tblBuckets[الفترة],1),IF($M175="v",TEXT(SUMIFS(tblInv[المتبقي],tblInv[كود العميل],StCust,tblInv[الفترة],INDEX(tblBuckets[الفترة],1)),"#,##0.00;-#,##0.00;-"),"")))</f>
        <v/>
      </c>
      <c r="B175" s="83">
        <f>IF($M175="m",IF($N175&lt;&gt;"","فاتورة",INDEX(tblRec[النوع],$O175)),IF($M175="l",INDEX(tblBuckets[الفترة],2),IF($M175="v",TEXT(SUMIFS(tblInv[المتبقي],tblInv[كود العميل],StCust,tblInv[الفترة],INDEX(tblBuckets[الفترة],2)),"#,##0.00;-#,##0.00;-"),"")))</f>
        <v/>
      </c>
      <c r="C175" s="83">
        <f>IF($M175="m",IF($N175&lt;&gt;"",INDEX(tblInv[رقم الفاتورة],$N175),INDEX(tblRec[رقم السند],$O175)),IF($M175="l",INDEX(tblBuckets[الفترة],3),IF($M175="v",TEXT(SUMIFS(tblInv[المتبقي],tblInv[كود العميل],StCust,tblInv[الفترة],INDEX(tblBuckets[الفترة],3)),"#,##0.00;-#,##0.00;-"),"")))</f>
        <v/>
      </c>
      <c r="D175" s="118">
        <f>IF($M175="m",IF($N175&lt;&gt;"","فاتورة مبيعات — استحقاق "&amp;TEXT(INDEX(tblInv[تاريخ الاستحقاق],$N175),"dd/mm/yyyy")&amp;IF(INDEX(tblInv[ملاحظات],$N175)&amp;""&lt;&gt;""," — "&amp;INDEX(tblInv[ملاحظات],$N175),""),INDEX(tblRec[النوع],$O175)&amp;IF(INDEX(tblRec[طريقة الدفع],$O175)&amp;""&lt;&gt;""," ("&amp;INDEX(tblRec[طريقة الدفع],$O175)&amp;")","")&amp;IF(INDEX(tblRec[رقم الفاتورة],$O175)&amp;""&lt;&gt;""," — عن فاتورة "&amp;INDEX(tblRec[رقم الفاتورة],$O175)," — دفعة على الحساب")),IF($M175="l",INDEX(tblBuckets[الفترة],4),IF($M175="v",TEXT(SUMIFS(tblInv[المتبقي],tblInv[كود العميل],StCust,tblInv[الفترة],INDEX(tblBuckets[الفترة],4)),"#,##0.00;-#,##0.00;-"),IF($M175="t","ملخص أعمار رصيد العميل كما في "&amp;TEXT(AsOf,"dd/mm/yyyy"),IF($M175="p","يُرجى مطابقة الرصيد وإفادتنا خلال 15 يوماً، وإلا اعتُبر الرصيد صحيحاً.","")))))</f>
        <v/>
      </c>
      <c r="E175" s="119">
        <f>IF($M175="m",IF($N175&lt;&gt;"",INDEX(tblInv[الإجمالي],$N175),0),IF($M175="l",INDEX(tblBuckets[الفترة],5),IF($M175="v",TEXT(SUMIFS(tblInv[المتبقي],tblInv[كود العميل],StCust,tblInv[الفترة],INDEX(tblBuckets[الفترة],5)),"#,##0.00;-#,##0.00;-"),"")))</f>
        <v/>
      </c>
      <c r="F175" s="119">
        <f>IF($M175="m",IF($O175&lt;&gt;"",INDEX(tblRec[المبلغ],$O175),0),IF($M175="l",INDEX(tblBuckets[الفترة],6),IF($M175="v",TEXT(SUMIFS(tblInv[المتبقي],tblInv[كود العميل],StCust,tblInv[الفترة],INDEX(tblBuckets[الفترة],6)),"#,##0.00;-#,##0.00;-"),"")))</f>
        <v/>
      </c>
      <c r="G175" s="120">
        <f>IF($M175="m",N(G174)+E175-F175,IF($M175="l",INDEX(tblBuckets[الفترة],7),IF($M175="v",TEXT(SUMIFS(tblInv[المتبقي],tblInv[كود العميل],StCust,tblInv[الفترة],INDEX(tblBuckets[الفترة],7)),"#,##0.00;-#,##0.00;-"),"")))</f>
        <v/>
      </c>
      <c r="L175" t="n">
        <v>170</v>
      </c>
      <c r="M175">
        <f>IF(L175&lt;=StCount,"m",IF(L175=StCount+2,"t",IF(L175=StCount+3,"l",IF(L175=StCount+4,"v",IF(L175=StCount+6,"p","")))))</f>
        <v/>
      </c>
      <c r="N175">
        <f>IF(M175="m",IFERROR(MATCH(L175,tblInv[ترتيب الكشف],0),""),"")</f>
        <v/>
      </c>
      <c r="O175">
        <f>IF(AND(M175="m",N175=""),IFERROR(MATCH(L175,tblRec[ترتيب الكشف],0),""),"")</f>
        <v/>
      </c>
    </row>
    <row r="176">
      <c r="A176" s="117">
        <f>IF($M176="m",IF($N176&lt;&gt;"",INDEX(tblInv[تاريخ الفاتورة],$N176),INDEX(tblRec[التاريخ],$O176)),IF($M176="l",INDEX(tblBuckets[الفترة],1),IF($M176="v",TEXT(SUMIFS(tblInv[المتبقي],tblInv[كود العميل],StCust,tblInv[الفترة],INDEX(tblBuckets[الفترة],1)),"#,##0.00;-#,##0.00;-"),"")))</f>
        <v/>
      </c>
      <c r="B176" s="83">
        <f>IF($M176="m",IF($N176&lt;&gt;"","فاتورة",INDEX(tblRec[النوع],$O176)),IF($M176="l",INDEX(tblBuckets[الفترة],2),IF($M176="v",TEXT(SUMIFS(tblInv[المتبقي],tblInv[كود العميل],StCust,tblInv[الفترة],INDEX(tblBuckets[الفترة],2)),"#,##0.00;-#,##0.00;-"),"")))</f>
        <v/>
      </c>
      <c r="C176" s="83">
        <f>IF($M176="m",IF($N176&lt;&gt;"",INDEX(tblInv[رقم الفاتورة],$N176),INDEX(tblRec[رقم السند],$O176)),IF($M176="l",INDEX(tblBuckets[الفترة],3),IF($M176="v",TEXT(SUMIFS(tblInv[المتبقي],tblInv[كود العميل],StCust,tblInv[الفترة],INDEX(tblBuckets[الفترة],3)),"#,##0.00;-#,##0.00;-"),"")))</f>
        <v/>
      </c>
      <c r="D176" s="118">
        <f>IF($M176="m",IF($N176&lt;&gt;"","فاتورة مبيعات — استحقاق "&amp;TEXT(INDEX(tblInv[تاريخ الاستحقاق],$N176),"dd/mm/yyyy")&amp;IF(INDEX(tblInv[ملاحظات],$N176)&amp;""&lt;&gt;""," — "&amp;INDEX(tblInv[ملاحظات],$N176),""),INDEX(tblRec[النوع],$O176)&amp;IF(INDEX(tblRec[طريقة الدفع],$O176)&amp;""&lt;&gt;""," ("&amp;INDEX(tblRec[طريقة الدفع],$O176)&amp;")","")&amp;IF(INDEX(tblRec[رقم الفاتورة],$O176)&amp;""&lt;&gt;""," — عن فاتورة "&amp;INDEX(tblRec[رقم الفاتورة],$O176)," — دفعة على الحساب")),IF($M176="l",INDEX(tblBuckets[الفترة],4),IF($M176="v",TEXT(SUMIFS(tblInv[المتبقي],tblInv[كود العميل],StCust,tblInv[الفترة],INDEX(tblBuckets[الفترة],4)),"#,##0.00;-#,##0.00;-"),IF($M176="t","ملخص أعمار رصيد العميل كما في "&amp;TEXT(AsOf,"dd/mm/yyyy"),IF($M176="p","يُرجى مطابقة الرصيد وإفادتنا خلال 15 يوماً، وإلا اعتُبر الرصيد صحيحاً.","")))))</f>
        <v/>
      </c>
      <c r="E176" s="119">
        <f>IF($M176="m",IF($N176&lt;&gt;"",INDEX(tblInv[الإجمالي],$N176),0),IF($M176="l",INDEX(tblBuckets[الفترة],5),IF($M176="v",TEXT(SUMIFS(tblInv[المتبقي],tblInv[كود العميل],StCust,tblInv[الفترة],INDEX(tblBuckets[الفترة],5)),"#,##0.00;-#,##0.00;-"),"")))</f>
        <v/>
      </c>
      <c r="F176" s="119">
        <f>IF($M176="m",IF($O176&lt;&gt;"",INDEX(tblRec[المبلغ],$O176),0),IF($M176="l",INDEX(tblBuckets[الفترة],6),IF($M176="v",TEXT(SUMIFS(tblInv[المتبقي],tblInv[كود العميل],StCust,tblInv[الفترة],INDEX(tblBuckets[الفترة],6)),"#,##0.00;-#,##0.00;-"),"")))</f>
        <v/>
      </c>
      <c r="G176" s="120">
        <f>IF($M176="m",N(G175)+E176-F176,IF($M176="l",INDEX(tblBuckets[الفترة],7),IF($M176="v",TEXT(SUMIFS(tblInv[المتبقي],tblInv[كود العميل],StCust,tblInv[الفترة],INDEX(tblBuckets[الفترة],7)),"#,##0.00;-#,##0.00;-"),"")))</f>
        <v/>
      </c>
      <c r="L176" t="n">
        <v>171</v>
      </c>
      <c r="M176">
        <f>IF(L176&lt;=StCount,"m",IF(L176=StCount+2,"t",IF(L176=StCount+3,"l",IF(L176=StCount+4,"v",IF(L176=StCount+6,"p","")))))</f>
        <v/>
      </c>
      <c r="N176">
        <f>IF(M176="m",IFERROR(MATCH(L176,tblInv[ترتيب الكشف],0),""),"")</f>
        <v/>
      </c>
      <c r="O176">
        <f>IF(AND(M176="m",N176=""),IFERROR(MATCH(L176,tblRec[ترتيب الكشف],0),""),"")</f>
        <v/>
      </c>
    </row>
    <row r="177">
      <c r="A177" s="117">
        <f>IF($M177="m",IF($N177&lt;&gt;"",INDEX(tblInv[تاريخ الفاتورة],$N177),INDEX(tblRec[التاريخ],$O177)),IF($M177="l",INDEX(tblBuckets[الفترة],1),IF($M177="v",TEXT(SUMIFS(tblInv[المتبقي],tblInv[كود العميل],StCust,tblInv[الفترة],INDEX(tblBuckets[الفترة],1)),"#,##0.00;-#,##0.00;-"),"")))</f>
        <v/>
      </c>
      <c r="B177" s="83">
        <f>IF($M177="m",IF($N177&lt;&gt;"","فاتورة",INDEX(tblRec[النوع],$O177)),IF($M177="l",INDEX(tblBuckets[الفترة],2),IF($M177="v",TEXT(SUMIFS(tblInv[المتبقي],tblInv[كود العميل],StCust,tblInv[الفترة],INDEX(tblBuckets[الفترة],2)),"#,##0.00;-#,##0.00;-"),"")))</f>
        <v/>
      </c>
      <c r="C177" s="83">
        <f>IF($M177="m",IF($N177&lt;&gt;"",INDEX(tblInv[رقم الفاتورة],$N177),INDEX(tblRec[رقم السند],$O177)),IF($M177="l",INDEX(tblBuckets[الفترة],3),IF($M177="v",TEXT(SUMIFS(tblInv[المتبقي],tblInv[كود العميل],StCust,tblInv[الفترة],INDEX(tblBuckets[الفترة],3)),"#,##0.00;-#,##0.00;-"),"")))</f>
        <v/>
      </c>
      <c r="D177" s="118">
        <f>IF($M177="m",IF($N177&lt;&gt;"","فاتورة مبيعات — استحقاق "&amp;TEXT(INDEX(tblInv[تاريخ الاستحقاق],$N177),"dd/mm/yyyy")&amp;IF(INDEX(tblInv[ملاحظات],$N177)&amp;""&lt;&gt;""," — "&amp;INDEX(tblInv[ملاحظات],$N177),""),INDEX(tblRec[النوع],$O177)&amp;IF(INDEX(tblRec[طريقة الدفع],$O177)&amp;""&lt;&gt;""," ("&amp;INDEX(tblRec[طريقة الدفع],$O177)&amp;")","")&amp;IF(INDEX(tblRec[رقم الفاتورة],$O177)&amp;""&lt;&gt;""," — عن فاتورة "&amp;INDEX(tblRec[رقم الفاتورة],$O177)," — دفعة على الحساب")),IF($M177="l",INDEX(tblBuckets[الفترة],4),IF($M177="v",TEXT(SUMIFS(tblInv[المتبقي],tblInv[كود العميل],StCust,tblInv[الفترة],INDEX(tblBuckets[الفترة],4)),"#,##0.00;-#,##0.00;-"),IF($M177="t","ملخص أعمار رصيد العميل كما في "&amp;TEXT(AsOf,"dd/mm/yyyy"),IF($M177="p","يُرجى مطابقة الرصيد وإفادتنا خلال 15 يوماً، وإلا اعتُبر الرصيد صحيحاً.","")))))</f>
        <v/>
      </c>
      <c r="E177" s="119">
        <f>IF($M177="m",IF($N177&lt;&gt;"",INDEX(tblInv[الإجمالي],$N177),0),IF($M177="l",INDEX(tblBuckets[الفترة],5),IF($M177="v",TEXT(SUMIFS(tblInv[المتبقي],tblInv[كود العميل],StCust,tblInv[الفترة],INDEX(tblBuckets[الفترة],5)),"#,##0.00;-#,##0.00;-"),"")))</f>
        <v/>
      </c>
      <c r="F177" s="119">
        <f>IF($M177="m",IF($O177&lt;&gt;"",INDEX(tblRec[المبلغ],$O177),0),IF($M177="l",INDEX(tblBuckets[الفترة],6),IF($M177="v",TEXT(SUMIFS(tblInv[المتبقي],tblInv[كود العميل],StCust,tblInv[الفترة],INDEX(tblBuckets[الفترة],6)),"#,##0.00;-#,##0.00;-"),"")))</f>
        <v/>
      </c>
      <c r="G177" s="120">
        <f>IF($M177="m",N(G176)+E177-F177,IF($M177="l",INDEX(tblBuckets[الفترة],7),IF($M177="v",TEXT(SUMIFS(tblInv[المتبقي],tblInv[كود العميل],StCust,tblInv[الفترة],INDEX(tblBuckets[الفترة],7)),"#,##0.00;-#,##0.00;-"),"")))</f>
        <v/>
      </c>
      <c r="L177" t="n">
        <v>172</v>
      </c>
      <c r="M177">
        <f>IF(L177&lt;=StCount,"m",IF(L177=StCount+2,"t",IF(L177=StCount+3,"l",IF(L177=StCount+4,"v",IF(L177=StCount+6,"p","")))))</f>
        <v/>
      </c>
      <c r="N177">
        <f>IF(M177="m",IFERROR(MATCH(L177,tblInv[ترتيب الكشف],0),""),"")</f>
        <v/>
      </c>
      <c r="O177">
        <f>IF(AND(M177="m",N177=""),IFERROR(MATCH(L177,tblRec[ترتيب الكشف],0),""),"")</f>
        <v/>
      </c>
    </row>
    <row r="178">
      <c r="A178" s="117">
        <f>IF($M178="m",IF($N178&lt;&gt;"",INDEX(tblInv[تاريخ الفاتورة],$N178),INDEX(tblRec[التاريخ],$O178)),IF($M178="l",INDEX(tblBuckets[الفترة],1),IF($M178="v",TEXT(SUMIFS(tblInv[المتبقي],tblInv[كود العميل],StCust,tblInv[الفترة],INDEX(tblBuckets[الفترة],1)),"#,##0.00;-#,##0.00;-"),"")))</f>
        <v/>
      </c>
      <c r="B178" s="83">
        <f>IF($M178="m",IF($N178&lt;&gt;"","فاتورة",INDEX(tblRec[النوع],$O178)),IF($M178="l",INDEX(tblBuckets[الفترة],2),IF($M178="v",TEXT(SUMIFS(tblInv[المتبقي],tblInv[كود العميل],StCust,tblInv[الفترة],INDEX(tblBuckets[الفترة],2)),"#,##0.00;-#,##0.00;-"),"")))</f>
        <v/>
      </c>
      <c r="C178" s="83">
        <f>IF($M178="m",IF($N178&lt;&gt;"",INDEX(tblInv[رقم الفاتورة],$N178),INDEX(tblRec[رقم السند],$O178)),IF($M178="l",INDEX(tblBuckets[الفترة],3),IF($M178="v",TEXT(SUMIFS(tblInv[المتبقي],tblInv[كود العميل],StCust,tblInv[الفترة],INDEX(tblBuckets[الفترة],3)),"#,##0.00;-#,##0.00;-"),"")))</f>
        <v/>
      </c>
      <c r="D178" s="118">
        <f>IF($M178="m",IF($N178&lt;&gt;"","فاتورة مبيعات — استحقاق "&amp;TEXT(INDEX(tblInv[تاريخ الاستحقاق],$N178),"dd/mm/yyyy")&amp;IF(INDEX(tblInv[ملاحظات],$N178)&amp;""&lt;&gt;""," — "&amp;INDEX(tblInv[ملاحظات],$N178),""),INDEX(tblRec[النوع],$O178)&amp;IF(INDEX(tblRec[طريقة الدفع],$O178)&amp;""&lt;&gt;""," ("&amp;INDEX(tblRec[طريقة الدفع],$O178)&amp;")","")&amp;IF(INDEX(tblRec[رقم الفاتورة],$O178)&amp;""&lt;&gt;""," — عن فاتورة "&amp;INDEX(tblRec[رقم الفاتورة],$O178)," — دفعة على الحساب")),IF($M178="l",INDEX(tblBuckets[الفترة],4),IF($M178="v",TEXT(SUMIFS(tblInv[المتبقي],tblInv[كود العميل],StCust,tblInv[الفترة],INDEX(tblBuckets[الفترة],4)),"#,##0.00;-#,##0.00;-"),IF($M178="t","ملخص أعمار رصيد العميل كما في "&amp;TEXT(AsOf,"dd/mm/yyyy"),IF($M178="p","يُرجى مطابقة الرصيد وإفادتنا خلال 15 يوماً، وإلا اعتُبر الرصيد صحيحاً.","")))))</f>
        <v/>
      </c>
      <c r="E178" s="119">
        <f>IF($M178="m",IF($N178&lt;&gt;"",INDEX(tblInv[الإجمالي],$N178),0),IF($M178="l",INDEX(tblBuckets[الفترة],5),IF($M178="v",TEXT(SUMIFS(tblInv[المتبقي],tblInv[كود العميل],StCust,tblInv[الفترة],INDEX(tblBuckets[الفترة],5)),"#,##0.00;-#,##0.00;-"),"")))</f>
        <v/>
      </c>
      <c r="F178" s="119">
        <f>IF($M178="m",IF($O178&lt;&gt;"",INDEX(tblRec[المبلغ],$O178),0),IF($M178="l",INDEX(tblBuckets[الفترة],6),IF($M178="v",TEXT(SUMIFS(tblInv[المتبقي],tblInv[كود العميل],StCust,tblInv[الفترة],INDEX(tblBuckets[الفترة],6)),"#,##0.00;-#,##0.00;-"),"")))</f>
        <v/>
      </c>
      <c r="G178" s="120">
        <f>IF($M178="m",N(G177)+E178-F178,IF($M178="l",INDEX(tblBuckets[الفترة],7),IF($M178="v",TEXT(SUMIFS(tblInv[المتبقي],tblInv[كود العميل],StCust,tblInv[الفترة],INDEX(tblBuckets[الفترة],7)),"#,##0.00;-#,##0.00;-"),"")))</f>
        <v/>
      </c>
      <c r="L178" t="n">
        <v>173</v>
      </c>
      <c r="M178">
        <f>IF(L178&lt;=StCount,"m",IF(L178=StCount+2,"t",IF(L178=StCount+3,"l",IF(L178=StCount+4,"v",IF(L178=StCount+6,"p","")))))</f>
        <v/>
      </c>
      <c r="N178">
        <f>IF(M178="m",IFERROR(MATCH(L178,tblInv[ترتيب الكشف],0),""),"")</f>
        <v/>
      </c>
      <c r="O178">
        <f>IF(AND(M178="m",N178=""),IFERROR(MATCH(L178,tblRec[ترتيب الكشف],0),""),"")</f>
        <v/>
      </c>
    </row>
    <row r="179">
      <c r="A179" s="117">
        <f>IF($M179="m",IF($N179&lt;&gt;"",INDEX(tblInv[تاريخ الفاتورة],$N179),INDEX(tblRec[التاريخ],$O179)),IF($M179="l",INDEX(tblBuckets[الفترة],1),IF($M179="v",TEXT(SUMIFS(tblInv[المتبقي],tblInv[كود العميل],StCust,tblInv[الفترة],INDEX(tblBuckets[الفترة],1)),"#,##0.00;-#,##0.00;-"),"")))</f>
        <v/>
      </c>
      <c r="B179" s="83">
        <f>IF($M179="m",IF($N179&lt;&gt;"","فاتورة",INDEX(tblRec[النوع],$O179)),IF($M179="l",INDEX(tblBuckets[الفترة],2),IF($M179="v",TEXT(SUMIFS(tblInv[المتبقي],tblInv[كود العميل],StCust,tblInv[الفترة],INDEX(tblBuckets[الفترة],2)),"#,##0.00;-#,##0.00;-"),"")))</f>
        <v/>
      </c>
      <c r="C179" s="83">
        <f>IF($M179="m",IF($N179&lt;&gt;"",INDEX(tblInv[رقم الفاتورة],$N179),INDEX(tblRec[رقم السند],$O179)),IF($M179="l",INDEX(tblBuckets[الفترة],3),IF($M179="v",TEXT(SUMIFS(tblInv[المتبقي],tblInv[كود العميل],StCust,tblInv[الفترة],INDEX(tblBuckets[الفترة],3)),"#,##0.00;-#,##0.00;-"),"")))</f>
        <v/>
      </c>
      <c r="D179" s="118">
        <f>IF($M179="m",IF($N179&lt;&gt;"","فاتورة مبيعات — استحقاق "&amp;TEXT(INDEX(tblInv[تاريخ الاستحقاق],$N179),"dd/mm/yyyy")&amp;IF(INDEX(tblInv[ملاحظات],$N179)&amp;""&lt;&gt;""," — "&amp;INDEX(tblInv[ملاحظات],$N179),""),INDEX(tblRec[النوع],$O179)&amp;IF(INDEX(tblRec[طريقة الدفع],$O179)&amp;""&lt;&gt;""," ("&amp;INDEX(tblRec[طريقة الدفع],$O179)&amp;")","")&amp;IF(INDEX(tblRec[رقم الفاتورة],$O179)&amp;""&lt;&gt;""," — عن فاتورة "&amp;INDEX(tblRec[رقم الفاتورة],$O179)," — دفعة على الحساب")),IF($M179="l",INDEX(tblBuckets[الفترة],4),IF($M179="v",TEXT(SUMIFS(tblInv[المتبقي],tblInv[كود العميل],StCust,tblInv[الفترة],INDEX(tblBuckets[الفترة],4)),"#,##0.00;-#,##0.00;-"),IF($M179="t","ملخص أعمار رصيد العميل كما في "&amp;TEXT(AsOf,"dd/mm/yyyy"),IF($M179="p","يُرجى مطابقة الرصيد وإفادتنا خلال 15 يوماً، وإلا اعتُبر الرصيد صحيحاً.","")))))</f>
        <v/>
      </c>
      <c r="E179" s="119">
        <f>IF($M179="m",IF($N179&lt;&gt;"",INDEX(tblInv[الإجمالي],$N179),0),IF($M179="l",INDEX(tblBuckets[الفترة],5),IF($M179="v",TEXT(SUMIFS(tblInv[المتبقي],tblInv[كود العميل],StCust,tblInv[الفترة],INDEX(tblBuckets[الفترة],5)),"#,##0.00;-#,##0.00;-"),"")))</f>
        <v/>
      </c>
      <c r="F179" s="119">
        <f>IF($M179="m",IF($O179&lt;&gt;"",INDEX(tblRec[المبلغ],$O179),0),IF($M179="l",INDEX(tblBuckets[الفترة],6),IF($M179="v",TEXT(SUMIFS(tblInv[المتبقي],tblInv[كود العميل],StCust,tblInv[الفترة],INDEX(tblBuckets[الفترة],6)),"#,##0.00;-#,##0.00;-"),"")))</f>
        <v/>
      </c>
      <c r="G179" s="120">
        <f>IF($M179="m",N(G178)+E179-F179,IF($M179="l",INDEX(tblBuckets[الفترة],7),IF($M179="v",TEXT(SUMIFS(tblInv[المتبقي],tblInv[كود العميل],StCust,tblInv[الفترة],INDEX(tblBuckets[الفترة],7)),"#,##0.00;-#,##0.00;-"),"")))</f>
        <v/>
      </c>
      <c r="L179" t="n">
        <v>174</v>
      </c>
      <c r="M179">
        <f>IF(L179&lt;=StCount,"m",IF(L179=StCount+2,"t",IF(L179=StCount+3,"l",IF(L179=StCount+4,"v",IF(L179=StCount+6,"p","")))))</f>
        <v/>
      </c>
      <c r="N179">
        <f>IF(M179="m",IFERROR(MATCH(L179,tblInv[ترتيب الكشف],0),""),"")</f>
        <v/>
      </c>
      <c r="O179">
        <f>IF(AND(M179="m",N179=""),IFERROR(MATCH(L179,tblRec[ترتيب الكشف],0),""),"")</f>
        <v/>
      </c>
    </row>
    <row r="180">
      <c r="A180" s="117">
        <f>IF($M180="m",IF($N180&lt;&gt;"",INDEX(tblInv[تاريخ الفاتورة],$N180),INDEX(tblRec[التاريخ],$O180)),IF($M180="l",INDEX(tblBuckets[الفترة],1),IF($M180="v",TEXT(SUMIFS(tblInv[المتبقي],tblInv[كود العميل],StCust,tblInv[الفترة],INDEX(tblBuckets[الفترة],1)),"#,##0.00;-#,##0.00;-"),"")))</f>
        <v/>
      </c>
      <c r="B180" s="83">
        <f>IF($M180="m",IF($N180&lt;&gt;"","فاتورة",INDEX(tblRec[النوع],$O180)),IF($M180="l",INDEX(tblBuckets[الفترة],2),IF($M180="v",TEXT(SUMIFS(tblInv[المتبقي],tblInv[كود العميل],StCust,tblInv[الفترة],INDEX(tblBuckets[الفترة],2)),"#,##0.00;-#,##0.00;-"),"")))</f>
        <v/>
      </c>
      <c r="C180" s="83">
        <f>IF($M180="m",IF($N180&lt;&gt;"",INDEX(tblInv[رقم الفاتورة],$N180),INDEX(tblRec[رقم السند],$O180)),IF($M180="l",INDEX(tblBuckets[الفترة],3),IF($M180="v",TEXT(SUMIFS(tblInv[المتبقي],tblInv[كود العميل],StCust,tblInv[الفترة],INDEX(tblBuckets[الفترة],3)),"#,##0.00;-#,##0.00;-"),"")))</f>
        <v/>
      </c>
      <c r="D180" s="118">
        <f>IF($M180="m",IF($N180&lt;&gt;"","فاتورة مبيعات — استحقاق "&amp;TEXT(INDEX(tblInv[تاريخ الاستحقاق],$N180),"dd/mm/yyyy")&amp;IF(INDEX(tblInv[ملاحظات],$N180)&amp;""&lt;&gt;""," — "&amp;INDEX(tblInv[ملاحظات],$N180),""),INDEX(tblRec[النوع],$O180)&amp;IF(INDEX(tblRec[طريقة الدفع],$O180)&amp;""&lt;&gt;""," ("&amp;INDEX(tblRec[طريقة الدفع],$O180)&amp;")","")&amp;IF(INDEX(tblRec[رقم الفاتورة],$O180)&amp;""&lt;&gt;""," — عن فاتورة "&amp;INDEX(tblRec[رقم الفاتورة],$O180)," — دفعة على الحساب")),IF($M180="l",INDEX(tblBuckets[الفترة],4),IF($M180="v",TEXT(SUMIFS(tblInv[المتبقي],tblInv[كود العميل],StCust,tblInv[الفترة],INDEX(tblBuckets[الفترة],4)),"#,##0.00;-#,##0.00;-"),IF($M180="t","ملخص أعمار رصيد العميل كما في "&amp;TEXT(AsOf,"dd/mm/yyyy"),IF($M180="p","يُرجى مطابقة الرصيد وإفادتنا خلال 15 يوماً، وإلا اعتُبر الرصيد صحيحاً.","")))))</f>
        <v/>
      </c>
      <c r="E180" s="119">
        <f>IF($M180="m",IF($N180&lt;&gt;"",INDEX(tblInv[الإجمالي],$N180),0),IF($M180="l",INDEX(tblBuckets[الفترة],5),IF($M180="v",TEXT(SUMIFS(tblInv[المتبقي],tblInv[كود العميل],StCust,tblInv[الفترة],INDEX(tblBuckets[الفترة],5)),"#,##0.00;-#,##0.00;-"),"")))</f>
        <v/>
      </c>
      <c r="F180" s="119">
        <f>IF($M180="m",IF($O180&lt;&gt;"",INDEX(tblRec[المبلغ],$O180),0),IF($M180="l",INDEX(tblBuckets[الفترة],6),IF($M180="v",TEXT(SUMIFS(tblInv[المتبقي],tblInv[كود العميل],StCust,tblInv[الفترة],INDEX(tblBuckets[الفترة],6)),"#,##0.00;-#,##0.00;-"),"")))</f>
        <v/>
      </c>
      <c r="G180" s="120">
        <f>IF($M180="m",N(G179)+E180-F180,IF($M180="l",INDEX(tblBuckets[الفترة],7),IF($M180="v",TEXT(SUMIFS(tblInv[المتبقي],tblInv[كود العميل],StCust,tblInv[الفترة],INDEX(tblBuckets[الفترة],7)),"#,##0.00;-#,##0.00;-"),"")))</f>
        <v/>
      </c>
      <c r="L180" t="n">
        <v>175</v>
      </c>
      <c r="M180">
        <f>IF(L180&lt;=StCount,"m",IF(L180=StCount+2,"t",IF(L180=StCount+3,"l",IF(L180=StCount+4,"v",IF(L180=StCount+6,"p","")))))</f>
        <v/>
      </c>
      <c r="N180">
        <f>IF(M180="m",IFERROR(MATCH(L180,tblInv[ترتيب الكشف],0),""),"")</f>
        <v/>
      </c>
      <c r="O180">
        <f>IF(AND(M180="m",N180=""),IFERROR(MATCH(L180,tblRec[ترتيب الكشف],0),""),"")</f>
        <v/>
      </c>
    </row>
    <row r="181">
      <c r="A181" s="117">
        <f>IF($M181="m",IF($N181&lt;&gt;"",INDEX(tblInv[تاريخ الفاتورة],$N181),INDEX(tblRec[التاريخ],$O181)),IF($M181="l",INDEX(tblBuckets[الفترة],1),IF($M181="v",TEXT(SUMIFS(tblInv[المتبقي],tblInv[كود العميل],StCust,tblInv[الفترة],INDEX(tblBuckets[الفترة],1)),"#,##0.00;-#,##0.00;-"),"")))</f>
        <v/>
      </c>
      <c r="B181" s="83">
        <f>IF($M181="m",IF($N181&lt;&gt;"","فاتورة",INDEX(tblRec[النوع],$O181)),IF($M181="l",INDEX(tblBuckets[الفترة],2),IF($M181="v",TEXT(SUMIFS(tblInv[المتبقي],tblInv[كود العميل],StCust,tblInv[الفترة],INDEX(tblBuckets[الفترة],2)),"#,##0.00;-#,##0.00;-"),"")))</f>
        <v/>
      </c>
      <c r="C181" s="83">
        <f>IF($M181="m",IF($N181&lt;&gt;"",INDEX(tblInv[رقم الفاتورة],$N181),INDEX(tblRec[رقم السند],$O181)),IF($M181="l",INDEX(tblBuckets[الفترة],3),IF($M181="v",TEXT(SUMIFS(tblInv[المتبقي],tblInv[كود العميل],StCust,tblInv[الفترة],INDEX(tblBuckets[الفترة],3)),"#,##0.00;-#,##0.00;-"),"")))</f>
        <v/>
      </c>
      <c r="D181" s="118">
        <f>IF($M181="m",IF($N181&lt;&gt;"","فاتورة مبيعات — استحقاق "&amp;TEXT(INDEX(tblInv[تاريخ الاستحقاق],$N181),"dd/mm/yyyy")&amp;IF(INDEX(tblInv[ملاحظات],$N181)&amp;""&lt;&gt;""," — "&amp;INDEX(tblInv[ملاحظات],$N181),""),INDEX(tblRec[النوع],$O181)&amp;IF(INDEX(tblRec[طريقة الدفع],$O181)&amp;""&lt;&gt;""," ("&amp;INDEX(tblRec[طريقة الدفع],$O181)&amp;")","")&amp;IF(INDEX(tblRec[رقم الفاتورة],$O181)&amp;""&lt;&gt;""," — عن فاتورة "&amp;INDEX(tblRec[رقم الفاتورة],$O181)," — دفعة على الحساب")),IF($M181="l",INDEX(tblBuckets[الفترة],4),IF($M181="v",TEXT(SUMIFS(tblInv[المتبقي],tblInv[كود العميل],StCust,tblInv[الفترة],INDEX(tblBuckets[الفترة],4)),"#,##0.00;-#,##0.00;-"),IF($M181="t","ملخص أعمار رصيد العميل كما في "&amp;TEXT(AsOf,"dd/mm/yyyy"),IF($M181="p","يُرجى مطابقة الرصيد وإفادتنا خلال 15 يوماً، وإلا اعتُبر الرصيد صحيحاً.","")))))</f>
        <v/>
      </c>
      <c r="E181" s="119">
        <f>IF($M181="m",IF($N181&lt;&gt;"",INDEX(tblInv[الإجمالي],$N181),0),IF($M181="l",INDEX(tblBuckets[الفترة],5),IF($M181="v",TEXT(SUMIFS(tblInv[المتبقي],tblInv[كود العميل],StCust,tblInv[الفترة],INDEX(tblBuckets[الفترة],5)),"#,##0.00;-#,##0.00;-"),"")))</f>
        <v/>
      </c>
      <c r="F181" s="119">
        <f>IF($M181="m",IF($O181&lt;&gt;"",INDEX(tblRec[المبلغ],$O181),0),IF($M181="l",INDEX(tblBuckets[الفترة],6),IF($M181="v",TEXT(SUMIFS(tblInv[المتبقي],tblInv[كود العميل],StCust,tblInv[الفترة],INDEX(tblBuckets[الفترة],6)),"#,##0.00;-#,##0.00;-"),"")))</f>
        <v/>
      </c>
      <c r="G181" s="120">
        <f>IF($M181="m",N(G180)+E181-F181,IF($M181="l",INDEX(tblBuckets[الفترة],7),IF($M181="v",TEXT(SUMIFS(tblInv[المتبقي],tblInv[كود العميل],StCust,tblInv[الفترة],INDEX(tblBuckets[الفترة],7)),"#,##0.00;-#,##0.00;-"),"")))</f>
        <v/>
      </c>
      <c r="L181" t="n">
        <v>176</v>
      </c>
      <c r="M181">
        <f>IF(L181&lt;=StCount,"m",IF(L181=StCount+2,"t",IF(L181=StCount+3,"l",IF(L181=StCount+4,"v",IF(L181=StCount+6,"p","")))))</f>
        <v/>
      </c>
      <c r="N181">
        <f>IF(M181="m",IFERROR(MATCH(L181,tblInv[ترتيب الكشف],0),""),"")</f>
        <v/>
      </c>
      <c r="O181">
        <f>IF(AND(M181="m",N181=""),IFERROR(MATCH(L181,tblRec[ترتيب الكشف],0),""),"")</f>
        <v/>
      </c>
    </row>
    <row r="182">
      <c r="A182" s="117">
        <f>IF($M182="m",IF($N182&lt;&gt;"",INDEX(tblInv[تاريخ الفاتورة],$N182),INDEX(tblRec[التاريخ],$O182)),IF($M182="l",INDEX(tblBuckets[الفترة],1),IF($M182="v",TEXT(SUMIFS(tblInv[المتبقي],tblInv[كود العميل],StCust,tblInv[الفترة],INDEX(tblBuckets[الفترة],1)),"#,##0.00;-#,##0.00;-"),"")))</f>
        <v/>
      </c>
      <c r="B182" s="83">
        <f>IF($M182="m",IF($N182&lt;&gt;"","فاتورة",INDEX(tblRec[النوع],$O182)),IF($M182="l",INDEX(tblBuckets[الفترة],2),IF($M182="v",TEXT(SUMIFS(tblInv[المتبقي],tblInv[كود العميل],StCust,tblInv[الفترة],INDEX(tblBuckets[الفترة],2)),"#,##0.00;-#,##0.00;-"),"")))</f>
        <v/>
      </c>
      <c r="C182" s="83">
        <f>IF($M182="m",IF($N182&lt;&gt;"",INDEX(tblInv[رقم الفاتورة],$N182),INDEX(tblRec[رقم السند],$O182)),IF($M182="l",INDEX(tblBuckets[الفترة],3),IF($M182="v",TEXT(SUMIFS(tblInv[المتبقي],tblInv[كود العميل],StCust,tblInv[الفترة],INDEX(tblBuckets[الفترة],3)),"#,##0.00;-#,##0.00;-"),"")))</f>
        <v/>
      </c>
      <c r="D182" s="118">
        <f>IF($M182="m",IF($N182&lt;&gt;"","فاتورة مبيعات — استحقاق "&amp;TEXT(INDEX(tblInv[تاريخ الاستحقاق],$N182),"dd/mm/yyyy")&amp;IF(INDEX(tblInv[ملاحظات],$N182)&amp;""&lt;&gt;""," — "&amp;INDEX(tblInv[ملاحظات],$N182),""),INDEX(tblRec[النوع],$O182)&amp;IF(INDEX(tblRec[طريقة الدفع],$O182)&amp;""&lt;&gt;""," ("&amp;INDEX(tblRec[طريقة الدفع],$O182)&amp;")","")&amp;IF(INDEX(tblRec[رقم الفاتورة],$O182)&amp;""&lt;&gt;""," — عن فاتورة "&amp;INDEX(tblRec[رقم الفاتورة],$O182)," — دفعة على الحساب")),IF($M182="l",INDEX(tblBuckets[الفترة],4),IF($M182="v",TEXT(SUMIFS(tblInv[المتبقي],tblInv[كود العميل],StCust,tblInv[الفترة],INDEX(tblBuckets[الفترة],4)),"#,##0.00;-#,##0.00;-"),IF($M182="t","ملخص أعمار رصيد العميل كما في "&amp;TEXT(AsOf,"dd/mm/yyyy"),IF($M182="p","يُرجى مطابقة الرصيد وإفادتنا خلال 15 يوماً، وإلا اعتُبر الرصيد صحيحاً.","")))))</f>
        <v/>
      </c>
      <c r="E182" s="119">
        <f>IF($M182="m",IF($N182&lt;&gt;"",INDEX(tblInv[الإجمالي],$N182),0),IF($M182="l",INDEX(tblBuckets[الفترة],5),IF($M182="v",TEXT(SUMIFS(tblInv[المتبقي],tblInv[كود العميل],StCust,tblInv[الفترة],INDEX(tblBuckets[الفترة],5)),"#,##0.00;-#,##0.00;-"),"")))</f>
        <v/>
      </c>
      <c r="F182" s="119">
        <f>IF($M182="m",IF($O182&lt;&gt;"",INDEX(tblRec[المبلغ],$O182),0),IF($M182="l",INDEX(tblBuckets[الفترة],6),IF($M182="v",TEXT(SUMIFS(tblInv[المتبقي],tblInv[كود العميل],StCust,tblInv[الفترة],INDEX(tblBuckets[الفترة],6)),"#,##0.00;-#,##0.00;-"),"")))</f>
        <v/>
      </c>
      <c r="G182" s="120">
        <f>IF($M182="m",N(G181)+E182-F182,IF($M182="l",INDEX(tblBuckets[الفترة],7),IF($M182="v",TEXT(SUMIFS(tblInv[المتبقي],tblInv[كود العميل],StCust,tblInv[الفترة],INDEX(tblBuckets[الفترة],7)),"#,##0.00;-#,##0.00;-"),"")))</f>
        <v/>
      </c>
      <c r="L182" t="n">
        <v>177</v>
      </c>
      <c r="M182">
        <f>IF(L182&lt;=StCount,"m",IF(L182=StCount+2,"t",IF(L182=StCount+3,"l",IF(L182=StCount+4,"v",IF(L182=StCount+6,"p","")))))</f>
        <v/>
      </c>
      <c r="N182">
        <f>IF(M182="m",IFERROR(MATCH(L182,tblInv[ترتيب الكشف],0),""),"")</f>
        <v/>
      </c>
      <c r="O182">
        <f>IF(AND(M182="m",N182=""),IFERROR(MATCH(L182,tblRec[ترتيب الكشف],0),""),"")</f>
        <v/>
      </c>
    </row>
    <row r="183">
      <c r="A183" s="117">
        <f>IF($M183="m",IF($N183&lt;&gt;"",INDEX(tblInv[تاريخ الفاتورة],$N183),INDEX(tblRec[التاريخ],$O183)),IF($M183="l",INDEX(tblBuckets[الفترة],1),IF($M183="v",TEXT(SUMIFS(tblInv[المتبقي],tblInv[كود العميل],StCust,tblInv[الفترة],INDEX(tblBuckets[الفترة],1)),"#,##0.00;-#,##0.00;-"),"")))</f>
        <v/>
      </c>
      <c r="B183" s="83">
        <f>IF($M183="m",IF($N183&lt;&gt;"","فاتورة",INDEX(tblRec[النوع],$O183)),IF($M183="l",INDEX(tblBuckets[الفترة],2),IF($M183="v",TEXT(SUMIFS(tblInv[المتبقي],tblInv[كود العميل],StCust,tblInv[الفترة],INDEX(tblBuckets[الفترة],2)),"#,##0.00;-#,##0.00;-"),"")))</f>
        <v/>
      </c>
      <c r="C183" s="83">
        <f>IF($M183="m",IF($N183&lt;&gt;"",INDEX(tblInv[رقم الفاتورة],$N183),INDEX(tblRec[رقم السند],$O183)),IF($M183="l",INDEX(tblBuckets[الفترة],3),IF($M183="v",TEXT(SUMIFS(tblInv[المتبقي],tblInv[كود العميل],StCust,tblInv[الفترة],INDEX(tblBuckets[الفترة],3)),"#,##0.00;-#,##0.00;-"),"")))</f>
        <v/>
      </c>
      <c r="D183" s="118">
        <f>IF($M183="m",IF($N183&lt;&gt;"","فاتورة مبيعات — استحقاق "&amp;TEXT(INDEX(tblInv[تاريخ الاستحقاق],$N183),"dd/mm/yyyy")&amp;IF(INDEX(tblInv[ملاحظات],$N183)&amp;""&lt;&gt;""," — "&amp;INDEX(tblInv[ملاحظات],$N183),""),INDEX(tblRec[النوع],$O183)&amp;IF(INDEX(tblRec[طريقة الدفع],$O183)&amp;""&lt;&gt;""," ("&amp;INDEX(tblRec[طريقة الدفع],$O183)&amp;")","")&amp;IF(INDEX(tblRec[رقم الفاتورة],$O183)&amp;""&lt;&gt;""," — عن فاتورة "&amp;INDEX(tblRec[رقم الفاتورة],$O183)," — دفعة على الحساب")),IF($M183="l",INDEX(tblBuckets[الفترة],4),IF($M183="v",TEXT(SUMIFS(tblInv[المتبقي],tblInv[كود العميل],StCust,tblInv[الفترة],INDEX(tblBuckets[الفترة],4)),"#,##0.00;-#,##0.00;-"),IF($M183="t","ملخص أعمار رصيد العميل كما في "&amp;TEXT(AsOf,"dd/mm/yyyy"),IF($M183="p","يُرجى مطابقة الرصيد وإفادتنا خلال 15 يوماً، وإلا اعتُبر الرصيد صحيحاً.","")))))</f>
        <v/>
      </c>
      <c r="E183" s="119">
        <f>IF($M183="m",IF($N183&lt;&gt;"",INDEX(tblInv[الإجمالي],$N183),0),IF($M183="l",INDEX(tblBuckets[الفترة],5),IF($M183="v",TEXT(SUMIFS(tblInv[المتبقي],tblInv[كود العميل],StCust,tblInv[الفترة],INDEX(tblBuckets[الفترة],5)),"#,##0.00;-#,##0.00;-"),"")))</f>
        <v/>
      </c>
      <c r="F183" s="119">
        <f>IF($M183="m",IF($O183&lt;&gt;"",INDEX(tblRec[المبلغ],$O183),0),IF($M183="l",INDEX(tblBuckets[الفترة],6),IF($M183="v",TEXT(SUMIFS(tblInv[المتبقي],tblInv[كود العميل],StCust,tblInv[الفترة],INDEX(tblBuckets[الفترة],6)),"#,##0.00;-#,##0.00;-"),"")))</f>
        <v/>
      </c>
      <c r="G183" s="120">
        <f>IF($M183="m",N(G182)+E183-F183,IF($M183="l",INDEX(tblBuckets[الفترة],7),IF($M183="v",TEXT(SUMIFS(tblInv[المتبقي],tblInv[كود العميل],StCust,tblInv[الفترة],INDEX(tblBuckets[الفترة],7)),"#,##0.00;-#,##0.00;-"),"")))</f>
        <v/>
      </c>
      <c r="L183" t="n">
        <v>178</v>
      </c>
      <c r="M183">
        <f>IF(L183&lt;=StCount,"m",IF(L183=StCount+2,"t",IF(L183=StCount+3,"l",IF(L183=StCount+4,"v",IF(L183=StCount+6,"p","")))))</f>
        <v/>
      </c>
      <c r="N183">
        <f>IF(M183="m",IFERROR(MATCH(L183,tblInv[ترتيب الكشف],0),""),"")</f>
        <v/>
      </c>
      <c r="O183">
        <f>IF(AND(M183="m",N183=""),IFERROR(MATCH(L183,tblRec[ترتيب الكشف],0),""),"")</f>
        <v/>
      </c>
    </row>
    <row r="184">
      <c r="A184" s="117">
        <f>IF($M184="m",IF($N184&lt;&gt;"",INDEX(tblInv[تاريخ الفاتورة],$N184),INDEX(tblRec[التاريخ],$O184)),IF($M184="l",INDEX(tblBuckets[الفترة],1),IF($M184="v",TEXT(SUMIFS(tblInv[المتبقي],tblInv[كود العميل],StCust,tblInv[الفترة],INDEX(tblBuckets[الفترة],1)),"#,##0.00;-#,##0.00;-"),"")))</f>
        <v/>
      </c>
      <c r="B184" s="83">
        <f>IF($M184="m",IF($N184&lt;&gt;"","فاتورة",INDEX(tblRec[النوع],$O184)),IF($M184="l",INDEX(tblBuckets[الفترة],2),IF($M184="v",TEXT(SUMIFS(tblInv[المتبقي],tblInv[كود العميل],StCust,tblInv[الفترة],INDEX(tblBuckets[الفترة],2)),"#,##0.00;-#,##0.00;-"),"")))</f>
        <v/>
      </c>
      <c r="C184" s="83">
        <f>IF($M184="m",IF($N184&lt;&gt;"",INDEX(tblInv[رقم الفاتورة],$N184),INDEX(tblRec[رقم السند],$O184)),IF($M184="l",INDEX(tblBuckets[الفترة],3),IF($M184="v",TEXT(SUMIFS(tblInv[المتبقي],tblInv[كود العميل],StCust,tblInv[الفترة],INDEX(tblBuckets[الفترة],3)),"#,##0.00;-#,##0.00;-"),"")))</f>
        <v/>
      </c>
      <c r="D184" s="118">
        <f>IF($M184="m",IF($N184&lt;&gt;"","فاتورة مبيعات — استحقاق "&amp;TEXT(INDEX(tblInv[تاريخ الاستحقاق],$N184),"dd/mm/yyyy")&amp;IF(INDEX(tblInv[ملاحظات],$N184)&amp;""&lt;&gt;""," — "&amp;INDEX(tblInv[ملاحظات],$N184),""),INDEX(tblRec[النوع],$O184)&amp;IF(INDEX(tblRec[طريقة الدفع],$O184)&amp;""&lt;&gt;""," ("&amp;INDEX(tblRec[طريقة الدفع],$O184)&amp;")","")&amp;IF(INDEX(tblRec[رقم الفاتورة],$O184)&amp;""&lt;&gt;""," — عن فاتورة "&amp;INDEX(tblRec[رقم الفاتورة],$O184)," — دفعة على الحساب")),IF($M184="l",INDEX(tblBuckets[الفترة],4),IF($M184="v",TEXT(SUMIFS(tblInv[المتبقي],tblInv[كود العميل],StCust,tblInv[الفترة],INDEX(tblBuckets[الفترة],4)),"#,##0.00;-#,##0.00;-"),IF($M184="t","ملخص أعمار رصيد العميل كما في "&amp;TEXT(AsOf,"dd/mm/yyyy"),IF($M184="p","يُرجى مطابقة الرصيد وإفادتنا خلال 15 يوماً، وإلا اعتُبر الرصيد صحيحاً.","")))))</f>
        <v/>
      </c>
      <c r="E184" s="119">
        <f>IF($M184="m",IF($N184&lt;&gt;"",INDEX(tblInv[الإجمالي],$N184),0),IF($M184="l",INDEX(tblBuckets[الفترة],5),IF($M184="v",TEXT(SUMIFS(tblInv[المتبقي],tblInv[كود العميل],StCust,tblInv[الفترة],INDEX(tblBuckets[الفترة],5)),"#,##0.00;-#,##0.00;-"),"")))</f>
        <v/>
      </c>
      <c r="F184" s="119">
        <f>IF($M184="m",IF($O184&lt;&gt;"",INDEX(tblRec[المبلغ],$O184),0),IF($M184="l",INDEX(tblBuckets[الفترة],6),IF($M184="v",TEXT(SUMIFS(tblInv[المتبقي],tblInv[كود العميل],StCust,tblInv[الفترة],INDEX(tblBuckets[الفترة],6)),"#,##0.00;-#,##0.00;-"),"")))</f>
        <v/>
      </c>
      <c r="G184" s="120">
        <f>IF($M184="m",N(G183)+E184-F184,IF($M184="l",INDEX(tblBuckets[الفترة],7),IF($M184="v",TEXT(SUMIFS(tblInv[المتبقي],tblInv[كود العميل],StCust,tblInv[الفترة],INDEX(tblBuckets[الفترة],7)),"#,##0.00;-#,##0.00;-"),"")))</f>
        <v/>
      </c>
      <c r="L184" t="n">
        <v>179</v>
      </c>
      <c r="M184">
        <f>IF(L184&lt;=StCount,"m",IF(L184=StCount+2,"t",IF(L184=StCount+3,"l",IF(L184=StCount+4,"v",IF(L184=StCount+6,"p","")))))</f>
        <v/>
      </c>
      <c r="N184">
        <f>IF(M184="m",IFERROR(MATCH(L184,tblInv[ترتيب الكشف],0),""),"")</f>
        <v/>
      </c>
      <c r="O184">
        <f>IF(AND(M184="m",N184=""),IFERROR(MATCH(L184,tblRec[ترتيب الكشف],0),""),"")</f>
        <v/>
      </c>
    </row>
    <row r="185">
      <c r="A185" s="117">
        <f>IF($M185="m",IF($N185&lt;&gt;"",INDEX(tblInv[تاريخ الفاتورة],$N185),INDEX(tblRec[التاريخ],$O185)),IF($M185="l",INDEX(tblBuckets[الفترة],1),IF($M185="v",TEXT(SUMIFS(tblInv[المتبقي],tblInv[كود العميل],StCust,tblInv[الفترة],INDEX(tblBuckets[الفترة],1)),"#,##0.00;-#,##0.00;-"),"")))</f>
        <v/>
      </c>
      <c r="B185" s="83">
        <f>IF($M185="m",IF($N185&lt;&gt;"","فاتورة",INDEX(tblRec[النوع],$O185)),IF($M185="l",INDEX(tblBuckets[الفترة],2),IF($M185="v",TEXT(SUMIFS(tblInv[المتبقي],tblInv[كود العميل],StCust,tblInv[الفترة],INDEX(tblBuckets[الفترة],2)),"#,##0.00;-#,##0.00;-"),"")))</f>
        <v/>
      </c>
      <c r="C185" s="83">
        <f>IF($M185="m",IF($N185&lt;&gt;"",INDEX(tblInv[رقم الفاتورة],$N185),INDEX(tblRec[رقم السند],$O185)),IF($M185="l",INDEX(tblBuckets[الفترة],3),IF($M185="v",TEXT(SUMIFS(tblInv[المتبقي],tblInv[كود العميل],StCust,tblInv[الفترة],INDEX(tblBuckets[الفترة],3)),"#,##0.00;-#,##0.00;-"),"")))</f>
        <v/>
      </c>
      <c r="D185" s="118">
        <f>IF($M185="m",IF($N185&lt;&gt;"","فاتورة مبيعات — استحقاق "&amp;TEXT(INDEX(tblInv[تاريخ الاستحقاق],$N185),"dd/mm/yyyy")&amp;IF(INDEX(tblInv[ملاحظات],$N185)&amp;""&lt;&gt;""," — "&amp;INDEX(tblInv[ملاحظات],$N185),""),INDEX(tblRec[النوع],$O185)&amp;IF(INDEX(tblRec[طريقة الدفع],$O185)&amp;""&lt;&gt;""," ("&amp;INDEX(tblRec[طريقة الدفع],$O185)&amp;")","")&amp;IF(INDEX(tblRec[رقم الفاتورة],$O185)&amp;""&lt;&gt;""," — عن فاتورة "&amp;INDEX(tblRec[رقم الفاتورة],$O185)," — دفعة على الحساب")),IF($M185="l",INDEX(tblBuckets[الفترة],4),IF($M185="v",TEXT(SUMIFS(tblInv[المتبقي],tblInv[كود العميل],StCust,tblInv[الفترة],INDEX(tblBuckets[الفترة],4)),"#,##0.00;-#,##0.00;-"),IF($M185="t","ملخص أعمار رصيد العميل كما في "&amp;TEXT(AsOf,"dd/mm/yyyy"),IF($M185="p","يُرجى مطابقة الرصيد وإفادتنا خلال 15 يوماً، وإلا اعتُبر الرصيد صحيحاً.","")))))</f>
        <v/>
      </c>
      <c r="E185" s="119">
        <f>IF($M185="m",IF($N185&lt;&gt;"",INDEX(tblInv[الإجمالي],$N185),0),IF($M185="l",INDEX(tblBuckets[الفترة],5),IF($M185="v",TEXT(SUMIFS(tblInv[المتبقي],tblInv[كود العميل],StCust,tblInv[الفترة],INDEX(tblBuckets[الفترة],5)),"#,##0.00;-#,##0.00;-"),"")))</f>
        <v/>
      </c>
      <c r="F185" s="119">
        <f>IF($M185="m",IF($O185&lt;&gt;"",INDEX(tblRec[المبلغ],$O185),0),IF($M185="l",INDEX(tblBuckets[الفترة],6),IF($M185="v",TEXT(SUMIFS(tblInv[المتبقي],tblInv[كود العميل],StCust,tblInv[الفترة],INDEX(tblBuckets[الفترة],6)),"#,##0.00;-#,##0.00;-"),"")))</f>
        <v/>
      </c>
      <c r="G185" s="120">
        <f>IF($M185="m",N(G184)+E185-F185,IF($M185="l",INDEX(tblBuckets[الفترة],7),IF($M185="v",TEXT(SUMIFS(tblInv[المتبقي],tblInv[كود العميل],StCust,tblInv[الفترة],INDEX(tblBuckets[الفترة],7)),"#,##0.00;-#,##0.00;-"),"")))</f>
        <v/>
      </c>
      <c r="L185" t="n">
        <v>180</v>
      </c>
      <c r="M185">
        <f>IF(L185&lt;=StCount,"m",IF(L185=StCount+2,"t",IF(L185=StCount+3,"l",IF(L185=StCount+4,"v",IF(L185=StCount+6,"p","")))))</f>
        <v/>
      </c>
      <c r="N185">
        <f>IF(M185="m",IFERROR(MATCH(L185,tblInv[ترتيب الكشف],0),""),"")</f>
        <v/>
      </c>
      <c r="O185">
        <f>IF(AND(M185="m",N185=""),IFERROR(MATCH(L185,tblRec[ترتيب الكشف],0),""),"")</f>
        <v/>
      </c>
    </row>
    <row r="186">
      <c r="A186" s="117">
        <f>IF($M186="m",IF($N186&lt;&gt;"",INDEX(tblInv[تاريخ الفاتورة],$N186),INDEX(tblRec[التاريخ],$O186)),IF($M186="l",INDEX(tblBuckets[الفترة],1),IF($M186="v",TEXT(SUMIFS(tblInv[المتبقي],tblInv[كود العميل],StCust,tblInv[الفترة],INDEX(tblBuckets[الفترة],1)),"#,##0.00;-#,##0.00;-"),"")))</f>
        <v/>
      </c>
      <c r="B186" s="83">
        <f>IF($M186="m",IF($N186&lt;&gt;"","فاتورة",INDEX(tblRec[النوع],$O186)),IF($M186="l",INDEX(tblBuckets[الفترة],2),IF($M186="v",TEXT(SUMIFS(tblInv[المتبقي],tblInv[كود العميل],StCust,tblInv[الفترة],INDEX(tblBuckets[الفترة],2)),"#,##0.00;-#,##0.00;-"),"")))</f>
        <v/>
      </c>
      <c r="C186" s="83">
        <f>IF($M186="m",IF($N186&lt;&gt;"",INDEX(tblInv[رقم الفاتورة],$N186),INDEX(tblRec[رقم السند],$O186)),IF($M186="l",INDEX(tblBuckets[الفترة],3),IF($M186="v",TEXT(SUMIFS(tblInv[المتبقي],tblInv[كود العميل],StCust,tblInv[الفترة],INDEX(tblBuckets[الفترة],3)),"#,##0.00;-#,##0.00;-"),"")))</f>
        <v/>
      </c>
      <c r="D186" s="118">
        <f>IF($M186="m",IF($N186&lt;&gt;"","فاتورة مبيعات — استحقاق "&amp;TEXT(INDEX(tblInv[تاريخ الاستحقاق],$N186),"dd/mm/yyyy")&amp;IF(INDEX(tblInv[ملاحظات],$N186)&amp;""&lt;&gt;""," — "&amp;INDEX(tblInv[ملاحظات],$N186),""),INDEX(tblRec[النوع],$O186)&amp;IF(INDEX(tblRec[طريقة الدفع],$O186)&amp;""&lt;&gt;""," ("&amp;INDEX(tblRec[طريقة الدفع],$O186)&amp;")","")&amp;IF(INDEX(tblRec[رقم الفاتورة],$O186)&amp;""&lt;&gt;""," — عن فاتورة "&amp;INDEX(tblRec[رقم الفاتورة],$O186)," — دفعة على الحساب")),IF($M186="l",INDEX(tblBuckets[الفترة],4),IF($M186="v",TEXT(SUMIFS(tblInv[المتبقي],tblInv[كود العميل],StCust,tblInv[الفترة],INDEX(tblBuckets[الفترة],4)),"#,##0.00;-#,##0.00;-"),IF($M186="t","ملخص أعمار رصيد العميل كما في "&amp;TEXT(AsOf,"dd/mm/yyyy"),IF($M186="p","يُرجى مطابقة الرصيد وإفادتنا خلال 15 يوماً، وإلا اعتُبر الرصيد صحيحاً.","")))))</f>
        <v/>
      </c>
      <c r="E186" s="119">
        <f>IF($M186="m",IF($N186&lt;&gt;"",INDEX(tblInv[الإجمالي],$N186),0),IF($M186="l",INDEX(tblBuckets[الفترة],5),IF($M186="v",TEXT(SUMIFS(tblInv[المتبقي],tblInv[كود العميل],StCust,tblInv[الفترة],INDEX(tblBuckets[الفترة],5)),"#,##0.00;-#,##0.00;-"),"")))</f>
        <v/>
      </c>
      <c r="F186" s="119">
        <f>IF($M186="m",IF($O186&lt;&gt;"",INDEX(tblRec[المبلغ],$O186),0),IF($M186="l",INDEX(tblBuckets[الفترة],6),IF($M186="v",TEXT(SUMIFS(tblInv[المتبقي],tblInv[كود العميل],StCust,tblInv[الفترة],INDEX(tblBuckets[الفترة],6)),"#,##0.00;-#,##0.00;-"),"")))</f>
        <v/>
      </c>
      <c r="G186" s="120">
        <f>IF($M186="m",N(G185)+E186-F186,IF($M186="l",INDEX(tblBuckets[الفترة],7),IF($M186="v",TEXT(SUMIFS(tblInv[المتبقي],tblInv[كود العميل],StCust,tblInv[الفترة],INDEX(tblBuckets[الفترة],7)),"#,##0.00;-#,##0.00;-"),"")))</f>
        <v/>
      </c>
      <c r="L186" t="n">
        <v>181</v>
      </c>
      <c r="M186">
        <f>IF(L186&lt;=StCount,"m",IF(L186=StCount+2,"t",IF(L186=StCount+3,"l",IF(L186=StCount+4,"v",IF(L186=StCount+6,"p","")))))</f>
        <v/>
      </c>
      <c r="N186">
        <f>IF(M186="m",IFERROR(MATCH(L186,tblInv[ترتيب الكشف],0),""),"")</f>
        <v/>
      </c>
      <c r="O186">
        <f>IF(AND(M186="m",N186=""),IFERROR(MATCH(L186,tblRec[ترتيب الكشف],0),""),"")</f>
        <v/>
      </c>
    </row>
    <row r="187">
      <c r="A187" s="117">
        <f>IF($M187="m",IF($N187&lt;&gt;"",INDEX(tblInv[تاريخ الفاتورة],$N187),INDEX(tblRec[التاريخ],$O187)),IF($M187="l",INDEX(tblBuckets[الفترة],1),IF($M187="v",TEXT(SUMIFS(tblInv[المتبقي],tblInv[كود العميل],StCust,tblInv[الفترة],INDEX(tblBuckets[الفترة],1)),"#,##0.00;-#,##0.00;-"),"")))</f>
        <v/>
      </c>
      <c r="B187" s="83">
        <f>IF($M187="m",IF($N187&lt;&gt;"","فاتورة",INDEX(tblRec[النوع],$O187)),IF($M187="l",INDEX(tblBuckets[الفترة],2),IF($M187="v",TEXT(SUMIFS(tblInv[المتبقي],tblInv[كود العميل],StCust,tblInv[الفترة],INDEX(tblBuckets[الفترة],2)),"#,##0.00;-#,##0.00;-"),"")))</f>
        <v/>
      </c>
      <c r="C187" s="83">
        <f>IF($M187="m",IF($N187&lt;&gt;"",INDEX(tblInv[رقم الفاتورة],$N187),INDEX(tblRec[رقم السند],$O187)),IF($M187="l",INDEX(tblBuckets[الفترة],3),IF($M187="v",TEXT(SUMIFS(tblInv[المتبقي],tblInv[كود العميل],StCust,tblInv[الفترة],INDEX(tblBuckets[الفترة],3)),"#,##0.00;-#,##0.00;-"),"")))</f>
        <v/>
      </c>
      <c r="D187" s="118">
        <f>IF($M187="m",IF($N187&lt;&gt;"","فاتورة مبيعات — استحقاق "&amp;TEXT(INDEX(tblInv[تاريخ الاستحقاق],$N187),"dd/mm/yyyy")&amp;IF(INDEX(tblInv[ملاحظات],$N187)&amp;""&lt;&gt;""," — "&amp;INDEX(tblInv[ملاحظات],$N187),""),INDEX(tblRec[النوع],$O187)&amp;IF(INDEX(tblRec[طريقة الدفع],$O187)&amp;""&lt;&gt;""," ("&amp;INDEX(tblRec[طريقة الدفع],$O187)&amp;")","")&amp;IF(INDEX(tblRec[رقم الفاتورة],$O187)&amp;""&lt;&gt;""," — عن فاتورة "&amp;INDEX(tblRec[رقم الفاتورة],$O187)," — دفعة على الحساب")),IF($M187="l",INDEX(tblBuckets[الفترة],4),IF($M187="v",TEXT(SUMIFS(tblInv[المتبقي],tblInv[كود العميل],StCust,tblInv[الفترة],INDEX(tblBuckets[الفترة],4)),"#,##0.00;-#,##0.00;-"),IF($M187="t","ملخص أعمار رصيد العميل كما في "&amp;TEXT(AsOf,"dd/mm/yyyy"),IF($M187="p","يُرجى مطابقة الرصيد وإفادتنا خلال 15 يوماً، وإلا اعتُبر الرصيد صحيحاً.","")))))</f>
        <v/>
      </c>
      <c r="E187" s="119">
        <f>IF($M187="m",IF($N187&lt;&gt;"",INDEX(tblInv[الإجمالي],$N187),0),IF($M187="l",INDEX(tblBuckets[الفترة],5),IF($M187="v",TEXT(SUMIFS(tblInv[المتبقي],tblInv[كود العميل],StCust,tblInv[الفترة],INDEX(tblBuckets[الفترة],5)),"#,##0.00;-#,##0.00;-"),"")))</f>
        <v/>
      </c>
      <c r="F187" s="119">
        <f>IF($M187="m",IF($O187&lt;&gt;"",INDEX(tblRec[المبلغ],$O187),0),IF($M187="l",INDEX(tblBuckets[الفترة],6),IF($M187="v",TEXT(SUMIFS(tblInv[المتبقي],tblInv[كود العميل],StCust,tblInv[الفترة],INDEX(tblBuckets[الفترة],6)),"#,##0.00;-#,##0.00;-"),"")))</f>
        <v/>
      </c>
      <c r="G187" s="120">
        <f>IF($M187="m",N(G186)+E187-F187,IF($M187="l",INDEX(tblBuckets[الفترة],7),IF($M187="v",TEXT(SUMIFS(tblInv[المتبقي],tblInv[كود العميل],StCust,tblInv[الفترة],INDEX(tblBuckets[الفترة],7)),"#,##0.00;-#,##0.00;-"),"")))</f>
        <v/>
      </c>
      <c r="L187" t="n">
        <v>182</v>
      </c>
      <c r="M187">
        <f>IF(L187&lt;=StCount,"m",IF(L187=StCount+2,"t",IF(L187=StCount+3,"l",IF(L187=StCount+4,"v",IF(L187=StCount+6,"p","")))))</f>
        <v/>
      </c>
      <c r="N187">
        <f>IF(M187="m",IFERROR(MATCH(L187,tblInv[ترتيب الكشف],0),""),"")</f>
        <v/>
      </c>
      <c r="O187">
        <f>IF(AND(M187="m",N187=""),IFERROR(MATCH(L187,tblRec[ترتيب الكشف],0),""),"")</f>
        <v/>
      </c>
    </row>
    <row r="188">
      <c r="A188" s="117">
        <f>IF($M188="m",IF($N188&lt;&gt;"",INDEX(tblInv[تاريخ الفاتورة],$N188),INDEX(tblRec[التاريخ],$O188)),IF($M188="l",INDEX(tblBuckets[الفترة],1),IF($M188="v",TEXT(SUMIFS(tblInv[المتبقي],tblInv[كود العميل],StCust,tblInv[الفترة],INDEX(tblBuckets[الفترة],1)),"#,##0.00;-#,##0.00;-"),"")))</f>
        <v/>
      </c>
      <c r="B188" s="83">
        <f>IF($M188="m",IF($N188&lt;&gt;"","فاتورة",INDEX(tblRec[النوع],$O188)),IF($M188="l",INDEX(tblBuckets[الفترة],2),IF($M188="v",TEXT(SUMIFS(tblInv[المتبقي],tblInv[كود العميل],StCust,tblInv[الفترة],INDEX(tblBuckets[الفترة],2)),"#,##0.00;-#,##0.00;-"),"")))</f>
        <v/>
      </c>
      <c r="C188" s="83">
        <f>IF($M188="m",IF($N188&lt;&gt;"",INDEX(tblInv[رقم الفاتورة],$N188),INDEX(tblRec[رقم السند],$O188)),IF($M188="l",INDEX(tblBuckets[الفترة],3),IF($M188="v",TEXT(SUMIFS(tblInv[المتبقي],tblInv[كود العميل],StCust,tblInv[الفترة],INDEX(tblBuckets[الفترة],3)),"#,##0.00;-#,##0.00;-"),"")))</f>
        <v/>
      </c>
      <c r="D188" s="118">
        <f>IF($M188="m",IF($N188&lt;&gt;"","فاتورة مبيعات — استحقاق "&amp;TEXT(INDEX(tblInv[تاريخ الاستحقاق],$N188),"dd/mm/yyyy")&amp;IF(INDEX(tblInv[ملاحظات],$N188)&amp;""&lt;&gt;""," — "&amp;INDEX(tblInv[ملاحظات],$N188),""),INDEX(tblRec[النوع],$O188)&amp;IF(INDEX(tblRec[طريقة الدفع],$O188)&amp;""&lt;&gt;""," ("&amp;INDEX(tblRec[طريقة الدفع],$O188)&amp;")","")&amp;IF(INDEX(tblRec[رقم الفاتورة],$O188)&amp;""&lt;&gt;""," — عن فاتورة "&amp;INDEX(tblRec[رقم الفاتورة],$O188)," — دفعة على الحساب")),IF($M188="l",INDEX(tblBuckets[الفترة],4),IF($M188="v",TEXT(SUMIFS(tblInv[المتبقي],tblInv[كود العميل],StCust,tblInv[الفترة],INDEX(tblBuckets[الفترة],4)),"#,##0.00;-#,##0.00;-"),IF($M188="t","ملخص أعمار رصيد العميل كما في "&amp;TEXT(AsOf,"dd/mm/yyyy"),IF($M188="p","يُرجى مطابقة الرصيد وإفادتنا خلال 15 يوماً، وإلا اعتُبر الرصيد صحيحاً.","")))))</f>
        <v/>
      </c>
      <c r="E188" s="119">
        <f>IF($M188="m",IF($N188&lt;&gt;"",INDEX(tblInv[الإجمالي],$N188),0),IF($M188="l",INDEX(tblBuckets[الفترة],5),IF($M188="v",TEXT(SUMIFS(tblInv[المتبقي],tblInv[كود العميل],StCust,tblInv[الفترة],INDEX(tblBuckets[الفترة],5)),"#,##0.00;-#,##0.00;-"),"")))</f>
        <v/>
      </c>
      <c r="F188" s="119">
        <f>IF($M188="m",IF($O188&lt;&gt;"",INDEX(tblRec[المبلغ],$O188),0),IF($M188="l",INDEX(tblBuckets[الفترة],6),IF($M188="v",TEXT(SUMIFS(tblInv[المتبقي],tblInv[كود العميل],StCust,tblInv[الفترة],INDEX(tblBuckets[الفترة],6)),"#,##0.00;-#,##0.00;-"),"")))</f>
        <v/>
      </c>
      <c r="G188" s="120">
        <f>IF($M188="m",N(G187)+E188-F188,IF($M188="l",INDEX(tblBuckets[الفترة],7),IF($M188="v",TEXT(SUMIFS(tblInv[المتبقي],tblInv[كود العميل],StCust,tblInv[الفترة],INDEX(tblBuckets[الفترة],7)),"#,##0.00;-#,##0.00;-"),"")))</f>
        <v/>
      </c>
      <c r="L188" t="n">
        <v>183</v>
      </c>
      <c r="M188">
        <f>IF(L188&lt;=StCount,"m",IF(L188=StCount+2,"t",IF(L188=StCount+3,"l",IF(L188=StCount+4,"v",IF(L188=StCount+6,"p","")))))</f>
        <v/>
      </c>
      <c r="N188">
        <f>IF(M188="m",IFERROR(MATCH(L188,tblInv[ترتيب الكشف],0),""),"")</f>
        <v/>
      </c>
      <c r="O188">
        <f>IF(AND(M188="m",N188=""),IFERROR(MATCH(L188,tblRec[ترتيب الكشف],0),""),"")</f>
        <v/>
      </c>
    </row>
    <row r="189">
      <c r="A189" s="117">
        <f>IF($M189="m",IF($N189&lt;&gt;"",INDEX(tblInv[تاريخ الفاتورة],$N189),INDEX(tblRec[التاريخ],$O189)),IF($M189="l",INDEX(tblBuckets[الفترة],1),IF($M189="v",TEXT(SUMIFS(tblInv[المتبقي],tblInv[كود العميل],StCust,tblInv[الفترة],INDEX(tblBuckets[الفترة],1)),"#,##0.00;-#,##0.00;-"),"")))</f>
        <v/>
      </c>
      <c r="B189" s="83">
        <f>IF($M189="m",IF($N189&lt;&gt;"","فاتورة",INDEX(tblRec[النوع],$O189)),IF($M189="l",INDEX(tblBuckets[الفترة],2),IF($M189="v",TEXT(SUMIFS(tblInv[المتبقي],tblInv[كود العميل],StCust,tblInv[الفترة],INDEX(tblBuckets[الفترة],2)),"#,##0.00;-#,##0.00;-"),"")))</f>
        <v/>
      </c>
      <c r="C189" s="83">
        <f>IF($M189="m",IF($N189&lt;&gt;"",INDEX(tblInv[رقم الفاتورة],$N189),INDEX(tblRec[رقم السند],$O189)),IF($M189="l",INDEX(tblBuckets[الفترة],3),IF($M189="v",TEXT(SUMIFS(tblInv[المتبقي],tblInv[كود العميل],StCust,tblInv[الفترة],INDEX(tblBuckets[الفترة],3)),"#,##0.00;-#,##0.00;-"),"")))</f>
        <v/>
      </c>
      <c r="D189" s="118">
        <f>IF($M189="m",IF($N189&lt;&gt;"","فاتورة مبيعات — استحقاق "&amp;TEXT(INDEX(tblInv[تاريخ الاستحقاق],$N189),"dd/mm/yyyy")&amp;IF(INDEX(tblInv[ملاحظات],$N189)&amp;""&lt;&gt;""," — "&amp;INDEX(tblInv[ملاحظات],$N189),""),INDEX(tblRec[النوع],$O189)&amp;IF(INDEX(tblRec[طريقة الدفع],$O189)&amp;""&lt;&gt;""," ("&amp;INDEX(tblRec[طريقة الدفع],$O189)&amp;")","")&amp;IF(INDEX(tblRec[رقم الفاتورة],$O189)&amp;""&lt;&gt;""," — عن فاتورة "&amp;INDEX(tblRec[رقم الفاتورة],$O189)," — دفعة على الحساب")),IF($M189="l",INDEX(tblBuckets[الفترة],4),IF($M189="v",TEXT(SUMIFS(tblInv[المتبقي],tblInv[كود العميل],StCust,tblInv[الفترة],INDEX(tblBuckets[الفترة],4)),"#,##0.00;-#,##0.00;-"),IF($M189="t","ملخص أعمار رصيد العميل كما في "&amp;TEXT(AsOf,"dd/mm/yyyy"),IF($M189="p","يُرجى مطابقة الرصيد وإفادتنا خلال 15 يوماً، وإلا اعتُبر الرصيد صحيحاً.","")))))</f>
        <v/>
      </c>
      <c r="E189" s="119">
        <f>IF($M189="m",IF($N189&lt;&gt;"",INDEX(tblInv[الإجمالي],$N189),0),IF($M189="l",INDEX(tblBuckets[الفترة],5),IF($M189="v",TEXT(SUMIFS(tblInv[المتبقي],tblInv[كود العميل],StCust,tblInv[الفترة],INDEX(tblBuckets[الفترة],5)),"#,##0.00;-#,##0.00;-"),"")))</f>
        <v/>
      </c>
      <c r="F189" s="119">
        <f>IF($M189="m",IF($O189&lt;&gt;"",INDEX(tblRec[المبلغ],$O189),0),IF($M189="l",INDEX(tblBuckets[الفترة],6),IF($M189="v",TEXT(SUMIFS(tblInv[المتبقي],tblInv[كود العميل],StCust,tblInv[الفترة],INDEX(tblBuckets[الفترة],6)),"#,##0.00;-#,##0.00;-"),"")))</f>
        <v/>
      </c>
      <c r="G189" s="120">
        <f>IF($M189="m",N(G188)+E189-F189,IF($M189="l",INDEX(tblBuckets[الفترة],7),IF($M189="v",TEXT(SUMIFS(tblInv[المتبقي],tblInv[كود العميل],StCust,tblInv[الفترة],INDEX(tblBuckets[الفترة],7)),"#,##0.00;-#,##0.00;-"),"")))</f>
        <v/>
      </c>
      <c r="L189" t="n">
        <v>184</v>
      </c>
      <c r="M189">
        <f>IF(L189&lt;=StCount,"m",IF(L189=StCount+2,"t",IF(L189=StCount+3,"l",IF(L189=StCount+4,"v",IF(L189=StCount+6,"p","")))))</f>
        <v/>
      </c>
      <c r="N189">
        <f>IF(M189="m",IFERROR(MATCH(L189,tblInv[ترتيب الكشف],0),""),"")</f>
        <v/>
      </c>
      <c r="O189">
        <f>IF(AND(M189="m",N189=""),IFERROR(MATCH(L189,tblRec[ترتيب الكشف],0),""),"")</f>
        <v/>
      </c>
    </row>
    <row r="190">
      <c r="A190" s="117">
        <f>IF($M190="m",IF($N190&lt;&gt;"",INDEX(tblInv[تاريخ الفاتورة],$N190),INDEX(tblRec[التاريخ],$O190)),IF($M190="l",INDEX(tblBuckets[الفترة],1),IF($M190="v",TEXT(SUMIFS(tblInv[المتبقي],tblInv[كود العميل],StCust,tblInv[الفترة],INDEX(tblBuckets[الفترة],1)),"#,##0.00;-#,##0.00;-"),"")))</f>
        <v/>
      </c>
      <c r="B190" s="83">
        <f>IF($M190="m",IF($N190&lt;&gt;"","فاتورة",INDEX(tblRec[النوع],$O190)),IF($M190="l",INDEX(tblBuckets[الفترة],2),IF($M190="v",TEXT(SUMIFS(tblInv[المتبقي],tblInv[كود العميل],StCust,tblInv[الفترة],INDEX(tblBuckets[الفترة],2)),"#,##0.00;-#,##0.00;-"),"")))</f>
        <v/>
      </c>
      <c r="C190" s="83">
        <f>IF($M190="m",IF($N190&lt;&gt;"",INDEX(tblInv[رقم الفاتورة],$N190),INDEX(tblRec[رقم السند],$O190)),IF($M190="l",INDEX(tblBuckets[الفترة],3),IF($M190="v",TEXT(SUMIFS(tblInv[المتبقي],tblInv[كود العميل],StCust,tblInv[الفترة],INDEX(tblBuckets[الفترة],3)),"#,##0.00;-#,##0.00;-"),"")))</f>
        <v/>
      </c>
      <c r="D190" s="118">
        <f>IF($M190="m",IF($N190&lt;&gt;"","فاتورة مبيعات — استحقاق "&amp;TEXT(INDEX(tblInv[تاريخ الاستحقاق],$N190),"dd/mm/yyyy")&amp;IF(INDEX(tblInv[ملاحظات],$N190)&amp;""&lt;&gt;""," — "&amp;INDEX(tblInv[ملاحظات],$N190),""),INDEX(tblRec[النوع],$O190)&amp;IF(INDEX(tblRec[طريقة الدفع],$O190)&amp;""&lt;&gt;""," ("&amp;INDEX(tblRec[طريقة الدفع],$O190)&amp;")","")&amp;IF(INDEX(tblRec[رقم الفاتورة],$O190)&amp;""&lt;&gt;""," — عن فاتورة "&amp;INDEX(tblRec[رقم الفاتورة],$O190)," — دفعة على الحساب")),IF($M190="l",INDEX(tblBuckets[الفترة],4),IF($M190="v",TEXT(SUMIFS(tblInv[المتبقي],tblInv[كود العميل],StCust,tblInv[الفترة],INDEX(tblBuckets[الفترة],4)),"#,##0.00;-#,##0.00;-"),IF($M190="t","ملخص أعمار رصيد العميل كما في "&amp;TEXT(AsOf,"dd/mm/yyyy"),IF($M190="p","يُرجى مطابقة الرصيد وإفادتنا خلال 15 يوماً، وإلا اعتُبر الرصيد صحيحاً.","")))))</f>
        <v/>
      </c>
      <c r="E190" s="119">
        <f>IF($M190="m",IF($N190&lt;&gt;"",INDEX(tblInv[الإجمالي],$N190),0),IF($M190="l",INDEX(tblBuckets[الفترة],5),IF($M190="v",TEXT(SUMIFS(tblInv[المتبقي],tblInv[كود العميل],StCust,tblInv[الفترة],INDEX(tblBuckets[الفترة],5)),"#,##0.00;-#,##0.00;-"),"")))</f>
        <v/>
      </c>
      <c r="F190" s="119">
        <f>IF($M190="m",IF($O190&lt;&gt;"",INDEX(tblRec[المبلغ],$O190),0),IF($M190="l",INDEX(tblBuckets[الفترة],6),IF($M190="v",TEXT(SUMIFS(tblInv[المتبقي],tblInv[كود العميل],StCust,tblInv[الفترة],INDEX(tblBuckets[الفترة],6)),"#,##0.00;-#,##0.00;-"),"")))</f>
        <v/>
      </c>
      <c r="G190" s="120">
        <f>IF($M190="m",N(G189)+E190-F190,IF($M190="l",INDEX(tblBuckets[الفترة],7),IF($M190="v",TEXT(SUMIFS(tblInv[المتبقي],tblInv[كود العميل],StCust,tblInv[الفترة],INDEX(tblBuckets[الفترة],7)),"#,##0.00;-#,##0.00;-"),"")))</f>
        <v/>
      </c>
      <c r="L190" t="n">
        <v>185</v>
      </c>
      <c r="M190">
        <f>IF(L190&lt;=StCount,"m",IF(L190=StCount+2,"t",IF(L190=StCount+3,"l",IF(L190=StCount+4,"v",IF(L190=StCount+6,"p","")))))</f>
        <v/>
      </c>
      <c r="N190">
        <f>IF(M190="m",IFERROR(MATCH(L190,tblInv[ترتيب الكشف],0),""),"")</f>
        <v/>
      </c>
      <c r="O190">
        <f>IF(AND(M190="m",N190=""),IFERROR(MATCH(L190,tblRec[ترتيب الكشف],0),""),"")</f>
        <v/>
      </c>
    </row>
    <row r="191">
      <c r="A191" s="117">
        <f>IF($M191="m",IF($N191&lt;&gt;"",INDEX(tblInv[تاريخ الفاتورة],$N191),INDEX(tblRec[التاريخ],$O191)),IF($M191="l",INDEX(tblBuckets[الفترة],1),IF($M191="v",TEXT(SUMIFS(tblInv[المتبقي],tblInv[كود العميل],StCust,tblInv[الفترة],INDEX(tblBuckets[الفترة],1)),"#,##0.00;-#,##0.00;-"),"")))</f>
        <v/>
      </c>
      <c r="B191" s="83">
        <f>IF($M191="m",IF($N191&lt;&gt;"","فاتورة",INDEX(tblRec[النوع],$O191)),IF($M191="l",INDEX(tblBuckets[الفترة],2),IF($M191="v",TEXT(SUMIFS(tblInv[المتبقي],tblInv[كود العميل],StCust,tblInv[الفترة],INDEX(tblBuckets[الفترة],2)),"#,##0.00;-#,##0.00;-"),"")))</f>
        <v/>
      </c>
      <c r="C191" s="83">
        <f>IF($M191="m",IF($N191&lt;&gt;"",INDEX(tblInv[رقم الفاتورة],$N191),INDEX(tblRec[رقم السند],$O191)),IF($M191="l",INDEX(tblBuckets[الفترة],3),IF($M191="v",TEXT(SUMIFS(tblInv[المتبقي],tblInv[كود العميل],StCust,tblInv[الفترة],INDEX(tblBuckets[الفترة],3)),"#,##0.00;-#,##0.00;-"),"")))</f>
        <v/>
      </c>
      <c r="D191" s="118">
        <f>IF($M191="m",IF($N191&lt;&gt;"","فاتورة مبيعات — استحقاق "&amp;TEXT(INDEX(tblInv[تاريخ الاستحقاق],$N191),"dd/mm/yyyy")&amp;IF(INDEX(tblInv[ملاحظات],$N191)&amp;""&lt;&gt;""," — "&amp;INDEX(tblInv[ملاحظات],$N191),""),INDEX(tblRec[النوع],$O191)&amp;IF(INDEX(tblRec[طريقة الدفع],$O191)&amp;""&lt;&gt;""," ("&amp;INDEX(tblRec[طريقة الدفع],$O191)&amp;")","")&amp;IF(INDEX(tblRec[رقم الفاتورة],$O191)&amp;""&lt;&gt;""," — عن فاتورة "&amp;INDEX(tblRec[رقم الفاتورة],$O191)," — دفعة على الحساب")),IF($M191="l",INDEX(tblBuckets[الفترة],4),IF($M191="v",TEXT(SUMIFS(tblInv[المتبقي],tblInv[كود العميل],StCust,tblInv[الفترة],INDEX(tblBuckets[الفترة],4)),"#,##0.00;-#,##0.00;-"),IF($M191="t","ملخص أعمار رصيد العميل كما في "&amp;TEXT(AsOf,"dd/mm/yyyy"),IF($M191="p","يُرجى مطابقة الرصيد وإفادتنا خلال 15 يوماً، وإلا اعتُبر الرصيد صحيحاً.","")))))</f>
        <v/>
      </c>
      <c r="E191" s="119">
        <f>IF($M191="m",IF($N191&lt;&gt;"",INDEX(tblInv[الإجمالي],$N191),0),IF($M191="l",INDEX(tblBuckets[الفترة],5),IF($M191="v",TEXT(SUMIFS(tblInv[المتبقي],tblInv[كود العميل],StCust,tblInv[الفترة],INDEX(tblBuckets[الفترة],5)),"#,##0.00;-#,##0.00;-"),"")))</f>
        <v/>
      </c>
      <c r="F191" s="119">
        <f>IF($M191="m",IF($O191&lt;&gt;"",INDEX(tblRec[المبلغ],$O191),0),IF($M191="l",INDEX(tblBuckets[الفترة],6),IF($M191="v",TEXT(SUMIFS(tblInv[المتبقي],tblInv[كود العميل],StCust,tblInv[الفترة],INDEX(tblBuckets[الفترة],6)),"#,##0.00;-#,##0.00;-"),"")))</f>
        <v/>
      </c>
      <c r="G191" s="120">
        <f>IF($M191="m",N(G190)+E191-F191,IF($M191="l",INDEX(tblBuckets[الفترة],7),IF($M191="v",TEXT(SUMIFS(tblInv[المتبقي],tblInv[كود العميل],StCust,tblInv[الفترة],INDEX(tblBuckets[الفترة],7)),"#,##0.00;-#,##0.00;-"),"")))</f>
        <v/>
      </c>
      <c r="L191" t="n">
        <v>186</v>
      </c>
      <c r="M191">
        <f>IF(L191&lt;=StCount,"m",IF(L191=StCount+2,"t",IF(L191=StCount+3,"l",IF(L191=StCount+4,"v",IF(L191=StCount+6,"p","")))))</f>
        <v/>
      </c>
      <c r="N191">
        <f>IF(M191="m",IFERROR(MATCH(L191,tblInv[ترتيب الكشف],0),""),"")</f>
        <v/>
      </c>
      <c r="O191">
        <f>IF(AND(M191="m",N191=""),IFERROR(MATCH(L191,tblRec[ترتيب الكشف],0),""),"")</f>
        <v/>
      </c>
    </row>
    <row r="192">
      <c r="A192" s="117">
        <f>IF($M192="m",IF($N192&lt;&gt;"",INDEX(tblInv[تاريخ الفاتورة],$N192),INDEX(tblRec[التاريخ],$O192)),IF($M192="l",INDEX(tblBuckets[الفترة],1),IF($M192="v",TEXT(SUMIFS(tblInv[المتبقي],tblInv[كود العميل],StCust,tblInv[الفترة],INDEX(tblBuckets[الفترة],1)),"#,##0.00;-#,##0.00;-"),"")))</f>
        <v/>
      </c>
      <c r="B192" s="83">
        <f>IF($M192="m",IF($N192&lt;&gt;"","فاتورة",INDEX(tblRec[النوع],$O192)),IF($M192="l",INDEX(tblBuckets[الفترة],2),IF($M192="v",TEXT(SUMIFS(tblInv[المتبقي],tblInv[كود العميل],StCust,tblInv[الفترة],INDEX(tblBuckets[الفترة],2)),"#,##0.00;-#,##0.00;-"),"")))</f>
        <v/>
      </c>
      <c r="C192" s="83">
        <f>IF($M192="m",IF($N192&lt;&gt;"",INDEX(tblInv[رقم الفاتورة],$N192),INDEX(tblRec[رقم السند],$O192)),IF($M192="l",INDEX(tblBuckets[الفترة],3),IF($M192="v",TEXT(SUMIFS(tblInv[المتبقي],tblInv[كود العميل],StCust,tblInv[الفترة],INDEX(tblBuckets[الفترة],3)),"#,##0.00;-#,##0.00;-"),"")))</f>
        <v/>
      </c>
      <c r="D192" s="118">
        <f>IF($M192="m",IF($N192&lt;&gt;"","فاتورة مبيعات — استحقاق "&amp;TEXT(INDEX(tblInv[تاريخ الاستحقاق],$N192),"dd/mm/yyyy")&amp;IF(INDEX(tblInv[ملاحظات],$N192)&amp;""&lt;&gt;""," — "&amp;INDEX(tblInv[ملاحظات],$N192),""),INDEX(tblRec[النوع],$O192)&amp;IF(INDEX(tblRec[طريقة الدفع],$O192)&amp;""&lt;&gt;""," ("&amp;INDEX(tblRec[طريقة الدفع],$O192)&amp;")","")&amp;IF(INDEX(tblRec[رقم الفاتورة],$O192)&amp;""&lt;&gt;""," — عن فاتورة "&amp;INDEX(tblRec[رقم الفاتورة],$O192)," — دفعة على الحساب")),IF($M192="l",INDEX(tblBuckets[الفترة],4),IF($M192="v",TEXT(SUMIFS(tblInv[المتبقي],tblInv[كود العميل],StCust,tblInv[الفترة],INDEX(tblBuckets[الفترة],4)),"#,##0.00;-#,##0.00;-"),IF($M192="t","ملخص أعمار رصيد العميل كما في "&amp;TEXT(AsOf,"dd/mm/yyyy"),IF($M192="p","يُرجى مطابقة الرصيد وإفادتنا خلال 15 يوماً، وإلا اعتُبر الرصيد صحيحاً.","")))))</f>
        <v/>
      </c>
      <c r="E192" s="119">
        <f>IF($M192="m",IF($N192&lt;&gt;"",INDEX(tblInv[الإجمالي],$N192),0),IF($M192="l",INDEX(tblBuckets[الفترة],5),IF($M192="v",TEXT(SUMIFS(tblInv[المتبقي],tblInv[كود العميل],StCust,tblInv[الفترة],INDEX(tblBuckets[الفترة],5)),"#,##0.00;-#,##0.00;-"),"")))</f>
        <v/>
      </c>
      <c r="F192" s="119">
        <f>IF($M192="m",IF($O192&lt;&gt;"",INDEX(tblRec[المبلغ],$O192),0),IF($M192="l",INDEX(tblBuckets[الفترة],6),IF($M192="v",TEXT(SUMIFS(tblInv[المتبقي],tblInv[كود العميل],StCust,tblInv[الفترة],INDEX(tblBuckets[الفترة],6)),"#,##0.00;-#,##0.00;-"),"")))</f>
        <v/>
      </c>
      <c r="G192" s="120">
        <f>IF($M192="m",N(G191)+E192-F192,IF($M192="l",INDEX(tblBuckets[الفترة],7),IF($M192="v",TEXT(SUMIFS(tblInv[المتبقي],tblInv[كود العميل],StCust,tblInv[الفترة],INDEX(tblBuckets[الفترة],7)),"#,##0.00;-#,##0.00;-"),"")))</f>
        <v/>
      </c>
      <c r="L192" t="n">
        <v>187</v>
      </c>
      <c r="M192">
        <f>IF(L192&lt;=StCount,"m",IF(L192=StCount+2,"t",IF(L192=StCount+3,"l",IF(L192=StCount+4,"v",IF(L192=StCount+6,"p","")))))</f>
        <v/>
      </c>
      <c r="N192">
        <f>IF(M192="m",IFERROR(MATCH(L192,tblInv[ترتيب الكشف],0),""),"")</f>
        <v/>
      </c>
      <c r="O192">
        <f>IF(AND(M192="m",N192=""),IFERROR(MATCH(L192,tblRec[ترتيب الكشف],0),""),"")</f>
        <v/>
      </c>
    </row>
    <row r="193">
      <c r="A193" s="117">
        <f>IF($M193="m",IF($N193&lt;&gt;"",INDEX(tblInv[تاريخ الفاتورة],$N193),INDEX(tblRec[التاريخ],$O193)),IF($M193="l",INDEX(tblBuckets[الفترة],1),IF($M193="v",TEXT(SUMIFS(tblInv[المتبقي],tblInv[كود العميل],StCust,tblInv[الفترة],INDEX(tblBuckets[الفترة],1)),"#,##0.00;-#,##0.00;-"),"")))</f>
        <v/>
      </c>
      <c r="B193" s="83">
        <f>IF($M193="m",IF($N193&lt;&gt;"","فاتورة",INDEX(tblRec[النوع],$O193)),IF($M193="l",INDEX(tblBuckets[الفترة],2),IF($M193="v",TEXT(SUMIFS(tblInv[المتبقي],tblInv[كود العميل],StCust,tblInv[الفترة],INDEX(tblBuckets[الفترة],2)),"#,##0.00;-#,##0.00;-"),"")))</f>
        <v/>
      </c>
      <c r="C193" s="83">
        <f>IF($M193="m",IF($N193&lt;&gt;"",INDEX(tblInv[رقم الفاتورة],$N193),INDEX(tblRec[رقم السند],$O193)),IF($M193="l",INDEX(tblBuckets[الفترة],3),IF($M193="v",TEXT(SUMIFS(tblInv[المتبقي],tblInv[كود العميل],StCust,tblInv[الفترة],INDEX(tblBuckets[الفترة],3)),"#,##0.00;-#,##0.00;-"),"")))</f>
        <v/>
      </c>
      <c r="D193" s="118">
        <f>IF($M193="m",IF($N193&lt;&gt;"","فاتورة مبيعات — استحقاق "&amp;TEXT(INDEX(tblInv[تاريخ الاستحقاق],$N193),"dd/mm/yyyy")&amp;IF(INDEX(tblInv[ملاحظات],$N193)&amp;""&lt;&gt;""," — "&amp;INDEX(tblInv[ملاحظات],$N193),""),INDEX(tblRec[النوع],$O193)&amp;IF(INDEX(tblRec[طريقة الدفع],$O193)&amp;""&lt;&gt;""," ("&amp;INDEX(tblRec[طريقة الدفع],$O193)&amp;")","")&amp;IF(INDEX(tblRec[رقم الفاتورة],$O193)&amp;""&lt;&gt;""," — عن فاتورة "&amp;INDEX(tblRec[رقم الفاتورة],$O193)," — دفعة على الحساب")),IF($M193="l",INDEX(tblBuckets[الفترة],4),IF($M193="v",TEXT(SUMIFS(tblInv[المتبقي],tblInv[كود العميل],StCust,tblInv[الفترة],INDEX(tblBuckets[الفترة],4)),"#,##0.00;-#,##0.00;-"),IF($M193="t","ملخص أعمار رصيد العميل كما في "&amp;TEXT(AsOf,"dd/mm/yyyy"),IF($M193="p","يُرجى مطابقة الرصيد وإفادتنا خلال 15 يوماً، وإلا اعتُبر الرصيد صحيحاً.","")))))</f>
        <v/>
      </c>
      <c r="E193" s="119">
        <f>IF($M193="m",IF($N193&lt;&gt;"",INDEX(tblInv[الإجمالي],$N193),0),IF($M193="l",INDEX(tblBuckets[الفترة],5),IF($M193="v",TEXT(SUMIFS(tblInv[المتبقي],tblInv[كود العميل],StCust,tblInv[الفترة],INDEX(tblBuckets[الفترة],5)),"#,##0.00;-#,##0.00;-"),"")))</f>
        <v/>
      </c>
      <c r="F193" s="119">
        <f>IF($M193="m",IF($O193&lt;&gt;"",INDEX(tblRec[المبلغ],$O193),0),IF($M193="l",INDEX(tblBuckets[الفترة],6),IF($M193="v",TEXT(SUMIFS(tblInv[المتبقي],tblInv[كود العميل],StCust,tblInv[الفترة],INDEX(tblBuckets[الفترة],6)),"#,##0.00;-#,##0.00;-"),"")))</f>
        <v/>
      </c>
      <c r="G193" s="120">
        <f>IF($M193="m",N(G192)+E193-F193,IF($M193="l",INDEX(tblBuckets[الفترة],7),IF($M193="v",TEXT(SUMIFS(tblInv[المتبقي],tblInv[كود العميل],StCust,tblInv[الفترة],INDEX(tblBuckets[الفترة],7)),"#,##0.00;-#,##0.00;-"),"")))</f>
        <v/>
      </c>
      <c r="L193" t="n">
        <v>188</v>
      </c>
      <c r="M193">
        <f>IF(L193&lt;=StCount,"m",IF(L193=StCount+2,"t",IF(L193=StCount+3,"l",IF(L193=StCount+4,"v",IF(L193=StCount+6,"p","")))))</f>
        <v/>
      </c>
      <c r="N193">
        <f>IF(M193="m",IFERROR(MATCH(L193,tblInv[ترتيب الكشف],0),""),"")</f>
        <v/>
      </c>
      <c r="O193">
        <f>IF(AND(M193="m",N193=""),IFERROR(MATCH(L193,tblRec[ترتيب الكشف],0),""),"")</f>
        <v/>
      </c>
    </row>
    <row r="194">
      <c r="A194" s="117">
        <f>IF($M194="m",IF($N194&lt;&gt;"",INDEX(tblInv[تاريخ الفاتورة],$N194),INDEX(tblRec[التاريخ],$O194)),IF($M194="l",INDEX(tblBuckets[الفترة],1),IF($M194="v",TEXT(SUMIFS(tblInv[المتبقي],tblInv[كود العميل],StCust,tblInv[الفترة],INDEX(tblBuckets[الفترة],1)),"#,##0.00;-#,##0.00;-"),"")))</f>
        <v/>
      </c>
      <c r="B194" s="83">
        <f>IF($M194="m",IF($N194&lt;&gt;"","فاتورة",INDEX(tblRec[النوع],$O194)),IF($M194="l",INDEX(tblBuckets[الفترة],2),IF($M194="v",TEXT(SUMIFS(tblInv[المتبقي],tblInv[كود العميل],StCust,tblInv[الفترة],INDEX(tblBuckets[الفترة],2)),"#,##0.00;-#,##0.00;-"),"")))</f>
        <v/>
      </c>
      <c r="C194" s="83">
        <f>IF($M194="m",IF($N194&lt;&gt;"",INDEX(tblInv[رقم الفاتورة],$N194),INDEX(tblRec[رقم السند],$O194)),IF($M194="l",INDEX(tblBuckets[الفترة],3),IF($M194="v",TEXT(SUMIFS(tblInv[المتبقي],tblInv[كود العميل],StCust,tblInv[الفترة],INDEX(tblBuckets[الفترة],3)),"#,##0.00;-#,##0.00;-"),"")))</f>
        <v/>
      </c>
      <c r="D194" s="118">
        <f>IF($M194="m",IF($N194&lt;&gt;"","فاتورة مبيعات — استحقاق "&amp;TEXT(INDEX(tblInv[تاريخ الاستحقاق],$N194),"dd/mm/yyyy")&amp;IF(INDEX(tblInv[ملاحظات],$N194)&amp;""&lt;&gt;""," — "&amp;INDEX(tblInv[ملاحظات],$N194),""),INDEX(tblRec[النوع],$O194)&amp;IF(INDEX(tblRec[طريقة الدفع],$O194)&amp;""&lt;&gt;""," ("&amp;INDEX(tblRec[طريقة الدفع],$O194)&amp;")","")&amp;IF(INDEX(tblRec[رقم الفاتورة],$O194)&amp;""&lt;&gt;""," — عن فاتورة "&amp;INDEX(tblRec[رقم الفاتورة],$O194)," — دفعة على الحساب")),IF($M194="l",INDEX(tblBuckets[الفترة],4),IF($M194="v",TEXT(SUMIFS(tblInv[المتبقي],tblInv[كود العميل],StCust,tblInv[الفترة],INDEX(tblBuckets[الفترة],4)),"#,##0.00;-#,##0.00;-"),IF($M194="t","ملخص أعمار رصيد العميل كما في "&amp;TEXT(AsOf,"dd/mm/yyyy"),IF($M194="p","يُرجى مطابقة الرصيد وإفادتنا خلال 15 يوماً، وإلا اعتُبر الرصيد صحيحاً.","")))))</f>
        <v/>
      </c>
      <c r="E194" s="119">
        <f>IF($M194="m",IF($N194&lt;&gt;"",INDEX(tblInv[الإجمالي],$N194),0),IF($M194="l",INDEX(tblBuckets[الفترة],5),IF($M194="v",TEXT(SUMIFS(tblInv[المتبقي],tblInv[كود العميل],StCust,tblInv[الفترة],INDEX(tblBuckets[الفترة],5)),"#,##0.00;-#,##0.00;-"),"")))</f>
        <v/>
      </c>
      <c r="F194" s="119">
        <f>IF($M194="m",IF($O194&lt;&gt;"",INDEX(tblRec[المبلغ],$O194),0),IF($M194="l",INDEX(tblBuckets[الفترة],6),IF($M194="v",TEXT(SUMIFS(tblInv[المتبقي],tblInv[كود العميل],StCust,tblInv[الفترة],INDEX(tblBuckets[الفترة],6)),"#,##0.00;-#,##0.00;-"),"")))</f>
        <v/>
      </c>
      <c r="G194" s="120">
        <f>IF($M194="m",N(G193)+E194-F194,IF($M194="l",INDEX(tblBuckets[الفترة],7),IF($M194="v",TEXT(SUMIFS(tblInv[المتبقي],tblInv[كود العميل],StCust,tblInv[الفترة],INDEX(tblBuckets[الفترة],7)),"#,##0.00;-#,##0.00;-"),"")))</f>
        <v/>
      </c>
      <c r="L194" t="n">
        <v>189</v>
      </c>
      <c r="M194">
        <f>IF(L194&lt;=StCount,"m",IF(L194=StCount+2,"t",IF(L194=StCount+3,"l",IF(L194=StCount+4,"v",IF(L194=StCount+6,"p","")))))</f>
        <v/>
      </c>
      <c r="N194">
        <f>IF(M194="m",IFERROR(MATCH(L194,tblInv[ترتيب الكشف],0),""),"")</f>
        <v/>
      </c>
      <c r="O194">
        <f>IF(AND(M194="m",N194=""),IFERROR(MATCH(L194,tblRec[ترتيب الكشف],0),""),"")</f>
        <v/>
      </c>
    </row>
    <row r="195">
      <c r="A195" s="117">
        <f>IF($M195="m",IF($N195&lt;&gt;"",INDEX(tblInv[تاريخ الفاتورة],$N195),INDEX(tblRec[التاريخ],$O195)),IF($M195="l",INDEX(tblBuckets[الفترة],1),IF($M195="v",TEXT(SUMIFS(tblInv[المتبقي],tblInv[كود العميل],StCust,tblInv[الفترة],INDEX(tblBuckets[الفترة],1)),"#,##0.00;-#,##0.00;-"),"")))</f>
        <v/>
      </c>
      <c r="B195" s="83">
        <f>IF($M195="m",IF($N195&lt;&gt;"","فاتورة",INDEX(tblRec[النوع],$O195)),IF($M195="l",INDEX(tblBuckets[الفترة],2),IF($M195="v",TEXT(SUMIFS(tblInv[المتبقي],tblInv[كود العميل],StCust,tblInv[الفترة],INDEX(tblBuckets[الفترة],2)),"#,##0.00;-#,##0.00;-"),"")))</f>
        <v/>
      </c>
      <c r="C195" s="83">
        <f>IF($M195="m",IF($N195&lt;&gt;"",INDEX(tblInv[رقم الفاتورة],$N195),INDEX(tblRec[رقم السند],$O195)),IF($M195="l",INDEX(tblBuckets[الفترة],3),IF($M195="v",TEXT(SUMIFS(tblInv[المتبقي],tblInv[كود العميل],StCust,tblInv[الفترة],INDEX(tblBuckets[الفترة],3)),"#,##0.00;-#,##0.00;-"),"")))</f>
        <v/>
      </c>
      <c r="D195" s="118">
        <f>IF($M195="m",IF($N195&lt;&gt;"","فاتورة مبيعات — استحقاق "&amp;TEXT(INDEX(tblInv[تاريخ الاستحقاق],$N195),"dd/mm/yyyy")&amp;IF(INDEX(tblInv[ملاحظات],$N195)&amp;""&lt;&gt;""," — "&amp;INDEX(tblInv[ملاحظات],$N195),""),INDEX(tblRec[النوع],$O195)&amp;IF(INDEX(tblRec[طريقة الدفع],$O195)&amp;""&lt;&gt;""," ("&amp;INDEX(tblRec[طريقة الدفع],$O195)&amp;")","")&amp;IF(INDEX(tblRec[رقم الفاتورة],$O195)&amp;""&lt;&gt;""," — عن فاتورة "&amp;INDEX(tblRec[رقم الفاتورة],$O195)," — دفعة على الحساب")),IF($M195="l",INDEX(tblBuckets[الفترة],4),IF($M195="v",TEXT(SUMIFS(tblInv[المتبقي],tblInv[كود العميل],StCust,tblInv[الفترة],INDEX(tblBuckets[الفترة],4)),"#,##0.00;-#,##0.00;-"),IF($M195="t","ملخص أعمار رصيد العميل كما في "&amp;TEXT(AsOf,"dd/mm/yyyy"),IF($M195="p","يُرجى مطابقة الرصيد وإفادتنا خلال 15 يوماً، وإلا اعتُبر الرصيد صحيحاً.","")))))</f>
        <v/>
      </c>
      <c r="E195" s="119">
        <f>IF($M195="m",IF($N195&lt;&gt;"",INDEX(tblInv[الإجمالي],$N195),0),IF($M195="l",INDEX(tblBuckets[الفترة],5),IF($M195="v",TEXT(SUMIFS(tblInv[المتبقي],tblInv[كود العميل],StCust,tblInv[الفترة],INDEX(tblBuckets[الفترة],5)),"#,##0.00;-#,##0.00;-"),"")))</f>
        <v/>
      </c>
      <c r="F195" s="119">
        <f>IF($M195="m",IF($O195&lt;&gt;"",INDEX(tblRec[المبلغ],$O195),0),IF($M195="l",INDEX(tblBuckets[الفترة],6),IF($M195="v",TEXT(SUMIFS(tblInv[المتبقي],tblInv[كود العميل],StCust,tblInv[الفترة],INDEX(tblBuckets[الفترة],6)),"#,##0.00;-#,##0.00;-"),"")))</f>
        <v/>
      </c>
      <c r="G195" s="120">
        <f>IF($M195="m",N(G194)+E195-F195,IF($M195="l",INDEX(tblBuckets[الفترة],7),IF($M195="v",TEXT(SUMIFS(tblInv[المتبقي],tblInv[كود العميل],StCust,tblInv[الفترة],INDEX(tblBuckets[الفترة],7)),"#,##0.00;-#,##0.00;-"),"")))</f>
        <v/>
      </c>
      <c r="L195" t="n">
        <v>190</v>
      </c>
      <c r="M195">
        <f>IF(L195&lt;=StCount,"m",IF(L195=StCount+2,"t",IF(L195=StCount+3,"l",IF(L195=StCount+4,"v",IF(L195=StCount+6,"p","")))))</f>
        <v/>
      </c>
      <c r="N195">
        <f>IF(M195="m",IFERROR(MATCH(L195,tblInv[ترتيب الكشف],0),""),"")</f>
        <v/>
      </c>
      <c r="O195">
        <f>IF(AND(M195="m",N195=""),IFERROR(MATCH(L195,tblRec[ترتيب الكشف],0),""),"")</f>
        <v/>
      </c>
    </row>
    <row r="196">
      <c r="A196" s="117">
        <f>IF($M196="m",IF($N196&lt;&gt;"",INDEX(tblInv[تاريخ الفاتورة],$N196),INDEX(tblRec[التاريخ],$O196)),IF($M196="l",INDEX(tblBuckets[الفترة],1),IF($M196="v",TEXT(SUMIFS(tblInv[المتبقي],tblInv[كود العميل],StCust,tblInv[الفترة],INDEX(tblBuckets[الفترة],1)),"#,##0.00;-#,##0.00;-"),"")))</f>
        <v/>
      </c>
      <c r="B196" s="83">
        <f>IF($M196="m",IF($N196&lt;&gt;"","فاتورة",INDEX(tblRec[النوع],$O196)),IF($M196="l",INDEX(tblBuckets[الفترة],2),IF($M196="v",TEXT(SUMIFS(tblInv[المتبقي],tblInv[كود العميل],StCust,tblInv[الفترة],INDEX(tblBuckets[الفترة],2)),"#,##0.00;-#,##0.00;-"),"")))</f>
        <v/>
      </c>
      <c r="C196" s="83">
        <f>IF($M196="m",IF($N196&lt;&gt;"",INDEX(tblInv[رقم الفاتورة],$N196),INDEX(tblRec[رقم السند],$O196)),IF($M196="l",INDEX(tblBuckets[الفترة],3),IF($M196="v",TEXT(SUMIFS(tblInv[المتبقي],tblInv[كود العميل],StCust,tblInv[الفترة],INDEX(tblBuckets[الفترة],3)),"#,##0.00;-#,##0.00;-"),"")))</f>
        <v/>
      </c>
      <c r="D196" s="118">
        <f>IF($M196="m",IF($N196&lt;&gt;"","فاتورة مبيعات — استحقاق "&amp;TEXT(INDEX(tblInv[تاريخ الاستحقاق],$N196),"dd/mm/yyyy")&amp;IF(INDEX(tblInv[ملاحظات],$N196)&amp;""&lt;&gt;""," — "&amp;INDEX(tblInv[ملاحظات],$N196),""),INDEX(tblRec[النوع],$O196)&amp;IF(INDEX(tblRec[طريقة الدفع],$O196)&amp;""&lt;&gt;""," ("&amp;INDEX(tblRec[طريقة الدفع],$O196)&amp;")","")&amp;IF(INDEX(tblRec[رقم الفاتورة],$O196)&amp;""&lt;&gt;""," — عن فاتورة "&amp;INDEX(tblRec[رقم الفاتورة],$O196)," — دفعة على الحساب")),IF($M196="l",INDEX(tblBuckets[الفترة],4),IF($M196="v",TEXT(SUMIFS(tblInv[المتبقي],tblInv[كود العميل],StCust,tblInv[الفترة],INDEX(tblBuckets[الفترة],4)),"#,##0.00;-#,##0.00;-"),IF($M196="t","ملخص أعمار رصيد العميل كما في "&amp;TEXT(AsOf,"dd/mm/yyyy"),IF($M196="p","يُرجى مطابقة الرصيد وإفادتنا خلال 15 يوماً، وإلا اعتُبر الرصيد صحيحاً.","")))))</f>
        <v/>
      </c>
      <c r="E196" s="119">
        <f>IF($M196="m",IF($N196&lt;&gt;"",INDEX(tblInv[الإجمالي],$N196),0),IF($M196="l",INDEX(tblBuckets[الفترة],5),IF($M196="v",TEXT(SUMIFS(tblInv[المتبقي],tblInv[كود العميل],StCust,tblInv[الفترة],INDEX(tblBuckets[الفترة],5)),"#,##0.00;-#,##0.00;-"),"")))</f>
        <v/>
      </c>
      <c r="F196" s="119">
        <f>IF($M196="m",IF($O196&lt;&gt;"",INDEX(tblRec[المبلغ],$O196),0),IF($M196="l",INDEX(tblBuckets[الفترة],6),IF($M196="v",TEXT(SUMIFS(tblInv[المتبقي],tblInv[كود العميل],StCust,tblInv[الفترة],INDEX(tblBuckets[الفترة],6)),"#,##0.00;-#,##0.00;-"),"")))</f>
        <v/>
      </c>
      <c r="G196" s="120">
        <f>IF($M196="m",N(G195)+E196-F196,IF($M196="l",INDEX(tblBuckets[الفترة],7),IF($M196="v",TEXT(SUMIFS(tblInv[المتبقي],tblInv[كود العميل],StCust,tblInv[الفترة],INDEX(tblBuckets[الفترة],7)),"#,##0.00;-#,##0.00;-"),"")))</f>
        <v/>
      </c>
      <c r="L196" t="n">
        <v>191</v>
      </c>
      <c r="M196">
        <f>IF(L196&lt;=StCount,"m",IF(L196=StCount+2,"t",IF(L196=StCount+3,"l",IF(L196=StCount+4,"v",IF(L196=StCount+6,"p","")))))</f>
        <v/>
      </c>
      <c r="N196">
        <f>IF(M196="m",IFERROR(MATCH(L196,tblInv[ترتيب الكشف],0),""),"")</f>
        <v/>
      </c>
      <c r="O196">
        <f>IF(AND(M196="m",N196=""),IFERROR(MATCH(L196,tblRec[ترتيب الكشف],0),""),"")</f>
        <v/>
      </c>
    </row>
    <row r="197">
      <c r="A197" s="117">
        <f>IF($M197="m",IF($N197&lt;&gt;"",INDEX(tblInv[تاريخ الفاتورة],$N197),INDEX(tblRec[التاريخ],$O197)),IF($M197="l",INDEX(tblBuckets[الفترة],1),IF($M197="v",TEXT(SUMIFS(tblInv[المتبقي],tblInv[كود العميل],StCust,tblInv[الفترة],INDEX(tblBuckets[الفترة],1)),"#,##0.00;-#,##0.00;-"),"")))</f>
        <v/>
      </c>
      <c r="B197" s="83">
        <f>IF($M197="m",IF($N197&lt;&gt;"","فاتورة",INDEX(tblRec[النوع],$O197)),IF($M197="l",INDEX(tblBuckets[الفترة],2),IF($M197="v",TEXT(SUMIFS(tblInv[المتبقي],tblInv[كود العميل],StCust,tblInv[الفترة],INDEX(tblBuckets[الفترة],2)),"#,##0.00;-#,##0.00;-"),"")))</f>
        <v/>
      </c>
      <c r="C197" s="83">
        <f>IF($M197="m",IF($N197&lt;&gt;"",INDEX(tblInv[رقم الفاتورة],$N197),INDEX(tblRec[رقم السند],$O197)),IF($M197="l",INDEX(tblBuckets[الفترة],3),IF($M197="v",TEXT(SUMIFS(tblInv[المتبقي],tblInv[كود العميل],StCust,tblInv[الفترة],INDEX(tblBuckets[الفترة],3)),"#,##0.00;-#,##0.00;-"),"")))</f>
        <v/>
      </c>
      <c r="D197" s="118">
        <f>IF($M197="m",IF($N197&lt;&gt;"","فاتورة مبيعات — استحقاق "&amp;TEXT(INDEX(tblInv[تاريخ الاستحقاق],$N197),"dd/mm/yyyy")&amp;IF(INDEX(tblInv[ملاحظات],$N197)&amp;""&lt;&gt;""," — "&amp;INDEX(tblInv[ملاحظات],$N197),""),INDEX(tblRec[النوع],$O197)&amp;IF(INDEX(tblRec[طريقة الدفع],$O197)&amp;""&lt;&gt;""," ("&amp;INDEX(tblRec[طريقة الدفع],$O197)&amp;")","")&amp;IF(INDEX(tblRec[رقم الفاتورة],$O197)&amp;""&lt;&gt;""," — عن فاتورة "&amp;INDEX(tblRec[رقم الفاتورة],$O197)," — دفعة على الحساب")),IF($M197="l",INDEX(tblBuckets[الفترة],4),IF($M197="v",TEXT(SUMIFS(tblInv[المتبقي],tblInv[كود العميل],StCust,tblInv[الفترة],INDEX(tblBuckets[الفترة],4)),"#,##0.00;-#,##0.00;-"),IF($M197="t","ملخص أعمار رصيد العميل كما في "&amp;TEXT(AsOf,"dd/mm/yyyy"),IF($M197="p","يُرجى مطابقة الرصيد وإفادتنا خلال 15 يوماً، وإلا اعتُبر الرصيد صحيحاً.","")))))</f>
        <v/>
      </c>
      <c r="E197" s="119">
        <f>IF($M197="m",IF($N197&lt;&gt;"",INDEX(tblInv[الإجمالي],$N197),0),IF($M197="l",INDEX(tblBuckets[الفترة],5),IF($M197="v",TEXT(SUMIFS(tblInv[المتبقي],tblInv[كود العميل],StCust,tblInv[الفترة],INDEX(tblBuckets[الفترة],5)),"#,##0.00;-#,##0.00;-"),"")))</f>
        <v/>
      </c>
      <c r="F197" s="119">
        <f>IF($M197="m",IF($O197&lt;&gt;"",INDEX(tblRec[المبلغ],$O197),0),IF($M197="l",INDEX(tblBuckets[الفترة],6),IF($M197="v",TEXT(SUMIFS(tblInv[المتبقي],tblInv[كود العميل],StCust,tblInv[الفترة],INDEX(tblBuckets[الفترة],6)),"#,##0.00;-#,##0.00;-"),"")))</f>
        <v/>
      </c>
      <c r="G197" s="120">
        <f>IF($M197="m",N(G196)+E197-F197,IF($M197="l",INDEX(tblBuckets[الفترة],7),IF($M197="v",TEXT(SUMIFS(tblInv[المتبقي],tblInv[كود العميل],StCust,tblInv[الفترة],INDEX(tblBuckets[الفترة],7)),"#,##0.00;-#,##0.00;-"),"")))</f>
        <v/>
      </c>
      <c r="L197" t="n">
        <v>192</v>
      </c>
      <c r="M197">
        <f>IF(L197&lt;=StCount,"m",IF(L197=StCount+2,"t",IF(L197=StCount+3,"l",IF(L197=StCount+4,"v",IF(L197=StCount+6,"p","")))))</f>
        <v/>
      </c>
      <c r="N197">
        <f>IF(M197="m",IFERROR(MATCH(L197,tblInv[ترتيب الكشف],0),""),"")</f>
        <v/>
      </c>
      <c r="O197">
        <f>IF(AND(M197="m",N197=""),IFERROR(MATCH(L197,tblRec[ترتيب الكشف],0),""),"")</f>
        <v/>
      </c>
    </row>
    <row r="198">
      <c r="A198" s="117">
        <f>IF($M198="m",IF($N198&lt;&gt;"",INDEX(tblInv[تاريخ الفاتورة],$N198),INDEX(tblRec[التاريخ],$O198)),IF($M198="l",INDEX(tblBuckets[الفترة],1),IF($M198="v",TEXT(SUMIFS(tblInv[المتبقي],tblInv[كود العميل],StCust,tblInv[الفترة],INDEX(tblBuckets[الفترة],1)),"#,##0.00;-#,##0.00;-"),"")))</f>
        <v/>
      </c>
      <c r="B198" s="83">
        <f>IF($M198="m",IF($N198&lt;&gt;"","فاتورة",INDEX(tblRec[النوع],$O198)),IF($M198="l",INDEX(tblBuckets[الفترة],2),IF($M198="v",TEXT(SUMIFS(tblInv[المتبقي],tblInv[كود العميل],StCust,tblInv[الفترة],INDEX(tblBuckets[الفترة],2)),"#,##0.00;-#,##0.00;-"),"")))</f>
        <v/>
      </c>
      <c r="C198" s="83">
        <f>IF($M198="m",IF($N198&lt;&gt;"",INDEX(tblInv[رقم الفاتورة],$N198),INDEX(tblRec[رقم السند],$O198)),IF($M198="l",INDEX(tblBuckets[الفترة],3),IF($M198="v",TEXT(SUMIFS(tblInv[المتبقي],tblInv[كود العميل],StCust,tblInv[الفترة],INDEX(tblBuckets[الفترة],3)),"#,##0.00;-#,##0.00;-"),"")))</f>
        <v/>
      </c>
      <c r="D198" s="118">
        <f>IF($M198="m",IF($N198&lt;&gt;"","فاتورة مبيعات — استحقاق "&amp;TEXT(INDEX(tblInv[تاريخ الاستحقاق],$N198),"dd/mm/yyyy")&amp;IF(INDEX(tblInv[ملاحظات],$N198)&amp;""&lt;&gt;""," — "&amp;INDEX(tblInv[ملاحظات],$N198),""),INDEX(tblRec[النوع],$O198)&amp;IF(INDEX(tblRec[طريقة الدفع],$O198)&amp;""&lt;&gt;""," ("&amp;INDEX(tblRec[طريقة الدفع],$O198)&amp;")","")&amp;IF(INDEX(tblRec[رقم الفاتورة],$O198)&amp;""&lt;&gt;""," — عن فاتورة "&amp;INDEX(tblRec[رقم الفاتورة],$O198)," — دفعة على الحساب")),IF($M198="l",INDEX(tblBuckets[الفترة],4),IF($M198="v",TEXT(SUMIFS(tblInv[المتبقي],tblInv[كود العميل],StCust,tblInv[الفترة],INDEX(tblBuckets[الفترة],4)),"#,##0.00;-#,##0.00;-"),IF($M198="t","ملخص أعمار رصيد العميل كما في "&amp;TEXT(AsOf,"dd/mm/yyyy"),IF($M198="p","يُرجى مطابقة الرصيد وإفادتنا خلال 15 يوماً، وإلا اعتُبر الرصيد صحيحاً.","")))))</f>
        <v/>
      </c>
      <c r="E198" s="119">
        <f>IF($M198="m",IF($N198&lt;&gt;"",INDEX(tblInv[الإجمالي],$N198),0),IF($M198="l",INDEX(tblBuckets[الفترة],5),IF($M198="v",TEXT(SUMIFS(tblInv[المتبقي],tblInv[كود العميل],StCust,tblInv[الفترة],INDEX(tblBuckets[الفترة],5)),"#,##0.00;-#,##0.00;-"),"")))</f>
        <v/>
      </c>
      <c r="F198" s="119">
        <f>IF($M198="m",IF($O198&lt;&gt;"",INDEX(tblRec[المبلغ],$O198),0),IF($M198="l",INDEX(tblBuckets[الفترة],6),IF($M198="v",TEXT(SUMIFS(tblInv[المتبقي],tblInv[كود العميل],StCust,tblInv[الفترة],INDEX(tblBuckets[الفترة],6)),"#,##0.00;-#,##0.00;-"),"")))</f>
        <v/>
      </c>
      <c r="G198" s="120">
        <f>IF($M198="m",N(G197)+E198-F198,IF($M198="l",INDEX(tblBuckets[الفترة],7),IF($M198="v",TEXT(SUMIFS(tblInv[المتبقي],tblInv[كود العميل],StCust,tblInv[الفترة],INDEX(tblBuckets[الفترة],7)),"#,##0.00;-#,##0.00;-"),"")))</f>
        <v/>
      </c>
      <c r="L198" t="n">
        <v>193</v>
      </c>
      <c r="M198">
        <f>IF(L198&lt;=StCount,"m",IF(L198=StCount+2,"t",IF(L198=StCount+3,"l",IF(L198=StCount+4,"v",IF(L198=StCount+6,"p","")))))</f>
        <v/>
      </c>
      <c r="N198">
        <f>IF(M198="m",IFERROR(MATCH(L198,tblInv[ترتيب الكشف],0),""),"")</f>
        <v/>
      </c>
      <c r="O198">
        <f>IF(AND(M198="m",N198=""),IFERROR(MATCH(L198,tblRec[ترتيب الكشف],0),""),"")</f>
        <v/>
      </c>
    </row>
    <row r="199">
      <c r="A199" s="117">
        <f>IF($M199="m",IF($N199&lt;&gt;"",INDEX(tblInv[تاريخ الفاتورة],$N199),INDEX(tblRec[التاريخ],$O199)),IF($M199="l",INDEX(tblBuckets[الفترة],1),IF($M199="v",TEXT(SUMIFS(tblInv[المتبقي],tblInv[كود العميل],StCust,tblInv[الفترة],INDEX(tblBuckets[الفترة],1)),"#,##0.00;-#,##0.00;-"),"")))</f>
        <v/>
      </c>
      <c r="B199" s="83">
        <f>IF($M199="m",IF($N199&lt;&gt;"","فاتورة",INDEX(tblRec[النوع],$O199)),IF($M199="l",INDEX(tblBuckets[الفترة],2),IF($M199="v",TEXT(SUMIFS(tblInv[المتبقي],tblInv[كود العميل],StCust,tblInv[الفترة],INDEX(tblBuckets[الفترة],2)),"#,##0.00;-#,##0.00;-"),"")))</f>
        <v/>
      </c>
      <c r="C199" s="83">
        <f>IF($M199="m",IF($N199&lt;&gt;"",INDEX(tblInv[رقم الفاتورة],$N199),INDEX(tblRec[رقم السند],$O199)),IF($M199="l",INDEX(tblBuckets[الفترة],3),IF($M199="v",TEXT(SUMIFS(tblInv[المتبقي],tblInv[كود العميل],StCust,tblInv[الفترة],INDEX(tblBuckets[الفترة],3)),"#,##0.00;-#,##0.00;-"),"")))</f>
        <v/>
      </c>
      <c r="D199" s="118">
        <f>IF($M199="m",IF($N199&lt;&gt;"","فاتورة مبيعات — استحقاق "&amp;TEXT(INDEX(tblInv[تاريخ الاستحقاق],$N199),"dd/mm/yyyy")&amp;IF(INDEX(tblInv[ملاحظات],$N199)&amp;""&lt;&gt;""," — "&amp;INDEX(tblInv[ملاحظات],$N199),""),INDEX(tblRec[النوع],$O199)&amp;IF(INDEX(tblRec[طريقة الدفع],$O199)&amp;""&lt;&gt;""," ("&amp;INDEX(tblRec[طريقة الدفع],$O199)&amp;")","")&amp;IF(INDEX(tblRec[رقم الفاتورة],$O199)&amp;""&lt;&gt;""," — عن فاتورة "&amp;INDEX(tblRec[رقم الفاتورة],$O199)," — دفعة على الحساب")),IF($M199="l",INDEX(tblBuckets[الفترة],4),IF($M199="v",TEXT(SUMIFS(tblInv[المتبقي],tblInv[كود العميل],StCust,tblInv[الفترة],INDEX(tblBuckets[الفترة],4)),"#,##0.00;-#,##0.00;-"),IF($M199="t","ملخص أعمار رصيد العميل كما في "&amp;TEXT(AsOf,"dd/mm/yyyy"),IF($M199="p","يُرجى مطابقة الرصيد وإفادتنا خلال 15 يوماً، وإلا اعتُبر الرصيد صحيحاً.","")))))</f>
        <v/>
      </c>
      <c r="E199" s="119">
        <f>IF($M199="m",IF($N199&lt;&gt;"",INDEX(tblInv[الإجمالي],$N199),0),IF($M199="l",INDEX(tblBuckets[الفترة],5),IF($M199="v",TEXT(SUMIFS(tblInv[المتبقي],tblInv[كود العميل],StCust,tblInv[الفترة],INDEX(tblBuckets[الفترة],5)),"#,##0.00;-#,##0.00;-"),"")))</f>
        <v/>
      </c>
      <c r="F199" s="119">
        <f>IF($M199="m",IF($O199&lt;&gt;"",INDEX(tblRec[المبلغ],$O199),0),IF($M199="l",INDEX(tblBuckets[الفترة],6),IF($M199="v",TEXT(SUMIFS(tblInv[المتبقي],tblInv[كود العميل],StCust,tblInv[الفترة],INDEX(tblBuckets[الفترة],6)),"#,##0.00;-#,##0.00;-"),"")))</f>
        <v/>
      </c>
      <c r="G199" s="120">
        <f>IF($M199="m",N(G198)+E199-F199,IF($M199="l",INDEX(tblBuckets[الفترة],7),IF($M199="v",TEXT(SUMIFS(tblInv[المتبقي],tblInv[كود العميل],StCust,tblInv[الفترة],INDEX(tblBuckets[الفترة],7)),"#,##0.00;-#,##0.00;-"),"")))</f>
        <v/>
      </c>
      <c r="L199" t="n">
        <v>194</v>
      </c>
      <c r="M199">
        <f>IF(L199&lt;=StCount,"m",IF(L199=StCount+2,"t",IF(L199=StCount+3,"l",IF(L199=StCount+4,"v",IF(L199=StCount+6,"p","")))))</f>
        <v/>
      </c>
      <c r="N199">
        <f>IF(M199="m",IFERROR(MATCH(L199,tblInv[ترتيب الكشف],0),""),"")</f>
        <v/>
      </c>
      <c r="O199">
        <f>IF(AND(M199="m",N199=""),IFERROR(MATCH(L199,tblRec[ترتيب الكشف],0),""),"")</f>
        <v/>
      </c>
    </row>
    <row r="200">
      <c r="A200" s="117">
        <f>IF($M200="m",IF($N200&lt;&gt;"",INDEX(tblInv[تاريخ الفاتورة],$N200),INDEX(tblRec[التاريخ],$O200)),IF($M200="l",INDEX(tblBuckets[الفترة],1),IF($M200="v",TEXT(SUMIFS(tblInv[المتبقي],tblInv[كود العميل],StCust,tblInv[الفترة],INDEX(tblBuckets[الفترة],1)),"#,##0.00;-#,##0.00;-"),"")))</f>
        <v/>
      </c>
      <c r="B200" s="83">
        <f>IF($M200="m",IF($N200&lt;&gt;"","فاتورة",INDEX(tblRec[النوع],$O200)),IF($M200="l",INDEX(tblBuckets[الفترة],2),IF($M200="v",TEXT(SUMIFS(tblInv[المتبقي],tblInv[كود العميل],StCust,tblInv[الفترة],INDEX(tblBuckets[الفترة],2)),"#,##0.00;-#,##0.00;-"),"")))</f>
        <v/>
      </c>
      <c r="C200" s="83">
        <f>IF($M200="m",IF($N200&lt;&gt;"",INDEX(tblInv[رقم الفاتورة],$N200),INDEX(tblRec[رقم السند],$O200)),IF($M200="l",INDEX(tblBuckets[الفترة],3),IF($M200="v",TEXT(SUMIFS(tblInv[المتبقي],tblInv[كود العميل],StCust,tblInv[الفترة],INDEX(tblBuckets[الفترة],3)),"#,##0.00;-#,##0.00;-"),"")))</f>
        <v/>
      </c>
      <c r="D200" s="118">
        <f>IF($M200="m",IF($N200&lt;&gt;"","فاتورة مبيعات — استحقاق "&amp;TEXT(INDEX(tblInv[تاريخ الاستحقاق],$N200),"dd/mm/yyyy")&amp;IF(INDEX(tblInv[ملاحظات],$N200)&amp;""&lt;&gt;""," — "&amp;INDEX(tblInv[ملاحظات],$N200),""),INDEX(tblRec[النوع],$O200)&amp;IF(INDEX(tblRec[طريقة الدفع],$O200)&amp;""&lt;&gt;""," ("&amp;INDEX(tblRec[طريقة الدفع],$O200)&amp;")","")&amp;IF(INDEX(tblRec[رقم الفاتورة],$O200)&amp;""&lt;&gt;""," — عن فاتورة "&amp;INDEX(tblRec[رقم الفاتورة],$O200)," — دفعة على الحساب")),IF($M200="l",INDEX(tblBuckets[الفترة],4),IF($M200="v",TEXT(SUMIFS(tblInv[المتبقي],tblInv[كود العميل],StCust,tblInv[الفترة],INDEX(tblBuckets[الفترة],4)),"#,##0.00;-#,##0.00;-"),IF($M200="t","ملخص أعمار رصيد العميل كما في "&amp;TEXT(AsOf,"dd/mm/yyyy"),IF($M200="p","يُرجى مطابقة الرصيد وإفادتنا خلال 15 يوماً، وإلا اعتُبر الرصيد صحيحاً.","")))))</f>
        <v/>
      </c>
      <c r="E200" s="119">
        <f>IF($M200="m",IF($N200&lt;&gt;"",INDEX(tblInv[الإجمالي],$N200),0),IF($M200="l",INDEX(tblBuckets[الفترة],5),IF($M200="v",TEXT(SUMIFS(tblInv[المتبقي],tblInv[كود العميل],StCust,tblInv[الفترة],INDEX(tblBuckets[الفترة],5)),"#,##0.00;-#,##0.00;-"),"")))</f>
        <v/>
      </c>
      <c r="F200" s="119">
        <f>IF($M200="m",IF($O200&lt;&gt;"",INDEX(tblRec[المبلغ],$O200),0),IF($M200="l",INDEX(tblBuckets[الفترة],6),IF($M200="v",TEXT(SUMIFS(tblInv[المتبقي],tblInv[كود العميل],StCust,tblInv[الفترة],INDEX(tblBuckets[الفترة],6)),"#,##0.00;-#,##0.00;-"),"")))</f>
        <v/>
      </c>
      <c r="G200" s="120">
        <f>IF($M200="m",N(G199)+E200-F200,IF($M200="l",INDEX(tblBuckets[الفترة],7),IF($M200="v",TEXT(SUMIFS(tblInv[المتبقي],tblInv[كود العميل],StCust,tblInv[الفترة],INDEX(tblBuckets[الفترة],7)),"#,##0.00;-#,##0.00;-"),"")))</f>
        <v/>
      </c>
      <c r="L200" t="n">
        <v>195</v>
      </c>
      <c r="M200">
        <f>IF(L200&lt;=StCount,"m",IF(L200=StCount+2,"t",IF(L200=StCount+3,"l",IF(L200=StCount+4,"v",IF(L200=StCount+6,"p","")))))</f>
        <v/>
      </c>
      <c r="N200">
        <f>IF(M200="m",IFERROR(MATCH(L200,tblInv[ترتيب الكشف],0),""),"")</f>
        <v/>
      </c>
      <c r="O200">
        <f>IF(AND(M200="m",N200=""),IFERROR(MATCH(L200,tblRec[ترتيب الكشف],0),""),"")</f>
        <v/>
      </c>
    </row>
    <row r="201">
      <c r="A201" s="117">
        <f>IF($M201="m",IF($N201&lt;&gt;"",INDEX(tblInv[تاريخ الفاتورة],$N201),INDEX(tblRec[التاريخ],$O201)),IF($M201="l",INDEX(tblBuckets[الفترة],1),IF($M201="v",TEXT(SUMIFS(tblInv[المتبقي],tblInv[كود العميل],StCust,tblInv[الفترة],INDEX(tblBuckets[الفترة],1)),"#,##0.00;-#,##0.00;-"),"")))</f>
        <v/>
      </c>
      <c r="B201" s="83">
        <f>IF($M201="m",IF($N201&lt;&gt;"","فاتورة",INDEX(tblRec[النوع],$O201)),IF($M201="l",INDEX(tblBuckets[الفترة],2),IF($M201="v",TEXT(SUMIFS(tblInv[المتبقي],tblInv[كود العميل],StCust,tblInv[الفترة],INDEX(tblBuckets[الفترة],2)),"#,##0.00;-#,##0.00;-"),"")))</f>
        <v/>
      </c>
      <c r="C201" s="83">
        <f>IF($M201="m",IF($N201&lt;&gt;"",INDEX(tblInv[رقم الفاتورة],$N201),INDEX(tblRec[رقم السند],$O201)),IF($M201="l",INDEX(tblBuckets[الفترة],3),IF($M201="v",TEXT(SUMIFS(tblInv[المتبقي],tblInv[كود العميل],StCust,tblInv[الفترة],INDEX(tblBuckets[الفترة],3)),"#,##0.00;-#,##0.00;-"),"")))</f>
        <v/>
      </c>
      <c r="D201" s="118">
        <f>IF($M201="m",IF($N201&lt;&gt;"","فاتورة مبيعات — استحقاق "&amp;TEXT(INDEX(tblInv[تاريخ الاستحقاق],$N201),"dd/mm/yyyy")&amp;IF(INDEX(tblInv[ملاحظات],$N201)&amp;""&lt;&gt;""," — "&amp;INDEX(tblInv[ملاحظات],$N201),""),INDEX(tblRec[النوع],$O201)&amp;IF(INDEX(tblRec[طريقة الدفع],$O201)&amp;""&lt;&gt;""," ("&amp;INDEX(tblRec[طريقة الدفع],$O201)&amp;")","")&amp;IF(INDEX(tblRec[رقم الفاتورة],$O201)&amp;""&lt;&gt;""," — عن فاتورة "&amp;INDEX(tblRec[رقم الفاتورة],$O201)," — دفعة على الحساب")),IF($M201="l",INDEX(tblBuckets[الفترة],4),IF($M201="v",TEXT(SUMIFS(tblInv[المتبقي],tblInv[كود العميل],StCust,tblInv[الفترة],INDEX(tblBuckets[الفترة],4)),"#,##0.00;-#,##0.00;-"),IF($M201="t","ملخص أعمار رصيد العميل كما في "&amp;TEXT(AsOf,"dd/mm/yyyy"),IF($M201="p","يُرجى مطابقة الرصيد وإفادتنا خلال 15 يوماً، وإلا اعتُبر الرصيد صحيحاً.","")))))</f>
        <v/>
      </c>
      <c r="E201" s="119">
        <f>IF($M201="m",IF($N201&lt;&gt;"",INDEX(tblInv[الإجمالي],$N201),0),IF($M201="l",INDEX(tblBuckets[الفترة],5),IF($M201="v",TEXT(SUMIFS(tblInv[المتبقي],tblInv[كود العميل],StCust,tblInv[الفترة],INDEX(tblBuckets[الفترة],5)),"#,##0.00;-#,##0.00;-"),"")))</f>
        <v/>
      </c>
      <c r="F201" s="119">
        <f>IF($M201="m",IF($O201&lt;&gt;"",INDEX(tblRec[المبلغ],$O201),0),IF($M201="l",INDEX(tblBuckets[الفترة],6),IF($M201="v",TEXT(SUMIFS(tblInv[المتبقي],tblInv[كود العميل],StCust,tblInv[الفترة],INDEX(tblBuckets[الفترة],6)),"#,##0.00;-#,##0.00;-"),"")))</f>
        <v/>
      </c>
      <c r="G201" s="120">
        <f>IF($M201="m",N(G200)+E201-F201,IF($M201="l",INDEX(tblBuckets[الفترة],7),IF($M201="v",TEXT(SUMIFS(tblInv[المتبقي],tblInv[كود العميل],StCust,tblInv[الفترة],INDEX(tblBuckets[الفترة],7)),"#,##0.00;-#,##0.00;-"),"")))</f>
        <v/>
      </c>
      <c r="L201" t="n">
        <v>196</v>
      </c>
      <c r="M201">
        <f>IF(L201&lt;=StCount,"m",IF(L201=StCount+2,"t",IF(L201=StCount+3,"l",IF(L201=StCount+4,"v",IF(L201=StCount+6,"p","")))))</f>
        <v/>
      </c>
      <c r="N201">
        <f>IF(M201="m",IFERROR(MATCH(L201,tblInv[ترتيب الكشف],0),""),"")</f>
        <v/>
      </c>
      <c r="O201">
        <f>IF(AND(M201="m",N201=""),IFERROR(MATCH(L201,tblRec[ترتيب الكشف],0),""),"")</f>
        <v/>
      </c>
    </row>
    <row r="202">
      <c r="A202" s="117">
        <f>IF($M202="m",IF($N202&lt;&gt;"",INDEX(tblInv[تاريخ الفاتورة],$N202),INDEX(tblRec[التاريخ],$O202)),IF($M202="l",INDEX(tblBuckets[الفترة],1),IF($M202="v",TEXT(SUMIFS(tblInv[المتبقي],tblInv[كود العميل],StCust,tblInv[الفترة],INDEX(tblBuckets[الفترة],1)),"#,##0.00;-#,##0.00;-"),"")))</f>
        <v/>
      </c>
      <c r="B202" s="83">
        <f>IF($M202="m",IF($N202&lt;&gt;"","فاتورة",INDEX(tblRec[النوع],$O202)),IF($M202="l",INDEX(tblBuckets[الفترة],2),IF($M202="v",TEXT(SUMIFS(tblInv[المتبقي],tblInv[كود العميل],StCust,tblInv[الفترة],INDEX(tblBuckets[الفترة],2)),"#,##0.00;-#,##0.00;-"),"")))</f>
        <v/>
      </c>
      <c r="C202" s="83">
        <f>IF($M202="m",IF($N202&lt;&gt;"",INDEX(tblInv[رقم الفاتورة],$N202),INDEX(tblRec[رقم السند],$O202)),IF($M202="l",INDEX(tblBuckets[الفترة],3),IF($M202="v",TEXT(SUMIFS(tblInv[المتبقي],tblInv[كود العميل],StCust,tblInv[الفترة],INDEX(tblBuckets[الفترة],3)),"#,##0.00;-#,##0.00;-"),"")))</f>
        <v/>
      </c>
      <c r="D202" s="118">
        <f>IF($M202="m",IF($N202&lt;&gt;"","فاتورة مبيعات — استحقاق "&amp;TEXT(INDEX(tblInv[تاريخ الاستحقاق],$N202),"dd/mm/yyyy")&amp;IF(INDEX(tblInv[ملاحظات],$N202)&amp;""&lt;&gt;""," — "&amp;INDEX(tblInv[ملاحظات],$N202),""),INDEX(tblRec[النوع],$O202)&amp;IF(INDEX(tblRec[طريقة الدفع],$O202)&amp;""&lt;&gt;""," ("&amp;INDEX(tblRec[طريقة الدفع],$O202)&amp;")","")&amp;IF(INDEX(tblRec[رقم الفاتورة],$O202)&amp;""&lt;&gt;""," — عن فاتورة "&amp;INDEX(tblRec[رقم الفاتورة],$O202)," — دفعة على الحساب")),IF($M202="l",INDEX(tblBuckets[الفترة],4),IF($M202="v",TEXT(SUMIFS(tblInv[المتبقي],tblInv[كود العميل],StCust,tblInv[الفترة],INDEX(tblBuckets[الفترة],4)),"#,##0.00;-#,##0.00;-"),IF($M202="t","ملخص أعمار رصيد العميل كما في "&amp;TEXT(AsOf,"dd/mm/yyyy"),IF($M202="p","يُرجى مطابقة الرصيد وإفادتنا خلال 15 يوماً، وإلا اعتُبر الرصيد صحيحاً.","")))))</f>
        <v/>
      </c>
      <c r="E202" s="119">
        <f>IF($M202="m",IF($N202&lt;&gt;"",INDEX(tblInv[الإجمالي],$N202),0),IF($M202="l",INDEX(tblBuckets[الفترة],5),IF($M202="v",TEXT(SUMIFS(tblInv[المتبقي],tblInv[كود العميل],StCust,tblInv[الفترة],INDEX(tblBuckets[الفترة],5)),"#,##0.00;-#,##0.00;-"),"")))</f>
        <v/>
      </c>
      <c r="F202" s="119">
        <f>IF($M202="m",IF($O202&lt;&gt;"",INDEX(tblRec[المبلغ],$O202),0),IF($M202="l",INDEX(tblBuckets[الفترة],6),IF($M202="v",TEXT(SUMIFS(tblInv[المتبقي],tblInv[كود العميل],StCust,tblInv[الفترة],INDEX(tblBuckets[الفترة],6)),"#,##0.00;-#,##0.00;-"),"")))</f>
        <v/>
      </c>
      <c r="G202" s="120">
        <f>IF($M202="m",N(G201)+E202-F202,IF($M202="l",INDEX(tblBuckets[الفترة],7),IF($M202="v",TEXT(SUMIFS(tblInv[المتبقي],tblInv[كود العميل],StCust,tblInv[الفترة],INDEX(tblBuckets[الفترة],7)),"#,##0.00;-#,##0.00;-"),"")))</f>
        <v/>
      </c>
      <c r="L202" t="n">
        <v>197</v>
      </c>
      <c r="M202">
        <f>IF(L202&lt;=StCount,"m",IF(L202=StCount+2,"t",IF(L202=StCount+3,"l",IF(L202=StCount+4,"v",IF(L202=StCount+6,"p","")))))</f>
        <v/>
      </c>
      <c r="N202">
        <f>IF(M202="m",IFERROR(MATCH(L202,tblInv[ترتيب الكشف],0),""),"")</f>
        <v/>
      </c>
      <c r="O202">
        <f>IF(AND(M202="m",N202=""),IFERROR(MATCH(L202,tblRec[ترتيب الكشف],0),""),"")</f>
        <v/>
      </c>
    </row>
    <row r="203">
      <c r="A203" s="117">
        <f>IF($M203="m",IF($N203&lt;&gt;"",INDEX(tblInv[تاريخ الفاتورة],$N203),INDEX(tblRec[التاريخ],$O203)),IF($M203="l",INDEX(tblBuckets[الفترة],1),IF($M203="v",TEXT(SUMIFS(tblInv[المتبقي],tblInv[كود العميل],StCust,tblInv[الفترة],INDEX(tblBuckets[الفترة],1)),"#,##0.00;-#,##0.00;-"),"")))</f>
        <v/>
      </c>
      <c r="B203" s="83">
        <f>IF($M203="m",IF($N203&lt;&gt;"","فاتورة",INDEX(tblRec[النوع],$O203)),IF($M203="l",INDEX(tblBuckets[الفترة],2),IF($M203="v",TEXT(SUMIFS(tblInv[المتبقي],tblInv[كود العميل],StCust,tblInv[الفترة],INDEX(tblBuckets[الفترة],2)),"#,##0.00;-#,##0.00;-"),"")))</f>
        <v/>
      </c>
      <c r="C203" s="83">
        <f>IF($M203="m",IF($N203&lt;&gt;"",INDEX(tblInv[رقم الفاتورة],$N203),INDEX(tblRec[رقم السند],$O203)),IF($M203="l",INDEX(tblBuckets[الفترة],3),IF($M203="v",TEXT(SUMIFS(tblInv[المتبقي],tblInv[كود العميل],StCust,tblInv[الفترة],INDEX(tblBuckets[الفترة],3)),"#,##0.00;-#,##0.00;-"),"")))</f>
        <v/>
      </c>
      <c r="D203" s="118">
        <f>IF($M203="m",IF($N203&lt;&gt;"","فاتورة مبيعات — استحقاق "&amp;TEXT(INDEX(tblInv[تاريخ الاستحقاق],$N203),"dd/mm/yyyy")&amp;IF(INDEX(tblInv[ملاحظات],$N203)&amp;""&lt;&gt;""," — "&amp;INDEX(tblInv[ملاحظات],$N203),""),INDEX(tblRec[النوع],$O203)&amp;IF(INDEX(tblRec[طريقة الدفع],$O203)&amp;""&lt;&gt;""," ("&amp;INDEX(tblRec[طريقة الدفع],$O203)&amp;")","")&amp;IF(INDEX(tblRec[رقم الفاتورة],$O203)&amp;""&lt;&gt;""," — عن فاتورة "&amp;INDEX(tblRec[رقم الفاتورة],$O203)," — دفعة على الحساب")),IF($M203="l",INDEX(tblBuckets[الفترة],4),IF($M203="v",TEXT(SUMIFS(tblInv[المتبقي],tblInv[كود العميل],StCust,tblInv[الفترة],INDEX(tblBuckets[الفترة],4)),"#,##0.00;-#,##0.00;-"),IF($M203="t","ملخص أعمار رصيد العميل كما في "&amp;TEXT(AsOf,"dd/mm/yyyy"),IF($M203="p","يُرجى مطابقة الرصيد وإفادتنا خلال 15 يوماً، وإلا اعتُبر الرصيد صحيحاً.","")))))</f>
        <v/>
      </c>
      <c r="E203" s="119">
        <f>IF($M203="m",IF($N203&lt;&gt;"",INDEX(tblInv[الإجمالي],$N203),0),IF($M203="l",INDEX(tblBuckets[الفترة],5),IF($M203="v",TEXT(SUMIFS(tblInv[المتبقي],tblInv[كود العميل],StCust,tblInv[الفترة],INDEX(tblBuckets[الفترة],5)),"#,##0.00;-#,##0.00;-"),"")))</f>
        <v/>
      </c>
      <c r="F203" s="119">
        <f>IF($M203="m",IF($O203&lt;&gt;"",INDEX(tblRec[المبلغ],$O203),0),IF($M203="l",INDEX(tblBuckets[الفترة],6),IF($M203="v",TEXT(SUMIFS(tblInv[المتبقي],tblInv[كود العميل],StCust,tblInv[الفترة],INDEX(tblBuckets[الفترة],6)),"#,##0.00;-#,##0.00;-"),"")))</f>
        <v/>
      </c>
      <c r="G203" s="120">
        <f>IF($M203="m",N(G202)+E203-F203,IF($M203="l",INDEX(tblBuckets[الفترة],7),IF($M203="v",TEXT(SUMIFS(tblInv[المتبقي],tblInv[كود العميل],StCust,tblInv[الفترة],INDEX(tblBuckets[الفترة],7)),"#,##0.00;-#,##0.00;-"),"")))</f>
        <v/>
      </c>
      <c r="L203" t="n">
        <v>198</v>
      </c>
      <c r="M203">
        <f>IF(L203&lt;=StCount,"m",IF(L203=StCount+2,"t",IF(L203=StCount+3,"l",IF(L203=StCount+4,"v",IF(L203=StCount+6,"p","")))))</f>
        <v/>
      </c>
      <c r="N203">
        <f>IF(M203="m",IFERROR(MATCH(L203,tblInv[ترتيب الكشف],0),""),"")</f>
        <v/>
      </c>
      <c r="O203">
        <f>IF(AND(M203="m",N203=""),IFERROR(MATCH(L203,tblRec[ترتيب الكشف],0),""),"")</f>
        <v/>
      </c>
    </row>
    <row r="204">
      <c r="A204" s="117">
        <f>IF($M204="m",IF($N204&lt;&gt;"",INDEX(tblInv[تاريخ الفاتورة],$N204),INDEX(tblRec[التاريخ],$O204)),IF($M204="l",INDEX(tblBuckets[الفترة],1),IF($M204="v",TEXT(SUMIFS(tblInv[المتبقي],tblInv[كود العميل],StCust,tblInv[الفترة],INDEX(tblBuckets[الفترة],1)),"#,##0.00;-#,##0.00;-"),"")))</f>
        <v/>
      </c>
      <c r="B204" s="83">
        <f>IF($M204="m",IF($N204&lt;&gt;"","فاتورة",INDEX(tblRec[النوع],$O204)),IF($M204="l",INDEX(tblBuckets[الفترة],2),IF($M204="v",TEXT(SUMIFS(tblInv[المتبقي],tblInv[كود العميل],StCust,tblInv[الفترة],INDEX(tblBuckets[الفترة],2)),"#,##0.00;-#,##0.00;-"),"")))</f>
        <v/>
      </c>
      <c r="C204" s="83">
        <f>IF($M204="m",IF($N204&lt;&gt;"",INDEX(tblInv[رقم الفاتورة],$N204),INDEX(tblRec[رقم السند],$O204)),IF($M204="l",INDEX(tblBuckets[الفترة],3),IF($M204="v",TEXT(SUMIFS(tblInv[المتبقي],tblInv[كود العميل],StCust,tblInv[الفترة],INDEX(tblBuckets[الفترة],3)),"#,##0.00;-#,##0.00;-"),"")))</f>
        <v/>
      </c>
      <c r="D204" s="118">
        <f>IF($M204="m",IF($N204&lt;&gt;"","فاتورة مبيعات — استحقاق "&amp;TEXT(INDEX(tblInv[تاريخ الاستحقاق],$N204),"dd/mm/yyyy")&amp;IF(INDEX(tblInv[ملاحظات],$N204)&amp;""&lt;&gt;""," — "&amp;INDEX(tblInv[ملاحظات],$N204),""),INDEX(tblRec[النوع],$O204)&amp;IF(INDEX(tblRec[طريقة الدفع],$O204)&amp;""&lt;&gt;""," ("&amp;INDEX(tblRec[طريقة الدفع],$O204)&amp;")","")&amp;IF(INDEX(tblRec[رقم الفاتورة],$O204)&amp;""&lt;&gt;""," — عن فاتورة "&amp;INDEX(tblRec[رقم الفاتورة],$O204)," — دفعة على الحساب")),IF($M204="l",INDEX(tblBuckets[الفترة],4),IF($M204="v",TEXT(SUMIFS(tblInv[المتبقي],tblInv[كود العميل],StCust,tblInv[الفترة],INDEX(tblBuckets[الفترة],4)),"#,##0.00;-#,##0.00;-"),IF($M204="t","ملخص أعمار رصيد العميل كما في "&amp;TEXT(AsOf,"dd/mm/yyyy"),IF($M204="p","يُرجى مطابقة الرصيد وإفادتنا خلال 15 يوماً، وإلا اعتُبر الرصيد صحيحاً.","")))))</f>
        <v/>
      </c>
      <c r="E204" s="119">
        <f>IF($M204="m",IF($N204&lt;&gt;"",INDEX(tblInv[الإجمالي],$N204),0),IF($M204="l",INDEX(tblBuckets[الفترة],5),IF($M204="v",TEXT(SUMIFS(tblInv[المتبقي],tblInv[كود العميل],StCust,tblInv[الفترة],INDEX(tblBuckets[الفترة],5)),"#,##0.00;-#,##0.00;-"),"")))</f>
        <v/>
      </c>
      <c r="F204" s="119">
        <f>IF($M204="m",IF($O204&lt;&gt;"",INDEX(tblRec[المبلغ],$O204),0),IF($M204="l",INDEX(tblBuckets[الفترة],6),IF($M204="v",TEXT(SUMIFS(tblInv[المتبقي],tblInv[كود العميل],StCust,tblInv[الفترة],INDEX(tblBuckets[الفترة],6)),"#,##0.00;-#,##0.00;-"),"")))</f>
        <v/>
      </c>
      <c r="G204" s="120">
        <f>IF($M204="m",N(G203)+E204-F204,IF($M204="l",INDEX(tblBuckets[الفترة],7),IF($M204="v",TEXT(SUMIFS(tblInv[المتبقي],tblInv[كود العميل],StCust,tblInv[الفترة],INDEX(tblBuckets[الفترة],7)),"#,##0.00;-#,##0.00;-"),"")))</f>
        <v/>
      </c>
      <c r="L204" t="n">
        <v>199</v>
      </c>
      <c r="M204">
        <f>IF(L204&lt;=StCount,"m",IF(L204=StCount+2,"t",IF(L204=StCount+3,"l",IF(L204=StCount+4,"v",IF(L204=StCount+6,"p","")))))</f>
        <v/>
      </c>
      <c r="N204">
        <f>IF(M204="m",IFERROR(MATCH(L204,tblInv[ترتيب الكشف],0),""),"")</f>
        <v/>
      </c>
      <c r="O204">
        <f>IF(AND(M204="m",N204=""),IFERROR(MATCH(L204,tblRec[ترتيب الكشف],0),""),"")</f>
        <v/>
      </c>
    </row>
    <row r="205">
      <c r="A205" s="117">
        <f>IF($M205="m",IF($N205&lt;&gt;"",INDEX(tblInv[تاريخ الفاتورة],$N205),INDEX(tblRec[التاريخ],$O205)),IF($M205="l",INDEX(tblBuckets[الفترة],1),IF($M205="v",TEXT(SUMIFS(tblInv[المتبقي],tblInv[كود العميل],StCust,tblInv[الفترة],INDEX(tblBuckets[الفترة],1)),"#,##0.00;-#,##0.00;-"),"")))</f>
        <v/>
      </c>
      <c r="B205" s="83">
        <f>IF($M205="m",IF($N205&lt;&gt;"","فاتورة",INDEX(tblRec[النوع],$O205)),IF($M205="l",INDEX(tblBuckets[الفترة],2),IF($M205="v",TEXT(SUMIFS(tblInv[المتبقي],tblInv[كود العميل],StCust,tblInv[الفترة],INDEX(tblBuckets[الفترة],2)),"#,##0.00;-#,##0.00;-"),"")))</f>
        <v/>
      </c>
      <c r="C205" s="83">
        <f>IF($M205="m",IF($N205&lt;&gt;"",INDEX(tblInv[رقم الفاتورة],$N205),INDEX(tblRec[رقم السند],$O205)),IF($M205="l",INDEX(tblBuckets[الفترة],3),IF($M205="v",TEXT(SUMIFS(tblInv[المتبقي],tblInv[كود العميل],StCust,tblInv[الفترة],INDEX(tblBuckets[الفترة],3)),"#,##0.00;-#,##0.00;-"),"")))</f>
        <v/>
      </c>
      <c r="D205" s="118">
        <f>IF($M205="m",IF($N205&lt;&gt;"","فاتورة مبيعات — استحقاق "&amp;TEXT(INDEX(tblInv[تاريخ الاستحقاق],$N205),"dd/mm/yyyy")&amp;IF(INDEX(tblInv[ملاحظات],$N205)&amp;""&lt;&gt;""," — "&amp;INDEX(tblInv[ملاحظات],$N205),""),INDEX(tblRec[النوع],$O205)&amp;IF(INDEX(tblRec[طريقة الدفع],$O205)&amp;""&lt;&gt;""," ("&amp;INDEX(tblRec[طريقة الدفع],$O205)&amp;")","")&amp;IF(INDEX(tblRec[رقم الفاتورة],$O205)&amp;""&lt;&gt;""," — عن فاتورة "&amp;INDEX(tblRec[رقم الفاتورة],$O205)," — دفعة على الحساب")),IF($M205="l",INDEX(tblBuckets[الفترة],4),IF($M205="v",TEXT(SUMIFS(tblInv[المتبقي],tblInv[كود العميل],StCust,tblInv[الفترة],INDEX(tblBuckets[الفترة],4)),"#,##0.00;-#,##0.00;-"),IF($M205="t","ملخص أعمار رصيد العميل كما في "&amp;TEXT(AsOf,"dd/mm/yyyy"),IF($M205="p","يُرجى مطابقة الرصيد وإفادتنا خلال 15 يوماً، وإلا اعتُبر الرصيد صحيحاً.","")))))</f>
        <v/>
      </c>
      <c r="E205" s="119">
        <f>IF($M205="m",IF($N205&lt;&gt;"",INDEX(tblInv[الإجمالي],$N205),0),IF($M205="l",INDEX(tblBuckets[الفترة],5),IF($M205="v",TEXT(SUMIFS(tblInv[المتبقي],tblInv[كود العميل],StCust,tblInv[الفترة],INDEX(tblBuckets[الفترة],5)),"#,##0.00;-#,##0.00;-"),"")))</f>
        <v/>
      </c>
      <c r="F205" s="119">
        <f>IF($M205="m",IF($O205&lt;&gt;"",INDEX(tblRec[المبلغ],$O205),0),IF($M205="l",INDEX(tblBuckets[الفترة],6),IF($M205="v",TEXT(SUMIFS(tblInv[المتبقي],tblInv[كود العميل],StCust,tblInv[الفترة],INDEX(tblBuckets[الفترة],6)),"#,##0.00;-#,##0.00;-"),"")))</f>
        <v/>
      </c>
      <c r="G205" s="120">
        <f>IF($M205="m",N(G204)+E205-F205,IF($M205="l",INDEX(tblBuckets[الفترة],7),IF($M205="v",TEXT(SUMIFS(tblInv[المتبقي],tblInv[كود العميل],StCust,tblInv[الفترة],INDEX(tblBuckets[الفترة],7)),"#,##0.00;-#,##0.00;-"),"")))</f>
        <v/>
      </c>
      <c r="L205" t="n">
        <v>200</v>
      </c>
      <c r="M205">
        <f>IF(L205&lt;=StCount,"m",IF(L205=StCount+2,"t",IF(L205=StCount+3,"l",IF(L205=StCount+4,"v",IF(L205=StCount+6,"p","")))))</f>
        <v/>
      </c>
      <c r="N205">
        <f>IF(M205="m",IFERROR(MATCH(L205,tblInv[ترتيب الكشف],0),""),"")</f>
        <v/>
      </c>
      <c r="O205">
        <f>IF(AND(M205="m",N205=""),IFERROR(MATCH(L205,tblRec[ترتيب الكشف],0),""),"")</f>
        <v/>
      </c>
    </row>
    <row r="206">
      <c r="A206" s="117">
        <f>IF($M206="m",IF($N206&lt;&gt;"",INDEX(tblInv[تاريخ الفاتورة],$N206),INDEX(tblRec[التاريخ],$O206)),IF($M206="l",INDEX(tblBuckets[الفترة],1),IF($M206="v",TEXT(SUMIFS(tblInv[المتبقي],tblInv[كود العميل],StCust,tblInv[الفترة],INDEX(tblBuckets[الفترة],1)),"#,##0.00;-#,##0.00;-"),"")))</f>
        <v/>
      </c>
      <c r="B206" s="83">
        <f>IF($M206="m",IF($N206&lt;&gt;"","فاتورة",INDEX(tblRec[النوع],$O206)),IF($M206="l",INDEX(tblBuckets[الفترة],2),IF($M206="v",TEXT(SUMIFS(tblInv[المتبقي],tblInv[كود العميل],StCust,tblInv[الفترة],INDEX(tblBuckets[الفترة],2)),"#,##0.00;-#,##0.00;-"),"")))</f>
        <v/>
      </c>
      <c r="C206" s="83">
        <f>IF($M206="m",IF($N206&lt;&gt;"",INDEX(tblInv[رقم الفاتورة],$N206),INDEX(tblRec[رقم السند],$O206)),IF($M206="l",INDEX(tblBuckets[الفترة],3),IF($M206="v",TEXT(SUMIFS(tblInv[المتبقي],tblInv[كود العميل],StCust,tblInv[الفترة],INDEX(tblBuckets[الفترة],3)),"#,##0.00;-#,##0.00;-"),"")))</f>
        <v/>
      </c>
      <c r="D206" s="118">
        <f>IF($M206="m",IF($N206&lt;&gt;"","فاتورة مبيعات — استحقاق "&amp;TEXT(INDEX(tblInv[تاريخ الاستحقاق],$N206),"dd/mm/yyyy")&amp;IF(INDEX(tblInv[ملاحظات],$N206)&amp;""&lt;&gt;""," — "&amp;INDEX(tblInv[ملاحظات],$N206),""),INDEX(tblRec[النوع],$O206)&amp;IF(INDEX(tblRec[طريقة الدفع],$O206)&amp;""&lt;&gt;""," ("&amp;INDEX(tblRec[طريقة الدفع],$O206)&amp;")","")&amp;IF(INDEX(tblRec[رقم الفاتورة],$O206)&amp;""&lt;&gt;""," — عن فاتورة "&amp;INDEX(tblRec[رقم الفاتورة],$O206)," — دفعة على الحساب")),IF($M206="l",INDEX(tblBuckets[الفترة],4),IF($M206="v",TEXT(SUMIFS(tblInv[المتبقي],tblInv[كود العميل],StCust,tblInv[الفترة],INDEX(tblBuckets[الفترة],4)),"#,##0.00;-#,##0.00;-"),IF($M206="t","ملخص أعمار رصيد العميل كما في "&amp;TEXT(AsOf,"dd/mm/yyyy"),IF($M206="p","يُرجى مطابقة الرصيد وإفادتنا خلال 15 يوماً، وإلا اعتُبر الرصيد صحيحاً.","")))))</f>
        <v/>
      </c>
      <c r="E206" s="119">
        <f>IF($M206="m",IF($N206&lt;&gt;"",INDEX(tblInv[الإجمالي],$N206),0),IF($M206="l",INDEX(tblBuckets[الفترة],5),IF($M206="v",TEXT(SUMIFS(tblInv[المتبقي],tblInv[كود العميل],StCust,tblInv[الفترة],INDEX(tblBuckets[الفترة],5)),"#,##0.00;-#,##0.00;-"),"")))</f>
        <v/>
      </c>
      <c r="F206" s="119">
        <f>IF($M206="m",IF($O206&lt;&gt;"",INDEX(tblRec[المبلغ],$O206),0),IF($M206="l",INDEX(tblBuckets[الفترة],6),IF($M206="v",TEXT(SUMIFS(tblInv[المتبقي],tblInv[كود العميل],StCust,tblInv[الفترة],INDEX(tblBuckets[الفترة],6)),"#,##0.00;-#,##0.00;-"),"")))</f>
        <v/>
      </c>
      <c r="G206" s="120">
        <f>IF($M206="m",N(G205)+E206-F206,IF($M206="l",INDEX(tblBuckets[الفترة],7),IF($M206="v",TEXT(SUMIFS(tblInv[المتبقي],tblInv[كود العميل],StCust,tblInv[الفترة],INDEX(tblBuckets[الفترة],7)),"#,##0.00;-#,##0.00;-"),"")))</f>
        <v/>
      </c>
      <c r="L206" t="n">
        <v>201</v>
      </c>
      <c r="M206">
        <f>IF(L206&lt;=StCount,"m",IF(L206=StCount+2,"t",IF(L206=StCount+3,"l",IF(L206=StCount+4,"v",IF(L206=StCount+6,"p","")))))</f>
        <v/>
      </c>
      <c r="N206">
        <f>IF(M206="m",IFERROR(MATCH(L206,tblInv[ترتيب الكشف],0),""),"")</f>
        <v/>
      </c>
      <c r="O206">
        <f>IF(AND(M206="m",N206=""),IFERROR(MATCH(L206,tblRec[ترتيب الكشف],0),""),"")</f>
        <v/>
      </c>
    </row>
    <row r="207">
      <c r="A207" s="117">
        <f>IF($M207="m",IF($N207&lt;&gt;"",INDEX(tblInv[تاريخ الفاتورة],$N207),INDEX(tblRec[التاريخ],$O207)),IF($M207="l",INDEX(tblBuckets[الفترة],1),IF($M207="v",TEXT(SUMIFS(tblInv[المتبقي],tblInv[كود العميل],StCust,tblInv[الفترة],INDEX(tblBuckets[الفترة],1)),"#,##0.00;-#,##0.00;-"),"")))</f>
        <v/>
      </c>
      <c r="B207" s="83">
        <f>IF($M207="m",IF($N207&lt;&gt;"","فاتورة",INDEX(tblRec[النوع],$O207)),IF($M207="l",INDEX(tblBuckets[الفترة],2),IF($M207="v",TEXT(SUMIFS(tblInv[المتبقي],tblInv[كود العميل],StCust,tblInv[الفترة],INDEX(tblBuckets[الفترة],2)),"#,##0.00;-#,##0.00;-"),"")))</f>
        <v/>
      </c>
      <c r="C207" s="83">
        <f>IF($M207="m",IF($N207&lt;&gt;"",INDEX(tblInv[رقم الفاتورة],$N207),INDEX(tblRec[رقم السند],$O207)),IF($M207="l",INDEX(tblBuckets[الفترة],3),IF($M207="v",TEXT(SUMIFS(tblInv[المتبقي],tblInv[كود العميل],StCust,tblInv[الفترة],INDEX(tblBuckets[الفترة],3)),"#,##0.00;-#,##0.00;-"),"")))</f>
        <v/>
      </c>
      <c r="D207" s="118">
        <f>IF($M207="m",IF($N207&lt;&gt;"","فاتورة مبيعات — استحقاق "&amp;TEXT(INDEX(tblInv[تاريخ الاستحقاق],$N207),"dd/mm/yyyy")&amp;IF(INDEX(tblInv[ملاحظات],$N207)&amp;""&lt;&gt;""," — "&amp;INDEX(tblInv[ملاحظات],$N207),""),INDEX(tblRec[النوع],$O207)&amp;IF(INDEX(tblRec[طريقة الدفع],$O207)&amp;""&lt;&gt;""," ("&amp;INDEX(tblRec[طريقة الدفع],$O207)&amp;")","")&amp;IF(INDEX(tblRec[رقم الفاتورة],$O207)&amp;""&lt;&gt;""," — عن فاتورة "&amp;INDEX(tblRec[رقم الفاتورة],$O207)," — دفعة على الحساب")),IF($M207="l",INDEX(tblBuckets[الفترة],4),IF($M207="v",TEXT(SUMIFS(tblInv[المتبقي],tblInv[كود العميل],StCust,tblInv[الفترة],INDEX(tblBuckets[الفترة],4)),"#,##0.00;-#,##0.00;-"),IF($M207="t","ملخص أعمار رصيد العميل كما في "&amp;TEXT(AsOf,"dd/mm/yyyy"),IF($M207="p","يُرجى مطابقة الرصيد وإفادتنا خلال 15 يوماً، وإلا اعتُبر الرصيد صحيحاً.","")))))</f>
        <v/>
      </c>
      <c r="E207" s="119">
        <f>IF($M207="m",IF($N207&lt;&gt;"",INDEX(tblInv[الإجمالي],$N207),0),IF($M207="l",INDEX(tblBuckets[الفترة],5),IF($M207="v",TEXT(SUMIFS(tblInv[المتبقي],tblInv[كود العميل],StCust,tblInv[الفترة],INDEX(tblBuckets[الفترة],5)),"#,##0.00;-#,##0.00;-"),"")))</f>
        <v/>
      </c>
      <c r="F207" s="119">
        <f>IF($M207="m",IF($O207&lt;&gt;"",INDEX(tblRec[المبلغ],$O207),0),IF($M207="l",INDEX(tblBuckets[الفترة],6),IF($M207="v",TEXT(SUMIFS(tblInv[المتبقي],tblInv[كود العميل],StCust,tblInv[الفترة],INDEX(tblBuckets[الفترة],6)),"#,##0.00;-#,##0.00;-"),"")))</f>
        <v/>
      </c>
      <c r="G207" s="120">
        <f>IF($M207="m",N(G206)+E207-F207,IF($M207="l",INDEX(tblBuckets[الفترة],7),IF($M207="v",TEXT(SUMIFS(tblInv[المتبقي],tblInv[كود العميل],StCust,tblInv[الفترة],INDEX(tblBuckets[الفترة],7)),"#,##0.00;-#,##0.00;-"),"")))</f>
        <v/>
      </c>
      <c r="L207" t="n">
        <v>202</v>
      </c>
      <c r="M207">
        <f>IF(L207&lt;=StCount,"m",IF(L207=StCount+2,"t",IF(L207=StCount+3,"l",IF(L207=StCount+4,"v",IF(L207=StCount+6,"p","")))))</f>
        <v/>
      </c>
      <c r="N207">
        <f>IF(M207="m",IFERROR(MATCH(L207,tblInv[ترتيب الكشف],0),""),"")</f>
        <v/>
      </c>
      <c r="O207">
        <f>IF(AND(M207="m",N207=""),IFERROR(MATCH(L207,tblRec[ترتيب الكشف],0),""),"")</f>
        <v/>
      </c>
    </row>
    <row r="208">
      <c r="A208" s="117">
        <f>IF($M208="m",IF($N208&lt;&gt;"",INDEX(tblInv[تاريخ الفاتورة],$N208),INDEX(tblRec[التاريخ],$O208)),IF($M208="l",INDEX(tblBuckets[الفترة],1),IF($M208="v",TEXT(SUMIFS(tblInv[المتبقي],tblInv[كود العميل],StCust,tblInv[الفترة],INDEX(tblBuckets[الفترة],1)),"#,##0.00;-#,##0.00;-"),"")))</f>
        <v/>
      </c>
      <c r="B208" s="83">
        <f>IF($M208="m",IF($N208&lt;&gt;"","فاتورة",INDEX(tblRec[النوع],$O208)),IF($M208="l",INDEX(tblBuckets[الفترة],2),IF($M208="v",TEXT(SUMIFS(tblInv[المتبقي],tblInv[كود العميل],StCust,tblInv[الفترة],INDEX(tblBuckets[الفترة],2)),"#,##0.00;-#,##0.00;-"),"")))</f>
        <v/>
      </c>
      <c r="C208" s="83">
        <f>IF($M208="m",IF($N208&lt;&gt;"",INDEX(tblInv[رقم الفاتورة],$N208),INDEX(tblRec[رقم السند],$O208)),IF($M208="l",INDEX(tblBuckets[الفترة],3),IF($M208="v",TEXT(SUMIFS(tblInv[المتبقي],tblInv[كود العميل],StCust,tblInv[الفترة],INDEX(tblBuckets[الفترة],3)),"#,##0.00;-#,##0.00;-"),"")))</f>
        <v/>
      </c>
      <c r="D208" s="118">
        <f>IF($M208="m",IF($N208&lt;&gt;"","فاتورة مبيعات — استحقاق "&amp;TEXT(INDEX(tblInv[تاريخ الاستحقاق],$N208),"dd/mm/yyyy")&amp;IF(INDEX(tblInv[ملاحظات],$N208)&amp;""&lt;&gt;""," — "&amp;INDEX(tblInv[ملاحظات],$N208),""),INDEX(tblRec[النوع],$O208)&amp;IF(INDEX(tblRec[طريقة الدفع],$O208)&amp;""&lt;&gt;""," ("&amp;INDEX(tblRec[طريقة الدفع],$O208)&amp;")","")&amp;IF(INDEX(tblRec[رقم الفاتورة],$O208)&amp;""&lt;&gt;""," — عن فاتورة "&amp;INDEX(tblRec[رقم الفاتورة],$O208)," — دفعة على الحساب")),IF($M208="l",INDEX(tblBuckets[الفترة],4),IF($M208="v",TEXT(SUMIFS(tblInv[المتبقي],tblInv[كود العميل],StCust,tblInv[الفترة],INDEX(tblBuckets[الفترة],4)),"#,##0.00;-#,##0.00;-"),IF($M208="t","ملخص أعمار رصيد العميل كما في "&amp;TEXT(AsOf,"dd/mm/yyyy"),IF($M208="p","يُرجى مطابقة الرصيد وإفادتنا خلال 15 يوماً، وإلا اعتُبر الرصيد صحيحاً.","")))))</f>
        <v/>
      </c>
      <c r="E208" s="119">
        <f>IF($M208="m",IF($N208&lt;&gt;"",INDEX(tblInv[الإجمالي],$N208),0),IF($M208="l",INDEX(tblBuckets[الفترة],5),IF($M208="v",TEXT(SUMIFS(tblInv[المتبقي],tblInv[كود العميل],StCust,tblInv[الفترة],INDEX(tblBuckets[الفترة],5)),"#,##0.00;-#,##0.00;-"),"")))</f>
        <v/>
      </c>
      <c r="F208" s="119">
        <f>IF($M208="m",IF($O208&lt;&gt;"",INDEX(tblRec[المبلغ],$O208),0),IF($M208="l",INDEX(tblBuckets[الفترة],6),IF($M208="v",TEXT(SUMIFS(tblInv[المتبقي],tblInv[كود العميل],StCust,tblInv[الفترة],INDEX(tblBuckets[الفترة],6)),"#,##0.00;-#,##0.00;-"),"")))</f>
        <v/>
      </c>
      <c r="G208" s="120">
        <f>IF($M208="m",N(G207)+E208-F208,IF($M208="l",INDEX(tblBuckets[الفترة],7),IF($M208="v",TEXT(SUMIFS(tblInv[المتبقي],tblInv[كود العميل],StCust,tblInv[الفترة],INDEX(tblBuckets[الفترة],7)),"#,##0.00;-#,##0.00;-"),"")))</f>
        <v/>
      </c>
      <c r="L208" t="n">
        <v>203</v>
      </c>
      <c r="M208">
        <f>IF(L208&lt;=StCount,"m",IF(L208=StCount+2,"t",IF(L208=StCount+3,"l",IF(L208=StCount+4,"v",IF(L208=StCount+6,"p","")))))</f>
        <v/>
      </c>
      <c r="N208">
        <f>IF(M208="m",IFERROR(MATCH(L208,tblInv[ترتيب الكشف],0),""),"")</f>
        <v/>
      </c>
      <c r="O208">
        <f>IF(AND(M208="m",N208=""),IFERROR(MATCH(L208,tblRec[ترتيب الكشف],0),""),"")</f>
        <v/>
      </c>
    </row>
    <row r="209">
      <c r="A209" s="117">
        <f>IF($M209="m",IF($N209&lt;&gt;"",INDEX(tblInv[تاريخ الفاتورة],$N209),INDEX(tblRec[التاريخ],$O209)),IF($M209="l",INDEX(tblBuckets[الفترة],1),IF($M209="v",TEXT(SUMIFS(tblInv[المتبقي],tblInv[كود العميل],StCust,tblInv[الفترة],INDEX(tblBuckets[الفترة],1)),"#,##0.00;-#,##0.00;-"),"")))</f>
        <v/>
      </c>
      <c r="B209" s="83">
        <f>IF($M209="m",IF($N209&lt;&gt;"","فاتورة",INDEX(tblRec[النوع],$O209)),IF($M209="l",INDEX(tblBuckets[الفترة],2),IF($M209="v",TEXT(SUMIFS(tblInv[المتبقي],tblInv[كود العميل],StCust,tblInv[الفترة],INDEX(tblBuckets[الفترة],2)),"#,##0.00;-#,##0.00;-"),"")))</f>
        <v/>
      </c>
      <c r="C209" s="83">
        <f>IF($M209="m",IF($N209&lt;&gt;"",INDEX(tblInv[رقم الفاتورة],$N209),INDEX(tblRec[رقم السند],$O209)),IF($M209="l",INDEX(tblBuckets[الفترة],3),IF($M209="v",TEXT(SUMIFS(tblInv[المتبقي],tblInv[كود العميل],StCust,tblInv[الفترة],INDEX(tblBuckets[الفترة],3)),"#,##0.00;-#,##0.00;-"),"")))</f>
        <v/>
      </c>
      <c r="D209" s="118">
        <f>IF($M209="m",IF($N209&lt;&gt;"","فاتورة مبيعات — استحقاق "&amp;TEXT(INDEX(tblInv[تاريخ الاستحقاق],$N209),"dd/mm/yyyy")&amp;IF(INDEX(tblInv[ملاحظات],$N209)&amp;""&lt;&gt;""," — "&amp;INDEX(tblInv[ملاحظات],$N209),""),INDEX(tblRec[النوع],$O209)&amp;IF(INDEX(tblRec[طريقة الدفع],$O209)&amp;""&lt;&gt;""," ("&amp;INDEX(tblRec[طريقة الدفع],$O209)&amp;")","")&amp;IF(INDEX(tblRec[رقم الفاتورة],$O209)&amp;""&lt;&gt;""," — عن فاتورة "&amp;INDEX(tblRec[رقم الفاتورة],$O209)," — دفعة على الحساب")),IF($M209="l",INDEX(tblBuckets[الفترة],4),IF($M209="v",TEXT(SUMIFS(tblInv[المتبقي],tblInv[كود العميل],StCust,tblInv[الفترة],INDEX(tblBuckets[الفترة],4)),"#,##0.00;-#,##0.00;-"),IF($M209="t","ملخص أعمار رصيد العميل كما في "&amp;TEXT(AsOf,"dd/mm/yyyy"),IF($M209="p","يُرجى مطابقة الرصيد وإفادتنا خلال 15 يوماً، وإلا اعتُبر الرصيد صحيحاً.","")))))</f>
        <v/>
      </c>
      <c r="E209" s="119">
        <f>IF($M209="m",IF($N209&lt;&gt;"",INDEX(tblInv[الإجمالي],$N209),0),IF($M209="l",INDEX(tblBuckets[الفترة],5),IF($M209="v",TEXT(SUMIFS(tblInv[المتبقي],tblInv[كود العميل],StCust,tblInv[الفترة],INDEX(tblBuckets[الفترة],5)),"#,##0.00;-#,##0.00;-"),"")))</f>
        <v/>
      </c>
      <c r="F209" s="119">
        <f>IF($M209="m",IF($O209&lt;&gt;"",INDEX(tblRec[المبلغ],$O209),0),IF($M209="l",INDEX(tblBuckets[الفترة],6),IF($M209="v",TEXT(SUMIFS(tblInv[المتبقي],tblInv[كود العميل],StCust,tblInv[الفترة],INDEX(tblBuckets[الفترة],6)),"#,##0.00;-#,##0.00;-"),"")))</f>
        <v/>
      </c>
      <c r="G209" s="120">
        <f>IF($M209="m",N(G208)+E209-F209,IF($M209="l",INDEX(tblBuckets[الفترة],7),IF($M209="v",TEXT(SUMIFS(tblInv[المتبقي],tblInv[كود العميل],StCust,tblInv[الفترة],INDEX(tblBuckets[الفترة],7)),"#,##0.00;-#,##0.00;-"),"")))</f>
        <v/>
      </c>
      <c r="L209" t="n">
        <v>204</v>
      </c>
      <c r="M209">
        <f>IF(L209&lt;=StCount,"m",IF(L209=StCount+2,"t",IF(L209=StCount+3,"l",IF(L209=StCount+4,"v",IF(L209=StCount+6,"p","")))))</f>
        <v/>
      </c>
      <c r="N209">
        <f>IF(M209="m",IFERROR(MATCH(L209,tblInv[ترتيب الكشف],0),""),"")</f>
        <v/>
      </c>
      <c r="O209">
        <f>IF(AND(M209="m",N209=""),IFERROR(MATCH(L209,tblRec[ترتيب الكشف],0),""),"")</f>
        <v/>
      </c>
    </row>
    <row r="210">
      <c r="A210" s="117">
        <f>IF($M210="m",IF($N210&lt;&gt;"",INDEX(tblInv[تاريخ الفاتورة],$N210),INDEX(tblRec[التاريخ],$O210)),IF($M210="l",INDEX(tblBuckets[الفترة],1),IF($M210="v",TEXT(SUMIFS(tblInv[المتبقي],tblInv[كود العميل],StCust,tblInv[الفترة],INDEX(tblBuckets[الفترة],1)),"#,##0.00;-#,##0.00;-"),"")))</f>
        <v/>
      </c>
      <c r="B210" s="83">
        <f>IF($M210="m",IF($N210&lt;&gt;"","فاتورة",INDEX(tblRec[النوع],$O210)),IF($M210="l",INDEX(tblBuckets[الفترة],2),IF($M210="v",TEXT(SUMIFS(tblInv[المتبقي],tblInv[كود العميل],StCust,tblInv[الفترة],INDEX(tblBuckets[الفترة],2)),"#,##0.00;-#,##0.00;-"),"")))</f>
        <v/>
      </c>
      <c r="C210" s="83">
        <f>IF($M210="m",IF($N210&lt;&gt;"",INDEX(tblInv[رقم الفاتورة],$N210),INDEX(tblRec[رقم السند],$O210)),IF($M210="l",INDEX(tblBuckets[الفترة],3),IF($M210="v",TEXT(SUMIFS(tblInv[المتبقي],tblInv[كود العميل],StCust,tblInv[الفترة],INDEX(tblBuckets[الفترة],3)),"#,##0.00;-#,##0.00;-"),"")))</f>
        <v/>
      </c>
      <c r="D210" s="118">
        <f>IF($M210="m",IF($N210&lt;&gt;"","فاتورة مبيعات — استحقاق "&amp;TEXT(INDEX(tblInv[تاريخ الاستحقاق],$N210),"dd/mm/yyyy")&amp;IF(INDEX(tblInv[ملاحظات],$N210)&amp;""&lt;&gt;""," — "&amp;INDEX(tblInv[ملاحظات],$N210),""),INDEX(tblRec[النوع],$O210)&amp;IF(INDEX(tblRec[طريقة الدفع],$O210)&amp;""&lt;&gt;""," ("&amp;INDEX(tblRec[طريقة الدفع],$O210)&amp;")","")&amp;IF(INDEX(tblRec[رقم الفاتورة],$O210)&amp;""&lt;&gt;""," — عن فاتورة "&amp;INDEX(tblRec[رقم الفاتورة],$O210)," — دفعة على الحساب")),IF($M210="l",INDEX(tblBuckets[الفترة],4),IF($M210="v",TEXT(SUMIFS(tblInv[المتبقي],tblInv[كود العميل],StCust,tblInv[الفترة],INDEX(tblBuckets[الفترة],4)),"#,##0.00;-#,##0.00;-"),IF($M210="t","ملخص أعمار رصيد العميل كما في "&amp;TEXT(AsOf,"dd/mm/yyyy"),IF($M210="p","يُرجى مطابقة الرصيد وإفادتنا خلال 15 يوماً، وإلا اعتُبر الرصيد صحيحاً.","")))))</f>
        <v/>
      </c>
      <c r="E210" s="119">
        <f>IF($M210="m",IF($N210&lt;&gt;"",INDEX(tblInv[الإجمالي],$N210),0),IF($M210="l",INDEX(tblBuckets[الفترة],5),IF($M210="v",TEXT(SUMIFS(tblInv[المتبقي],tblInv[كود العميل],StCust,tblInv[الفترة],INDEX(tblBuckets[الفترة],5)),"#,##0.00;-#,##0.00;-"),"")))</f>
        <v/>
      </c>
      <c r="F210" s="119">
        <f>IF($M210="m",IF($O210&lt;&gt;"",INDEX(tblRec[المبلغ],$O210),0),IF($M210="l",INDEX(tblBuckets[الفترة],6),IF($M210="v",TEXT(SUMIFS(tblInv[المتبقي],tblInv[كود العميل],StCust,tblInv[الفترة],INDEX(tblBuckets[الفترة],6)),"#,##0.00;-#,##0.00;-"),"")))</f>
        <v/>
      </c>
      <c r="G210" s="120">
        <f>IF($M210="m",N(G209)+E210-F210,IF($M210="l",INDEX(tblBuckets[الفترة],7),IF($M210="v",TEXT(SUMIFS(tblInv[المتبقي],tblInv[كود العميل],StCust,tblInv[الفترة],INDEX(tblBuckets[الفترة],7)),"#,##0.00;-#,##0.00;-"),"")))</f>
        <v/>
      </c>
      <c r="L210" t="n">
        <v>205</v>
      </c>
      <c r="M210">
        <f>IF(L210&lt;=StCount,"m",IF(L210=StCount+2,"t",IF(L210=StCount+3,"l",IF(L210=StCount+4,"v",IF(L210=StCount+6,"p","")))))</f>
        <v/>
      </c>
      <c r="N210">
        <f>IF(M210="m",IFERROR(MATCH(L210,tblInv[ترتيب الكشف],0),""),"")</f>
        <v/>
      </c>
      <c r="O210">
        <f>IF(AND(M210="m",N210=""),IFERROR(MATCH(L210,tblRec[ترتيب الكشف],0),""),"")</f>
        <v/>
      </c>
    </row>
    <row r="211">
      <c r="A211" s="117">
        <f>IF($M211="m",IF($N211&lt;&gt;"",INDEX(tblInv[تاريخ الفاتورة],$N211),INDEX(tblRec[التاريخ],$O211)),IF($M211="l",INDEX(tblBuckets[الفترة],1),IF($M211="v",TEXT(SUMIFS(tblInv[المتبقي],tblInv[كود العميل],StCust,tblInv[الفترة],INDEX(tblBuckets[الفترة],1)),"#,##0.00;-#,##0.00;-"),"")))</f>
        <v/>
      </c>
      <c r="B211" s="83">
        <f>IF($M211="m",IF($N211&lt;&gt;"","فاتورة",INDEX(tblRec[النوع],$O211)),IF($M211="l",INDEX(tblBuckets[الفترة],2),IF($M211="v",TEXT(SUMIFS(tblInv[المتبقي],tblInv[كود العميل],StCust,tblInv[الفترة],INDEX(tblBuckets[الفترة],2)),"#,##0.00;-#,##0.00;-"),"")))</f>
        <v/>
      </c>
      <c r="C211" s="83">
        <f>IF($M211="m",IF($N211&lt;&gt;"",INDEX(tblInv[رقم الفاتورة],$N211),INDEX(tblRec[رقم السند],$O211)),IF($M211="l",INDEX(tblBuckets[الفترة],3),IF($M211="v",TEXT(SUMIFS(tblInv[المتبقي],tblInv[كود العميل],StCust,tblInv[الفترة],INDEX(tblBuckets[الفترة],3)),"#,##0.00;-#,##0.00;-"),"")))</f>
        <v/>
      </c>
      <c r="D211" s="118">
        <f>IF($M211="m",IF($N211&lt;&gt;"","فاتورة مبيعات — استحقاق "&amp;TEXT(INDEX(tblInv[تاريخ الاستحقاق],$N211),"dd/mm/yyyy")&amp;IF(INDEX(tblInv[ملاحظات],$N211)&amp;""&lt;&gt;""," — "&amp;INDEX(tblInv[ملاحظات],$N211),""),INDEX(tblRec[النوع],$O211)&amp;IF(INDEX(tblRec[طريقة الدفع],$O211)&amp;""&lt;&gt;""," ("&amp;INDEX(tblRec[طريقة الدفع],$O211)&amp;")","")&amp;IF(INDEX(tblRec[رقم الفاتورة],$O211)&amp;""&lt;&gt;""," — عن فاتورة "&amp;INDEX(tblRec[رقم الفاتورة],$O211)," — دفعة على الحساب")),IF($M211="l",INDEX(tblBuckets[الفترة],4),IF($M211="v",TEXT(SUMIFS(tblInv[المتبقي],tblInv[كود العميل],StCust,tblInv[الفترة],INDEX(tblBuckets[الفترة],4)),"#,##0.00;-#,##0.00;-"),IF($M211="t","ملخص أعمار رصيد العميل كما في "&amp;TEXT(AsOf,"dd/mm/yyyy"),IF($M211="p","يُرجى مطابقة الرصيد وإفادتنا خلال 15 يوماً، وإلا اعتُبر الرصيد صحيحاً.","")))))</f>
        <v/>
      </c>
      <c r="E211" s="119">
        <f>IF($M211="m",IF($N211&lt;&gt;"",INDEX(tblInv[الإجمالي],$N211),0),IF($M211="l",INDEX(tblBuckets[الفترة],5),IF($M211="v",TEXT(SUMIFS(tblInv[المتبقي],tblInv[كود العميل],StCust,tblInv[الفترة],INDEX(tblBuckets[الفترة],5)),"#,##0.00;-#,##0.00;-"),"")))</f>
        <v/>
      </c>
      <c r="F211" s="119">
        <f>IF($M211="m",IF($O211&lt;&gt;"",INDEX(tblRec[المبلغ],$O211),0),IF($M211="l",INDEX(tblBuckets[الفترة],6),IF($M211="v",TEXT(SUMIFS(tblInv[المتبقي],tblInv[كود العميل],StCust,tblInv[الفترة],INDEX(tblBuckets[الفترة],6)),"#,##0.00;-#,##0.00;-"),"")))</f>
        <v/>
      </c>
      <c r="G211" s="120">
        <f>IF($M211="m",N(G210)+E211-F211,IF($M211="l",INDEX(tblBuckets[الفترة],7),IF($M211="v",TEXT(SUMIFS(tblInv[المتبقي],tblInv[كود العميل],StCust,tblInv[الفترة],INDEX(tblBuckets[الفترة],7)),"#,##0.00;-#,##0.00;-"),"")))</f>
        <v/>
      </c>
      <c r="L211" t="n">
        <v>206</v>
      </c>
      <c r="M211">
        <f>IF(L211&lt;=StCount,"m",IF(L211=StCount+2,"t",IF(L211=StCount+3,"l",IF(L211=StCount+4,"v",IF(L211=StCount+6,"p","")))))</f>
        <v/>
      </c>
      <c r="N211">
        <f>IF(M211="m",IFERROR(MATCH(L211,tblInv[ترتيب الكشف],0),""),"")</f>
        <v/>
      </c>
      <c r="O211">
        <f>IF(AND(M211="m",N211=""),IFERROR(MATCH(L211,tblRec[ترتيب الكشف],0),""),"")</f>
        <v/>
      </c>
    </row>
    <row r="212">
      <c r="A212" s="117">
        <f>IF($M212="m",IF($N212&lt;&gt;"",INDEX(tblInv[تاريخ الفاتورة],$N212),INDEX(tblRec[التاريخ],$O212)),IF($M212="l",INDEX(tblBuckets[الفترة],1),IF($M212="v",TEXT(SUMIFS(tblInv[المتبقي],tblInv[كود العميل],StCust,tblInv[الفترة],INDEX(tblBuckets[الفترة],1)),"#,##0.00;-#,##0.00;-"),"")))</f>
        <v/>
      </c>
      <c r="B212" s="83">
        <f>IF($M212="m",IF($N212&lt;&gt;"","فاتورة",INDEX(tblRec[النوع],$O212)),IF($M212="l",INDEX(tblBuckets[الفترة],2),IF($M212="v",TEXT(SUMIFS(tblInv[المتبقي],tblInv[كود العميل],StCust,tblInv[الفترة],INDEX(tblBuckets[الفترة],2)),"#,##0.00;-#,##0.00;-"),"")))</f>
        <v/>
      </c>
      <c r="C212" s="83">
        <f>IF($M212="m",IF($N212&lt;&gt;"",INDEX(tblInv[رقم الفاتورة],$N212),INDEX(tblRec[رقم السند],$O212)),IF($M212="l",INDEX(tblBuckets[الفترة],3),IF($M212="v",TEXT(SUMIFS(tblInv[المتبقي],tblInv[كود العميل],StCust,tblInv[الفترة],INDEX(tblBuckets[الفترة],3)),"#,##0.00;-#,##0.00;-"),"")))</f>
        <v/>
      </c>
      <c r="D212" s="118">
        <f>IF($M212="m",IF($N212&lt;&gt;"","فاتورة مبيعات — استحقاق "&amp;TEXT(INDEX(tblInv[تاريخ الاستحقاق],$N212),"dd/mm/yyyy")&amp;IF(INDEX(tblInv[ملاحظات],$N212)&amp;""&lt;&gt;""," — "&amp;INDEX(tblInv[ملاحظات],$N212),""),INDEX(tblRec[النوع],$O212)&amp;IF(INDEX(tblRec[طريقة الدفع],$O212)&amp;""&lt;&gt;""," ("&amp;INDEX(tblRec[طريقة الدفع],$O212)&amp;")","")&amp;IF(INDEX(tblRec[رقم الفاتورة],$O212)&amp;""&lt;&gt;""," — عن فاتورة "&amp;INDEX(tblRec[رقم الفاتورة],$O212)," — دفعة على الحساب")),IF($M212="l",INDEX(tblBuckets[الفترة],4),IF($M212="v",TEXT(SUMIFS(tblInv[المتبقي],tblInv[كود العميل],StCust,tblInv[الفترة],INDEX(tblBuckets[الفترة],4)),"#,##0.00;-#,##0.00;-"),IF($M212="t","ملخص أعمار رصيد العميل كما في "&amp;TEXT(AsOf,"dd/mm/yyyy"),IF($M212="p","يُرجى مطابقة الرصيد وإفادتنا خلال 15 يوماً، وإلا اعتُبر الرصيد صحيحاً.","")))))</f>
        <v/>
      </c>
      <c r="E212" s="119">
        <f>IF($M212="m",IF($N212&lt;&gt;"",INDEX(tblInv[الإجمالي],$N212),0),IF($M212="l",INDEX(tblBuckets[الفترة],5),IF($M212="v",TEXT(SUMIFS(tblInv[المتبقي],tblInv[كود العميل],StCust,tblInv[الفترة],INDEX(tblBuckets[الفترة],5)),"#,##0.00;-#,##0.00;-"),"")))</f>
        <v/>
      </c>
      <c r="F212" s="119">
        <f>IF($M212="m",IF($O212&lt;&gt;"",INDEX(tblRec[المبلغ],$O212),0),IF($M212="l",INDEX(tblBuckets[الفترة],6),IF($M212="v",TEXT(SUMIFS(tblInv[المتبقي],tblInv[كود العميل],StCust,tblInv[الفترة],INDEX(tblBuckets[الفترة],6)),"#,##0.00;-#,##0.00;-"),"")))</f>
        <v/>
      </c>
      <c r="G212" s="120">
        <f>IF($M212="m",N(G211)+E212-F212,IF($M212="l",INDEX(tblBuckets[الفترة],7),IF($M212="v",TEXT(SUMIFS(tblInv[المتبقي],tblInv[كود العميل],StCust,tblInv[الفترة],INDEX(tblBuckets[الفترة],7)),"#,##0.00;-#,##0.00;-"),"")))</f>
        <v/>
      </c>
      <c r="L212" t="n">
        <v>207</v>
      </c>
      <c r="M212">
        <f>IF(L212&lt;=StCount,"m",IF(L212=StCount+2,"t",IF(L212=StCount+3,"l",IF(L212=StCount+4,"v",IF(L212=StCount+6,"p","")))))</f>
        <v/>
      </c>
      <c r="N212">
        <f>IF(M212="m",IFERROR(MATCH(L212,tblInv[ترتيب الكشف],0),""),"")</f>
        <v/>
      </c>
      <c r="O212">
        <f>IF(AND(M212="m",N212=""),IFERROR(MATCH(L212,tblRec[ترتيب الكشف],0),""),"")</f>
        <v/>
      </c>
    </row>
    <row r="213">
      <c r="A213" s="117">
        <f>IF($M213="m",IF($N213&lt;&gt;"",INDEX(tblInv[تاريخ الفاتورة],$N213),INDEX(tblRec[التاريخ],$O213)),IF($M213="l",INDEX(tblBuckets[الفترة],1),IF($M213="v",TEXT(SUMIFS(tblInv[المتبقي],tblInv[كود العميل],StCust,tblInv[الفترة],INDEX(tblBuckets[الفترة],1)),"#,##0.00;-#,##0.00;-"),"")))</f>
        <v/>
      </c>
      <c r="B213" s="83">
        <f>IF($M213="m",IF($N213&lt;&gt;"","فاتورة",INDEX(tblRec[النوع],$O213)),IF($M213="l",INDEX(tblBuckets[الفترة],2),IF($M213="v",TEXT(SUMIFS(tblInv[المتبقي],tblInv[كود العميل],StCust,tblInv[الفترة],INDEX(tblBuckets[الفترة],2)),"#,##0.00;-#,##0.00;-"),"")))</f>
        <v/>
      </c>
      <c r="C213" s="83">
        <f>IF($M213="m",IF($N213&lt;&gt;"",INDEX(tblInv[رقم الفاتورة],$N213),INDEX(tblRec[رقم السند],$O213)),IF($M213="l",INDEX(tblBuckets[الفترة],3),IF($M213="v",TEXT(SUMIFS(tblInv[المتبقي],tblInv[كود العميل],StCust,tblInv[الفترة],INDEX(tblBuckets[الفترة],3)),"#,##0.00;-#,##0.00;-"),"")))</f>
        <v/>
      </c>
      <c r="D213" s="118">
        <f>IF($M213="m",IF($N213&lt;&gt;"","فاتورة مبيعات — استحقاق "&amp;TEXT(INDEX(tblInv[تاريخ الاستحقاق],$N213),"dd/mm/yyyy")&amp;IF(INDEX(tblInv[ملاحظات],$N213)&amp;""&lt;&gt;""," — "&amp;INDEX(tblInv[ملاحظات],$N213),""),INDEX(tblRec[النوع],$O213)&amp;IF(INDEX(tblRec[طريقة الدفع],$O213)&amp;""&lt;&gt;""," ("&amp;INDEX(tblRec[طريقة الدفع],$O213)&amp;")","")&amp;IF(INDEX(tblRec[رقم الفاتورة],$O213)&amp;""&lt;&gt;""," — عن فاتورة "&amp;INDEX(tblRec[رقم الفاتورة],$O213)," — دفعة على الحساب")),IF($M213="l",INDEX(tblBuckets[الفترة],4),IF($M213="v",TEXT(SUMIFS(tblInv[المتبقي],tblInv[كود العميل],StCust,tblInv[الفترة],INDEX(tblBuckets[الفترة],4)),"#,##0.00;-#,##0.00;-"),IF($M213="t","ملخص أعمار رصيد العميل كما في "&amp;TEXT(AsOf,"dd/mm/yyyy"),IF($M213="p","يُرجى مطابقة الرصيد وإفادتنا خلال 15 يوماً، وإلا اعتُبر الرصيد صحيحاً.","")))))</f>
        <v/>
      </c>
      <c r="E213" s="119">
        <f>IF($M213="m",IF($N213&lt;&gt;"",INDEX(tblInv[الإجمالي],$N213),0),IF($M213="l",INDEX(tblBuckets[الفترة],5),IF($M213="v",TEXT(SUMIFS(tblInv[المتبقي],tblInv[كود العميل],StCust,tblInv[الفترة],INDEX(tblBuckets[الفترة],5)),"#,##0.00;-#,##0.00;-"),"")))</f>
        <v/>
      </c>
      <c r="F213" s="119">
        <f>IF($M213="m",IF($O213&lt;&gt;"",INDEX(tblRec[المبلغ],$O213),0),IF($M213="l",INDEX(tblBuckets[الفترة],6),IF($M213="v",TEXT(SUMIFS(tblInv[المتبقي],tblInv[كود العميل],StCust,tblInv[الفترة],INDEX(tblBuckets[الفترة],6)),"#,##0.00;-#,##0.00;-"),"")))</f>
        <v/>
      </c>
      <c r="G213" s="120">
        <f>IF($M213="m",N(G212)+E213-F213,IF($M213="l",INDEX(tblBuckets[الفترة],7),IF($M213="v",TEXT(SUMIFS(tblInv[المتبقي],tblInv[كود العميل],StCust,tblInv[الفترة],INDEX(tblBuckets[الفترة],7)),"#,##0.00;-#,##0.00;-"),"")))</f>
        <v/>
      </c>
      <c r="L213" t="n">
        <v>208</v>
      </c>
      <c r="M213">
        <f>IF(L213&lt;=StCount,"m",IF(L213=StCount+2,"t",IF(L213=StCount+3,"l",IF(L213=StCount+4,"v",IF(L213=StCount+6,"p","")))))</f>
        <v/>
      </c>
      <c r="N213">
        <f>IF(M213="m",IFERROR(MATCH(L213,tblInv[ترتيب الكشف],0),""),"")</f>
        <v/>
      </c>
      <c r="O213">
        <f>IF(AND(M213="m",N213=""),IFERROR(MATCH(L213,tblRec[ترتيب الكشف],0),""),"")</f>
        <v/>
      </c>
    </row>
    <row r="214">
      <c r="A214" s="117">
        <f>IF($M214="m",IF($N214&lt;&gt;"",INDEX(tblInv[تاريخ الفاتورة],$N214),INDEX(tblRec[التاريخ],$O214)),IF($M214="l",INDEX(tblBuckets[الفترة],1),IF($M214="v",TEXT(SUMIFS(tblInv[المتبقي],tblInv[كود العميل],StCust,tblInv[الفترة],INDEX(tblBuckets[الفترة],1)),"#,##0.00;-#,##0.00;-"),"")))</f>
        <v/>
      </c>
      <c r="B214" s="83">
        <f>IF($M214="m",IF($N214&lt;&gt;"","فاتورة",INDEX(tblRec[النوع],$O214)),IF($M214="l",INDEX(tblBuckets[الفترة],2),IF($M214="v",TEXT(SUMIFS(tblInv[المتبقي],tblInv[كود العميل],StCust,tblInv[الفترة],INDEX(tblBuckets[الفترة],2)),"#,##0.00;-#,##0.00;-"),"")))</f>
        <v/>
      </c>
      <c r="C214" s="83">
        <f>IF($M214="m",IF($N214&lt;&gt;"",INDEX(tblInv[رقم الفاتورة],$N214),INDEX(tblRec[رقم السند],$O214)),IF($M214="l",INDEX(tblBuckets[الفترة],3),IF($M214="v",TEXT(SUMIFS(tblInv[المتبقي],tblInv[كود العميل],StCust,tblInv[الفترة],INDEX(tblBuckets[الفترة],3)),"#,##0.00;-#,##0.00;-"),"")))</f>
        <v/>
      </c>
      <c r="D214" s="118">
        <f>IF($M214="m",IF($N214&lt;&gt;"","فاتورة مبيعات — استحقاق "&amp;TEXT(INDEX(tblInv[تاريخ الاستحقاق],$N214),"dd/mm/yyyy")&amp;IF(INDEX(tblInv[ملاحظات],$N214)&amp;""&lt;&gt;""," — "&amp;INDEX(tblInv[ملاحظات],$N214),""),INDEX(tblRec[النوع],$O214)&amp;IF(INDEX(tblRec[طريقة الدفع],$O214)&amp;""&lt;&gt;""," ("&amp;INDEX(tblRec[طريقة الدفع],$O214)&amp;")","")&amp;IF(INDEX(tblRec[رقم الفاتورة],$O214)&amp;""&lt;&gt;""," — عن فاتورة "&amp;INDEX(tblRec[رقم الفاتورة],$O214)," — دفعة على الحساب")),IF($M214="l",INDEX(tblBuckets[الفترة],4),IF($M214="v",TEXT(SUMIFS(tblInv[المتبقي],tblInv[كود العميل],StCust,tblInv[الفترة],INDEX(tblBuckets[الفترة],4)),"#,##0.00;-#,##0.00;-"),IF($M214="t","ملخص أعمار رصيد العميل كما في "&amp;TEXT(AsOf,"dd/mm/yyyy"),IF($M214="p","يُرجى مطابقة الرصيد وإفادتنا خلال 15 يوماً، وإلا اعتُبر الرصيد صحيحاً.","")))))</f>
        <v/>
      </c>
      <c r="E214" s="119">
        <f>IF($M214="m",IF($N214&lt;&gt;"",INDEX(tblInv[الإجمالي],$N214),0),IF($M214="l",INDEX(tblBuckets[الفترة],5),IF($M214="v",TEXT(SUMIFS(tblInv[المتبقي],tblInv[كود العميل],StCust,tblInv[الفترة],INDEX(tblBuckets[الفترة],5)),"#,##0.00;-#,##0.00;-"),"")))</f>
        <v/>
      </c>
      <c r="F214" s="119">
        <f>IF($M214="m",IF($O214&lt;&gt;"",INDEX(tblRec[المبلغ],$O214),0),IF($M214="l",INDEX(tblBuckets[الفترة],6),IF($M214="v",TEXT(SUMIFS(tblInv[المتبقي],tblInv[كود العميل],StCust,tblInv[الفترة],INDEX(tblBuckets[الفترة],6)),"#,##0.00;-#,##0.00;-"),"")))</f>
        <v/>
      </c>
      <c r="G214" s="120">
        <f>IF($M214="m",N(G213)+E214-F214,IF($M214="l",INDEX(tblBuckets[الفترة],7),IF($M214="v",TEXT(SUMIFS(tblInv[المتبقي],tblInv[كود العميل],StCust,tblInv[الفترة],INDEX(tblBuckets[الفترة],7)),"#,##0.00;-#,##0.00;-"),"")))</f>
        <v/>
      </c>
      <c r="L214" t="n">
        <v>209</v>
      </c>
      <c r="M214">
        <f>IF(L214&lt;=StCount,"m",IF(L214=StCount+2,"t",IF(L214=StCount+3,"l",IF(L214=StCount+4,"v",IF(L214=StCount+6,"p","")))))</f>
        <v/>
      </c>
      <c r="N214">
        <f>IF(M214="m",IFERROR(MATCH(L214,tblInv[ترتيب الكشف],0),""),"")</f>
        <v/>
      </c>
      <c r="O214">
        <f>IF(AND(M214="m",N214=""),IFERROR(MATCH(L214,tblRec[ترتيب الكشف],0),""),"")</f>
        <v/>
      </c>
    </row>
    <row r="215">
      <c r="A215" s="117">
        <f>IF($M215="m",IF($N215&lt;&gt;"",INDEX(tblInv[تاريخ الفاتورة],$N215),INDEX(tblRec[التاريخ],$O215)),IF($M215="l",INDEX(tblBuckets[الفترة],1),IF($M215="v",TEXT(SUMIFS(tblInv[المتبقي],tblInv[كود العميل],StCust,tblInv[الفترة],INDEX(tblBuckets[الفترة],1)),"#,##0.00;-#,##0.00;-"),"")))</f>
        <v/>
      </c>
      <c r="B215" s="83">
        <f>IF($M215="m",IF($N215&lt;&gt;"","فاتورة",INDEX(tblRec[النوع],$O215)),IF($M215="l",INDEX(tblBuckets[الفترة],2),IF($M215="v",TEXT(SUMIFS(tblInv[المتبقي],tblInv[كود العميل],StCust,tblInv[الفترة],INDEX(tblBuckets[الفترة],2)),"#,##0.00;-#,##0.00;-"),"")))</f>
        <v/>
      </c>
      <c r="C215" s="83">
        <f>IF($M215="m",IF($N215&lt;&gt;"",INDEX(tblInv[رقم الفاتورة],$N215),INDEX(tblRec[رقم السند],$O215)),IF($M215="l",INDEX(tblBuckets[الفترة],3),IF($M215="v",TEXT(SUMIFS(tblInv[المتبقي],tblInv[كود العميل],StCust,tblInv[الفترة],INDEX(tblBuckets[الفترة],3)),"#,##0.00;-#,##0.00;-"),"")))</f>
        <v/>
      </c>
      <c r="D215" s="118">
        <f>IF($M215="m",IF($N215&lt;&gt;"","فاتورة مبيعات — استحقاق "&amp;TEXT(INDEX(tblInv[تاريخ الاستحقاق],$N215),"dd/mm/yyyy")&amp;IF(INDEX(tblInv[ملاحظات],$N215)&amp;""&lt;&gt;""," — "&amp;INDEX(tblInv[ملاحظات],$N215),""),INDEX(tblRec[النوع],$O215)&amp;IF(INDEX(tblRec[طريقة الدفع],$O215)&amp;""&lt;&gt;""," ("&amp;INDEX(tblRec[طريقة الدفع],$O215)&amp;")","")&amp;IF(INDEX(tblRec[رقم الفاتورة],$O215)&amp;""&lt;&gt;""," — عن فاتورة "&amp;INDEX(tblRec[رقم الفاتورة],$O215)," — دفعة على الحساب")),IF($M215="l",INDEX(tblBuckets[الفترة],4),IF($M215="v",TEXT(SUMIFS(tblInv[المتبقي],tblInv[كود العميل],StCust,tblInv[الفترة],INDEX(tblBuckets[الفترة],4)),"#,##0.00;-#,##0.00;-"),IF($M215="t","ملخص أعمار رصيد العميل كما في "&amp;TEXT(AsOf,"dd/mm/yyyy"),IF($M215="p","يُرجى مطابقة الرصيد وإفادتنا خلال 15 يوماً، وإلا اعتُبر الرصيد صحيحاً.","")))))</f>
        <v/>
      </c>
      <c r="E215" s="119">
        <f>IF($M215="m",IF($N215&lt;&gt;"",INDEX(tblInv[الإجمالي],$N215),0),IF($M215="l",INDEX(tblBuckets[الفترة],5),IF($M215="v",TEXT(SUMIFS(tblInv[المتبقي],tblInv[كود العميل],StCust,tblInv[الفترة],INDEX(tblBuckets[الفترة],5)),"#,##0.00;-#,##0.00;-"),"")))</f>
        <v/>
      </c>
      <c r="F215" s="119">
        <f>IF($M215="m",IF($O215&lt;&gt;"",INDEX(tblRec[المبلغ],$O215),0),IF($M215="l",INDEX(tblBuckets[الفترة],6),IF($M215="v",TEXT(SUMIFS(tblInv[المتبقي],tblInv[كود العميل],StCust,tblInv[الفترة],INDEX(tblBuckets[الفترة],6)),"#,##0.00;-#,##0.00;-"),"")))</f>
        <v/>
      </c>
      <c r="G215" s="120">
        <f>IF($M215="m",N(G214)+E215-F215,IF($M215="l",INDEX(tblBuckets[الفترة],7),IF($M215="v",TEXT(SUMIFS(tblInv[المتبقي],tblInv[كود العميل],StCust,tblInv[الفترة],INDEX(tblBuckets[الفترة],7)),"#,##0.00;-#,##0.00;-"),"")))</f>
        <v/>
      </c>
      <c r="L215" t="n">
        <v>210</v>
      </c>
      <c r="M215">
        <f>IF(L215&lt;=StCount,"m",IF(L215=StCount+2,"t",IF(L215=StCount+3,"l",IF(L215=StCount+4,"v",IF(L215=StCount+6,"p","")))))</f>
        <v/>
      </c>
      <c r="N215">
        <f>IF(M215="m",IFERROR(MATCH(L215,tblInv[ترتيب الكشف],0),""),"")</f>
        <v/>
      </c>
      <c r="O215">
        <f>IF(AND(M215="m",N215=""),IFERROR(MATCH(L215,tblRec[ترتيب الكشف],0),""),"")</f>
        <v/>
      </c>
    </row>
    <row r="216">
      <c r="A216" s="117">
        <f>IF($M216="m",IF($N216&lt;&gt;"",INDEX(tblInv[تاريخ الفاتورة],$N216),INDEX(tblRec[التاريخ],$O216)),IF($M216="l",INDEX(tblBuckets[الفترة],1),IF($M216="v",TEXT(SUMIFS(tblInv[المتبقي],tblInv[كود العميل],StCust,tblInv[الفترة],INDEX(tblBuckets[الفترة],1)),"#,##0.00;-#,##0.00;-"),"")))</f>
        <v/>
      </c>
      <c r="B216" s="83">
        <f>IF($M216="m",IF($N216&lt;&gt;"","فاتورة",INDEX(tblRec[النوع],$O216)),IF($M216="l",INDEX(tblBuckets[الفترة],2),IF($M216="v",TEXT(SUMIFS(tblInv[المتبقي],tblInv[كود العميل],StCust,tblInv[الفترة],INDEX(tblBuckets[الفترة],2)),"#,##0.00;-#,##0.00;-"),"")))</f>
        <v/>
      </c>
      <c r="C216" s="83">
        <f>IF($M216="m",IF($N216&lt;&gt;"",INDEX(tblInv[رقم الفاتورة],$N216),INDEX(tblRec[رقم السند],$O216)),IF($M216="l",INDEX(tblBuckets[الفترة],3),IF($M216="v",TEXT(SUMIFS(tblInv[المتبقي],tblInv[كود العميل],StCust,tblInv[الفترة],INDEX(tblBuckets[الفترة],3)),"#,##0.00;-#,##0.00;-"),"")))</f>
        <v/>
      </c>
      <c r="D216" s="118">
        <f>IF($M216="m",IF($N216&lt;&gt;"","فاتورة مبيعات — استحقاق "&amp;TEXT(INDEX(tblInv[تاريخ الاستحقاق],$N216),"dd/mm/yyyy")&amp;IF(INDEX(tblInv[ملاحظات],$N216)&amp;""&lt;&gt;""," — "&amp;INDEX(tblInv[ملاحظات],$N216),""),INDEX(tblRec[النوع],$O216)&amp;IF(INDEX(tblRec[طريقة الدفع],$O216)&amp;""&lt;&gt;""," ("&amp;INDEX(tblRec[طريقة الدفع],$O216)&amp;")","")&amp;IF(INDEX(tblRec[رقم الفاتورة],$O216)&amp;""&lt;&gt;""," — عن فاتورة "&amp;INDEX(tblRec[رقم الفاتورة],$O216)," — دفعة على الحساب")),IF($M216="l",INDEX(tblBuckets[الفترة],4),IF($M216="v",TEXT(SUMIFS(tblInv[المتبقي],tblInv[كود العميل],StCust,tblInv[الفترة],INDEX(tblBuckets[الفترة],4)),"#,##0.00;-#,##0.00;-"),IF($M216="t","ملخص أعمار رصيد العميل كما في "&amp;TEXT(AsOf,"dd/mm/yyyy"),IF($M216="p","يُرجى مطابقة الرصيد وإفادتنا خلال 15 يوماً، وإلا اعتُبر الرصيد صحيحاً.","")))))</f>
        <v/>
      </c>
      <c r="E216" s="119">
        <f>IF($M216="m",IF($N216&lt;&gt;"",INDEX(tblInv[الإجمالي],$N216),0),IF($M216="l",INDEX(tblBuckets[الفترة],5),IF($M216="v",TEXT(SUMIFS(tblInv[المتبقي],tblInv[كود العميل],StCust,tblInv[الفترة],INDEX(tblBuckets[الفترة],5)),"#,##0.00;-#,##0.00;-"),"")))</f>
        <v/>
      </c>
      <c r="F216" s="119">
        <f>IF($M216="m",IF($O216&lt;&gt;"",INDEX(tblRec[المبلغ],$O216),0),IF($M216="l",INDEX(tblBuckets[الفترة],6),IF($M216="v",TEXT(SUMIFS(tblInv[المتبقي],tblInv[كود العميل],StCust,tblInv[الفترة],INDEX(tblBuckets[الفترة],6)),"#,##0.00;-#,##0.00;-"),"")))</f>
        <v/>
      </c>
      <c r="G216" s="120">
        <f>IF($M216="m",N(G215)+E216-F216,IF($M216="l",INDEX(tblBuckets[الفترة],7),IF($M216="v",TEXT(SUMIFS(tblInv[المتبقي],tblInv[كود العميل],StCust,tblInv[الفترة],INDEX(tblBuckets[الفترة],7)),"#,##0.00;-#,##0.00;-"),"")))</f>
        <v/>
      </c>
      <c r="L216" t="n">
        <v>211</v>
      </c>
      <c r="M216">
        <f>IF(L216&lt;=StCount,"m",IF(L216=StCount+2,"t",IF(L216=StCount+3,"l",IF(L216=StCount+4,"v",IF(L216=StCount+6,"p","")))))</f>
        <v/>
      </c>
      <c r="N216">
        <f>IF(M216="m",IFERROR(MATCH(L216,tblInv[ترتيب الكشف],0),""),"")</f>
        <v/>
      </c>
      <c r="O216">
        <f>IF(AND(M216="m",N216=""),IFERROR(MATCH(L216,tblRec[ترتيب الكشف],0),""),"")</f>
        <v/>
      </c>
    </row>
    <row r="217">
      <c r="A217" s="117">
        <f>IF($M217="m",IF($N217&lt;&gt;"",INDEX(tblInv[تاريخ الفاتورة],$N217),INDEX(tblRec[التاريخ],$O217)),IF($M217="l",INDEX(tblBuckets[الفترة],1),IF($M217="v",TEXT(SUMIFS(tblInv[المتبقي],tblInv[كود العميل],StCust,tblInv[الفترة],INDEX(tblBuckets[الفترة],1)),"#,##0.00;-#,##0.00;-"),"")))</f>
        <v/>
      </c>
      <c r="B217" s="83">
        <f>IF($M217="m",IF($N217&lt;&gt;"","فاتورة",INDEX(tblRec[النوع],$O217)),IF($M217="l",INDEX(tblBuckets[الفترة],2),IF($M217="v",TEXT(SUMIFS(tblInv[المتبقي],tblInv[كود العميل],StCust,tblInv[الفترة],INDEX(tblBuckets[الفترة],2)),"#,##0.00;-#,##0.00;-"),"")))</f>
        <v/>
      </c>
      <c r="C217" s="83">
        <f>IF($M217="m",IF($N217&lt;&gt;"",INDEX(tblInv[رقم الفاتورة],$N217),INDEX(tblRec[رقم السند],$O217)),IF($M217="l",INDEX(tblBuckets[الفترة],3),IF($M217="v",TEXT(SUMIFS(tblInv[المتبقي],tblInv[كود العميل],StCust,tblInv[الفترة],INDEX(tblBuckets[الفترة],3)),"#,##0.00;-#,##0.00;-"),"")))</f>
        <v/>
      </c>
      <c r="D217" s="118">
        <f>IF($M217="m",IF($N217&lt;&gt;"","فاتورة مبيعات — استحقاق "&amp;TEXT(INDEX(tblInv[تاريخ الاستحقاق],$N217),"dd/mm/yyyy")&amp;IF(INDEX(tblInv[ملاحظات],$N217)&amp;""&lt;&gt;""," — "&amp;INDEX(tblInv[ملاحظات],$N217),""),INDEX(tblRec[النوع],$O217)&amp;IF(INDEX(tblRec[طريقة الدفع],$O217)&amp;""&lt;&gt;""," ("&amp;INDEX(tblRec[طريقة الدفع],$O217)&amp;")","")&amp;IF(INDEX(tblRec[رقم الفاتورة],$O217)&amp;""&lt;&gt;""," — عن فاتورة "&amp;INDEX(tblRec[رقم الفاتورة],$O217)," — دفعة على الحساب")),IF($M217="l",INDEX(tblBuckets[الفترة],4),IF($M217="v",TEXT(SUMIFS(tblInv[المتبقي],tblInv[كود العميل],StCust,tblInv[الفترة],INDEX(tblBuckets[الفترة],4)),"#,##0.00;-#,##0.00;-"),IF($M217="t","ملخص أعمار رصيد العميل كما في "&amp;TEXT(AsOf,"dd/mm/yyyy"),IF($M217="p","يُرجى مطابقة الرصيد وإفادتنا خلال 15 يوماً، وإلا اعتُبر الرصيد صحيحاً.","")))))</f>
        <v/>
      </c>
      <c r="E217" s="119">
        <f>IF($M217="m",IF($N217&lt;&gt;"",INDEX(tblInv[الإجمالي],$N217),0),IF($M217="l",INDEX(tblBuckets[الفترة],5),IF($M217="v",TEXT(SUMIFS(tblInv[المتبقي],tblInv[كود العميل],StCust,tblInv[الفترة],INDEX(tblBuckets[الفترة],5)),"#,##0.00;-#,##0.00;-"),"")))</f>
        <v/>
      </c>
      <c r="F217" s="119">
        <f>IF($M217="m",IF($O217&lt;&gt;"",INDEX(tblRec[المبلغ],$O217),0),IF($M217="l",INDEX(tblBuckets[الفترة],6),IF($M217="v",TEXT(SUMIFS(tblInv[المتبقي],tblInv[كود العميل],StCust,tblInv[الفترة],INDEX(tblBuckets[الفترة],6)),"#,##0.00;-#,##0.00;-"),"")))</f>
        <v/>
      </c>
      <c r="G217" s="120">
        <f>IF($M217="m",N(G216)+E217-F217,IF($M217="l",INDEX(tblBuckets[الفترة],7),IF($M217="v",TEXT(SUMIFS(tblInv[المتبقي],tblInv[كود العميل],StCust,tblInv[الفترة],INDEX(tblBuckets[الفترة],7)),"#,##0.00;-#,##0.00;-"),"")))</f>
        <v/>
      </c>
      <c r="L217" t="n">
        <v>212</v>
      </c>
      <c r="M217">
        <f>IF(L217&lt;=StCount,"m",IF(L217=StCount+2,"t",IF(L217=StCount+3,"l",IF(L217=StCount+4,"v",IF(L217=StCount+6,"p","")))))</f>
        <v/>
      </c>
      <c r="N217">
        <f>IF(M217="m",IFERROR(MATCH(L217,tblInv[ترتيب الكشف],0),""),"")</f>
        <v/>
      </c>
      <c r="O217">
        <f>IF(AND(M217="m",N217=""),IFERROR(MATCH(L217,tblRec[ترتيب الكشف],0),""),"")</f>
        <v/>
      </c>
    </row>
    <row r="218">
      <c r="A218" s="117">
        <f>IF($M218="m",IF($N218&lt;&gt;"",INDEX(tblInv[تاريخ الفاتورة],$N218),INDEX(tblRec[التاريخ],$O218)),IF($M218="l",INDEX(tblBuckets[الفترة],1),IF($M218="v",TEXT(SUMIFS(tblInv[المتبقي],tblInv[كود العميل],StCust,tblInv[الفترة],INDEX(tblBuckets[الفترة],1)),"#,##0.00;-#,##0.00;-"),"")))</f>
        <v/>
      </c>
      <c r="B218" s="83">
        <f>IF($M218="m",IF($N218&lt;&gt;"","فاتورة",INDEX(tblRec[النوع],$O218)),IF($M218="l",INDEX(tblBuckets[الفترة],2),IF($M218="v",TEXT(SUMIFS(tblInv[المتبقي],tblInv[كود العميل],StCust,tblInv[الفترة],INDEX(tblBuckets[الفترة],2)),"#,##0.00;-#,##0.00;-"),"")))</f>
        <v/>
      </c>
      <c r="C218" s="83">
        <f>IF($M218="m",IF($N218&lt;&gt;"",INDEX(tblInv[رقم الفاتورة],$N218),INDEX(tblRec[رقم السند],$O218)),IF($M218="l",INDEX(tblBuckets[الفترة],3),IF($M218="v",TEXT(SUMIFS(tblInv[المتبقي],tblInv[كود العميل],StCust,tblInv[الفترة],INDEX(tblBuckets[الفترة],3)),"#,##0.00;-#,##0.00;-"),"")))</f>
        <v/>
      </c>
      <c r="D218" s="118">
        <f>IF($M218="m",IF($N218&lt;&gt;"","فاتورة مبيعات — استحقاق "&amp;TEXT(INDEX(tblInv[تاريخ الاستحقاق],$N218),"dd/mm/yyyy")&amp;IF(INDEX(tblInv[ملاحظات],$N218)&amp;""&lt;&gt;""," — "&amp;INDEX(tblInv[ملاحظات],$N218),""),INDEX(tblRec[النوع],$O218)&amp;IF(INDEX(tblRec[طريقة الدفع],$O218)&amp;""&lt;&gt;""," ("&amp;INDEX(tblRec[طريقة الدفع],$O218)&amp;")","")&amp;IF(INDEX(tblRec[رقم الفاتورة],$O218)&amp;""&lt;&gt;""," — عن فاتورة "&amp;INDEX(tblRec[رقم الفاتورة],$O218)," — دفعة على الحساب")),IF($M218="l",INDEX(tblBuckets[الفترة],4),IF($M218="v",TEXT(SUMIFS(tblInv[المتبقي],tblInv[كود العميل],StCust,tblInv[الفترة],INDEX(tblBuckets[الفترة],4)),"#,##0.00;-#,##0.00;-"),IF($M218="t","ملخص أعمار رصيد العميل كما في "&amp;TEXT(AsOf,"dd/mm/yyyy"),IF($M218="p","يُرجى مطابقة الرصيد وإفادتنا خلال 15 يوماً، وإلا اعتُبر الرصيد صحيحاً.","")))))</f>
        <v/>
      </c>
      <c r="E218" s="119">
        <f>IF($M218="m",IF($N218&lt;&gt;"",INDEX(tblInv[الإجمالي],$N218),0),IF($M218="l",INDEX(tblBuckets[الفترة],5),IF($M218="v",TEXT(SUMIFS(tblInv[المتبقي],tblInv[كود العميل],StCust,tblInv[الفترة],INDEX(tblBuckets[الفترة],5)),"#,##0.00;-#,##0.00;-"),"")))</f>
        <v/>
      </c>
      <c r="F218" s="119">
        <f>IF($M218="m",IF($O218&lt;&gt;"",INDEX(tblRec[المبلغ],$O218),0),IF($M218="l",INDEX(tblBuckets[الفترة],6),IF($M218="v",TEXT(SUMIFS(tblInv[المتبقي],tblInv[كود العميل],StCust,tblInv[الفترة],INDEX(tblBuckets[الفترة],6)),"#,##0.00;-#,##0.00;-"),"")))</f>
        <v/>
      </c>
      <c r="G218" s="120">
        <f>IF($M218="m",N(G217)+E218-F218,IF($M218="l",INDEX(tblBuckets[الفترة],7),IF($M218="v",TEXT(SUMIFS(tblInv[المتبقي],tblInv[كود العميل],StCust,tblInv[الفترة],INDEX(tblBuckets[الفترة],7)),"#,##0.00;-#,##0.00;-"),"")))</f>
        <v/>
      </c>
      <c r="L218" t="n">
        <v>213</v>
      </c>
      <c r="M218">
        <f>IF(L218&lt;=StCount,"m",IF(L218=StCount+2,"t",IF(L218=StCount+3,"l",IF(L218=StCount+4,"v",IF(L218=StCount+6,"p","")))))</f>
        <v/>
      </c>
      <c r="N218">
        <f>IF(M218="m",IFERROR(MATCH(L218,tblInv[ترتيب الكشف],0),""),"")</f>
        <v/>
      </c>
      <c r="O218">
        <f>IF(AND(M218="m",N218=""),IFERROR(MATCH(L218,tblRec[ترتيب الكشف],0),""),"")</f>
        <v/>
      </c>
    </row>
    <row r="219">
      <c r="A219" s="117">
        <f>IF($M219="m",IF($N219&lt;&gt;"",INDEX(tblInv[تاريخ الفاتورة],$N219),INDEX(tblRec[التاريخ],$O219)),IF($M219="l",INDEX(tblBuckets[الفترة],1),IF($M219="v",TEXT(SUMIFS(tblInv[المتبقي],tblInv[كود العميل],StCust,tblInv[الفترة],INDEX(tblBuckets[الفترة],1)),"#,##0.00;-#,##0.00;-"),"")))</f>
        <v/>
      </c>
      <c r="B219" s="83">
        <f>IF($M219="m",IF($N219&lt;&gt;"","فاتورة",INDEX(tblRec[النوع],$O219)),IF($M219="l",INDEX(tblBuckets[الفترة],2),IF($M219="v",TEXT(SUMIFS(tblInv[المتبقي],tblInv[كود العميل],StCust,tblInv[الفترة],INDEX(tblBuckets[الفترة],2)),"#,##0.00;-#,##0.00;-"),"")))</f>
        <v/>
      </c>
      <c r="C219" s="83">
        <f>IF($M219="m",IF($N219&lt;&gt;"",INDEX(tblInv[رقم الفاتورة],$N219),INDEX(tblRec[رقم السند],$O219)),IF($M219="l",INDEX(tblBuckets[الفترة],3),IF($M219="v",TEXT(SUMIFS(tblInv[المتبقي],tblInv[كود العميل],StCust,tblInv[الفترة],INDEX(tblBuckets[الفترة],3)),"#,##0.00;-#,##0.00;-"),"")))</f>
        <v/>
      </c>
      <c r="D219" s="118">
        <f>IF($M219="m",IF($N219&lt;&gt;"","فاتورة مبيعات — استحقاق "&amp;TEXT(INDEX(tblInv[تاريخ الاستحقاق],$N219),"dd/mm/yyyy")&amp;IF(INDEX(tblInv[ملاحظات],$N219)&amp;""&lt;&gt;""," — "&amp;INDEX(tblInv[ملاحظات],$N219),""),INDEX(tblRec[النوع],$O219)&amp;IF(INDEX(tblRec[طريقة الدفع],$O219)&amp;""&lt;&gt;""," ("&amp;INDEX(tblRec[طريقة الدفع],$O219)&amp;")","")&amp;IF(INDEX(tblRec[رقم الفاتورة],$O219)&amp;""&lt;&gt;""," — عن فاتورة "&amp;INDEX(tblRec[رقم الفاتورة],$O219)," — دفعة على الحساب")),IF($M219="l",INDEX(tblBuckets[الفترة],4),IF($M219="v",TEXT(SUMIFS(tblInv[المتبقي],tblInv[كود العميل],StCust,tblInv[الفترة],INDEX(tblBuckets[الفترة],4)),"#,##0.00;-#,##0.00;-"),IF($M219="t","ملخص أعمار رصيد العميل كما في "&amp;TEXT(AsOf,"dd/mm/yyyy"),IF($M219="p","يُرجى مطابقة الرصيد وإفادتنا خلال 15 يوماً، وإلا اعتُبر الرصيد صحيحاً.","")))))</f>
        <v/>
      </c>
      <c r="E219" s="119">
        <f>IF($M219="m",IF($N219&lt;&gt;"",INDEX(tblInv[الإجمالي],$N219),0),IF($M219="l",INDEX(tblBuckets[الفترة],5),IF($M219="v",TEXT(SUMIFS(tblInv[المتبقي],tblInv[كود العميل],StCust,tblInv[الفترة],INDEX(tblBuckets[الفترة],5)),"#,##0.00;-#,##0.00;-"),"")))</f>
        <v/>
      </c>
      <c r="F219" s="119">
        <f>IF($M219="m",IF($O219&lt;&gt;"",INDEX(tblRec[المبلغ],$O219),0),IF($M219="l",INDEX(tblBuckets[الفترة],6),IF($M219="v",TEXT(SUMIFS(tblInv[المتبقي],tblInv[كود العميل],StCust,tblInv[الفترة],INDEX(tblBuckets[الفترة],6)),"#,##0.00;-#,##0.00;-"),"")))</f>
        <v/>
      </c>
      <c r="G219" s="120">
        <f>IF($M219="m",N(G218)+E219-F219,IF($M219="l",INDEX(tblBuckets[الفترة],7),IF($M219="v",TEXT(SUMIFS(tblInv[المتبقي],tblInv[كود العميل],StCust,tblInv[الفترة],INDEX(tblBuckets[الفترة],7)),"#,##0.00;-#,##0.00;-"),"")))</f>
        <v/>
      </c>
      <c r="L219" t="n">
        <v>214</v>
      </c>
      <c r="M219">
        <f>IF(L219&lt;=StCount,"m",IF(L219=StCount+2,"t",IF(L219=StCount+3,"l",IF(L219=StCount+4,"v",IF(L219=StCount+6,"p","")))))</f>
        <v/>
      </c>
      <c r="N219">
        <f>IF(M219="m",IFERROR(MATCH(L219,tblInv[ترتيب الكشف],0),""),"")</f>
        <v/>
      </c>
      <c r="O219">
        <f>IF(AND(M219="m",N219=""),IFERROR(MATCH(L219,tblRec[ترتيب الكشف],0),""),"")</f>
        <v/>
      </c>
    </row>
    <row r="220">
      <c r="A220" s="117">
        <f>IF($M220="m",IF($N220&lt;&gt;"",INDEX(tblInv[تاريخ الفاتورة],$N220),INDEX(tblRec[التاريخ],$O220)),IF($M220="l",INDEX(tblBuckets[الفترة],1),IF($M220="v",TEXT(SUMIFS(tblInv[المتبقي],tblInv[كود العميل],StCust,tblInv[الفترة],INDEX(tblBuckets[الفترة],1)),"#,##0.00;-#,##0.00;-"),"")))</f>
        <v/>
      </c>
      <c r="B220" s="83">
        <f>IF($M220="m",IF($N220&lt;&gt;"","فاتورة",INDEX(tblRec[النوع],$O220)),IF($M220="l",INDEX(tblBuckets[الفترة],2),IF($M220="v",TEXT(SUMIFS(tblInv[المتبقي],tblInv[كود العميل],StCust,tblInv[الفترة],INDEX(tblBuckets[الفترة],2)),"#,##0.00;-#,##0.00;-"),"")))</f>
        <v/>
      </c>
      <c r="C220" s="83">
        <f>IF($M220="m",IF($N220&lt;&gt;"",INDEX(tblInv[رقم الفاتورة],$N220),INDEX(tblRec[رقم السند],$O220)),IF($M220="l",INDEX(tblBuckets[الفترة],3),IF($M220="v",TEXT(SUMIFS(tblInv[المتبقي],tblInv[كود العميل],StCust,tblInv[الفترة],INDEX(tblBuckets[الفترة],3)),"#,##0.00;-#,##0.00;-"),"")))</f>
        <v/>
      </c>
      <c r="D220" s="118">
        <f>IF($M220="m",IF($N220&lt;&gt;"","فاتورة مبيعات — استحقاق "&amp;TEXT(INDEX(tblInv[تاريخ الاستحقاق],$N220),"dd/mm/yyyy")&amp;IF(INDEX(tblInv[ملاحظات],$N220)&amp;""&lt;&gt;""," — "&amp;INDEX(tblInv[ملاحظات],$N220),""),INDEX(tblRec[النوع],$O220)&amp;IF(INDEX(tblRec[طريقة الدفع],$O220)&amp;""&lt;&gt;""," ("&amp;INDEX(tblRec[طريقة الدفع],$O220)&amp;")","")&amp;IF(INDEX(tblRec[رقم الفاتورة],$O220)&amp;""&lt;&gt;""," — عن فاتورة "&amp;INDEX(tblRec[رقم الفاتورة],$O220)," — دفعة على الحساب")),IF($M220="l",INDEX(tblBuckets[الفترة],4),IF($M220="v",TEXT(SUMIFS(tblInv[المتبقي],tblInv[كود العميل],StCust,tblInv[الفترة],INDEX(tblBuckets[الفترة],4)),"#,##0.00;-#,##0.00;-"),IF($M220="t","ملخص أعمار رصيد العميل كما في "&amp;TEXT(AsOf,"dd/mm/yyyy"),IF($M220="p","يُرجى مطابقة الرصيد وإفادتنا خلال 15 يوماً، وإلا اعتُبر الرصيد صحيحاً.","")))))</f>
        <v/>
      </c>
      <c r="E220" s="119">
        <f>IF($M220="m",IF($N220&lt;&gt;"",INDEX(tblInv[الإجمالي],$N220),0),IF($M220="l",INDEX(tblBuckets[الفترة],5),IF($M220="v",TEXT(SUMIFS(tblInv[المتبقي],tblInv[كود العميل],StCust,tblInv[الفترة],INDEX(tblBuckets[الفترة],5)),"#,##0.00;-#,##0.00;-"),"")))</f>
        <v/>
      </c>
      <c r="F220" s="119">
        <f>IF($M220="m",IF($O220&lt;&gt;"",INDEX(tblRec[المبلغ],$O220),0),IF($M220="l",INDEX(tblBuckets[الفترة],6),IF($M220="v",TEXT(SUMIFS(tblInv[المتبقي],tblInv[كود العميل],StCust,tblInv[الفترة],INDEX(tblBuckets[الفترة],6)),"#,##0.00;-#,##0.00;-"),"")))</f>
        <v/>
      </c>
      <c r="G220" s="120">
        <f>IF($M220="m",N(G219)+E220-F220,IF($M220="l",INDEX(tblBuckets[الفترة],7),IF($M220="v",TEXT(SUMIFS(tblInv[المتبقي],tblInv[كود العميل],StCust,tblInv[الفترة],INDEX(tblBuckets[الفترة],7)),"#,##0.00;-#,##0.00;-"),"")))</f>
        <v/>
      </c>
      <c r="L220" t="n">
        <v>215</v>
      </c>
      <c r="M220">
        <f>IF(L220&lt;=StCount,"m",IF(L220=StCount+2,"t",IF(L220=StCount+3,"l",IF(L220=StCount+4,"v",IF(L220=StCount+6,"p","")))))</f>
        <v/>
      </c>
      <c r="N220">
        <f>IF(M220="m",IFERROR(MATCH(L220,tblInv[ترتيب الكشف],0),""),"")</f>
        <v/>
      </c>
      <c r="O220">
        <f>IF(AND(M220="m",N220=""),IFERROR(MATCH(L220,tblRec[ترتيب الكشف],0),""),"")</f>
        <v/>
      </c>
    </row>
    <row r="221">
      <c r="A221" s="117">
        <f>IF($M221="m",IF($N221&lt;&gt;"",INDEX(tblInv[تاريخ الفاتورة],$N221),INDEX(tblRec[التاريخ],$O221)),IF($M221="l",INDEX(tblBuckets[الفترة],1),IF($M221="v",TEXT(SUMIFS(tblInv[المتبقي],tblInv[كود العميل],StCust,tblInv[الفترة],INDEX(tblBuckets[الفترة],1)),"#,##0.00;-#,##0.00;-"),"")))</f>
        <v/>
      </c>
      <c r="B221" s="83">
        <f>IF($M221="m",IF($N221&lt;&gt;"","فاتورة",INDEX(tblRec[النوع],$O221)),IF($M221="l",INDEX(tblBuckets[الفترة],2),IF($M221="v",TEXT(SUMIFS(tblInv[المتبقي],tblInv[كود العميل],StCust,tblInv[الفترة],INDEX(tblBuckets[الفترة],2)),"#,##0.00;-#,##0.00;-"),"")))</f>
        <v/>
      </c>
      <c r="C221" s="83">
        <f>IF($M221="m",IF($N221&lt;&gt;"",INDEX(tblInv[رقم الفاتورة],$N221),INDEX(tblRec[رقم السند],$O221)),IF($M221="l",INDEX(tblBuckets[الفترة],3),IF($M221="v",TEXT(SUMIFS(tblInv[المتبقي],tblInv[كود العميل],StCust,tblInv[الفترة],INDEX(tblBuckets[الفترة],3)),"#,##0.00;-#,##0.00;-"),"")))</f>
        <v/>
      </c>
      <c r="D221" s="118">
        <f>IF($M221="m",IF($N221&lt;&gt;"","فاتورة مبيعات — استحقاق "&amp;TEXT(INDEX(tblInv[تاريخ الاستحقاق],$N221),"dd/mm/yyyy")&amp;IF(INDEX(tblInv[ملاحظات],$N221)&amp;""&lt;&gt;""," — "&amp;INDEX(tblInv[ملاحظات],$N221),""),INDEX(tblRec[النوع],$O221)&amp;IF(INDEX(tblRec[طريقة الدفع],$O221)&amp;""&lt;&gt;""," ("&amp;INDEX(tblRec[طريقة الدفع],$O221)&amp;")","")&amp;IF(INDEX(tblRec[رقم الفاتورة],$O221)&amp;""&lt;&gt;""," — عن فاتورة "&amp;INDEX(tblRec[رقم الفاتورة],$O221)," — دفعة على الحساب")),IF($M221="l",INDEX(tblBuckets[الفترة],4),IF($M221="v",TEXT(SUMIFS(tblInv[المتبقي],tblInv[كود العميل],StCust,tblInv[الفترة],INDEX(tblBuckets[الفترة],4)),"#,##0.00;-#,##0.00;-"),IF($M221="t","ملخص أعمار رصيد العميل كما في "&amp;TEXT(AsOf,"dd/mm/yyyy"),IF($M221="p","يُرجى مطابقة الرصيد وإفادتنا خلال 15 يوماً، وإلا اعتُبر الرصيد صحيحاً.","")))))</f>
        <v/>
      </c>
      <c r="E221" s="119">
        <f>IF($M221="m",IF($N221&lt;&gt;"",INDEX(tblInv[الإجمالي],$N221),0),IF($M221="l",INDEX(tblBuckets[الفترة],5),IF($M221="v",TEXT(SUMIFS(tblInv[المتبقي],tblInv[كود العميل],StCust,tblInv[الفترة],INDEX(tblBuckets[الفترة],5)),"#,##0.00;-#,##0.00;-"),"")))</f>
        <v/>
      </c>
      <c r="F221" s="119">
        <f>IF($M221="m",IF($O221&lt;&gt;"",INDEX(tblRec[المبلغ],$O221),0),IF($M221="l",INDEX(tblBuckets[الفترة],6),IF($M221="v",TEXT(SUMIFS(tblInv[المتبقي],tblInv[كود العميل],StCust,tblInv[الفترة],INDEX(tblBuckets[الفترة],6)),"#,##0.00;-#,##0.00;-"),"")))</f>
        <v/>
      </c>
      <c r="G221" s="120">
        <f>IF($M221="m",N(G220)+E221-F221,IF($M221="l",INDEX(tblBuckets[الفترة],7),IF($M221="v",TEXT(SUMIFS(tblInv[المتبقي],tblInv[كود العميل],StCust,tblInv[الفترة],INDEX(tblBuckets[الفترة],7)),"#,##0.00;-#,##0.00;-"),"")))</f>
        <v/>
      </c>
      <c r="L221" t="n">
        <v>216</v>
      </c>
      <c r="M221">
        <f>IF(L221&lt;=StCount,"m",IF(L221=StCount+2,"t",IF(L221=StCount+3,"l",IF(L221=StCount+4,"v",IF(L221=StCount+6,"p","")))))</f>
        <v/>
      </c>
      <c r="N221">
        <f>IF(M221="m",IFERROR(MATCH(L221,tblInv[ترتيب الكشف],0),""),"")</f>
        <v/>
      </c>
      <c r="O221">
        <f>IF(AND(M221="m",N221=""),IFERROR(MATCH(L221,tblRec[ترتيب الكشف],0),""),"")</f>
        <v/>
      </c>
    </row>
    <row r="222">
      <c r="A222" s="117">
        <f>IF($M222="m",IF($N222&lt;&gt;"",INDEX(tblInv[تاريخ الفاتورة],$N222),INDEX(tblRec[التاريخ],$O222)),IF($M222="l",INDEX(tblBuckets[الفترة],1),IF($M222="v",TEXT(SUMIFS(tblInv[المتبقي],tblInv[كود العميل],StCust,tblInv[الفترة],INDEX(tblBuckets[الفترة],1)),"#,##0.00;-#,##0.00;-"),"")))</f>
        <v/>
      </c>
      <c r="B222" s="83">
        <f>IF($M222="m",IF($N222&lt;&gt;"","فاتورة",INDEX(tblRec[النوع],$O222)),IF($M222="l",INDEX(tblBuckets[الفترة],2),IF($M222="v",TEXT(SUMIFS(tblInv[المتبقي],tblInv[كود العميل],StCust,tblInv[الفترة],INDEX(tblBuckets[الفترة],2)),"#,##0.00;-#,##0.00;-"),"")))</f>
        <v/>
      </c>
      <c r="C222" s="83">
        <f>IF($M222="m",IF($N222&lt;&gt;"",INDEX(tblInv[رقم الفاتورة],$N222),INDEX(tblRec[رقم السند],$O222)),IF($M222="l",INDEX(tblBuckets[الفترة],3),IF($M222="v",TEXT(SUMIFS(tblInv[المتبقي],tblInv[كود العميل],StCust,tblInv[الفترة],INDEX(tblBuckets[الفترة],3)),"#,##0.00;-#,##0.00;-"),"")))</f>
        <v/>
      </c>
      <c r="D222" s="118">
        <f>IF($M222="m",IF($N222&lt;&gt;"","فاتورة مبيعات — استحقاق "&amp;TEXT(INDEX(tblInv[تاريخ الاستحقاق],$N222),"dd/mm/yyyy")&amp;IF(INDEX(tblInv[ملاحظات],$N222)&amp;""&lt;&gt;""," — "&amp;INDEX(tblInv[ملاحظات],$N222),""),INDEX(tblRec[النوع],$O222)&amp;IF(INDEX(tblRec[طريقة الدفع],$O222)&amp;""&lt;&gt;""," ("&amp;INDEX(tblRec[طريقة الدفع],$O222)&amp;")","")&amp;IF(INDEX(tblRec[رقم الفاتورة],$O222)&amp;""&lt;&gt;""," — عن فاتورة "&amp;INDEX(tblRec[رقم الفاتورة],$O222)," — دفعة على الحساب")),IF($M222="l",INDEX(tblBuckets[الفترة],4),IF($M222="v",TEXT(SUMIFS(tblInv[المتبقي],tblInv[كود العميل],StCust,tblInv[الفترة],INDEX(tblBuckets[الفترة],4)),"#,##0.00;-#,##0.00;-"),IF($M222="t","ملخص أعمار رصيد العميل كما في "&amp;TEXT(AsOf,"dd/mm/yyyy"),IF($M222="p","يُرجى مطابقة الرصيد وإفادتنا خلال 15 يوماً، وإلا اعتُبر الرصيد صحيحاً.","")))))</f>
        <v/>
      </c>
      <c r="E222" s="119">
        <f>IF($M222="m",IF($N222&lt;&gt;"",INDEX(tblInv[الإجمالي],$N222),0),IF($M222="l",INDEX(tblBuckets[الفترة],5),IF($M222="v",TEXT(SUMIFS(tblInv[المتبقي],tblInv[كود العميل],StCust,tblInv[الفترة],INDEX(tblBuckets[الفترة],5)),"#,##0.00;-#,##0.00;-"),"")))</f>
        <v/>
      </c>
      <c r="F222" s="119">
        <f>IF($M222="m",IF($O222&lt;&gt;"",INDEX(tblRec[المبلغ],$O222),0),IF($M222="l",INDEX(tblBuckets[الفترة],6),IF($M222="v",TEXT(SUMIFS(tblInv[المتبقي],tblInv[كود العميل],StCust,tblInv[الفترة],INDEX(tblBuckets[الفترة],6)),"#,##0.00;-#,##0.00;-"),"")))</f>
        <v/>
      </c>
      <c r="G222" s="120">
        <f>IF($M222="m",N(G221)+E222-F222,IF($M222="l",INDEX(tblBuckets[الفترة],7),IF($M222="v",TEXT(SUMIFS(tblInv[المتبقي],tblInv[كود العميل],StCust,tblInv[الفترة],INDEX(tblBuckets[الفترة],7)),"#,##0.00;-#,##0.00;-"),"")))</f>
        <v/>
      </c>
      <c r="L222" t="n">
        <v>217</v>
      </c>
      <c r="M222">
        <f>IF(L222&lt;=StCount,"m",IF(L222=StCount+2,"t",IF(L222=StCount+3,"l",IF(L222=StCount+4,"v",IF(L222=StCount+6,"p","")))))</f>
        <v/>
      </c>
      <c r="N222">
        <f>IF(M222="m",IFERROR(MATCH(L222,tblInv[ترتيب الكشف],0),""),"")</f>
        <v/>
      </c>
      <c r="O222">
        <f>IF(AND(M222="m",N222=""),IFERROR(MATCH(L222,tblRec[ترتيب الكشف],0),""),"")</f>
        <v/>
      </c>
    </row>
    <row r="223">
      <c r="A223" s="117">
        <f>IF($M223="m",IF($N223&lt;&gt;"",INDEX(tblInv[تاريخ الفاتورة],$N223),INDEX(tblRec[التاريخ],$O223)),IF($M223="l",INDEX(tblBuckets[الفترة],1),IF($M223="v",TEXT(SUMIFS(tblInv[المتبقي],tblInv[كود العميل],StCust,tblInv[الفترة],INDEX(tblBuckets[الفترة],1)),"#,##0.00;-#,##0.00;-"),"")))</f>
        <v/>
      </c>
      <c r="B223" s="83">
        <f>IF($M223="m",IF($N223&lt;&gt;"","فاتورة",INDEX(tblRec[النوع],$O223)),IF($M223="l",INDEX(tblBuckets[الفترة],2),IF($M223="v",TEXT(SUMIFS(tblInv[المتبقي],tblInv[كود العميل],StCust,tblInv[الفترة],INDEX(tblBuckets[الفترة],2)),"#,##0.00;-#,##0.00;-"),"")))</f>
        <v/>
      </c>
      <c r="C223" s="83">
        <f>IF($M223="m",IF($N223&lt;&gt;"",INDEX(tblInv[رقم الفاتورة],$N223),INDEX(tblRec[رقم السند],$O223)),IF($M223="l",INDEX(tblBuckets[الفترة],3),IF($M223="v",TEXT(SUMIFS(tblInv[المتبقي],tblInv[كود العميل],StCust,tblInv[الفترة],INDEX(tblBuckets[الفترة],3)),"#,##0.00;-#,##0.00;-"),"")))</f>
        <v/>
      </c>
      <c r="D223" s="118">
        <f>IF($M223="m",IF($N223&lt;&gt;"","فاتورة مبيعات — استحقاق "&amp;TEXT(INDEX(tblInv[تاريخ الاستحقاق],$N223),"dd/mm/yyyy")&amp;IF(INDEX(tblInv[ملاحظات],$N223)&amp;""&lt;&gt;""," — "&amp;INDEX(tblInv[ملاحظات],$N223),""),INDEX(tblRec[النوع],$O223)&amp;IF(INDEX(tblRec[طريقة الدفع],$O223)&amp;""&lt;&gt;""," ("&amp;INDEX(tblRec[طريقة الدفع],$O223)&amp;")","")&amp;IF(INDEX(tblRec[رقم الفاتورة],$O223)&amp;""&lt;&gt;""," — عن فاتورة "&amp;INDEX(tblRec[رقم الفاتورة],$O223)," — دفعة على الحساب")),IF($M223="l",INDEX(tblBuckets[الفترة],4),IF($M223="v",TEXT(SUMIFS(tblInv[المتبقي],tblInv[كود العميل],StCust,tblInv[الفترة],INDEX(tblBuckets[الفترة],4)),"#,##0.00;-#,##0.00;-"),IF($M223="t","ملخص أعمار رصيد العميل كما في "&amp;TEXT(AsOf,"dd/mm/yyyy"),IF($M223="p","يُرجى مطابقة الرصيد وإفادتنا خلال 15 يوماً، وإلا اعتُبر الرصيد صحيحاً.","")))))</f>
        <v/>
      </c>
      <c r="E223" s="119">
        <f>IF($M223="m",IF($N223&lt;&gt;"",INDEX(tblInv[الإجمالي],$N223),0),IF($M223="l",INDEX(tblBuckets[الفترة],5),IF($M223="v",TEXT(SUMIFS(tblInv[المتبقي],tblInv[كود العميل],StCust,tblInv[الفترة],INDEX(tblBuckets[الفترة],5)),"#,##0.00;-#,##0.00;-"),"")))</f>
        <v/>
      </c>
      <c r="F223" s="119">
        <f>IF($M223="m",IF($O223&lt;&gt;"",INDEX(tblRec[المبلغ],$O223),0),IF($M223="l",INDEX(tblBuckets[الفترة],6),IF($M223="v",TEXT(SUMIFS(tblInv[المتبقي],tblInv[كود العميل],StCust,tblInv[الفترة],INDEX(tblBuckets[الفترة],6)),"#,##0.00;-#,##0.00;-"),"")))</f>
        <v/>
      </c>
      <c r="G223" s="120">
        <f>IF($M223="m",N(G222)+E223-F223,IF($M223="l",INDEX(tblBuckets[الفترة],7),IF($M223="v",TEXT(SUMIFS(tblInv[المتبقي],tblInv[كود العميل],StCust,tblInv[الفترة],INDEX(tblBuckets[الفترة],7)),"#,##0.00;-#,##0.00;-"),"")))</f>
        <v/>
      </c>
      <c r="L223" t="n">
        <v>218</v>
      </c>
      <c r="M223">
        <f>IF(L223&lt;=StCount,"m",IF(L223=StCount+2,"t",IF(L223=StCount+3,"l",IF(L223=StCount+4,"v",IF(L223=StCount+6,"p","")))))</f>
        <v/>
      </c>
      <c r="N223">
        <f>IF(M223="m",IFERROR(MATCH(L223,tblInv[ترتيب الكشف],0),""),"")</f>
        <v/>
      </c>
      <c r="O223">
        <f>IF(AND(M223="m",N223=""),IFERROR(MATCH(L223,tblRec[ترتيب الكشف],0),""),"")</f>
        <v/>
      </c>
    </row>
    <row r="224">
      <c r="A224" s="117">
        <f>IF($M224="m",IF($N224&lt;&gt;"",INDEX(tblInv[تاريخ الفاتورة],$N224),INDEX(tblRec[التاريخ],$O224)),IF($M224="l",INDEX(tblBuckets[الفترة],1),IF($M224="v",TEXT(SUMIFS(tblInv[المتبقي],tblInv[كود العميل],StCust,tblInv[الفترة],INDEX(tblBuckets[الفترة],1)),"#,##0.00;-#,##0.00;-"),"")))</f>
        <v/>
      </c>
      <c r="B224" s="83">
        <f>IF($M224="m",IF($N224&lt;&gt;"","فاتورة",INDEX(tblRec[النوع],$O224)),IF($M224="l",INDEX(tblBuckets[الفترة],2),IF($M224="v",TEXT(SUMIFS(tblInv[المتبقي],tblInv[كود العميل],StCust,tblInv[الفترة],INDEX(tblBuckets[الفترة],2)),"#,##0.00;-#,##0.00;-"),"")))</f>
        <v/>
      </c>
      <c r="C224" s="83">
        <f>IF($M224="m",IF($N224&lt;&gt;"",INDEX(tblInv[رقم الفاتورة],$N224),INDEX(tblRec[رقم السند],$O224)),IF($M224="l",INDEX(tblBuckets[الفترة],3),IF($M224="v",TEXT(SUMIFS(tblInv[المتبقي],tblInv[كود العميل],StCust,tblInv[الفترة],INDEX(tblBuckets[الفترة],3)),"#,##0.00;-#,##0.00;-"),"")))</f>
        <v/>
      </c>
      <c r="D224" s="118">
        <f>IF($M224="m",IF($N224&lt;&gt;"","فاتورة مبيعات — استحقاق "&amp;TEXT(INDEX(tblInv[تاريخ الاستحقاق],$N224),"dd/mm/yyyy")&amp;IF(INDEX(tblInv[ملاحظات],$N224)&amp;""&lt;&gt;""," — "&amp;INDEX(tblInv[ملاحظات],$N224),""),INDEX(tblRec[النوع],$O224)&amp;IF(INDEX(tblRec[طريقة الدفع],$O224)&amp;""&lt;&gt;""," ("&amp;INDEX(tblRec[طريقة الدفع],$O224)&amp;")","")&amp;IF(INDEX(tblRec[رقم الفاتورة],$O224)&amp;""&lt;&gt;""," — عن فاتورة "&amp;INDEX(tblRec[رقم الفاتورة],$O224)," — دفعة على الحساب")),IF($M224="l",INDEX(tblBuckets[الفترة],4),IF($M224="v",TEXT(SUMIFS(tblInv[المتبقي],tblInv[كود العميل],StCust,tblInv[الفترة],INDEX(tblBuckets[الفترة],4)),"#,##0.00;-#,##0.00;-"),IF($M224="t","ملخص أعمار رصيد العميل كما في "&amp;TEXT(AsOf,"dd/mm/yyyy"),IF($M224="p","يُرجى مطابقة الرصيد وإفادتنا خلال 15 يوماً، وإلا اعتُبر الرصيد صحيحاً.","")))))</f>
        <v/>
      </c>
      <c r="E224" s="119">
        <f>IF($M224="m",IF($N224&lt;&gt;"",INDEX(tblInv[الإجمالي],$N224),0),IF($M224="l",INDEX(tblBuckets[الفترة],5),IF($M224="v",TEXT(SUMIFS(tblInv[المتبقي],tblInv[كود العميل],StCust,tblInv[الفترة],INDEX(tblBuckets[الفترة],5)),"#,##0.00;-#,##0.00;-"),"")))</f>
        <v/>
      </c>
      <c r="F224" s="119">
        <f>IF($M224="m",IF($O224&lt;&gt;"",INDEX(tblRec[المبلغ],$O224),0),IF($M224="l",INDEX(tblBuckets[الفترة],6),IF($M224="v",TEXT(SUMIFS(tblInv[المتبقي],tblInv[كود العميل],StCust,tblInv[الفترة],INDEX(tblBuckets[الفترة],6)),"#,##0.00;-#,##0.00;-"),"")))</f>
        <v/>
      </c>
      <c r="G224" s="120">
        <f>IF($M224="m",N(G223)+E224-F224,IF($M224="l",INDEX(tblBuckets[الفترة],7),IF($M224="v",TEXT(SUMIFS(tblInv[المتبقي],tblInv[كود العميل],StCust,tblInv[الفترة],INDEX(tblBuckets[الفترة],7)),"#,##0.00;-#,##0.00;-"),"")))</f>
        <v/>
      </c>
      <c r="L224" t="n">
        <v>219</v>
      </c>
      <c r="M224">
        <f>IF(L224&lt;=StCount,"m",IF(L224=StCount+2,"t",IF(L224=StCount+3,"l",IF(L224=StCount+4,"v",IF(L224=StCount+6,"p","")))))</f>
        <v/>
      </c>
      <c r="N224">
        <f>IF(M224="m",IFERROR(MATCH(L224,tblInv[ترتيب الكشف],0),""),"")</f>
        <v/>
      </c>
      <c r="O224">
        <f>IF(AND(M224="m",N224=""),IFERROR(MATCH(L224,tblRec[ترتيب الكشف],0),""),"")</f>
        <v/>
      </c>
    </row>
    <row r="225">
      <c r="A225" s="117">
        <f>IF($M225="m",IF($N225&lt;&gt;"",INDEX(tblInv[تاريخ الفاتورة],$N225),INDEX(tblRec[التاريخ],$O225)),IF($M225="l",INDEX(tblBuckets[الفترة],1),IF($M225="v",TEXT(SUMIFS(tblInv[المتبقي],tblInv[كود العميل],StCust,tblInv[الفترة],INDEX(tblBuckets[الفترة],1)),"#,##0.00;-#,##0.00;-"),"")))</f>
        <v/>
      </c>
      <c r="B225" s="83">
        <f>IF($M225="m",IF($N225&lt;&gt;"","فاتورة",INDEX(tblRec[النوع],$O225)),IF($M225="l",INDEX(tblBuckets[الفترة],2),IF($M225="v",TEXT(SUMIFS(tblInv[المتبقي],tblInv[كود العميل],StCust,tblInv[الفترة],INDEX(tblBuckets[الفترة],2)),"#,##0.00;-#,##0.00;-"),"")))</f>
        <v/>
      </c>
      <c r="C225" s="83">
        <f>IF($M225="m",IF($N225&lt;&gt;"",INDEX(tblInv[رقم الفاتورة],$N225),INDEX(tblRec[رقم السند],$O225)),IF($M225="l",INDEX(tblBuckets[الفترة],3),IF($M225="v",TEXT(SUMIFS(tblInv[المتبقي],tblInv[كود العميل],StCust,tblInv[الفترة],INDEX(tblBuckets[الفترة],3)),"#,##0.00;-#,##0.00;-"),"")))</f>
        <v/>
      </c>
      <c r="D225" s="118">
        <f>IF($M225="m",IF($N225&lt;&gt;"","فاتورة مبيعات — استحقاق "&amp;TEXT(INDEX(tblInv[تاريخ الاستحقاق],$N225),"dd/mm/yyyy")&amp;IF(INDEX(tblInv[ملاحظات],$N225)&amp;""&lt;&gt;""," — "&amp;INDEX(tblInv[ملاحظات],$N225),""),INDEX(tblRec[النوع],$O225)&amp;IF(INDEX(tblRec[طريقة الدفع],$O225)&amp;""&lt;&gt;""," ("&amp;INDEX(tblRec[طريقة الدفع],$O225)&amp;")","")&amp;IF(INDEX(tblRec[رقم الفاتورة],$O225)&amp;""&lt;&gt;""," — عن فاتورة "&amp;INDEX(tblRec[رقم الفاتورة],$O225)," — دفعة على الحساب")),IF($M225="l",INDEX(tblBuckets[الفترة],4),IF($M225="v",TEXT(SUMIFS(tblInv[المتبقي],tblInv[كود العميل],StCust,tblInv[الفترة],INDEX(tblBuckets[الفترة],4)),"#,##0.00;-#,##0.00;-"),IF($M225="t","ملخص أعمار رصيد العميل كما في "&amp;TEXT(AsOf,"dd/mm/yyyy"),IF($M225="p","يُرجى مطابقة الرصيد وإفادتنا خلال 15 يوماً، وإلا اعتُبر الرصيد صحيحاً.","")))))</f>
        <v/>
      </c>
      <c r="E225" s="119">
        <f>IF($M225="m",IF($N225&lt;&gt;"",INDEX(tblInv[الإجمالي],$N225),0),IF($M225="l",INDEX(tblBuckets[الفترة],5),IF($M225="v",TEXT(SUMIFS(tblInv[المتبقي],tblInv[كود العميل],StCust,tblInv[الفترة],INDEX(tblBuckets[الفترة],5)),"#,##0.00;-#,##0.00;-"),"")))</f>
        <v/>
      </c>
      <c r="F225" s="119">
        <f>IF($M225="m",IF($O225&lt;&gt;"",INDEX(tblRec[المبلغ],$O225),0),IF($M225="l",INDEX(tblBuckets[الفترة],6),IF($M225="v",TEXT(SUMIFS(tblInv[المتبقي],tblInv[كود العميل],StCust,tblInv[الفترة],INDEX(tblBuckets[الفترة],6)),"#,##0.00;-#,##0.00;-"),"")))</f>
        <v/>
      </c>
      <c r="G225" s="120">
        <f>IF($M225="m",N(G224)+E225-F225,IF($M225="l",INDEX(tblBuckets[الفترة],7),IF($M225="v",TEXT(SUMIFS(tblInv[المتبقي],tblInv[كود العميل],StCust,tblInv[الفترة],INDEX(tblBuckets[الفترة],7)),"#,##0.00;-#,##0.00;-"),"")))</f>
        <v/>
      </c>
      <c r="L225" t="n">
        <v>220</v>
      </c>
      <c r="M225">
        <f>IF(L225&lt;=StCount,"m",IF(L225=StCount+2,"t",IF(L225=StCount+3,"l",IF(L225=StCount+4,"v",IF(L225=StCount+6,"p","")))))</f>
        <v/>
      </c>
      <c r="N225">
        <f>IF(M225="m",IFERROR(MATCH(L225,tblInv[ترتيب الكشف],0),""),"")</f>
        <v/>
      </c>
      <c r="O225">
        <f>IF(AND(M225="m",N225=""),IFERROR(MATCH(L225,tblRec[ترتيب الكشف],0),""),"")</f>
        <v/>
      </c>
    </row>
    <row r="226">
      <c r="A226" s="117">
        <f>IF($M226="m",IF($N226&lt;&gt;"",INDEX(tblInv[تاريخ الفاتورة],$N226),INDEX(tblRec[التاريخ],$O226)),IF($M226="l",INDEX(tblBuckets[الفترة],1),IF($M226="v",TEXT(SUMIFS(tblInv[المتبقي],tblInv[كود العميل],StCust,tblInv[الفترة],INDEX(tblBuckets[الفترة],1)),"#,##0.00;-#,##0.00;-"),"")))</f>
        <v/>
      </c>
      <c r="B226" s="83">
        <f>IF($M226="m",IF($N226&lt;&gt;"","فاتورة",INDEX(tblRec[النوع],$O226)),IF($M226="l",INDEX(tblBuckets[الفترة],2),IF($M226="v",TEXT(SUMIFS(tblInv[المتبقي],tblInv[كود العميل],StCust,tblInv[الفترة],INDEX(tblBuckets[الفترة],2)),"#,##0.00;-#,##0.00;-"),"")))</f>
        <v/>
      </c>
      <c r="C226" s="83">
        <f>IF($M226="m",IF($N226&lt;&gt;"",INDEX(tblInv[رقم الفاتورة],$N226),INDEX(tblRec[رقم السند],$O226)),IF($M226="l",INDEX(tblBuckets[الفترة],3),IF($M226="v",TEXT(SUMIFS(tblInv[المتبقي],tblInv[كود العميل],StCust,tblInv[الفترة],INDEX(tblBuckets[الفترة],3)),"#,##0.00;-#,##0.00;-"),"")))</f>
        <v/>
      </c>
      <c r="D226" s="118">
        <f>IF($M226="m",IF($N226&lt;&gt;"","فاتورة مبيعات — استحقاق "&amp;TEXT(INDEX(tblInv[تاريخ الاستحقاق],$N226),"dd/mm/yyyy")&amp;IF(INDEX(tblInv[ملاحظات],$N226)&amp;""&lt;&gt;""," — "&amp;INDEX(tblInv[ملاحظات],$N226),""),INDEX(tblRec[النوع],$O226)&amp;IF(INDEX(tblRec[طريقة الدفع],$O226)&amp;""&lt;&gt;""," ("&amp;INDEX(tblRec[طريقة الدفع],$O226)&amp;")","")&amp;IF(INDEX(tblRec[رقم الفاتورة],$O226)&amp;""&lt;&gt;""," — عن فاتورة "&amp;INDEX(tblRec[رقم الفاتورة],$O226)," — دفعة على الحساب")),IF($M226="l",INDEX(tblBuckets[الفترة],4),IF($M226="v",TEXT(SUMIFS(tblInv[المتبقي],tblInv[كود العميل],StCust,tblInv[الفترة],INDEX(tblBuckets[الفترة],4)),"#,##0.00;-#,##0.00;-"),IF($M226="t","ملخص أعمار رصيد العميل كما في "&amp;TEXT(AsOf,"dd/mm/yyyy"),IF($M226="p","يُرجى مطابقة الرصيد وإفادتنا خلال 15 يوماً، وإلا اعتُبر الرصيد صحيحاً.","")))))</f>
        <v/>
      </c>
      <c r="E226" s="119">
        <f>IF($M226="m",IF($N226&lt;&gt;"",INDEX(tblInv[الإجمالي],$N226),0),IF($M226="l",INDEX(tblBuckets[الفترة],5),IF($M226="v",TEXT(SUMIFS(tblInv[المتبقي],tblInv[كود العميل],StCust,tblInv[الفترة],INDEX(tblBuckets[الفترة],5)),"#,##0.00;-#,##0.00;-"),"")))</f>
        <v/>
      </c>
      <c r="F226" s="119">
        <f>IF($M226="m",IF($O226&lt;&gt;"",INDEX(tblRec[المبلغ],$O226),0),IF($M226="l",INDEX(tblBuckets[الفترة],6),IF($M226="v",TEXT(SUMIFS(tblInv[المتبقي],tblInv[كود العميل],StCust,tblInv[الفترة],INDEX(tblBuckets[الفترة],6)),"#,##0.00;-#,##0.00;-"),"")))</f>
        <v/>
      </c>
      <c r="G226" s="120">
        <f>IF($M226="m",N(G225)+E226-F226,IF($M226="l",INDEX(tblBuckets[الفترة],7),IF($M226="v",TEXT(SUMIFS(tblInv[المتبقي],tblInv[كود العميل],StCust,tblInv[الفترة],INDEX(tblBuckets[الفترة],7)),"#,##0.00;-#,##0.00;-"),"")))</f>
        <v/>
      </c>
      <c r="L226" t="n">
        <v>221</v>
      </c>
      <c r="M226">
        <f>IF(L226&lt;=StCount,"m",IF(L226=StCount+2,"t",IF(L226=StCount+3,"l",IF(L226=StCount+4,"v",IF(L226=StCount+6,"p","")))))</f>
        <v/>
      </c>
      <c r="N226">
        <f>IF(M226="m",IFERROR(MATCH(L226,tblInv[ترتيب الكشف],0),""),"")</f>
        <v/>
      </c>
      <c r="O226">
        <f>IF(AND(M226="m",N226=""),IFERROR(MATCH(L226,tblRec[ترتيب الكشف],0),""),"")</f>
        <v/>
      </c>
    </row>
    <row r="227">
      <c r="A227" s="117">
        <f>IF($M227="m",IF($N227&lt;&gt;"",INDEX(tblInv[تاريخ الفاتورة],$N227),INDEX(tblRec[التاريخ],$O227)),IF($M227="l",INDEX(tblBuckets[الفترة],1),IF($M227="v",TEXT(SUMIFS(tblInv[المتبقي],tblInv[كود العميل],StCust,tblInv[الفترة],INDEX(tblBuckets[الفترة],1)),"#,##0.00;-#,##0.00;-"),"")))</f>
        <v/>
      </c>
      <c r="B227" s="83">
        <f>IF($M227="m",IF($N227&lt;&gt;"","فاتورة",INDEX(tblRec[النوع],$O227)),IF($M227="l",INDEX(tblBuckets[الفترة],2),IF($M227="v",TEXT(SUMIFS(tblInv[المتبقي],tblInv[كود العميل],StCust,tblInv[الفترة],INDEX(tblBuckets[الفترة],2)),"#,##0.00;-#,##0.00;-"),"")))</f>
        <v/>
      </c>
      <c r="C227" s="83">
        <f>IF($M227="m",IF($N227&lt;&gt;"",INDEX(tblInv[رقم الفاتورة],$N227),INDEX(tblRec[رقم السند],$O227)),IF($M227="l",INDEX(tblBuckets[الفترة],3),IF($M227="v",TEXT(SUMIFS(tblInv[المتبقي],tblInv[كود العميل],StCust,tblInv[الفترة],INDEX(tblBuckets[الفترة],3)),"#,##0.00;-#,##0.00;-"),"")))</f>
        <v/>
      </c>
      <c r="D227" s="118">
        <f>IF($M227="m",IF($N227&lt;&gt;"","فاتورة مبيعات — استحقاق "&amp;TEXT(INDEX(tblInv[تاريخ الاستحقاق],$N227),"dd/mm/yyyy")&amp;IF(INDEX(tblInv[ملاحظات],$N227)&amp;""&lt;&gt;""," — "&amp;INDEX(tblInv[ملاحظات],$N227),""),INDEX(tblRec[النوع],$O227)&amp;IF(INDEX(tblRec[طريقة الدفع],$O227)&amp;""&lt;&gt;""," ("&amp;INDEX(tblRec[طريقة الدفع],$O227)&amp;")","")&amp;IF(INDEX(tblRec[رقم الفاتورة],$O227)&amp;""&lt;&gt;""," — عن فاتورة "&amp;INDEX(tblRec[رقم الفاتورة],$O227)," — دفعة على الحساب")),IF($M227="l",INDEX(tblBuckets[الفترة],4),IF($M227="v",TEXT(SUMIFS(tblInv[المتبقي],tblInv[كود العميل],StCust,tblInv[الفترة],INDEX(tblBuckets[الفترة],4)),"#,##0.00;-#,##0.00;-"),IF($M227="t","ملخص أعمار رصيد العميل كما في "&amp;TEXT(AsOf,"dd/mm/yyyy"),IF($M227="p","يُرجى مطابقة الرصيد وإفادتنا خلال 15 يوماً، وإلا اعتُبر الرصيد صحيحاً.","")))))</f>
        <v/>
      </c>
      <c r="E227" s="119">
        <f>IF($M227="m",IF($N227&lt;&gt;"",INDEX(tblInv[الإجمالي],$N227),0),IF($M227="l",INDEX(tblBuckets[الفترة],5),IF($M227="v",TEXT(SUMIFS(tblInv[المتبقي],tblInv[كود العميل],StCust,tblInv[الفترة],INDEX(tblBuckets[الفترة],5)),"#,##0.00;-#,##0.00;-"),"")))</f>
        <v/>
      </c>
      <c r="F227" s="119">
        <f>IF($M227="m",IF($O227&lt;&gt;"",INDEX(tblRec[المبلغ],$O227),0),IF($M227="l",INDEX(tblBuckets[الفترة],6),IF($M227="v",TEXT(SUMIFS(tblInv[المتبقي],tblInv[كود العميل],StCust,tblInv[الفترة],INDEX(tblBuckets[الفترة],6)),"#,##0.00;-#,##0.00;-"),"")))</f>
        <v/>
      </c>
      <c r="G227" s="120">
        <f>IF($M227="m",N(G226)+E227-F227,IF($M227="l",INDEX(tblBuckets[الفترة],7),IF($M227="v",TEXT(SUMIFS(tblInv[المتبقي],tblInv[كود العميل],StCust,tblInv[الفترة],INDEX(tblBuckets[الفترة],7)),"#,##0.00;-#,##0.00;-"),"")))</f>
        <v/>
      </c>
      <c r="L227" t="n">
        <v>222</v>
      </c>
      <c r="M227">
        <f>IF(L227&lt;=StCount,"m",IF(L227=StCount+2,"t",IF(L227=StCount+3,"l",IF(L227=StCount+4,"v",IF(L227=StCount+6,"p","")))))</f>
        <v/>
      </c>
      <c r="N227">
        <f>IF(M227="m",IFERROR(MATCH(L227,tblInv[ترتيب الكشف],0),""),"")</f>
        <v/>
      </c>
      <c r="O227">
        <f>IF(AND(M227="m",N227=""),IFERROR(MATCH(L227,tblRec[ترتيب الكشف],0),""),"")</f>
        <v/>
      </c>
    </row>
    <row r="228">
      <c r="A228" s="117">
        <f>IF($M228="m",IF($N228&lt;&gt;"",INDEX(tblInv[تاريخ الفاتورة],$N228),INDEX(tblRec[التاريخ],$O228)),IF($M228="l",INDEX(tblBuckets[الفترة],1),IF($M228="v",TEXT(SUMIFS(tblInv[المتبقي],tblInv[كود العميل],StCust,tblInv[الفترة],INDEX(tblBuckets[الفترة],1)),"#,##0.00;-#,##0.00;-"),"")))</f>
        <v/>
      </c>
      <c r="B228" s="83">
        <f>IF($M228="m",IF($N228&lt;&gt;"","فاتورة",INDEX(tblRec[النوع],$O228)),IF($M228="l",INDEX(tblBuckets[الفترة],2),IF($M228="v",TEXT(SUMIFS(tblInv[المتبقي],tblInv[كود العميل],StCust,tblInv[الفترة],INDEX(tblBuckets[الفترة],2)),"#,##0.00;-#,##0.00;-"),"")))</f>
        <v/>
      </c>
      <c r="C228" s="83">
        <f>IF($M228="m",IF($N228&lt;&gt;"",INDEX(tblInv[رقم الفاتورة],$N228),INDEX(tblRec[رقم السند],$O228)),IF($M228="l",INDEX(tblBuckets[الفترة],3),IF($M228="v",TEXT(SUMIFS(tblInv[المتبقي],tblInv[كود العميل],StCust,tblInv[الفترة],INDEX(tblBuckets[الفترة],3)),"#,##0.00;-#,##0.00;-"),"")))</f>
        <v/>
      </c>
      <c r="D228" s="118">
        <f>IF($M228="m",IF($N228&lt;&gt;"","فاتورة مبيعات — استحقاق "&amp;TEXT(INDEX(tblInv[تاريخ الاستحقاق],$N228),"dd/mm/yyyy")&amp;IF(INDEX(tblInv[ملاحظات],$N228)&amp;""&lt;&gt;""," — "&amp;INDEX(tblInv[ملاحظات],$N228),""),INDEX(tblRec[النوع],$O228)&amp;IF(INDEX(tblRec[طريقة الدفع],$O228)&amp;""&lt;&gt;""," ("&amp;INDEX(tblRec[طريقة الدفع],$O228)&amp;")","")&amp;IF(INDEX(tblRec[رقم الفاتورة],$O228)&amp;""&lt;&gt;""," — عن فاتورة "&amp;INDEX(tblRec[رقم الفاتورة],$O228)," — دفعة على الحساب")),IF($M228="l",INDEX(tblBuckets[الفترة],4),IF($M228="v",TEXT(SUMIFS(tblInv[المتبقي],tblInv[كود العميل],StCust,tblInv[الفترة],INDEX(tblBuckets[الفترة],4)),"#,##0.00;-#,##0.00;-"),IF($M228="t","ملخص أعمار رصيد العميل كما في "&amp;TEXT(AsOf,"dd/mm/yyyy"),IF($M228="p","يُرجى مطابقة الرصيد وإفادتنا خلال 15 يوماً، وإلا اعتُبر الرصيد صحيحاً.","")))))</f>
        <v/>
      </c>
      <c r="E228" s="119">
        <f>IF($M228="m",IF($N228&lt;&gt;"",INDEX(tblInv[الإجمالي],$N228),0),IF($M228="l",INDEX(tblBuckets[الفترة],5),IF($M228="v",TEXT(SUMIFS(tblInv[المتبقي],tblInv[كود العميل],StCust,tblInv[الفترة],INDEX(tblBuckets[الفترة],5)),"#,##0.00;-#,##0.00;-"),"")))</f>
        <v/>
      </c>
      <c r="F228" s="119">
        <f>IF($M228="m",IF($O228&lt;&gt;"",INDEX(tblRec[المبلغ],$O228),0),IF($M228="l",INDEX(tblBuckets[الفترة],6),IF($M228="v",TEXT(SUMIFS(tblInv[المتبقي],tblInv[كود العميل],StCust,tblInv[الفترة],INDEX(tblBuckets[الفترة],6)),"#,##0.00;-#,##0.00;-"),"")))</f>
        <v/>
      </c>
      <c r="G228" s="120">
        <f>IF($M228="m",N(G227)+E228-F228,IF($M228="l",INDEX(tblBuckets[الفترة],7),IF($M228="v",TEXT(SUMIFS(tblInv[المتبقي],tblInv[كود العميل],StCust,tblInv[الفترة],INDEX(tblBuckets[الفترة],7)),"#,##0.00;-#,##0.00;-"),"")))</f>
        <v/>
      </c>
      <c r="L228" t="n">
        <v>223</v>
      </c>
      <c r="M228">
        <f>IF(L228&lt;=StCount,"m",IF(L228=StCount+2,"t",IF(L228=StCount+3,"l",IF(L228=StCount+4,"v",IF(L228=StCount+6,"p","")))))</f>
        <v/>
      </c>
      <c r="N228">
        <f>IF(M228="m",IFERROR(MATCH(L228,tblInv[ترتيب الكشف],0),""),"")</f>
        <v/>
      </c>
      <c r="O228">
        <f>IF(AND(M228="m",N228=""),IFERROR(MATCH(L228,tblRec[ترتيب الكشف],0),""),"")</f>
        <v/>
      </c>
    </row>
    <row r="229">
      <c r="A229" s="117">
        <f>IF($M229="m",IF($N229&lt;&gt;"",INDEX(tblInv[تاريخ الفاتورة],$N229),INDEX(tblRec[التاريخ],$O229)),IF($M229="l",INDEX(tblBuckets[الفترة],1),IF($M229="v",TEXT(SUMIFS(tblInv[المتبقي],tblInv[كود العميل],StCust,tblInv[الفترة],INDEX(tblBuckets[الفترة],1)),"#,##0.00;-#,##0.00;-"),"")))</f>
        <v/>
      </c>
      <c r="B229" s="83">
        <f>IF($M229="m",IF($N229&lt;&gt;"","فاتورة",INDEX(tblRec[النوع],$O229)),IF($M229="l",INDEX(tblBuckets[الفترة],2),IF($M229="v",TEXT(SUMIFS(tblInv[المتبقي],tblInv[كود العميل],StCust,tblInv[الفترة],INDEX(tblBuckets[الفترة],2)),"#,##0.00;-#,##0.00;-"),"")))</f>
        <v/>
      </c>
      <c r="C229" s="83">
        <f>IF($M229="m",IF($N229&lt;&gt;"",INDEX(tblInv[رقم الفاتورة],$N229),INDEX(tblRec[رقم السند],$O229)),IF($M229="l",INDEX(tblBuckets[الفترة],3),IF($M229="v",TEXT(SUMIFS(tblInv[المتبقي],tblInv[كود العميل],StCust,tblInv[الفترة],INDEX(tblBuckets[الفترة],3)),"#,##0.00;-#,##0.00;-"),"")))</f>
        <v/>
      </c>
      <c r="D229" s="118">
        <f>IF($M229="m",IF($N229&lt;&gt;"","فاتورة مبيعات — استحقاق "&amp;TEXT(INDEX(tblInv[تاريخ الاستحقاق],$N229),"dd/mm/yyyy")&amp;IF(INDEX(tblInv[ملاحظات],$N229)&amp;""&lt;&gt;""," — "&amp;INDEX(tblInv[ملاحظات],$N229),""),INDEX(tblRec[النوع],$O229)&amp;IF(INDEX(tblRec[طريقة الدفع],$O229)&amp;""&lt;&gt;""," ("&amp;INDEX(tblRec[طريقة الدفع],$O229)&amp;")","")&amp;IF(INDEX(tblRec[رقم الفاتورة],$O229)&amp;""&lt;&gt;""," — عن فاتورة "&amp;INDEX(tblRec[رقم الفاتورة],$O229)," — دفعة على الحساب")),IF($M229="l",INDEX(tblBuckets[الفترة],4),IF($M229="v",TEXT(SUMIFS(tblInv[المتبقي],tblInv[كود العميل],StCust,tblInv[الفترة],INDEX(tblBuckets[الفترة],4)),"#,##0.00;-#,##0.00;-"),IF($M229="t","ملخص أعمار رصيد العميل كما في "&amp;TEXT(AsOf,"dd/mm/yyyy"),IF($M229="p","يُرجى مطابقة الرصيد وإفادتنا خلال 15 يوماً، وإلا اعتُبر الرصيد صحيحاً.","")))))</f>
        <v/>
      </c>
      <c r="E229" s="119">
        <f>IF($M229="m",IF($N229&lt;&gt;"",INDEX(tblInv[الإجمالي],$N229),0),IF($M229="l",INDEX(tblBuckets[الفترة],5),IF($M229="v",TEXT(SUMIFS(tblInv[المتبقي],tblInv[كود العميل],StCust,tblInv[الفترة],INDEX(tblBuckets[الفترة],5)),"#,##0.00;-#,##0.00;-"),"")))</f>
        <v/>
      </c>
      <c r="F229" s="119">
        <f>IF($M229="m",IF($O229&lt;&gt;"",INDEX(tblRec[المبلغ],$O229),0),IF($M229="l",INDEX(tblBuckets[الفترة],6),IF($M229="v",TEXT(SUMIFS(tblInv[المتبقي],tblInv[كود العميل],StCust,tblInv[الفترة],INDEX(tblBuckets[الفترة],6)),"#,##0.00;-#,##0.00;-"),"")))</f>
        <v/>
      </c>
      <c r="G229" s="120">
        <f>IF($M229="m",N(G228)+E229-F229,IF($M229="l",INDEX(tblBuckets[الفترة],7),IF($M229="v",TEXT(SUMIFS(tblInv[المتبقي],tblInv[كود العميل],StCust,tblInv[الفترة],INDEX(tblBuckets[الفترة],7)),"#,##0.00;-#,##0.00;-"),"")))</f>
        <v/>
      </c>
      <c r="L229" t="n">
        <v>224</v>
      </c>
      <c r="M229">
        <f>IF(L229&lt;=StCount,"m",IF(L229=StCount+2,"t",IF(L229=StCount+3,"l",IF(L229=StCount+4,"v",IF(L229=StCount+6,"p","")))))</f>
        <v/>
      </c>
      <c r="N229">
        <f>IF(M229="m",IFERROR(MATCH(L229,tblInv[ترتيب الكشف],0),""),"")</f>
        <v/>
      </c>
      <c r="O229">
        <f>IF(AND(M229="m",N229=""),IFERROR(MATCH(L229,tblRec[ترتيب الكشف],0),""),"")</f>
        <v/>
      </c>
    </row>
    <row r="230">
      <c r="A230" s="117">
        <f>IF($M230="m",IF($N230&lt;&gt;"",INDEX(tblInv[تاريخ الفاتورة],$N230),INDEX(tblRec[التاريخ],$O230)),IF($M230="l",INDEX(tblBuckets[الفترة],1),IF($M230="v",TEXT(SUMIFS(tblInv[المتبقي],tblInv[كود العميل],StCust,tblInv[الفترة],INDEX(tblBuckets[الفترة],1)),"#,##0.00;-#,##0.00;-"),"")))</f>
        <v/>
      </c>
      <c r="B230" s="83">
        <f>IF($M230="m",IF($N230&lt;&gt;"","فاتورة",INDEX(tblRec[النوع],$O230)),IF($M230="l",INDEX(tblBuckets[الفترة],2),IF($M230="v",TEXT(SUMIFS(tblInv[المتبقي],tblInv[كود العميل],StCust,tblInv[الفترة],INDEX(tblBuckets[الفترة],2)),"#,##0.00;-#,##0.00;-"),"")))</f>
        <v/>
      </c>
      <c r="C230" s="83">
        <f>IF($M230="m",IF($N230&lt;&gt;"",INDEX(tblInv[رقم الفاتورة],$N230),INDEX(tblRec[رقم السند],$O230)),IF($M230="l",INDEX(tblBuckets[الفترة],3),IF($M230="v",TEXT(SUMIFS(tblInv[المتبقي],tblInv[كود العميل],StCust,tblInv[الفترة],INDEX(tblBuckets[الفترة],3)),"#,##0.00;-#,##0.00;-"),"")))</f>
        <v/>
      </c>
      <c r="D230" s="118">
        <f>IF($M230="m",IF($N230&lt;&gt;"","فاتورة مبيعات — استحقاق "&amp;TEXT(INDEX(tblInv[تاريخ الاستحقاق],$N230),"dd/mm/yyyy")&amp;IF(INDEX(tblInv[ملاحظات],$N230)&amp;""&lt;&gt;""," — "&amp;INDEX(tblInv[ملاحظات],$N230),""),INDEX(tblRec[النوع],$O230)&amp;IF(INDEX(tblRec[طريقة الدفع],$O230)&amp;""&lt;&gt;""," ("&amp;INDEX(tblRec[طريقة الدفع],$O230)&amp;")","")&amp;IF(INDEX(tblRec[رقم الفاتورة],$O230)&amp;""&lt;&gt;""," — عن فاتورة "&amp;INDEX(tblRec[رقم الفاتورة],$O230)," — دفعة على الحساب")),IF($M230="l",INDEX(tblBuckets[الفترة],4),IF($M230="v",TEXT(SUMIFS(tblInv[المتبقي],tblInv[كود العميل],StCust,tblInv[الفترة],INDEX(tblBuckets[الفترة],4)),"#,##0.00;-#,##0.00;-"),IF($M230="t","ملخص أعمار رصيد العميل كما في "&amp;TEXT(AsOf,"dd/mm/yyyy"),IF($M230="p","يُرجى مطابقة الرصيد وإفادتنا خلال 15 يوماً، وإلا اعتُبر الرصيد صحيحاً.","")))))</f>
        <v/>
      </c>
      <c r="E230" s="119">
        <f>IF($M230="m",IF($N230&lt;&gt;"",INDEX(tblInv[الإجمالي],$N230),0),IF($M230="l",INDEX(tblBuckets[الفترة],5),IF($M230="v",TEXT(SUMIFS(tblInv[المتبقي],tblInv[كود العميل],StCust,tblInv[الفترة],INDEX(tblBuckets[الفترة],5)),"#,##0.00;-#,##0.00;-"),"")))</f>
        <v/>
      </c>
      <c r="F230" s="119">
        <f>IF($M230="m",IF($O230&lt;&gt;"",INDEX(tblRec[المبلغ],$O230),0),IF($M230="l",INDEX(tblBuckets[الفترة],6),IF($M230="v",TEXT(SUMIFS(tblInv[المتبقي],tblInv[كود العميل],StCust,tblInv[الفترة],INDEX(tblBuckets[الفترة],6)),"#,##0.00;-#,##0.00;-"),"")))</f>
        <v/>
      </c>
      <c r="G230" s="120">
        <f>IF($M230="m",N(G229)+E230-F230,IF($M230="l",INDEX(tblBuckets[الفترة],7),IF($M230="v",TEXT(SUMIFS(tblInv[المتبقي],tblInv[كود العميل],StCust,tblInv[الفترة],INDEX(tblBuckets[الفترة],7)),"#,##0.00;-#,##0.00;-"),"")))</f>
        <v/>
      </c>
      <c r="L230" t="n">
        <v>225</v>
      </c>
      <c r="M230">
        <f>IF(L230&lt;=StCount,"m",IF(L230=StCount+2,"t",IF(L230=StCount+3,"l",IF(L230=StCount+4,"v",IF(L230=StCount+6,"p","")))))</f>
        <v/>
      </c>
      <c r="N230">
        <f>IF(M230="m",IFERROR(MATCH(L230,tblInv[ترتيب الكشف],0),""),"")</f>
        <v/>
      </c>
      <c r="O230">
        <f>IF(AND(M230="m",N230=""),IFERROR(MATCH(L230,tblRec[ترتيب الكشف],0),""),"")</f>
        <v/>
      </c>
    </row>
    <row r="231">
      <c r="A231" s="117">
        <f>IF($M231="m",IF($N231&lt;&gt;"",INDEX(tblInv[تاريخ الفاتورة],$N231),INDEX(tblRec[التاريخ],$O231)),IF($M231="l",INDEX(tblBuckets[الفترة],1),IF($M231="v",TEXT(SUMIFS(tblInv[المتبقي],tblInv[كود العميل],StCust,tblInv[الفترة],INDEX(tblBuckets[الفترة],1)),"#,##0.00;-#,##0.00;-"),"")))</f>
        <v/>
      </c>
      <c r="B231" s="83">
        <f>IF($M231="m",IF($N231&lt;&gt;"","فاتورة",INDEX(tblRec[النوع],$O231)),IF($M231="l",INDEX(tblBuckets[الفترة],2),IF($M231="v",TEXT(SUMIFS(tblInv[المتبقي],tblInv[كود العميل],StCust,tblInv[الفترة],INDEX(tblBuckets[الفترة],2)),"#,##0.00;-#,##0.00;-"),"")))</f>
        <v/>
      </c>
      <c r="C231" s="83">
        <f>IF($M231="m",IF($N231&lt;&gt;"",INDEX(tblInv[رقم الفاتورة],$N231),INDEX(tblRec[رقم السند],$O231)),IF($M231="l",INDEX(tblBuckets[الفترة],3),IF($M231="v",TEXT(SUMIFS(tblInv[المتبقي],tblInv[كود العميل],StCust,tblInv[الفترة],INDEX(tblBuckets[الفترة],3)),"#,##0.00;-#,##0.00;-"),"")))</f>
        <v/>
      </c>
      <c r="D231" s="118">
        <f>IF($M231="m",IF($N231&lt;&gt;"","فاتورة مبيعات — استحقاق "&amp;TEXT(INDEX(tblInv[تاريخ الاستحقاق],$N231),"dd/mm/yyyy")&amp;IF(INDEX(tblInv[ملاحظات],$N231)&amp;""&lt;&gt;""," — "&amp;INDEX(tblInv[ملاحظات],$N231),""),INDEX(tblRec[النوع],$O231)&amp;IF(INDEX(tblRec[طريقة الدفع],$O231)&amp;""&lt;&gt;""," ("&amp;INDEX(tblRec[طريقة الدفع],$O231)&amp;")","")&amp;IF(INDEX(tblRec[رقم الفاتورة],$O231)&amp;""&lt;&gt;""," — عن فاتورة "&amp;INDEX(tblRec[رقم الفاتورة],$O231)," — دفعة على الحساب")),IF($M231="l",INDEX(tblBuckets[الفترة],4),IF($M231="v",TEXT(SUMIFS(tblInv[المتبقي],tblInv[كود العميل],StCust,tblInv[الفترة],INDEX(tblBuckets[الفترة],4)),"#,##0.00;-#,##0.00;-"),IF($M231="t","ملخص أعمار رصيد العميل كما في "&amp;TEXT(AsOf,"dd/mm/yyyy"),IF($M231="p","يُرجى مطابقة الرصيد وإفادتنا خلال 15 يوماً، وإلا اعتُبر الرصيد صحيحاً.","")))))</f>
        <v/>
      </c>
      <c r="E231" s="119">
        <f>IF($M231="m",IF($N231&lt;&gt;"",INDEX(tblInv[الإجمالي],$N231),0),IF($M231="l",INDEX(tblBuckets[الفترة],5),IF($M231="v",TEXT(SUMIFS(tblInv[المتبقي],tblInv[كود العميل],StCust,tblInv[الفترة],INDEX(tblBuckets[الفترة],5)),"#,##0.00;-#,##0.00;-"),"")))</f>
        <v/>
      </c>
      <c r="F231" s="119">
        <f>IF($M231="m",IF($O231&lt;&gt;"",INDEX(tblRec[المبلغ],$O231),0),IF($M231="l",INDEX(tblBuckets[الفترة],6),IF($M231="v",TEXT(SUMIFS(tblInv[المتبقي],tblInv[كود العميل],StCust,tblInv[الفترة],INDEX(tblBuckets[الفترة],6)),"#,##0.00;-#,##0.00;-"),"")))</f>
        <v/>
      </c>
      <c r="G231" s="120">
        <f>IF($M231="m",N(G230)+E231-F231,IF($M231="l",INDEX(tblBuckets[الفترة],7),IF($M231="v",TEXT(SUMIFS(tblInv[المتبقي],tblInv[كود العميل],StCust,tblInv[الفترة],INDEX(tblBuckets[الفترة],7)),"#,##0.00;-#,##0.00;-"),"")))</f>
        <v/>
      </c>
      <c r="L231" t="n">
        <v>226</v>
      </c>
      <c r="M231">
        <f>IF(L231&lt;=StCount,"m",IF(L231=StCount+2,"t",IF(L231=StCount+3,"l",IF(L231=StCount+4,"v",IF(L231=StCount+6,"p","")))))</f>
        <v/>
      </c>
      <c r="N231">
        <f>IF(M231="m",IFERROR(MATCH(L231,tblInv[ترتيب الكشف],0),""),"")</f>
        <v/>
      </c>
      <c r="O231">
        <f>IF(AND(M231="m",N231=""),IFERROR(MATCH(L231,tblRec[ترتيب الكشف],0),""),"")</f>
        <v/>
      </c>
    </row>
    <row r="232">
      <c r="A232" s="117">
        <f>IF($M232="m",IF($N232&lt;&gt;"",INDEX(tblInv[تاريخ الفاتورة],$N232),INDEX(tblRec[التاريخ],$O232)),IF($M232="l",INDEX(tblBuckets[الفترة],1),IF($M232="v",TEXT(SUMIFS(tblInv[المتبقي],tblInv[كود العميل],StCust,tblInv[الفترة],INDEX(tblBuckets[الفترة],1)),"#,##0.00;-#,##0.00;-"),"")))</f>
        <v/>
      </c>
      <c r="B232" s="83">
        <f>IF($M232="m",IF($N232&lt;&gt;"","فاتورة",INDEX(tblRec[النوع],$O232)),IF($M232="l",INDEX(tblBuckets[الفترة],2),IF($M232="v",TEXT(SUMIFS(tblInv[المتبقي],tblInv[كود العميل],StCust,tblInv[الفترة],INDEX(tblBuckets[الفترة],2)),"#,##0.00;-#,##0.00;-"),"")))</f>
        <v/>
      </c>
      <c r="C232" s="83">
        <f>IF($M232="m",IF($N232&lt;&gt;"",INDEX(tblInv[رقم الفاتورة],$N232),INDEX(tblRec[رقم السند],$O232)),IF($M232="l",INDEX(tblBuckets[الفترة],3),IF($M232="v",TEXT(SUMIFS(tblInv[المتبقي],tblInv[كود العميل],StCust,tblInv[الفترة],INDEX(tblBuckets[الفترة],3)),"#,##0.00;-#,##0.00;-"),"")))</f>
        <v/>
      </c>
      <c r="D232" s="118">
        <f>IF($M232="m",IF($N232&lt;&gt;"","فاتورة مبيعات — استحقاق "&amp;TEXT(INDEX(tblInv[تاريخ الاستحقاق],$N232),"dd/mm/yyyy")&amp;IF(INDEX(tblInv[ملاحظات],$N232)&amp;""&lt;&gt;""," — "&amp;INDEX(tblInv[ملاحظات],$N232),""),INDEX(tblRec[النوع],$O232)&amp;IF(INDEX(tblRec[طريقة الدفع],$O232)&amp;""&lt;&gt;""," ("&amp;INDEX(tblRec[طريقة الدفع],$O232)&amp;")","")&amp;IF(INDEX(tblRec[رقم الفاتورة],$O232)&amp;""&lt;&gt;""," — عن فاتورة "&amp;INDEX(tblRec[رقم الفاتورة],$O232)," — دفعة على الحساب")),IF($M232="l",INDEX(tblBuckets[الفترة],4),IF($M232="v",TEXT(SUMIFS(tblInv[المتبقي],tblInv[كود العميل],StCust,tblInv[الفترة],INDEX(tblBuckets[الفترة],4)),"#,##0.00;-#,##0.00;-"),IF($M232="t","ملخص أعمار رصيد العميل كما في "&amp;TEXT(AsOf,"dd/mm/yyyy"),IF($M232="p","يُرجى مطابقة الرصيد وإفادتنا خلال 15 يوماً، وإلا اعتُبر الرصيد صحيحاً.","")))))</f>
        <v/>
      </c>
      <c r="E232" s="119">
        <f>IF($M232="m",IF($N232&lt;&gt;"",INDEX(tblInv[الإجمالي],$N232),0),IF($M232="l",INDEX(tblBuckets[الفترة],5),IF($M232="v",TEXT(SUMIFS(tblInv[المتبقي],tblInv[كود العميل],StCust,tblInv[الفترة],INDEX(tblBuckets[الفترة],5)),"#,##0.00;-#,##0.00;-"),"")))</f>
        <v/>
      </c>
      <c r="F232" s="119">
        <f>IF($M232="m",IF($O232&lt;&gt;"",INDEX(tblRec[المبلغ],$O232),0),IF($M232="l",INDEX(tblBuckets[الفترة],6),IF($M232="v",TEXT(SUMIFS(tblInv[المتبقي],tblInv[كود العميل],StCust,tblInv[الفترة],INDEX(tblBuckets[الفترة],6)),"#,##0.00;-#,##0.00;-"),"")))</f>
        <v/>
      </c>
      <c r="G232" s="120">
        <f>IF($M232="m",N(G231)+E232-F232,IF($M232="l",INDEX(tblBuckets[الفترة],7),IF($M232="v",TEXT(SUMIFS(tblInv[المتبقي],tblInv[كود العميل],StCust,tblInv[الفترة],INDEX(tblBuckets[الفترة],7)),"#,##0.00;-#,##0.00;-"),"")))</f>
        <v/>
      </c>
      <c r="L232" t="n">
        <v>227</v>
      </c>
      <c r="M232">
        <f>IF(L232&lt;=StCount,"m",IF(L232=StCount+2,"t",IF(L232=StCount+3,"l",IF(L232=StCount+4,"v",IF(L232=StCount+6,"p","")))))</f>
        <v/>
      </c>
      <c r="N232">
        <f>IF(M232="m",IFERROR(MATCH(L232,tblInv[ترتيب الكشف],0),""),"")</f>
        <v/>
      </c>
      <c r="O232">
        <f>IF(AND(M232="m",N232=""),IFERROR(MATCH(L232,tblRec[ترتيب الكشف],0),""),"")</f>
        <v/>
      </c>
    </row>
    <row r="233">
      <c r="A233" s="117">
        <f>IF($M233="m",IF($N233&lt;&gt;"",INDEX(tblInv[تاريخ الفاتورة],$N233),INDEX(tblRec[التاريخ],$O233)),IF($M233="l",INDEX(tblBuckets[الفترة],1),IF($M233="v",TEXT(SUMIFS(tblInv[المتبقي],tblInv[كود العميل],StCust,tblInv[الفترة],INDEX(tblBuckets[الفترة],1)),"#,##0.00;-#,##0.00;-"),"")))</f>
        <v/>
      </c>
      <c r="B233" s="83">
        <f>IF($M233="m",IF($N233&lt;&gt;"","فاتورة",INDEX(tblRec[النوع],$O233)),IF($M233="l",INDEX(tblBuckets[الفترة],2),IF($M233="v",TEXT(SUMIFS(tblInv[المتبقي],tblInv[كود العميل],StCust,tblInv[الفترة],INDEX(tblBuckets[الفترة],2)),"#,##0.00;-#,##0.00;-"),"")))</f>
        <v/>
      </c>
      <c r="C233" s="83">
        <f>IF($M233="m",IF($N233&lt;&gt;"",INDEX(tblInv[رقم الفاتورة],$N233),INDEX(tblRec[رقم السند],$O233)),IF($M233="l",INDEX(tblBuckets[الفترة],3),IF($M233="v",TEXT(SUMIFS(tblInv[المتبقي],tblInv[كود العميل],StCust,tblInv[الفترة],INDEX(tblBuckets[الفترة],3)),"#,##0.00;-#,##0.00;-"),"")))</f>
        <v/>
      </c>
      <c r="D233" s="118">
        <f>IF($M233="m",IF($N233&lt;&gt;"","فاتورة مبيعات — استحقاق "&amp;TEXT(INDEX(tblInv[تاريخ الاستحقاق],$N233),"dd/mm/yyyy")&amp;IF(INDEX(tblInv[ملاحظات],$N233)&amp;""&lt;&gt;""," — "&amp;INDEX(tblInv[ملاحظات],$N233),""),INDEX(tblRec[النوع],$O233)&amp;IF(INDEX(tblRec[طريقة الدفع],$O233)&amp;""&lt;&gt;""," ("&amp;INDEX(tblRec[طريقة الدفع],$O233)&amp;")","")&amp;IF(INDEX(tblRec[رقم الفاتورة],$O233)&amp;""&lt;&gt;""," — عن فاتورة "&amp;INDEX(tblRec[رقم الفاتورة],$O233)," — دفعة على الحساب")),IF($M233="l",INDEX(tblBuckets[الفترة],4),IF($M233="v",TEXT(SUMIFS(tblInv[المتبقي],tblInv[كود العميل],StCust,tblInv[الفترة],INDEX(tblBuckets[الفترة],4)),"#,##0.00;-#,##0.00;-"),IF($M233="t","ملخص أعمار رصيد العميل كما في "&amp;TEXT(AsOf,"dd/mm/yyyy"),IF($M233="p","يُرجى مطابقة الرصيد وإفادتنا خلال 15 يوماً، وإلا اعتُبر الرصيد صحيحاً.","")))))</f>
        <v/>
      </c>
      <c r="E233" s="119">
        <f>IF($M233="m",IF($N233&lt;&gt;"",INDEX(tblInv[الإجمالي],$N233),0),IF($M233="l",INDEX(tblBuckets[الفترة],5),IF($M233="v",TEXT(SUMIFS(tblInv[المتبقي],tblInv[كود العميل],StCust,tblInv[الفترة],INDEX(tblBuckets[الفترة],5)),"#,##0.00;-#,##0.00;-"),"")))</f>
        <v/>
      </c>
      <c r="F233" s="119">
        <f>IF($M233="m",IF($O233&lt;&gt;"",INDEX(tblRec[المبلغ],$O233),0),IF($M233="l",INDEX(tblBuckets[الفترة],6),IF($M233="v",TEXT(SUMIFS(tblInv[المتبقي],tblInv[كود العميل],StCust,tblInv[الفترة],INDEX(tblBuckets[الفترة],6)),"#,##0.00;-#,##0.00;-"),"")))</f>
        <v/>
      </c>
      <c r="G233" s="120">
        <f>IF($M233="m",N(G232)+E233-F233,IF($M233="l",INDEX(tblBuckets[الفترة],7),IF($M233="v",TEXT(SUMIFS(tblInv[المتبقي],tblInv[كود العميل],StCust,tblInv[الفترة],INDEX(tblBuckets[الفترة],7)),"#,##0.00;-#,##0.00;-"),"")))</f>
        <v/>
      </c>
      <c r="L233" t="n">
        <v>228</v>
      </c>
      <c r="M233">
        <f>IF(L233&lt;=StCount,"m",IF(L233=StCount+2,"t",IF(L233=StCount+3,"l",IF(L233=StCount+4,"v",IF(L233=StCount+6,"p","")))))</f>
        <v/>
      </c>
      <c r="N233">
        <f>IF(M233="m",IFERROR(MATCH(L233,tblInv[ترتيب الكشف],0),""),"")</f>
        <v/>
      </c>
      <c r="O233">
        <f>IF(AND(M233="m",N233=""),IFERROR(MATCH(L233,tblRec[ترتيب الكشف],0),""),"")</f>
        <v/>
      </c>
    </row>
    <row r="234">
      <c r="A234" s="117">
        <f>IF($M234="m",IF($N234&lt;&gt;"",INDEX(tblInv[تاريخ الفاتورة],$N234),INDEX(tblRec[التاريخ],$O234)),IF($M234="l",INDEX(tblBuckets[الفترة],1),IF($M234="v",TEXT(SUMIFS(tblInv[المتبقي],tblInv[كود العميل],StCust,tblInv[الفترة],INDEX(tblBuckets[الفترة],1)),"#,##0.00;-#,##0.00;-"),"")))</f>
        <v/>
      </c>
      <c r="B234" s="83">
        <f>IF($M234="m",IF($N234&lt;&gt;"","فاتورة",INDEX(tblRec[النوع],$O234)),IF($M234="l",INDEX(tblBuckets[الفترة],2),IF($M234="v",TEXT(SUMIFS(tblInv[المتبقي],tblInv[كود العميل],StCust,tblInv[الفترة],INDEX(tblBuckets[الفترة],2)),"#,##0.00;-#,##0.00;-"),"")))</f>
        <v/>
      </c>
      <c r="C234" s="83">
        <f>IF($M234="m",IF($N234&lt;&gt;"",INDEX(tblInv[رقم الفاتورة],$N234),INDEX(tblRec[رقم السند],$O234)),IF($M234="l",INDEX(tblBuckets[الفترة],3),IF($M234="v",TEXT(SUMIFS(tblInv[المتبقي],tblInv[كود العميل],StCust,tblInv[الفترة],INDEX(tblBuckets[الفترة],3)),"#,##0.00;-#,##0.00;-"),"")))</f>
        <v/>
      </c>
      <c r="D234" s="118">
        <f>IF($M234="m",IF($N234&lt;&gt;"","فاتورة مبيعات — استحقاق "&amp;TEXT(INDEX(tblInv[تاريخ الاستحقاق],$N234),"dd/mm/yyyy")&amp;IF(INDEX(tblInv[ملاحظات],$N234)&amp;""&lt;&gt;""," — "&amp;INDEX(tblInv[ملاحظات],$N234),""),INDEX(tblRec[النوع],$O234)&amp;IF(INDEX(tblRec[طريقة الدفع],$O234)&amp;""&lt;&gt;""," ("&amp;INDEX(tblRec[طريقة الدفع],$O234)&amp;")","")&amp;IF(INDEX(tblRec[رقم الفاتورة],$O234)&amp;""&lt;&gt;""," — عن فاتورة "&amp;INDEX(tblRec[رقم الفاتورة],$O234)," — دفعة على الحساب")),IF($M234="l",INDEX(tblBuckets[الفترة],4),IF($M234="v",TEXT(SUMIFS(tblInv[المتبقي],tblInv[كود العميل],StCust,tblInv[الفترة],INDEX(tblBuckets[الفترة],4)),"#,##0.00;-#,##0.00;-"),IF($M234="t","ملخص أعمار رصيد العميل كما في "&amp;TEXT(AsOf,"dd/mm/yyyy"),IF($M234="p","يُرجى مطابقة الرصيد وإفادتنا خلال 15 يوماً، وإلا اعتُبر الرصيد صحيحاً.","")))))</f>
        <v/>
      </c>
      <c r="E234" s="119">
        <f>IF($M234="m",IF($N234&lt;&gt;"",INDEX(tblInv[الإجمالي],$N234),0),IF($M234="l",INDEX(tblBuckets[الفترة],5),IF($M234="v",TEXT(SUMIFS(tblInv[المتبقي],tblInv[كود العميل],StCust,tblInv[الفترة],INDEX(tblBuckets[الفترة],5)),"#,##0.00;-#,##0.00;-"),"")))</f>
        <v/>
      </c>
      <c r="F234" s="119">
        <f>IF($M234="m",IF($O234&lt;&gt;"",INDEX(tblRec[المبلغ],$O234),0),IF($M234="l",INDEX(tblBuckets[الفترة],6),IF($M234="v",TEXT(SUMIFS(tblInv[المتبقي],tblInv[كود العميل],StCust,tblInv[الفترة],INDEX(tblBuckets[الفترة],6)),"#,##0.00;-#,##0.00;-"),"")))</f>
        <v/>
      </c>
      <c r="G234" s="120">
        <f>IF($M234="m",N(G233)+E234-F234,IF($M234="l",INDEX(tblBuckets[الفترة],7),IF($M234="v",TEXT(SUMIFS(tblInv[المتبقي],tblInv[كود العميل],StCust,tblInv[الفترة],INDEX(tblBuckets[الفترة],7)),"#,##0.00;-#,##0.00;-"),"")))</f>
        <v/>
      </c>
      <c r="L234" t="n">
        <v>229</v>
      </c>
      <c r="M234">
        <f>IF(L234&lt;=StCount,"m",IF(L234=StCount+2,"t",IF(L234=StCount+3,"l",IF(L234=StCount+4,"v",IF(L234=StCount+6,"p","")))))</f>
        <v/>
      </c>
      <c r="N234">
        <f>IF(M234="m",IFERROR(MATCH(L234,tblInv[ترتيب الكشف],0),""),"")</f>
        <v/>
      </c>
      <c r="O234">
        <f>IF(AND(M234="m",N234=""),IFERROR(MATCH(L234,tblRec[ترتيب الكشف],0),""),"")</f>
        <v/>
      </c>
    </row>
    <row r="235">
      <c r="A235" s="117">
        <f>IF($M235="m",IF($N235&lt;&gt;"",INDEX(tblInv[تاريخ الفاتورة],$N235),INDEX(tblRec[التاريخ],$O235)),IF($M235="l",INDEX(tblBuckets[الفترة],1),IF($M235="v",TEXT(SUMIFS(tblInv[المتبقي],tblInv[كود العميل],StCust,tblInv[الفترة],INDEX(tblBuckets[الفترة],1)),"#,##0.00;-#,##0.00;-"),"")))</f>
        <v/>
      </c>
      <c r="B235" s="83">
        <f>IF($M235="m",IF($N235&lt;&gt;"","فاتورة",INDEX(tblRec[النوع],$O235)),IF($M235="l",INDEX(tblBuckets[الفترة],2),IF($M235="v",TEXT(SUMIFS(tblInv[المتبقي],tblInv[كود العميل],StCust,tblInv[الفترة],INDEX(tblBuckets[الفترة],2)),"#,##0.00;-#,##0.00;-"),"")))</f>
        <v/>
      </c>
      <c r="C235" s="83">
        <f>IF($M235="m",IF($N235&lt;&gt;"",INDEX(tblInv[رقم الفاتورة],$N235),INDEX(tblRec[رقم السند],$O235)),IF($M235="l",INDEX(tblBuckets[الفترة],3),IF($M235="v",TEXT(SUMIFS(tblInv[المتبقي],tblInv[كود العميل],StCust,tblInv[الفترة],INDEX(tblBuckets[الفترة],3)),"#,##0.00;-#,##0.00;-"),"")))</f>
        <v/>
      </c>
      <c r="D235" s="118">
        <f>IF($M235="m",IF($N235&lt;&gt;"","فاتورة مبيعات — استحقاق "&amp;TEXT(INDEX(tblInv[تاريخ الاستحقاق],$N235),"dd/mm/yyyy")&amp;IF(INDEX(tblInv[ملاحظات],$N235)&amp;""&lt;&gt;""," — "&amp;INDEX(tblInv[ملاحظات],$N235),""),INDEX(tblRec[النوع],$O235)&amp;IF(INDEX(tblRec[طريقة الدفع],$O235)&amp;""&lt;&gt;""," ("&amp;INDEX(tblRec[طريقة الدفع],$O235)&amp;")","")&amp;IF(INDEX(tblRec[رقم الفاتورة],$O235)&amp;""&lt;&gt;""," — عن فاتورة "&amp;INDEX(tblRec[رقم الفاتورة],$O235)," — دفعة على الحساب")),IF($M235="l",INDEX(tblBuckets[الفترة],4),IF($M235="v",TEXT(SUMIFS(tblInv[المتبقي],tblInv[كود العميل],StCust,tblInv[الفترة],INDEX(tblBuckets[الفترة],4)),"#,##0.00;-#,##0.00;-"),IF($M235="t","ملخص أعمار رصيد العميل كما في "&amp;TEXT(AsOf,"dd/mm/yyyy"),IF($M235="p","يُرجى مطابقة الرصيد وإفادتنا خلال 15 يوماً، وإلا اعتُبر الرصيد صحيحاً.","")))))</f>
        <v/>
      </c>
      <c r="E235" s="119">
        <f>IF($M235="m",IF($N235&lt;&gt;"",INDEX(tblInv[الإجمالي],$N235),0),IF($M235="l",INDEX(tblBuckets[الفترة],5),IF($M235="v",TEXT(SUMIFS(tblInv[المتبقي],tblInv[كود العميل],StCust,tblInv[الفترة],INDEX(tblBuckets[الفترة],5)),"#,##0.00;-#,##0.00;-"),"")))</f>
        <v/>
      </c>
      <c r="F235" s="119">
        <f>IF($M235="m",IF($O235&lt;&gt;"",INDEX(tblRec[المبلغ],$O235),0),IF($M235="l",INDEX(tblBuckets[الفترة],6),IF($M235="v",TEXT(SUMIFS(tblInv[المتبقي],tblInv[كود العميل],StCust,tblInv[الفترة],INDEX(tblBuckets[الفترة],6)),"#,##0.00;-#,##0.00;-"),"")))</f>
        <v/>
      </c>
      <c r="G235" s="120">
        <f>IF($M235="m",N(G234)+E235-F235,IF($M235="l",INDEX(tblBuckets[الفترة],7),IF($M235="v",TEXT(SUMIFS(tblInv[المتبقي],tblInv[كود العميل],StCust,tblInv[الفترة],INDEX(tblBuckets[الفترة],7)),"#,##0.00;-#,##0.00;-"),"")))</f>
        <v/>
      </c>
      <c r="L235" t="n">
        <v>230</v>
      </c>
      <c r="M235">
        <f>IF(L235&lt;=StCount,"m",IF(L235=StCount+2,"t",IF(L235=StCount+3,"l",IF(L235=StCount+4,"v",IF(L235=StCount+6,"p","")))))</f>
        <v/>
      </c>
      <c r="N235">
        <f>IF(M235="m",IFERROR(MATCH(L235,tblInv[ترتيب الكشف],0),""),"")</f>
        <v/>
      </c>
      <c r="O235">
        <f>IF(AND(M235="m",N235=""),IFERROR(MATCH(L235,tblRec[ترتيب الكشف],0),""),"")</f>
        <v/>
      </c>
    </row>
    <row r="236">
      <c r="A236" s="117">
        <f>IF($M236="m",IF($N236&lt;&gt;"",INDEX(tblInv[تاريخ الفاتورة],$N236),INDEX(tblRec[التاريخ],$O236)),IF($M236="l",INDEX(tblBuckets[الفترة],1),IF($M236="v",TEXT(SUMIFS(tblInv[المتبقي],tblInv[كود العميل],StCust,tblInv[الفترة],INDEX(tblBuckets[الفترة],1)),"#,##0.00;-#,##0.00;-"),"")))</f>
        <v/>
      </c>
      <c r="B236" s="83">
        <f>IF($M236="m",IF($N236&lt;&gt;"","فاتورة",INDEX(tblRec[النوع],$O236)),IF($M236="l",INDEX(tblBuckets[الفترة],2),IF($M236="v",TEXT(SUMIFS(tblInv[المتبقي],tblInv[كود العميل],StCust,tblInv[الفترة],INDEX(tblBuckets[الفترة],2)),"#,##0.00;-#,##0.00;-"),"")))</f>
        <v/>
      </c>
      <c r="C236" s="83">
        <f>IF($M236="m",IF($N236&lt;&gt;"",INDEX(tblInv[رقم الفاتورة],$N236),INDEX(tblRec[رقم السند],$O236)),IF($M236="l",INDEX(tblBuckets[الفترة],3),IF($M236="v",TEXT(SUMIFS(tblInv[المتبقي],tblInv[كود العميل],StCust,tblInv[الفترة],INDEX(tblBuckets[الفترة],3)),"#,##0.00;-#,##0.00;-"),"")))</f>
        <v/>
      </c>
      <c r="D236" s="118">
        <f>IF($M236="m",IF($N236&lt;&gt;"","فاتورة مبيعات — استحقاق "&amp;TEXT(INDEX(tblInv[تاريخ الاستحقاق],$N236),"dd/mm/yyyy")&amp;IF(INDEX(tblInv[ملاحظات],$N236)&amp;""&lt;&gt;""," — "&amp;INDEX(tblInv[ملاحظات],$N236),""),INDEX(tblRec[النوع],$O236)&amp;IF(INDEX(tblRec[طريقة الدفع],$O236)&amp;""&lt;&gt;""," ("&amp;INDEX(tblRec[طريقة الدفع],$O236)&amp;")","")&amp;IF(INDEX(tblRec[رقم الفاتورة],$O236)&amp;""&lt;&gt;""," — عن فاتورة "&amp;INDEX(tblRec[رقم الفاتورة],$O236)," — دفعة على الحساب")),IF($M236="l",INDEX(tblBuckets[الفترة],4),IF($M236="v",TEXT(SUMIFS(tblInv[المتبقي],tblInv[كود العميل],StCust,tblInv[الفترة],INDEX(tblBuckets[الفترة],4)),"#,##0.00;-#,##0.00;-"),IF($M236="t","ملخص أعمار رصيد العميل كما في "&amp;TEXT(AsOf,"dd/mm/yyyy"),IF($M236="p","يُرجى مطابقة الرصيد وإفادتنا خلال 15 يوماً، وإلا اعتُبر الرصيد صحيحاً.","")))))</f>
        <v/>
      </c>
      <c r="E236" s="119">
        <f>IF($M236="m",IF($N236&lt;&gt;"",INDEX(tblInv[الإجمالي],$N236),0),IF($M236="l",INDEX(tblBuckets[الفترة],5),IF($M236="v",TEXT(SUMIFS(tblInv[المتبقي],tblInv[كود العميل],StCust,tblInv[الفترة],INDEX(tblBuckets[الفترة],5)),"#,##0.00;-#,##0.00;-"),"")))</f>
        <v/>
      </c>
      <c r="F236" s="119">
        <f>IF($M236="m",IF($O236&lt;&gt;"",INDEX(tblRec[المبلغ],$O236),0),IF($M236="l",INDEX(tblBuckets[الفترة],6),IF($M236="v",TEXT(SUMIFS(tblInv[المتبقي],tblInv[كود العميل],StCust,tblInv[الفترة],INDEX(tblBuckets[الفترة],6)),"#,##0.00;-#,##0.00;-"),"")))</f>
        <v/>
      </c>
      <c r="G236" s="120">
        <f>IF($M236="m",N(G235)+E236-F236,IF($M236="l",INDEX(tblBuckets[الفترة],7),IF($M236="v",TEXT(SUMIFS(tblInv[المتبقي],tblInv[كود العميل],StCust,tblInv[الفترة],INDEX(tblBuckets[الفترة],7)),"#,##0.00;-#,##0.00;-"),"")))</f>
        <v/>
      </c>
      <c r="L236" t="n">
        <v>231</v>
      </c>
      <c r="M236">
        <f>IF(L236&lt;=StCount,"m",IF(L236=StCount+2,"t",IF(L236=StCount+3,"l",IF(L236=StCount+4,"v",IF(L236=StCount+6,"p","")))))</f>
        <v/>
      </c>
      <c r="N236">
        <f>IF(M236="m",IFERROR(MATCH(L236,tblInv[ترتيب الكشف],0),""),"")</f>
        <v/>
      </c>
      <c r="O236">
        <f>IF(AND(M236="m",N236=""),IFERROR(MATCH(L236,tblRec[ترتيب الكشف],0),""),"")</f>
        <v/>
      </c>
    </row>
    <row r="237">
      <c r="A237" s="117">
        <f>IF($M237="m",IF($N237&lt;&gt;"",INDEX(tblInv[تاريخ الفاتورة],$N237),INDEX(tblRec[التاريخ],$O237)),IF($M237="l",INDEX(tblBuckets[الفترة],1),IF($M237="v",TEXT(SUMIFS(tblInv[المتبقي],tblInv[كود العميل],StCust,tblInv[الفترة],INDEX(tblBuckets[الفترة],1)),"#,##0.00;-#,##0.00;-"),"")))</f>
        <v/>
      </c>
      <c r="B237" s="83">
        <f>IF($M237="m",IF($N237&lt;&gt;"","فاتورة",INDEX(tblRec[النوع],$O237)),IF($M237="l",INDEX(tblBuckets[الفترة],2),IF($M237="v",TEXT(SUMIFS(tblInv[المتبقي],tblInv[كود العميل],StCust,tblInv[الفترة],INDEX(tblBuckets[الفترة],2)),"#,##0.00;-#,##0.00;-"),"")))</f>
        <v/>
      </c>
      <c r="C237" s="83">
        <f>IF($M237="m",IF($N237&lt;&gt;"",INDEX(tblInv[رقم الفاتورة],$N237),INDEX(tblRec[رقم السند],$O237)),IF($M237="l",INDEX(tblBuckets[الفترة],3),IF($M237="v",TEXT(SUMIFS(tblInv[المتبقي],tblInv[كود العميل],StCust,tblInv[الفترة],INDEX(tblBuckets[الفترة],3)),"#,##0.00;-#,##0.00;-"),"")))</f>
        <v/>
      </c>
      <c r="D237" s="118">
        <f>IF($M237="m",IF($N237&lt;&gt;"","فاتورة مبيعات — استحقاق "&amp;TEXT(INDEX(tblInv[تاريخ الاستحقاق],$N237),"dd/mm/yyyy")&amp;IF(INDEX(tblInv[ملاحظات],$N237)&amp;""&lt;&gt;""," — "&amp;INDEX(tblInv[ملاحظات],$N237),""),INDEX(tblRec[النوع],$O237)&amp;IF(INDEX(tblRec[طريقة الدفع],$O237)&amp;""&lt;&gt;""," ("&amp;INDEX(tblRec[طريقة الدفع],$O237)&amp;")","")&amp;IF(INDEX(tblRec[رقم الفاتورة],$O237)&amp;""&lt;&gt;""," — عن فاتورة "&amp;INDEX(tblRec[رقم الفاتورة],$O237)," — دفعة على الحساب")),IF($M237="l",INDEX(tblBuckets[الفترة],4),IF($M237="v",TEXT(SUMIFS(tblInv[المتبقي],tblInv[كود العميل],StCust,tblInv[الفترة],INDEX(tblBuckets[الفترة],4)),"#,##0.00;-#,##0.00;-"),IF($M237="t","ملخص أعمار رصيد العميل كما في "&amp;TEXT(AsOf,"dd/mm/yyyy"),IF($M237="p","يُرجى مطابقة الرصيد وإفادتنا خلال 15 يوماً، وإلا اعتُبر الرصيد صحيحاً.","")))))</f>
        <v/>
      </c>
      <c r="E237" s="119">
        <f>IF($M237="m",IF($N237&lt;&gt;"",INDEX(tblInv[الإجمالي],$N237),0),IF($M237="l",INDEX(tblBuckets[الفترة],5),IF($M237="v",TEXT(SUMIFS(tblInv[المتبقي],tblInv[كود العميل],StCust,tblInv[الفترة],INDEX(tblBuckets[الفترة],5)),"#,##0.00;-#,##0.00;-"),"")))</f>
        <v/>
      </c>
      <c r="F237" s="119">
        <f>IF($M237="m",IF($O237&lt;&gt;"",INDEX(tblRec[المبلغ],$O237),0),IF($M237="l",INDEX(tblBuckets[الفترة],6),IF($M237="v",TEXT(SUMIFS(tblInv[المتبقي],tblInv[كود العميل],StCust,tblInv[الفترة],INDEX(tblBuckets[الفترة],6)),"#,##0.00;-#,##0.00;-"),"")))</f>
        <v/>
      </c>
      <c r="G237" s="120">
        <f>IF($M237="m",N(G236)+E237-F237,IF($M237="l",INDEX(tblBuckets[الفترة],7),IF($M237="v",TEXT(SUMIFS(tblInv[المتبقي],tblInv[كود العميل],StCust,tblInv[الفترة],INDEX(tblBuckets[الفترة],7)),"#,##0.00;-#,##0.00;-"),"")))</f>
        <v/>
      </c>
      <c r="L237" t="n">
        <v>232</v>
      </c>
      <c r="M237">
        <f>IF(L237&lt;=StCount,"m",IF(L237=StCount+2,"t",IF(L237=StCount+3,"l",IF(L237=StCount+4,"v",IF(L237=StCount+6,"p","")))))</f>
        <v/>
      </c>
      <c r="N237">
        <f>IF(M237="m",IFERROR(MATCH(L237,tblInv[ترتيب الكشف],0),""),"")</f>
        <v/>
      </c>
      <c r="O237">
        <f>IF(AND(M237="m",N237=""),IFERROR(MATCH(L237,tblRec[ترتيب الكشف],0),""),"")</f>
        <v/>
      </c>
    </row>
    <row r="238">
      <c r="A238" s="117">
        <f>IF($M238="m",IF($N238&lt;&gt;"",INDEX(tblInv[تاريخ الفاتورة],$N238),INDEX(tblRec[التاريخ],$O238)),IF($M238="l",INDEX(tblBuckets[الفترة],1),IF($M238="v",TEXT(SUMIFS(tblInv[المتبقي],tblInv[كود العميل],StCust,tblInv[الفترة],INDEX(tblBuckets[الفترة],1)),"#,##0.00;-#,##0.00;-"),"")))</f>
        <v/>
      </c>
      <c r="B238" s="83">
        <f>IF($M238="m",IF($N238&lt;&gt;"","فاتورة",INDEX(tblRec[النوع],$O238)),IF($M238="l",INDEX(tblBuckets[الفترة],2),IF($M238="v",TEXT(SUMIFS(tblInv[المتبقي],tblInv[كود العميل],StCust,tblInv[الفترة],INDEX(tblBuckets[الفترة],2)),"#,##0.00;-#,##0.00;-"),"")))</f>
        <v/>
      </c>
      <c r="C238" s="83">
        <f>IF($M238="m",IF($N238&lt;&gt;"",INDEX(tblInv[رقم الفاتورة],$N238),INDEX(tblRec[رقم السند],$O238)),IF($M238="l",INDEX(tblBuckets[الفترة],3),IF($M238="v",TEXT(SUMIFS(tblInv[المتبقي],tblInv[كود العميل],StCust,tblInv[الفترة],INDEX(tblBuckets[الفترة],3)),"#,##0.00;-#,##0.00;-"),"")))</f>
        <v/>
      </c>
      <c r="D238" s="118">
        <f>IF($M238="m",IF($N238&lt;&gt;"","فاتورة مبيعات — استحقاق "&amp;TEXT(INDEX(tblInv[تاريخ الاستحقاق],$N238),"dd/mm/yyyy")&amp;IF(INDEX(tblInv[ملاحظات],$N238)&amp;""&lt;&gt;""," — "&amp;INDEX(tblInv[ملاحظات],$N238),""),INDEX(tblRec[النوع],$O238)&amp;IF(INDEX(tblRec[طريقة الدفع],$O238)&amp;""&lt;&gt;""," ("&amp;INDEX(tblRec[طريقة الدفع],$O238)&amp;")","")&amp;IF(INDEX(tblRec[رقم الفاتورة],$O238)&amp;""&lt;&gt;""," — عن فاتورة "&amp;INDEX(tblRec[رقم الفاتورة],$O238)," — دفعة على الحساب")),IF($M238="l",INDEX(tblBuckets[الفترة],4),IF($M238="v",TEXT(SUMIFS(tblInv[المتبقي],tblInv[كود العميل],StCust,tblInv[الفترة],INDEX(tblBuckets[الفترة],4)),"#,##0.00;-#,##0.00;-"),IF($M238="t","ملخص أعمار رصيد العميل كما في "&amp;TEXT(AsOf,"dd/mm/yyyy"),IF($M238="p","يُرجى مطابقة الرصيد وإفادتنا خلال 15 يوماً، وإلا اعتُبر الرصيد صحيحاً.","")))))</f>
        <v/>
      </c>
      <c r="E238" s="119">
        <f>IF($M238="m",IF($N238&lt;&gt;"",INDEX(tblInv[الإجمالي],$N238),0),IF($M238="l",INDEX(tblBuckets[الفترة],5),IF($M238="v",TEXT(SUMIFS(tblInv[المتبقي],tblInv[كود العميل],StCust,tblInv[الفترة],INDEX(tblBuckets[الفترة],5)),"#,##0.00;-#,##0.00;-"),"")))</f>
        <v/>
      </c>
      <c r="F238" s="119">
        <f>IF($M238="m",IF($O238&lt;&gt;"",INDEX(tblRec[المبلغ],$O238),0),IF($M238="l",INDEX(tblBuckets[الفترة],6),IF($M238="v",TEXT(SUMIFS(tblInv[المتبقي],tblInv[كود العميل],StCust,tblInv[الفترة],INDEX(tblBuckets[الفترة],6)),"#,##0.00;-#,##0.00;-"),"")))</f>
        <v/>
      </c>
      <c r="G238" s="120">
        <f>IF($M238="m",N(G237)+E238-F238,IF($M238="l",INDEX(tblBuckets[الفترة],7),IF($M238="v",TEXT(SUMIFS(tblInv[المتبقي],tblInv[كود العميل],StCust,tblInv[الفترة],INDEX(tblBuckets[الفترة],7)),"#,##0.00;-#,##0.00;-"),"")))</f>
        <v/>
      </c>
      <c r="L238" t="n">
        <v>233</v>
      </c>
      <c r="M238">
        <f>IF(L238&lt;=StCount,"m",IF(L238=StCount+2,"t",IF(L238=StCount+3,"l",IF(L238=StCount+4,"v",IF(L238=StCount+6,"p","")))))</f>
        <v/>
      </c>
      <c r="N238">
        <f>IF(M238="m",IFERROR(MATCH(L238,tblInv[ترتيب الكشف],0),""),"")</f>
        <v/>
      </c>
      <c r="O238">
        <f>IF(AND(M238="m",N238=""),IFERROR(MATCH(L238,tblRec[ترتيب الكشف],0),""),"")</f>
        <v/>
      </c>
    </row>
    <row r="239">
      <c r="A239" s="117">
        <f>IF($M239="m",IF($N239&lt;&gt;"",INDEX(tblInv[تاريخ الفاتورة],$N239),INDEX(tblRec[التاريخ],$O239)),IF($M239="l",INDEX(tblBuckets[الفترة],1),IF($M239="v",TEXT(SUMIFS(tblInv[المتبقي],tblInv[كود العميل],StCust,tblInv[الفترة],INDEX(tblBuckets[الفترة],1)),"#,##0.00;-#,##0.00;-"),"")))</f>
        <v/>
      </c>
      <c r="B239" s="83">
        <f>IF($M239="m",IF($N239&lt;&gt;"","فاتورة",INDEX(tblRec[النوع],$O239)),IF($M239="l",INDEX(tblBuckets[الفترة],2),IF($M239="v",TEXT(SUMIFS(tblInv[المتبقي],tblInv[كود العميل],StCust,tblInv[الفترة],INDEX(tblBuckets[الفترة],2)),"#,##0.00;-#,##0.00;-"),"")))</f>
        <v/>
      </c>
      <c r="C239" s="83">
        <f>IF($M239="m",IF($N239&lt;&gt;"",INDEX(tblInv[رقم الفاتورة],$N239),INDEX(tblRec[رقم السند],$O239)),IF($M239="l",INDEX(tblBuckets[الفترة],3),IF($M239="v",TEXT(SUMIFS(tblInv[المتبقي],tblInv[كود العميل],StCust,tblInv[الفترة],INDEX(tblBuckets[الفترة],3)),"#,##0.00;-#,##0.00;-"),"")))</f>
        <v/>
      </c>
      <c r="D239" s="118">
        <f>IF($M239="m",IF($N239&lt;&gt;"","فاتورة مبيعات — استحقاق "&amp;TEXT(INDEX(tblInv[تاريخ الاستحقاق],$N239),"dd/mm/yyyy")&amp;IF(INDEX(tblInv[ملاحظات],$N239)&amp;""&lt;&gt;""," — "&amp;INDEX(tblInv[ملاحظات],$N239),""),INDEX(tblRec[النوع],$O239)&amp;IF(INDEX(tblRec[طريقة الدفع],$O239)&amp;""&lt;&gt;""," ("&amp;INDEX(tblRec[طريقة الدفع],$O239)&amp;")","")&amp;IF(INDEX(tblRec[رقم الفاتورة],$O239)&amp;""&lt;&gt;""," — عن فاتورة "&amp;INDEX(tblRec[رقم الفاتورة],$O239)," — دفعة على الحساب")),IF($M239="l",INDEX(tblBuckets[الفترة],4),IF($M239="v",TEXT(SUMIFS(tblInv[المتبقي],tblInv[كود العميل],StCust,tblInv[الفترة],INDEX(tblBuckets[الفترة],4)),"#,##0.00;-#,##0.00;-"),IF($M239="t","ملخص أعمار رصيد العميل كما في "&amp;TEXT(AsOf,"dd/mm/yyyy"),IF($M239="p","يُرجى مطابقة الرصيد وإفادتنا خلال 15 يوماً، وإلا اعتُبر الرصيد صحيحاً.","")))))</f>
        <v/>
      </c>
      <c r="E239" s="119">
        <f>IF($M239="m",IF($N239&lt;&gt;"",INDEX(tblInv[الإجمالي],$N239),0),IF($M239="l",INDEX(tblBuckets[الفترة],5),IF($M239="v",TEXT(SUMIFS(tblInv[المتبقي],tblInv[كود العميل],StCust,tblInv[الفترة],INDEX(tblBuckets[الفترة],5)),"#,##0.00;-#,##0.00;-"),"")))</f>
        <v/>
      </c>
      <c r="F239" s="119">
        <f>IF($M239="m",IF($O239&lt;&gt;"",INDEX(tblRec[المبلغ],$O239),0),IF($M239="l",INDEX(tblBuckets[الفترة],6),IF($M239="v",TEXT(SUMIFS(tblInv[المتبقي],tblInv[كود العميل],StCust,tblInv[الفترة],INDEX(tblBuckets[الفترة],6)),"#,##0.00;-#,##0.00;-"),"")))</f>
        <v/>
      </c>
      <c r="G239" s="120">
        <f>IF($M239="m",N(G238)+E239-F239,IF($M239="l",INDEX(tblBuckets[الفترة],7),IF($M239="v",TEXT(SUMIFS(tblInv[المتبقي],tblInv[كود العميل],StCust,tblInv[الفترة],INDEX(tblBuckets[الفترة],7)),"#,##0.00;-#,##0.00;-"),"")))</f>
        <v/>
      </c>
      <c r="L239" t="n">
        <v>234</v>
      </c>
      <c r="M239">
        <f>IF(L239&lt;=StCount,"m",IF(L239=StCount+2,"t",IF(L239=StCount+3,"l",IF(L239=StCount+4,"v",IF(L239=StCount+6,"p","")))))</f>
        <v/>
      </c>
      <c r="N239">
        <f>IF(M239="m",IFERROR(MATCH(L239,tblInv[ترتيب الكشف],0),""),"")</f>
        <v/>
      </c>
      <c r="O239">
        <f>IF(AND(M239="m",N239=""),IFERROR(MATCH(L239,tblRec[ترتيب الكشف],0),""),"")</f>
        <v/>
      </c>
    </row>
    <row r="240">
      <c r="A240" s="117">
        <f>IF($M240="m",IF($N240&lt;&gt;"",INDEX(tblInv[تاريخ الفاتورة],$N240),INDEX(tblRec[التاريخ],$O240)),IF($M240="l",INDEX(tblBuckets[الفترة],1),IF($M240="v",TEXT(SUMIFS(tblInv[المتبقي],tblInv[كود العميل],StCust,tblInv[الفترة],INDEX(tblBuckets[الفترة],1)),"#,##0.00;-#,##0.00;-"),"")))</f>
        <v/>
      </c>
      <c r="B240" s="83">
        <f>IF($M240="m",IF($N240&lt;&gt;"","فاتورة",INDEX(tblRec[النوع],$O240)),IF($M240="l",INDEX(tblBuckets[الفترة],2),IF($M240="v",TEXT(SUMIFS(tblInv[المتبقي],tblInv[كود العميل],StCust,tblInv[الفترة],INDEX(tblBuckets[الفترة],2)),"#,##0.00;-#,##0.00;-"),"")))</f>
        <v/>
      </c>
      <c r="C240" s="83">
        <f>IF($M240="m",IF($N240&lt;&gt;"",INDEX(tblInv[رقم الفاتورة],$N240),INDEX(tblRec[رقم السند],$O240)),IF($M240="l",INDEX(tblBuckets[الفترة],3),IF($M240="v",TEXT(SUMIFS(tblInv[المتبقي],tblInv[كود العميل],StCust,tblInv[الفترة],INDEX(tblBuckets[الفترة],3)),"#,##0.00;-#,##0.00;-"),"")))</f>
        <v/>
      </c>
      <c r="D240" s="118">
        <f>IF($M240="m",IF($N240&lt;&gt;"","فاتورة مبيعات — استحقاق "&amp;TEXT(INDEX(tblInv[تاريخ الاستحقاق],$N240),"dd/mm/yyyy")&amp;IF(INDEX(tblInv[ملاحظات],$N240)&amp;""&lt;&gt;""," — "&amp;INDEX(tblInv[ملاحظات],$N240),""),INDEX(tblRec[النوع],$O240)&amp;IF(INDEX(tblRec[طريقة الدفع],$O240)&amp;""&lt;&gt;""," ("&amp;INDEX(tblRec[طريقة الدفع],$O240)&amp;")","")&amp;IF(INDEX(tblRec[رقم الفاتورة],$O240)&amp;""&lt;&gt;""," — عن فاتورة "&amp;INDEX(tblRec[رقم الفاتورة],$O240)," — دفعة على الحساب")),IF($M240="l",INDEX(tblBuckets[الفترة],4),IF($M240="v",TEXT(SUMIFS(tblInv[المتبقي],tblInv[كود العميل],StCust,tblInv[الفترة],INDEX(tblBuckets[الفترة],4)),"#,##0.00;-#,##0.00;-"),IF($M240="t","ملخص أعمار رصيد العميل كما في "&amp;TEXT(AsOf,"dd/mm/yyyy"),IF($M240="p","يُرجى مطابقة الرصيد وإفادتنا خلال 15 يوماً، وإلا اعتُبر الرصيد صحيحاً.","")))))</f>
        <v/>
      </c>
      <c r="E240" s="119">
        <f>IF($M240="m",IF($N240&lt;&gt;"",INDEX(tblInv[الإجمالي],$N240),0),IF($M240="l",INDEX(tblBuckets[الفترة],5),IF($M240="v",TEXT(SUMIFS(tblInv[المتبقي],tblInv[كود العميل],StCust,tblInv[الفترة],INDEX(tblBuckets[الفترة],5)),"#,##0.00;-#,##0.00;-"),"")))</f>
        <v/>
      </c>
      <c r="F240" s="119">
        <f>IF($M240="m",IF($O240&lt;&gt;"",INDEX(tblRec[المبلغ],$O240),0),IF($M240="l",INDEX(tblBuckets[الفترة],6),IF($M240="v",TEXT(SUMIFS(tblInv[المتبقي],tblInv[كود العميل],StCust,tblInv[الفترة],INDEX(tblBuckets[الفترة],6)),"#,##0.00;-#,##0.00;-"),"")))</f>
        <v/>
      </c>
      <c r="G240" s="120">
        <f>IF($M240="m",N(G239)+E240-F240,IF($M240="l",INDEX(tblBuckets[الفترة],7),IF($M240="v",TEXT(SUMIFS(tblInv[المتبقي],tblInv[كود العميل],StCust,tblInv[الفترة],INDEX(tblBuckets[الفترة],7)),"#,##0.00;-#,##0.00;-"),"")))</f>
        <v/>
      </c>
      <c r="L240" t="n">
        <v>235</v>
      </c>
      <c r="M240">
        <f>IF(L240&lt;=StCount,"m",IF(L240=StCount+2,"t",IF(L240=StCount+3,"l",IF(L240=StCount+4,"v",IF(L240=StCount+6,"p","")))))</f>
        <v/>
      </c>
      <c r="N240">
        <f>IF(M240="m",IFERROR(MATCH(L240,tblInv[ترتيب الكشف],0),""),"")</f>
        <v/>
      </c>
      <c r="O240">
        <f>IF(AND(M240="m",N240=""),IFERROR(MATCH(L240,tblRec[ترتيب الكشف],0),""),"")</f>
        <v/>
      </c>
    </row>
    <row r="241">
      <c r="A241" s="117">
        <f>IF($M241="m",IF($N241&lt;&gt;"",INDEX(tblInv[تاريخ الفاتورة],$N241),INDEX(tblRec[التاريخ],$O241)),IF($M241="l",INDEX(tblBuckets[الفترة],1),IF($M241="v",TEXT(SUMIFS(tblInv[المتبقي],tblInv[كود العميل],StCust,tblInv[الفترة],INDEX(tblBuckets[الفترة],1)),"#,##0.00;-#,##0.00;-"),"")))</f>
        <v/>
      </c>
      <c r="B241" s="83">
        <f>IF($M241="m",IF($N241&lt;&gt;"","فاتورة",INDEX(tblRec[النوع],$O241)),IF($M241="l",INDEX(tblBuckets[الفترة],2),IF($M241="v",TEXT(SUMIFS(tblInv[المتبقي],tblInv[كود العميل],StCust,tblInv[الفترة],INDEX(tblBuckets[الفترة],2)),"#,##0.00;-#,##0.00;-"),"")))</f>
        <v/>
      </c>
      <c r="C241" s="83">
        <f>IF($M241="m",IF($N241&lt;&gt;"",INDEX(tblInv[رقم الفاتورة],$N241),INDEX(tblRec[رقم السند],$O241)),IF($M241="l",INDEX(tblBuckets[الفترة],3),IF($M241="v",TEXT(SUMIFS(tblInv[المتبقي],tblInv[كود العميل],StCust,tblInv[الفترة],INDEX(tblBuckets[الفترة],3)),"#,##0.00;-#,##0.00;-"),"")))</f>
        <v/>
      </c>
      <c r="D241" s="118">
        <f>IF($M241="m",IF($N241&lt;&gt;"","فاتورة مبيعات — استحقاق "&amp;TEXT(INDEX(tblInv[تاريخ الاستحقاق],$N241),"dd/mm/yyyy")&amp;IF(INDEX(tblInv[ملاحظات],$N241)&amp;""&lt;&gt;""," — "&amp;INDEX(tblInv[ملاحظات],$N241),""),INDEX(tblRec[النوع],$O241)&amp;IF(INDEX(tblRec[طريقة الدفع],$O241)&amp;""&lt;&gt;""," ("&amp;INDEX(tblRec[طريقة الدفع],$O241)&amp;")","")&amp;IF(INDEX(tblRec[رقم الفاتورة],$O241)&amp;""&lt;&gt;""," — عن فاتورة "&amp;INDEX(tblRec[رقم الفاتورة],$O241)," — دفعة على الحساب")),IF($M241="l",INDEX(tblBuckets[الفترة],4),IF($M241="v",TEXT(SUMIFS(tblInv[المتبقي],tblInv[كود العميل],StCust,tblInv[الفترة],INDEX(tblBuckets[الفترة],4)),"#,##0.00;-#,##0.00;-"),IF($M241="t","ملخص أعمار رصيد العميل كما في "&amp;TEXT(AsOf,"dd/mm/yyyy"),IF($M241="p","يُرجى مطابقة الرصيد وإفادتنا خلال 15 يوماً، وإلا اعتُبر الرصيد صحيحاً.","")))))</f>
        <v/>
      </c>
      <c r="E241" s="119">
        <f>IF($M241="m",IF($N241&lt;&gt;"",INDEX(tblInv[الإجمالي],$N241),0),IF($M241="l",INDEX(tblBuckets[الفترة],5),IF($M241="v",TEXT(SUMIFS(tblInv[المتبقي],tblInv[كود العميل],StCust,tblInv[الفترة],INDEX(tblBuckets[الفترة],5)),"#,##0.00;-#,##0.00;-"),"")))</f>
        <v/>
      </c>
      <c r="F241" s="119">
        <f>IF($M241="m",IF($O241&lt;&gt;"",INDEX(tblRec[المبلغ],$O241),0),IF($M241="l",INDEX(tblBuckets[الفترة],6),IF($M241="v",TEXT(SUMIFS(tblInv[المتبقي],tblInv[كود العميل],StCust,tblInv[الفترة],INDEX(tblBuckets[الفترة],6)),"#,##0.00;-#,##0.00;-"),"")))</f>
        <v/>
      </c>
      <c r="G241" s="120">
        <f>IF($M241="m",N(G240)+E241-F241,IF($M241="l",INDEX(tblBuckets[الفترة],7),IF($M241="v",TEXT(SUMIFS(tblInv[المتبقي],tblInv[كود العميل],StCust,tblInv[الفترة],INDEX(tblBuckets[الفترة],7)),"#,##0.00;-#,##0.00;-"),"")))</f>
        <v/>
      </c>
      <c r="L241" t="n">
        <v>236</v>
      </c>
      <c r="M241">
        <f>IF(L241&lt;=StCount,"m",IF(L241=StCount+2,"t",IF(L241=StCount+3,"l",IF(L241=StCount+4,"v",IF(L241=StCount+6,"p","")))))</f>
        <v/>
      </c>
      <c r="N241">
        <f>IF(M241="m",IFERROR(MATCH(L241,tblInv[ترتيب الكشف],0),""),"")</f>
        <v/>
      </c>
      <c r="O241">
        <f>IF(AND(M241="m",N241=""),IFERROR(MATCH(L241,tblRec[ترتيب الكشف],0),""),"")</f>
        <v/>
      </c>
    </row>
    <row r="242">
      <c r="A242" s="117">
        <f>IF($M242="m",IF($N242&lt;&gt;"",INDEX(tblInv[تاريخ الفاتورة],$N242),INDEX(tblRec[التاريخ],$O242)),IF($M242="l",INDEX(tblBuckets[الفترة],1),IF($M242="v",TEXT(SUMIFS(tblInv[المتبقي],tblInv[كود العميل],StCust,tblInv[الفترة],INDEX(tblBuckets[الفترة],1)),"#,##0.00;-#,##0.00;-"),"")))</f>
        <v/>
      </c>
      <c r="B242" s="83">
        <f>IF($M242="m",IF($N242&lt;&gt;"","فاتورة",INDEX(tblRec[النوع],$O242)),IF($M242="l",INDEX(tblBuckets[الفترة],2),IF($M242="v",TEXT(SUMIFS(tblInv[المتبقي],tblInv[كود العميل],StCust,tblInv[الفترة],INDEX(tblBuckets[الفترة],2)),"#,##0.00;-#,##0.00;-"),"")))</f>
        <v/>
      </c>
      <c r="C242" s="83">
        <f>IF($M242="m",IF($N242&lt;&gt;"",INDEX(tblInv[رقم الفاتورة],$N242),INDEX(tblRec[رقم السند],$O242)),IF($M242="l",INDEX(tblBuckets[الفترة],3),IF($M242="v",TEXT(SUMIFS(tblInv[المتبقي],tblInv[كود العميل],StCust,tblInv[الفترة],INDEX(tblBuckets[الفترة],3)),"#,##0.00;-#,##0.00;-"),"")))</f>
        <v/>
      </c>
      <c r="D242" s="118">
        <f>IF($M242="m",IF($N242&lt;&gt;"","فاتورة مبيعات — استحقاق "&amp;TEXT(INDEX(tblInv[تاريخ الاستحقاق],$N242),"dd/mm/yyyy")&amp;IF(INDEX(tblInv[ملاحظات],$N242)&amp;""&lt;&gt;""," — "&amp;INDEX(tblInv[ملاحظات],$N242),""),INDEX(tblRec[النوع],$O242)&amp;IF(INDEX(tblRec[طريقة الدفع],$O242)&amp;""&lt;&gt;""," ("&amp;INDEX(tblRec[طريقة الدفع],$O242)&amp;")","")&amp;IF(INDEX(tblRec[رقم الفاتورة],$O242)&amp;""&lt;&gt;""," — عن فاتورة "&amp;INDEX(tblRec[رقم الفاتورة],$O242)," — دفعة على الحساب")),IF($M242="l",INDEX(tblBuckets[الفترة],4),IF($M242="v",TEXT(SUMIFS(tblInv[المتبقي],tblInv[كود العميل],StCust,tblInv[الفترة],INDEX(tblBuckets[الفترة],4)),"#,##0.00;-#,##0.00;-"),IF($M242="t","ملخص أعمار رصيد العميل كما في "&amp;TEXT(AsOf,"dd/mm/yyyy"),IF($M242="p","يُرجى مطابقة الرصيد وإفادتنا خلال 15 يوماً، وإلا اعتُبر الرصيد صحيحاً.","")))))</f>
        <v/>
      </c>
      <c r="E242" s="119">
        <f>IF($M242="m",IF($N242&lt;&gt;"",INDEX(tblInv[الإجمالي],$N242),0),IF($M242="l",INDEX(tblBuckets[الفترة],5),IF($M242="v",TEXT(SUMIFS(tblInv[المتبقي],tblInv[كود العميل],StCust,tblInv[الفترة],INDEX(tblBuckets[الفترة],5)),"#,##0.00;-#,##0.00;-"),"")))</f>
        <v/>
      </c>
      <c r="F242" s="119">
        <f>IF($M242="m",IF($O242&lt;&gt;"",INDEX(tblRec[المبلغ],$O242),0),IF($M242="l",INDEX(tblBuckets[الفترة],6),IF($M242="v",TEXT(SUMIFS(tblInv[المتبقي],tblInv[كود العميل],StCust,tblInv[الفترة],INDEX(tblBuckets[الفترة],6)),"#,##0.00;-#,##0.00;-"),"")))</f>
        <v/>
      </c>
      <c r="G242" s="120">
        <f>IF($M242="m",N(G241)+E242-F242,IF($M242="l",INDEX(tblBuckets[الفترة],7),IF($M242="v",TEXT(SUMIFS(tblInv[المتبقي],tblInv[كود العميل],StCust,tblInv[الفترة],INDEX(tblBuckets[الفترة],7)),"#,##0.00;-#,##0.00;-"),"")))</f>
        <v/>
      </c>
      <c r="L242" t="n">
        <v>237</v>
      </c>
      <c r="M242">
        <f>IF(L242&lt;=StCount,"m",IF(L242=StCount+2,"t",IF(L242=StCount+3,"l",IF(L242=StCount+4,"v",IF(L242=StCount+6,"p","")))))</f>
        <v/>
      </c>
      <c r="N242">
        <f>IF(M242="m",IFERROR(MATCH(L242,tblInv[ترتيب الكشف],0),""),"")</f>
        <v/>
      </c>
      <c r="O242">
        <f>IF(AND(M242="m",N242=""),IFERROR(MATCH(L242,tblRec[ترتيب الكشف],0),""),"")</f>
        <v/>
      </c>
    </row>
    <row r="243">
      <c r="A243" s="117">
        <f>IF($M243="m",IF($N243&lt;&gt;"",INDEX(tblInv[تاريخ الفاتورة],$N243),INDEX(tblRec[التاريخ],$O243)),IF($M243="l",INDEX(tblBuckets[الفترة],1),IF($M243="v",TEXT(SUMIFS(tblInv[المتبقي],tblInv[كود العميل],StCust,tblInv[الفترة],INDEX(tblBuckets[الفترة],1)),"#,##0.00;-#,##0.00;-"),"")))</f>
        <v/>
      </c>
      <c r="B243" s="83">
        <f>IF($M243="m",IF($N243&lt;&gt;"","فاتورة",INDEX(tblRec[النوع],$O243)),IF($M243="l",INDEX(tblBuckets[الفترة],2),IF($M243="v",TEXT(SUMIFS(tblInv[المتبقي],tblInv[كود العميل],StCust,tblInv[الفترة],INDEX(tblBuckets[الفترة],2)),"#,##0.00;-#,##0.00;-"),"")))</f>
        <v/>
      </c>
      <c r="C243" s="83">
        <f>IF($M243="m",IF($N243&lt;&gt;"",INDEX(tblInv[رقم الفاتورة],$N243),INDEX(tblRec[رقم السند],$O243)),IF($M243="l",INDEX(tblBuckets[الفترة],3),IF($M243="v",TEXT(SUMIFS(tblInv[المتبقي],tblInv[كود العميل],StCust,tblInv[الفترة],INDEX(tblBuckets[الفترة],3)),"#,##0.00;-#,##0.00;-"),"")))</f>
        <v/>
      </c>
      <c r="D243" s="118">
        <f>IF($M243="m",IF($N243&lt;&gt;"","فاتورة مبيعات — استحقاق "&amp;TEXT(INDEX(tblInv[تاريخ الاستحقاق],$N243),"dd/mm/yyyy")&amp;IF(INDEX(tblInv[ملاحظات],$N243)&amp;""&lt;&gt;""," — "&amp;INDEX(tblInv[ملاحظات],$N243),""),INDEX(tblRec[النوع],$O243)&amp;IF(INDEX(tblRec[طريقة الدفع],$O243)&amp;""&lt;&gt;""," ("&amp;INDEX(tblRec[طريقة الدفع],$O243)&amp;")","")&amp;IF(INDEX(tblRec[رقم الفاتورة],$O243)&amp;""&lt;&gt;""," — عن فاتورة "&amp;INDEX(tblRec[رقم الفاتورة],$O243)," — دفعة على الحساب")),IF($M243="l",INDEX(tblBuckets[الفترة],4),IF($M243="v",TEXT(SUMIFS(tblInv[المتبقي],tblInv[كود العميل],StCust,tblInv[الفترة],INDEX(tblBuckets[الفترة],4)),"#,##0.00;-#,##0.00;-"),IF($M243="t","ملخص أعمار رصيد العميل كما في "&amp;TEXT(AsOf,"dd/mm/yyyy"),IF($M243="p","يُرجى مطابقة الرصيد وإفادتنا خلال 15 يوماً، وإلا اعتُبر الرصيد صحيحاً.","")))))</f>
        <v/>
      </c>
      <c r="E243" s="119">
        <f>IF($M243="m",IF($N243&lt;&gt;"",INDEX(tblInv[الإجمالي],$N243),0),IF($M243="l",INDEX(tblBuckets[الفترة],5),IF($M243="v",TEXT(SUMIFS(tblInv[المتبقي],tblInv[كود العميل],StCust,tblInv[الفترة],INDEX(tblBuckets[الفترة],5)),"#,##0.00;-#,##0.00;-"),"")))</f>
        <v/>
      </c>
      <c r="F243" s="119">
        <f>IF($M243="m",IF($O243&lt;&gt;"",INDEX(tblRec[المبلغ],$O243),0),IF($M243="l",INDEX(tblBuckets[الفترة],6),IF($M243="v",TEXT(SUMIFS(tblInv[المتبقي],tblInv[كود العميل],StCust,tblInv[الفترة],INDEX(tblBuckets[الفترة],6)),"#,##0.00;-#,##0.00;-"),"")))</f>
        <v/>
      </c>
      <c r="G243" s="120">
        <f>IF($M243="m",N(G242)+E243-F243,IF($M243="l",INDEX(tblBuckets[الفترة],7),IF($M243="v",TEXT(SUMIFS(tblInv[المتبقي],tblInv[كود العميل],StCust,tblInv[الفترة],INDEX(tblBuckets[الفترة],7)),"#,##0.00;-#,##0.00;-"),"")))</f>
        <v/>
      </c>
      <c r="L243" t="n">
        <v>238</v>
      </c>
      <c r="M243">
        <f>IF(L243&lt;=StCount,"m",IF(L243=StCount+2,"t",IF(L243=StCount+3,"l",IF(L243=StCount+4,"v",IF(L243=StCount+6,"p","")))))</f>
        <v/>
      </c>
      <c r="N243">
        <f>IF(M243="m",IFERROR(MATCH(L243,tblInv[ترتيب الكشف],0),""),"")</f>
        <v/>
      </c>
      <c r="O243">
        <f>IF(AND(M243="m",N243=""),IFERROR(MATCH(L243,tblRec[ترتيب الكشف],0),""),"")</f>
        <v/>
      </c>
    </row>
    <row r="244">
      <c r="A244" s="117">
        <f>IF($M244="m",IF($N244&lt;&gt;"",INDEX(tblInv[تاريخ الفاتورة],$N244),INDEX(tblRec[التاريخ],$O244)),IF($M244="l",INDEX(tblBuckets[الفترة],1),IF($M244="v",TEXT(SUMIFS(tblInv[المتبقي],tblInv[كود العميل],StCust,tblInv[الفترة],INDEX(tblBuckets[الفترة],1)),"#,##0.00;-#,##0.00;-"),"")))</f>
        <v/>
      </c>
      <c r="B244" s="83">
        <f>IF($M244="m",IF($N244&lt;&gt;"","فاتورة",INDEX(tblRec[النوع],$O244)),IF($M244="l",INDEX(tblBuckets[الفترة],2),IF($M244="v",TEXT(SUMIFS(tblInv[المتبقي],tblInv[كود العميل],StCust,tblInv[الفترة],INDEX(tblBuckets[الفترة],2)),"#,##0.00;-#,##0.00;-"),"")))</f>
        <v/>
      </c>
      <c r="C244" s="83">
        <f>IF($M244="m",IF($N244&lt;&gt;"",INDEX(tblInv[رقم الفاتورة],$N244),INDEX(tblRec[رقم السند],$O244)),IF($M244="l",INDEX(tblBuckets[الفترة],3),IF($M244="v",TEXT(SUMIFS(tblInv[المتبقي],tblInv[كود العميل],StCust,tblInv[الفترة],INDEX(tblBuckets[الفترة],3)),"#,##0.00;-#,##0.00;-"),"")))</f>
        <v/>
      </c>
      <c r="D244" s="118">
        <f>IF($M244="m",IF($N244&lt;&gt;"","فاتورة مبيعات — استحقاق "&amp;TEXT(INDEX(tblInv[تاريخ الاستحقاق],$N244),"dd/mm/yyyy")&amp;IF(INDEX(tblInv[ملاحظات],$N244)&amp;""&lt;&gt;""," — "&amp;INDEX(tblInv[ملاحظات],$N244),""),INDEX(tblRec[النوع],$O244)&amp;IF(INDEX(tblRec[طريقة الدفع],$O244)&amp;""&lt;&gt;""," ("&amp;INDEX(tblRec[طريقة الدفع],$O244)&amp;")","")&amp;IF(INDEX(tblRec[رقم الفاتورة],$O244)&amp;""&lt;&gt;""," — عن فاتورة "&amp;INDEX(tblRec[رقم الفاتورة],$O244)," — دفعة على الحساب")),IF($M244="l",INDEX(tblBuckets[الفترة],4),IF($M244="v",TEXT(SUMIFS(tblInv[المتبقي],tblInv[كود العميل],StCust,tblInv[الفترة],INDEX(tblBuckets[الفترة],4)),"#,##0.00;-#,##0.00;-"),IF($M244="t","ملخص أعمار رصيد العميل كما في "&amp;TEXT(AsOf,"dd/mm/yyyy"),IF($M244="p","يُرجى مطابقة الرصيد وإفادتنا خلال 15 يوماً، وإلا اعتُبر الرصيد صحيحاً.","")))))</f>
        <v/>
      </c>
      <c r="E244" s="119">
        <f>IF($M244="m",IF($N244&lt;&gt;"",INDEX(tblInv[الإجمالي],$N244),0),IF($M244="l",INDEX(tblBuckets[الفترة],5),IF($M244="v",TEXT(SUMIFS(tblInv[المتبقي],tblInv[كود العميل],StCust,tblInv[الفترة],INDEX(tblBuckets[الفترة],5)),"#,##0.00;-#,##0.00;-"),"")))</f>
        <v/>
      </c>
      <c r="F244" s="119">
        <f>IF($M244="m",IF($O244&lt;&gt;"",INDEX(tblRec[المبلغ],$O244),0),IF($M244="l",INDEX(tblBuckets[الفترة],6),IF($M244="v",TEXT(SUMIFS(tblInv[المتبقي],tblInv[كود العميل],StCust,tblInv[الفترة],INDEX(tblBuckets[الفترة],6)),"#,##0.00;-#,##0.00;-"),"")))</f>
        <v/>
      </c>
      <c r="G244" s="120">
        <f>IF($M244="m",N(G243)+E244-F244,IF($M244="l",INDEX(tblBuckets[الفترة],7),IF($M244="v",TEXT(SUMIFS(tblInv[المتبقي],tblInv[كود العميل],StCust,tblInv[الفترة],INDEX(tblBuckets[الفترة],7)),"#,##0.00;-#,##0.00;-"),"")))</f>
        <v/>
      </c>
      <c r="L244" t="n">
        <v>239</v>
      </c>
      <c r="M244">
        <f>IF(L244&lt;=StCount,"m",IF(L244=StCount+2,"t",IF(L244=StCount+3,"l",IF(L244=StCount+4,"v",IF(L244=StCount+6,"p","")))))</f>
        <v/>
      </c>
      <c r="N244">
        <f>IF(M244="m",IFERROR(MATCH(L244,tblInv[ترتيب الكشف],0),""),"")</f>
        <v/>
      </c>
      <c r="O244">
        <f>IF(AND(M244="m",N244=""),IFERROR(MATCH(L244,tblRec[ترتيب الكشف],0),""),"")</f>
        <v/>
      </c>
    </row>
    <row r="245">
      <c r="A245" s="117">
        <f>IF($M245="m",IF($N245&lt;&gt;"",INDEX(tblInv[تاريخ الفاتورة],$N245),INDEX(tblRec[التاريخ],$O245)),IF($M245="l",INDEX(tblBuckets[الفترة],1),IF($M245="v",TEXT(SUMIFS(tblInv[المتبقي],tblInv[كود العميل],StCust,tblInv[الفترة],INDEX(tblBuckets[الفترة],1)),"#,##0.00;-#,##0.00;-"),"")))</f>
        <v/>
      </c>
      <c r="B245" s="83">
        <f>IF($M245="m",IF($N245&lt;&gt;"","فاتورة",INDEX(tblRec[النوع],$O245)),IF($M245="l",INDEX(tblBuckets[الفترة],2),IF($M245="v",TEXT(SUMIFS(tblInv[المتبقي],tblInv[كود العميل],StCust,tblInv[الفترة],INDEX(tblBuckets[الفترة],2)),"#,##0.00;-#,##0.00;-"),"")))</f>
        <v/>
      </c>
      <c r="C245" s="83">
        <f>IF($M245="m",IF($N245&lt;&gt;"",INDEX(tblInv[رقم الفاتورة],$N245),INDEX(tblRec[رقم السند],$O245)),IF($M245="l",INDEX(tblBuckets[الفترة],3),IF($M245="v",TEXT(SUMIFS(tblInv[المتبقي],tblInv[كود العميل],StCust,tblInv[الفترة],INDEX(tblBuckets[الفترة],3)),"#,##0.00;-#,##0.00;-"),"")))</f>
        <v/>
      </c>
      <c r="D245" s="118">
        <f>IF($M245="m",IF($N245&lt;&gt;"","فاتورة مبيعات — استحقاق "&amp;TEXT(INDEX(tblInv[تاريخ الاستحقاق],$N245),"dd/mm/yyyy")&amp;IF(INDEX(tblInv[ملاحظات],$N245)&amp;""&lt;&gt;""," — "&amp;INDEX(tblInv[ملاحظات],$N245),""),INDEX(tblRec[النوع],$O245)&amp;IF(INDEX(tblRec[طريقة الدفع],$O245)&amp;""&lt;&gt;""," ("&amp;INDEX(tblRec[طريقة الدفع],$O245)&amp;")","")&amp;IF(INDEX(tblRec[رقم الفاتورة],$O245)&amp;""&lt;&gt;""," — عن فاتورة "&amp;INDEX(tblRec[رقم الفاتورة],$O245)," — دفعة على الحساب")),IF($M245="l",INDEX(tblBuckets[الفترة],4),IF($M245="v",TEXT(SUMIFS(tblInv[المتبقي],tblInv[كود العميل],StCust,tblInv[الفترة],INDEX(tblBuckets[الفترة],4)),"#,##0.00;-#,##0.00;-"),IF($M245="t","ملخص أعمار رصيد العميل كما في "&amp;TEXT(AsOf,"dd/mm/yyyy"),IF($M245="p","يُرجى مطابقة الرصيد وإفادتنا خلال 15 يوماً، وإلا اعتُبر الرصيد صحيحاً.","")))))</f>
        <v/>
      </c>
      <c r="E245" s="119">
        <f>IF($M245="m",IF($N245&lt;&gt;"",INDEX(tblInv[الإجمالي],$N245),0),IF($M245="l",INDEX(tblBuckets[الفترة],5),IF($M245="v",TEXT(SUMIFS(tblInv[المتبقي],tblInv[كود العميل],StCust,tblInv[الفترة],INDEX(tblBuckets[الفترة],5)),"#,##0.00;-#,##0.00;-"),"")))</f>
        <v/>
      </c>
      <c r="F245" s="119">
        <f>IF($M245="m",IF($O245&lt;&gt;"",INDEX(tblRec[المبلغ],$O245),0),IF($M245="l",INDEX(tblBuckets[الفترة],6),IF($M245="v",TEXT(SUMIFS(tblInv[المتبقي],tblInv[كود العميل],StCust,tblInv[الفترة],INDEX(tblBuckets[الفترة],6)),"#,##0.00;-#,##0.00;-"),"")))</f>
        <v/>
      </c>
      <c r="G245" s="120">
        <f>IF($M245="m",N(G244)+E245-F245,IF($M245="l",INDEX(tblBuckets[الفترة],7),IF($M245="v",TEXT(SUMIFS(tblInv[المتبقي],tblInv[كود العميل],StCust,tblInv[الفترة],INDEX(tblBuckets[الفترة],7)),"#,##0.00;-#,##0.00;-"),"")))</f>
        <v/>
      </c>
      <c r="L245" t="n">
        <v>240</v>
      </c>
      <c r="M245">
        <f>IF(L245&lt;=StCount,"m",IF(L245=StCount+2,"t",IF(L245=StCount+3,"l",IF(L245=StCount+4,"v",IF(L245=StCount+6,"p","")))))</f>
        <v/>
      </c>
      <c r="N245">
        <f>IF(M245="m",IFERROR(MATCH(L245,tblInv[ترتيب الكشف],0),""),"")</f>
        <v/>
      </c>
      <c r="O245">
        <f>IF(AND(M245="m",N245=""),IFERROR(MATCH(L245,tblRec[ترتيب الكشف],0),""),"")</f>
        <v/>
      </c>
    </row>
    <row r="246">
      <c r="A246" s="117">
        <f>IF($M246="m",IF($N246&lt;&gt;"",INDEX(tblInv[تاريخ الفاتورة],$N246),INDEX(tblRec[التاريخ],$O246)),IF($M246="l",INDEX(tblBuckets[الفترة],1),IF($M246="v",TEXT(SUMIFS(tblInv[المتبقي],tblInv[كود العميل],StCust,tblInv[الفترة],INDEX(tblBuckets[الفترة],1)),"#,##0.00;-#,##0.00;-"),"")))</f>
        <v/>
      </c>
      <c r="B246" s="83">
        <f>IF($M246="m",IF($N246&lt;&gt;"","فاتورة",INDEX(tblRec[النوع],$O246)),IF($M246="l",INDEX(tblBuckets[الفترة],2),IF($M246="v",TEXT(SUMIFS(tblInv[المتبقي],tblInv[كود العميل],StCust,tblInv[الفترة],INDEX(tblBuckets[الفترة],2)),"#,##0.00;-#,##0.00;-"),"")))</f>
        <v/>
      </c>
      <c r="C246" s="83">
        <f>IF($M246="m",IF($N246&lt;&gt;"",INDEX(tblInv[رقم الفاتورة],$N246),INDEX(tblRec[رقم السند],$O246)),IF($M246="l",INDEX(tblBuckets[الفترة],3),IF($M246="v",TEXT(SUMIFS(tblInv[المتبقي],tblInv[كود العميل],StCust,tblInv[الفترة],INDEX(tblBuckets[الفترة],3)),"#,##0.00;-#,##0.00;-"),"")))</f>
        <v/>
      </c>
      <c r="D246" s="118">
        <f>IF($M246="m",IF($N246&lt;&gt;"","فاتورة مبيعات — استحقاق "&amp;TEXT(INDEX(tblInv[تاريخ الاستحقاق],$N246),"dd/mm/yyyy")&amp;IF(INDEX(tblInv[ملاحظات],$N246)&amp;""&lt;&gt;""," — "&amp;INDEX(tblInv[ملاحظات],$N246),""),INDEX(tblRec[النوع],$O246)&amp;IF(INDEX(tblRec[طريقة الدفع],$O246)&amp;""&lt;&gt;""," ("&amp;INDEX(tblRec[طريقة الدفع],$O246)&amp;")","")&amp;IF(INDEX(tblRec[رقم الفاتورة],$O246)&amp;""&lt;&gt;""," — عن فاتورة "&amp;INDEX(tblRec[رقم الفاتورة],$O246)," — دفعة على الحساب")),IF($M246="l",INDEX(tblBuckets[الفترة],4),IF($M246="v",TEXT(SUMIFS(tblInv[المتبقي],tblInv[كود العميل],StCust,tblInv[الفترة],INDEX(tblBuckets[الفترة],4)),"#,##0.00;-#,##0.00;-"),IF($M246="t","ملخص أعمار رصيد العميل كما في "&amp;TEXT(AsOf,"dd/mm/yyyy"),IF($M246="p","يُرجى مطابقة الرصيد وإفادتنا خلال 15 يوماً، وإلا اعتُبر الرصيد صحيحاً.","")))))</f>
        <v/>
      </c>
      <c r="E246" s="119">
        <f>IF($M246="m",IF($N246&lt;&gt;"",INDEX(tblInv[الإجمالي],$N246),0),IF($M246="l",INDEX(tblBuckets[الفترة],5),IF($M246="v",TEXT(SUMIFS(tblInv[المتبقي],tblInv[كود العميل],StCust,tblInv[الفترة],INDEX(tblBuckets[الفترة],5)),"#,##0.00;-#,##0.00;-"),"")))</f>
        <v/>
      </c>
      <c r="F246" s="119">
        <f>IF($M246="m",IF($O246&lt;&gt;"",INDEX(tblRec[المبلغ],$O246),0),IF($M246="l",INDEX(tblBuckets[الفترة],6),IF($M246="v",TEXT(SUMIFS(tblInv[المتبقي],tblInv[كود العميل],StCust,tblInv[الفترة],INDEX(tblBuckets[الفترة],6)),"#,##0.00;-#,##0.00;-"),"")))</f>
        <v/>
      </c>
      <c r="G246" s="120">
        <f>IF($M246="m",N(G245)+E246-F246,IF($M246="l",INDEX(tblBuckets[الفترة],7),IF($M246="v",TEXT(SUMIFS(tblInv[المتبقي],tblInv[كود العميل],StCust,tblInv[الفترة],INDEX(tblBuckets[الفترة],7)),"#,##0.00;-#,##0.00;-"),"")))</f>
        <v/>
      </c>
      <c r="L246" t="n">
        <v>241</v>
      </c>
      <c r="M246">
        <f>IF(L246&lt;=StCount,"m",IF(L246=StCount+2,"t",IF(L246=StCount+3,"l",IF(L246=StCount+4,"v",IF(L246=StCount+6,"p","")))))</f>
        <v/>
      </c>
      <c r="N246">
        <f>IF(M246="m",IFERROR(MATCH(L246,tblInv[ترتيب الكشف],0),""),"")</f>
        <v/>
      </c>
      <c r="O246">
        <f>IF(AND(M246="m",N246=""),IFERROR(MATCH(L246,tblRec[ترتيب الكشف],0),""),"")</f>
        <v/>
      </c>
    </row>
    <row r="247">
      <c r="A247" s="117">
        <f>IF($M247="m",IF($N247&lt;&gt;"",INDEX(tblInv[تاريخ الفاتورة],$N247),INDEX(tblRec[التاريخ],$O247)),IF($M247="l",INDEX(tblBuckets[الفترة],1),IF($M247="v",TEXT(SUMIFS(tblInv[المتبقي],tblInv[كود العميل],StCust,tblInv[الفترة],INDEX(tblBuckets[الفترة],1)),"#,##0.00;-#,##0.00;-"),"")))</f>
        <v/>
      </c>
      <c r="B247" s="83">
        <f>IF($M247="m",IF($N247&lt;&gt;"","فاتورة",INDEX(tblRec[النوع],$O247)),IF($M247="l",INDEX(tblBuckets[الفترة],2),IF($M247="v",TEXT(SUMIFS(tblInv[المتبقي],tblInv[كود العميل],StCust,tblInv[الفترة],INDEX(tblBuckets[الفترة],2)),"#,##0.00;-#,##0.00;-"),"")))</f>
        <v/>
      </c>
      <c r="C247" s="83">
        <f>IF($M247="m",IF($N247&lt;&gt;"",INDEX(tblInv[رقم الفاتورة],$N247),INDEX(tblRec[رقم السند],$O247)),IF($M247="l",INDEX(tblBuckets[الفترة],3),IF($M247="v",TEXT(SUMIFS(tblInv[المتبقي],tblInv[كود العميل],StCust,tblInv[الفترة],INDEX(tblBuckets[الفترة],3)),"#,##0.00;-#,##0.00;-"),"")))</f>
        <v/>
      </c>
      <c r="D247" s="118">
        <f>IF($M247="m",IF($N247&lt;&gt;"","فاتورة مبيعات — استحقاق "&amp;TEXT(INDEX(tblInv[تاريخ الاستحقاق],$N247),"dd/mm/yyyy")&amp;IF(INDEX(tblInv[ملاحظات],$N247)&amp;""&lt;&gt;""," — "&amp;INDEX(tblInv[ملاحظات],$N247),""),INDEX(tblRec[النوع],$O247)&amp;IF(INDEX(tblRec[طريقة الدفع],$O247)&amp;""&lt;&gt;""," ("&amp;INDEX(tblRec[طريقة الدفع],$O247)&amp;")","")&amp;IF(INDEX(tblRec[رقم الفاتورة],$O247)&amp;""&lt;&gt;""," — عن فاتورة "&amp;INDEX(tblRec[رقم الفاتورة],$O247)," — دفعة على الحساب")),IF($M247="l",INDEX(tblBuckets[الفترة],4),IF($M247="v",TEXT(SUMIFS(tblInv[المتبقي],tblInv[كود العميل],StCust,tblInv[الفترة],INDEX(tblBuckets[الفترة],4)),"#,##0.00;-#,##0.00;-"),IF($M247="t","ملخص أعمار رصيد العميل كما في "&amp;TEXT(AsOf,"dd/mm/yyyy"),IF($M247="p","يُرجى مطابقة الرصيد وإفادتنا خلال 15 يوماً، وإلا اعتُبر الرصيد صحيحاً.","")))))</f>
        <v/>
      </c>
      <c r="E247" s="119">
        <f>IF($M247="m",IF($N247&lt;&gt;"",INDEX(tblInv[الإجمالي],$N247),0),IF($M247="l",INDEX(tblBuckets[الفترة],5),IF($M247="v",TEXT(SUMIFS(tblInv[المتبقي],tblInv[كود العميل],StCust,tblInv[الفترة],INDEX(tblBuckets[الفترة],5)),"#,##0.00;-#,##0.00;-"),"")))</f>
        <v/>
      </c>
      <c r="F247" s="119">
        <f>IF($M247="m",IF($O247&lt;&gt;"",INDEX(tblRec[المبلغ],$O247),0),IF($M247="l",INDEX(tblBuckets[الفترة],6),IF($M247="v",TEXT(SUMIFS(tblInv[المتبقي],tblInv[كود العميل],StCust,tblInv[الفترة],INDEX(tblBuckets[الفترة],6)),"#,##0.00;-#,##0.00;-"),"")))</f>
        <v/>
      </c>
      <c r="G247" s="120">
        <f>IF($M247="m",N(G246)+E247-F247,IF($M247="l",INDEX(tblBuckets[الفترة],7),IF($M247="v",TEXT(SUMIFS(tblInv[المتبقي],tblInv[كود العميل],StCust,tblInv[الفترة],INDEX(tblBuckets[الفترة],7)),"#,##0.00;-#,##0.00;-"),"")))</f>
        <v/>
      </c>
      <c r="L247" t="n">
        <v>242</v>
      </c>
      <c r="M247">
        <f>IF(L247&lt;=StCount,"m",IF(L247=StCount+2,"t",IF(L247=StCount+3,"l",IF(L247=StCount+4,"v",IF(L247=StCount+6,"p","")))))</f>
        <v/>
      </c>
      <c r="N247">
        <f>IF(M247="m",IFERROR(MATCH(L247,tblInv[ترتيب الكشف],0),""),"")</f>
        <v/>
      </c>
      <c r="O247">
        <f>IF(AND(M247="m",N247=""),IFERROR(MATCH(L247,tblRec[ترتيب الكشف],0),""),"")</f>
        <v/>
      </c>
    </row>
    <row r="248">
      <c r="A248" s="117">
        <f>IF($M248="m",IF($N248&lt;&gt;"",INDEX(tblInv[تاريخ الفاتورة],$N248),INDEX(tblRec[التاريخ],$O248)),IF($M248="l",INDEX(tblBuckets[الفترة],1),IF($M248="v",TEXT(SUMIFS(tblInv[المتبقي],tblInv[كود العميل],StCust,tblInv[الفترة],INDEX(tblBuckets[الفترة],1)),"#,##0.00;-#,##0.00;-"),"")))</f>
        <v/>
      </c>
      <c r="B248" s="83">
        <f>IF($M248="m",IF($N248&lt;&gt;"","فاتورة",INDEX(tblRec[النوع],$O248)),IF($M248="l",INDEX(tblBuckets[الفترة],2),IF($M248="v",TEXT(SUMIFS(tblInv[المتبقي],tblInv[كود العميل],StCust,tblInv[الفترة],INDEX(tblBuckets[الفترة],2)),"#,##0.00;-#,##0.00;-"),"")))</f>
        <v/>
      </c>
      <c r="C248" s="83">
        <f>IF($M248="m",IF($N248&lt;&gt;"",INDEX(tblInv[رقم الفاتورة],$N248),INDEX(tblRec[رقم السند],$O248)),IF($M248="l",INDEX(tblBuckets[الفترة],3),IF($M248="v",TEXT(SUMIFS(tblInv[المتبقي],tblInv[كود العميل],StCust,tblInv[الفترة],INDEX(tblBuckets[الفترة],3)),"#,##0.00;-#,##0.00;-"),"")))</f>
        <v/>
      </c>
      <c r="D248" s="118">
        <f>IF($M248="m",IF($N248&lt;&gt;"","فاتورة مبيعات — استحقاق "&amp;TEXT(INDEX(tblInv[تاريخ الاستحقاق],$N248),"dd/mm/yyyy")&amp;IF(INDEX(tblInv[ملاحظات],$N248)&amp;""&lt;&gt;""," — "&amp;INDEX(tblInv[ملاحظات],$N248),""),INDEX(tblRec[النوع],$O248)&amp;IF(INDEX(tblRec[طريقة الدفع],$O248)&amp;""&lt;&gt;""," ("&amp;INDEX(tblRec[طريقة الدفع],$O248)&amp;")","")&amp;IF(INDEX(tblRec[رقم الفاتورة],$O248)&amp;""&lt;&gt;""," — عن فاتورة "&amp;INDEX(tblRec[رقم الفاتورة],$O248)," — دفعة على الحساب")),IF($M248="l",INDEX(tblBuckets[الفترة],4),IF($M248="v",TEXT(SUMIFS(tblInv[المتبقي],tblInv[كود العميل],StCust,tblInv[الفترة],INDEX(tblBuckets[الفترة],4)),"#,##0.00;-#,##0.00;-"),IF($M248="t","ملخص أعمار رصيد العميل كما في "&amp;TEXT(AsOf,"dd/mm/yyyy"),IF($M248="p","يُرجى مطابقة الرصيد وإفادتنا خلال 15 يوماً، وإلا اعتُبر الرصيد صحيحاً.","")))))</f>
        <v/>
      </c>
      <c r="E248" s="119">
        <f>IF($M248="m",IF($N248&lt;&gt;"",INDEX(tblInv[الإجمالي],$N248),0),IF($M248="l",INDEX(tblBuckets[الفترة],5),IF($M248="v",TEXT(SUMIFS(tblInv[المتبقي],tblInv[كود العميل],StCust,tblInv[الفترة],INDEX(tblBuckets[الفترة],5)),"#,##0.00;-#,##0.00;-"),"")))</f>
        <v/>
      </c>
      <c r="F248" s="119">
        <f>IF($M248="m",IF($O248&lt;&gt;"",INDEX(tblRec[المبلغ],$O248),0),IF($M248="l",INDEX(tblBuckets[الفترة],6),IF($M248="v",TEXT(SUMIFS(tblInv[المتبقي],tblInv[كود العميل],StCust,tblInv[الفترة],INDEX(tblBuckets[الفترة],6)),"#,##0.00;-#,##0.00;-"),"")))</f>
        <v/>
      </c>
      <c r="G248" s="120">
        <f>IF($M248="m",N(G247)+E248-F248,IF($M248="l",INDEX(tblBuckets[الفترة],7),IF($M248="v",TEXT(SUMIFS(tblInv[المتبقي],tblInv[كود العميل],StCust,tblInv[الفترة],INDEX(tblBuckets[الفترة],7)),"#,##0.00;-#,##0.00;-"),"")))</f>
        <v/>
      </c>
      <c r="L248" t="n">
        <v>243</v>
      </c>
      <c r="M248">
        <f>IF(L248&lt;=StCount,"m",IF(L248=StCount+2,"t",IF(L248=StCount+3,"l",IF(L248=StCount+4,"v",IF(L248=StCount+6,"p","")))))</f>
        <v/>
      </c>
      <c r="N248">
        <f>IF(M248="m",IFERROR(MATCH(L248,tblInv[ترتيب الكشف],0),""),"")</f>
        <v/>
      </c>
      <c r="O248">
        <f>IF(AND(M248="m",N248=""),IFERROR(MATCH(L248,tblRec[ترتيب الكشف],0),""),"")</f>
        <v/>
      </c>
    </row>
    <row r="249">
      <c r="A249" s="117">
        <f>IF($M249="m",IF($N249&lt;&gt;"",INDEX(tblInv[تاريخ الفاتورة],$N249),INDEX(tblRec[التاريخ],$O249)),IF($M249="l",INDEX(tblBuckets[الفترة],1),IF($M249="v",TEXT(SUMIFS(tblInv[المتبقي],tblInv[كود العميل],StCust,tblInv[الفترة],INDEX(tblBuckets[الفترة],1)),"#,##0.00;-#,##0.00;-"),"")))</f>
        <v/>
      </c>
      <c r="B249" s="83">
        <f>IF($M249="m",IF($N249&lt;&gt;"","فاتورة",INDEX(tblRec[النوع],$O249)),IF($M249="l",INDEX(tblBuckets[الفترة],2),IF($M249="v",TEXT(SUMIFS(tblInv[المتبقي],tblInv[كود العميل],StCust,tblInv[الفترة],INDEX(tblBuckets[الفترة],2)),"#,##0.00;-#,##0.00;-"),"")))</f>
        <v/>
      </c>
      <c r="C249" s="83">
        <f>IF($M249="m",IF($N249&lt;&gt;"",INDEX(tblInv[رقم الفاتورة],$N249),INDEX(tblRec[رقم السند],$O249)),IF($M249="l",INDEX(tblBuckets[الفترة],3),IF($M249="v",TEXT(SUMIFS(tblInv[المتبقي],tblInv[كود العميل],StCust,tblInv[الفترة],INDEX(tblBuckets[الفترة],3)),"#,##0.00;-#,##0.00;-"),"")))</f>
        <v/>
      </c>
      <c r="D249" s="118">
        <f>IF($M249="m",IF($N249&lt;&gt;"","فاتورة مبيعات — استحقاق "&amp;TEXT(INDEX(tblInv[تاريخ الاستحقاق],$N249),"dd/mm/yyyy")&amp;IF(INDEX(tblInv[ملاحظات],$N249)&amp;""&lt;&gt;""," — "&amp;INDEX(tblInv[ملاحظات],$N249),""),INDEX(tblRec[النوع],$O249)&amp;IF(INDEX(tblRec[طريقة الدفع],$O249)&amp;""&lt;&gt;""," ("&amp;INDEX(tblRec[طريقة الدفع],$O249)&amp;")","")&amp;IF(INDEX(tblRec[رقم الفاتورة],$O249)&amp;""&lt;&gt;""," — عن فاتورة "&amp;INDEX(tblRec[رقم الفاتورة],$O249)," — دفعة على الحساب")),IF($M249="l",INDEX(tblBuckets[الفترة],4),IF($M249="v",TEXT(SUMIFS(tblInv[المتبقي],tblInv[كود العميل],StCust,tblInv[الفترة],INDEX(tblBuckets[الفترة],4)),"#,##0.00;-#,##0.00;-"),IF($M249="t","ملخص أعمار رصيد العميل كما في "&amp;TEXT(AsOf,"dd/mm/yyyy"),IF($M249="p","يُرجى مطابقة الرصيد وإفادتنا خلال 15 يوماً، وإلا اعتُبر الرصيد صحيحاً.","")))))</f>
        <v/>
      </c>
      <c r="E249" s="119">
        <f>IF($M249="m",IF($N249&lt;&gt;"",INDEX(tblInv[الإجمالي],$N249),0),IF($M249="l",INDEX(tblBuckets[الفترة],5),IF($M249="v",TEXT(SUMIFS(tblInv[المتبقي],tblInv[كود العميل],StCust,tblInv[الفترة],INDEX(tblBuckets[الفترة],5)),"#,##0.00;-#,##0.00;-"),"")))</f>
        <v/>
      </c>
      <c r="F249" s="119">
        <f>IF($M249="m",IF($O249&lt;&gt;"",INDEX(tblRec[المبلغ],$O249),0),IF($M249="l",INDEX(tblBuckets[الفترة],6),IF($M249="v",TEXT(SUMIFS(tblInv[المتبقي],tblInv[كود العميل],StCust,tblInv[الفترة],INDEX(tblBuckets[الفترة],6)),"#,##0.00;-#,##0.00;-"),"")))</f>
        <v/>
      </c>
      <c r="G249" s="120">
        <f>IF($M249="m",N(G248)+E249-F249,IF($M249="l",INDEX(tblBuckets[الفترة],7),IF($M249="v",TEXT(SUMIFS(tblInv[المتبقي],tblInv[كود العميل],StCust,tblInv[الفترة],INDEX(tblBuckets[الفترة],7)),"#,##0.00;-#,##0.00;-"),"")))</f>
        <v/>
      </c>
      <c r="L249" t="n">
        <v>244</v>
      </c>
      <c r="M249">
        <f>IF(L249&lt;=StCount,"m",IF(L249=StCount+2,"t",IF(L249=StCount+3,"l",IF(L249=StCount+4,"v",IF(L249=StCount+6,"p","")))))</f>
        <v/>
      </c>
      <c r="N249">
        <f>IF(M249="m",IFERROR(MATCH(L249,tblInv[ترتيب الكشف],0),""),"")</f>
        <v/>
      </c>
      <c r="O249">
        <f>IF(AND(M249="m",N249=""),IFERROR(MATCH(L249,tblRec[ترتيب الكشف],0),""),"")</f>
        <v/>
      </c>
    </row>
    <row r="250">
      <c r="A250" s="117">
        <f>IF($M250="m",IF($N250&lt;&gt;"",INDEX(tblInv[تاريخ الفاتورة],$N250),INDEX(tblRec[التاريخ],$O250)),IF($M250="l",INDEX(tblBuckets[الفترة],1),IF($M250="v",TEXT(SUMIFS(tblInv[المتبقي],tblInv[كود العميل],StCust,tblInv[الفترة],INDEX(tblBuckets[الفترة],1)),"#,##0.00;-#,##0.00;-"),"")))</f>
        <v/>
      </c>
      <c r="B250" s="83">
        <f>IF($M250="m",IF($N250&lt;&gt;"","فاتورة",INDEX(tblRec[النوع],$O250)),IF($M250="l",INDEX(tblBuckets[الفترة],2),IF($M250="v",TEXT(SUMIFS(tblInv[المتبقي],tblInv[كود العميل],StCust,tblInv[الفترة],INDEX(tblBuckets[الفترة],2)),"#,##0.00;-#,##0.00;-"),"")))</f>
        <v/>
      </c>
      <c r="C250" s="83">
        <f>IF($M250="m",IF($N250&lt;&gt;"",INDEX(tblInv[رقم الفاتورة],$N250),INDEX(tblRec[رقم السند],$O250)),IF($M250="l",INDEX(tblBuckets[الفترة],3),IF($M250="v",TEXT(SUMIFS(tblInv[المتبقي],tblInv[كود العميل],StCust,tblInv[الفترة],INDEX(tblBuckets[الفترة],3)),"#,##0.00;-#,##0.00;-"),"")))</f>
        <v/>
      </c>
      <c r="D250" s="118">
        <f>IF($M250="m",IF($N250&lt;&gt;"","فاتورة مبيعات — استحقاق "&amp;TEXT(INDEX(tblInv[تاريخ الاستحقاق],$N250),"dd/mm/yyyy")&amp;IF(INDEX(tblInv[ملاحظات],$N250)&amp;""&lt;&gt;""," — "&amp;INDEX(tblInv[ملاحظات],$N250),""),INDEX(tblRec[النوع],$O250)&amp;IF(INDEX(tblRec[طريقة الدفع],$O250)&amp;""&lt;&gt;""," ("&amp;INDEX(tblRec[طريقة الدفع],$O250)&amp;")","")&amp;IF(INDEX(tblRec[رقم الفاتورة],$O250)&amp;""&lt;&gt;""," — عن فاتورة "&amp;INDEX(tblRec[رقم الفاتورة],$O250)," — دفعة على الحساب")),IF($M250="l",INDEX(tblBuckets[الفترة],4),IF($M250="v",TEXT(SUMIFS(tblInv[المتبقي],tblInv[كود العميل],StCust,tblInv[الفترة],INDEX(tblBuckets[الفترة],4)),"#,##0.00;-#,##0.00;-"),IF($M250="t","ملخص أعمار رصيد العميل كما في "&amp;TEXT(AsOf,"dd/mm/yyyy"),IF($M250="p","يُرجى مطابقة الرصيد وإفادتنا خلال 15 يوماً، وإلا اعتُبر الرصيد صحيحاً.","")))))</f>
        <v/>
      </c>
      <c r="E250" s="119">
        <f>IF($M250="m",IF($N250&lt;&gt;"",INDEX(tblInv[الإجمالي],$N250),0),IF($M250="l",INDEX(tblBuckets[الفترة],5),IF($M250="v",TEXT(SUMIFS(tblInv[المتبقي],tblInv[كود العميل],StCust,tblInv[الفترة],INDEX(tblBuckets[الفترة],5)),"#,##0.00;-#,##0.00;-"),"")))</f>
        <v/>
      </c>
      <c r="F250" s="119">
        <f>IF($M250="m",IF($O250&lt;&gt;"",INDEX(tblRec[المبلغ],$O250),0),IF($M250="l",INDEX(tblBuckets[الفترة],6),IF($M250="v",TEXT(SUMIFS(tblInv[المتبقي],tblInv[كود العميل],StCust,tblInv[الفترة],INDEX(tblBuckets[الفترة],6)),"#,##0.00;-#,##0.00;-"),"")))</f>
        <v/>
      </c>
      <c r="G250" s="120">
        <f>IF($M250="m",N(G249)+E250-F250,IF($M250="l",INDEX(tblBuckets[الفترة],7),IF($M250="v",TEXT(SUMIFS(tblInv[المتبقي],tblInv[كود العميل],StCust,tblInv[الفترة],INDEX(tblBuckets[الفترة],7)),"#,##0.00;-#,##0.00;-"),"")))</f>
        <v/>
      </c>
      <c r="L250" t="n">
        <v>245</v>
      </c>
      <c r="M250">
        <f>IF(L250&lt;=StCount,"m",IF(L250=StCount+2,"t",IF(L250=StCount+3,"l",IF(L250=StCount+4,"v",IF(L250=StCount+6,"p","")))))</f>
        <v/>
      </c>
      <c r="N250">
        <f>IF(M250="m",IFERROR(MATCH(L250,tblInv[ترتيب الكشف],0),""),"")</f>
        <v/>
      </c>
      <c r="O250">
        <f>IF(AND(M250="m",N250=""),IFERROR(MATCH(L250,tblRec[ترتيب الكشف],0),""),"")</f>
        <v/>
      </c>
    </row>
    <row r="251">
      <c r="A251" s="117">
        <f>IF($M251="m",IF($N251&lt;&gt;"",INDEX(tblInv[تاريخ الفاتورة],$N251),INDEX(tblRec[التاريخ],$O251)),IF($M251="l",INDEX(tblBuckets[الفترة],1),IF($M251="v",TEXT(SUMIFS(tblInv[المتبقي],tblInv[كود العميل],StCust,tblInv[الفترة],INDEX(tblBuckets[الفترة],1)),"#,##0.00;-#,##0.00;-"),"")))</f>
        <v/>
      </c>
      <c r="B251" s="83">
        <f>IF($M251="m",IF($N251&lt;&gt;"","فاتورة",INDEX(tblRec[النوع],$O251)),IF($M251="l",INDEX(tblBuckets[الفترة],2),IF($M251="v",TEXT(SUMIFS(tblInv[المتبقي],tblInv[كود العميل],StCust,tblInv[الفترة],INDEX(tblBuckets[الفترة],2)),"#,##0.00;-#,##0.00;-"),"")))</f>
        <v/>
      </c>
      <c r="C251" s="83">
        <f>IF($M251="m",IF($N251&lt;&gt;"",INDEX(tblInv[رقم الفاتورة],$N251),INDEX(tblRec[رقم السند],$O251)),IF($M251="l",INDEX(tblBuckets[الفترة],3),IF($M251="v",TEXT(SUMIFS(tblInv[المتبقي],tblInv[كود العميل],StCust,tblInv[الفترة],INDEX(tblBuckets[الفترة],3)),"#,##0.00;-#,##0.00;-"),"")))</f>
        <v/>
      </c>
      <c r="D251" s="118">
        <f>IF($M251="m",IF($N251&lt;&gt;"","فاتورة مبيعات — استحقاق "&amp;TEXT(INDEX(tblInv[تاريخ الاستحقاق],$N251),"dd/mm/yyyy")&amp;IF(INDEX(tblInv[ملاحظات],$N251)&amp;""&lt;&gt;""," — "&amp;INDEX(tblInv[ملاحظات],$N251),""),INDEX(tblRec[النوع],$O251)&amp;IF(INDEX(tblRec[طريقة الدفع],$O251)&amp;""&lt;&gt;""," ("&amp;INDEX(tblRec[طريقة الدفع],$O251)&amp;")","")&amp;IF(INDEX(tblRec[رقم الفاتورة],$O251)&amp;""&lt;&gt;""," — عن فاتورة "&amp;INDEX(tblRec[رقم الفاتورة],$O251)," — دفعة على الحساب")),IF($M251="l",INDEX(tblBuckets[الفترة],4),IF($M251="v",TEXT(SUMIFS(tblInv[المتبقي],tblInv[كود العميل],StCust,tblInv[الفترة],INDEX(tblBuckets[الفترة],4)),"#,##0.00;-#,##0.00;-"),IF($M251="t","ملخص أعمار رصيد العميل كما في "&amp;TEXT(AsOf,"dd/mm/yyyy"),IF($M251="p","يُرجى مطابقة الرصيد وإفادتنا خلال 15 يوماً، وإلا اعتُبر الرصيد صحيحاً.","")))))</f>
        <v/>
      </c>
      <c r="E251" s="119">
        <f>IF($M251="m",IF($N251&lt;&gt;"",INDEX(tblInv[الإجمالي],$N251),0),IF($M251="l",INDEX(tblBuckets[الفترة],5),IF($M251="v",TEXT(SUMIFS(tblInv[المتبقي],tblInv[كود العميل],StCust,tblInv[الفترة],INDEX(tblBuckets[الفترة],5)),"#,##0.00;-#,##0.00;-"),"")))</f>
        <v/>
      </c>
      <c r="F251" s="119">
        <f>IF($M251="m",IF($O251&lt;&gt;"",INDEX(tblRec[المبلغ],$O251),0),IF($M251="l",INDEX(tblBuckets[الفترة],6),IF($M251="v",TEXT(SUMIFS(tblInv[المتبقي],tblInv[كود العميل],StCust,tblInv[الفترة],INDEX(tblBuckets[الفترة],6)),"#,##0.00;-#,##0.00;-"),"")))</f>
        <v/>
      </c>
      <c r="G251" s="120">
        <f>IF($M251="m",N(G250)+E251-F251,IF($M251="l",INDEX(tblBuckets[الفترة],7),IF($M251="v",TEXT(SUMIFS(tblInv[المتبقي],tblInv[كود العميل],StCust,tblInv[الفترة],INDEX(tblBuckets[الفترة],7)),"#,##0.00;-#,##0.00;-"),"")))</f>
        <v/>
      </c>
      <c r="L251" t="n">
        <v>246</v>
      </c>
      <c r="M251">
        <f>IF(L251&lt;=StCount,"m",IF(L251=StCount+2,"t",IF(L251=StCount+3,"l",IF(L251=StCount+4,"v",IF(L251=StCount+6,"p","")))))</f>
        <v/>
      </c>
      <c r="N251">
        <f>IF(M251="m",IFERROR(MATCH(L251,tblInv[ترتيب الكشف],0),""),"")</f>
        <v/>
      </c>
      <c r="O251">
        <f>IF(AND(M251="m",N251=""),IFERROR(MATCH(L251,tblRec[ترتيب الكشف],0),""),"")</f>
        <v/>
      </c>
    </row>
    <row r="252">
      <c r="A252" s="117">
        <f>IF($M252="m",IF($N252&lt;&gt;"",INDEX(tblInv[تاريخ الفاتورة],$N252),INDEX(tblRec[التاريخ],$O252)),IF($M252="l",INDEX(tblBuckets[الفترة],1),IF($M252="v",TEXT(SUMIFS(tblInv[المتبقي],tblInv[كود العميل],StCust,tblInv[الفترة],INDEX(tblBuckets[الفترة],1)),"#,##0.00;-#,##0.00;-"),"")))</f>
        <v/>
      </c>
      <c r="B252" s="83">
        <f>IF($M252="m",IF($N252&lt;&gt;"","فاتورة",INDEX(tblRec[النوع],$O252)),IF($M252="l",INDEX(tblBuckets[الفترة],2),IF($M252="v",TEXT(SUMIFS(tblInv[المتبقي],tblInv[كود العميل],StCust,tblInv[الفترة],INDEX(tblBuckets[الفترة],2)),"#,##0.00;-#,##0.00;-"),"")))</f>
        <v/>
      </c>
      <c r="C252" s="83">
        <f>IF($M252="m",IF($N252&lt;&gt;"",INDEX(tblInv[رقم الفاتورة],$N252),INDEX(tblRec[رقم السند],$O252)),IF($M252="l",INDEX(tblBuckets[الفترة],3),IF($M252="v",TEXT(SUMIFS(tblInv[المتبقي],tblInv[كود العميل],StCust,tblInv[الفترة],INDEX(tblBuckets[الفترة],3)),"#,##0.00;-#,##0.00;-"),"")))</f>
        <v/>
      </c>
      <c r="D252" s="118">
        <f>IF($M252="m",IF($N252&lt;&gt;"","فاتورة مبيعات — استحقاق "&amp;TEXT(INDEX(tblInv[تاريخ الاستحقاق],$N252),"dd/mm/yyyy")&amp;IF(INDEX(tblInv[ملاحظات],$N252)&amp;""&lt;&gt;""," — "&amp;INDEX(tblInv[ملاحظات],$N252),""),INDEX(tblRec[النوع],$O252)&amp;IF(INDEX(tblRec[طريقة الدفع],$O252)&amp;""&lt;&gt;""," ("&amp;INDEX(tblRec[طريقة الدفع],$O252)&amp;")","")&amp;IF(INDEX(tblRec[رقم الفاتورة],$O252)&amp;""&lt;&gt;""," — عن فاتورة "&amp;INDEX(tblRec[رقم الفاتورة],$O252)," — دفعة على الحساب")),IF($M252="l",INDEX(tblBuckets[الفترة],4),IF($M252="v",TEXT(SUMIFS(tblInv[المتبقي],tblInv[كود العميل],StCust,tblInv[الفترة],INDEX(tblBuckets[الفترة],4)),"#,##0.00;-#,##0.00;-"),IF($M252="t","ملخص أعمار رصيد العميل كما في "&amp;TEXT(AsOf,"dd/mm/yyyy"),IF($M252="p","يُرجى مطابقة الرصيد وإفادتنا خلال 15 يوماً، وإلا اعتُبر الرصيد صحيحاً.","")))))</f>
        <v/>
      </c>
      <c r="E252" s="119">
        <f>IF($M252="m",IF($N252&lt;&gt;"",INDEX(tblInv[الإجمالي],$N252),0),IF($M252="l",INDEX(tblBuckets[الفترة],5),IF($M252="v",TEXT(SUMIFS(tblInv[المتبقي],tblInv[كود العميل],StCust,tblInv[الفترة],INDEX(tblBuckets[الفترة],5)),"#,##0.00;-#,##0.00;-"),"")))</f>
        <v/>
      </c>
      <c r="F252" s="119">
        <f>IF($M252="m",IF($O252&lt;&gt;"",INDEX(tblRec[المبلغ],$O252),0),IF($M252="l",INDEX(tblBuckets[الفترة],6),IF($M252="v",TEXT(SUMIFS(tblInv[المتبقي],tblInv[كود العميل],StCust,tblInv[الفترة],INDEX(tblBuckets[الفترة],6)),"#,##0.00;-#,##0.00;-"),"")))</f>
        <v/>
      </c>
      <c r="G252" s="120">
        <f>IF($M252="m",N(G251)+E252-F252,IF($M252="l",INDEX(tblBuckets[الفترة],7),IF($M252="v",TEXT(SUMIFS(tblInv[المتبقي],tblInv[كود العميل],StCust,tblInv[الفترة],INDEX(tblBuckets[الفترة],7)),"#,##0.00;-#,##0.00;-"),"")))</f>
        <v/>
      </c>
      <c r="L252" t="n">
        <v>247</v>
      </c>
      <c r="M252">
        <f>IF(L252&lt;=StCount,"m",IF(L252=StCount+2,"t",IF(L252=StCount+3,"l",IF(L252=StCount+4,"v",IF(L252=StCount+6,"p","")))))</f>
        <v/>
      </c>
      <c r="N252">
        <f>IF(M252="m",IFERROR(MATCH(L252,tblInv[ترتيب الكشف],0),""),"")</f>
        <v/>
      </c>
      <c r="O252">
        <f>IF(AND(M252="m",N252=""),IFERROR(MATCH(L252,tblRec[ترتيب الكشف],0),""),"")</f>
        <v/>
      </c>
    </row>
    <row r="253">
      <c r="A253" s="117">
        <f>IF($M253="m",IF($N253&lt;&gt;"",INDEX(tblInv[تاريخ الفاتورة],$N253),INDEX(tblRec[التاريخ],$O253)),IF($M253="l",INDEX(tblBuckets[الفترة],1),IF($M253="v",TEXT(SUMIFS(tblInv[المتبقي],tblInv[كود العميل],StCust,tblInv[الفترة],INDEX(tblBuckets[الفترة],1)),"#,##0.00;-#,##0.00;-"),"")))</f>
        <v/>
      </c>
      <c r="B253" s="83">
        <f>IF($M253="m",IF($N253&lt;&gt;"","فاتورة",INDEX(tblRec[النوع],$O253)),IF($M253="l",INDEX(tblBuckets[الفترة],2),IF($M253="v",TEXT(SUMIFS(tblInv[المتبقي],tblInv[كود العميل],StCust,tblInv[الفترة],INDEX(tblBuckets[الفترة],2)),"#,##0.00;-#,##0.00;-"),"")))</f>
        <v/>
      </c>
      <c r="C253" s="83">
        <f>IF($M253="m",IF($N253&lt;&gt;"",INDEX(tblInv[رقم الفاتورة],$N253),INDEX(tblRec[رقم السند],$O253)),IF($M253="l",INDEX(tblBuckets[الفترة],3),IF($M253="v",TEXT(SUMIFS(tblInv[المتبقي],tblInv[كود العميل],StCust,tblInv[الفترة],INDEX(tblBuckets[الفترة],3)),"#,##0.00;-#,##0.00;-"),"")))</f>
        <v/>
      </c>
      <c r="D253" s="118">
        <f>IF($M253="m",IF($N253&lt;&gt;"","فاتورة مبيعات — استحقاق "&amp;TEXT(INDEX(tblInv[تاريخ الاستحقاق],$N253),"dd/mm/yyyy")&amp;IF(INDEX(tblInv[ملاحظات],$N253)&amp;""&lt;&gt;""," — "&amp;INDEX(tblInv[ملاحظات],$N253),""),INDEX(tblRec[النوع],$O253)&amp;IF(INDEX(tblRec[طريقة الدفع],$O253)&amp;""&lt;&gt;""," ("&amp;INDEX(tblRec[طريقة الدفع],$O253)&amp;")","")&amp;IF(INDEX(tblRec[رقم الفاتورة],$O253)&amp;""&lt;&gt;""," — عن فاتورة "&amp;INDEX(tblRec[رقم الفاتورة],$O253)," — دفعة على الحساب")),IF($M253="l",INDEX(tblBuckets[الفترة],4),IF($M253="v",TEXT(SUMIFS(tblInv[المتبقي],tblInv[كود العميل],StCust,tblInv[الفترة],INDEX(tblBuckets[الفترة],4)),"#,##0.00;-#,##0.00;-"),IF($M253="t","ملخص أعمار رصيد العميل كما في "&amp;TEXT(AsOf,"dd/mm/yyyy"),IF($M253="p","يُرجى مطابقة الرصيد وإفادتنا خلال 15 يوماً، وإلا اعتُبر الرصيد صحيحاً.","")))))</f>
        <v/>
      </c>
      <c r="E253" s="119">
        <f>IF($M253="m",IF($N253&lt;&gt;"",INDEX(tblInv[الإجمالي],$N253),0),IF($M253="l",INDEX(tblBuckets[الفترة],5),IF($M253="v",TEXT(SUMIFS(tblInv[المتبقي],tblInv[كود العميل],StCust,tblInv[الفترة],INDEX(tblBuckets[الفترة],5)),"#,##0.00;-#,##0.00;-"),"")))</f>
        <v/>
      </c>
      <c r="F253" s="119">
        <f>IF($M253="m",IF($O253&lt;&gt;"",INDEX(tblRec[المبلغ],$O253),0),IF($M253="l",INDEX(tblBuckets[الفترة],6),IF($M253="v",TEXT(SUMIFS(tblInv[المتبقي],tblInv[كود العميل],StCust,tblInv[الفترة],INDEX(tblBuckets[الفترة],6)),"#,##0.00;-#,##0.00;-"),"")))</f>
        <v/>
      </c>
      <c r="G253" s="120">
        <f>IF($M253="m",N(G252)+E253-F253,IF($M253="l",INDEX(tblBuckets[الفترة],7),IF($M253="v",TEXT(SUMIFS(tblInv[المتبقي],tblInv[كود العميل],StCust,tblInv[الفترة],INDEX(tblBuckets[الفترة],7)),"#,##0.00;-#,##0.00;-"),"")))</f>
        <v/>
      </c>
      <c r="L253" t="n">
        <v>248</v>
      </c>
      <c r="M253">
        <f>IF(L253&lt;=StCount,"m",IF(L253=StCount+2,"t",IF(L253=StCount+3,"l",IF(L253=StCount+4,"v",IF(L253=StCount+6,"p","")))))</f>
        <v/>
      </c>
      <c r="N253">
        <f>IF(M253="m",IFERROR(MATCH(L253,tblInv[ترتيب الكشف],0),""),"")</f>
        <v/>
      </c>
      <c r="O253">
        <f>IF(AND(M253="m",N253=""),IFERROR(MATCH(L253,tblRec[ترتيب الكشف],0),""),"")</f>
        <v/>
      </c>
    </row>
    <row r="254">
      <c r="A254" s="117">
        <f>IF($M254="m",IF($N254&lt;&gt;"",INDEX(tblInv[تاريخ الفاتورة],$N254),INDEX(tblRec[التاريخ],$O254)),IF($M254="l",INDEX(tblBuckets[الفترة],1),IF($M254="v",TEXT(SUMIFS(tblInv[المتبقي],tblInv[كود العميل],StCust,tblInv[الفترة],INDEX(tblBuckets[الفترة],1)),"#,##0.00;-#,##0.00;-"),"")))</f>
        <v/>
      </c>
      <c r="B254" s="83">
        <f>IF($M254="m",IF($N254&lt;&gt;"","فاتورة",INDEX(tblRec[النوع],$O254)),IF($M254="l",INDEX(tblBuckets[الفترة],2),IF($M254="v",TEXT(SUMIFS(tblInv[المتبقي],tblInv[كود العميل],StCust,tblInv[الفترة],INDEX(tblBuckets[الفترة],2)),"#,##0.00;-#,##0.00;-"),"")))</f>
        <v/>
      </c>
      <c r="C254" s="83">
        <f>IF($M254="m",IF($N254&lt;&gt;"",INDEX(tblInv[رقم الفاتورة],$N254),INDEX(tblRec[رقم السند],$O254)),IF($M254="l",INDEX(tblBuckets[الفترة],3),IF($M254="v",TEXT(SUMIFS(tblInv[المتبقي],tblInv[كود العميل],StCust,tblInv[الفترة],INDEX(tblBuckets[الفترة],3)),"#,##0.00;-#,##0.00;-"),"")))</f>
        <v/>
      </c>
      <c r="D254" s="118">
        <f>IF($M254="m",IF($N254&lt;&gt;"","فاتورة مبيعات — استحقاق "&amp;TEXT(INDEX(tblInv[تاريخ الاستحقاق],$N254),"dd/mm/yyyy")&amp;IF(INDEX(tblInv[ملاحظات],$N254)&amp;""&lt;&gt;""," — "&amp;INDEX(tblInv[ملاحظات],$N254),""),INDEX(tblRec[النوع],$O254)&amp;IF(INDEX(tblRec[طريقة الدفع],$O254)&amp;""&lt;&gt;""," ("&amp;INDEX(tblRec[طريقة الدفع],$O254)&amp;")","")&amp;IF(INDEX(tblRec[رقم الفاتورة],$O254)&amp;""&lt;&gt;""," — عن فاتورة "&amp;INDEX(tblRec[رقم الفاتورة],$O254)," — دفعة على الحساب")),IF($M254="l",INDEX(tblBuckets[الفترة],4),IF($M254="v",TEXT(SUMIFS(tblInv[المتبقي],tblInv[كود العميل],StCust,tblInv[الفترة],INDEX(tblBuckets[الفترة],4)),"#,##0.00;-#,##0.00;-"),IF($M254="t","ملخص أعمار رصيد العميل كما في "&amp;TEXT(AsOf,"dd/mm/yyyy"),IF($M254="p","يُرجى مطابقة الرصيد وإفادتنا خلال 15 يوماً، وإلا اعتُبر الرصيد صحيحاً.","")))))</f>
        <v/>
      </c>
      <c r="E254" s="119">
        <f>IF($M254="m",IF($N254&lt;&gt;"",INDEX(tblInv[الإجمالي],$N254),0),IF($M254="l",INDEX(tblBuckets[الفترة],5),IF($M254="v",TEXT(SUMIFS(tblInv[المتبقي],tblInv[كود العميل],StCust,tblInv[الفترة],INDEX(tblBuckets[الفترة],5)),"#,##0.00;-#,##0.00;-"),"")))</f>
        <v/>
      </c>
      <c r="F254" s="119">
        <f>IF($M254="m",IF($O254&lt;&gt;"",INDEX(tblRec[المبلغ],$O254),0),IF($M254="l",INDEX(tblBuckets[الفترة],6),IF($M254="v",TEXT(SUMIFS(tblInv[المتبقي],tblInv[كود العميل],StCust,tblInv[الفترة],INDEX(tblBuckets[الفترة],6)),"#,##0.00;-#,##0.00;-"),"")))</f>
        <v/>
      </c>
      <c r="G254" s="120">
        <f>IF($M254="m",N(G253)+E254-F254,IF($M254="l",INDEX(tblBuckets[الفترة],7),IF($M254="v",TEXT(SUMIFS(tblInv[المتبقي],tblInv[كود العميل],StCust,tblInv[الفترة],INDEX(tblBuckets[الفترة],7)),"#,##0.00;-#,##0.00;-"),"")))</f>
        <v/>
      </c>
      <c r="L254" t="n">
        <v>249</v>
      </c>
      <c r="M254">
        <f>IF(L254&lt;=StCount,"m",IF(L254=StCount+2,"t",IF(L254=StCount+3,"l",IF(L254=StCount+4,"v",IF(L254=StCount+6,"p","")))))</f>
        <v/>
      </c>
      <c r="N254">
        <f>IF(M254="m",IFERROR(MATCH(L254,tblInv[ترتيب الكشف],0),""),"")</f>
        <v/>
      </c>
      <c r="O254">
        <f>IF(AND(M254="m",N254=""),IFERROR(MATCH(L254,tblRec[ترتيب الكشف],0),""),"")</f>
        <v/>
      </c>
    </row>
    <row r="255">
      <c r="A255" s="117">
        <f>IF($M255="m",IF($N255&lt;&gt;"",INDEX(tblInv[تاريخ الفاتورة],$N255),INDEX(tblRec[التاريخ],$O255)),IF($M255="l",INDEX(tblBuckets[الفترة],1),IF($M255="v",TEXT(SUMIFS(tblInv[المتبقي],tblInv[كود العميل],StCust,tblInv[الفترة],INDEX(tblBuckets[الفترة],1)),"#,##0.00;-#,##0.00;-"),"")))</f>
        <v/>
      </c>
      <c r="B255" s="83">
        <f>IF($M255="m",IF($N255&lt;&gt;"","فاتورة",INDEX(tblRec[النوع],$O255)),IF($M255="l",INDEX(tblBuckets[الفترة],2),IF($M255="v",TEXT(SUMIFS(tblInv[المتبقي],tblInv[كود العميل],StCust,tblInv[الفترة],INDEX(tblBuckets[الفترة],2)),"#,##0.00;-#,##0.00;-"),"")))</f>
        <v/>
      </c>
      <c r="C255" s="83">
        <f>IF($M255="m",IF($N255&lt;&gt;"",INDEX(tblInv[رقم الفاتورة],$N255),INDEX(tblRec[رقم السند],$O255)),IF($M255="l",INDEX(tblBuckets[الفترة],3),IF($M255="v",TEXT(SUMIFS(tblInv[المتبقي],tblInv[كود العميل],StCust,tblInv[الفترة],INDEX(tblBuckets[الفترة],3)),"#,##0.00;-#,##0.00;-"),"")))</f>
        <v/>
      </c>
      <c r="D255" s="118">
        <f>IF($M255="m",IF($N255&lt;&gt;"","فاتورة مبيعات — استحقاق "&amp;TEXT(INDEX(tblInv[تاريخ الاستحقاق],$N255),"dd/mm/yyyy")&amp;IF(INDEX(tblInv[ملاحظات],$N255)&amp;""&lt;&gt;""," — "&amp;INDEX(tblInv[ملاحظات],$N255),""),INDEX(tblRec[النوع],$O255)&amp;IF(INDEX(tblRec[طريقة الدفع],$O255)&amp;""&lt;&gt;""," ("&amp;INDEX(tblRec[طريقة الدفع],$O255)&amp;")","")&amp;IF(INDEX(tblRec[رقم الفاتورة],$O255)&amp;""&lt;&gt;""," — عن فاتورة "&amp;INDEX(tblRec[رقم الفاتورة],$O255)," — دفعة على الحساب")),IF($M255="l",INDEX(tblBuckets[الفترة],4),IF($M255="v",TEXT(SUMIFS(tblInv[المتبقي],tblInv[كود العميل],StCust,tblInv[الفترة],INDEX(tblBuckets[الفترة],4)),"#,##0.00;-#,##0.00;-"),IF($M255="t","ملخص أعمار رصيد العميل كما في "&amp;TEXT(AsOf,"dd/mm/yyyy"),IF($M255="p","يُرجى مطابقة الرصيد وإفادتنا خلال 15 يوماً، وإلا اعتُبر الرصيد صحيحاً.","")))))</f>
        <v/>
      </c>
      <c r="E255" s="119">
        <f>IF($M255="m",IF($N255&lt;&gt;"",INDEX(tblInv[الإجمالي],$N255),0),IF($M255="l",INDEX(tblBuckets[الفترة],5),IF($M255="v",TEXT(SUMIFS(tblInv[المتبقي],tblInv[كود العميل],StCust,tblInv[الفترة],INDEX(tblBuckets[الفترة],5)),"#,##0.00;-#,##0.00;-"),"")))</f>
        <v/>
      </c>
      <c r="F255" s="119">
        <f>IF($M255="m",IF($O255&lt;&gt;"",INDEX(tblRec[المبلغ],$O255),0),IF($M255="l",INDEX(tblBuckets[الفترة],6),IF($M255="v",TEXT(SUMIFS(tblInv[المتبقي],tblInv[كود العميل],StCust,tblInv[الفترة],INDEX(tblBuckets[الفترة],6)),"#,##0.00;-#,##0.00;-"),"")))</f>
        <v/>
      </c>
      <c r="G255" s="120">
        <f>IF($M255="m",N(G254)+E255-F255,IF($M255="l",INDEX(tblBuckets[الفترة],7),IF($M255="v",TEXT(SUMIFS(tblInv[المتبقي],tblInv[كود العميل],StCust,tblInv[الفترة],INDEX(tblBuckets[الفترة],7)),"#,##0.00;-#,##0.00;-"),"")))</f>
        <v/>
      </c>
      <c r="L255" t="n">
        <v>250</v>
      </c>
      <c r="M255">
        <f>IF(L255&lt;=StCount,"m",IF(L255=StCount+2,"t",IF(L255=StCount+3,"l",IF(L255=StCount+4,"v",IF(L255=StCount+6,"p","")))))</f>
        <v/>
      </c>
      <c r="N255">
        <f>IF(M255="m",IFERROR(MATCH(L255,tblInv[ترتيب الكشف],0),""),"")</f>
        <v/>
      </c>
      <c r="O255">
        <f>IF(AND(M255="m",N255=""),IFERROR(MATCH(L255,tblRec[ترتيب الكشف],0),""),"")</f>
        <v/>
      </c>
    </row>
  </sheetData>
  <sheetProtection selectLockedCells="0" selectUnlockedCells="0" sheet="1" objects="0" insertRows="1" insertHyperlinks="1" autoFilter="1" scenarios="0" formatColumns="1" deleteColumns="1" insertColumns="1" pivotTables="1" deleteRows="1" formatCells="1" formatRows="1" sort="1"/>
  <mergeCells count="5">
    <mergeCell ref="A1:G1"/>
    <mergeCell ref="A3:G3"/>
    <mergeCell ref="I11:J14"/>
    <mergeCell ref="A2:G2"/>
    <mergeCell ref="I1:J1"/>
  </mergeCells>
  <conditionalFormatting sqref="A6:G255">
    <cfRule type="expression" priority="1" dxfId="13">
      <formula>$M6="m"</formula>
    </cfRule>
    <cfRule type="expression" priority="2" dxfId="15">
      <formula>AND($M6="m",MOD($L6,2)=0)</formula>
    </cfRule>
    <cfRule type="expression" priority="3" dxfId="16">
      <formula>$M6="t"</formula>
    </cfRule>
    <cfRule type="expression" priority="4" dxfId="17">
      <formula>$M6="l"</formula>
    </cfRule>
    <cfRule type="expression" priority="5" dxfId="18">
      <formula>$M6="v"</formula>
    </cfRule>
    <cfRule type="expression" priority="6" dxfId="19">
      <formula>$M6="p"</formula>
    </cfRule>
  </conditionalFormatting>
  <dataValidations count="2">
    <dataValidation sqref="J2" showDropDown="0" showInputMessage="1" showErrorMessage="1" allowBlank="1" errorTitle="قيمة غير مسموحة" error="من فضلك اختر قيمة من القائمة المنسدلة." promptTitle="تنبيه" prompt="اختار العميل" type="list" errorStyle="stop">
      <formula1>CustCodes</formula1>
    </dataValidation>
    <dataValidation sqref="J3:J4" showDropDown="0" showInputMessage="0" showErrorMessage="1" allowBlank="1" errorTitle="قيمة غير صحيحة" error="لازم يكون تاريخ" type="date" errorStyle="stop" operator="greaterThan">
      <formula1>36526</formula1>
    </dataValidation>
  </dataValidations>
  <printOptions horizontalCentered="1"/>
  <pageMargins left="0.4" right="0.4" top="0.5" bottom="0.5" header="0.5" footer="0.5"/>
  <pageSetup orientation="landscape" paperSize="9" fitToHeight="0" fitToWidth="1"/>
  <headerFooter>
    <oddHeader>&amp;R&amp;D</oddHeader>
    <oddFooter>&amp;Lصفحة &amp;P من &amp;N&amp;Cيُرجى مطابقة الرصيد وإفادتنا خلال 15 يوماً، وإلا اعتُبر الرصيد صحيحاً.</oddFooter>
    <evenHeader/>
    <evenFooter/>
    <firstHeader/>
    <firstFooter/>
  </headerFooter>
</worksheet>
</file>

<file path=xl/worksheets/sheet9.xml><?xml version="1.0" encoding="utf-8"?>
<worksheet xmlns="http://schemas.openxmlformats.org/spreadsheetml/2006/main">
  <sheetPr>
    <tabColor rgb="001F3A5F"/>
    <outlinePr summaryBelow="1" summaryRight="1"/>
    <pageSetUpPr fitToPage="1"/>
  </sheetPr>
  <dimension ref="A1:P70"/>
  <sheetViews>
    <sheetView showGridLines="0" rightToLeft="1" zoomScale="90" workbookViewId="0">
      <pane ySplit="3" topLeftCell="A4" activePane="bottomLeft" state="frozen"/>
      <selection pane="bottomLeft" activeCell="A1" sqref="A1"/>
    </sheetView>
  </sheetViews>
  <sheetFormatPr baseColWidth="8" defaultRowHeight="15"/>
  <cols>
    <col width="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 customWidth="1" min="14" max="14"/>
    <col hidden="1" width="13" customWidth="1" min="16" max="16"/>
  </cols>
  <sheetData>
    <row r="1" ht="34" customHeight="1">
      <c r="A1" s="1" t="inlineStr">
        <is>
          <t>📈 لوحة التحكم — الذمم المدينة</t>
        </is>
      </c>
      <c r="B1" s="1" t="n"/>
      <c r="C1" s="1" t="n"/>
      <c r="D1" s="1" t="n"/>
      <c r="E1" s="1" t="n"/>
      <c r="F1" s="1" t="n"/>
      <c r="G1" s="1" t="n"/>
      <c r="H1" s="1" t="n"/>
      <c r="I1" s="1" t="n"/>
      <c r="J1" s="1" t="n"/>
      <c r="K1" s="1" t="n"/>
      <c r="L1" s="1" t="n"/>
      <c r="M1" s="1" t="n"/>
      <c r="N1" s="1" t="n"/>
    </row>
    <row r="2" ht="20" customHeight="1">
      <c r="A2" s="2">
        <f>CompanyName&amp;"   |   تاريخ التقرير: "&amp;TEXT(AsOf,"dd/mm/yyyy")&amp;"   |   المبالغ بـ "&amp;Currency</f>
        <v/>
      </c>
      <c r="B2" s="2" t="n"/>
      <c r="C2" s="2" t="n"/>
      <c r="D2" s="2" t="n"/>
      <c r="E2" s="2" t="n"/>
      <c r="F2" s="2" t="n"/>
      <c r="G2" s="2" t="n"/>
      <c r="H2" s="2" t="n"/>
      <c r="I2" s="2" t="n"/>
      <c r="J2" s="2" t="n"/>
      <c r="K2" s="2" t="n"/>
      <c r="L2" s="2" t="n"/>
      <c r="M2" s="2" t="n"/>
      <c r="N2" s="2" t="n"/>
    </row>
    <row r="3" ht="22" customHeight="1">
      <c r="B3" s="18" t="inlineStr">
        <is>
          <t>📘 التعليمات</t>
        </is>
      </c>
      <c r="C3" s="3" t="inlineStr">
        <is>
          <t>⚙ الإعدادات</t>
        </is>
      </c>
      <c r="D3" s="3" t="inlineStr">
        <is>
          <t>👥 العملاء</t>
        </is>
      </c>
      <c r="E3" s="3" t="inlineStr">
        <is>
          <t>🧾 الفواتير</t>
        </is>
      </c>
      <c r="F3" s="3" t="inlineStr">
        <is>
          <t>💵 التحصيلات</t>
        </is>
      </c>
      <c r="G3" s="5" t="inlineStr">
        <is>
          <t>📊 تقرير الأعمار</t>
        </is>
      </c>
      <c r="H3" s="5" t="inlineStr">
        <is>
          <t>🛡 المخصص</t>
        </is>
      </c>
      <c r="I3" s="5" t="inlineStr">
        <is>
          <t>📄 كشف حساب</t>
        </is>
      </c>
    </row>
    <row r="4" ht="8" customHeight="1"/>
    <row r="5" ht="22" customHeight="1">
      <c r="B5" s="124" t="inlineStr">
        <is>
          <t>إجمالي الذمم (الصافي)</t>
        </is>
      </c>
      <c r="C5" s="124" t="n"/>
      <c r="D5" s="125" t="inlineStr">
        <is>
          <t>المتأخر</t>
        </is>
      </c>
      <c r="E5" s="125" t="n"/>
      <c r="F5" s="126" t="inlineStr">
        <is>
          <t>نسبة المتأخر</t>
        </is>
      </c>
      <c r="G5" s="126" t="n"/>
      <c r="H5" s="127" t="inlineStr">
        <is>
          <t>متوسط فترة التحصيل DSO (يوم)</t>
        </is>
      </c>
      <c r="I5" s="127" t="n"/>
      <c r="J5" s="128" t="inlineStr">
        <is>
          <t>المخصص المطلوب</t>
        </is>
      </c>
      <c r="K5" s="128" t="n"/>
      <c r="L5" s="125" t="inlineStr">
        <is>
          <t>عملاء متجاوزين الحد</t>
        </is>
      </c>
      <c r="M5" s="125" t="n"/>
    </row>
    <row r="6" ht="30" customHeight="1">
      <c r="B6" s="129">
        <f>(SUM(tblInv[المتبقي])-SUMIFS(tblRec[المبلغ],tblRec[رقم الفاتورة],"",tblRec[التاريخ],"&lt;="&amp;AsOf))</f>
        <v/>
      </c>
      <c r="C6" s="129" t="n"/>
      <c r="D6" s="130">
        <f>SUMIFS(tblInv[المتبقي],tblInv[أيام التأخير],"&gt;0")</f>
        <v/>
      </c>
      <c r="E6" s="130" t="n"/>
      <c r="F6" s="131">
        <f>IFERROR(AROverdue/ARTotal,0)</f>
        <v/>
      </c>
      <c r="G6" s="131" t="n"/>
      <c r="H6" s="132">
        <f>IFERROR(ARTotal/SUMIFS(tblInv[الإجمالي],tblInv[تاريخ الفاتورة],"&gt;"&amp;(AsOf-90),tblInv[تاريخ الفاتورة],"&lt;="&amp;AsOf)*90,0)</f>
        <v/>
      </c>
      <c r="I6" s="132" t="n"/>
      <c r="J6" s="133">
        <f>ProvRequired</f>
        <v/>
      </c>
      <c r="K6" s="133" t="n"/>
      <c r="L6" s="134">
        <f>COUNTIFS(tblCustomers[استخدام الحد %],"&gt;1")</f>
        <v/>
      </c>
      <c r="M6" s="134" t="n"/>
    </row>
    <row r="7" ht="10" customHeight="1"/>
    <row r="8" ht="22" customHeight="1">
      <c r="B8" s="6" t="inlineStr">
        <is>
          <t>توزيع الذمم حسب الفترة</t>
        </is>
      </c>
      <c r="C8" s="6" t="n"/>
      <c r="D8" s="6" t="n"/>
      <c r="E8" s="6" t="n"/>
      <c r="F8" s="6" t="n"/>
      <c r="G8" s="6" t="n"/>
      <c r="H8" s="135" t="inlineStr">
        <is>
          <t>أعلى 10 عملاء في المتأخر</t>
        </is>
      </c>
      <c r="I8" s="135" t="n"/>
      <c r="J8" s="135" t="n"/>
      <c r="K8" s="135" t="n"/>
      <c r="L8" s="135" t="n"/>
      <c r="M8" s="135" t="n"/>
    </row>
    <row r="9">
      <c r="B9" s="27" t="inlineStr">
        <is>
          <t>الفترة</t>
        </is>
      </c>
      <c r="C9" s="27" t="n"/>
      <c r="D9" s="27" t="n"/>
      <c r="E9" s="27" t="inlineStr">
        <is>
          <t>المبلغ</t>
        </is>
      </c>
      <c r="F9" s="27" t="n"/>
      <c r="G9" s="27" t="inlineStr">
        <is>
          <t>النسبة</t>
        </is>
      </c>
      <c r="H9" s="27" t="inlineStr">
        <is>
          <t>#</t>
        </is>
      </c>
      <c r="I9" s="27" t="inlineStr">
        <is>
          <t>العميل</t>
        </is>
      </c>
      <c r="J9" s="27" t="n"/>
      <c r="K9" s="27" t="n"/>
      <c r="L9" s="27" t="inlineStr">
        <is>
          <t>المتأخر</t>
        </is>
      </c>
      <c r="M9" s="27" t="inlineStr">
        <is>
          <t>أقدم (يوم)</t>
        </is>
      </c>
    </row>
    <row r="10">
      <c r="B10" s="85">
        <f>INDEX(tblBuckets[الفترة],1)</f>
        <v/>
      </c>
      <c r="C10" s="85" t="n"/>
      <c r="D10" s="85" t="n"/>
      <c r="E10" s="86">
        <f>SUMIFS(tblInv[المتبقي],tblInv[الفترة],B10)</f>
        <v/>
      </c>
      <c r="F10" s="86" t="n"/>
      <c r="G10" s="136">
        <f>IFERROR(E10/SUM($E$10:$E$16),0)</f>
        <v/>
      </c>
      <c r="H10" s="137" t="n">
        <v>1</v>
      </c>
      <c r="I10" s="138">
        <f>IFERROR(INDEX(tblCustomers[اسم العميل],MATCH(1,tblCustomers[ترتيب المتأخر],0)),"")</f>
        <v/>
      </c>
      <c r="J10" s="138" t="n"/>
      <c r="K10" s="138" t="n"/>
      <c r="L10" s="139">
        <f>IFERROR(INDEX(tblCustomers[المتأخر],MATCH(1,tblCustomers[ترتيب المتأخر],0)),0)</f>
        <v/>
      </c>
      <c r="M10" s="140">
        <f>IFERROR(INDEX(tblCustomers[أقدم فاتورة (يوم)],MATCH(1,tblCustomers[ترتيب المتأخر],0)),"")</f>
        <v/>
      </c>
    </row>
    <row r="11">
      <c r="B11" s="90">
        <f>INDEX(tblBuckets[الفترة],2)</f>
        <v/>
      </c>
      <c r="C11" s="90" t="n"/>
      <c r="D11" s="90" t="n"/>
      <c r="E11" s="86">
        <f>SUMIFS(tblInv[المتبقي],tblInv[الفترة],B11)</f>
        <v/>
      </c>
      <c r="F11" s="86" t="n"/>
      <c r="G11" s="136">
        <f>IFERROR(E11/SUM($E$10:$E$16),0)</f>
        <v/>
      </c>
      <c r="H11" s="137" t="n">
        <v>2</v>
      </c>
      <c r="I11" s="138">
        <f>IFERROR(INDEX(tblCustomers[اسم العميل],MATCH(2,tblCustomers[ترتيب المتأخر],0)),"")</f>
        <v/>
      </c>
      <c r="J11" s="138" t="n"/>
      <c r="K11" s="138" t="n"/>
      <c r="L11" s="139">
        <f>IFERROR(INDEX(tblCustomers[المتأخر],MATCH(2,tblCustomers[ترتيب المتأخر],0)),0)</f>
        <v/>
      </c>
      <c r="M11" s="140">
        <f>IFERROR(INDEX(tblCustomers[أقدم فاتورة (يوم)],MATCH(2,tblCustomers[ترتيب المتأخر],0)),"")</f>
        <v/>
      </c>
    </row>
    <row r="12">
      <c r="B12" s="91">
        <f>INDEX(tblBuckets[الفترة],3)</f>
        <v/>
      </c>
      <c r="C12" s="91" t="n"/>
      <c r="D12" s="91" t="n"/>
      <c r="E12" s="86">
        <f>SUMIFS(tblInv[المتبقي],tblInv[الفترة],B12)</f>
        <v/>
      </c>
      <c r="F12" s="86" t="n"/>
      <c r="G12" s="136">
        <f>IFERROR(E12/SUM($E$10:$E$16),0)</f>
        <v/>
      </c>
      <c r="H12" s="137" t="n">
        <v>3</v>
      </c>
      <c r="I12" s="138">
        <f>IFERROR(INDEX(tblCustomers[اسم العميل],MATCH(3,tblCustomers[ترتيب المتأخر],0)),"")</f>
        <v/>
      </c>
      <c r="J12" s="138" t="n"/>
      <c r="K12" s="138" t="n"/>
      <c r="L12" s="139">
        <f>IFERROR(INDEX(tblCustomers[المتأخر],MATCH(3,tblCustomers[ترتيب المتأخر],0)),0)</f>
        <v/>
      </c>
      <c r="M12" s="140">
        <f>IFERROR(INDEX(tblCustomers[أقدم فاتورة (يوم)],MATCH(3,tblCustomers[ترتيب المتأخر],0)),"")</f>
        <v/>
      </c>
    </row>
    <row r="13">
      <c r="B13" s="92">
        <f>INDEX(tblBuckets[الفترة],4)</f>
        <v/>
      </c>
      <c r="C13" s="92" t="n"/>
      <c r="D13" s="92" t="n"/>
      <c r="E13" s="86">
        <f>SUMIFS(tblInv[المتبقي],tblInv[الفترة],B13)</f>
        <v/>
      </c>
      <c r="F13" s="86" t="n"/>
      <c r="G13" s="136">
        <f>IFERROR(E13/SUM($E$10:$E$16),0)</f>
        <v/>
      </c>
      <c r="H13" s="137" t="n">
        <v>4</v>
      </c>
      <c r="I13" s="138">
        <f>IFERROR(INDEX(tblCustomers[اسم العميل],MATCH(4,tblCustomers[ترتيب المتأخر],0)),"")</f>
        <v/>
      </c>
      <c r="J13" s="138" t="n"/>
      <c r="K13" s="138" t="n"/>
      <c r="L13" s="139">
        <f>IFERROR(INDEX(tblCustomers[المتأخر],MATCH(4,tblCustomers[ترتيب المتأخر],0)),0)</f>
        <v/>
      </c>
      <c r="M13" s="140">
        <f>IFERROR(INDEX(tblCustomers[أقدم فاتورة (يوم)],MATCH(4,tblCustomers[ترتيب المتأخر],0)),"")</f>
        <v/>
      </c>
    </row>
    <row r="14">
      <c r="B14" s="93">
        <f>INDEX(tblBuckets[الفترة],5)</f>
        <v/>
      </c>
      <c r="C14" s="93" t="n"/>
      <c r="D14" s="93" t="n"/>
      <c r="E14" s="86">
        <f>SUMIFS(tblInv[المتبقي],tblInv[الفترة],B14)</f>
        <v/>
      </c>
      <c r="F14" s="86" t="n"/>
      <c r="G14" s="136">
        <f>IFERROR(E14/SUM($E$10:$E$16),0)</f>
        <v/>
      </c>
      <c r="H14" s="137" t="n">
        <v>5</v>
      </c>
      <c r="I14" s="138">
        <f>IFERROR(INDEX(tblCustomers[اسم العميل],MATCH(5,tblCustomers[ترتيب المتأخر],0)),"")</f>
        <v/>
      </c>
      <c r="J14" s="138" t="n"/>
      <c r="K14" s="138" t="n"/>
      <c r="L14" s="139">
        <f>IFERROR(INDEX(tblCustomers[المتأخر],MATCH(5,tblCustomers[ترتيب المتأخر],0)),0)</f>
        <v/>
      </c>
      <c r="M14" s="140">
        <f>IFERROR(INDEX(tblCustomers[أقدم فاتورة (يوم)],MATCH(5,tblCustomers[ترتيب المتأخر],0)),"")</f>
        <v/>
      </c>
    </row>
    <row r="15">
      <c r="B15" s="94">
        <f>INDEX(tblBuckets[الفترة],6)</f>
        <v/>
      </c>
      <c r="C15" s="94" t="n"/>
      <c r="D15" s="94" t="n"/>
      <c r="E15" s="86">
        <f>SUMIFS(tblInv[المتبقي],tblInv[الفترة],B15)</f>
        <v/>
      </c>
      <c r="F15" s="86" t="n"/>
      <c r="G15" s="136">
        <f>IFERROR(E15/SUM($E$10:$E$16),0)</f>
        <v/>
      </c>
      <c r="H15" s="137" t="n">
        <v>6</v>
      </c>
      <c r="I15" s="138">
        <f>IFERROR(INDEX(tblCustomers[اسم العميل],MATCH(6,tblCustomers[ترتيب المتأخر],0)),"")</f>
        <v/>
      </c>
      <c r="J15" s="138" t="n"/>
      <c r="K15" s="138" t="n"/>
      <c r="L15" s="139">
        <f>IFERROR(INDEX(tblCustomers[المتأخر],MATCH(6,tblCustomers[ترتيب المتأخر],0)),0)</f>
        <v/>
      </c>
      <c r="M15" s="140">
        <f>IFERROR(INDEX(tblCustomers[أقدم فاتورة (يوم)],MATCH(6,tblCustomers[ترتيب المتأخر],0)),"")</f>
        <v/>
      </c>
    </row>
    <row r="16">
      <c r="B16" s="95">
        <f>INDEX(tblBuckets[الفترة],7)</f>
        <v/>
      </c>
      <c r="C16" s="95" t="n"/>
      <c r="D16" s="95" t="n"/>
      <c r="E16" s="86">
        <f>SUMIFS(tblInv[المتبقي],tblInv[الفترة],B16)</f>
        <v/>
      </c>
      <c r="F16" s="86" t="n"/>
      <c r="G16" s="136">
        <f>IFERROR(E16/SUM($E$10:$E$16),0)</f>
        <v/>
      </c>
      <c r="H16" s="137" t="n">
        <v>7</v>
      </c>
      <c r="I16" s="138">
        <f>IFERROR(INDEX(tblCustomers[اسم العميل],MATCH(7,tblCustomers[ترتيب المتأخر],0)),"")</f>
        <v/>
      </c>
      <c r="J16" s="138" t="n"/>
      <c r="K16" s="138" t="n"/>
      <c r="L16" s="139">
        <f>IFERROR(INDEX(tblCustomers[المتأخر],MATCH(7,tblCustomers[ترتيب المتأخر],0)),0)</f>
        <v/>
      </c>
      <c r="M16" s="140">
        <f>IFERROR(INDEX(tblCustomers[أقدم فاتورة (يوم)],MATCH(7,tblCustomers[ترتيب المتأخر],0)),"")</f>
        <v/>
      </c>
    </row>
    <row r="17">
      <c r="B17" s="141" t="inlineStr">
        <is>
          <t>إجمالي الفواتير المفتوحة</t>
        </is>
      </c>
      <c r="C17" s="141" t="n"/>
      <c r="D17" s="141" t="n"/>
      <c r="E17" s="72">
        <f>SUM(E10:E16)</f>
        <v/>
      </c>
      <c r="F17" s="72" t="n"/>
      <c r="G17" s="73">
        <f>SUM(G10:G16)</f>
        <v/>
      </c>
      <c r="H17" s="137" t="n">
        <v>8</v>
      </c>
      <c r="I17" s="138">
        <f>IFERROR(INDEX(tblCustomers[اسم العميل],MATCH(8,tblCustomers[ترتيب المتأخر],0)),"")</f>
        <v/>
      </c>
      <c r="J17" s="138" t="n"/>
      <c r="K17" s="138" t="n"/>
      <c r="L17" s="139">
        <f>IFERROR(INDEX(tblCustomers[المتأخر],MATCH(8,tblCustomers[ترتيب المتأخر],0)),0)</f>
        <v/>
      </c>
      <c r="M17" s="140">
        <f>IFERROR(INDEX(tblCustomers[أقدم فاتورة (يوم)],MATCH(8,tblCustomers[ترتيب المتأخر],0)),"")</f>
        <v/>
      </c>
    </row>
    <row r="18">
      <c r="H18" s="137" t="n">
        <v>9</v>
      </c>
      <c r="I18" s="138">
        <f>IFERROR(INDEX(tblCustomers[اسم العميل],MATCH(9,tblCustomers[ترتيب المتأخر],0)),"")</f>
        <v/>
      </c>
      <c r="J18" s="138" t="n"/>
      <c r="K18" s="138" t="n"/>
      <c r="L18" s="139">
        <f>IFERROR(INDEX(tblCustomers[المتأخر],MATCH(9,tblCustomers[ترتيب المتأخر],0)),0)</f>
        <v/>
      </c>
      <c r="M18" s="140">
        <f>IFERROR(INDEX(tblCustomers[أقدم فاتورة (يوم)],MATCH(9,tblCustomers[ترتيب المتأخر],0)),"")</f>
        <v/>
      </c>
    </row>
    <row r="19">
      <c r="H19" s="137" t="n">
        <v>10</v>
      </c>
      <c r="I19" s="138">
        <f>IFERROR(INDEX(tblCustomers[اسم العميل],MATCH(10,tblCustomers[ترتيب المتأخر],0)),"")</f>
        <v/>
      </c>
      <c r="J19" s="138" t="n"/>
      <c r="K19" s="138" t="n"/>
      <c r="L19" s="139">
        <f>IFERROR(INDEX(tblCustomers[المتأخر],MATCH(10,tblCustomers[ترتيب المتأخر],0)),0)</f>
        <v/>
      </c>
      <c r="M19" s="140">
        <f>IFERROR(INDEX(tblCustomers[أقدم فاتورة (يوم)],MATCH(10,tblCustomers[ترتيب المتأخر],0)),"")</f>
        <v/>
      </c>
    </row>
    <row r="37" ht="22" customHeight="1">
      <c r="B37" s="101" t="inlineStr">
        <is>
          <t>📋 قايمة متابعة التحصيل — الفواتير المتأخرة مرتبة بالمتبقي (من الأكبر)</t>
        </is>
      </c>
      <c r="C37" s="101" t="n"/>
      <c r="D37" s="101" t="n"/>
      <c r="E37" s="101" t="n"/>
      <c r="F37" s="101" t="n"/>
      <c r="G37" s="101" t="n"/>
      <c r="H37" s="101" t="n"/>
      <c r="I37" s="101" t="n"/>
      <c r="J37" s="101" t="n"/>
      <c r="K37" s="101" t="n"/>
      <c r="L37" s="101" t="n"/>
      <c r="M37" s="101" t="n"/>
    </row>
    <row r="38">
      <c r="B38" s="27" t="inlineStr">
        <is>
          <t>#</t>
        </is>
      </c>
      <c r="C38" s="27" t="inlineStr">
        <is>
          <t>رقم الفاتورة</t>
        </is>
      </c>
      <c r="D38" s="27" t="inlineStr">
        <is>
          <t>الاستحقاق</t>
        </is>
      </c>
      <c r="E38" s="27" t="inlineStr">
        <is>
          <t>العميل</t>
        </is>
      </c>
      <c r="F38" s="27" t="n"/>
      <c r="G38" s="27" t="inlineStr">
        <is>
          <t>المتبقي</t>
        </is>
      </c>
      <c r="H38" s="27" t="inlineStr">
        <is>
          <t>أيام التأخير</t>
        </is>
      </c>
      <c r="I38" s="27" t="inlineStr">
        <is>
          <t>الجوال</t>
        </is>
      </c>
      <c r="J38" s="27" t="inlineStr">
        <is>
          <t>الإجراء المقترح</t>
        </is>
      </c>
      <c r="K38" s="27" t="n"/>
      <c r="L38" s="27" t="n"/>
      <c r="M38" s="27" t="n"/>
    </row>
    <row r="39">
      <c r="B39" s="142">
        <f>IF($P39="","",1)</f>
        <v/>
      </c>
      <c r="C39" s="83">
        <f>IF($P39="","",INDEX(tblInv[رقم الفاتورة],$P39))</f>
        <v/>
      </c>
      <c r="D39" s="117">
        <f>IF($P39="","",INDEX(tblInv[تاريخ الاستحقاق],$P39))</f>
        <v/>
      </c>
      <c r="E39" s="143">
        <f>IF($P39="","",INDEX(tblInv[اسم العميل],$P39))</f>
        <v/>
      </c>
      <c r="F39" s="143" t="n"/>
      <c r="G39" s="81">
        <f>IF($P39="","",INDEX(tblInv[المتبقي],$P39))</f>
        <v/>
      </c>
      <c r="H39" s="144">
        <f>IF($P39="","",INDEX(tblInv[أيام التأخير],$P39))</f>
        <v/>
      </c>
      <c r="I39" s="83">
        <f>IF($P39="","",IFERROR(INDEX(tblCustomers[الجوال],MATCH(INDEX(tblInv[كود العميل],$P39),tblCustomers[كود العميل],0))&amp;"",""))</f>
        <v/>
      </c>
      <c r="J39" s="145">
        <f>IF(H39="","",IF(H39&lt;=30,"📱 تذكير ودي على الواتساب",IF(H39&lt;=60,"☎️ اتصال ومتابعة الوعد بالسداد",IF(H39&lt;=90,"✉️ خطاب مطالبة رسمي","⛔ إيقاف التوريد وتصعيد للإدارة أو الإجراء القانوني"))))</f>
        <v/>
      </c>
      <c r="K39" s="145" t="n"/>
      <c r="L39" s="145" t="n"/>
      <c r="M39" s="145" t="n"/>
      <c r="P39">
        <f>IFERROR(MATCH(1,tblInv[ترتيب المتابعة],0),"")</f>
        <v/>
      </c>
    </row>
    <row r="40">
      <c r="B40" s="142">
        <f>IF($P40="","",2)</f>
        <v/>
      </c>
      <c r="C40" s="83">
        <f>IF($P40="","",INDEX(tblInv[رقم الفاتورة],$P40))</f>
        <v/>
      </c>
      <c r="D40" s="117">
        <f>IF($P40="","",INDEX(tblInv[تاريخ الاستحقاق],$P40))</f>
        <v/>
      </c>
      <c r="E40" s="143">
        <f>IF($P40="","",INDEX(tblInv[اسم العميل],$P40))</f>
        <v/>
      </c>
      <c r="F40" s="143" t="n"/>
      <c r="G40" s="81">
        <f>IF($P40="","",INDEX(tblInv[المتبقي],$P40))</f>
        <v/>
      </c>
      <c r="H40" s="144">
        <f>IF($P40="","",INDEX(tblInv[أيام التأخير],$P40))</f>
        <v/>
      </c>
      <c r="I40" s="83">
        <f>IF($P40="","",IFERROR(INDEX(tblCustomers[الجوال],MATCH(INDEX(tblInv[كود العميل],$P40),tblCustomers[كود العميل],0))&amp;"",""))</f>
        <v/>
      </c>
      <c r="J40" s="145">
        <f>IF(H40="","",IF(H40&lt;=30,"📱 تذكير ودي على الواتساب",IF(H40&lt;=60,"☎️ اتصال ومتابعة الوعد بالسداد",IF(H40&lt;=90,"✉️ خطاب مطالبة رسمي","⛔ إيقاف التوريد وتصعيد للإدارة أو الإجراء القانوني"))))</f>
        <v/>
      </c>
      <c r="K40" s="145" t="n"/>
      <c r="L40" s="145" t="n"/>
      <c r="M40" s="145" t="n"/>
      <c r="P40">
        <f>IFERROR(MATCH(2,tblInv[ترتيب المتابعة],0),"")</f>
        <v/>
      </c>
    </row>
    <row r="41">
      <c r="B41" s="142">
        <f>IF($P41="","",3)</f>
        <v/>
      </c>
      <c r="C41" s="83">
        <f>IF($P41="","",INDEX(tblInv[رقم الفاتورة],$P41))</f>
        <v/>
      </c>
      <c r="D41" s="117">
        <f>IF($P41="","",INDEX(tblInv[تاريخ الاستحقاق],$P41))</f>
        <v/>
      </c>
      <c r="E41" s="143">
        <f>IF($P41="","",INDEX(tblInv[اسم العميل],$P41))</f>
        <v/>
      </c>
      <c r="F41" s="143" t="n"/>
      <c r="G41" s="81">
        <f>IF($P41="","",INDEX(tblInv[المتبقي],$P41))</f>
        <v/>
      </c>
      <c r="H41" s="144">
        <f>IF($P41="","",INDEX(tblInv[أيام التأخير],$P41))</f>
        <v/>
      </c>
      <c r="I41" s="83">
        <f>IF($P41="","",IFERROR(INDEX(tblCustomers[الجوال],MATCH(INDEX(tblInv[كود العميل],$P41),tblCustomers[كود العميل],0))&amp;"",""))</f>
        <v/>
      </c>
      <c r="J41" s="145">
        <f>IF(H41="","",IF(H41&lt;=30,"📱 تذكير ودي على الواتساب",IF(H41&lt;=60,"☎️ اتصال ومتابعة الوعد بالسداد",IF(H41&lt;=90,"✉️ خطاب مطالبة رسمي","⛔ إيقاف التوريد وتصعيد للإدارة أو الإجراء القانوني"))))</f>
        <v/>
      </c>
      <c r="K41" s="145" t="n"/>
      <c r="L41" s="145" t="n"/>
      <c r="M41" s="145" t="n"/>
      <c r="P41">
        <f>IFERROR(MATCH(3,tblInv[ترتيب المتابعة],0),"")</f>
        <v/>
      </c>
    </row>
    <row r="42">
      <c r="B42" s="142">
        <f>IF($P42="","",4)</f>
        <v/>
      </c>
      <c r="C42" s="83">
        <f>IF($P42="","",INDEX(tblInv[رقم الفاتورة],$P42))</f>
        <v/>
      </c>
      <c r="D42" s="117">
        <f>IF($P42="","",INDEX(tblInv[تاريخ الاستحقاق],$P42))</f>
        <v/>
      </c>
      <c r="E42" s="143">
        <f>IF($P42="","",INDEX(tblInv[اسم العميل],$P42))</f>
        <v/>
      </c>
      <c r="F42" s="143" t="n"/>
      <c r="G42" s="81">
        <f>IF($P42="","",INDEX(tblInv[المتبقي],$P42))</f>
        <v/>
      </c>
      <c r="H42" s="144">
        <f>IF($P42="","",INDEX(tblInv[أيام التأخير],$P42))</f>
        <v/>
      </c>
      <c r="I42" s="83">
        <f>IF($P42="","",IFERROR(INDEX(tblCustomers[الجوال],MATCH(INDEX(tblInv[كود العميل],$P42),tblCustomers[كود العميل],0))&amp;"",""))</f>
        <v/>
      </c>
      <c r="J42" s="145">
        <f>IF(H42="","",IF(H42&lt;=30,"📱 تذكير ودي على الواتساب",IF(H42&lt;=60,"☎️ اتصال ومتابعة الوعد بالسداد",IF(H42&lt;=90,"✉️ خطاب مطالبة رسمي","⛔ إيقاف التوريد وتصعيد للإدارة أو الإجراء القانوني"))))</f>
        <v/>
      </c>
      <c r="K42" s="145" t="n"/>
      <c r="L42" s="145" t="n"/>
      <c r="M42" s="145" t="n"/>
      <c r="P42">
        <f>IFERROR(MATCH(4,tblInv[ترتيب المتابعة],0),"")</f>
        <v/>
      </c>
    </row>
    <row r="43">
      <c r="B43" s="142">
        <f>IF($P43="","",5)</f>
        <v/>
      </c>
      <c r="C43" s="83">
        <f>IF($P43="","",INDEX(tblInv[رقم الفاتورة],$P43))</f>
        <v/>
      </c>
      <c r="D43" s="117">
        <f>IF($P43="","",INDEX(tblInv[تاريخ الاستحقاق],$P43))</f>
        <v/>
      </c>
      <c r="E43" s="143">
        <f>IF($P43="","",INDEX(tblInv[اسم العميل],$P43))</f>
        <v/>
      </c>
      <c r="F43" s="143" t="n"/>
      <c r="G43" s="81">
        <f>IF($P43="","",INDEX(tblInv[المتبقي],$P43))</f>
        <v/>
      </c>
      <c r="H43" s="144">
        <f>IF($P43="","",INDEX(tblInv[أيام التأخير],$P43))</f>
        <v/>
      </c>
      <c r="I43" s="83">
        <f>IF($P43="","",IFERROR(INDEX(tblCustomers[الجوال],MATCH(INDEX(tblInv[كود العميل],$P43),tblCustomers[كود العميل],0))&amp;"",""))</f>
        <v/>
      </c>
      <c r="J43" s="145">
        <f>IF(H43="","",IF(H43&lt;=30,"📱 تذكير ودي على الواتساب",IF(H43&lt;=60,"☎️ اتصال ومتابعة الوعد بالسداد",IF(H43&lt;=90,"✉️ خطاب مطالبة رسمي","⛔ إيقاف التوريد وتصعيد للإدارة أو الإجراء القانوني"))))</f>
        <v/>
      </c>
      <c r="K43" s="145" t="n"/>
      <c r="L43" s="145" t="n"/>
      <c r="M43" s="145" t="n"/>
      <c r="P43">
        <f>IFERROR(MATCH(5,tblInv[ترتيب المتابعة],0),"")</f>
        <v/>
      </c>
    </row>
    <row r="44">
      <c r="B44" s="142">
        <f>IF($P44="","",6)</f>
        <v/>
      </c>
      <c r="C44" s="83">
        <f>IF($P44="","",INDEX(tblInv[رقم الفاتورة],$P44))</f>
        <v/>
      </c>
      <c r="D44" s="117">
        <f>IF($P44="","",INDEX(tblInv[تاريخ الاستحقاق],$P44))</f>
        <v/>
      </c>
      <c r="E44" s="143">
        <f>IF($P44="","",INDEX(tblInv[اسم العميل],$P44))</f>
        <v/>
      </c>
      <c r="F44" s="143" t="n"/>
      <c r="G44" s="81">
        <f>IF($P44="","",INDEX(tblInv[المتبقي],$P44))</f>
        <v/>
      </c>
      <c r="H44" s="144">
        <f>IF($P44="","",INDEX(tblInv[أيام التأخير],$P44))</f>
        <v/>
      </c>
      <c r="I44" s="83">
        <f>IF($P44="","",IFERROR(INDEX(tblCustomers[الجوال],MATCH(INDEX(tblInv[كود العميل],$P44),tblCustomers[كود العميل],0))&amp;"",""))</f>
        <v/>
      </c>
      <c r="J44" s="145">
        <f>IF(H44="","",IF(H44&lt;=30,"📱 تذكير ودي على الواتساب",IF(H44&lt;=60,"☎️ اتصال ومتابعة الوعد بالسداد",IF(H44&lt;=90,"✉️ خطاب مطالبة رسمي","⛔ إيقاف التوريد وتصعيد للإدارة أو الإجراء القانوني"))))</f>
        <v/>
      </c>
      <c r="K44" s="145" t="n"/>
      <c r="L44" s="145" t="n"/>
      <c r="M44" s="145" t="n"/>
      <c r="P44">
        <f>IFERROR(MATCH(6,tblInv[ترتيب المتابعة],0),"")</f>
        <v/>
      </c>
    </row>
    <row r="45">
      <c r="B45" s="142">
        <f>IF($P45="","",7)</f>
        <v/>
      </c>
      <c r="C45" s="83">
        <f>IF($P45="","",INDEX(tblInv[رقم الفاتورة],$P45))</f>
        <v/>
      </c>
      <c r="D45" s="117">
        <f>IF($P45="","",INDEX(tblInv[تاريخ الاستحقاق],$P45))</f>
        <v/>
      </c>
      <c r="E45" s="143">
        <f>IF($P45="","",INDEX(tblInv[اسم العميل],$P45))</f>
        <v/>
      </c>
      <c r="F45" s="143" t="n"/>
      <c r="G45" s="81">
        <f>IF($P45="","",INDEX(tblInv[المتبقي],$P45))</f>
        <v/>
      </c>
      <c r="H45" s="144">
        <f>IF($P45="","",INDEX(tblInv[أيام التأخير],$P45))</f>
        <v/>
      </c>
      <c r="I45" s="83">
        <f>IF($P45="","",IFERROR(INDEX(tblCustomers[الجوال],MATCH(INDEX(tblInv[كود العميل],$P45),tblCustomers[كود العميل],0))&amp;"",""))</f>
        <v/>
      </c>
      <c r="J45" s="145">
        <f>IF(H45="","",IF(H45&lt;=30,"📱 تذكير ودي على الواتساب",IF(H45&lt;=60,"☎️ اتصال ومتابعة الوعد بالسداد",IF(H45&lt;=90,"✉️ خطاب مطالبة رسمي","⛔ إيقاف التوريد وتصعيد للإدارة أو الإجراء القانوني"))))</f>
        <v/>
      </c>
      <c r="K45" s="145" t="n"/>
      <c r="L45" s="145" t="n"/>
      <c r="M45" s="145" t="n"/>
      <c r="P45">
        <f>IFERROR(MATCH(7,tblInv[ترتيب المتابعة],0),"")</f>
        <v/>
      </c>
    </row>
    <row r="46">
      <c r="B46" s="142">
        <f>IF($P46="","",8)</f>
        <v/>
      </c>
      <c r="C46" s="83">
        <f>IF($P46="","",INDEX(tblInv[رقم الفاتورة],$P46))</f>
        <v/>
      </c>
      <c r="D46" s="117">
        <f>IF($P46="","",INDEX(tblInv[تاريخ الاستحقاق],$P46))</f>
        <v/>
      </c>
      <c r="E46" s="143">
        <f>IF($P46="","",INDEX(tblInv[اسم العميل],$P46))</f>
        <v/>
      </c>
      <c r="F46" s="143" t="n"/>
      <c r="G46" s="81">
        <f>IF($P46="","",INDEX(tblInv[المتبقي],$P46))</f>
        <v/>
      </c>
      <c r="H46" s="144">
        <f>IF($P46="","",INDEX(tblInv[أيام التأخير],$P46))</f>
        <v/>
      </c>
      <c r="I46" s="83">
        <f>IF($P46="","",IFERROR(INDEX(tblCustomers[الجوال],MATCH(INDEX(tblInv[كود العميل],$P46),tblCustomers[كود العميل],0))&amp;"",""))</f>
        <v/>
      </c>
      <c r="J46" s="145">
        <f>IF(H46="","",IF(H46&lt;=30,"📱 تذكير ودي على الواتساب",IF(H46&lt;=60,"☎️ اتصال ومتابعة الوعد بالسداد",IF(H46&lt;=90,"✉️ خطاب مطالبة رسمي","⛔ إيقاف التوريد وتصعيد للإدارة أو الإجراء القانوني"))))</f>
        <v/>
      </c>
      <c r="K46" s="145" t="n"/>
      <c r="L46" s="145" t="n"/>
      <c r="M46" s="145" t="n"/>
      <c r="P46">
        <f>IFERROR(MATCH(8,tblInv[ترتيب المتابعة],0),"")</f>
        <v/>
      </c>
    </row>
    <row r="47">
      <c r="B47" s="142">
        <f>IF($P47="","",9)</f>
        <v/>
      </c>
      <c r="C47" s="83">
        <f>IF($P47="","",INDEX(tblInv[رقم الفاتورة],$P47))</f>
        <v/>
      </c>
      <c r="D47" s="117">
        <f>IF($P47="","",INDEX(tblInv[تاريخ الاستحقاق],$P47))</f>
        <v/>
      </c>
      <c r="E47" s="143">
        <f>IF($P47="","",INDEX(tblInv[اسم العميل],$P47))</f>
        <v/>
      </c>
      <c r="F47" s="143" t="n"/>
      <c r="G47" s="81">
        <f>IF($P47="","",INDEX(tblInv[المتبقي],$P47))</f>
        <v/>
      </c>
      <c r="H47" s="144">
        <f>IF($P47="","",INDEX(tblInv[أيام التأخير],$P47))</f>
        <v/>
      </c>
      <c r="I47" s="83">
        <f>IF($P47="","",IFERROR(INDEX(tblCustomers[الجوال],MATCH(INDEX(tblInv[كود العميل],$P47),tblCustomers[كود العميل],0))&amp;"",""))</f>
        <v/>
      </c>
      <c r="J47" s="145">
        <f>IF(H47="","",IF(H47&lt;=30,"📱 تذكير ودي على الواتساب",IF(H47&lt;=60,"☎️ اتصال ومتابعة الوعد بالسداد",IF(H47&lt;=90,"✉️ خطاب مطالبة رسمي","⛔ إيقاف التوريد وتصعيد للإدارة أو الإجراء القانوني"))))</f>
        <v/>
      </c>
      <c r="K47" s="145" t="n"/>
      <c r="L47" s="145" t="n"/>
      <c r="M47" s="145" t="n"/>
      <c r="P47">
        <f>IFERROR(MATCH(9,tblInv[ترتيب المتابعة],0),"")</f>
        <v/>
      </c>
    </row>
    <row r="48">
      <c r="B48" s="142">
        <f>IF($P48="","",10)</f>
        <v/>
      </c>
      <c r="C48" s="83">
        <f>IF($P48="","",INDEX(tblInv[رقم الفاتورة],$P48))</f>
        <v/>
      </c>
      <c r="D48" s="117">
        <f>IF($P48="","",INDEX(tblInv[تاريخ الاستحقاق],$P48))</f>
        <v/>
      </c>
      <c r="E48" s="143">
        <f>IF($P48="","",INDEX(tblInv[اسم العميل],$P48))</f>
        <v/>
      </c>
      <c r="F48" s="143" t="n"/>
      <c r="G48" s="81">
        <f>IF($P48="","",INDEX(tblInv[المتبقي],$P48))</f>
        <v/>
      </c>
      <c r="H48" s="144">
        <f>IF($P48="","",INDEX(tblInv[أيام التأخير],$P48))</f>
        <v/>
      </c>
      <c r="I48" s="83">
        <f>IF($P48="","",IFERROR(INDEX(tblCustomers[الجوال],MATCH(INDEX(tblInv[كود العميل],$P48),tblCustomers[كود العميل],0))&amp;"",""))</f>
        <v/>
      </c>
      <c r="J48" s="145">
        <f>IF(H48="","",IF(H48&lt;=30,"📱 تذكير ودي على الواتساب",IF(H48&lt;=60,"☎️ اتصال ومتابعة الوعد بالسداد",IF(H48&lt;=90,"✉️ خطاب مطالبة رسمي","⛔ إيقاف التوريد وتصعيد للإدارة أو الإجراء القانوني"))))</f>
        <v/>
      </c>
      <c r="K48" s="145" t="n"/>
      <c r="L48" s="145" t="n"/>
      <c r="M48" s="145" t="n"/>
      <c r="P48">
        <f>IFERROR(MATCH(10,tblInv[ترتيب المتابعة],0),"")</f>
        <v/>
      </c>
    </row>
    <row r="49">
      <c r="B49" s="142">
        <f>IF($P49="","",11)</f>
        <v/>
      </c>
      <c r="C49" s="83">
        <f>IF($P49="","",INDEX(tblInv[رقم الفاتورة],$P49))</f>
        <v/>
      </c>
      <c r="D49" s="117">
        <f>IF($P49="","",INDEX(tblInv[تاريخ الاستحقاق],$P49))</f>
        <v/>
      </c>
      <c r="E49" s="143">
        <f>IF($P49="","",INDEX(tblInv[اسم العميل],$P49))</f>
        <v/>
      </c>
      <c r="F49" s="143" t="n"/>
      <c r="G49" s="81">
        <f>IF($P49="","",INDEX(tblInv[المتبقي],$P49))</f>
        <v/>
      </c>
      <c r="H49" s="144">
        <f>IF($P49="","",INDEX(tblInv[أيام التأخير],$P49))</f>
        <v/>
      </c>
      <c r="I49" s="83">
        <f>IF($P49="","",IFERROR(INDEX(tblCustomers[الجوال],MATCH(INDEX(tblInv[كود العميل],$P49),tblCustomers[كود العميل],0))&amp;"",""))</f>
        <v/>
      </c>
      <c r="J49" s="145">
        <f>IF(H49="","",IF(H49&lt;=30,"📱 تذكير ودي على الواتساب",IF(H49&lt;=60,"☎️ اتصال ومتابعة الوعد بالسداد",IF(H49&lt;=90,"✉️ خطاب مطالبة رسمي","⛔ إيقاف التوريد وتصعيد للإدارة أو الإجراء القانوني"))))</f>
        <v/>
      </c>
      <c r="K49" s="145" t="n"/>
      <c r="L49" s="145" t="n"/>
      <c r="M49" s="145" t="n"/>
      <c r="P49">
        <f>IFERROR(MATCH(11,tblInv[ترتيب المتابعة],0),"")</f>
        <v/>
      </c>
    </row>
    <row r="50">
      <c r="B50" s="142">
        <f>IF($P50="","",12)</f>
        <v/>
      </c>
      <c r="C50" s="83">
        <f>IF($P50="","",INDEX(tblInv[رقم الفاتورة],$P50))</f>
        <v/>
      </c>
      <c r="D50" s="117">
        <f>IF($P50="","",INDEX(tblInv[تاريخ الاستحقاق],$P50))</f>
        <v/>
      </c>
      <c r="E50" s="143">
        <f>IF($P50="","",INDEX(tblInv[اسم العميل],$P50))</f>
        <v/>
      </c>
      <c r="F50" s="143" t="n"/>
      <c r="G50" s="81">
        <f>IF($P50="","",INDEX(tblInv[المتبقي],$P50))</f>
        <v/>
      </c>
      <c r="H50" s="144">
        <f>IF($P50="","",INDEX(tblInv[أيام التأخير],$P50))</f>
        <v/>
      </c>
      <c r="I50" s="83">
        <f>IF($P50="","",IFERROR(INDEX(tblCustomers[الجوال],MATCH(INDEX(tblInv[كود العميل],$P50),tblCustomers[كود العميل],0))&amp;"",""))</f>
        <v/>
      </c>
      <c r="J50" s="145">
        <f>IF(H50="","",IF(H50&lt;=30,"📱 تذكير ودي على الواتساب",IF(H50&lt;=60,"☎️ اتصال ومتابعة الوعد بالسداد",IF(H50&lt;=90,"✉️ خطاب مطالبة رسمي","⛔ إيقاف التوريد وتصعيد للإدارة أو الإجراء القانوني"))))</f>
        <v/>
      </c>
      <c r="K50" s="145" t="n"/>
      <c r="L50" s="145" t="n"/>
      <c r="M50" s="145" t="n"/>
      <c r="P50">
        <f>IFERROR(MATCH(12,tblInv[ترتيب المتابعة],0),"")</f>
        <v/>
      </c>
    </row>
    <row r="51">
      <c r="B51" s="142">
        <f>IF($P51="","",13)</f>
        <v/>
      </c>
      <c r="C51" s="83">
        <f>IF($P51="","",INDEX(tblInv[رقم الفاتورة],$P51))</f>
        <v/>
      </c>
      <c r="D51" s="117">
        <f>IF($P51="","",INDEX(tblInv[تاريخ الاستحقاق],$P51))</f>
        <v/>
      </c>
      <c r="E51" s="143">
        <f>IF($P51="","",INDEX(tblInv[اسم العميل],$P51))</f>
        <v/>
      </c>
      <c r="F51" s="143" t="n"/>
      <c r="G51" s="81">
        <f>IF($P51="","",INDEX(tblInv[المتبقي],$P51))</f>
        <v/>
      </c>
      <c r="H51" s="144">
        <f>IF($P51="","",INDEX(tblInv[أيام التأخير],$P51))</f>
        <v/>
      </c>
      <c r="I51" s="83">
        <f>IF($P51="","",IFERROR(INDEX(tblCustomers[الجوال],MATCH(INDEX(tblInv[كود العميل],$P51),tblCustomers[كود العميل],0))&amp;"",""))</f>
        <v/>
      </c>
      <c r="J51" s="145">
        <f>IF(H51="","",IF(H51&lt;=30,"📱 تذكير ودي على الواتساب",IF(H51&lt;=60,"☎️ اتصال ومتابعة الوعد بالسداد",IF(H51&lt;=90,"✉️ خطاب مطالبة رسمي","⛔ إيقاف التوريد وتصعيد للإدارة أو الإجراء القانوني"))))</f>
        <v/>
      </c>
      <c r="K51" s="145" t="n"/>
      <c r="L51" s="145" t="n"/>
      <c r="M51" s="145" t="n"/>
      <c r="P51">
        <f>IFERROR(MATCH(13,tblInv[ترتيب المتابعة],0),"")</f>
        <v/>
      </c>
    </row>
    <row r="52">
      <c r="B52" s="142">
        <f>IF($P52="","",14)</f>
        <v/>
      </c>
      <c r="C52" s="83">
        <f>IF($P52="","",INDEX(tblInv[رقم الفاتورة],$P52))</f>
        <v/>
      </c>
      <c r="D52" s="117">
        <f>IF($P52="","",INDEX(tblInv[تاريخ الاستحقاق],$P52))</f>
        <v/>
      </c>
      <c r="E52" s="143">
        <f>IF($P52="","",INDEX(tblInv[اسم العميل],$P52))</f>
        <v/>
      </c>
      <c r="F52" s="143" t="n"/>
      <c r="G52" s="81">
        <f>IF($P52="","",INDEX(tblInv[المتبقي],$P52))</f>
        <v/>
      </c>
      <c r="H52" s="144">
        <f>IF($P52="","",INDEX(tblInv[أيام التأخير],$P52))</f>
        <v/>
      </c>
      <c r="I52" s="83">
        <f>IF($P52="","",IFERROR(INDEX(tblCustomers[الجوال],MATCH(INDEX(tblInv[كود العميل],$P52),tblCustomers[كود العميل],0))&amp;"",""))</f>
        <v/>
      </c>
      <c r="J52" s="145">
        <f>IF(H52="","",IF(H52&lt;=30,"📱 تذكير ودي على الواتساب",IF(H52&lt;=60,"☎️ اتصال ومتابعة الوعد بالسداد",IF(H52&lt;=90,"✉️ خطاب مطالبة رسمي","⛔ إيقاف التوريد وتصعيد للإدارة أو الإجراء القانوني"))))</f>
        <v/>
      </c>
      <c r="K52" s="145" t="n"/>
      <c r="L52" s="145" t="n"/>
      <c r="M52" s="145" t="n"/>
      <c r="P52">
        <f>IFERROR(MATCH(14,tblInv[ترتيب المتابعة],0),"")</f>
        <v/>
      </c>
    </row>
    <row r="53">
      <c r="B53" s="142">
        <f>IF($P53="","",15)</f>
        <v/>
      </c>
      <c r="C53" s="83">
        <f>IF($P53="","",INDEX(tblInv[رقم الفاتورة],$P53))</f>
        <v/>
      </c>
      <c r="D53" s="117">
        <f>IF($P53="","",INDEX(tblInv[تاريخ الاستحقاق],$P53))</f>
        <v/>
      </c>
      <c r="E53" s="143">
        <f>IF($P53="","",INDEX(tblInv[اسم العميل],$P53))</f>
        <v/>
      </c>
      <c r="F53" s="143" t="n"/>
      <c r="G53" s="81">
        <f>IF($P53="","",INDEX(tblInv[المتبقي],$P53))</f>
        <v/>
      </c>
      <c r="H53" s="144">
        <f>IF($P53="","",INDEX(tblInv[أيام التأخير],$P53))</f>
        <v/>
      </c>
      <c r="I53" s="83">
        <f>IF($P53="","",IFERROR(INDEX(tblCustomers[الجوال],MATCH(INDEX(tblInv[كود العميل],$P53),tblCustomers[كود العميل],0))&amp;"",""))</f>
        <v/>
      </c>
      <c r="J53" s="145">
        <f>IF(H53="","",IF(H53&lt;=30,"📱 تذكير ودي على الواتساب",IF(H53&lt;=60,"☎️ اتصال ومتابعة الوعد بالسداد",IF(H53&lt;=90,"✉️ خطاب مطالبة رسمي","⛔ إيقاف التوريد وتصعيد للإدارة أو الإجراء القانوني"))))</f>
        <v/>
      </c>
      <c r="K53" s="145" t="n"/>
      <c r="L53" s="145" t="n"/>
      <c r="M53" s="145" t="n"/>
      <c r="P53">
        <f>IFERROR(MATCH(15,tblInv[ترتيب المتابعة],0),"")</f>
        <v/>
      </c>
    </row>
    <row r="54">
      <c r="B54" s="142">
        <f>IF($P54="","",16)</f>
        <v/>
      </c>
      <c r="C54" s="83">
        <f>IF($P54="","",INDEX(tblInv[رقم الفاتورة],$P54))</f>
        <v/>
      </c>
      <c r="D54" s="117">
        <f>IF($P54="","",INDEX(tblInv[تاريخ الاستحقاق],$P54))</f>
        <v/>
      </c>
      <c r="E54" s="143">
        <f>IF($P54="","",INDEX(tblInv[اسم العميل],$P54))</f>
        <v/>
      </c>
      <c r="F54" s="143" t="n"/>
      <c r="G54" s="81">
        <f>IF($P54="","",INDEX(tblInv[المتبقي],$P54))</f>
        <v/>
      </c>
      <c r="H54" s="144">
        <f>IF($P54="","",INDEX(tblInv[أيام التأخير],$P54))</f>
        <v/>
      </c>
      <c r="I54" s="83">
        <f>IF($P54="","",IFERROR(INDEX(tblCustomers[الجوال],MATCH(INDEX(tblInv[كود العميل],$P54),tblCustomers[كود العميل],0))&amp;"",""))</f>
        <v/>
      </c>
      <c r="J54" s="145">
        <f>IF(H54="","",IF(H54&lt;=30,"📱 تذكير ودي على الواتساب",IF(H54&lt;=60,"☎️ اتصال ومتابعة الوعد بالسداد",IF(H54&lt;=90,"✉️ خطاب مطالبة رسمي","⛔ إيقاف التوريد وتصعيد للإدارة أو الإجراء القانوني"))))</f>
        <v/>
      </c>
      <c r="K54" s="145" t="n"/>
      <c r="L54" s="145" t="n"/>
      <c r="M54" s="145" t="n"/>
      <c r="P54">
        <f>IFERROR(MATCH(16,tblInv[ترتيب المتابعة],0),"")</f>
        <v/>
      </c>
    </row>
    <row r="55">
      <c r="B55" s="142">
        <f>IF($P55="","",17)</f>
        <v/>
      </c>
      <c r="C55" s="83">
        <f>IF($P55="","",INDEX(tblInv[رقم الفاتورة],$P55))</f>
        <v/>
      </c>
      <c r="D55" s="117">
        <f>IF($P55="","",INDEX(tblInv[تاريخ الاستحقاق],$P55))</f>
        <v/>
      </c>
      <c r="E55" s="143">
        <f>IF($P55="","",INDEX(tblInv[اسم العميل],$P55))</f>
        <v/>
      </c>
      <c r="F55" s="143" t="n"/>
      <c r="G55" s="81">
        <f>IF($P55="","",INDEX(tblInv[المتبقي],$P55))</f>
        <v/>
      </c>
      <c r="H55" s="144">
        <f>IF($P55="","",INDEX(tblInv[أيام التأخير],$P55))</f>
        <v/>
      </c>
      <c r="I55" s="83">
        <f>IF($P55="","",IFERROR(INDEX(tblCustomers[الجوال],MATCH(INDEX(tblInv[كود العميل],$P55),tblCustomers[كود العميل],0))&amp;"",""))</f>
        <v/>
      </c>
      <c r="J55" s="145">
        <f>IF(H55="","",IF(H55&lt;=30,"📱 تذكير ودي على الواتساب",IF(H55&lt;=60,"☎️ اتصال ومتابعة الوعد بالسداد",IF(H55&lt;=90,"✉️ خطاب مطالبة رسمي","⛔ إيقاف التوريد وتصعيد للإدارة أو الإجراء القانوني"))))</f>
        <v/>
      </c>
      <c r="K55" s="145" t="n"/>
      <c r="L55" s="145" t="n"/>
      <c r="M55" s="145" t="n"/>
      <c r="P55">
        <f>IFERROR(MATCH(17,tblInv[ترتيب المتابعة],0),"")</f>
        <v/>
      </c>
    </row>
    <row r="56">
      <c r="B56" s="142">
        <f>IF($P56="","",18)</f>
        <v/>
      </c>
      <c r="C56" s="83">
        <f>IF($P56="","",INDEX(tblInv[رقم الفاتورة],$P56))</f>
        <v/>
      </c>
      <c r="D56" s="117">
        <f>IF($P56="","",INDEX(tblInv[تاريخ الاستحقاق],$P56))</f>
        <v/>
      </c>
      <c r="E56" s="143">
        <f>IF($P56="","",INDEX(tblInv[اسم العميل],$P56))</f>
        <v/>
      </c>
      <c r="F56" s="143" t="n"/>
      <c r="G56" s="81">
        <f>IF($P56="","",INDEX(tblInv[المتبقي],$P56))</f>
        <v/>
      </c>
      <c r="H56" s="144">
        <f>IF($P56="","",INDEX(tblInv[أيام التأخير],$P56))</f>
        <v/>
      </c>
      <c r="I56" s="83">
        <f>IF($P56="","",IFERROR(INDEX(tblCustomers[الجوال],MATCH(INDEX(tblInv[كود العميل],$P56),tblCustomers[كود العميل],0))&amp;"",""))</f>
        <v/>
      </c>
      <c r="J56" s="145">
        <f>IF(H56="","",IF(H56&lt;=30,"📱 تذكير ودي على الواتساب",IF(H56&lt;=60,"☎️ اتصال ومتابعة الوعد بالسداد",IF(H56&lt;=90,"✉️ خطاب مطالبة رسمي","⛔ إيقاف التوريد وتصعيد للإدارة أو الإجراء القانوني"))))</f>
        <v/>
      </c>
      <c r="K56" s="145" t="n"/>
      <c r="L56" s="145" t="n"/>
      <c r="M56" s="145" t="n"/>
      <c r="P56">
        <f>IFERROR(MATCH(18,tblInv[ترتيب المتابعة],0),"")</f>
        <v/>
      </c>
    </row>
    <row r="57">
      <c r="B57" s="142">
        <f>IF($P57="","",19)</f>
        <v/>
      </c>
      <c r="C57" s="83">
        <f>IF($P57="","",INDEX(tblInv[رقم الفاتورة],$P57))</f>
        <v/>
      </c>
      <c r="D57" s="117">
        <f>IF($P57="","",INDEX(tblInv[تاريخ الاستحقاق],$P57))</f>
        <v/>
      </c>
      <c r="E57" s="143">
        <f>IF($P57="","",INDEX(tblInv[اسم العميل],$P57))</f>
        <v/>
      </c>
      <c r="F57" s="143" t="n"/>
      <c r="G57" s="81">
        <f>IF($P57="","",INDEX(tblInv[المتبقي],$P57))</f>
        <v/>
      </c>
      <c r="H57" s="144">
        <f>IF($P57="","",INDEX(tblInv[أيام التأخير],$P57))</f>
        <v/>
      </c>
      <c r="I57" s="83">
        <f>IF($P57="","",IFERROR(INDEX(tblCustomers[الجوال],MATCH(INDEX(tblInv[كود العميل],$P57),tblCustomers[كود العميل],0))&amp;"",""))</f>
        <v/>
      </c>
      <c r="J57" s="145">
        <f>IF(H57="","",IF(H57&lt;=30,"📱 تذكير ودي على الواتساب",IF(H57&lt;=60,"☎️ اتصال ومتابعة الوعد بالسداد",IF(H57&lt;=90,"✉️ خطاب مطالبة رسمي","⛔ إيقاف التوريد وتصعيد للإدارة أو الإجراء القانوني"))))</f>
        <v/>
      </c>
      <c r="K57" s="145" t="n"/>
      <c r="L57" s="145" t="n"/>
      <c r="M57" s="145" t="n"/>
      <c r="P57">
        <f>IFERROR(MATCH(19,tblInv[ترتيب المتابعة],0),"")</f>
        <v/>
      </c>
    </row>
    <row r="58">
      <c r="B58" s="142">
        <f>IF($P58="","",20)</f>
        <v/>
      </c>
      <c r="C58" s="83">
        <f>IF($P58="","",INDEX(tblInv[رقم الفاتورة],$P58))</f>
        <v/>
      </c>
      <c r="D58" s="117">
        <f>IF($P58="","",INDEX(tblInv[تاريخ الاستحقاق],$P58))</f>
        <v/>
      </c>
      <c r="E58" s="143">
        <f>IF($P58="","",INDEX(tblInv[اسم العميل],$P58))</f>
        <v/>
      </c>
      <c r="F58" s="143" t="n"/>
      <c r="G58" s="81">
        <f>IF($P58="","",INDEX(tblInv[المتبقي],$P58))</f>
        <v/>
      </c>
      <c r="H58" s="144">
        <f>IF($P58="","",INDEX(tblInv[أيام التأخير],$P58))</f>
        <v/>
      </c>
      <c r="I58" s="83">
        <f>IF($P58="","",IFERROR(INDEX(tblCustomers[الجوال],MATCH(INDEX(tblInv[كود العميل],$P58),tblCustomers[كود العميل],0))&amp;"",""))</f>
        <v/>
      </c>
      <c r="J58" s="145">
        <f>IF(H58="","",IF(H58&lt;=30,"📱 تذكير ودي على الواتساب",IF(H58&lt;=60,"☎️ اتصال ومتابعة الوعد بالسداد",IF(H58&lt;=90,"✉️ خطاب مطالبة رسمي","⛔ إيقاف التوريد وتصعيد للإدارة أو الإجراء القانوني"))))</f>
        <v/>
      </c>
      <c r="K58" s="145" t="n"/>
      <c r="L58" s="145" t="n"/>
      <c r="M58" s="145" t="n"/>
      <c r="P58">
        <f>IFERROR(MATCH(20,tblInv[ترتيب المتابعة],0),"")</f>
        <v/>
      </c>
    </row>
    <row r="59">
      <c r="B59" s="142">
        <f>IF($P59="","",21)</f>
        <v/>
      </c>
      <c r="C59" s="83">
        <f>IF($P59="","",INDEX(tblInv[رقم الفاتورة],$P59))</f>
        <v/>
      </c>
      <c r="D59" s="117">
        <f>IF($P59="","",INDEX(tblInv[تاريخ الاستحقاق],$P59))</f>
        <v/>
      </c>
      <c r="E59" s="143">
        <f>IF($P59="","",INDEX(tblInv[اسم العميل],$P59))</f>
        <v/>
      </c>
      <c r="F59" s="143" t="n"/>
      <c r="G59" s="81">
        <f>IF($P59="","",INDEX(tblInv[المتبقي],$P59))</f>
        <v/>
      </c>
      <c r="H59" s="144">
        <f>IF($P59="","",INDEX(tblInv[أيام التأخير],$P59))</f>
        <v/>
      </c>
      <c r="I59" s="83">
        <f>IF($P59="","",IFERROR(INDEX(tblCustomers[الجوال],MATCH(INDEX(tblInv[كود العميل],$P59),tblCustomers[كود العميل],0))&amp;"",""))</f>
        <v/>
      </c>
      <c r="J59" s="145">
        <f>IF(H59="","",IF(H59&lt;=30,"📱 تذكير ودي على الواتساب",IF(H59&lt;=60,"☎️ اتصال ومتابعة الوعد بالسداد",IF(H59&lt;=90,"✉️ خطاب مطالبة رسمي","⛔ إيقاف التوريد وتصعيد للإدارة أو الإجراء القانوني"))))</f>
        <v/>
      </c>
      <c r="K59" s="145" t="n"/>
      <c r="L59" s="145" t="n"/>
      <c r="M59" s="145" t="n"/>
      <c r="P59">
        <f>IFERROR(MATCH(21,tblInv[ترتيب المتابعة],0),"")</f>
        <v/>
      </c>
    </row>
    <row r="60">
      <c r="B60" s="142">
        <f>IF($P60="","",22)</f>
        <v/>
      </c>
      <c r="C60" s="83">
        <f>IF($P60="","",INDEX(tblInv[رقم الفاتورة],$P60))</f>
        <v/>
      </c>
      <c r="D60" s="117">
        <f>IF($P60="","",INDEX(tblInv[تاريخ الاستحقاق],$P60))</f>
        <v/>
      </c>
      <c r="E60" s="143">
        <f>IF($P60="","",INDEX(tblInv[اسم العميل],$P60))</f>
        <v/>
      </c>
      <c r="F60" s="143" t="n"/>
      <c r="G60" s="81">
        <f>IF($P60="","",INDEX(tblInv[المتبقي],$P60))</f>
        <v/>
      </c>
      <c r="H60" s="144">
        <f>IF($P60="","",INDEX(tblInv[أيام التأخير],$P60))</f>
        <v/>
      </c>
      <c r="I60" s="83">
        <f>IF($P60="","",IFERROR(INDEX(tblCustomers[الجوال],MATCH(INDEX(tblInv[كود العميل],$P60),tblCustomers[كود العميل],0))&amp;"",""))</f>
        <v/>
      </c>
      <c r="J60" s="145">
        <f>IF(H60="","",IF(H60&lt;=30,"📱 تذكير ودي على الواتساب",IF(H60&lt;=60,"☎️ اتصال ومتابعة الوعد بالسداد",IF(H60&lt;=90,"✉️ خطاب مطالبة رسمي","⛔ إيقاف التوريد وتصعيد للإدارة أو الإجراء القانوني"))))</f>
        <v/>
      </c>
      <c r="K60" s="145" t="n"/>
      <c r="L60" s="145" t="n"/>
      <c r="M60" s="145" t="n"/>
      <c r="P60">
        <f>IFERROR(MATCH(22,tblInv[ترتيب المتابعة],0),"")</f>
        <v/>
      </c>
    </row>
    <row r="61">
      <c r="B61" s="142">
        <f>IF($P61="","",23)</f>
        <v/>
      </c>
      <c r="C61" s="83">
        <f>IF($P61="","",INDEX(tblInv[رقم الفاتورة],$P61))</f>
        <v/>
      </c>
      <c r="D61" s="117">
        <f>IF($P61="","",INDEX(tblInv[تاريخ الاستحقاق],$P61))</f>
        <v/>
      </c>
      <c r="E61" s="143">
        <f>IF($P61="","",INDEX(tblInv[اسم العميل],$P61))</f>
        <v/>
      </c>
      <c r="F61" s="143" t="n"/>
      <c r="G61" s="81">
        <f>IF($P61="","",INDEX(tblInv[المتبقي],$P61))</f>
        <v/>
      </c>
      <c r="H61" s="144">
        <f>IF($P61="","",INDEX(tblInv[أيام التأخير],$P61))</f>
        <v/>
      </c>
      <c r="I61" s="83">
        <f>IF($P61="","",IFERROR(INDEX(tblCustomers[الجوال],MATCH(INDEX(tblInv[كود العميل],$P61),tblCustomers[كود العميل],0))&amp;"",""))</f>
        <v/>
      </c>
      <c r="J61" s="145">
        <f>IF(H61="","",IF(H61&lt;=30,"📱 تذكير ودي على الواتساب",IF(H61&lt;=60,"☎️ اتصال ومتابعة الوعد بالسداد",IF(H61&lt;=90,"✉️ خطاب مطالبة رسمي","⛔ إيقاف التوريد وتصعيد للإدارة أو الإجراء القانوني"))))</f>
        <v/>
      </c>
      <c r="K61" s="145" t="n"/>
      <c r="L61" s="145" t="n"/>
      <c r="M61" s="145" t="n"/>
      <c r="P61">
        <f>IFERROR(MATCH(23,tblInv[ترتيب المتابعة],0),"")</f>
        <v/>
      </c>
    </row>
    <row r="62">
      <c r="B62" s="142">
        <f>IF($P62="","",24)</f>
        <v/>
      </c>
      <c r="C62" s="83">
        <f>IF($P62="","",INDEX(tblInv[رقم الفاتورة],$P62))</f>
        <v/>
      </c>
      <c r="D62" s="117">
        <f>IF($P62="","",INDEX(tblInv[تاريخ الاستحقاق],$P62))</f>
        <v/>
      </c>
      <c r="E62" s="143">
        <f>IF($P62="","",INDEX(tblInv[اسم العميل],$P62))</f>
        <v/>
      </c>
      <c r="F62" s="143" t="n"/>
      <c r="G62" s="81">
        <f>IF($P62="","",INDEX(tblInv[المتبقي],$P62))</f>
        <v/>
      </c>
      <c r="H62" s="144">
        <f>IF($P62="","",INDEX(tblInv[أيام التأخير],$P62))</f>
        <v/>
      </c>
      <c r="I62" s="83">
        <f>IF($P62="","",IFERROR(INDEX(tblCustomers[الجوال],MATCH(INDEX(tblInv[كود العميل],$P62),tblCustomers[كود العميل],0))&amp;"",""))</f>
        <v/>
      </c>
      <c r="J62" s="145">
        <f>IF(H62="","",IF(H62&lt;=30,"📱 تذكير ودي على الواتساب",IF(H62&lt;=60,"☎️ اتصال ومتابعة الوعد بالسداد",IF(H62&lt;=90,"✉️ خطاب مطالبة رسمي","⛔ إيقاف التوريد وتصعيد للإدارة أو الإجراء القانوني"))))</f>
        <v/>
      </c>
      <c r="K62" s="145" t="n"/>
      <c r="L62" s="145" t="n"/>
      <c r="M62" s="145" t="n"/>
      <c r="P62">
        <f>IFERROR(MATCH(24,tblInv[ترتيب المتابعة],0),"")</f>
        <v/>
      </c>
    </row>
    <row r="63">
      <c r="B63" s="142">
        <f>IF($P63="","",25)</f>
        <v/>
      </c>
      <c r="C63" s="83">
        <f>IF($P63="","",INDEX(tblInv[رقم الفاتورة],$P63))</f>
        <v/>
      </c>
      <c r="D63" s="117">
        <f>IF($P63="","",INDEX(tblInv[تاريخ الاستحقاق],$P63))</f>
        <v/>
      </c>
      <c r="E63" s="143">
        <f>IF($P63="","",INDEX(tblInv[اسم العميل],$P63))</f>
        <v/>
      </c>
      <c r="F63" s="143" t="n"/>
      <c r="G63" s="81">
        <f>IF($P63="","",INDEX(tblInv[المتبقي],$P63))</f>
        <v/>
      </c>
      <c r="H63" s="144">
        <f>IF($P63="","",INDEX(tblInv[أيام التأخير],$P63))</f>
        <v/>
      </c>
      <c r="I63" s="83">
        <f>IF($P63="","",IFERROR(INDEX(tblCustomers[الجوال],MATCH(INDEX(tblInv[كود العميل],$P63),tblCustomers[كود العميل],0))&amp;"",""))</f>
        <v/>
      </c>
      <c r="J63" s="145">
        <f>IF(H63="","",IF(H63&lt;=30,"📱 تذكير ودي على الواتساب",IF(H63&lt;=60,"☎️ اتصال ومتابعة الوعد بالسداد",IF(H63&lt;=90,"✉️ خطاب مطالبة رسمي","⛔ إيقاف التوريد وتصعيد للإدارة أو الإجراء القانوني"))))</f>
        <v/>
      </c>
      <c r="K63" s="145" t="n"/>
      <c r="L63" s="145" t="n"/>
      <c r="M63" s="145" t="n"/>
      <c r="P63">
        <f>IFERROR(MATCH(25,tblInv[ترتيب المتابعة],0),"")</f>
        <v/>
      </c>
    </row>
    <row r="64">
      <c r="B64" s="142">
        <f>IF($P64="","",26)</f>
        <v/>
      </c>
      <c r="C64" s="83">
        <f>IF($P64="","",INDEX(tblInv[رقم الفاتورة],$P64))</f>
        <v/>
      </c>
      <c r="D64" s="117">
        <f>IF($P64="","",INDEX(tblInv[تاريخ الاستحقاق],$P64))</f>
        <v/>
      </c>
      <c r="E64" s="143">
        <f>IF($P64="","",INDEX(tblInv[اسم العميل],$P64))</f>
        <v/>
      </c>
      <c r="F64" s="143" t="n"/>
      <c r="G64" s="81">
        <f>IF($P64="","",INDEX(tblInv[المتبقي],$P64))</f>
        <v/>
      </c>
      <c r="H64" s="144">
        <f>IF($P64="","",INDEX(tblInv[أيام التأخير],$P64))</f>
        <v/>
      </c>
      <c r="I64" s="83">
        <f>IF($P64="","",IFERROR(INDEX(tblCustomers[الجوال],MATCH(INDEX(tblInv[كود العميل],$P64),tblCustomers[كود العميل],0))&amp;"",""))</f>
        <v/>
      </c>
      <c r="J64" s="145">
        <f>IF(H64="","",IF(H64&lt;=30,"📱 تذكير ودي على الواتساب",IF(H64&lt;=60,"☎️ اتصال ومتابعة الوعد بالسداد",IF(H64&lt;=90,"✉️ خطاب مطالبة رسمي","⛔ إيقاف التوريد وتصعيد للإدارة أو الإجراء القانوني"))))</f>
        <v/>
      </c>
      <c r="K64" s="145" t="n"/>
      <c r="L64" s="145" t="n"/>
      <c r="M64" s="145" t="n"/>
      <c r="P64">
        <f>IFERROR(MATCH(26,tblInv[ترتيب المتابعة],0),"")</f>
        <v/>
      </c>
    </row>
    <row r="65">
      <c r="B65" s="142">
        <f>IF($P65="","",27)</f>
        <v/>
      </c>
      <c r="C65" s="83">
        <f>IF($P65="","",INDEX(tblInv[رقم الفاتورة],$P65))</f>
        <v/>
      </c>
      <c r="D65" s="117">
        <f>IF($P65="","",INDEX(tblInv[تاريخ الاستحقاق],$P65))</f>
        <v/>
      </c>
      <c r="E65" s="143">
        <f>IF($P65="","",INDEX(tblInv[اسم العميل],$P65))</f>
        <v/>
      </c>
      <c r="F65" s="143" t="n"/>
      <c r="G65" s="81">
        <f>IF($P65="","",INDEX(tblInv[المتبقي],$P65))</f>
        <v/>
      </c>
      <c r="H65" s="144">
        <f>IF($P65="","",INDEX(tblInv[أيام التأخير],$P65))</f>
        <v/>
      </c>
      <c r="I65" s="83">
        <f>IF($P65="","",IFERROR(INDEX(tblCustomers[الجوال],MATCH(INDEX(tblInv[كود العميل],$P65),tblCustomers[كود العميل],0))&amp;"",""))</f>
        <v/>
      </c>
      <c r="J65" s="145">
        <f>IF(H65="","",IF(H65&lt;=30,"📱 تذكير ودي على الواتساب",IF(H65&lt;=60,"☎️ اتصال ومتابعة الوعد بالسداد",IF(H65&lt;=90,"✉️ خطاب مطالبة رسمي","⛔ إيقاف التوريد وتصعيد للإدارة أو الإجراء القانوني"))))</f>
        <v/>
      </c>
      <c r="K65" s="145" t="n"/>
      <c r="L65" s="145" t="n"/>
      <c r="M65" s="145" t="n"/>
      <c r="P65">
        <f>IFERROR(MATCH(27,tblInv[ترتيب المتابعة],0),"")</f>
        <v/>
      </c>
    </row>
    <row r="66">
      <c r="B66" s="142">
        <f>IF($P66="","",28)</f>
        <v/>
      </c>
      <c r="C66" s="83">
        <f>IF($P66="","",INDEX(tblInv[رقم الفاتورة],$P66))</f>
        <v/>
      </c>
      <c r="D66" s="117">
        <f>IF($P66="","",INDEX(tblInv[تاريخ الاستحقاق],$P66))</f>
        <v/>
      </c>
      <c r="E66" s="143">
        <f>IF($P66="","",INDEX(tblInv[اسم العميل],$P66))</f>
        <v/>
      </c>
      <c r="F66" s="143" t="n"/>
      <c r="G66" s="81">
        <f>IF($P66="","",INDEX(tblInv[المتبقي],$P66))</f>
        <v/>
      </c>
      <c r="H66" s="144">
        <f>IF($P66="","",INDEX(tblInv[أيام التأخير],$P66))</f>
        <v/>
      </c>
      <c r="I66" s="83">
        <f>IF($P66="","",IFERROR(INDEX(tblCustomers[الجوال],MATCH(INDEX(tblInv[كود العميل],$P66),tblCustomers[كود العميل],0))&amp;"",""))</f>
        <v/>
      </c>
      <c r="J66" s="145">
        <f>IF(H66="","",IF(H66&lt;=30,"📱 تذكير ودي على الواتساب",IF(H66&lt;=60,"☎️ اتصال ومتابعة الوعد بالسداد",IF(H66&lt;=90,"✉️ خطاب مطالبة رسمي","⛔ إيقاف التوريد وتصعيد للإدارة أو الإجراء القانوني"))))</f>
        <v/>
      </c>
      <c r="K66" s="145" t="n"/>
      <c r="L66" s="145" t="n"/>
      <c r="M66" s="145" t="n"/>
      <c r="P66">
        <f>IFERROR(MATCH(28,tblInv[ترتيب المتابعة],0),"")</f>
        <v/>
      </c>
    </row>
    <row r="67">
      <c r="B67" s="142">
        <f>IF($P67="","",29)</f>
        <v/>
      </c>
      <c r="C67" s="83">
        <f>IF($P67="","",INDEX(tblInv[رقم الفاتورة],$P67))</f>
        <v/>
      </c>
      <c r="D67" s="117">
        <f>IF($P67="","",INDEX(tblInv[تاريخ الاستحقاق],$P67))</f>
        <v/>
      </c>
      <c r="E67" s="143">
        <f>IF($P67="","",INDEX(tblInv[اسم العميل],$P67))</f>
        <v/>
      </c>
      <c r="F67" s="143" t="n"/>
      <c r="G67" s="81">
        <f>IF($P67="","",INDEX(tblInv[المتبقي],$P67))</f>
        <v/>
      </c>
      <c r="H67" s="144">
        <f>IF($P67="","",INDEX(tblInv[أيام التأخير],$P67))</f>
        <v/>
      </c>
      <c r="I67" s="83">
        <f>IF($P67="","",IFERROR(INDEX(tblCustomers[الجوال],MATCH(INDEX(tblInv[كود العميل],$P67),tblCustomers[كود العميل],0))&amp;"",""))</f>
        <v/>
      </c>
      <c r="J67" s="145">
        <f>IF(H67="","",IF(H67&lt;=30,"📱 تذكير ودي على الواتساب",IF(H67&lt;=60,"☎️ اتصال ومتابعة الوعد بالسداد",IF(H67&lt;=90,"✉️ خطاب مطالبة رسمي","⛔ إيقاف التوريد وتصعيد للإدارة أو الإجراء القانوني"))))</f>
        <v/>
      </c>
      <c r="K67" s="145" t="n"/>
      <c r="L67" s="145" t="n"/>
      <c r="M67" s="145" t="n"/>
      <c r="P67">
        <f>IFERROR(MATCH(29,tblInv[ترتيب المتابعة],0),"")</f>
        <v/>
      </c>
    </row>
    <row r="68">
      <c r="B68" s="142">
        <f>IF($P68="","",30)</f>
        <v/>
      </c>
      <c r="C68" s="83">
        <f>IF($P68="","",INDEX(tblInv[رقم الفاتورة],$P68))</f>
        <v/>
      </c>
      <c r="D68" s="117">
        <f>IF($P68="","",INDEX(tblInv[تاريخ الاستحقاق],$P68))</f>
        <v/>
      </c>
      <c r="E68" s="143">
        <f>IF($P68="","",INDEX(tblInv[اسم العميل],$P68))</f>
        <v/>
      </c>
      <c r="F68" s="143" t="n"/>
      <c r="G68" s="81">
        <f>IF($P68="","",INDEX(tblInv[المتبقي],$P68))</f>
        <v/>
      </c>
      <c r="H68" s="144">
        <f>IF($P68="","",INDEX(tblInv[أيام التأخير],$P68))</f>
        <v/>
      </c>
      <c r="I68" s="83">
        <f>IF($P68="","",IFERROR(INDEX(tblCustomers[الجوال],MATCH(INDEX(tblInv[كود العميل],$P68),tblCustomers[كود العميل],0))&amp;"",""))</f>
        <v/>
      </c>
      <c r="J68" s="145">
        <f>IF(H68="","",IF(H68&lt;=30,"📱 تذكير ودي على الواتساب",IF(H68&lt;=60,"☎️ اتصال ومتابعة الوعد بالسداد",IF(H68&lt;=90,"✉️ خطاب مطالبة رسمي","⛔ إيقاف التوريد وتصعيد للإدارة أو الإجراء القانوني"))))</f>
        <v/>
      </c>
      <c r="K68" s="145" t="n"/>
      <c r="L68" s="145" t="n"/>
      <c r="M68" s="145" t="n"/>
      <c r="P68">
        <f>IFERROR(MATCH(30,tblInv[ترتيب المتابعة],0),"")</f>
        <v/>
      </c>
    </row>
    <row r="70">
      <c r="B70" s="146">
        <f>"عدد الفواتير المتأخرة كلها: "&amp;COUNT(tblInv[ترتيب المتابعة])&amp;" — القايمة بتعرض أكبر 30 بس"</f>
        <v/>
      </c>
      <c r="C70" s="146" t="n"/>
      <c r="D70" s="146" t="n"/>
      <c r="E70" s="146" t="n"/>
      <c r="F70" s="146" t="n"/>
      <c r="G70" s="146" t="n"/>
      <c r="H70" s="146" t="n"/>
      <c r="I70" s="146" t="n"/>
      <c r="J70" s="146" t="n"/>
      <c r="K70" s="146" t="n"/>
      <c r="L70" s="146" t="n"/>
      <c r="M70" s="146" t="n"/>
    </row>
  </sheetData>
  <sheetProtection selectLockedCells="0" selectUnlockedCells="0" sheet="1" objects="0" insertRows="1" insertHyperlinks="1" autoFilter="1" scenarios="0" formatColumns="1" deleteColumns="1" insertColumns="1" pivotTables="1" deleteRows="1" formatCells="1" formatRows="1" sort="1"/>
  <mergeCells count="109">
    <mergeCell ref="B11:D11"/>
    <mergeCell ref="E62:F62"/>
    <mergeCell ref="J56:M56"/>
    <mergeCell ref="B8:G8"/>
    <mergeCell ref="J43:M43"/>
    <mergeCell ref="E64:F64"/>
    <mergeCell ref="D6:E6"/>
    <mergeCell ref="J42:M42"/>
    <mergeCell ref="E51:F51"/>
    <mergeCell ref="B37:M37"/>
    <mergeCell ref="E63:F63"/>
    <mergeCell ref="I17:K17"/>
    <mergeCell ref="L5:M5"/>
    <mergeCell ref="J44:M44"/>
    <mergeCell ref="J67:M67"/>
    <mergeCell ref="E65:F65"/>
    <mergeCell ref="J59:M59"/>
    <mergeCell ref="I10:K10"/>
    <mergeCell ref="J60:M60"/>
    <mergeCell ref="E49:F49"/>
    <mergeCell ref="J53:M53"/>
    <mergeCell ref="J45:M45"/>
    <mergeCell ref="J55:M55"/>
    <mergeCell ref="E53:F53"/>
    <mergeCell ref="E12:F12"/>
    <mergeCell ref="E55:F55"/>
    <mergeCell ref="J47:M47"/>
    <mergeCell ref="E67:F67"/>
    <mergeCell ref="B17:D17"/>
    <mergeCell ref="F6:G6"/>
    <mergeCell ref="E14:F14"/>
    <mergeCell ref="I12:K12"/>
    <mergeCell ref="E48:F48"/>
    <mergeCell ref="J62:M62"/>
    <mergeCell ref="A1:N1"/>
    <mergeCell ref="B10:D10"/>
    <mergeCell ref="J58:M58"/>
    <mergeCell ref="E38:F38"/>
    <mergeCell ref="I14:K14"/>
    <mergeCell ref="F5:G5"/>
    <mergeCell ref="J64:M64"/>
    <mergeCell ref="B9:D9"/>
    <mergeCell ref="E40:F40"/>
    <mergeCell ref="J57:M57"/>
    <mergeCell ref="H8:M8"/>
    <mergeCell ref="J68:M68"/>
    <mergeCell ref="J49:M49"/>
    <mergeCell ref="B6:C6"/>
    <mergeCell ref="E16:F16"/>
    <mergeCell ref="L6:M6"/>
    <mergeCell ref="H5:I5"/>
    <mergeCell ref="E66:F66"/>
    <mergeCell ref="E58:F58"/>
    <mergeCell ref="B70:M70"/>
    <mergeCell ref="E50:F50"/>
    <mergeCell ref="B14:D14"/>
    <mergeCell ref="E68:F68"/>
    <mergeCell ref="B13:D13"/>
    <mergeCell ref="J46:M46"/>
    <mergeCell ref="E52:F52"/>
    <mergeCell ref="J51:M51"/>
    <mergeCell ref="E39:F39"/>
    <mergeCell ref="E44:F44"/>
    <mergeCell ref="J61:M61"/>
    <mergeCell ref="J48:M48"/>
    <mergeCell ref="E13:F13"/>
    <mergeCell ref="J38:M38"/>
    <mergeCell ref="E59:F59"/>
    <mergeCell ref="E15:F15"/>
    <mergeCell ref="I13:K13"/>
    <mergeCell ref="J40:M40"/>
    <mergeCell ref="E46:F46"/>
    <mergeCell ref="A2:N2"/>
    <mergeCell ref="E61:F61"/>
    <mergeCell ref="I15:K15"/>
    <mergeCell ref="E57:F57"/>
    <mergeCell ref="J65:M65"/>
    <mergeCell ref="E54:F54"/>
    <mergeCell ref="B5:C5"/>
    <mergeCell ref="E41:F41"/>
    <mergeCell ref="D5:E5"/>
    <mergeCell ref="B12:D12"/>
    <mergeCell ref="E56:F56"/>
    <mergeCell ref="E43:F43"/>
    <mergeCell ref="I16:K16"/>
    <mergeCell ref="J66:M66"/>
    <mergeCell ref="J5:K5"/>
    <mergeCell ref="E42:F42"/>
    <mergeCell ref="J50:M50"/>
    <mergeCell ref="I18:K18"/>
    <mergeCell ref="E17:F17"/>
    <mergeCell ref="J52:M52"/>
    <mergeCell ref="H6:I6"/>
    <mergeCell ref="J6:K6"/>
    <mergeCell ref="E10:F10"/>
    <mergeCell ref="J39:M39"/>
    <mergeCell ref="B15:D15"/>
    <mergeCell ref="E60:F60"/>
    <mergeCell ref="E9:F9"/>
    <mergeCell ref="I19:K19"/>
    <mergeCell ref="E11:F11"/>
    <mergeCell ref="I9:K9"/>
    <mergeCell ref="E45:F45"/>
    <mergeCell ref="B16:D16"/>
    <mergeCell ref="I11:K11"/>
    <mergeCell ref="J54:M54"/>
    <mergeCell ref="J63:M63"/>
    <mergeCell ref="J41:M41"/>
    <mergeCell ref="E47:F47"/>
  </mergeCells>
  <conditionalFormatting sqref="B39:M68">
    <cfRule type="expression" priority="1" dxfId="13">
      <formula>$P39&lt;&gt;""</formula>
    </cfRule>
    <cfRule type="expression" priority="2" dxfId="20">
      <formula>AND($P39&lt;&gt;"",$H39&gt;90)</formula>
    </cfRule>
    <cfRule type="expression" priority="3" dxfId="8">
      <formula>AND($P39&lt;&gt;"",$H39&gt;60)</formula>
    </cfRule>
    <cfRule type="expression" priority="4" dxfId="21">
      <formula>AND($P39&lt;&gt;"",$H39&gt;30)</formula>
    </cfRule>
    <cfRule type="expression" priority="5" dxfId="22">
      <formula>$P39&lt;&gt;""</formula>
    </cfRule>
  </conditionalFormatting>
  <hyperlinks>
    <hyperlink ref="B3" location="'التعليمات'!A1" display="📘 التعليمات"/>
    <hyperlink ref="C3" location="'الإعدادات'!A1" display="⚙ الإعدادات"/>
    <hyperlink ref="D3" location="'العملاء'!A1" display="👥 العملاء"/>
    <hyperlink ref="E3" location="'الفواتير'!A1" display="🧾 الفواتير"/>
    <hyperlink ref="F3" location="'التحصيلات'!A1" display="💵 التحصيلات"/>
    <hyperlink ref="G3" location="'تقرير الأعمار'!A1" display="📊 تقرير الأعمار"/>
    <hyperlink ref="H3" location="'المخصص'!A1" display="🛡 المخصص"/>
    <hyperlink ref="I3" location="'كشف حساب عميل'!A1" display="📄 كشف حساب"/>
  </hyperlinks>
  <printOptions horizontalCentered="1"/>
  <pageMargins left="0.4" right="0.4" top="0.5" bottom="0.5" header="0.5" footer="0.5"/>
  <pageSetup orientation="landscape" paperSize="9" fitToHeight="0" fitToWidth="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2026-09-29T13:59:11Z</dcterms:created>
  <dcterms:modified xsi:type="dcterms:W3CDTF">2026-09-29T13:59:13Z</dcterms:modified>
</cp:coreProperties>
</file>